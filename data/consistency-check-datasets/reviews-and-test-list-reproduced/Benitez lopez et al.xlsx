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Raw - 1" sheetId="2" r:id="rId6"/>
    <sheet state="visible" name="Raw - 2" sheetId="3" r:id="rId7"/>
    <sheet state="visible" name="Enriched - 1" sheetId="4" r:id="rId8"/>
    <sheet state="visible" name="Enriched - 2" sheetId="5" r:id="rId9"/>
    <sheet state="visible" name="Curated - Labels" sheetId="6" r:id="rId10"/>
    <sheet state="visible" name="Serving - Labels" sheetId="7" r:id="rId11"/>
    <sheet state="visible" name="Test List" sheetId="8" r:id="rId12"/>
    <sheet state="visible" name="Query" sheetId="9" r:id="rId13"/>
  </sheets>
  <definedNames>
    <definedName hidden="1" localSheetId="1" name="_xlnm._FilterDatabase">'Raw - 1'!$A$1:$T$102</definedName>
    <definedName hidden="1" localSheetId="2" name="_xlnm._FilterDatabase">'Raw - 2'!$A$1:$AC$2323</definedName>
    <definedName hidden="1" localSheetId="3" name="_xlnm._FilterDatabase">'Enriched - 1'!$A$1:$G$80</definedName>
    <definedName hidden="1" localSheetId="5" name="_xlnm._FilterDatabase">'Curated - Labels'!$A$1:$CN$1000</definedName>
    <definedName hidden="1" localSheetId="6" name="_xlnm._FilterDatabase">'Serving - Labels'!$A$1:$N$1000</definedName>
    <definedName hidden="1" localSheetId="7" name="_xlnm._FilterDatabase">'Test List'!$A$1:$BU$61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648">
      <text>
        <t xml:space="preserve">Ana Benítez López:
verus</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tc={0c77547b-361c-4a8d-a34c-755190b95a6d}</author>
  </authors>
  <commentList>
    <comment authorId="0" xr:uid="{0c77547b-361c-4a8d-a34c-755190b95a6d}" ref="B1">
      <text>
        <t xml:space="preserve">[Threaded comment]
 Your version of Excel allows you to read this threaded comment; however, any edits to it will get removed if the file is opened in a newer version of Excel. Learn more: https://go.microsoft.com/fwlink/?linkid=870924
Comment:
	Lookup from Enriched 1. Null DOI implies that the record isn't part of enriched i.e. excluded from raw data.
The data as here is created using Raw data by grouping References for the Taxa items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tc={2c573dd4-52da-4bee-9de1-1b9cea19e3f0}</author>
  </authors>
  <commentList>
    <comment authorId="0" xr:uid="{2c573dd4-52da-4bee-9de1-1b9cea19e3f0}" ref="E1">
      <text>
        <t xml:space="preserve">[Threaded comment]
 Your version of Excel allows you to read this threaded comment; however, any edits to it will get removed if the file is opened in a newer version of Excel. Learn more: https://go.microsoft.com/fwlink/?linkid=870924
Comment:
	2 records from curated not included here b/c they're have relevant labels to the map
</t>
      </text>
    </comment>
  </commentList>
</comments>
</file>

<file path=xl/sharedStrings.xml><?xml version="1.0" encoding="utf-8"?>
<sst xmlns="http://schemas.openxmlformats.org/spreadsheetml/2006/main" count="40829" uniqueCount="3266">
  <si>
    <t>The impact of hunting on tropical mammal and bird populations</t>
  </si>
  <si>
    <t>Beneitez Lopez et al</t>
  </si>
  <si>
    <t>Particular</t>
  </si>
  <si>
    <t>Details</t>
  </si>
  <si>
    <t>Raw - 1</t>
  </si>
  <si>
    <t>Recreate Table S1 given in Supplementary resource. Not that here one row may refer multiple references  + Using the Paper's Raw data shared at Globio</t>
  </si>
  <si>
    <t>Raw - 2</t>
  </si>
  <si>
    <t>Raw Data shared as excel file in Globio dataset. It contains species level grain for each document</t>
  </si>
  <si>
    <t>Enriched - 1</t>
  </si>
  <si>
    <t>For each records in "Raw 1" add "Present in WOS" tag. Total records that are scientific publications are 79 in "Raw - 1" , out of which 60 are present in WOS</t>
  </si>
  <si>
    <t>Enriched - 2</t>
  </si>
  <si>
    <t>Group the "Raw Data - 2" for only the References and taxa so that only one row per reference exist. This then later feeds into curated</t>
  </si>
  <si>
    <t>Test List</t>
  </si>
  <si>
    <t>Web of science export of 60 records for Test List</t>
  </si>
  <si>
    <t>Curated Labels</t>
  </si>
  <si>
    <t xml:space="preserve">Web of science export of 52 resultant records in dataset out of 60 in test list. See query in query tab.
Left join using doi or author and add 12 new labels from "Raw - 1" data
Left join "Enriched - 2" using DOI and get labels on Taxa
Replacements for labels harmonizations:
1) Group: Replace following way given following GBIF Taxonomy's standards. Group is essentially a class in taxonomy. Resultantly, add kingdom, phylum, class for each of the group
For  Mammalia ---&gt;   kingdom &gt; Phylum &gt; Class: Animalia, Chordata, Mammalia
For Birds ---&gt; kingdom &gt; Phylum &gt; Class: Animalia, Chordata, Aves
2) Biome as labeled in study doesn't follow GET taxnomony of biomes. To convert it into labels, this assumption is made:
Biome -&gt; GET biome: 
- all forest variants (tropical/subtropical/montane/Atlantic/camparina/dry deciduous) → Tropical-subtropical forests (T1); 
- Grasslands/Savannah → Savannas &amp; grasslands (T4); 
- Xerophilous/Xerophytic forest → Deserts &amp; semi-deserts (T5); 
- Farmbush → Intensive land-use (T7).
Realm = Terrestrial for all </t>
  </si>
  <si>
    <t>Query</t>
  </si>
  <si>
    <t>Reproduced query to get 60 records as exported in test list and "Enriched - 1"</t>
  </si>
  <si>
    <t>Data source</t>
  </si>
  <si>
    <t>Source type</t>
  </si>
  <si>
    <t>Reference #</t>
  </si>
  <si>
    <t>DOI</t>
  </si>
  <si>
    <t>Location</t>
  </si>
  <si>
    <t>Habitat</t>
  </si>
  <si>
    <t>Taxa</t>
  </si>
  <si>
    <t>Order</t>
  </si>
  <si>
    <t>Access point</t>
  </si>
  <si>
    <t>Type of hunting</t>
  </si>
  <si>
    <t>Legality</t>
  </si>
  <si>
    <t>Group</t>
  </si>
  <si>
    <t>Type hunting</t>
  </si>
  <si>
    <t>Region</t>
  </si>
  <si>
    <t>Country</t>
  </si>
  <si>
    <t>Protected Area</t>
  </si>
  <si>
    <t>Biome</t>
  </si>
  <si>
    <t>No. studies</t>
  </si>
  <si>
    <t>Peres and Lake, 2003</t>
  </si>
  <si>
    <t>SP (5)</t>
  </si>
  <si>
    <t>http://dx.doi.org/10.1046/j.1523-1739.2003.01413.x</t>
  </si>
  <si>
    <t>Amazon basin, Brazil</t>
  </si>
  <si>
    <t>tropical rainforest</t>
  </si>
  <si>
    <t>mammals</t>
  </si>
  <si>
    <t>Primata, Cetartiodactyla, Perissodactyla &amp; Rodentia (12 spp)</t>
  </si>
  <si>
    <t>road &amp; rivers</t>
  </si>
  <si>
    <t>subsistence</t>
  </si>
  <si>
    <t>legal</t>
  </si>
  <si>
    <t>Barrera-Zambrano et al., 2008</t>
  </si>
  <si>
    <t>SP (27)</t>
  </si>
  <si>
    <t>https://doi.org/10.15517/rbt.v56i3.5727</t>
  </si>
  <si>
    <t>Amacayacu National Park, S Colombia</t>
  </si>
  <si>
    <t>Campina and Campirana Forest</t>
  </si>
  <si>
    <t>Primates (7 spp)</t>
  </si>
  <si>
    <t>settlement</t>
  </si>
  <si>
    <t>Blake et al., 2007</t>
  </si>
  <si>
    <t>SP (32)</t>
  </si>
  <si>
    <t>http://dx.doi.org/10.1371/journal.pbio.0050111</t>
  </si>
  <si>
    <t>Congo Basin: Gabon, Cameroon, Congo, Central African Republic, D.R. Congo</t>
  </si>
  <si>
    <t>Proboscidea (1 spp)</t>
  </si>
  <si>
    <t>road</t>
  </si>
  <si>
    <t>commercial</t>
  </si>
  <si>
    <t>illegal</t>
  </si>
  <si>
    <t>Bowkett et al., 2008</t>
  </si>
  <si>
    <t>SP (33)</t>
  </si>
  <si>
    <t>http://dx.doi.org/10.1111/j.1365-2028.2007.00881.x</t>
  </si>
  <si>
    <t>Mwanihana and Matundu forests, Udzungwa Mountains National Park, E Tanzania</t>
  </si>
  <si>
    <t>Submontane and lowland semideciduous forest</t>
  </si>
  <si>
    <t>Cetartiodactyla (3 spp)</t>
  </si>
  <si>
    <t>road &amp; settlement</t>
  </si>
  <si>
    <t>subsistence &amp; commercial</t>
  </si>
  <si>
    <t>Demmer et al., 2002</t>
  </si>
  <si>
    <t>SP (34)</t>
  </si>
  <si>
    <t>http://dx.doi.org/10.1023/A:1020305903156</t>
  </si>
  <si>
    <t>Tawahka Asangni Biosphere Reserve, E Honduras</t>
  </si>
  <si>
    <t>mammals &amp; birds</t>
  </si>
  <si>
    <t>Carnivora, Rodentia, Cetartiodactyla, Perissodactyla, Cingulata, Primata (13 and 7 spp); Piciformes, Psittaciformes, Galliformes, Tinamiformes, Columbiformes (9 and 14 spp)</t>
  </si>
  <si>
    <t>legal &amp; illegal</t>
  </si>
  <si>
    <t>2 (2 villages)</t>
  </si>
  <si>
    <t>Gray and Phan, 2011</t>
  </si>
  <si>
    <t>SP (35)</t>
  </si>
  <si>
    <t>E Phnom Prich Wildlife Sanctuary, Mondulkiri province, E Cambodia</t>
  </si>
  <si>
    <t>tropical rainforest (deciduous &amp; evergreen)</t>
  </si>
  <si>
    <t>Cetartiodactyla, Proboscidea, Carnivora, Rodentia &amp; Primata (12 spp)</t>
  </si>
  <si>
    <t>Kuehl et al., 2009</t>
  </si>
  <si>
    <t>SP (36)</t>
  </si>
  <si>
    <t>http://dx.doi.org/10.1016/j.biocon.2009.02.032</t>
  </si>
  <si>
    <t>Moukalaba Doudou National Park, SW Gabon</t>
  </si>
  <si>
    <t>(secondary) tropical rainforest</t>
  </si>
  <si>
    <t>Primata (2 spp)</t>
  </si>
  <si>
    <t>Stokes et al., 2010</t>
  </si>
  <si>
    <t>SP (37)</t>
  </si>
  <si>
    <t>http://dx.doi.org/10.1371/journal.pone.0010294</t>
  </si>
  <si>
    <t>N Congo</t>
  </si>
  <si>
    <t>Primates &amp; Proboscidea (3 spp)</t>
  </si>
  <si>
    <t>Altrichter et al., 2005</t>
  </si>
  <si>
    <t>SP (59)</t>
  </si>
  <si>
    <t>http://dx.doi.org/10.1016/j.biocon.2005.06.024</t>
  </si>
  <si>
    <t>Impenetrable, W Chaco province, N Argentina</t>
  </si>
  <si>
    <t>semi-arid forest</t>
  </si>
  <si>
    <t>Aquino et al., 2014</t>
  </si>
  <si>
    <t>SP (60)</t>
  </si>
  <si>
    <t>http://dx.doi.org/10.22386/ca.v4i2.78</t>
  </si>
  <si>
    <t>Northeastern Peruvian Amazonia, Peru</t>
  </si>
  <si>
    <t>tropical forest</t>
  </si>
  <si>
    <t>Cetartiodactyla and Perissodactyla (5 spp)</t>
  </si>
  <si>
    <t>subsistence &amp; comercial</t>
  </si>
  <si>
    <t>not specified</t>
  </si>
  <si>
    <t>Atickem et al., 2011</t>
  </si>
  <si>
    <t>SP (61)</t>
  </si>
  <si>
    <t>http://dx.doi.org/10.1111/j.1469-1795.2011.00437.x</t>
  </si>
  <si>
    <t>Bale mountains, CS Ethiopia</t>
  </si>
  <si>
    <t>montane grassland and woodland</t>
  </si>
  <si>
    <t>Cetartiodactyla (1 sp)</t>
  </si>
  <si>
    <t>Barnes et al., 1991</t>
  </si>
  <si>
    <t>SP (62)</t>
  </si>
  <si>
    <t>http://dx.doi.org/10.1111/j.1365-2028.1991.tb00820.x</t>
  </si>
  <si>
    <t>NE Gabon</t>
  </si>
  <si>
    <t>Baur, 1998</t>
  </si>
  <si>
    <t>TR (63)</t>
  </si>
  <si>
    <t>Maya Biosphere Reserve, Aldea Carmelita, Guatemala</t>
  </si>
  <si>
    <t>subtropical moist forest (1% agriculture + pastures)</t>
  </si>
  <si>
    <t>Cetartiodactyla, Carnivores, Perissodactyla (7 spp)</t>
  </si>
  <si>
    <t>subsistence and commercial</t>
  </si>
  <si>
    <t>Begazo and Bodmer 1998</t>
  </si>
  <si>
    <t>SP (64)</t>
  </si>
  <si>
    <t>http://dx.doi.org/10.1017/S0030605300030106</t>
  </si>
  <si>
    <t>Pacaya-Samiria National Reserve, Peru</t>
  </si>
  <si>
    <t>birds</t>
  </si>
  <si>
    <t>Galliformes (4 spp)</t>
  </si>
  <si>
    <t>legal in the vicinity, illegal in the protected area</t>
  </si>
  <si>
    <t>Begazo, 1999</t>
  </si>
  <si>
    <t>DT (65)</t>
  </si>
  <si>
    <t>Tamshiyacu-Tahuayo Communal Reserve (upland forest) and Pacaya-Samiria National Reserve (varzea forest), Peru</t>
  </si>
  <si>
    <t>Galliformes, Gruiformes, Tinamiformes (21 spp)</t>
  </si>
  <si>
    <t>4 (2 forest types)</t>
  </si>
  <si>
    <t>Blake et al., 2013</t>
  </si>
  <si>
    <t>SP (66)</t>
  </si>
  <si>
    <t>http://dx.doi.org/10.1111/acv.12012</t>
  </si>
  <si>
    <t>Yasuni National Park, Ecuador</t>
  </si>
  <si>
    <t>Primates, Rodentia, Cingulata, Cetartiodactyla, Pilosa, Galliformes, Columbiformes, Perissodactyla (15 spp)</t>
  </si>
  <si>
    <t>Blom et al., 2004</t>
  </si>
  <si>
    <t>SP (67)</t>
  </si>
  <si>
    <t>http://dx.doi.org/10.1111/j.0141-6707.2004.00441.x</t>
  </si>
  <si>
    <t>Dzanga-Ndoki National Park and Dzanga-Sangha Reserve, SW C.A.R.</t>
  </si>
  <si>
    <t>Proboscidea &amp; Primata (2 spp)</t>
  </si>
  <si>
    <t>road &amp; settlements</t>
  </si>
  <si>
    <t>Blom et al., 2005</t>
  </si>
  <si>
    <t>SP (68)</t>
  </si>
  <si>
    <t>http://dx.doi.org/10.1017/S0030605305001080</t>
  </si>
  <si>
    <t>Primata, Proboscidea &amp; Cetartiodactyla (10 spp)</t>
  </si>
  <si>
    <t>Brickle, 2002</t>
  </si>
  <si>
    <t>SP (69)</t>
  </si>
  <si>
    <t>http://dx.doi.org/10.1016/S0006-3207(01)00182-3</t>
  </si>
  <si>
    <t>Dak Lak province, SE Vietnam</t>
  </si>
  <si>
    <t>Galliformes (1 sp)</t>
  </si>
  <si>
    <t>Cabassu, 2010</t>
  </si>
  <si>
    <t>MT (70)</t>
  </si>
  <si>
    <t>Rio Platano Biosphere Reserve, Honduras</t>
  </si>
  <si>
    <t>Carnivores, Cetartiodactyla, Cingulata, Pilosa, Perissodactyla, Primates, Rodentia (18 spp); Galliformes (2 spp)</t>
  </si>
  <si>
    <t>Carrillo et al. 2000</t>
  </si>
  <si>
    <t>SP (71)</t>
  </si>
  <si>
    <t>http://dx.doi.org/10.1046/j.1523-1739.2000.99103.x</t>
  </si>
  <si>
    <t>Osa Peninsula, Costa Rica</t>
  </si>
  <si>
    <t>Primates, Rodentia, Cingulata, Didelphimorphia, Carnivores, Cetartiodactyla, Pilosa, Perissodactyla (20 spp)</t>
  </si>
  <si>
    <t>settlement &amp; roads</t>
  </si>
  <si>
    <t>legal (illegal in CNP)</t>
  </si>
  <si>
    <t>Chiarello, 1999</t>
  </si>
  <si>
    <t>SP (72)</t>
  </si>
  <si>
    <t>http://dx.doi.org/10.1016/S0006-3207(98)00130-X</t>
  </si>
  <si>
    <t>Linhares Forest Reserve (LFR) and Sooretama Biological Reserve (SBR), Espirito Santo Estate, Brazil</t>
  </si>
  <si>
    <t>Atlantic tropical rainforest</t>
  </si>
  <si>
    <t>Didelphimorphia, Cingulata, Primates, Carnivora, Perissodactyla, Rodentia, Lagomorpha (14 spp)</t>
  </si>
  <si>
    <t>Cronin, 2013</t>
  </si>
  <si>
    <t>DT (73)</t>
  </si>
  <si>
    <t>Gran Caldera–Southern Highlands Scientific Reserve, Bioko Island, Equatorial Guinea</t>
  </si>
  <si>
    <t>Primates (2, 5 and 6 spp, depending on the site)</t>
  </si>
  <si>
    <t>3 (three sites)</t>
  </si>
  <si>
    <t>Dasgupta and Hilaluddin, 2012</t>
  </si>
  <si>
    <t>SP (76)</t>
  </si>
  <si>
    <t>Pakke Tiger Reserve and surrounding forests, Arunachal Pradesh, India</t>
  </si>
  <si>
    <t>tropical rainforest (semi-evergreen foothill forests)</t>
  </si>
  <si>
    <t>Columbiformes, Bucerotiformes (5 spp)</t>
  </si>
  <si>
    <t>legal in the hunted sites, illegal in the protected sites</t>
  </si>
  <si>
    <t>3 (Two hunted + two control sites for pigeons, 1 extra dataset for hornbills)</t>
  </si>
  <si>
    <t>Davies et al., 2008</t>
  </si>
  <si>
    <t>BC (77)</t>
  </si>
  <si>
    <t>Gola Forest, Sierra Leone</t>
  </si>
  <si>
    <t>tropical rainforest and farmbush</t>
  </si>
  <si>
    <t>Illegal in Tiwai sites (control). Legal in the rest.</t>
  </si>
  <si>
    <t>2 (forest sites and farmbush sites)</t>
  </si>
  <si>
    <t>De Andrade Melo et al., 2015</t>
  </si>
  <si>
    <t>SP (78)</t>
  </si>
  <si>
    <t>http://dx.doi.org/10.2981/wlb.00095</t>
  </si>
  <si>
    <t>Virua National Park and Novo Paraiso Settlement, Roraima State, N Brazil</t>
  </si>
  <si>
    <t>Campina and Campinarana Forest</t>
  </si>
  <si>
    <t>Carnivores, Cetartiodactyla, Cingulata, Perissodactyla, Pilosa, Primates, Rodentia (24 spp)</t>
  </si>
  <si>
    <t>Derby, 2008</t>
  </si>
  <si>
    <t>DT (79)</t>
  </si>
  <si>
    <t>Dethier, 1995</t>
  </si>
  <si>
    <t>TR (80)</t>
  </si>
  <si>
    <t>http://dx.doi.org/10.1098/rspb.2013.0246</t>
  </si>
  <si>
    <t>Dja Reserve, S Cameroon</t>
  </si>
  <si>
    <t>Cetartiodactyla (7 spp)</t>
  </si>
  <si>
    <t>Doherty, 2005</t>
  </si>
  <si>
    <t>DT (81)</t>
  </si>
  <si>
    <t>Chiquibul Forest Reserve, Columbia River Forest Reserve and Bladen Nature Reserve, Belize</t>
  </si>
  <si>
    <t>Didelphimorphia, Rodentia, Carnivores, Cetartiodactyla, Pilosa (9 spp)</t>
  </si>
  <si>
    <t>Not specified</t>
  </si>
  <si>
    <t>Effiom et al., 2013</t>
  </si>
  <si>
    <t>SP (82)</t>
  </si>
  <si>
    <t>Afi Mt Wildlife Sanctuary, Mbe Mt Community Forest, Okwango division CRNP, Nigeria</t>
  </si>
  <si>
    <t>Cetartiodactyla (duikers and red river hog pooled into 1 guild)</t>
  </si>
  <si>
    <t>Effiom et al., 2014</t>
  </si>
  <si>
    <t>SP (83)</t>
  </si>
  <si>
    <t>http://dx.doi.org/10.1111/j.1600-0587.2013.00359.x</t>
  </si>
  <si>
    <t>Primates, Rodentia, Hyracoidea (5 spp and 1 pooled)</t>
  </si>
  <si>
    <t>Emmons, 1984</t>
  </si>
  <si>
    <t>SP (84)</t>
  </si>
  <si>
    <t>http://dx.doi.org/10.2307/2388054</t>
  </si>
  <si>
    <t>Madre de Dios, Peru</t>
  </si>
  <si>
    <t>Primates, Cingulata, Rodentia, Carnivora, Pilosa, Cetartiodactyla, Didelphimorphia (31 spp)</t>
  </si>
  <si>
    <t>Endo et al 2010</t>
  </si>
  <si>
    <t>SP (85)</t>
  </si>
  <si>
    <t>http://dx.doi.org/10.1111/j.1744-7429.2009.00546.x</t>
  </si>
  <si>
    <t>Manu National Park, Peru</t>
  </si>
  <si>
    <t>Primates, Cetartiodactyla, Rodentia, Carnivores (16 spp); Tinamiformes, Galliformes (7 spp)</t>
  </si>
  <si>
    <t>2 (two hunted sites)</t>
  </si>
  <si>
    <t>Espinosa-Andrade 2012</t>
  </si>
  <si>
    <t>DT (86)</t>
  </si>
  <si>
    <t>Yasuni Biosphere Reserve, Ecuador</t>
  </si>
  <si>
    <t>birds &amp; mammals</t>
  </si>
  <si>
    <t>Carnivores, Cetartiodactyla, Cingulata, Didelphimorphia, Galliformes, Gruiformes, Perissodactyla, Pilosa, Rodentia (24 spp)</t>
  </si>
  <si>
    <t>Eves, 2006</t>
  </si>
  <si>
    <t>DT (87)</t>
  </si>
  <si>
    <t>Boundaries of Nouabale-Ndoki National Park, Congo</t>
  </si>
  <si>
    <t>Cetartiodactyla (6 Cephalophus spp pooled)</t>
  </si>
  <si>
    <t>subsistence and/or commercial (depending on site)</t>
  </si>
  <si>
    <t>Fay and Agnagna, 1991</t>
  </si>
  <si>
    <t>SP (88)</t>
  </si>
  <si>
    <t>http://dx.doi.org/10.1111/j.1365-2028.1991.tb01000.x</t>
  </si>
  <si>
    <t>Proboscidea (1 sp.)</t>
  </si>
  <si>
    <t>Fay, 1991</t>
  </si>
  <si>
    <t>SP (89)</t>
  </si>
  <si>
    <t>http://dx.doi.org/10.1017/S0266467400005022</t>
  </si>
  <si>
    <t>SW and SE Central African Republic</t>
  </si>
  <si>
    <t>Fimbel et al, 2000</t>
  </si>
  <si>
    <t>BC (90)</t>
  </si>
  <si>
    <t>Lobeke Forest, SE Cameroon</t>
  </si>
  <si>
    <t>Cetartiodactyla (5 spp, 4 aggregated as “red duikers”)</t>
  </si>
  <si>
    <t>road and settlements</t>
  </si>
  <si>
    <t>legal and illegal</t>
  </si>
  <si>
    <t>Fragoso, 1991</t>
  </si>
  <si>
    <t>BC (91)</t>
  </si>
  <si>
    <t>Belize</t>
  </si>
  <si>
    <t>Perissodactyla (1 sp)</t>
  </si>
  <si>
    <t>Glanz, 1991</t>
  </si>
  <si>
    <t>BC (92)</t>
  </si>
  <si>
    <t>Barro Colorado Island and Pipeline Road, Panama</t>
  </si>
  <si>
    <t>Primates, Pilosa, Rodentia, Carnivora, Perissodactyla (14 spp)</t>
  </si>
  <si>
    <t>Hall et al., 1997</t>
  </si>
  <si>
    <t>SP (93)</t>
  </si>
  <si>
    <t>http://dx.doi.org/10.1111/j.1365-2028.1997.088-89088.x</t>
  </si>
  <si>
    <t>Kahuzi-Biega National Park and Kasese region, E D.R. Congo</t>
  </si>
  <si>
    <t>Hall et al., 1998</t>
  </si>
  <si>
    <t>SP (94)</t>
  </si>
  <si>
    <t>http://dx.doi.org/10.1023/A:1020375430965</t>
  </si>
  <si>
    <t>Primates (1 spp)</t>
  </si>
  <si>
    <t>Hart, 2000</t>
  </si>
  <si>
    <t>BC (95)</t>
  </si>
  <si>
    <t>Ituri Forest, R.D. Congo</t>
  </si>
  <si>
    <t>Cetartiodactyla (7 spp, but 5 aggregated in a single density estimate)</t>
  </si>
  <si>
    <t>Hayward, 2009</t>
  </si>
  <si>
    <t>SP (96)</t>
  </si>
  <si>
    <t>http://dx.doi.org/10.3957/056.039.0108</t>
  </si>
  <si>
    <t>Dwesa and Cwebe Nature Reserves, Eastern Cape, SE South Africa</t>
  </si>
  <si>
    <t>subtropical forest</t>
  </si>
  <si>
    <t>Cetartiodactyla, Perissodactyla, Rodents, Carnivores &amp; Primates (11 spp)</t>
  </si>
  <si>
    <t>2 (2 reserves)</t>
  </si>
  <si>
    <t>Hegerl et al. 2015</t>
  </si>
  <si>
    <t>SP (97)</t>
  </si>
  <si>
    <t>http://dx.doi.org/10.1017/S0030605315000836</t>
  </si>
  <si>
    <t>Udzungwa Mountains, Tanzania</t>
  </si>
  <si>
    <t>lowland deciduous to submontane and montane evergreen forests</t>
  </si>
  <si>
    <t>Carnivores, Cetartiodactyla, Primates, Rodents, Hyracoidea, Macroscelidea, Proboscidea (22 spp)</t>
  </si>
  <si>
    <t>Hema et al., 2011</t>
  </si>
  <si>
    <t>SP (98)</t>
  </si>
  <si>
    <t>http://dx.doi.org/10.1111/j.1365-2028.2010.01239.x</t>
  </si>
  <si>
    <t>Nazinga Game Ranch, Burkina Faso</t>
  </si>
  <si>
    <t>savannah woodlands and shrublands</t>
  </si>
  <si>
    <t>Proboscidea (1 sp)</t>
  </si>
  <si>
    <t>settlements</t>
  </si>
  <si>
    <t>3 (3 seasons)</t>
  </si>
  <si>
    <t>Hill et al., 1997</t>
  </si>
  <si>
    <t>SP (101)</t>
  </si>
  <si>
    <t>http://dx.doi.org/10.1046/j.1523-1739.1997.96048.x</t>
  </si>
  <si>
    <t>Mbaracayu Reserve, E Paraguay</t>
  </si>
  <si>
    <t>Primata, Perissodactyla, Cetartiodactyla, Rodentia, Carnivora &amp; Cingulata (4 spp for Ache, 8 spp for Non-Ache hunters)</t>
  </si>
  <si>
    <t>settlements (around reserve boundary)</t>
  </si>
  <si>
    <t>legal (Ache hunters) and illegal (Paraguayan and Brazilian peasants)</t>
  </si>
  <si>
    <t>Hurtado-Gonzales and Bodmer, 2004</t>
  </si>
  <si>
    <t>SP (102)</t>
  </si>
  <si>
    <t>http://dx.doi.org/10.1016/S0006-3207(03)00167-8</t>
  </si>
  <si>
    <t>Tamshiyacu-Tahuayo Communal Reserve, Loreto, NE Peru</t>
  </si>
  <si>
    <t>Cetartiodactyla (2 spp)</t>
  </si>
  <si>
    <t>Kano and Asato, 1994</t>
  </si>
  <si>
    <t>SP (103)</t>
  </si>
  <si>
    <t>https://doi.org/10.14989/68121</t>
  </si>
  <si>
    <t>Motaba River area, NE Congo</t>
  </si>
  <si>
    <t>Koerner et al. 2016</t>
  </si>
  <si>
    <t>SP (104)</t>
  </si>
  <si>
    <t>http://dx.doi.org/10.1111/1365-2664.12798</t>
  </si>
  <si>
    <t>Makokou (Ogooué-Ivindo province), NE northeastern Gabon</t>
  </si>
  <si>
    <t>Bucerotiformes, Cetartiodactyla, Galliformes, Musophagiformes, Primates, Proboscidea, Psittaciformes, Rodentia (28 spp)</t>
  </si>
  <si>
    <t>Kosydar et al., 2014</t>
  </si>
  <si>
    <t>SP (105)</t>
  </si>
  <si>
    <t>http://dx.doi.org/10.1177/194008291400700209</t>
  </si>
  <si>
    <t>Chiquitano Forest, S Bolivia</t>
  </si>
  <si>
    <t>tropical dry forest</t>
  </si>
  <si>
    <t>Didelphimorpha, Carnivora, Cingulata, Rodentia, Cetartiodactyla, Pilosa, Lagomorpha, Perissodactyla (23 spp)</t>
  </si>
  <si>
    <t>Kumpel et al., 2008</t>
  </si>
  <si>
    <t>SP (106)</t>
  </si>
  <si>
    <t>http://dx.doi.org/10.1007/s10764-008-9254-9</t>
  </si>
  <si>
    <t>Monte Mitra area, Monte Alén National Park, W Equatorial Guinea</t>
  </si>
  <si>
    <t>tropical rainforest (mature secondary evergreen humid closed forest)</t>
  </si>
  <si>
    <t>Primata (4 spp)</t>
  </si>
  <si>
    <t>Kun-Rodrigues et al., 2014</t>
  </si>
  <si>
    <t>SP (107)</t>
  </si>
  <si>
    <t>http://dx.doi.org/10.1002/ajp.22243</t>
  </si>
  <si>
    <t>Ankarafantsika National Park, N Madagascar</t>
  </si>
  <si>
    <t>dry deciduous forests and savannas</t>
  </si>
  <si>
    <t>Primata (1 sp)</t>
  </si>
  <si>
    <t>Lahm, 1993</t>
  </si>
  <si>
    <t>DT (108)</t>
  </si>
  <si>
    <t>Proboscidea, Primates, Cetartiodactyla, Carnivores, Rodentia (18 datapoints per distance interval); Carnivores (11 spp); Prosimians (4 spp, 1 datapoint each)</t>
  </si>
  <si>
    <t>Lahm et al., 1998</t>
  </si>
  <si>
    <t>SP (109)</t>
  </si>
  <si>
    <t>http://dx.doi.org/10.1017/S0266467498000443</t>
  </si>
  <si>
    <t>Primata (1 spp)</t>
  </si>
  <si>
    <t>Laurance et al., 2006</t>
  </si>
  <si>
    <t>SP (110)</t>
  </si>
  <si>
    <t>http://dx.doi.org/10.1111/j.1523-1739.2006.00420.x</t>
  </si>
  <si>
    <t>SW Gabon</t>
  </si>
  <si>
    <t>Cetartiodactyla &amp; Proboscidea (7 spp)</t>
  </si>
  <si>
    <t>Lin et al., 2008</t>
  </si>
  <si>
    <t>SP (111)</t>
  </si>
  <si>
    <t>http://dx.doi.org/10.1007/BF03195197</t>
  </si>
  <si>
    <t>S China</t>
  </si>
  <si>
    <t>tropical bamboo and humid conifer forest</t>
  </si>
  <si>
    <t>Lwanga, 2006</t>
  </si>
  <si>
    <t>SP (114)</t>
  </si>
  <si>
    <t>http://dx.doi.org/10.1111/j.1365-2028.2006.00629.x</t>
  </si>
  <si>
    <t>Kibale National Park, Uganda</t>
  </si>
  <si>
    <t>secondary tropical forest</t>
  </si>
  <si>
    <t>Magige et al, 2009</t>
  </si>
  <si>
    <t>SP (115)</t>
  </si>
  <si>
    <t>http://dx.doi.org/10.1007/s10531-008-9481-6</t>
  </si>
  <si>
    <t>Serengeti National Park and adjacent areas, N Tanzania</t>
  </si>
  <si>
    <t>savannah</t>
  </si>
  <si>
    <t>Struthioniformes (1)</t>
  </si>
  <si>
    <t>Marshall et al., 2005</t>
  </si>
  <si>
    <t>SP (116)</t>
  </si>
  <si>
    <t>http://dx.doi.org/10.1007/s10764-005-0011-z</t>
  </si>
  <si>
    <t>Uzungwa Mountains (West Kilombero Scarp Forest Reserve &amp; New Dabaga/Ulangambi Forest Reserve)</t>
  </si>
  <si>
    <t>montane forest</t>
  </si>
  <si>
    <t>Primates (3 spp)</t>
  </si>
  <si>
    <t>Marshall et al., 2006</t>
  </si>
  <si>
    <t>SP (117)</t>
  </si>
  <si>
    <t>http://dx.doi.org/10.1016/j.biocon.2005.11.025</t>
  </si>
  <si>
    <t>East Kalimantan, E Borneo</t>
  </si>
  <si>
    <t>Martinez-Morales, 1999</t>
  </si>
  <si>
    <t>SP (118)</t>
  </si>
  <si>
    <t>http://dx.doi.org/10.2307/1370441</t>
  </si>
  <si>
    <t>Cozumel Island, E Mexico</t>
  </si>
  <si>
    <t>Galliformes (1 spp)</t>
  </si>
  <si>
    <t>Mena et al.,2000</t>
  </si>
  <si>
    <t>BC (119)</t>
  </si>
  <si>
    <t>Quehueiri-ono community, Napo Province, Ecuador</t>
  </si>
  <si>
    <t>upland humid tropical forest</t>
  </si>
  <si>
    <t>Cetartiodactyla, Primates, Rodentia, Carnivores, Psittaciformes, Galliformes, Gruiformes, Piciformes &amp; Tinamiformes (25 spp)</t>
  </si>
  <si>
    <t>Muchaal and Ngandjui, 1999</t>
  </si>
  <si>
    <t>SP (120)</t>
  </si>
  <si>
    <t>http://dx.doi.org/10.1046/j.1523-1739.1999.013002385.x</t>
  </si>
  <si>
    <t>W Dja Reserve, S Cameroon</t>
  </si>
  <si>
    <t>Cetartiodactyla, Primata, Carnivora, Rodentia &amp; Pholidota (17 spp)</t>
  </si>
  <si>
    <t>Nielsen, 2006</t>
  </si>
  <si>
    <t>SP (121)</t>
  </si>
  <si>
    <t>http://dx.doi.org/10.1016/j.biocon.2005.10.017</t>
  </si>
  <si>
    <t>Cetartiodactyla, Rodentia (3 spp)</t>
  </si>
  <si>
    <t>Nijman, 2004</t>
  </si>
  <si>
    <t>SP (122)</t>
  </si>
  <si>
    <t>Kayan Mentarang National Park, East Kalimantan, E Borneo</t>
  </si>
  <si>
    <t>tropical rainforest (primary, old secondary, young secondary)</t>
  </si>
  <si>
    <t>Noss, 2000a</t>
  </si>
  <si>
    <t>BC (123)</t>
  </si>
  <si>
    <t>Dzangha-Sangha Special Reserve, CAR</t>
  </si>
  <si>
    <t>Cetartiodactyla (4 spp)</t>
  </si>
  <si>
    <t>Noss, 2000b</t>
  </si>
  <si>
    <t>BC (124)</t>
  </si>
  <si>
    <t>El Chaco, Bolivia</t>
  </si>
  <si>
    <t>xerophilous forest</t>
  </si>
  <si>
    <t>Cetartiodactyla, Cingulata, Perissodactyla (10 spp)</t>
  </si>
  <si>
    <t>Novack, 2003</t>
  </si>
  <si>
    <t>MT (125)</t>
  </si>
  <si>
    <t>Maya Biosphere Reserve, Guatemala</t>
  </si>
  <si>
    <t>lowland tropical rainforest</t>
  </si>
  <si>
    <t>Cetartiodactyla, Carnivora &amp; Rodentia (6 spp, 2 spp aggregated in 1 group)</t>
  </si>
  <si>
    <t>Paciulli, 2004</t>
  </si>
  <si>
    <t>DT (129)</t>
  </si>
  <si>
    <t>Mentawai Islands, Indonesia</t>
  </si>
  <si>
    <t>lowland evergreen tropical rainforest (unlogged, logged 10 y, logged 20 y)</t>
  </si>
  <si>
    <t>Primates (4 spp)</t>
  </si>
  <si>
    <t>3 (three forest types)</t>
  </si>
  <si>
    <t>Parry et al., 2009</t>
  </si>
  <si>
    <t>SP (130)</t>
  </si>
  <si>
    <t>http://dx.doi.org/10.1111/j.1523-1739.2009.01224.x</t>
  </si>
  <si>
    <t>Jari region, NE Brazilian Amazon</t>
  </si>
  <si>
    <t>Landscape matrix of upland primary terra firme forests, secondary forests, industrial plantation forests</t>
  </si>
  <si>
    <t>Primates, Rodentia, Cetartiodactyla (7 spp); Galliformes, Tinamiformes (6 spp)</t>
  </si>
  <si>
    <t>Perera-Romero et al., 2015</t>
  </si>
  <si>
    <t>BC (131)</t>
  </si>
  <si>
    <t>Caura River, Venezuela</t>
  </si>
  <si>
    <t>Didelphimorphia, Carnivores, Gruiformes, Galliformes, Cetartiodactyla, Perissodactyla, Cingulata, Pilosa, Rodentia (21 spp)</t>
  </si>
  <si>
    <t>Peres and Nascimento, 2006</t>
  </si>
  <si>
    <t>SP (132)</t>
  </si>
  <si>
    <t>http://dx.doi.org/10.1007/s10531-005-5406-9</t>
  </si>
  <si>
    <t>A ‘Ukre village, SE Amazon, Brazil</t>
  </si>
  <si>
    <t>Primata, Perissodactyla, Cetartiodactyla, Carnivora, Rodentia, Cingulata, Galliformes, Gruiformes &amp; Tinamiformes (18 spp)</t>
  </si>
  <si>
    <t>Peres, 1990</t>
  </si>
  <si>
    <t>SP (133)</t>
  </si>
  <si>
    <t>http://dx.doi.org/10.1016/0006-3207(90)90041-M</t>
  </si>
  <si>
    <t>Several sites in Brazilian Amazon</t>
  </si>
  <si>
    <t>Primates (15 spp)</t>
  </si>
  <si>
    <t>4 (4 hunted sites)</t>
  </si>
  <si>
    <t>Peres, 1996</t>
  </si>
  <si>
    <t>SP (134)</t>
  </si>
  <si>
    <t>http://dx.doi.org/10.1016/0006-3207(96)00010-9</t>
  </si>
  <si>
    <t>CW and E Brazil</t>
  </si>
  <si>
    <t>Cetartiodactyla (1 spp)</t>
  </si>
  <si>
    <t>settlement &amp; rivers</t>
  </si>
  <si>
    <t>9 (9 hunted sites)</t>
  </si>
  <si>
    <t>Poulsen et al., 2011</t>
  </si>
  <si>
    <t>SP (137)</t>
  </si>
  <si>
    <t>http://dx.doi.org/10.1890/10-1083.1</t>
  </si>
  <si>
    <t>Kabo Forest Reserve, D.R. Congo</t>
  </si>
  <si>
    <t>Bucerotiformes, Cetartiodactyla, Primates, Musophagiformes, Rodentia, Proboscidea, Psittaciformes (19 spp)</t>
  </si>
  <si>
    <t>s1</t>
  </si>
  <si>
    <t>Remis, 2000</t>
  </si>
  <si>
    <t>SP (138)</t>
  </si>
  <si>
    <t>http://dx.doi.org/10.1017/S0030605300030908</t>
  </si>
  <si>
    <t>Dzanga-Sangha Forest Reserve (DSFR), Central African Republic</t>
  </si>
  <si>
    <t>Cetartiodactyla, Primates, Proboscidea (3 species and 2 pooled)</t>
  </si>
  <si>
    <t>Remis and Kpanou, 2010</t>
  </si>
  <si>
    <t>SP (139)</t>
  </si>
  <si>
    <t>http://dx.doi.org/10.1111/j.1365-2028.2010.01229.x</t>
  </si>
  <si>
    <t>Dzanga-Sangha Reserve, Central African Republic</t>
  </si>
  <si>
    <t>Cetartiodactyla, Primates, Proboscidea (12 spp; 4 duiker spp pooled in one)</t>
  </si>
  <si>
    <t>legal and illegal, depending on the site</t>
  </si>
  <si>
    <t>Rosin and Swamy, 2013</t>
  </si>
  <si>
    <t>SP (142)</t>
  </si>
  <si>
    <t>http://dx.doi.org/10.1896/044.020.0105</t>
  </si>
  <si>
    <t>Madre de Dios river basin, Peru</t>
  </si>
  <si>
    <t>Primates (5 spp)</t>
  </si>
  <si>
    <t>Rovero et al. ,2012</t>
  </si>
  <si>
    <t>SP (143)</t>
  </si>
  <si>
    <t>http://dx.doi.org/10.1016/j.biocon.2011.09.017</t>
  </si>
  <si>
    <t>Udzungwa Mountains, South-Central Tanzania</t>
  </si>
  <si>
    <t>lowland deciduous forest and evergreen moist montane forest</t>
  </si>
  <si>
    <t>Primates (6 spp)</t>
  </si>
  <si>
    <t>Schmid and Rasoloarison, 2002</t>
  </si>
  <si>
    <t>BC (144)</t>
  </si>
  <si>
    <t>xerophytic forests and scrubs</t>
  </si>
  <si>
    <t>Suarez et al., 2013</t>
  </si>
  <si>
    <t>SP (145)</t>
  </si>
  <si>
    <t>http://dx.doi.org/10.1111/j.1469-1795.2012.00592.x</t>
  </si>
  <si>
    <t>Yasuní Biosphere Reserve, Ecuador</t>
  </si>
  <si>
    <t>tropical rainforest (terra firme)</t>
  </si>
  <si>
    <t>Primates, Cetartiodactyla, Rodentia, Galliformes, Gruiformes, Piciformes (21 spp)</t>
  </si>
  <si>
    <t>Thiollay, 1984</t>
  </si>
  <si>
    <t>SP (146)</t>
  </si>
  <si>
    <t>?</t>
  </si>
  <si>
    <t>French Guiana</t>
  </si>
  <si>
    <t>Accipitridae, Cathartiformes, Falconidae (16 spp)</t>
  </si>
  <si>
    <t>Thiollay, 2005</t>
  </si>
  <si>
    <t>SP (147)</t>
  </si>
  <si>
    <t>http://dx.doi.org/10.1007/s10531-004-8412-4</t>
  </si>
  <si>
    <t>Galliformes, Psittaciformes, Tinamiformes, Gruiformes (15 spp, 5 individual spp, 4 spp groups)</t>
  </si>
  <si>
    <t>Thoisy et al., 2005</t>
  </si>
  <si>
    <t>SP (148)</t>
  </si>
  <si>
    <t>http://dx.doi.org/10.1017/S0030605305000384</t>
  </si>
  <si>
    <t>N French Guiana</t>
  </si>
  <si>
    <t>Primata (6 spp)</t>
  </si>
  <si>
    <t>Topp-Jørgensen et al., 2009</t>
  </si>
  <si>
    <t>SP (149)</t>
  </si>
  <si>
    <t>http://dx.doi.org/10.1177/194008290900200108</t>
  </si>
  <si>
    <t>Uzungwa Mountains, Tanzania</t>
  </si>
  <si>
    <t>Primates, Cetartiodactyla, Proboscidea, Tubulidentata, Rodentia (11 spp)</t>
  </si>
  <si>
    <t>Urquiza-Haas et al. 2011</t>
  </si>
  <si>
    <t>SP (150)</t>
  </si>
  <si>
    <t>http://dx.doi.org/10.1111/j.1469-1795.2010.00426.x</t>
  </si>
  <si>
    <t>Yucatán Peninsula, Mexico</t>
  </si>
  <si>
    <t>Galliformes, Tinamiformes, Piciformes, Primates, Rodentia, Cetartiodactyla, Carnivores, Pilosa (17 spp)</t>
  </si>
  <si>
    <t>2 (2 control sites according to forest cover)</t>
  </si>
  <si>
    <t>Van Vliet and Nasi, 2008</t>
  </si>
  <si>
    <t>SP (151)</t>
  </si>
  <si>
    <t>http://dx.doi.org/10.1007/s10531-007-9300-5</t>
  </si>
  <si>
    <t>Primates, Cetartiodactyla &amp; Proboscidea (12 spp)</t>
  </si>
  <si>
    <t>Vinitpornsawan, 2013</t>
  </si>
  <si>
    <t>DT (152)</t>
  </si>
  <si>
    <t>Thung Yai Naresuan Wildlife Sanctuary, Thailand</t>
  </si>
  <si>
    <t>Carnivora, Proboscidea, Perissodactyla, Cetartiodactyla (8 spp)</t>
  </si>
  <si>
    <t>2 (sign survey and camera trap survey)</t>
  </si>
  <si>
    <t>Wang et al., 2007</t>
  </si>
  <si>
    <t>SP (153)</t>
  </si>
  <si>
    <t>http://dx.doi.org/10.1111/j.1744-7429.2007.00275.x</t>
  </si>
  <si>
    <t>Dja Reserve and Kompia Community Forest, S Cameroon</t>
  </si>
  <si>
    <t>tropical rainforest (44% mature semi-deciduous lowland forest, 20% abandoned fields/secondary forests, 26% swamps, 10% active crop plots)</t>
  </si>
  <si>
    <t>Wang, 2008</t>
  </si>
  <si>
    <t>DT (154)</t>
  </si>
  <si>
    <t>Bucerotiformes (6 spp)</t>
  </si>
  <si>
    <t>Weber, 2005</t>
  </si>
  <si>
    <t>DT (155)</t>
  </si>
  <si>
    <t>Calakmul Biosphere Reserve and buffer area, Mexico</t>
  </si>
  <si>
    <t>Wright et al., 2000</t>
  </si>
  <si>
    <t>SP (158)</t>
  </si>
  <si>
    <t>http://dx.doi.org/10.1046/j.1523-1739.2000.98333.x</t>
  </si>
  <si>
    <t>Several sites, Panama</t>
  </si>
  <si>
    <t>Secondary lowland tropical rainforests (evergreen &amp; wet, age 80–150 y)</t>
  </si>
  <si>
    <t>Cetartiodactyla, Didelphimorphia, Carnivores, Primates, Pilosa, Rodentia (11 spp)</t>
  </si>
  <si>
    <t>subsistence &amp; commercial (not clearly reported)</t>
  </si>
  <si>
    <t>Yasuoka, 2006</t>
  </si>
  <si>
    <t>SP (159)</t>
  </si>
  <si>
    <t>Site adjacent to Nki and Boumba-Bek National Parks, Cameroon</t>
  </si>
  <si>
    <t>Cetartiodactyla, Proboscidea (5 spp, red duikers pooled)</t>
  </si>
  <si>
    <t>settlement (along logging road)</t>
  </si>
  <si>
    <t>Linder (2008), Linder et al. (2011)</t>
  </si>
  <si>
    <t>DT, SP (112, 113)</t>
  </si>
  <si>
    <t>Korup National Park, SW Cameroon</t>
  </si>
  <si>
    <t>Nuñez-Iturri, 2007; Nuñez-Iturri and Howe, 2007; Nuñez-Iturri et al., 2008</t>
  </si>
  <si>
    <t>DT, SP (126–128)</t>
  </si>
  <si>
    <t>126, 127, 128</t>
  </si>
  <si>
    <t>Madre de Dios State, SE Peru</t>
  </si>
  <si>
    <t>lowland mature tropical forest</t>
  </si>
  <si>
    <t>Rodentia, Cetartiodactyla, Primates, Carnivora (35 spp)</t>
  </si>
  <si>
    <t>Pia, 2011; Pia et al., 2013</t>
  </si>
  <si>
    <t>DT, SP (135, 136)</t>
  </si>
  <si>
    <t>135, 136</t>
  </si>
  <si>
    <t>Quebrada del Condorito National Park, C Argentina</t>
  </si>
  <si>
    <t>high tussock grasslands and shrublands, with granite outcrops</t>
  </si>
  <si>
    <t>Carnivores (2 spp)</t>
  </si>
  <si>
    <t>2 (outside and inside the National Park)</t>
  </si>
  <si>
    <t>Reyna-Hurtado, 2002; Reyna-Hurtado and Tanner, 2007</t>
  </si>
  <si>
    <t>MT, SP (140, 141)</t>
  </si>
  <si>
    <t>140, 141</t>
  </si>
  <si>
    <t>Calakmul Biosphere Reserve and buffer areas, Mexico</t>
  </si>
  <si>
    <t>Cetartiodactyla, Perissodactyla (5 spp)</t>
  </si>
  <si>
    <t>Wilkie et al., 1990</t>
  </si>
  <si>
    <t>DT, SP (156, 157)</t>
  </si>
  <si>
    <t>156, 157</t>
  </si>
  <si>
    <t>Ituri Forest, E D.R. Congo</t>
  </si>
  <si>
    <t>Cetartiodactyla, Proboscidea, Carnivora, Primata, Pholidota &amp; Rodentia (17 spp)</t>
  </si>
  <si>
    <t>Cullen Jr. et al., 2000, 2001</t>
  </si>
  <si>
    <t>SP (74, 75)</t>
  </si>
  <si>
    <t>74,75</t>
  </si>
  <si>
    <t>Mata de Planalto, São Paulo, S Brazil</t>
  </si>
  <si>
    <t>Atlantic tropical deciduous forest</t>
  </si>
  <si>
    <t>Perissodactyla, Cetartiodactyla, Cingulata, Rodentia, Carnivora &amp; Primates (11 spp); Galliformes &amp; Tinamiformes (2 spp)</t>
  </si>
  <si>
    <t>4 (one per hunted site)</t>
  </si>
  <si>
    <t>Henschel et al., 2011; Henschel, 2008</t>
  </si>
  <si>
    <t>SP; DT (99, 100)</t>
  </si>
  <si>
    <t>99, 100</t>
  </si>
  <si>
    <t>Central Gabon</t>
  </si>
  <si>
    <t>Carnivora, Proboscidea, Primates, Cetartiodactyla (11 spp)</t>
  </si>
  <si>
    <t>Reference</t>
  </si>
  <si>
    <t>Study</t>
  </si>
  <si>
    <t>Common_nam</t>
  </si>
  <si>
    <t>SpID</t>
  </si>
  <si>
    <t>Species</t>
  </si>
  <si>
    <t>BM</t>
  </si>
  <si>
    <t>Guild</t>
  </si>
  <si>
    <t>Longitude</t>
  </si>
  <si>
    <t>Latitude</t>
  </si>
  <si>
    <t>N hunted</t>
  </si>
  <si>
    <t>N control</t>
  </si>
  <si>
    <t>Abund hunted</t>
  </si>
  <si>
    <t>Abund control</t>
  </si>
  <si>
    <t>SD hunted</t>
  </si>
  <si>
    <t>SD control</t>
  </si>
  <si>
    <t>unit</t>
  </si>
  <si>
    <t>Distance_Km</t>
  </si>
  <si>
    <t>RR</t>
  </si>
  <si>
    <t>SamplingVar</t>
  </si>
  <si>
    <t>HumanPopDens</t>
  </si>
  <si>
    <t>TravelTime</t>
  </si>
  <si>
    <t>Cullen Jr. et al., 2000; 2001</t>
  </si>
  <si>
    <t>Birds</t>
  </si>
  <si>
    <t>Tinamous</t>
  </si>
  <si>
    <t>Crypturellus spp.</t>
  </si>
  <si>
    <t>Tinamiformes</t>
  </si>
  <si>
    <t>Frug</t>
  </si>
  <si>
    <t>S</t>
  </si>
  <si>
    <t>S America</t>
  </si>
  <si>
    <t>Brazil</t>
  </si>
  <si>
    <t>Yes</t>
  </si>
  <si>
    <t>Settlement</t>
  </si>
  <si>
    <t>n/10 km</t>
  </si>
  <si>
    <t>Atlantic deciduous forest</t>
  </si>
  <si>
    <t>Rusty-margined guan</t>
  </si>
  <si>
    <t>Penelope superciliaris</t>
  </si>
  <si>
    <t>Galliformes</t>
  </si>
  <si>
    <t>Mammals</t>
  </si>
  <si>
    <t>Brown Howler Monkey</t>
  </si>
  <si>
    <t>Alouatta guariba</t>
  </si>
  <si>
    <t>Primates</t>
  </si>
  <si>
    <t>Herb</t>
  </si>
  <si>
    <t>Azara's Agouti</t>
  </si>
  <si>
    <t>Dasyprocta azarae</t>
  </si>
  <si>
    <t>Rodentia</t>
  </si>
  <si>
    <t>Omn</t>
  </si>
  <si>
    <t>Nine-banded Armadillo</t>
  </si>
  <si>
    <t>Dasypus novemcinctus</t>
  </si>
  <si>
    <t>Cingulata</t>
  </si>
  <si>
    <t>Inver</t>
  </si>
  <si>
    <t>Black lion tamarin</t>
  </si>
  <si>
    <t>Leontopithecus chrysopygus</t>
  </si>
  <si>
    <t>n/km2</t>
  </si>
  <si>
    <t>South American red and gray brocket deer</t>
  </si>
  <si>
    <t>Mazama americana and M. gouazoubira</t>
  </si>
  <si>
    <t>Cetartiodactyla</t>
  </si>
  <si>
    <t>South American Coati</t>
  </si>
  <si>
    <t>Nasua nasua</t>
  </si>
  <si>
    <t>Carnivores</t>
  </si>
  <si>
    <t>Collared peccary</t>
  </si>
  <si>
    <t>Pecari tajacu</t>
  </si>
  <si>
    <t>Tufted capuchin</t>
  </si>
  <si>
    <t>Sapajus apella</t>
  </si>
  <si>
    <t>Guianan Squirrel</t>
  </si>
  <si>
    <t>Sciurus aestuans</t>
  </si>
  <si>
    <t>Lowland tapir</t>
  </si>
  <si>
    <t>Tapirus terrestris</t>
  </si>
  <si>
    <t>Perissodactyla</t>
  </si>
  <si>
    <t>White-lipped peccary</t>
  </si>
  <si>
    <t>Tayassu pecari</t>
  </si>
  <si>
    <t>No</t>
  </si>
  <si>
    <t>SC</t>
  </si>
  <si>
    <t>Road &amp; Settlement</t>
  </si>
  <si>
    <t>n/10km</t>
  </si>
  <si>
    <t>Atlantic forest</t>
  </si>
  <si>
    <t>Atlantic Titi</t>
  </si>
  <si>
    <t>Callicebus personatus</t>
  </si>
  <si>
    <t>Geoffroy’s Tufted-ear Marmoset</t>
  </si>
  <si>
    <t>Callithrix geoffroyi</t>
  </si>
  <si>
    <t>Spotted paca</t>
  </si>
  <si>
    <t>Cuniculus paca</t>
  </si>
  <si>
    <t>Red-rumped agouti</t>
  </si>
  <si>
    <t>Dasyprocta leporina</t>
  </si>
  <si>
    <t>Brazilian Common Opossum</t>
  </si>
  <si>
    <t>Didelphis aurita</t>
  </si>
  <si>
    <t>Didelphimorphia</t>
  </si>
  <si>
    <t>Carn</t>
  </si>
  <si>
    <t>Jaguarundi</t>
  </si>
  <si>
    <t>Puma yagouaroundi</t>
  </si>
  <si>
    <t>Tapeti</t>
  </si>
  <si>
    <t>Sylvilagus brasiliensis</t>
  </si>
  <si>
    <t>Lagomorpha</t>
  </si>
  <si>
    <t>South american tapir</t>
  </si>
  <si>
    <t>Guianan Red Howler Monkey</t>
  </si>
  <si>
    <t>Alouatta macconnelli</t>
  </si>
  <si>
    <t>Camparina Forest</t>
  </si>
  <si>
    <t>Northern night monkey</t>
  </si>
  <si>
    <t>Aotus trivirgatus</t>
  </si>
  <si>
    <t>Black spider monkey</t>
  </si>
  <si>
    <t>Ateles paniscus</t>
  </si>
  <si>
    <t>Crab-eating fox</t>
  </si>
  <si>
    <t>Cerdocyon thous</t>
  </si>
  <si>
    <t>Bearded Saki</t>
  </si>
  <si>
    <t>Chiropotes chiropotes</t>
  </si>
  <si>
    <t>Tayra</t>
  </si>
  <si>
    <t>Eira barbara</t>
  </si>
  <si>
    <t>Red brocket deer</t>
  </si>
  <si>
    <t>Mazama americana</t>
  </si>
  <si>
    <t>Amazonian Brown Brocket,</t>
  </si>
  <si>
    <t>Mazama nemorivaga</t>
  </si>
  <si>
    <t>Red acouchy</t>
  </si>
  <si>
    <t>Myoprocta acouchy</t>
  </si>
  <si>
    <t>Jaguar</t>
  </si>
  <si>
    <t>Panthera onca</t>
  </si>
  <si>
    <t>White-faced saki</t>
  </si>
  <si>
    <t>Pithecia pithecia</t>
  </si>
  <si>
    <t>Kinkajou</t>
  </si>
  <si>
    <t>Potos flavus</t>
  </si>
  <si>
    <t>Golden-handed tamarin</t>
  </si>
  <si>
    <t>Saguinus midas</t>
  </si>
  <si>
    <t>Common Squirrel Monkey</t>
  </si>
  <si>
    <t>Saimiri sciureus</t>
  </si>
  <si>
    <t>Southern Tamandua</t>
  </si>
  <si>
    <t>Tamandua tetradactyla</t>
  </si>
  <si>
    <t>Pilosa</t>
  </si>
  <si>
    <t>Coquerel's Sifaka</t>
  </si>
  <si>
    <t>Propithecus coquereli</t>
  </si>
  <si>
    <t>Africa</t>
  </si>
  <si>
    <t>Madagascar</t>
  </si>
  <si>
    <t>Road</t>
  </si>
  <si>
    <t>Dry Deciduous Forest</t>
  </si>
  <si>
    <t>Campbell's monkey</t>
  </si>
  <si>
    <t>Cercopithecus campbelli</t>
  </si>
  <si>
    <t>Sierra Leone</t>
  </si>
  <si>
    <t>Farmbush</t>
  </si>
  <si>
    <t>Diana monkey</t>
  </si>
  <si>
    <t>Cercopithecus diana</t>
  </si>
  <si>
    <t>Spot-nosed monkey</t>
  </si>
  <si>
    <t>Cercopithecus petaurista</t>
  </si>
  <si>
    <t>Sooty mangabey</t>
  </si>
  <si>
    <t>Cercocebus atys</t>
  </si>
  <si>
    <t>Mountain nyala</t>
  </si>
  <si>
    <t>Tragelaphus buxtoni</t>
  </si>
  <si>
    <t>C</t>
  </si>
  <si>
    <t>Ethiopia</t>
  </si>
  <si>
    <t>n  pellets/plot</t>
  </si>
  <si>
    <t>Grasslands</t>
  </si>
  <si>
    <t>Pia et al., 2013</t>
  </si>
  <si>
    <t>Culpeo fox</t>
  </si>
  <si>
    <t>Pseudalopex culpaeus smithersi</t>
  </si>
  <si>
    <t>Argentina</t>
  </si>
  <si>
    <t>signs/transect</t>
  </si>
  <si>
    <t>Puma</t>
  </si>
  <si>
    <t>Puma concolor</t>
  </si>
  <si>
    <t>HarveyÆs duiker</t>
  </si>
  <si>
    <t>Cephalophus harveyi</t>
  </si>
  <si>
    <t>Tanzania</t>
  </si>
  <si>
    <t>n phots/trap day</t>
  </si>
  <si>
    <t>Montane forest</t>
  </si>
  <si>
    <t>Abbott's duiker</t>
  </si>
  <si>
    <t>Cephalophus spadix</t>
  </si>
  <si>
    <t>Suni</t>
  </si>
  <si>
    <t>Neotragus moschatus</t>
  </si>
  <si>
    <t>Water mongoose</t>
  </si>
  <si>
    <t>Atilax paludinosus</t>
  </si>
  <si>
    <t>n events/100 camera trap days</t>
  </si>
  <si>
    <t>Bushy-tailed mongoose</t>
  </si>
  <si>
    <t>Bdeogale crassicauda</t>
  </si>
  <si>
    <t>Harvey's duiker</t>
  </si>
  <si>
    <t>Sanje River Mangabey</t>
  </si>
  <si>
    <t>Cercocebus sanjei</t>
  </si>
  <si>
    <t>Blue Monkey</t>
  </si>
  <si>
    <t>Cercopithecus mitis</t>
  </si>
  <si>
    <t>Giant pouched rat</t>
  </si>
  <si>
    <t>Cricetomys gambianus</t>
  </si>
  <si>
    <t>Eastern Tree Hyrax</t>
  </si>
  <si>
    <t>Dendrohyrax validus</t>
  </si>
  <si>
    <t>Hyracoidea</t>
  </si>
  <si>
    <t>Servaline genet</t>
  </si>
  <si>
    <t>Genetta servalina</t>
  </si>
  <si>
    <t>African Elephant</t>
  </si>
  <si>
    <t>Loxodonta africana</t>
  </si>
  <si>
    <t>Proboscidea</t>
  </si>
  <si>
    <t>Honey Badger</t>
  </si>
  <si>
    <t>Mellivora capensis</t>
  </si>
  <si>
    <t>African palm civet</t>
  </si>
  <si>
    <t>Nandinia binotata</t>
  </si>
  <si>
    <t>Leopard</t>
  </si>
  <si>
    <t>Panthera pardus</t>
  </si>
  <si>
    <t>Svynnerton's Bush Squirrel</t>
  </si>
  <si>
    <t>Paraxerus vexillarius</t>
  </si>
  <si>
    <t>Four-toed Sengi</t>
  </si>
  <si>
    <t>Petrodromus tetradactylus</t>
  </si>
  <si>
    <t>Macroscelidea</t>
  </si>
  <si>
    <t>Bushpig</t>
  </si>
  <si>
    <t>Potamochoerus larvatus</t>
  </si>
  <si>
    <t>Udzungwa Red Colobus</t>
  </si>
  <si>
    <t>Procolobus gordonorum</t>
  </si>
  <si>
    <t>Grey-faced Sengi</t>
  </si>
  <si>
    <t>Rhynchocyon udzungwensis</t>
  </si>
  <si>
    <t>Buffalo</t>
  </si>
  <si>
    <t>Syncerus caffer</t>
  </si>
  <si>
    <t>Greater cane rat</t>
  </si>
  <si>
    <t>Thryonomys swinderianus</t>
  </si>
  <si>
    <t>Bushbuck</t>
  </si>
  <si>
    <t>Tragelaphus scriptus</t>
  </si>
  <si>
    <t>groups/km</t>
  </si>
  <si>
    <t>Angolan Colobus</t>
  </si>
  <si>
    <t>Colobus angolensis</t>
  </si>
  <si>
    <t>n/km</t>
  </si>
  <si>
    <t>Blue duiker</t>
  </si>
  <si>
    <t>Philantomba monticola</t>
  </si>
  <si>
    <t>Yellow Baboon</t>
  </si>
  <si>
    <t>Papio cynocephalus</t>
  </si>
  <si>
    <t>trails/km</t>
  </si>
  <si>
    <t>n burrows/ha</t>
  </si>
  <si>
    <t>Aardvark</t>
  </si>
  <si>
    <t>Orycteropus afer</t>
  </si>
  <si>
    <t>Tubulidentata</t>
  </si>
  <si>
    <t>Blue duiker and Suni</t>
  </si>
  <si>
    <t>Philantomba monticola, Neotragus moschatus</t>
  </si>
  <si>
    <t>Burkina Faso</t>
  </si>
  <si>
    <t>dungs/km</t>
  </si>
  <si>
    <t>Savannah</t>
  </si>
  <si>
    <t>Ostrich</t>
  </si>
  <si>
    <t>Struthio camelus</t>
  </si>
  <si>
    <t>Struthioniformes</t>
  </si>
  <si>
    <t>South Africa</t>
  </si>
  <si>
    <t>n/100m</t>
  </si>
  <si>
    <t>Subtropical forest</t>
  </si>
  <si>
    <t>Vervet monkey</t>
  </si>
  <si>
    <t>Chlorocebus aethiops</t>
  </si>
  <si>
    <t>Blue wildebeest</t>
  </si>
  <si>
    <t>Connochaetes taurinus</t>
  </si>
  <si>
    <t>African and golden mole rat</t>
  </si>
  <si>
    <t>Cryptomys hottentotus and Amblysomus hottentotus</t>
  </si>
  <si>
    <t>Burchell's zebra</t>
  </si>
  <si>
    <t>Equus quagga</t>
  </si>
  <si>
    <t>Cape genet</t>
  </si>
  <si>
    <t>Genetta tigrina</t>
  </si>
  <si>
    <t>Common duiker</t>
  </si>
  <si>
    <t>Sylvicapra grimmia</t>
  </si>
  <si>
    <t>White rhinoceros</t>
  </si>
  <si>
    <t>Ceratotherium simum</t>
  </si>
  <si>
    <t>Cape porcupine</t>
  </si>
  <si>
    <t>Hystrix africaeaustralis</t>
  </si>
  <si>
    <t>Eland</t>
  </si>
  <si>
    <t>Tragelaphus oryx</t>
  </si>
  <si>
    <t>Peru</t>
  </si>
  <si>
    <t>Tropical forest</t>
  </si>
  <si>
    <t>Grey brocket deer</t>
  </si>
  <si>
    <t>Mazama gouazoubira</t>
  </si>
  <si>
    <t>Gabon</t>
  </si>
  <si>
    <t>droppings/km2</t>
  </si>
  <si>
    <t>Red howler monkey</t>
  </si>
  <si>
    <t>Alouatta seniculus</t>
  </si>
  <si>
    <t>Colombia</t>
  </si>
  <si>
    <t>Collared Titi Monkey</t>
  </si>
  <si>
    <t>Callicebus torquatus</t>
  </si>
  <si>
    <t>White-fronted capuchin</t>
  </si>
  <si>
    <t>Cebus albifrons</t>
  </si>
  <si>
    <t>Humboldt's Woolly Monkey</t>
  </si>
  <si>
    <t>Lagothrix lagotricha</t>
  </si>
  <si>
    <t>Geoffroy's monk saki</t>
  </si>
  <si>
    <t>Pithecia monachus</t>
  </si>
  <si>
    <t>Tamarins</t>
  </si>
  <si>
    <t>Saguinus spp</t>
  </si>
  <si>
    <t>Great curassow</t>
  </si>
  <si>
    <t>Crax rubra</t>
  </si>
  <si>
    <t>C America</t>
  </si>
  <si>
    <t>Guatemala</t>
  </si>
  <si>
    <t>Ocellated Turkey</t>
  </si>
  <si>
    <t>Meleagris ocellata</t>
  </si>
  <si>
    <t xml:space="preserve"> Plain Chachalaca</t>
  </si>
  <si>
    <t>Ortalis vetula</t>
  </si>
  <si>
    <t>calls/km</t>
  </si>
  <si>
    <t>Crested guan</t>
  </si>
  <si>
    <t>Penelope purpurascens</t>
  </si>
  <si>
    <t>Great tinamou</t>
  </si>
  <si>
    <t>Tinamus major</t>
  </si>
  <si>
    <t>Red and Yucatan Brown Brocket deer</t>
  </si>
  <si>
    <t>Mazama americana and M. pandora</t>
  </si>
  <si>
    <t>White-nosed Coati</t>
  </si>
  <si>
    <t>Nasua narica</t>
  </si>
  <si>
    <t>White-tailed deer</t>
  </si>
  <si>
    <t>Odocoileus virginianus</t>
  </si>
  <si>
    <t>Jaguar and puma</t>
  </si>
  <si>
    <t>Panthera onca and Puma concolor</t>
  </si>
  <si>
    <t>signs/km</t>
  </si>
  <si>
    <t>Baird's tapir</t>
  </si>
  <si>
    <t>Tapirus bairdii</t>
  </si>
  <si>
    <t>Razor-billed curassow</t>
  </si>
  <si>
    <t>Mitu tuberosum</t>
  </si>
  <si>
    <t>Speckled chacalaca</t>
  </si>
  <si>
    <t>Ortalis guttata</t>
  </si>
  <si>
    <t>Spix's guan</t>
  </si>
  <si>
    <t>Penelope jacquacu</t>
  </si>
  <si>
    <t>Blu-throated piping guan</t>
  </si>
  <si>
    <t>Pipile cumanensis</t>
  </si>
  <si>
    <t>Cinereus tinamou</t>
  </si>
  <si>
    <t>Crypturellus cinereus</t>
  </si>
  <si>
    <t>n/100km</t>
  </si>
  <si>
    <t>Undulated tinamou</t>
  </si>
  <si>
    <t>Crypturellus undulatus</t>
  </si>
  <si>
    <t>Pale-winged trumpeter</t>
  </si>
  <si>
    <t>Psophia leucoptera</t>
  </si>
  <si>
    <t>Gruiformes</t>
  </si>
  <si>
    <t>Bartlet's tinamou</t>
  </si>
  <si>
    <t>Crypturellus bartletti</t>
  </si>
  <si>
    <t>Variegated tinamou</t>
  </si>
  <si>
    <t>Crypturellus variegatus</t>
  </si>
  <si>
    <t>White-throated tinamou</t>
  </si>
  <si>
    <t>Tinamus guttatus</t>
  </si>
  <si>
    <t>Amazons</t>
  </si>
  <si>
    <t>Amazona spp</t>
  </si>
  <si>
    <t>Psittaciformes</t>
  </si>
  <si>
    <t>Anhinga</t>
  </si>
  <si>
    <t>Anhinga anhinga</t>
  </si>
  <si>
    <t>Suliformes</t>
  </si>
  <si>
    <t>Macaw</t>
  </si>
  <si>
    <t>Ara spp</t>
  </si>
  <si>
    <t>Cocoi Heron</t>
  </si>
  <si>
    <t>Ardea cocoi</t>
  </si>
  <si>
    <t>Pelecaniformes</t>
  </si>
  <si>
    <t>Muscovy duck</t>
  </si>
  <si>
    <t>Cairina moschata</t>
  </si>
  <si>
    <t>Anseriformes</t>
  </si>
  <si>
    <t>Boat-billed Heron</t>
  </si>
  <si>
    <t>Cochlearius cochlearius</t>
  </si>
  <si>
    <t>Grey-fronted dove</t>
  </si>
  <si>
    <t>Leptotila rufaxila</t>
  </si>
  <si>
    <t>Columbiformes</t>
  </si>
  <si>
    <t>Starred wood quail</t>
  </si>
  <si>
    <t>Odontophorus stellarus</t>
  </si>
  <si>
    <t>Neotropical cormorant</t>
  </si>
  <si>
    <t>Phalacrocorax brasilianus</t>
  </si>
  <si>
    <t>Toucan</t>
  </si>
  <si>
    <t>Ramphastos spp</t>
  </si>
  <si>
    <t>Piciformes</t>
  </si>
  <si>
    <t>Cameroon</t>
  </si>
  <si>
    <t>C.A.R.- Congo</t>
  </si>
  <si>
    <t>D.R. Congo</t>
  </si>
  <si>
    <t>Salvin's Curassow</t>
  </si>
  <si>
    <t>Mitu salvini</t>
  </si>
  <si>
    <t>Ecuador</t>
  </si>
  <si>
    <t>photos/100 trapdays</t>
  </si>
  <si>
    <t>Plumbeous Pigeon</t>
  </si>
  <si>
    <t>Patagioenas plumbea</t>
  </si>
  <si>
    <t>Trinidad Piping-guan</t>
  </si>
  <si>
    <t>Pipile pipile</t>
  </si>
  <si>
    <t>White-bellied Spider Monkey</t>
  </si>
  <si>
    <t>Ateles belzebuth</t>
  </si>
  <si>
    <t>Black Agouti</t>
  </si>
  <si>
    <t>Dasyprocta fuliginosa</t>
  </si>
  <si>
    <t>Green acouchy</t>
  </si>
  <si>
    <t>Myoprocta pratti</t>
  </si>
  <si>
    <t>Giant anteater</t>
  </si>
  <si>
    <t>Myrmecophaga tridactyla</t>
  </si>
  <si>
    <t>Crab-eating Raccoon</t>
  </si>
  <si>
    <t>Procyon cancrivorus</t>
  </si>
  <si>
    <t>Western gorilla</t>
  </si>
  <si>
    <t>Gorilla gorilla</t>
  </si>
  <si>
    <t>Central African Republic</t>
  </si>
  <si>
    <t>n 500 m blocks with signs/total n 500 m blocks</t>
  </si>
  <si>
    <t>Red duikers</t>
  </si>
  <si>
    <t>Cephalophus callipygus, C. dorsalis, C. leucogaster and C. nigrifrons</t>
  </si>
  <si>
    <t>Agile mangabey</t>
  </si>
  <si>
    <t>Cercocebus agilis</t>
  </si>
  <si>
    <t>Moustached Monkey</t>
  </si>
  <si>
    <t>Cercopithecus cephus</t>
  </si>
  <si>
    <t>Putty-nosed monkey</t>
  </si>
  <si>
    <t>Cercopithecus nictitans</t>
  </si>
  <si>
    <t>Crowned monkey</t>
  </si>
  <si>
    <t>Cercopithecus pogonias</t>
  </si>
  <si>
    <t>Grey-cheeked mangabey</t>
  </si>
  <si>
    <t>Lophocebus albigena</t>
  </si>
  <si>
    <t>Chimpanzee</t>
  </si>
  <si>
    <t>Pan troglodytes</t>
  </si>
  <si>
    <t>Green peafowl</t>
  </si>
  <si>
    <t>Pavo muticus</t>
  </si>
  <si>
    <t>Asia</t>
  </si>
  <si>
    <t>Vietnam</t>
  </si>
  <si>
    <t>n calls/point count</t>
  </si>
  <si>
    <t>Honduras</t>
  </si>
  <si>
    <t>Howler monkey</t>
  </si>
  <si>
    <t>Alouatta palliata</t>
  </si>
  <si>
    <t>Spider monkey</t>
  </si>
  <si>
    <t>Ateles geoffroyi</t>
  </si>
  <si>
    <t>White-faced capuchin</t>
  </si>
  <si>
    <t>Cebus capuchinus</t>
  </si>
  <si>
    <t>Central American Agouti</t>
  </si>
  <si>
    <t>Dasyprocta punctata</t>
  </si>
  <si>
    <t>Ocelot</t>
  </si>
  <si>
    <t>Leopardus pardalis</t>
  </si>
  <si>
    <t>Margay and Jaguarundi</t>
  </si>
  <si>
    <t>Leopardus wiedii and Herpailurus yaguarondi</t>
  </si>
  <si>
    <t>White -tailed deer</t>
  </si>
  <si>
    <t>Northern tamandua</t>
  </si>
  <si>
    <t>Tamandua mexicana</t>
  </si>
  <si>
    <t>White lipped peccary (groups)</t>
  </si>
  <si>
    <t>Costa Rica</t>
  </si>
  <si>
    <t>tracks/km</t>
  </si>
  <si>
    <t>Black-eared Opossum</t>
  </si>
  <si>
    <t>Didelphis marsupialis</t>
  </si>
  <si>
    <t>Margay</t>
  </si>
  <si>
    <t>Leopardus wiedii</t>
  </si>
  <si>
    <t>Neotropical Otter</t>
  </si>
  <si>
    <t>Lontra longicaudis</t>
  </si>
  <si>
    <t>Crab-eating and Northern Raccoons</t>
  </si>
  <si>
    <t>Procyon cancrivorous and P. lotor</t>
  </si>
  <si>
    <t>Black-crowned Central American Squirrel Monkey</t>
  </si>
  <si>
    <t>Saimiri oerstedii</t>
  </si>
  <si>
    <t>Red-eared Monkey</t>
  </si>
  <si>
    <t>Cercopithecus erythrotis</t>
  </si>
  <si>
    <t>Equatorial Guinea</t>
  </si>
  <si>
    <t>primate groups/km</t>
  </si>
  <si>
    <t>Black Colobus</t>
  </si>
  <si>
    <t>Colobus satanas</t>
  </si>
  <si>
    <t>Drill</t>
  </si>
  <si>
    <t>Mandrillus leucophaeus</t>
  </si>
  <si>
    <t>Pennant's Red Colobus</t>
  </si>
  <si>
    <t>Procolobus pennantii</t>
  </si>
  <si>
    <t>Green imperial pigeon</t>
  </si>
  <si>
    <t>Ducula aenea</t>
  </si>
  <si>
    <t>India</t>
  </si>
  <si>
    <t>Mountain Imperial Pigeon</t>
  </si>
  <si>
    <t>Ducula badia</t>
  </si>
  <si>
    <t>Wreathed Hornbill</t>
  </si>
  <si>
    <t>Aceros undulatus</t>
  </si>
  <si>
    <t>Bucerotiformes</t>
  </si>
  <si>
    <t>Oriental Pied Hornbill</t>
  </si>
  <si>
    <t>Anthracoceros albirostris</t>
  </si>
  <si>
    <t>Great Pied Hornbill</t>
  </si>
  <si>
    <t>Buceros bicornis</t>
  </si>
  <si>
    <t xml:space="preserve"> King Colobus</t>
  </si>
  <si>
    <t>Colobus polykomos</t>
  </si>
  <si>
    <t>Olive colobus</t>
  </si>
  <si>
    <t>Procolobus verus</t>
  </si>
  <si>
    <t>Western red colobus</t>
  </si>
  <si>
    <t>Pliocolobus badius</t>
  </si>
  <si>
    <t>Yellow-crowned Amazon</t>
  </si>
  <si>
    <t>Amazona ochrocephala</t>
  </si>
  <si>
    <t>Great green macaw</t>
  </si>
  <si>
    <t>Ara ambiguus</t>
  </si>
  <si>
    <t>Scarlet Macaw</t>
  </si>
  <si>
    <t>Ara macao</t>
  </si>
  <si>
    <t>Parakeets</t>
  </si>
  <si>
    <t>Aratinga spp</t>
  </si>
  <si>
    <t>Ground doves</t>
  </si>
  <si>
    <t>Claravis mondetoura and C. pretiosa</t>
  </si>
  <si>
    <t>Quails</t>
  </si>
  <si>
    <t>Odontophorus spp</t>
  </si>
  <si>
    <t>Penelope purpurascens aequatorialis</t>
  </si>
  <si>
    <t>White-crowned parrot</t>
  </si>
  <si>
    <t>Pionus senilis</t>
  </si>
  <si>
    <t>Collared Aracari</t>
  </si>
  <si>
    <t>Pteroglossus torquatus</t>
  </si>
  <si>
    <t>chestnut-mandibled toucan</t>
  </si>
  <si>
    <t>Ramphastos ambiguus swainsonii</t>
  </si>
  <si>
    <t>Keel-billed toucan</t>
  </si>
  <si>
    <t>Ramphastos sulfuratus</t>
  </si>
  <si>
    <t>Striped Hog-nosed Skunk</t>
  </si>
  <si>
    <t>Conepatus semistriatus</t>
  </si>
  <si>
    <t>white-nosed coati</t>
  </si>
  <si>
    <t>Squirrels</t>
  </si>
  <si>
    <t>Sciurus spp</t>
  </si>
  <si>
    <t>Common Ground-dove</t>
  </si>
  <si>
    <t>Columbina passerina</t>
  </si>
  <si>
    <t>Red Titi Monkey</t>
  </si>
  <si>
    <t>Callicebus discolor</t>
  </si>
  <si>
    <t>Poeppig's Woolly Monkey</t>
  </si>
  <si>
    <t>Lagothrix poeppigii</t>
  </si>
  <si>
    <t>Golden-mantle Saddleback Tamarin</t>
  </si>
  <si>
    <t>Saguinus tripartitus</t>
  </si>
  <si>
    <t>Peters' Duiker</t>
  </si>
  <si>
    <t>Cephalophus callipygus</t>
  </si>
  <si>
    <t>Bay Duiker</t>
  </si>
  <si>
    <t>Cephalophus dorsalis</t>
  </si>
  <si>
    <t>White-bellied Duiker</t>
  </si>
  <si>
    <t>Cephalophus leucogaster</t>
  </si>
  <si>
    <t>Black-fronted duiker</t>
  </si>
  <si>
    <t>Cephalophus nigrifons</t>
  </si>
  <si>
    <t>Yellow back duiker</t>
  </si>
  <si>
    <t>Cephalophus silvicultor</t>
  </si>
  <si>
    <t>obs/hour</t>
  </si>
  <si>
    <t>Opossums</t>
  </si>
  <si>
    <t>Didelphis spp.</t>
  </si>
  <si>
    <t>Blue duiker, red duikers and red river hog</t>
  </si>
  <si>
    <t>Philantomba monticola, Cephalophus spp. and Potamochoerus porcus</t>
  </si>
  <si>
    <t>Nigeria</t>
  </si>
  <si>
    <t>Squirrel</t>
  </si>
  <si>
    <t>Anomalurus sp</t>
  </si>
  <si>
    <t>mean no. records/km</t>
  </si>
  <si>
    <t>African brush-tailed porcupine</t>
  </si>
  <si>
    <t>Atherurus africanus</t>
  </si>
  <si>
    <t>Mona monkey</t>
  </si>
  <si>
    <t>Cercopithecus mona</t>
  </si>
  <si>
    <t>Rock hyrax</t>
  </si>
  <si>
    <t>Procavia capensis</t>
  </si>
  <si>
    <t>Howler monkeys</t>
  </si>
  <si>
    <t>Alouatta spp</t>
  </si>
  <si>
    <t>groups/10 km</t>
  </si>
  <si>
    <t>Ateles spp</t>
  </si>
  <si>
    <t>Western lowland oligo</t>
  </si>
  <si>
    <t>Bassaricyon medius</t>
  </si>
  <si>
    <t>Brown-throated sloth</t>
  </si>
  <si>
    <t>Bradypus variegatus</t>
  </si>
  <si>
    <t>Titi monkey sp</t>
  </si>
  <si>
    <t>Callicebus spp</t>
  </si>
  <si>
    <t>Black-shouldered Opossum</t>
  </si>
  <si>
    <t>Caluromysiops irrupta</t>
  </si>
  <si>
    <t>Pygmy marmoset</t>
  </si>
  <si>
    <t>Cebuella pygmaea</t>
  </si>
  <si>
    <t>Amazon Bamboo Rat</t>
  </si>
  <si>
    <t>Dactylomys dactylinus</t>
  </si>
  <si>
    <t>Ocelot and Margay</t>
  </si>
  <si>
    <t>Leopardus pardalis and L. wiedii</t>
  </si>
  <si>
    <t>Long furred wooly mouse opossum</t>
  </si>
  <si>
    <t>Marmosa demerarae</t>
  </si>
  <si>
    <t>Opossum</t>
  </si>
  <si>
    <t>Marmosa spp</t>
  </si>
  <si>
    <t>White-bellied slender mouse opossum  and Delicate slender mouse opossum</t>
  </si>
  <si>
    <t>Marmosops noctivagus and M. parvidens</t>
  </si>
  <si>
    <t xml:space="preserve"> Brown Four-eyed Opossum</t>
  </si>
  <si>
    <t>Metachirus nudicaudatus</t>
  </si>
  <si>
    <t>Rice rat sp</t>
  </si>
  <si>
    <t>Oryzomys spp.</t>
  </si>
  <si>
    <t>Gray Four-eyed Opossum</t>
  </si>
  <si>
    <t>Philander opossum</t>
  </si>
  <si>
    <t>Kinkajou or Oligo</t>
  </si>
  <si>
    <t>Potos flavus or Bassaricyon spp</t>
  </si>
  <si>
    <t>Spiny rats</t>
  </si>
  <si>
    <t>Proechimys spp</t>
  </si>
  <si>
    <t>Squirrel monkeys</t>
  </si>
  <si>
    <t>Saimiri spp</t>
  </si>
  <si>
    <t>Small squirrels</t>
  </si>
  <si>
    <t>Sciurus spp (small)</t>
  </si>
  <si>
    <t>Small Tinamous</t>
  </si>
  <si>
    <t>Crypturellus atrocapillus, C. bartletti, C. cinereus, C.soui, C. strigulosus, C. undulatus and C. variegatus</t>
  </si>
  <si>
    <t>Marbled Wood quail</t>
  </si>
  <si>
    <t>Odontophorus gujanensis</t>
  </si>
  <si>
    <t>Spix's Guan</t>
  </si>
  <si>
    <t>Blue-throated Piping-guan</t>
  </si>
  <si>
    <t>Large Tinamous</t>
  </si>
  <si>
    <t>Tinamus major, T. guttatus and T. tao</t>
  </si>
  <si>
    <t>Bolivian red howler</t>
  </si>
  <si>
    <t>Alouatta sara</t>
  </si>
  <si>
    <t>Peruvian spider monkey</t>
  </si>
  <si>
    <t>Ateles chamek</t>
  </si>
  <si>
    <t>Brown Titi Monkey</t>
  </si>
  <si>
    <t>Callicebus brunneus</t>
  </si>
  <si>
    <t>Gray wooly monkey</t>
  </si>
  <si>
    <t>Lagothrix cana</t>
  </si>
  <si>
    <t>Brown-mantled tamarin</t>
  </si>
  <si>
    <t>Saguinus fuscicollis</t>
  </si>
  <si>
    <t>Black-capped squirrel monkey</t>
  </si>
  <si>
    <t>Saimiri boliviensis</t>
  </si>
  <si>
    <t>Brown capuchin</t>
  </si>
  <si>
    <t>Southern Amazon Red and Sanborn's Squirrels</t>
  </si>
  <si>
    <t>Sciurus spadiceus and S.sanborni.</t>
  </si>
  <si>
    <t>Bush dog</t>
  </si>
  <si>
    <t>Speothos venaticus</t>
  </si>
  <si>
    <t>n/100 trap days</t>
  </si>
  <si>
    <t>Nocturnal curassow</t>
  </si>
  <si>
    <t>Nothocrax urumutum</t>
  </si>
  <si>
    <t>Grey-winged Trumpeter</t>
  </si>
  <si>
    <t>Psophia crepitans</t>
  </si>
  <si>
    <t>Short-eared dog</t>
  </si>
  <si>
    <t>Atelocynus microtis</t>
  </si>
  <si>
    <t>n/100km2</t>
  </si>
  <si>
    <t>Giant Armadillo</t>
  </si>
  <si>
    <t>Priodontes maximus</t>
  </si>
  <si>
    <t>Cephalophus callipygus, C. dorsalis, C. leucogaster, C. monticola, C. nigrifrons and C. sylvicultor</t>
  </si>
  <si>
    <t>Congo</t>
  </si>
  <si>
    <t>kg/hr_n/hr</t>
  </si>
  <si>
    <t>dung piles/km2</t>
  </si>
  <si>
    <t>Panama</t>
  </si>
  <si>
    <t>sightings/km</t>
  </si>
  <si>
    <t>Sloth</t>
  </si>
  <si>
    <t>Bradypus variegatus, Choloepus hoffmanni</t>
  </si>
  <si>
    <t>Capuchin sp</t>
  </si>
  <si>
    <t>Cebus spp</t>
  </si>
  <si>
    <t>Agoutis</t>
  </si>
  <si>
    <t>Dasyprocta spp</t>
  </si>
  <si>
    <t>Red brocket deer and Central American Red brocket deer</t>
  </si>
  <si>
    <t>Mazama americana and M. temama</t>
  </si>
  <si>
    <t>Collared peccary and White-lipped peccary</t>
  </si>
  <si>
    <t>Tayassu pecari and Pecari tajacu</t>
  </si>
  <si>
    <t>Gaur</t>
  </si>
  <si>
    <t>Bos gaurus</t>
  </si>
  <si>
    <t>Cambodia</t>
  </si>
  <si>
    <t>n/100 trap nights</t>
  </si>
  <si>
    <t>Banteng</t>
  </si>
  <si>
    <t>Bos javanicus</t>
  </si>
  <si>
    <t>Dhole</t>
  </si>
  <si>
    <t>Cuon alpinus</t>
  </si>
  <si>
    <t>Asian elephant</t>
  </si>
  <si>
    <t>Elephas maximus</t>
  </si>
  <si>
    <t>East Asian porcupine</t>
  </si>
  <si>
    <t>Hystrix brachyura</t>
  </si>
  <si>
    <t>Pig-tailed macaque</t>
  </si>
  <si>
    <t>Macaca nemestrina</t>
  </si>
  <si>
    <t>Red muntjac</t>
  </si>
  <si>
    <t>Muntiacus muntjak</t>
  </si>
  <si>
    <t>Common palm civet</t>
  </si>
  <si>
    <t>Paradoxurus hermaphroditus</t>
  </si>
  <si>
    <t>Leopard cat</t>
  </si>
  <si>
    <t>Prionailurus bengalensis</t>
  </si>
  <si>
    <t>Wild boar</t>
  </si>
  <si>
    <t>Sus scrofa</t>
  </si>
  <si>
    <t>Large Indian civet</t>
  </si>
  <si>
    <t>Viverra zibetha</t>
  </si>
  <si>
    <t>n dung piles/km2</t>
  </si>
  <si>
    <t>Grauer's gorilla</t>
  </si>
  <si>
    <t>Gorilla beringei</t>
  </si>
  <si>
    <t>n nests/km2</t>
  </si>
  <si>
    <t>Red duikers &amp; Chevrotain</t>
  </si>
  <si>
    <t>Cephalophus dorsalis, C. leucogaster, C. nigrifrons, C. weynsi, Hyemoschus aquaticus</t>
  </si>
  <si>
    <t>African golden cat</t>
  </si>
  <si>
    <t>Caracal aurata</t>
  </si>
  <si>
    <t>n photos/100 trap day</t>
  </si>
  <si>
    <t>Cephalophus callipygus, C. dorsalis and C. ogilby</t>
  </si>
  <si>
    <t>African civet</t>
  </si>
  <si>
    <t>Civettictis civetta</t>
  </si>
  <si>
    <t>Red river hog</t>
  </si>
  <si>
    <t>Potamochoerus porcus</t>
  </si>
  <si>
    <t>Forest buffalo</t>
  </si>
  <si>
    <t>Syncerus caffer nanus</t>
  </si>
  <si>
    <t>Bongo</t>
  </si>
  <si>
    <t>Tragelaphus spekii</t>
  </si>
  <si>
    <t>Paraguay</t>
  </si>
  <si>
    <t>n/200m</t>
  </si>
  <si>
    <t>Azara's capuchin</t>
  </si>
  <si>
    <t>Sapajus cay</t>
  </si>
  <si>
    <t>nests/km</t>
  </si>
  <si>
    <t>Black guineafowl</t>
  </si>
  <si>
    <t>Agelastes niger</t>
  </si>
  <si>
    <t>White-thighed hornbill</t>
  </si>
  <si>
    <t>Bycanistes albotibialis</t>
  </si>
  <si>
    <t>Piping hornbill</t>
  </si>
  <si>
    <t>Bycanistes fistulator</t>
  </si>
  <si>
    <t>Black-casqued hornbill</t>
  </si>
  <si>
    <t>Ceratogymna atrata</t>
  </si>
  <si>
    <t>Blue-plantain eater</t>
  </si>
  <si>
    <t>Corythaeola cristata</t>
  </si>
  <si>
    <t>Musophagiformes</t>
  </si>
  <si>
    <t>Latham's forest francolin</t>
  </si>
  <si>
    <t>Francolinus lathami</t>
  </si>
  <si>
    <t>African grey parrot</t>
  </si>
  <si>
    <t>Psittacus erithacus</t>
  </si>
  <si>
    <t>Yellow-billed turaco</t>
  </si>
  <si>
    <t>Tauraco macrorhynchus</t>
  </si>
  <si>
    <t>Green turaco</t>
  </si>
  <si>
    <t>Tauraco persa</t>
  </si>
  <si>
    <t>Red-billed dwarf hornbill</t>
  </si>
  <si>
    <t>Tockus camurus</t>
  </si>
  <si>
    <t>African pied hornbill</t>
  </si>
  <si>
    <t>Tockus fasciatus</t>
  </si>
  <si>
    <t>White-crested hornbill</t>
  </si>
  <si>
    <t>Tropicranus albocristatus</t>
  </si>
  <si>
    <t>Medium-sized duikers</t>
  </si>
  <si>
    <t>Cephalophus callipygus, C. leucogaster, and C. dorsalis castaneus</t>
  </si>
  <si>
    <t>Yellow-backed duiker</t>
  </si>
  <si>
    <t>Guereza</t>
  </si>
  <si>
    <t>Colobus guereza</t>
  </si>
  <si>
    <t>dungs/km2</t>
  </si>
  <si>
    <t>African giant squirrel</t>
  </si>
  <si>
    <t>Protoxerus stangeri</t>
  </si>
  <si>
    <t>Other squirrels</t>
  </si>
  <si>
    <t>Xerinae spp.</t>
  </si>
  <si>
    <t>Bolivia</t>
  </si>
  <si>
    <t>n photos/100 trap nights</t>
  </si>
  <si>
    <t>n traps/100 trap nights</t>
  </si>
  <si>
    <t>Yellow armadillo</t>
  </si>
  <si>
    <t>Euphractus sexcinctus</t>
  </si>
  <si>
    <t>Southern Three-banded Armadillo</t>
  </si>
  <si>
    <t>Tolypeutes matacus</t>
  </si>
  <si>
    <t>n nests/100 m</t>
  </si>
  <si>
    <t>Southern Needle-clawed Galago, Allen's Galago, Demidoff's Dwarf Galago and Calabar Angwantibo</t>
  </si>
  <si>
    <t>Euoticus elegantulus, Galago alleni, Galagoides demidovii, Arctocebus calabarensis</t>
  </si>
  <si>
    <t>Water Chevrotain</t>
  </si>
  <si>
    <t>Hyemoschus aquaticus</t>
  </si>
  <si>
    <t>Cephalophus callipygus, C. dorsalis, C. leucogaster, C. nigrifrons and C. ogilbyi</t>
  </si>
  <si>
    <t>n 50-m plots with signs/1km transect</t>
  </si>
  <si>
    <t>Asian Elephant</t>
  </si>
  <si>
    <t>China</t>
  </si>
  <si>
    <t>n/plot</t>
  </si>
  <si>
    <t>Linder et al., 2011</t>
  </si>
  <si>
    <t>Red-capped Mangabey</t>
  </si>
  <si>
    <t>Cercocebus torquatus</t>
  </si>
  <si>
    <t>Weyns's Duiker</t>
  </si>
  <si>
    <t>Cephalophus weynsi</t>
  </si>
  <si>
    <t>Uganda</t>
  </si>
  <si>
    <t>Bornean orangutan</t>
  </si>
  <si>
    <t>Pongo pygmaeus morio</t>
  </si>
  <si>
    <t>Indonesia</t>
  </si>
  <si>
    <t>nests/km2</t>
  </si>
  <si>
    <t>Cozumel curassow</t>
  </si>
  <si>
    <t>Crax rubra griscomi</t>
  </si>
  <si>
    <t>Mexico</t>
  </si>
  <si>
    <t>Mealy Amazon</t>
  </si>
  <si>
    <t>Amazona farinosa</t>
  </si>
  <si>
    <t>Cuvier's Toucan</t>
  </si>
  <si>
    <t>Ramphastos cuvieri</t>
  </si>
  <si>
    <t>Spix's Night Monkey</t>
  </si>
  <si>
    <t>Aotus vociferans</t>
  </si>
  <si>
    <t>Red-bellied Titi Monkey</t>
  </si>
  <si>
    <t>Callicebus moloch</t>
  </si>
  <si>
    <t>Southern Amazon Red Squirrel</t>
  </si>
  <si>
    <t>Sciurus spadiceus</t>
  </si>
  <si>
    <t xml:space="preserve">n/5km </t>
  </si>
  <si>
    <t>Mongoose</t>
  </si>
  <si>
    <t>Herpestidae spp</t>
  </si>
  <si>
    <t>Hose’s Langur</t>
  </si>
  <si>
    <t>Presbytis hosei</t>
  </si>
  <si>
    <t>groups/km2</t>
  </si>
  <si>
    <t>C.A.R.</t>
  </si>
  <si>
    <t>Nunez-Iturri et al., 2007</t>
  </si>
  <si>
    <t xml:space="preserve"> Black-headed Night Monkey</t>
  </si>
  <si>
    <t>Aotus nigriceps</t>
  </si>
  <si>
    <t>Northern olingo</t>
  </si>
  <si>
    <t>Bassaricyon gabbii</t>
  </si>
  <si>
    <t>Imperator Tamarin</t>
  </si>
  <si>
    <t>Saguinus imperator</t>
  </si>
  <si>
    <t>Bolivian Squirrel</t>
  </si>
  <si>
    <t>Sciurus ignitus</t>
  </si>
  <si>
    <t>Kloss’s Gibbon</t>
  </si>
  <si>
    <t>Hylobates klossii</t>
  </si>
  <si>
    <t>Pagai Island Macaque</t>
  </si>
  <si>
    <t>Macaca pagensis</t>
  </si>
  <si>
    <t>Mentawai Langur</t>
  </si>
  <si>
    <t>Presbytis potenziani</t>
  </si>
  <si>
    <t>Pig-tailed Snub-nosed Monkey</t>
  </si>
  <si>
    <t>Simias concolor</t>
  </si>
  <si>
    <t>Black curassow</t>
  </si>
  <si>
    <t>Crax alector</t>
  </si>
  <si>
    <t>Little Chachalaca</t>
  </si>
  <si>
    <t>Ortalis motmot</t>
  </si>
  <si>
    <t>Marail Guan</t>
  </si>
  <si>
    <t>Penelope marail</t>
  </si>
  <si>
    <t>Tinamus spp</t>
  </si>
  <si>
    <t>Venezuela</t>
  </si>
  <si>
    <t>events/1000 trap nights</t>
  </si>
  <si>
    <t>Crestless Curassow</t>
  </si>
  <si>
    <t>Mitu tomentosum</t>
  </si>
  <si>
    <t>Southern Naked-Tailed Armadillo</t>
  </si>
  <si>
    <t>Cabassous unicinctus</t>
  </si>
  <si>
    <t>Greater Long-nosed Armadillo and Nine-banded armadillo</t>
  </si>
  <si>
    <t>Dasypus kappleri and D. novemcinctus</t>
  </si>
  <si>
    <t>Red Brocket and Amazonian Brown brocket deer</t>
  </si>
  <si>
    <t>Mazama americana and M. nemorivaga</t>
  </si>
  <si>
    <t>Razor-billed curassow and other Curassows</t>
  </si>
  <si>
    <t>Mitu tuberosum and Crax spp</t>
  </si>
  <si>
    <t>River</t>
  </si>
  <si>
    <t>n groups/10 km</t>
  </si>
  <si>
    <t>Trumpeteers</t>
  </si>
  <si>
    <t>Psophia spp</t>
  </si>
  <si>
    <t>Coppery and Red-bellied Titi Monkeys</t>
  </si>
  <si>
    <t>Callicebus cupreus and C. moloch</t>
  </si>
  <si>
    <t>White-fronted Capuchin</t>
  </si>
  <si>
    <t>Moustached tamarin and Imperator Tamarin</t>
  </si>
  <si>
    <t>Saguinus mystax and imperator</t>
  </si>
  <si>
    <t>Bare-faced and Razor-billed Curassows</t>
  </si>
  <si>
    <t>Crax fasciolata and Mitu tuberosum</t>
  </si>
  <si>
    <t>White-crested Guan and Rusty-margined guan</t>
  </si>
  <si>
    <t>Penelope pileata and P. superciliaris</t>
  </si>
  <si>
    <t>Red-throated Piping-guan</t>
  </si>
  <si>
    <t>Pipile cujubi</t>
  </si>
  <si>
    <t>Dark-winged Trumpeter</t>
  </si>
  <si>
    <t>Psophia viridis</t>
  </si>
  <si>
    <t>Tinamus spp.</t>
  </si>
  <si>
    <t>Red-handed Howler Monkey</t>
  </si>
  <si>
    <t>Alouatta belzebul</t>
  </si>
  <si>
    <t>Uta Hick’s Bearded Saki</t>
  </si>
  <si>
    <t>Chiropotes utahickae</t>
  </si>
  <si>
    <t>Buffy saki</t>
  </si>
  <si>
    <t>Pithecia albicans</t>
  </si>
  <si>
    <t>Moustached tamarin</t>
  </si>
  <si>
    <t>Saguinus mystax</t>
  </si>
  <si>
    <t>Night monkeys</t>
  </si>
  <si>
    <t>Aotus spp</t>
  </si>
  <si>
    <t>Cephalophus spp.</t>
  </si>
  <si>
    <t>Ribboned Rope Squirrel</t>
  </si>
  <si>
    <t>Funisciurus lemniscatus</t>
  </si>
  <si>
    <t>Red duiker</t>
  </si>
  <si>
    <t>sign / 5km</t>
  </si>
  <si>
    <t>Grey-cheeked Mangabey</t>
  </si>
  <si>
    <t>AfricanElephant</t>
  </si>
  <si>
    <t xml:space="preserve">Bongo </t>
  </si>
  <si>
    <t>Tragelaphus eurycerus</t>
  </si>
  <si>
    <t>Cephalophus callipygus, C. dorsalis, C. nigrifrons, C. silvicultor and Philantomba monticola</t>
  </si>
  <si>
    <t>dung/km</t>
  </si>
  <si>
    <t>Small diurnal monkeys</t>
  </si>
  <si>
    <t>Cercopithecus cephus, C. nictitans, C. pogonias and Lophocebus albigena</t>
  </si>
  <si>
    <t>Reyna-Hurtado, 2002; 2008</t>
  </si>
  <si>
    <t>Amazon Dwarf Squirrel</t>
  </si>
  <si>
    <t>Microsciurus flaviventer</t>
  </si>
  <si>
    <t>Bicoloured Hawk</t>
  </si>
  <si>
    <t>Accipiter bicolor</t>
  </si>
  <si>
    <t>Accipitriformes</t>
  </si>
  <si>
    <t>n/2h</t>
  </si>
  <si>
    <t>Great Black Hawk</t>
  </si>
  <si>
    <t>Buteogallus urubitinga</t>
  </si>
  <si>
    <t>Greater Yellow-headed Vulture</t>
  </si>
  <si>
    <t>Cathartes melambrotus</t>
  </si>
  <si>
    <t>Cathartiformes</t>
  </si>
  <si>
    <t>American Swallow-tailed Kite</t>
  </si>
  <si>
    <t>Elanoides forficatus</t>
  </si>
  <si>
    <t>Double-toothed Kite</t>
  </si>
  <si>
    <t>Harpagus bidentatus</t>
  </si>
  <si>
    <t>Rufous-thighed Kite</t>
  </si>
  <si>
    <t>Harpagus diodon</t>
  </si>
  <si>
    <t>Harpy Eagle</t>
  </si>
  <si>
    <t>Harpia harpyja</t>
  </si>
  <si>
    <t>Red-throated Caracara</t>
  </si>
  <si>
    <t>Ibycter americanus</t>
  </si>
  <si>
    <t>Falconidae</t>
  </si>
  <si>
    <t>Lined Forest-falcon</t>
  </si>
  <si>
    <t>Micrastur gilvicollis</t>
  </si>
  <si>
    <t>Barred Forest-falcon</t>
  </si>
  <si>
    <t>Micrastur ruficollis</t>
  </si>
  <si>
    <t>Collared Forest-falcon</t>
  </si>
  <si>
    <t>Micrastur semitorquatus</t>
  </si>
  <si>
    <t>Crested Eagle</t>
  </si>
  <si>
    <t>Morphnus guianensis</t>
  </si>
  <si>
    <t>Accipitridae</t>
  </si>
  <si>
    <t>White Hawk</t>
  </si>
  <si>
    <t>Pseudastur albicollis</t>
  </si>
  <si>
    <t>King Vulture</t>
  </si>
  <si>
    <t>Sarcoramphus papa</t>
  </si>
  <si>
    <t>Black-and-white Hawk-eagle</t>
  </si>
  <si>
    <t>Spizaetus melanoleucus</t>
  </si>
  <si>
    <t>Ornate Hawk-eagle</t>
  </si>
  <si>
    <t>Spizaetus ornatus</t>
  </si>
  <si>
    <t>Orange-winged Amazon, Mealy Amazon, Blue-cheeked Amazon, Yellow-crowned Amazon</t>
  </si>
  <si>
    <t>Amazona amazonica, A. farinosa, A. dufresniana and A. ochrocephala</t>
  </si>
  <si>
    <t>n/10h</t>
  </si>
  <si>
    <t>Red-and-green Macaw and Scarlet macaw</t>
  </si>
  <si>
    <t>Ara chloroptera and A. macao</t>
  </si>
  <si>
    <t>Marail and Blue-throated Piping Guans</t>
  </si>
  <si>
    <t>Penelope marail and Pipile cumanensis</t>
  </si>
  <si>
    <t>Red-billed and Channel-billed Toucans</t>
  </si>
  <si>
    <t>Ramphastos tucanus and R. vitellinus</t>
  </si>
  <si>
    <t>Wedge-capped capuchin</t>
  </si>
  <si>
    <t>Cebus olivaceus</t>
  </si>
  <si>
    <t>Yucatán Black Howler Monkey</t>
  </si>
  <si>
    <t>Alouatta pigra</t>
  </si>
  <si>
    <t>Thailand</t>
  </si>
  <si>
    <t>n 100-m segments with signs/km</t>
  </si>
  <si>
    <t>Tiger</t>
  </si>
  <si>
    <t>Panthera tigris</t>
  </si>
  <si>
    <t>Sambar</t>
  </si>
  <si>
    <t>Rusa unicolor</t>
  </si>
  <si>
    <t>Malayan tapir</t>
  </si>
  <si>
    <t>Tapirus indicus</t>
  </si>
  <si>
    <t>Brown-cheeked Hornbill</t>
  </si>
  <si>
    <t>Bycanistes cylindricus</t>
  </si>
  <si>
    <t>Western Piping Hornbill</t>
  </si>
  <si>
    <t>tracks/station</t>
  </si>
  <si>
    <t>Genets</t>
  </si>
  <si>
    <t>Genetta spp</t>
  </si>
  <si>
    <t>Forest Hog</t>
  </si>
  <si>
    <t>Hylochoerus meinertzhageni</t>
  </si>
  <si>
    <t>Bates' Pygmy Antelope</t>
  </si>
  <si>
    <t>Neotragus batesi</t>
  </si>
  <si>
    <t>Okapi</t>
  </si>
  <si>
    <t>Okapia johnstoni</t>
  </si>
  <si>
    <t>Olive Baboon</t>
  </si>
  <si>
    <t>Papio anubis</t>
  </si>
  <si>
    <t>Giant Ground Pangolin</t>
  </si>
  <si>
    <t>Smutsia gigantea</t>
  </si>
  <si>
    <t>Pholidota</t>
  </si>
  <si>
    <t>Red brocket deer and white-tailed deer</t>
  </si>
  <si>
    <t>Mazama americana and Odocoileus virginianus</t>
  </si>
  <si>
    <t>Tome's Spiny Rat</t>
  </si>
  <si>
    <t>Proechimys semispinosus</t>
  </si>
  <si>
    <t>Geoffroy’s Tamarin</t>
  </si>
  <si>
    <t>Saguinus geoffroyi</t>
  </si>
  <si>
    <t>Red-tailed Squirrel</t>
  </si>
  <si>
    <t>Sciurus granatensis</t>
  </si>
  <si>
    <t>droppings/plot</t>
  </si>
  <si>
    <t>number of droppings/plot</t>
  </si>
  <si>
    <t>Chacoan peccary</t>
  </si>
  <si>
    <t>Catagonus wagneri</t>
  </si>
  <si>
    <t>Xerophilous forest</t>
  </si>
  <si>
    <t>Screaming Hairy Armadillo</t>
  </si>
  <si>
    <t>Chaetophractus vellerosus</t>
  </si>
  <si>
    <t>n/1000 km</t>
  </si>
  <si>
    <t>Large Hairy Armadillo</t>
  </si>
  <si>
    <t>Chaetophractus villosus</t>
  </si>
  <si>
    <t>Lorenz Von Liburnau’s Woolly Lemur</t>
  </si>
  <si>
    <t>Avahi occidentalis</t>
  </si>
  <si>
    <t>Xerophytic forest</t>
  </si>
  <si>
    <t>Western Fat-tailed Dwarf Lemur</t>
  </si>
  <si>
    <t>Cheirogaleus medius</t>
  </si>
  <si>
    <t>Brown lemur</t>
  </si>
  <si>
    <t>Eulemur fulvus</t>
  </si>
  <si>
    <t>Milne-Edwards's Sportive Lemur</t>
  </si>
  <si>
    <t>Lepilemur edwardsi</t>
  </si>
  <si>
    <t>Grey Mouse Lemur</t>
  </si>
  <si>
    <t>Microcebus murinus</t>
  </si>
  <si>
    <t>Title</t>
  </si>
  <si>
    <t>DO</t>
  </si>
  <si>
    <t>Present in Wos</t>
  </si>
  <si>
    <t>10.15517/rbt.v56i3.5727</t>
  </si>
  <si>
    <t>10.22386/ca.v4i2.78</t>
  </si>
  <si>
    <t>Begazo and Bodmer, 1998</t>
  </si>
  <si>
    <t>10.1017/S0030605300030106</t>
  </si>
  <si>
    <t>10.1016/S0006-3207(01)00182-3</t>
  </si>
  <si>
    <t>10.1016/S0006-3207(98)00130-X</t>
  </si>
  <si>
    <t>Differential effects of hunting on populations of hornbills and imperial pigeons in the rainforests of the Eastern Indian Himalaya</t>
  </si>
  <si>
    <t/>
  </si>
  <si>
    <t>Hurtado-Gonzales &amp; Bodmer, 2004</t>
  </si>
  <si>
    <t>10.1016/S0006-3207(03)00167-8</t>
  </si>
  <si>
    <t>Kano &amp; Asato, 1994</t>
  </si>
  <si>
    <t>10.14989/68121</t>
  </si>
  <si>
    <t>10.1177/194008291400700209</t>
  </si>
  <si>
    <t>10.1016/0006-3207(90)90041-M</t>
  </si>
  <si>
    <t>10.1016/0006-3207(96)00010-9</t>
  </si>
  <si>
    <t>10.1890/10-1083.1</t>
  </si>
  <si>
    <t>10.1017/S0030605300030908</t>
  </si>
  <si>
    <t>10.1896/044.020.0105</t>
  </si>
  <si>
    <t>Raptor community structure of a primary rain forest in French Guiana and effect of human hunting pressure</t>
  </si>
  <si>
    <t>The sustainability of duiker (Cephalophus spp.) hunting for the Baka hunter gatherers in southeastern Cameroon</t>
  </si>
  <si>
    <t>Cullen Jr. et al., 2000</t>
  </si>
  <si>
    <t>SP (74)</t>
  </si>
  <si>
    <t>http://dx.doi.org/10.1016/S0006-3207(00)00011-2</t>
  </si>
  <si>
    <t>10.1016/S0006-3207(00)00011-2</t>
  </si>
  <si>
    <t>Cullen Jr. et al., 2001</t>
  </si>
  <si>
    <t>SP (75)</t>
  </si>
  <si>
    <t>Ecological consequences of hunting in Atlantic forest patches, Saƒ o Paulo, Brazil</t>
  </si>
  <si>
    <t>10.1046/j.1523-1739.2003.01413.x</t>
  </si>
  <si>
    <t>x</t>
  </si>
  <si>
    <t>10.1371/journal.pbio.0050111</t>
  </si>
  <si>
    <t>10.1111/j.1365-2028.2007.00881.x</t>
  </si>
  <si>
    <t>10.1023/A:1020305903156</t>
  </si>
  <si>
    <t>Habitat preferences and activity patterns of the larger mammal community in Phnom Prich Wildlife Sanctuary</t>
  </si>
  <si>
    <t>10.1016/j.biocon.2009.02.032</t>
  </si>
  <si>
    <t>10.1371/journal.pone.0010294</t>
  </si>
  <si>
    <t>Altrichter, 2005</t>
  </si>
  <si>
    <t>10.1016/j.biocon.2005.06.024</t>
  </si>
  <si>
    <t>10.1111/j.1469-1795.2011.00437.x</t>
  </si>
  <si>
    <t>10.1111/j.1365-2028.1991.tb00820.x</t>
  </si>
  <si>
    <t>10.1111/acv.12012</t>
  </si>
  <si>
    <t>10.1111/j.0141-6707.2004.00441.x</t>
  </si>
  <si>
    <t>10.1017/S0030605305001080</t>
  </si>
  <si>
    <t>Carrillo et al., 2000</t>
  </si>
  <si>
    <t>10.1046/j.1523-1739.2000.99103.x</t>
  </si>
  <si>
    <t>10.2981/wlb.00095</t>
  </si>
  <si>
    <t>10.1098/rspb.2013.0246</t>
  </si>
  <si>
    <t>10.1111/j.1600-0587.2013.00359.x</t>
  </si>
  <si>
    <t>10.2307/2388054</t>
  </si>
  <si>
    <t>Endo et al., 2010</t>
  </si>
  <si>
    <t>10.1111/j.1744-7429.2009.00546.x</t>
  </si>
  <si>
    <t>10.1111/j.1365-2028.1991.tb01000.x</t>
  </si>
  <si>
    <t>10.1017/S0266467400005022</t>
  </si>
  <si>
    <t>10.1111/j.1365-2028.1997.088-89088.x</t>
  </si>
  <si>
    <t>10.1023/A:1020375430965</t>
  </si>
  <si>
    <t>10.3957/056.039.0108</t>
  </si>
  <si>
    <t>Hegerl et al., 2015</t>
  </si>
  <si>
    <t>10.1017/S0030605315000836</t>
  </si>
  <si>
    <t>10.1111/j.1365-2028.2010.01239.x</t>
  </si>
  <si>
    <t>10.1046/j.1523-1739.1997.96048.x</t>
  </si>
  <si>
    <t>Koerner et al., 2016</t>
  </si>
  <si>
    <t>10.1111/1365-2664.12798</t>
  </si>
  <si>
    <t>Kümpel et al., 2008</t>
  </si>
  <si>
    <t>10.1007/s10764-008-9254-9</t>
  </si>
  <si>
    <t>10.1002/ajp.22243</t>
  </si>
  <si>
    <t>10.1017/S0266467498000443</t>
  </si>
  <si>
    <t>10.1111/j.1523-1739.2006.00420.x</t>
  </si>
  <si>
    <t>10.1007/BF03195197</t>
  </si>
  <si>
    <t>10.1111/j.1365-2028.2006.00629.x</t>
  </si>
  <si>
    <t>Magige et al., 2009</t>
  </si>
  <si>
    <t>10.1007/s10531-008-9481-6</t>
  </si>
  <si>
    <t>10.1007/s10764-005-0011-z</t>
  </si>
  <si>
    <t>10.1016/j.biocon.2005.11.025</t>
  </si>
  <si>
    <t>Martínez-Morales, 1999</t>
  </si>
  <si>
    <t>10.2307/1370441</t>
  </si>
  <si>
    <t>10.1046/j.1523-1739.1999.013002385.x</t>
  </si>
  <si>
    <t>10.1016/j.biocon.2005.10.017</t>
  </si>
  <si>
    <t>https://doi.org/10.1163/18759866-07304004</t>
  </si>
  <si>
    <t>Effects of habitat disturbance and hunting on the density and the biomass of the endemic Hose’s leaf monkey Presbytis hosei</t>
  </si>
  <si>
    <t>10.1163/18759866-07304004</t>
  </si>
  <si>
    <t>10.1111/j.1523-1739.2009.01224.x</t>
  </si>
  <si>
    <t>10.1007/s10531-005-5406-9</t>
  </si>
  <si>
    <t>10.1111/j.1365-2028.2010.01229.x</t>
  </si>
  <si>
    <t>Rovero et al., 2012</t>
  </si>
  <si>
    <t>10.1016/j.biocon.2011.09.017</t>
  </si>
  <si>
    <t>10.1111/j.1469-1795.2012.00592.x</t>
  </si>
  <si>
    <t>10.1007/s10531-004-8412-4</t>
  </si>
  <si>
    <t>de Thoisy et al., 2005</t>
  </si>
  <si>
    <t>10.1017/S0030605305000384</t>
  </si>
  <si>
    <t>10.1177/194008290900200108</t>
  </si>
  <si>
    <t>Urquiza-Haas et al., 2011</t>
  </si>
  <si>
    <t>10.1111/j.1469-1795.2010.00426.x</t>
  </si>
  <si>
    <t>10.1007/s10531-007-9300-5</t>
  </si>
  <si>
    <t>10.1111/j.1744-7429.2007.00275.x</t>
  </si>
  <si>
    <t>10.1046/j.1523-1739.2000.98333.x</t>
  </si>
  <si>
    <t>Linder et al. (2011)</t>
  </si>
  <si>
    <t>SP</t>
  </si>
  <si>
    <t>http://dx.doi.org/10.1016/j.biocon.2010.10.023</t>
  </si>
  <si>
    <t>10.1016/j.biocon.2010.10.023</t>
  </si>
  <si>
    <t>Nuñez-Iturri et al., 2008</t>
  </si>
  <si>
    <t>SP (126)</t>
  </si>
  <si>
    <t>http://dx.doi.org/10.1016/j.biocon.2008.03.020</t>
  </si>
  <si>
    <t>10.1016/j.biocon.2008.03.020</t>
  </si>
  <si>
    <t>Nuñez-Iturri and Howe, 2007</t>
  </si>
  <si>
    <t>SP (127)</t>
  </si>
  <si>
    <t>http://dx.doi.org/10.1111/j.1744-7429.2007.00276.x</t>
  </si>
  <si>
    <t>10.1111/j.1744-7429.2007.00276.x</t>
  </si>
  <si>
    <t>SP (136)</t>
  </si>
  <si>
    <t>http://dx.doi.org/10.1016/j.jaridenv.2012.11.004</t>
  </si>
  <si>
    <t>10.1016/j.jaridenv.2012.11.004</t>
  </si>
  <si>
    <t>Reyna-Hurtado and Tanner, 2007</t>
  </si>
  <si>
    <t>SP (140)</t>
  </si>
  <si>
    <t>http://dx.doi.org/10.1007/s10531-005-6198-7</t>
  </si>
  <si>
    <t>10.1007/s10531-005-6198-7</t>
  </si>
  <si>
    <t>SP (156)</t>
  </si>
  <si>
    <t>http://dx.doi.org/10.2307/2388723</t>
  </si>
  <si>
    <t>10.2307/2388723</t>
  </si>
  <si>
    <t>Henschel et al., 2011</t>
  </si>
  <si>
    <t>SP (99)</t>
  </si>
  <si>
    <t>https://doi.org/10.1111/j.1469-7998.2011.00826.x</t>
  </si>
  <si>
    <t>10.1111/j.1469-7998.2011.00826.x</t>
  </si>
  <si>
    <t>Common_name</t>
  </si>
  <si>
    <t>Chacoan peccary ; Collared peccary ; White-lipped peccary</t>
  </si>
  <si>
    <t>Catagonus wagneri ; Pecari tajacu ; Tayassu pecari</t>
  </si>
  <si>
    <t>Red brocket deer ; Grey brocket deer ; Collared peccary ; South american tapir ; White-lipped peccary</t>
  </si>
  <si>
    <t>Mazama americana ; Mazama gouazoubira ; Pecari tajacu ; Tapirus terrestris ; Tayassu pecari</t>
  </si>
  <si>
    <t>Cetartiodactyla ; Perissodactyla</t>
  </si>
  <si>
    <t>Red howler monkey ; Collared Titi Monkey ; White-fronted capuchin ; Humboldt's Woolly Monkey ; Geoffroy's monk saki ; Tamarins ; Common Squirrel Monkey</t>
  </si>
  <si>
    <t>Alouatta seniculus ; Callicebus torquatus ; Cebus albifrons ; Lagothrix lagotricha ; Pithecia monachus ; Saguinus spp ; Saimiri sciureus</t>
  </si>
  <si>
    <t>Birds ; Mammals</t>
  </si>
  <si>
    <t>Great curassow ; Ocellated Turkey ; Plain Chachalaca ; Crested guan ; Great tinamou ; Red and Yucatan Brown Brocket deer ; White-nosed Coati ; White-tailed deer ; Jaguar and puma ; Collared peccary ; Baird's tapir ; White-lipped peccary</t>
  </si>
  <si>
    <t>Crax rubra ; Meleagris ocellata ; Ortalis vetula ; Penelope purpurascens ; Tinamus major ; Mazama americana and M. pandora ; Nasua narica ; Odocoileus virginianus ; Panthera onca and Puma concolor ; Pecari tajacu ; Tapirus bairdii ; Tayassu pecari</t>
  </si>
  <si>
    <t>Galliformes ; Tinamiformes ; Cetartiodactyla ; Carnivores ; Perissodactyla</t>
  </si>
  <si>
    <t>Razor-billed curassow ; Speckled chacalaca ; Spix's guan ; Blu-throated piping guan</t>
  </si>
  <si>
    <t>Mitu tuberosum ; Ortalis guttata ; Penelope jacquacu ; Pipile cumanensis</t>
  </si>
  <si>
    <t>Cinereus tinamou ; Undulated tinamou ; Razor-billed curassow ; Speckled chacalaca ; Spix's guan ; Blu-throated piping guan ; Pale-winged trumpeter ; Great tinamou ; Bartlet's tinamou ; Variegated tinamou ; White-throated tinamou ; Amazons ; Anhinga ; Macaw ; Cocoi Heron ; Muscovy duck ; Boat-billed Heron ; Grey-fronted dove ; Starred wood quail ; Neotropical cormorant ; Toucan</t>
  </si>
  <si>
    <t>Crypturellus cinereus ; Crypturellus undulatus ; Mitu tuberosum ; Ortalis guttata ; Penelope jacquacu ; Pipile cumanensis ; Psophia leucoptera ; Tinamus major ; Crypturellus bartletti ; Crypturellus variegatus ; Tinamus guttatus ; Amazona spp ; Anhinga anhinga ; Ara spp ; Ardea cocoi ; Cairina moschata ; Cochlearius cochlearius ; Leptotila rufaxila ; Odontophorus stellarus ; Phalacrocorax brasilianus ; Ramphastos spp</t>
  </si>
  <si>
    <t>Tinamiformes ; Galliformes ; Gruiformes ; Psittaciformes ; Suliformes ; Pelecaniformes ; Anseriformes ; Columbiformes ; Piciformes</t>
  </si>
  <si>
    <t>Mammals ; Birds</t>
  </si>
  <si>
    <t>African Elephant ; Salvin's Curassow ; Plumbeous Pigeon ; Trinidad Piping-guan ; Red howler monkey ; White-bellied Spider Monkey ; Spotted paca ; Black Agouti ; Nine-banded Armadillo ; Red brocket deer ; Green acouchy ; Giant anteater ; Collared peccary ; Crab-eating Raccoon ; South american tapir ; White-lipped peccary</t>
  </si>
  <si>
    <t>Loxodonta africana ; Mitu salvini ; Patagioenas plumbea ; Pipile pipile ; Alouatta seniculus ; Ateles belzebuth ; Cuniculus paca ; Dasyprocta fuliginosa ; Dasypus novemcinctus ; Mazama americana ; Myoprocta pratti ; Myrmecophaga tridactyla ; Pecari tajacu ; Procyon cancrivorus ; Tapirus terrestris ; Tayassu pecari</t>
  </si>
  <si>
    <t>Proboscidea ; Galliformes ; Columbiformes ; Primates ; Rodentia ; Cingulata ; Cetartiodactyla ; Pilosa ; Carnivores ; Perissodactyla</t>
  </si>
  <si>
    <t>Western gorilla ; African Elephant</t>
  </si>
  <si>
    <t>Gorilla gorilla ; Loxodonta africana</t>
  </si>
  <si>
    <t>Primates ; Proboscidea</t>
  </si>
  <si>
    <t>Red duikers ; Agile mangabey ; Moustached Monkey ; Putty-nosed monkey ; Crowned monkey ; Western gorilla ; Grey-cheeked mangabey ; African Elephant ; Chimpanzee ; Blue duiker</t>
  </si>
  <si>
    <t>Cephalophus callipygus, C. dorsalis, C. leucogaster and C. nigrifrons ; Cercocebus agilis ; Cercopithecus cephus ; Cercopithecus nictitans ; Cercopithecus pogonias ; Gorilla gorilla ; Lophocebus albigena ; Loxodonta africana ; Pan troglodytes ; Philantomba monticola</t>
  </si>
  <si>
    <t>Cetartiodactyla ; Primates ; Proboscidea</t>
  </si>
  <si>
    <t>HarveyÆs duiker ; Abbott's duiker ; Suni</t>
  </si>
  <si>
    <t>Cephalophus harveyi ; Cephalophus spadix ; Neotragus moschatus</t>
  </si>
  <si>
    <t>Great curassow ; Crested guan ; Howler monkey ; Spider monkey ; White-faced capuchin ; Spotted paca ; Central American Agouti ; Nine-banded Armadillo ; Ocelot ; Margay and Jaguarundi ; Red brocket deer ; Giant anteater ; White-nosed Coati ; White -tailed deer ; Jaguar ; Collared peccary ; Puma ; Northern tamandua ; Baird's tapir ; White lipped peccary (groups)</t>
  </si>
  <si>
    <t>Crax rubra ; Penelope purpurascens ; Alouatta palliata ; Ateles geoffroyi ; Cebus capuchinus ; Cuniculus paca ; Dasyprocta punctata ; Dasypus novemcinctus ; Leopardus pardalis ; Leopardus wiedii and Herpailurus yaguarondi ; Mazama americana ; Myrmecophaga tridactyla ; Nasua narica ; Odocoileus virginianus ; Panthera onca ; Pecari tajacu ; Puma concolor ; Tamandua mexicana ; Tapirus bairdii ; Tayassu pecari</t>
  </si>
  <si>
    <t>Galliformes ; Primates ; Rodentia ; Cingulata ; Carnivores ; Cetartiodactyla ; Pilosa ; Perissodactyla</t>
  </si>
  <si>
    <t>Howler monkey ; Spider monkey ; White-faced capuchin ; Spotted paca ; Central American Agouti ; Nine-banded Armadillo ; Black-eared Opossum ; Ocelot ; Margay ; Neotropical Otter ; Red brocket deer ; White-nosed Coati ; Jaguar ; Collared peccary ; Crab-eating and Northern Raccoons ; Puma ; Black-crowned Central American Squirrel Monkey ; Northern tamandua ; Baird's tapir ; White-lipped peccary</t>
  </si>
  <si>
    <t>Alouatta palliata ; Ateles geoffroyi ; Cebus capuchinus ; Cuniculus paca ; Dasyprocta punctata ; Dasypus novemcinctus ; Didelphis marsupialis ; Leopardus pardalis ; Leopardus wiedii ; Lontra longicaudis ; Mazama americana ; Nasua narica ; Panthera onca ; Pecari tajacu ; Procyon cancrivorous and P. lotor ; Puma concolor ; Saimiri oerstedii ; Tamandua mexicana ; Tapirus bairdii ; Tayassu pecari</t>
  </si>
  <si>
    <t>Primates ; Rodentia ; Cingulata ; Didelphimorphia ; Carnivores ; Cetartiodactyla ; Pilosa ; Perissodactyla</t>
  </si>
  <si>
    <t>Brown Howler Monkey ; Atlantic Titi ; Geoffroy’s Tufted-ear Marmoset ; Spotted paca ; Red-rumped agouti ; Nine-banded Armadillo ; Brazilian Common Opossum ; South American red and gray brocket deer ; South American Coati ; Jaguarundi ; Tufted capuchin ; Guianan Squirrel ; Tapeti ; South american tapir</t>
  </si>
  <si>
    <t>Alouatta guariba ; Callicebus personatus ; Callithrix geoffroyi ; Cuniculus paca ; Dasyprocta leporina ; Dasypus novemcinctus ; Didelphis aurita ; Mazama americana and M. gouazoubira ; Nasua nasua ; Puma yagouaroundi ; Sapajus apella ; Sciurus aestuans ; Sylvilagus brasiliensis ; Tapirus terrestris</t>
  </si>
  <si>
    <t>Primates ; Rodentia ; Cingulata ; Didelphimorphia ; Cetartiodactyla ; Carnivores ; Lagomorpha ; Perissodactyla</t>
  </si>
  <si>
    <t>Red-eared Monkey ; Crowned monkey ; Black Colobus ; Drill ; Pennant's Red Colobus ; Putty-nosed monkey</t>
  </si>
  <si>
    <t>Cercopithecus erythrotis ; Cercopithecus pogonias ; Colobus satanas ; Mandrillus leucophaeus ; Procolobus pennantii ; Cercopithecus nictitans</t>
  </si>
  <si>
    <t>Tinamous ; Rusty-margined guan ; Brown Howler Monkey ; Azara's Agouti ; Nine-banded Armadillo ; Black lion tamarin ; South American red and gray brocket deer ; South American Coati ; Collared peccary ; Tufted capuchin ; Guianan Squirrel ; Lowland tapir ; White-lipped peccary</t>
  </si>
  <si>
    <t>Crypturellus spp. ; Penelope superciliaris ; Alouatta guariba ; Dasyprocta azarae ; Dasypus novemcinctus ; Leontopithecus chrysopygus ; Mazama americana and M. gouazoubira ; Nasua nasua ; Pecari tajacu ; Sapajus apella ; Sciurus aestuans ; Tapirus terrestris ; Tayassu pecari</t>
  </si>
  <si>
    <t>Tinamiformes ; Galliformes ; Primates ; Rodentia ; Cingulata ; Cetartiodactyla ; Carnivores ; Perissodactyla</t>
  </si>
  <si>
    <t>Green imperial pigeon ; Mountain Imperial Pigeon ; Wreathed Hornbill ; Oriental Pied Hornbill ; Great Pied Hornbill</t>
  </si>
  <si>
    <t>Ducula aenea ; Ducula badia ; Aceros undulatus ; Anthracoceros albirostris ; Buceros bicornis</t>
  </si>
  <si>
    <t>Columbiformes ; Bucerotiformes</t>
  </si>
  <si>
    <t>Campbell's monkey ; Diana monkey ; Spot-nosed monkey ; King Colobus ; Olive colobus ; Western red colobus ; Sooty mangabey</t>
  </si>
  <si>
    <t>Cercopithecus campbelli ; Cercopithecus diana ; Cercopithecus petaurista ; Colobus polykomos ; Procolobus verus ; Pliocolobus badius ; Cercocebus atys</t>
  </si>
  <si>
    <t>Guianan Red Howler Monkey ; Northern night monkey ; Black spider monkey ; Crab-eating fox ; Bearded Saki ; Spotted paca ; Red-rumped agouti ; Nine-banded Armadillo ; Tayra ; Red brocket deer ; Amazonian Brown Brocket, ; Red acouchy ; South American Coati ; Jaguar ; Collared peccary ; White-faced saki ; Kinkajou ; Golden-handed tamarin ; Common Squirrel Monkey ; Tufted capuchin ; Guianan Squirrel ; Southern Tamandua ; South american tapir ; White-lipped peccary</t>
  </si>
  <si>
    <t>Alouatta macconnelli ; Aotus trivirgatus ; Ateles paniscus ; Cerdocyon thous ; Chiropotes chiropotes ; Cuniculus paca ; Dasyprocta leporina ; Dasypus novemcinctus ; Eira barbara ; Mazama americana ; Mazama nemorivaga ; Myoprocta acouchy ; Nasua nasua ; Panthera onca ; Pecari tajacu ; Pithecia pithecia ; Potos flavus ; Saguinus midas ; Saimiri sciureus ; Sapajus apella ; Sciurus aestuans ; Tamandua tetradactyla ; Tapirus terrestris ; Tayassu pecari</t>
  </si>
  <si>
    <t>Primates ; Carnivores ; Rodentia ; Cingulata ; Cetartiodactyla ; Pilosa ; Perissodactyla</t>
  </si>
  <si>
    <t>Yellow-crowned Amazon ; Great green macaw ; Scarlet Macaw ; Parakeets ; Ground doves ; Great curassow ; Quails ; Plain Chachalaca ; Crested guan ; White-crowned parrot ; Collared Aracari ; chestnut-mandibled toucan ; Keel-billed toucan ; Great tinamou ; Howler monkey ; Spider monkey ; White-faced capuchin ; Striped Hog-nosed Skunk ; Central American Agouti ; Nine-banded Armadillo ; Grey brocket deer ; white-nosed coati ; Jaguar ; Collared peccary ; Squirrels ; Baird's tapir ; White-lipped peccary ; Common Ground-dove ; Spotted paca</t>
  </si>
  <si>
    <t>Amazona ochrocephala ; Ara ambiguus ; Ara macao ; Aratinga spp ; Claravis mondetoura and C. pretiosa ; Crax rubra ; Odontophorus spp ; Ortalis vetula ; Penelope purpurascens aequatorialis ; Pionus senilis ; Pteroglossus torquatus ; Ramphastos ambiguus swainsonii ; Ramphastos sulfuratus ; Tinamus major ; Alouatta palliata ; Ateles geoffroyi ; Cebus capuchinus ; Conepatus semistriatus ; Dasyprocta punctata ; Dasypus novemcinctus ; Mazama gouazoubira ; Nasua narica ; Panthera onca ; Pecari tajacu ; Sciurus spp ; Tapirus bairdii ; Tayassu pecari ; Columbina passerina ; Cuniculus paca</t>
  </si>
  <si>
    <t>Psittaciformes ; Columbiformes ; Galliformes ; Piciformes ; Tinamiformes ; Primates ; Carnivores ; Rodentia ; Cingulata ; Cetartiodactyla ; Perissodactyla</t>
  </si>
  <si>
    <t>Red howler monkey ; White-bellied Spider Monkey ; Red Titi Monkey ; White-fronted capuchin ; Poeppig's Woolly Monkey ; Golden-mantle Saddleback Tamarin ; Common Squirrel Monkey</t>
  </si>
  <si>
    <t>Alouatta seniculus ; Ateles belzebuth ; Callicebus discolor ; Cebus albifrons ; Lagothrix poeppigii ; Saguinus tripartitus ; Saimiri sciureus</t>
  </si>
  <si>
    <t>Peters' Duiker ; Bay Duiker ; White-bellied Duiker ; Black-fronted duiker ; Yellow back duiker ; Blue duiker</t>
  </si>
  <si>
    <t>Cephalophus callipygus ; Cephalophus dorsalis ; Cephalophus leucogaster ; Cephalophus nigrifons ; Cephalophus silvicultor ; Philantomba monticola</t>
  </si>
  <si>
    <t>Spotted paca ; Central American Agouti ; Opossums ; Tayra ; Margay ; Red brocket deer ; White-nosed Coati ; Collared peccary ; Northern tamandua ; White-lipped peccary</t>
  </si>
  <si>
    <t>Cuniculus paca ; Dasyprocta punctata ; Didelphis spp. ; Eira barbara ; Leopardus wiedii ; Mazama americana ; Nasua narica ; Pecari tajacu ; Tamandua mexicana ; Tayassu pecari</t>
  </si>
  <si>
    <t>Rodentia ; Didelphimorphia ; Carnivores ; Cetartiodactyla ; Pilosa</t>
  </si>
  <si>
    <t>Squirrel ; African brush-tailed porcupine ; Mona monkey ; Putty-nosed monkey ; Drill ; Rock hyrax</t>
  </si>
  <si>
    <t>Anomalurus sp ; Atherurus africanus ; Cercopithecus mona ; Cercopithecus nictitans ; Mandrillus leucophaeus ; Procavia capensis</t>
  </si>
  <si>
    <t>Rodentia ; Primates ; Hyracoidea</t>
  </si>
  <si>
    <t>Howler monkeys ; Northern night monkey ; Spider monkey ; Western lowland oligo ; Brown-throated sloth ; Titi monkey sp ; Black-shouldered Opossum ; Pygmy marmoset ; White-fronted capuchin ; Spotted paca ; Amazon Bamboo Rat ; Nine-banded Armadillo ; Black-eared Opossum ; Ocelot and Margay ; Long furred wooly mouse opossum ; Opossum ; White-bellied slender mouse opossum and Delicate slender mouse opossum ; Red brocket deer ; Brown Four-eyed Opossum ; Rice rat sp ; Jaguar ; Gray Four-eyed Opossum ; Kinkajou ; Kinkajou or Oligo ; Spiny rats ; Puma ; Tamarins ; Squirrel monkeys ; Tufted capuchin ; Squirrels ; Small squirrels</t>
  </si>
  <si>
    <t>Alouatta spp ; Aotus trivirgatus ; Ateles spp ; Bassaricyon medius ; Bradypus variegatus ; Callicebus spp ; Caluromysiops irrupta ; Cebuella pygmaea ; Cebus albifrons ; Cuniculus paca ; Dactylomys dactylinus ; Dasypus novemcinctus ; Didelphis marsupialis ; Leopardus pardalis and L. wiedii ; Marmosa demerarae ; Marmosa spp ; Marmosops noctivagus and M. parvidens ; Mazama americana ; Metachirus nudicaudatus ; Oryzomys spp. ; Panthera onca ; Philander opossum ; Potos flavus ; Potos flavus or Bassaricyon spp ; Proechimys spp ; Puma concolor ; Saguinus spp ; Saimiri spp ; Sapajus apella ; Sciurus spp ; Sciurus spp (small)</t>
  </si>
  <si>
    <t>Primates ; Carnivores ; Pilosa ; Didelphimorphia ; Rodentia ; Cingulata ; Cetartiodactyla</t>
  </si>
  <si>
    <t>Small Tinamous ; Razor-billed curassow ; Marbled Wood quail ; Spix's Guan ; Blue-throated Piping-guan ; Pale-winged trumpeter ; Large Tinamous ; Bolivian red howler ; Peruvian spider monkey ; Brown Titi Monkey ; White-fronted capuchin ; Central American Agouti ; Gray wooly monkey ; South American red and gray brocket deer ; Green acouchy ; Collared peccary ; Brown-mantled tamarin ; Black-capped squirrel monkey ; Brown capuchin ; Southern Amazon Red and Sanborn's Squirrels ; Bush dog ; South american tapir ; White-lipped peccary</t>
  </si>
  <si>
    <t>Crypturellus atrocapillus, C. bartletti, C. cinereus, C.soui, C. strigulosus, C. undulatus and C. variegatus ; Mitu tuberosum ; Odontophorus gujanensis ; Penelope jacquacu ; Pipile cumanensis ; Psophia leucoptera ; Tinamus major, T. guttatus and T. tao ; Alouatta sara ; Ateles chamek ; Callicebus brunneus ; Cebus albifrons ; Dasyprocta punctata ; Lagothrix cana ; Mazama americana and M. gouazoubira ; Myoprocta pratti ; Pecari tajacu ; Saguinus fuscicollis ; Saimiri boliviensis ; Sapajus apella ; Sciurus spadiceus and S.sanborni. ; Speothos venaticus ; Tapirus terrestris ; Tayassu pecari</t>
  </si>
  <si>
    <t>Tinamiformes ; Galliformes ; Gruiformes ; Primates ; Rodentia ; Cetartiodactyla ; Carnivores ; Perissodactyla</t>
  </si>
  <si>
    <t>Salvin's Curassow ; Nocturnal curassow ; Spix's Guan ; Grey-winged Trumpeter ; Short-eared dog ; Spotted paca ; Black Agouti ; Nine-banded Armadillo ; Black-eared Opossum ; Tayra ; Ocelot ; Margay ; Red brocket deer ; Grey brocket deer ; Giant anteater ; South American Coati ; Jaguar ; Collared peccary ; Giant Armadillo ; Jaguarundi ; Bush dog ; Southern Tamandua ; South american tapir ; White-lipped peccary</t>
  </si>
  <si>
    <t>Mitu salvini ; Nothocrax urumutum ; Penelope jacquacu ; Psophia crepitans ; Atelocynus microtis ; Cuniculus paca ; Dasyprocta fuliginosa ; Dasypus novemcinctus ; Didelphis marsupialis ; Eira barbara ; Leopardus pardalis ; Leopardus wiedii ; Mazama americana ; Mazama gouazoubira ; Myrmecophaga tridactyla ; Nasua nasua ; Panthera onca ; Pecari tajacu ; Priodontes maximus ; Puma yagouaroundi ; Speothos venaticus ; Tamandua tetradactyla ; Tapirus terrestris ; Tayassu pecari</t>
  </si>
  <si>
    <t>Galliformes ; Gruiformes ; Carnivores ; Rodentia ; Cingulata ; Didelphimorphia ; Cetartiodactyla ; Pilosa ; Perissodactyla</t>
  </si>
  <si>
    <t>Red duikers ; Blue duiker</t>
  </si>
  <si>
    <t>Cephalophus callipygus, C. dorsalis, C. leucogaster and C. nigrifrons ; Philantomba monticola</t>
  </si>
  <si>
    <t>Howler monkeys ; Spider monkey ; Sloth ; Capuchin sp ; Agoutis ; Tayra ; Red brocket deer and Central American Red brocket deer ; White-nosed Coati ; White -tailed deer ; Tamarins ; Squirrels ; Northern tamandua ; Baird's tapir ; Collared peccary and White-lipped peccary</t>
  </si>
  <si>
    <t>Alouatta spp ; Ateles spp ; Bradypus variegatus, Choloepus hoffmanni ; Cebus spp ; Dasyprocta spp ; Eira barbara ; Mazama americana and M. temama ; Nasua narica ; Odocoileus virginianus ; Saguinus spp ; Sciurus spp ; Tamandua mexicana ; Tapirus bairdii ; Tayassu pecari and Pecari tajacu</t>
  </si>
  <si>
    <t>Primates ; Pilosa ; Rodentia ; Carnivores ; Cetartiodactyla ; Perissodactyla</t>
  </si>
  <si>
    <t>Gaur ; Banteng ; Dhole ; Asian elephant ; East Asian porcupine ; Pig-tailed macaque ; Red muntjac ; Leopard ; Common palm civet ; Leopard cat ; Wild boar ; Large Indian civet</t>
  </si>
  <si>
    <t>Bos gaurus ; Bos javanicus ; Cuon alpinus ; Elephas maximus ; Hystrix brachyura ; Macaca nemestrina ; Muntiacus muntjak ; Panthera pardus ; Paradoxurus hermaphroditus ; Prionailurus bengalensis ; Sus scrofa ; Viverra zibetha</t>
  </si>
  <si>
    <t>Cetartiodactyla ; Carnivores ; Proboscidea ; Rodentia ; Primates</t>
  </si>
  <si>
    <t>Red duikers &amp; Chevrotain ; Yellow back duiker ; Blue duiker</t>
  </si>
  <si>
    <t>Cephalophus dorsalis, C. leucogaster, C. nigrifrons, C. weynsi, Hyemoschus aquaticus ; Cephalophus silvicultor ; Philantomba monticola</t>
  </si>
  <si>
    <t>Water mongoose ; Vervet monkey ; Blue wildebeest ; African and golden mole rat ; Burchell's zebra ; Cape genet ; Blue duiker ; Bushpig ; Common duiker ; Bushbuck ; White rhinoceros ; Cape porcupine ; Eland</t>
  </si>
  <si>
    <t>Atilax paludinosus ; Chlorocebus aethiops ; Connochaetes taurinus ; Cryptomys hottentotus and Amblysomus hottentotus ; Equus quagga ; Genetta tigrina ; Philantomba monticola ; Potamochoerus larvatus ; Sylvicapra grimmia ; Tragelaphus scriptus ; Ceratotherium simum ; Hystrix africaeaustralis ; Tragelaphus oryx</t>
  </si>
  <si>
    <t>Carnivores ; Primates ; Cetartiodactyla ; Rodentia ; Perissodactyla</t>
  </si>
  <si>
    <t>Water mongoose ; Bushy-tailed mongoose ; Harvey's duiker ; Abbott's duiker ; Sanje River Mangabey ; Blue Monkey ; Giant pouched rat ; Eastern Tree Hyrax ; Servaline genet ; African Elephant ; Honey Badger ; African palm civet ; Suni ; Leopard ; Svynnerton's Bush Squirrel ; Four-toed Sengi ; Bushpig ; Udzungwa Red Colobus ; Grey-faced Sengi ; Buffalo ; Greater cane rat ; Bushbuck</t>
  </si>
  <si>
    <t>Atilax paludinosus ; Bdeogale crassicauda ; Cephalophus harveyi ; Cephalophus spadix ; Cercocebus sanjei ; Cercopithecus mitis ; Cricetomys gambianus ; Dendrohyrax validus ; Genetta servalina ; Loxodonta africana ; Mellivora capensis ; Nandinia binotata ; Neotragus moschatus ; Panthera pardus ; Paraxerus vexillarius ; Petrodromus tetradactylus ; Potamochoerus larvatus ; Procolobus gordonorum ; Rhynchocyon udzungwensis ; Syncerus caffer ; Thryonomys swinderianus ; Tragelaphus scriptus</t>
  </si>
  <si>
    <t>Carnivores ; Cetartiodactyla ; Primates ; Rodentia ; Hyracoidea ; Proboscidea ; Macroscelidea</t>
  </si>
  <si>
    <t>African golden cat ; Red duikers ; Yellow back duiker ; African civet ; Western gorilla ; African Elephant ; Chimpanzee ; Leopard ; Red river hog ; Forest buffalo ; Bongo</t>
  </si>
  <si>
    <t>Caracal aurata ; Cephalophus callipygus, C. dorsalis and C. ogilby ; Cephalophus silvicultor ; Civettictis civetta ; Gorilla gorilla ; Loxodonta africana ; Pan troglodytes ; Panthera pardus ; Potamochoerus porcus ; Syncerus caffer nanus ; Tragelaphus spekii</t>
  </si>
  <si>
    <t>Carnivores ; Cetartiodactyla ; Primates ; Proboscidea</t>
  </si>
  <si>
    <t>Nine-banded Armadillo ; South American red and gray brocket deer ; Azara's capuchin ; Lowland tapir ; Spotted paca ; South American Coati ; Collared peccary ; South american tapir ; White lipped peccary (groups)</t>
  </si>
  <si>
    <t>Dasypus novemcinctus ; Mazama americana and M. gouazoubira ; Sapajus cay ; Tapirus terrestris ; Cuniculus paca ; Nasua nasua ; Pecari tajacu ; Tayassu pecari</t>
  </si>
  <si>
    <t>Cingulata ; Cetartiodactyla ; Primates ; Perissodactyla ; Rodentia ; Carnivores</t>
  </si>
  <si>
    <t>Red brocket deer ; Grey brocket deer</t>
  </si>
  <si>
    <t>Mazama americana ; Mazama gouazoubira</t>
  </si>
  <si>
    <t>Western gorilla ; Chimpanzee</t>
  </si>
  <si>
    <t>Gorilla gorilla ; Pan troglodytes</t>
  </si>
  <si>
    <t>Black guineafowl ; White-thighed hornbill ; Piping hornbill ; Black-casqued hornbill ; Blue-plantain eater ; Latham's forest francolin ; African grey parrot ; Yellow-billed turaco ; Green turaco ; Red-billed dwarf hornbill ; African pied hornbill ; White-crested hornbill ; Medium-sized duikers ; Black-fronted duiker ; Yellow-backed duiker ; Agile mangabey ; Moustached Monkey ; Putty-nosed monkey ; Crowned monkey ; Guereza ; Western gorilla ; Grey-cheeked mangabey ; African Elephant ; Chimpanzee ; Blue duiker ; Red river hog ; African giant squirrel ; Other squirrels</t>
  </si>
  <si>
    <t>Agelastes niger ; Bycanistes albotibialis ; Bycanistes fistulator ; Ceratogymna atrata ; Corythaeola cristata ; Francolinus lathami ; Psittacus erithacus ; Tauraco macrorhynchus ; Tauraco persa ; Tockus camurus ; Tockus fasciatus ; Tropicranus albocristatus ; Cephalophus callipygus, C. leucogaster, and C. dorsalis castaneus ; Cephalophus nigrifons ; Cephalophus silvicultor ; Cercocebus agilis ; Cercopithecus cephus ; Cercopithecus nictitans ; Cercopithecus pogonias ; Colobus guereza ; Gorilla gorilla ; Lophocebus albigena ; Loxodonta africana ; Pan troglodytes ; Philantomba monticola ; Potamochoerus porcus ; Protoxerus stangeri ; Xerinae spp.</t>
  </si>
  <si>
    <t>Galliformes ; Bucerotiformes ; Musophagiformes ; Psittaciformes ; Cetartiodactyla ; Primates ; Proboscidea ; Rodentia</t>
  </si>
  <si>
    <t>Crab-eating fox ; Spotted paca ; Agoutis ; Nine-banded Armadillo ; Opossums ; Tayra ; Yellow armadillo ; Ocelot ; Margay ; Red brocket deer ; Grey brocket deer ; Giant anteater ; South American Coati ; Jaguar ; Collared peccary ; Giant Armadillo ; Puma ; Jaguarundi ; Tapeti ; Southern Tamandua ; South american tapir ; White-lipped peccary ; Southern Three-banded Armadillo</t>
  </si>
  <si>
    <t>Cerdocyon thous ; Cuniculus paca ; Dasyprocta spp ; Dasypus novemcinctus ; Didelphis spp. ; Eira barbara ; Euphractus sexcinctus ; Leopardus pardalis ; Leopardus wiedii ; Mazama americana ; Mazama gouazoubira ; Myrmecophaga tridactyla ; Nasua nasua ; Panthera onca ; Pecari tajacu ; Priodontes maximus ; Puma concolor ; Puma yagouaroundi ; Sylvilagus brasiliensis ; Tamandua tetradactyla ; Tapirus terrestris ; Tayassu pecari ; Tolypeutes matacus</t>
  </si>
  <si>
    <t>Carnivores ; Rodentia ; Cingulata ; Didelphimorphia ; Cetartiodactyla ; Pilosa ; Lagomorpha ; Perissodactyla</t>
  </si>
  <si>
    <t>Moustached Monkey ; Putty-nosed monkey ; Crowned monkey ; Black Colobus</t>
  </si>
  <si>
    <t>Cercopithecus cephus ; Cercopithecus nictitans ; Cercopithecus pogonias ; Colobus satanas</t>
  </si>
  <si>
    <t>African brush-tailed porcupine ; Peters' Duiker ; Bay Duiker ; Yellow back duiker ; Moustached Monkey ; Putty-nosed monkey ; Crowned monkey ; Guereza ; Southern Needle-clawed Galago, Allen's Galago, Demidoff's Dwarf Galago and Calabar Angwantibo ; Western gorilla ; Water Chevrotain ; Grey-cheeked mangabey ; African Elephant ; Chimpanzee ; Blue duiker ; Red river hog ; Bongo</t>
  </si>
  <si>
    <t>Atherurus africanus ; Cephalophus callipygus ; Cephalophus dorsalis ; Cephalophus silvicultor ; Cercopithecus cephus ; Cercopithecus nictitans ; Cercopithecus pogonias ; Colobus guereza ; Euoticus elegantulus, Galago alleni, Galagoides demidovii, Arctocebus calabarensis ; Gorilla gorilla ; Hyemoschus aquaticus ; Lophocebus albigena ; Loxodonta africana ; Pan troglodytes ; Philantomba monticola ; Potamochoerus porcus ; Tragelaphus spekii</t>
  </si>
  <si>
    <t>Rodentia ; Cetartiodactyla ; Primates ; Proboscidea</t>
  </si>
  <si>
    <t>Red duikers ; African Elephant</t>
  </si>
  <si>
    <t>Cephalophus callipygus, C. dorsalis, C. leucogaster, C. nigrifrons and C. ogilbyi ; Loxodonta africana</t>
  </si>
  <si>
    <t>Cetartiodactyla ; Proboscidea</t>
  </si>
  <si>
    <t>Red-capped Mangabey ; Red-eared Monkey ; Mona monkey ; Putty-nosed monkey ; Crowned monkey ; Drill ; Pennant's Red Colobus</t>
  </si>
  <si>
    <t>Cercocebus torquatus ; Cercopithecus erythrotis ; Cercopithecus mona ; Cercopithecus nictitans ; Cercopithecus pogonias ; Mandrillus leucophaeus ; Procolobus pennantii</t>
  </si>
  <si>
    <t>Weyns's Duiker ; Blue duiker</t>
  </si>
  <si>
    <t>Cephalophus weynsi ; Philantomba monticola</t>
  </si>
  <si>
    <t>Blue Monkey ; Angolan Colobus ; Udzungwa Red Colobus</t>
  </si>
  <si>
    <t>Cercopithecus mitis ; Colobus angolensis ; Procolobus gordonorum</t>
  </si>
  <si>
    <t>Mealy Amazon ; Salvin's Curassow ; Nocturnal curassow ; Marbled Wood quail ; Spix's Guan ; Blue-throated Piping-guan ; Grey-winged Trumpeter ; Cuvier's Toucan ; White-throated tinamou ; Great tinamou ; Red howler monkey ; Spix's Night Monkey ; White-bellied Spider Monkey ; Red-bellied Titi Monkey ; White-fronted capuchin ; Spotted paca ; Black Agouti ; Humboldt's Woolly Monkey ; Red brocket deer ; Red acouchy ; Collared peccary ; Geoffroy's monk saki ; Kinkajou ; Common Squirrel Monkey ; Southern Amazon Red Squirrel</t>
  </si>
  <si>
    <t>Amazona farinosa ; Mitu salvini ; Nothocrax urumutum ; Odontophorus gujanensis ; Penelope jacquacu ; Pipile cumanensis ; Psophia crepitans ; Ramphastos cuvieri ; Tinamus guttatus ; Tinamus major ; Alouatta seniculus ; Aotus vociferans ; Ateles belzebuth ; Callicebus moloch ; Cebus albifrons ; Cuniculus paca ; Dasyprocta fuliginosa ; Lagothrix lagotricha ; Mazama americana ; Myoprocta acouchy ; Pecari tajacu ; Pithecia monachus ; Potos flavus ; Saimiri sciureus ; Sciurus spadiceus</t>
  </si>
  <si>
    <t>Psittaciformes ; Galliformes ; Gruiformes ; Piciformes ; Tinamiformes ; Primates ; Rodentia ; Cetartiodactyla ; Carnivores</t>
  </si>
  <si>
    <t>African brush-tailed porcupine ; Red duikers ; Yellow back duiker ; Moustached Monkey ; Putty-nosed monkey ; Crowned monkey ; Guereza ; Western gorilla ; Mongoose ; Grey-cheeked mangabey ; Chimpanzee ; Blue duiker ; Red river hog ; Squirrels ; Buffalo ; Greater cane rat ; Bongo</t>
  </si>
  <si>
    <t>Atherurus africanus ; Cephalophus callipygus, C. dorsalis, C. leucogaster and C. nigrifrons ; Cephalophus silvicultor ; Cercopithecus cephus ; Cercopithecus nictitans ; Cercopithecus pogonias ; Colobus guereza ; Gorilla gorilla ; Herpestidae spp ; Lophocebus albigena ; Pan troglodytes ; Philantomba monticola ; Potamochoerus porcus ; Sciurus spp ; Syncerus caffer ; Thryonomys swinderianus ; Tragelaphus spekii</t>
  </si>
  <si>
    <t>Rodentia ; Cetartiodactyla ; Primates ; Carnivores</t>
  </si>
  <si>
    <t>Harvey's duiker ; Giant pouched rat ; Blue duiker</t>
  </si>
  <si>
    <t>Cephalophus harveyi ; Cricetomys gambianus ; Philantomba monticola</t>
  </si>
  <si>
    <t>Cetartiodactyla ; Rodentia</t>
  </si>
  <si>
    <t>African brush-tailed porcupine ; Peters' Duiker ; Bay Duiker ; Blue duiker</t>
  </si>
  <si>
    <t>Atherurus africanus ; Cephalophus callipygus ; Cephalophus dorsalis ; Philantomba monticola</t>
  </si>
  <si>
    <t>Rodentia ; Cetartiodactyla</t>
  </si>
  <si>
    <t>Chacoan peccary ; Screaming Hairy Armadillo ; Large Hairy Armadillo ; Nine-banded Armadillo ; Yellow armadillo ; Grey brocket deer ; Collared peccary ; South american tapir ; White-lipped peccary ; Southern Three-banded Armadillo</t>
  </si>
  <si>
    <t>Catagonus wagneri ; Chaetophractus vellerosus ; Chaetophractus villosus ; Dasypus novemcinctus ; Euphractus sexcinctus ; Mazama gouazoubira ; Pecari tajacu ; Tapirus terrestris ; Tayassu pecari ; Tolypeutes matacus</t>
  </si>
  <si>
    <t>Cetartiodactyla ; Cingulata ; Perissodactyla</t>
  </si>
  <si>
    <t>Central American Agouti ; Red and Yucatan Brown Brocket deer ; South American Coati ; White-tailed deer ; Collared peccary ; White-lipped peccary</t>
  </si>
  <si>
    <t>Dasyprocta punctata ; Mazama americana and M. pandora ; Nasua nasua ; Odocoileus virginianus ; Pecari tajacu ; Tayassu pecari</t>
  </si>
  <si>
    <t>Rodentia ; Cetartiodactyla ; Carnivores</t>
  </si>
  <si>
    <t>Razor-billed curassow ; Spix's Guan ; Pale-winged trumpeter ; Red howler monkey ; Black-headed Night Monkey ; Peruvian spider monkey ; Short-eared dog ; Northern olingo ; Brown Titi Monkey ; White-fronted capuchin ; Spotted paca ; Central American Agouti ; Nine-banded Armadillo ; Black-eared Opossum ; Tayra ; Ocelot ; Red brocket deer ; Grey brocket deer ; Green acouchy ; South American Coati ; Rice rat sp ; Jaguar ; Collared peccary ; Kinkajou ; Spiny rats ; Puma ; Brown-mantled tamarin ; Imperator Tamarin ; Common Squirrel Monkey ; Tufted capuchin ; Bolivian Squirrel ; Southern Amazon Red Squirrel ; Tapeti ; Southern Tamandua ; South american tapir ; White-lipped peccary</t>
  </si>
  <si>
    <t>Mitu tuberosum ; Penelope jacquacu ; Psophia leucoptera ; Alouatta seniculus ; Aotus nigriceps ; Ateles chamek ; Atelocynus microtis ; Bassaricyon gabbii ; Callicebus brunneus ; Cebus albifrons ; Cuniculus paca ; Dasyprocta punctata ; Dasypus novemcinctus ; Didelphis marsupialis ; Eira barbara ; Leopardus pardalis ; Mazama americana ; Mazama gouazoubira ; Myoprocta pratti ; Nasua nasua ; Oryzomys spp. ; Panthera onca ; Pecari tajacu ; Potos flavus ; Proechimys spp ; Puma concolor ; Saguinus fuscicollis ; Saguinus imperator ; Saimiri sciureus ; Sapajus apella ; Sciurus ignitus ; Sciurus spadiceus ; Sylvilagus brasiliensis ; Tamandua tetradactyla ; Tapirus terrestris ; Tayassu pecari</t>
  </si>
  <si>
    <t>Galliformes ; Gruiformes ; Primates ; Carnivores ; Rodentia ; Cingulata ; Didelphimorphia ; Cetartiodactyla ; Lagomorpha ; Pilosa ; Perissodactyla</t>
  </si>
  <si>
    <t>Kloss’s Gibbon ; Pagai Island Macaque ; Mentawai Langur ; Pig-tailed Snub-nosed Monkey</t>
  </si>
  <si>
    <t>Hylobates klossii ; Macaca pagensis ; Presbytis potenziani ; Simias concolor</t>
  </si>
  <si>
    <t>Black curassow ; Tinamous ; Little Chachalaca ; Marail Guan ; Grey-winged Trumpeter ; Guianan Red Howler Monkey ; Black spider monkey ; Red-rumped agouti ; Red brocket deer ; Grey brocket deer ; Collared peccary ; Tufted capuchin</t>
  </si>
  <si>
    <t>Crax alector ; Crypturellus spp. ; Ortalis motmot ; Penelope marail ; Psophia crepitans ; Tinamus spp ; Alouatta macconnelli ; Ateles paniscus ; Dasyprocta leporina ; Mazama americana ; Mazama gouazoubira ; Pecari tajacu ; Sapajus apella</t>
  </si>
  <si>
    <t>Galliformes ; Tinamiformes ; Gruiformes ; Primates ; Rodentia ; Cetartiodactyla</t>
  </si>
  <si>
    <t>Black curassow ; Crestless Curassow ; Spix's Guan ; Grey-winged Trumpeter ; Southern Naked-Tailed Armadillo ; Spotted paca ; Red-rumped agouti ; Greater Long-nosed Armadillo and Nine-banded armadillo ; Black-eared Opossum ; Tayra ; Ocelot ; Red Brocket and Amazonian Brown brocket deer ; Green acouchy ; Giant anteater ; South American Coati ; Jaguar ; Collared peccary ; Giant Armadillo ; Puma ; South american tapir ; White-lipped peccary</t>
  </si>
  <si>
    <t>Crax alector ; Mitu tomentosum ; Penelope jacquacu ; Psophia crepitans ; Cabassous unicinctus ; Cuniculus paca ; Dasyprocta leporina ; Dasypus kappleri and D. novemcinctus ; Didelphis marsupialis ; Eira barbara ; Leopardus pardalis ; Mazama americana and M. nemorivaga ; Myoprocta pratti ; Myrmecophaga tridactyla ; Nasua nasua ; Panthera onca ; Pecari tajacu ; Priodontes maximus ; Puma concolor ; Tapirus terrestris ; Tayassu pecari</t>
  </si>
  <si>
    <t>Galliformes ; Gruiformes ; Cingulata ; Rodentia ; Didelphimorphia ; Carnivores ; Cetartiodactyla ; Pilosa ; Perissodactyla</t>
  </si>
  <si>
    <t>Razor-billed curassow and other Curassows ; Trumpeteers ; Howler monkeys ; Coppery and Red-bellied Titi Monkeys ; White-fronted Capuchin ; Agoutis ; Humboldt's Woolly Monkey ; Collared peccary ; Moustached tamarin and Imperator Tamarin ; Squirrel monkeys ; Southern Amazon Red Squirrel ; Lowland tapir</t>
  </si>
  <si>
    <t>Mitu tuberosum and Crax spp ; Psophia spp ; Alouatta spp ; Callicebus cupreus and C. moloch ; Cebus albifrons ; Dasyprocta spp ; Lagothrix lagotricha ; Pecari tajacu ; Saguinus mystax and imperator ; Saimiri spp ; Sciurus spadiceus ; Tapirus terrestris</t>
  </si>
  <si>
    <t>Galliformes ; Gruiformes ; Primates ; Rodentia ; Cetartiodactyla ; Perissodactyla</t>
  </si>
  <si>
    <t>Bare-faced and Razor-billed Curassows ; Tinamous ; White-crested Guan and Rusty-margined guan ; Red-throated Piping-guan ; Dark-winged Trumpeter ; Red-handed Howler Monkey ; Uta Hick’s Bearded Saki ; Spotted paca ; Red-rumped agouti ; South American red and gray brocket deer ; South American Coati ; Collared peccary ; Giant Armadillo ; Tufted capuchin ; Lowland tapir ; White-lipped peccary</t>
  </si>
  <si>
    <t>Crax fasciolata and Mitu tuberosum ; Crypturellus spp. ; Penelope pileata and P. superciliaris ; Pipile cujubi ; Psophia viridis ; Tinamus spp. ; Alouatta belzebul ; Chiropotes utahickae ; Cuniculus paca ; Dasyprocta leporina ; Mazama americana and M. gouazoubira ; Nasua nasua ; Pecari tajacu ; Priodontes maximus ; Sapajus apella ; Tapirus terrestris ; Tayassu pecari</t>
  </si>
  <si>
    <t>Galliformes ; Tinamiformes ; Gruiformes ; Primates ; Rodentia ; Cetartiodactyla ; Carnivores ; Cingulata ; Perissodactyla</t>
  </si>
  <si>
    <t>Red howler monkey ; Red-bellied Titi Monkey ; Collared Titi Monkey ; Pygmy marmoset ; White-fronted Capuchin ; Buffy saki ; Brown-mantled tamarin ; Moustached tamarin ; Common Squirrel Monkey ; Tufted capuchin ; White-fronted capuchin ; Night monkeys ; Humboldt's Woolly Monkey</t>
  </si>
  <si>
    <t>Alouatta seniculus ; Callicebus moloch ; Callicebus torquatus ; Cebuella pygmaea ; Cebus albifrons ; Pithecia albicans ; Saguinus fuscicollis ; Saguinus mystax ; Saimiri sciureus ; Sapajus apella ; Aotus spp ; Lagothrix lagotricha</t>
  </si>
  <si>
    <t>Culpeo fox ; Puma</t>
  </si>
  <si>
    <t>Pseudalopex culpaeus smithersi ; Puma concolor</t>
  </si>
  <si>
    <t>White-thighed hornbill ; Piping hornbill ; Black-casqued hornbill ; Blue-plantain eater ; African grey parrot ; Red-billed dwarf hornbill ; African pied hornbill ; White-crested hornbill ; Red duikers ; Moustached Monkey ; Putty-nosed monkey ; Crowned monkey ; Ribboned Rope Squirrel ; Western gorilla ; Grey-cheeked mangabey ; African Elephant ; Chimpanzee ; Blue duiker ; African giant squirrel</t>
  </si>
  <si>
    <t>Bycanistes albotibialis ; Bycanistes fistulator ; Ceratogymna atrata ; Corythaeola cristata ; Psittacus erithacus ; Tockus camurus ; Tockus fasciatus ; Tropicranus albocristatus ; Cephalophus spp. ; Cercopithecus cephus ; Cercopithecus nictitans ; Cercopithecus pogonias ; Funisciurus lemniscatus ; Gorilla gorilla ; Lophocebus albigena ; Loxodonta africana ; Pan troglodytes ; Philantomba monticola ; Protoxerus stangeri</t>
  </si>
  <si>
    <t>Bucerotiformes ; Musophagiformes ; Psittaciformes ; Cetartiodactyla ; Primates ; Rodentia ; Proboscidea</t>
  </si>
  <si>
    <t>Red duiker ; Red duikers ; Yellow-backed duiker ; Putty-nosed monkey ; Western gorilla ; Grey-cheeked Mangabey ; African Elephant ; AfricanElephant ; Chimpanzee ; Blue duiker ; Bongo</t>
  </si>
  <si>
    <t>Cephalophus callipygus, C. dorsalis, C. leucogaster and C. nigrifrons ; Cephalophus silvicultor ; Cercopithecus nictitans ; Gorilla gorilla ; Lophocebus albigena ; Loxodonta africana ; Pan troglodytes ; Philantomba monticola ; Tragelaphus eurycerus</t>
  </si>
  <si>
    <t>Red duikers ; Small diurnal monkeys ; Western gorilla ; African Elephant ; Chimpanzee</t>
  </si>
  <si>
    <t>Cephalophus callipygus, C. dorsalis, C. nigrifrons, C. silvicultor and Philantomba monticola ; Cercopithecus cephus, C. nictitans, C. pogonias and Lophocebus albigena ; Gorilla gorilla ; Loxodonta africana ; Pan troglodytes</t>
  </si>
  <si>
    <t>Red and Yucatan Brown Brocket deer ; White-tailed deer ; Collared peccary ; Baird's tapir ; White-lipped peccary</t>
  </si>
  <si>
    <t>Mazama americana and M. pandora ; Odocoileus virginianus ; Pecari tajacu ; Tapirus bairdii ; Tayassu pecari</t>
  </si>
  <si>
    <t>Red howler monkey ; Peruvian spider monkey ; Brown-mantled tamarin ; Black-capped squirrel monkey ; Tufted capuchin</t>
  </si>
  <si>
    <t>Alouatta seniculus ; Ateles chamek ; Saguinus fuscicollis ; Saimiri boliviensis ; Sapajus apella</t>
  </si>
  <si>
    <t>Sanje River Mangabey ; Blue Monkey ; Angolan Colobus ; Yellow Baboon ; Udzungwa Red Colobus</t>
  </si>
  <si>
    <t>Cercocebus sanjei ; Cercopithecus mitis ; Colobus angolensis ; Papio cynocephalus ; Procolobus gordonorum</t>
  </si>
  <si>
    <t>Lorenz Von Liburnau’s Woolly Lemur ; Western Fat-tailed Dwarf Lemur ; Brown lemur ; Milne-Edwards's Sportive Lemur ; Grey Mouse Lemur</t>
  </si>
  <si>
    <t>Avahi occidentalis ; Cheirogaleus medius ; Eulemur fulvus ; Lepilemur edwardsi ; Microcebus murinus</t>
  </si>
  <si>
    <t>Western gorilla ; African Elephant ; Chimpanzee</t>
  </si>
  <si>
    <t>Gorilla gorilla ; Loxodonta africana ; Pan troglodytes</t>
  </si>
  <si>
    <t>Salvin's Curassow ; Speckled chacalaca ; Spix's Guan ; Trinidad Piping-guan ; Grey-winged Trumpeter ; Toucan ; White-bellied Spider Monkey ; Red-bellied Titi Monkey ; White-fronted capuchin ; Spotted paca ; Black Agouti ; Humboldt's Woolly Monkey ; Red brocket deer ; Amazon Dwarf Squirrel ; Green acouchy ; Collared peccary ; Geoffroy's monk saki ; Golden-mantle Saddleback Tamarin ; Common Squirrel Monkey ; Squirrels ; White-lipped peccary</t>
  </si>
  <si>
    <t>Mitu salvini ; Ortalis guttata ; Penelope jacquacu ; Pipile pipile ; Psophia crepitans ; Ramphastos spp ; Ateles belzebuth ; Callicebus moloch ; Cebus albifrons ; Cuniculus paca ; Dasyprocta fuliginosa ; Lagothrix lagotricha ; Mazama americana ; Microsciurus flaviventer ; Myoprocta pratti ; Pecari tajacu ; Pithecia monachus ; Saguinus tripartitus ; Saimiri sciureus ; Sciurus spp ; Tayassu pecari</t>
  </si>
  <si>
    <t>Galliformes ; Gruiformes ; Piciformes ; Primates ; Rodentia ; Cetartiodactyla</t>
  </si>
  <si>
    <t>Bicoloured Hawk ; Great Black Hawk ; Greater Yellow-headed Vulture ; American Swallow-tailed Kite ; Double-toothed Kite ; Rufous-thighed Kite ; Harpy Eagle ; Red-throated Caracara ; Lined Forest-falcon ; Barred Forest-falcon ; Collared Forest-falcon ; Crested Eagle ; White Hawk ; King Vulture ; Black-and-white Hawk-eagle ; Ornate Hawk-eagle</t>
  </si>
  <si>
    <t>Accipiter bicolor ; Buteogallus urubitinga ; Cathartes melambrotus ; Elanoides forficatus ; Harpagus bidentatus ; Harpagus diodon ; Harpia harpyja ; Ibycter americanus ; Micrastur gilvicollis ; Micrastur ruficollis ; Micrastur semitorquatus ; Morphnus guianensis ; Pseudastur albicollis ; Sarcoramphus papa ; Spizaetus melanoleucus ; Spizaetus ornatus</t>
  </si>
  <si>
    <t>Accipitriformes ; Cathartiformes ; Falconidae ; Accipitridae</t>
  </si>
  <si>
    <t>Orange-winged Amazon, Mealy Amazon, Blue-cheeked Amazon, Yellow-crowned Amazon ; Red-and-green Macaw and Scarlet macaw ; Black curassow ; Variegated tinamou ; Marbled Wood quail ; Marail and Blue-throated Piping Guans ; Grey-winged Trumpeter ; Red-billed and Channel-billed Toucans ; Great tinamou</t>
  </si>
  <si>
    <t>Amazona amazonica, A. farinosa, A. dufresniana and A. ochrocephala ; Ara chloroptera and A. macao ; Crax alector ; Crypturellus variegatus ; Odontophorus gujanensis ; Penelope marail and Pipile cumanensis ; Psophia crepitans ; Ramphastos tucanus and R. vitellinus ; Tinamus major</t>
  </si>
  <si>
    <t>Psittaciformes ; Galliformes ; Tinamiformes ; Gruiformes ; Piciformes</t>
  </si>
  <si>
    <t>Red howler monkey ; Black spider monkey ; Wedge-capped capuchin ; White-faced saki ; Golden-handed tamarin ; Tufted capuchin</t>
  </si>
  <si>
    <t>Alouatta seniculus ; Ateles paniscus ; Cebus olivaceus ; Pithecia pithecia ; Saguinus midas ; Sapajus apella</t>
  </si>
  <si>
    <t>Harvey's duiker ; Abbott's duiker ; Blue Monkey ; Angolan Colobus ; Giant pouched rat ; African Elephant ; Aardvark ; Blue duiker and Suni ; Bushpig ; Udzungwa Red Colobus ; Buffalo</t>
  </si>
  <si>
    <t>Cephalophus harveyi ; Cephalophus spadix ; Cercopithecus mitis ; Colobus angolensis ; Cricetomys gambianus ; Loxodonta africana ; Orycteropus afer ; Philantomba monticola, Neotragus moschatus ; Potamochoerus larvatus ; Procolobus gordonorum ; Syncerus caffer</t>
  </si>
  <si>
    <t>Cetartiodactyla ; Primates ; Rodentia ; Proboscidea ; Tubulidentata</t>
  </si>
  <si>
    <t>Great curassow ; Tinamous ; Ocellated Turkey ; Plain Chachalaca ; Keel-billed toucan ; Central American Agouti ; Tayra ; Red and Yucatan Brown Brocket deer ; White-nosed Coati ; White-tailed deer ; Collared peccary ; Squirrels ; White-lipped peccary ; Yucatán Black Howler Monkey ; Spider monkey ; Northern tamandua</t>
  </si>
  <si>
    <t>Crax rubra ; Crypturellus spp. ; Meleagris ocellata ; Ortalis vetula ; Ramphastos sulfuratus ; Dasyprocta punctata ; Eira barbara ; Mazama americana and M. pandora ; Nasua narica ; Odocoileus virginianus ; Pecari tajacu ; Sciurus spp ; Tayassu pecari ; Alouatta pigra ; Ateles geoffroyi ; Tamandua mexicana</t>
  </si>
  <si>
    <t>Galliformes ; Tinamiformes ; Piciformes ; Rodentia ; Carnivores ; Cetartiodactyla ; Primates ; Pilosa</t>
  </si>
  <si>
    <t>Red duikers ; Yellow back duiker ; Small diurnal monkeys ; African Elephant ; Blue duiker</t>
  </si>
  <si>
    <t>Cephalophus callipygus, C. dorsalis, C. leucogaster, C. nigrifrons and C. ogilbyi ; Cephalophus silvicultor ; Cercopithecus cephus, C. nictitans, C. pogonias and Lophocebus albigena ; Loxodonta africana ; Philantomba monticola</t>
  </si>
  <si>
    <t>Gaur ; Asian Elephant ; Red muntjac ; Leopard ; Tiger ; Sambar ; Wild boar ; Malayan tapir</t>
  </si>
  <si>
    <t>Bos gaurus ; Elephas maximus ; Muntiacus muntjak ; Panthera pardus ; Panthera tigris ; Rusa unicolor ; Sus scrofa ; Tapirus indicus</t>
  </si>
  <si>
    <t>Cetartiodactyla ; Proboscidea ; Carnivores ; Perissodactyla</t>
  </si>
  <si>
    <t>Moustached Monkey ; Putty-nosed monkey ; Crowned monkey ; Guereza ; Grey-cheeked mangabey ; Chimpanzee</t>
  </si>
  <si>
    <t>Cercopithecus cephus ; Cercopithecus nictitans ; Cercopithecus pogonias ; Colobus guereza ; Lophocebus albigena ; Pan troglodytes</t>
  </si>
  <si>
    <t>Brown-cheeked Hornbill ; Western Piping Hornbill ; Black-casqued hornbill ; Red-billed dwarf hornbill ; African pied hornbill ; White-crested hornbill</t>
  </si>
  <si>
    <t>Bycanistes cylindricus ; Bycanistes fistulator ; Ceratogymna atrata ; Tockus camurus ; Tockus fasciatus ; Tropicranus albocristatus</t>
  </si>
  <si>
    <t>Red and Yucatan Brown Brocket deer ; White-tailed deer</t>
  </si>
  <si>
    <t>Mazama americana and M. pandora ; Odocoileus virginianus</t>
  </si>
  <si>
    <t>Red duikers ; Yellow back duiker ; African civet ; Genets ; Mongoose ; Water Chevrotain ; Forest Hog ; African Elephant ; Bates' Pygmy Antelope ; Okapi ; Chimpanzee ; Leopard ; Olive Baboon ; Blue duiker ; Red river hog ; Giant Ground Pangolin ; Buffalo</t>
  </si>
  <si>
    <t>Cephalophus callipygus, C. dorsalis, C. leucogaster and C. nigrifrons ; Cephalophus silvicultor ; Civettictis civetta ; Genetta spp ; Herpestidae spp ; Hyemoschus aquaticus ; Hylochoerus meinertzhageni ; Loxodonta africana ; Neotragus batesi ; Okapia johnstoni ; Pan troglodytes ; Panthera pardus ; Papio anubis ; Philantomba monticola ; Potamochoerus porcus ; Smutsia gigantea ; Syncerus caffer</t>
  </si>
  <si>
    <t>Cetartiodactyla ; Carnivores ; Proboscidea ; Primates ; Pholidota</t>
  </si>
  <si>
    <t>Howler monkey ; White-faced capuchin ; Central American Agouti ; Black-eared Opossum ; Red brocket deer and white-tailed deer ; White-nosed Coati ; Collared peccary ; Tome's Spiny Rat ; Geoffroy’s Tamarin ; Red-tailed Squirrel ; Northern tamandua</t>
  </si>
  <si>
    <t>Alouatta palliata ; Cebus capuchinus ; Dasyprocta punctata ; Didelphis marsupialis ; Mazama americana and Odocoileus virginianus ; Nasua narica ; Pecari tajacu ; Proechimys semispinosus ; Saguinus geoffroyi ; Sciurus granatensis ; Tamandua mexicana</t>
  </si>
  <si>
    <t>Primates ; Rodentia ; Didelphimorphia ; Cetartiodactyla ; Carnivores ; Pilosa</t>
  </si>
  <si>
    <t>Red duikers ; Yellow back duiker ; African Elephant ; Blue duiker ; Red river hog</t>
  </si>
  <si>
    <t>Cephalophus callipygus, C. dorsalis, C. leucogaster and C. nigrifrons ; Cephalophus silvicultor ; Loxodonta africana ; Philantomba monticola ; Potamochoerus porcus</t>
  </si>
  <si>
    <t>Publication Type</t>
  </si>
  <si>
    <t>Authors</t>
  </si>
  <si>
    <t>Book Authors</t>
  </si>
  <si>
    <t>Book Editors</t>
  </si>
  <si>
    <t>Book Group Authors</t>
  </si>
  <si>
    <t>Author Full Names</t>
  </si>
  <si>
    <t>Book Author Full Names</t>
  </si>
  <si>
    <t>Group Authors</t>
  </si>
  <si>
    <t>Article Title</t>
  </si>
  <si>
    <t>Source Title</t>
  </si>
  <si>
    <t>Book Series Title</t>
  </si>
  <si>
    <t>Book Series Subtitle</t>
  </si>
  <si>
    <t>Language</t>
  </si>
  <si>
    <t>Document Type</t>
  </si>
  <si>
    <t>Conference Title</t>
  </si>
  <si>
    <t>Conference Date</t>
  </si>
  <si>
    <t>Conference Location</t>
  </si>
  <si>
    <t>Conference Sponsor</t>
  </si>
  <si>
    <t>Conference Host</t>
  </si>
  <si>
    <t>Author Keywords</t>
  </si>
  <si>
    <t>Keywords Plus</t>
  </si>
  <si>
    <t>Abstract</t>
  </si>
  <si>
    <t>Addresses</t>
  </si>
  <si>
    <t>Affiliations</t>
  </si>
  <si>
    <t>Reprint Addresses</t>
  </si>
  <si>
    <t>Email Addresses</t>
  </si>
  <si>
    <t>Researcher Ids</t>
  </si>
  <si>
    <t>ORCIDs</t>
  </si>
  <si>
    <t>Funding Orgs</t>
  </si>
  <si>
    <t>Funding Name Preferred</t>
  </si>
  <si>
    <t>Funding Text</t>
  </si>
  <si>
    <t>Cited References</t>
  </si>
  <si>
    <t>Cited Reference Count</t>
  </si>
  <si>
    <t>Times Cited, WoS Core</t>
  </si>
  <si>
    <t>Times Cited, All Databases</t>
  </si>
  <si>
    <t>180 Day Usage Count</t>
  </si>
  <si>
    <t>Since 2013 Usage Count</t>
  </si>
  <si>
    <t>Publisher</t>
  </si>
  <si>
    <t>Publisher City</t>
  </si>
  <si>
    <t>Publisher Address</t>
  </si>
  <si>
    <t>ISSN</t>
  </si>
  <si>
    <t>eISSN</t>
  </si>
  <si>
    <t>ISBN</t>
  </si>
  <si>
    <t>Journal Abbreviation</t>
  </si>
  <si>
    <t>Journal ISO Abbreviation</t>
  </si>
  <si>
    <t>Publication Date</t>
  </si>
  <si>
    <t>Publication Year</t>
  </si>
  <si>
    <t>Volume</t>
  </si>
  <si>
    <t>Issue</t>
  </si>
  <si>
    <t>Part Number</t>
  </si>
  <si>
    <t>Supplement</t>
  </si>
  <si>
    <t>Special Issue</t>
  </si>
  <si>
    <t>Meeting Abstract</t>
  </si>
  <si>
    <t>Start Page</t>
  </si>
  <si>
    <t>End Page</t>
  </si>
  <si>
    <t>Article Number</t>
  </si>
  <si>
    <t>DOI Link</t>
  </si>
  <si>
    <t>Book DOI</t>
  </si>
  <si>
    <t>Early Access Date</t>
  </si>
  <si>
    <t>Number of Pages</t>
  </si>
  <si>
    <t>WoS Categories</t>
  </si>
  <si>
    <t>Web of Science Index</t>
  </si>
  <si>
    <t>Research Areas</t>
  </si>
  <si>
    <t>IDS Number</t>
  </si>
  <si>
    <t>Pubmed Id</t>
  </si>
  <si>
    <t>Open Access Designations</t>
  </si>
  <si>
    <t>Highly Cited Status</t>
  </si>
  <si>
    <t>Hot Paper Status</t>
  </si>
  <si>
    <t>Date of Export</t>
  </si>
  <si>
    <t>UT (Unique WOS ID)</t>
  </si>
  <si>
    <t>location</t>
  </si>
  <si>
    <t>habitat</t>
  </si>
  <si>
    <t>taxa</t>
  </si>
  <si>
    <t>order</t>
  </si>
  <si>
    <t>accesspoint</t>
  </si>
  <si>
    <t>huntingtype</t>
  </si>
  <si>
    <t>legality</t>
  </si>
  <si>
    <t>region</t>
  </si>
  <si>
    <t>country</t>
  </si>
  <si>
    <t>protectedarea</t>
  </si>
  <si>
    <t>biome_orig</t>
  </si>
  <si>
    <t>biome</t>
  </si>
  <si>
    <t>realm</t>
  </si>
  <si>
    <t>kingdom</t>
  </si>
  <si>
    <t>phylum</t>
  </si>
  <si>
    <t>class</t>
  </si>
  <si>
    <t>group</t>
  </si>
  <si>
    <t>commonname</t>
  </si>
  <si>
    <t>specie</t>
  </si>
  <si>
    <t>Web of Science Record</t>
  </si>
  <si>
    <t>J</t>
  </si>
  <si>
    <t>Gray, TNE; Phan, C</t>
  </si>
  <si>
    <t>Gray, Thomas N. E.; Phan, Channa</t>
  </si>
  <si>
    <t>HABITAT PREFERENCES AND ACTIVITY PATTERNS OF THE LARGER MAMMAL COMMUNITY IN PHNOM PRICH WILDLIFE SANCTUARY, CAMBODIA</t>
  </si>
  <si>
    <t>RAFFLES BULLETIN OF ZOOLOGY</t>
  </si>
  <si>
    <t>English</t>
  </si>
  <si>
    <t>Article</t>
  </si>
  <si>
    <t>Camera-trap; deciduous dipterocarp forest; wild cattle; human disturbance; Indochina</t>
  </si>
  <si>
    <t>PHOTOGRAPHIC RATES; ESTIMATE DENSITIES; PREY POPULATIONS; ACTIVITY PERIODS; FOREST; CONSERVATION; DIVERSITY; ABUNDANCE; TIGERS; BIODIVERSITY</t>
  </si>
  <si>
    <t>The northern and eastern plains of Cambodia support one of the largest extents of lowland deciduous forest in South-east Asia and are globally significant for mammal conservation. Between Dec.2008 and Aug.2009 intensive camera-trapping was conducted within mosaic deciduous dipterocarp and mixed-deciduous/semi-evergreen forest in the east of Phnom Prich Wildlife Sanctuary, Mondulkiri province, Cambodia. Forty camera-trap locations were set up for &gt;2700 camera-trap nights producing 707 independent encounters of 23 mammal species. Eight globally threatened species of mammals were recorded including the Asian elephant (Elephas maximus), banteng (Bos javanicus) and dhole (Cuon alpinus). Two species, the gaur (Bos gaurus) and pig-tailed macaque (Macaca nemestrina), showed significant preference for forest type (higher Relative Abundance Index of both species in mixed-deciduous/semi-evergreen forest). The mix of drier deciduous dipterocarp forest and wetter mixed-deciduous and semi-evergreen forest appears important for maintaining the conservation value of the site. Camera trap encounter rates were lower in areas within a day's walk from villages at the periphery of the protected area whilst cathemeral species displayed higher proportions of nocturnal activity than in similar studies from elsewhere in South-east Asia. We suggest disturbance and hunting may therefore be affecting the distribution and activity patterns of key species. Managing the Non Timber Forest Product (NTFP) collectors as well as finalising, and enforcing, zonation within the protected area are recommended conservation measures for the mammal community.</t>
  </si>
  <si>
    <t>[Gray, Thomas N. E.; Phan, Channa] World Wide Fund Nat Greater Mekong, Cambodia Country Program, Phnom Penh, Cambodia</t>
  </si>
  <si>
    <t>Gray, TNE (corresponding author), World Wide Fund Nat Greater Mekong, Cambodia Country Program, House 54,St 352,Boeung Keng Kang 1,POB 2467, Phnom Penh, Cambodia.</t>
  </si>
  <si>
    <t>tomnegray@hotmail.com; phanchannal@yahoo.com</t>
  </si>
  <si>
    <t>Gray, Thomas/AAK-6800-2020</t>
  </si>
  <si>
    <t>WWF-US; Humanscale</t>
  </si>
  <si>
    <t>This study was conducted as part of WWF Greater Mekong Cambodia Program's Eastern Plains Landscape project. Major funding was provided by WWF-US and Humanscale. Two anonymous reviewers provided comments which improved the quality a this manuscript. Work in PPWS was supported by His Excellency Chay Samith and Chak Sokhavicheaboth. We thank Sary Tre, Sin Senoun and Sin Somoan for assistance in data collection and Craig Bruce, Pem Maly and Seng Teak for logistical support.</t>
  </si>
  <si>
    <t>NATL UNIV SINGAPORE, SCHOOL BIOLOGICAL SCIENCES</t>
  </si>
  <si>
    <t>SINGAPORE</t>
  </si>
  <si>
    <t>DEPT ZOOLOGY, KENT RIDGE, SINGAPORE 0511, SINGAPORE</t>
  </si>
  <si>
    <t>0217-2445</t>
  </si>
  <si>
    <t>RAFFLES B ZOOL</t>
  </si>
  <si>
    <t>Raffles Bull. Zool.</t>
  </si>
  <si>
    <t>AUG 31</t>
  </si>
  <si>
    <t>Zoology</t>
  </si>
  <si>
    <t>Science Citation Index Expanded (SCI-EXPANDED)</t>
  </si>
  <si>
    <t>905YN</t>
  </si>
  <si>
    <t>2025-12-25</t>
  </si>
  <si>
    <t>WOS:000301312200022</t>
  </si>
  <si>
    <t>["Asia and the Pacific"]</t>
  </si>
  <si>
    <t>["Cambodia"]</t>
  </si>
  <si>
    <t>["Tropical-subtropical forests"]</t>
  </si>
  <si>
    <t>["Terrestrial"]</t>
  </si>
  <si>
    <t>["Animalia"]</t>
  </si>
  <si>
    <t>["Chordata"]</t>
  </si>
  <si>
    <t>["Mammalia"]</t>
  </si>
  <si>
    <t>["Green imperial pigeon", "Mountain Imperial Pigeon", "Wreathed Hornbill", "Oriental Pied Hornbill", "Great Pied Hornbill"]</t>
  </si>
  <si>
    <t>["Ducula aenea", "Ducula badia", "Aceros undulatus", "Anthracoceros albirostris", "Buceros bicornis"]</t>
  </si>
  <si>
    <t>["Columbiformes", "Bucerotiformes"]</t>
  </si>
  <si>
    <t>Magige, FJ; Holmern, T; Stokke, S; Mlingwa, C; Roskaft, E</t>
  </si>
  <si>
    <t>Magige, Flora John; Holmern, Tomas; Stokke, Sigbjorn; Mlingwa, Charles; Roskaft, Eivin</t>
  </si>
  <si>
    <t>Does illegal hunting affect density and behaviour of African grassland birds? A case study on ostrich (Struthio camelus)</t>
  </si>
  <si>
    <t>BIODIVERSITY AND CONSERVATION</t>
  </si>
  <si>
    <t>Distance sampling; Flight initiation distance; Illegal hunting; Ostrich; Struthio camelus; Serengeti</t>
  </si>
  <si>
    <t>SERENGETI-NATIONAL-PARK; PARTIALLY PROTECTED AREAS; WEST-AFRICA; CONSERVATION; TANZANIA; DISTANCE; DECLINE; FOREST; POPULATIONS; DISTURBANCE</t>
  </si>
  <si>
    <t>Widespread bushmeat hunting represents one of the major threats to many mammals and birds in Africa. We studied the influence of illegal bushmeat hunting on large grassland birds in the Serengeti National Park (SNP) and adjoining protected areas, by using the ostrich (Struthio camelus) as a case study. First, we documented illegal hunting of both small and large birds by using a questionnaire in the villages on the western and eastern side of the SNP. Second, we studied the effect of illegal hunting on density by driving 4,659 km of transects inside SNP and on the adjacent protected areas, where the data were analysed by DISTANCE sampling. Last, we used flight initiation distance (FID, i.e. the distance between an approaching predator (human) and prey when flight is started), to assess possible impacts on behaviour from illegal hunting. We found that people from the western side of the SNP admitted to hunting both small and large grassland birds, and collect ostrich feathers and eggs. Although the Maasai also hunted small birds, only ostrich feathers and eggs of the large grassland birds were used. Surprisingly, we found no significant differences in densities between the SNP and adjoining partially protected areas, but ostriches had longer FID to an approaching human outside the SNP. Currently illegal hunting does not appear to affect the ostrich population, but given the extensive use of birds for consumption more awareness educational programs accompanied by provision of agricultural incentives within the protected areas are needed.</t>
  </si>
  <si>
    <t>[Magige, Flora John] Univ Dar Es Salaam, Dept Zool &amp; Wildlife Conservat, Dar Es Salaam, Tanzania; [Holmern, Tomas; Roskaft, Eivin] Norwegian Univ Sci &amp; Technol, Dept Biol, N-7491 Trondheim, Norway; [Stokke, Sigbjorn] Norwegian Inst Nat Res, N-7485 Trondheim, Norway; [Mlingwa, Charles] Tanzania Wildlife Res Inst, Arusha, Tanzania</t>
  </si>
  <si>
    <t>University of Dar es Salaam; Norwegian University of Science &amp; Technology (NTNU); Norwegian Institute Nature Research</t>
  </si>
  <si>
    <t>Magige, FJ (corresponding author), Univ Dar Es Salaam, Dept Zool &amp; Wildlife Conservat, POB 35064, Dar Es Salaam, Tanzania.</t>
  </si>
  <si>
    <t>magigef@yahoo.co.uk</t>
  </si>
  <si>
    <t>Magige, Flora/ABB-7595-2020; Røskaft, Eivin/N-7476-2019</t>
  </si>
  <si>
    <t>World Bank sponsored Lower Kihansi Environmental Management Project</t>
  </si>
  <si>
    <t>This study would not have been successful without funds from the World Bank sponsored Lower Kihansi Environmental Management Project. We thank G. Mwakalebe, N. Masawe, J. Kabondo, O. Mwakabejela and R. Sortland for their excellent field assistance. Thanks are also due to C. Melis and T. H. Setsaas for helping us with some of the statistics, and Frank Hanssen and Graciela Rusch for providing data on the vegetation. Thanks to Asanterabi Lowassa for assisting with administering the questionnaires. We would also like to thank TANAPA for granting permission to work in the SNP and its people for being cooperative during the whole period of data collection. Finally we would like to acknowledge the cooperation and kindness of all TAWIRI people at the headquarters and Seronera Research Centre.</t>
  </si>
  <si>
    <t>SPRINGER</t>
  </si>
  <si>
    <t>DORDRECHT</t>
  </si>
  <si>
    <t>VAN GODEWIJCKSTRAAT 30, 3311 GZ DORDRECHT, NETHERLANDS</t>
  </si>
  <si>
    <t>0960-3115</t>
  </si>
  <si>
    <t>1572-9710</t>
  </si>
  <si>
    <t>BIODIVERS CONSERV</t>
  </si>
  <si>
    <t>Biodivers. Conserv.</t>
  </si>
  <si>
    <t>MAY</t>
  </si>
  <si>
    <t>Biodiversity Conservation; Ecology; Environmental Sciences</t>
  </si>
  <si>
    <t>Biodiversity &amp; Conservation; Environmental Sciences &amp; Ecology</t>
  </si>
  <si>
    <t>443VU</t>
  </si>
  <si>
    <t>WOS:000265939700017</t>
  </si>
  <si>
    <t>["Africa"]</t>
  </si>
  <si>
    <t>["Tanzania"]</t>
  </si>
  <si>
    <t>["Savannas and grasslands"]</t>
  </si>
  <si>
    <t>["Ostrich"]</t>
  </si>
  <si>
    <t>["Struthio camelus"]</t>
  </si>
  <si>
    <t>["Struthioniformes"]</t>
  </si>
  <si>
    <t>Thiollay, JM</t>
  </si>
  <si>
    <t>Effects of hunting on guianan forest game birds</t>
  </si>
  <si>
    <t>French Guiana; game birds; hunting; tropical forest</t>
  </si>
  <si>
    <t>COMMUNITY STRUCTURE; DIVERSITY; SUSTAINABILITY; DISTURBANCE; DENSITY</t>
  </si>
  <si>
    <t>To assess the effect of on-going and of previous or near by hunting pressure on game birds in a neotropical rain forest (French Guiana), I compared species abundances between six hunted and disturbed areas, seven non-hunted and pristine areas and eight intermediate areas, undisturbed and not currently hunted, but formerly hunted or close to current hunting areas. I recorded all birds detected within 100 m-wide strip transects, walked at random through every forest type all day long. The frequency of records per 10 h and flock sizes on each transect were averaged over all surveys in each study site (N = 3025 h). Censused groups included terrestrial (tinamous, woodquails, curassow and trumpeter) and arboreal species (guans, macaws, parrots, toucans), but not waterbirds. The abundance of all game birds was higher in non-hunted than in hunted areas, though not always significantly for secretive understorey species (tinamous, guans, wood-quail) or canopy frugivores (parrots, macaws, toucans). The Black Curassow and Gray-winged Trumpeter exhibited the highest and most consistent increases (7-10-fold) and more so between intermediate and non-hunted sites than between hunted and intermediate sites. The mean flock size also increased along the hunting gradient, especially in flocking species (macaws, parrots, trumpeter). Low reproductive rates and/or seasonal movements may explain that hunting pressure could still be felt after hunting has ceased or when it persists only away from a given area. Such a persistent effect would affect some populations in small protected areas.</t>
  </si>
  <si>
    <t>Museum Natl Hist Nat, CERSP, UMR 5173, F-75005 Paris, France</t>
  </si>
  <si>
    <t>Museum National d'Histoire Naturelle (MNHN)</t>
  </si>
  <si>
    <t>Thiollay, JM (corresponding author), Museum Natl Hist Nat, CERSP, UMR 5173, 61 Rue Buffon, F-75005 Paris, France.</t>
  </si>
  <si>
    <t>thiollay@mnhn.fr</t>
  </si>
  <si>
    <t>917ZE</t>
  </si>
  <si>
    <t>WOS:000228507100007</t>
  </si>
  <si>
    <t>["Americas"]</t>
  </si>
  <si>
    <t>["French Guiana"]</t>
  </si>
  <si>
    <t>["Orange-winged Amazon, Mealy Amazon, Blue-cheeked Amazon, Yellow-crowned Amazon", "Red-and-green Macaw and Scarlet macaw", "Black curassow", "Variegated tinamou", "Marbled Wood quail", "Marail and Blue-throated Piping Guans", "Grey-winged Trumpeter", "Red-billed and Channel-billed Toucans", "Great tinamou"]</t>
  </si>
  <si>
    <t>["Amazona amazonica, A. farinosa, A. dufresniana and A. ochrocephala", "Ara chloroptera and A. macao", "Crax alector", "Crypturellus variegatus", "Odontophorus gujanensis", "Penelope marail and Pipile cumanensis", "Psophia crepitans", "Ramphastos tucanus and R. vitellinus", "Tinamus major"]</t>
  </si>
  <si>
    <t>["Psittaciformes", "Galliformes", "Tinamiformes", "Gruiformes", "Piciformes"]</t>
  </si>
  <si>
    <t>Parry, L; Barlow, J; Peres, CA</t>
  </si>
  <si>
    <t>Parry, Luke; Barlow, Jos; Peres, Carlos A.</t>
  </si>
  <si>
    <t>Hunting for Sustainability in Tropical Secondary Forests</t>
  </si>
  <si>
    <t>CONSERVATION BIOLOGY</t>
  </si>
  <si>
    <t>bushmeat; deforestation; food security; game birds; hunting; large mammals; secondary forest; sustainability</t>
  </si>
  <si>
    <t>IMPACT; CONSERVATION; AGRICULTURE; PATTERNS; PRIMATES; WILDLIFE; FUTURE; MODEL; HOME</t>
  </si>
  <si>
    <t>The interaction between land-use change and the sustainability of hunting is poorly understood but is critical for sustaining hunted vertebrate populations and a protein supply for the rural poor. We investigated sustainability of hunting in an Amazonian landscape mosaic, where a small human population had access to large areas of both primary and secondary forest. Harvestable production of mammals and birds was calculated from density estimates. We compared production with offtake from three villages and used catch-per-unit-effort as an independent measure of prey abundance. Most species were hunted unsustainably in primary forest, leading to local depletion of the largest primates and birds. The estimated sustainable supply of wild meat was higher for primary (39 kg center dot km(-2) center dot yr(-1)) than secondary forest (22 kg center dot km(-2) center dot yr(-1)) because four species were absent and three species at low abundance in secondary forests. Production of three disturbance-tolerant mammal species was 3 times higher in secondary than in primary forest, but hunting led to overexploitation of one species. Our data suggest that an average Amazonian smallholder would require &gt;= 3.1 km(2) of secondary regrowth to ensure a sustainable harvest of forest vertebrates. We conclude that secondary forests can sustainably provide only 2% of the required protein intake of Amazonian smallholders and are unlikely to be sufficient for sustainable hunting in other tropical forest regions.</t>
  </si>
  <si>
    <t>[Parry, Luke; Peres, Carlos A.] Univ E Anglia, Sch Environm Sci, Norwich NR4 7TJ, Norfolk, England; [Parry, Luke] EMBRAPA, CIFOR, BR-66095100 Belem, Para, Brazil; [Barlow, Jos] Univ Lancaster, Lancaster Environm Ctr, Lancaster LA1 4YQ, England</t>
  </si>
  <si>
    <t>University of East Anglia; CGIAR; Center for International Forestry Research (CIFOR); Empresa Brasileira de Pesquisa Agropecuaria (EMBRAPA); Lancaster University</t>
  </si>
  <si>
    <t>Parry, L (corresponding author), Univ E Anglia, Sch Environm Sci, Norwich NR4 7TJ, Norfolk, England.</t>
  </si>
  <si>
    <t>l.parry@uea.ac.uk</t>
  </si>
  <si>
    <t>Peres, Carlos/B-1276-2013; Barlow, Jos/HGE-9486-2022; Peres, Carlos/B-1276-2013; Parry, Luke/LMN-8844-2024</t>
  </si>
  <si>
    <t>Peres, Carlos/0000-0002-1588-8765; Parry, Luke/0000-0003-0330-9516; Barlow, Jos/0000-0003-4992-2594; Peres, Carlos/0000-0002-1588-8765;</t>
  </si>
  <si>
    <t>Karen Hanssen Trust; Center for International Forestry Research (CIFOR); Engineering and Physical Sciences Research Council [EP/E500811/1] Funding Source: researchfish</t>
  </si>
  <si>
    <t>Karen Hanssen Trust; Center for International Forestry Research (CIFOR)(CGIAR); Engineering and Physical Sciences Research Council(UK Research &amp; Innovation (UKRI)Engineering &amp; Physical Sciences Research Council (EPSRC))</t>
  </si>
  <si>
    <t>We thank villagers for their participation and Jari Celulose/Orsa Florestal for logistical support. Funding came from the Karen Hanssen Trust, a Rufford Small Grant for Nature Conservation, the People's Trust for Endangered Species, and Columbus Zoo. L.P. was supported by a Forest Livelihoods Fellowship from the Center for International Forestry Research (CIFOR). We thank M. Cohn-Haft, W. Overal, P. Shanley, P. Sherman, and T. Waite for advice. The manuscript was improved by comments from T. Gardner, F. Melo, E. J. Milner-Gulland, and two anonymous reviewers. This is publication number 18 of the Land-use Change and Amazonian Biodiversity Project.</t>
  </si>
  <si>
    <t>WILEY</t>
  </si>
  <si>
    <t>HOBOKEN</t>
  </si>
  <si>
    <t>111 RIVER ST, HOBOKEN 07030-5774, NJ USA</t>
  </si>
  <si>
    <t>0888-8892</t>
  </si>
  <si>
    <t>1523-1739</t>
  </si>
  <si>
    <t>CONSERV BIOL</t>
  </si>
  <si>
    <t>Conserv. Biol.</t>
  </si>
  <si>
    <t>OCT</t>
  </si>
  <si>
    <t>494HJ</t>
  </si>
  <si>
    <t>WOS:000269802200030</t>
  </si>
  <si>
    <t>["Brazil"]</t>
  </si>
  <si>
    <t>["Mammalia", "Aves"]</t>
  </si>
  <si>
    <t>["Black curassow", "Tinamous", "Little Chachalaca", "Marail Guan", "Grey-winged Trumpeter", "Guianan Red Howler Monkey", "Black spider monkey", "Red-rumped agouti", "Red brocket deer", "Grey brocket deer", "Collared peccary", "Tufted capuchin"]</t>
  </si>
  <si>
    <t>["Crax alector", "Crypturellus spp.", "Ortalis motmot", "Penelope marail", "Psophia crepitans", "Tinamus spp", "Alouatta macconnelli", "Ateles paniscus", "Dasyprocta leporina", "Mazama americana", "Mazama gouazoubira", "Pecari tajacu", "Sapajus apella"]</t>
  </si>
  <si>
    <t>["Galliformes", "Tinamiformes", "Gruiformes", "Primates", "Rodentia", "Cetartiodactyla"]</t>
  </si>
  <si>
    <t>Urquiza-Haas, T; Peres, CA; Dolman, PM</t>
  </si>
  <si>
    <t>Urquiza-Haas, T.; Peres, C. A.; Dolman, P. M.</t>
  </si>
  <si>
    <t>Large vertebrate responses to forest cover and hunting pressure in communal landholdings and protected areas of the Yucatan Peninsula, Mexico</t>
  </si>
  <si>
    <t>ANIMAL CONSERVATION</t>
  </si>
  <si>
    <t>forest cover; hunting pressure; large mammals; game birds; protected areas; communally managed areas</t>
  </si>
  <si>
    <t>MONKEY ALOUATTA-PIGRA; HABITAT PREFERENCES; POPULATION-DENSITY; TROPICAL FOREST; QUINTANA-ROO; FRUIT PRODUCTION; SEED DISPERSAL; NATIONAL-PARK; WILDLIFE; CONSERVATION</t>
  </si>
  <si>
    <t>Although tropical forest vertebrate populations are often heavily impacted by both habitat loss and subsistence hunting, in many human-dominated landscapes their fate depends on the wider habitat matrix outside protected areas. This study used line-transect surveys to examine patterns of vertebrate species richness and encounter rates (ER) throughout Mexico's Yucatan Peninsula across a broad spectrum of anthropogenic forest disturbances. Censuses were carried out at eight forest sites, including two localities within the Sian Ka'an Biosphere Reserve, a communally managed protected area, a private forest reserve and three communal-tenure landholding units. Species richness increased with increasing forest cover in the surrounding landscape, but was not affected by the degree of hunting pressure. Responses to different forms of disturbance varied markedly across species and functional groups. Aggregate ER of old-growth specialists were positively correlated with forest cover, but unrelated to hunting pressure. Hunting pressure was strongly related to aggregate ER of game species, particularly of preferred prey, and a meta-analysis of species-specific correlations showed a significant effect of hunting pressure on the ER across individual game species. Sampling within old-growth forest of Sian Ka'an yielded relatively high ER for almost all species. In comparison, low ER were obtained for several species at Sian Ka'an sites consisting of a higher proportion of open habitat. Landholding units showed low relative abundances, but species ER varied depending on disturbance type. The communally managed reserve exhibited high ER for both game and non-game species. Synthesis of these results with comparable data from 19 additional Mesoamerican sites shows that species-specific ER found across the Yucatan Peninsula are within the ranges observed elsewhere, with a consistent pattern of lower abundances in hunted sites. It is critical that private, communal and public-sector reserves are integrated into a coordinated management approach across the wider landscape in this biodiversity hotspot and throughout the Mesoamerican Biological Corridor.</t>
  </si>
  <si>
    <t>[Urquiza-Haas, T.] Comis Nacl Conocimiento &amp; Uso Biodiversidad, Direcc Anal &amp; Prioridades, Tlalpan 14010, DF, Mexico; [Urquiza-Haas, T.; Peres, C. A.; Dolman, P. M.] Univ E Anglia, Sch Environm Sci, Norwich NR4 7TJ, Norfolk, England</t>
  </si>
  <si>
    <t>University of East Anglia</t>
  </si>
  <si>
    <t>Urquiza-Haas, T (corresponding author), Comis Nacl Conocimiento &amp; Uso Biodiversidad, Direcc Anal &amp; Prioridades, Liga Perifer Insurgentes Sur 4903 Col,Parques Ped, Tlalpan 14010, DF, Mexico.</t>
  </si>
  <si>
    <t>turquiza@conabio.gob.mx</t>
  </si>
  <si>
    <t>Peres, Carlos/B-1276-2013; Peres, Carlos/B-1276-2013; Dolman, Paul/AAK-3914-2020</t>
  </si>
  <si>
    <t>Peres, Carlos/0000-0002-1588-8765; Urquiza-Haas, Tania/0000-0002-7065-6326; Dolman, Paul/0000-0002-9340-2791</t>
  </si>
  <si>
    <t>Wildlife Conservation Society; CONACYT (Consejo Nacional de Ciencia y Tecnologia)</t>
  </si>
  <si>
    <t>Wildlife Conservation Society; CONACYT (Consejo Nacional de Ciencia y Tecnologia)(Consejo Nacional de Ciencia y Tecnologia (CONACyT))</t>
  </si>
  <si>
    <t>This work was supported by a grant from the Wildlife Conservation Society and a CONACYT (Consejo Nacional de Ciencia y Tecnologia) fellowship to T. U.-H. We are grateful to Alejandro Tuz, Arsenio Xool and Cosme Caamal for assistance in the field. T. U.-H is indebted to all Mayan communities from the study area for their help and hospitality and wants to thank Juan Carlos Faller, Cecilia Elizondo, David Lopez and her family for their continuing support. We are grateful to the editor and two anonymous referees for helpful comments.</t>
  </si>
  <si>
    <t>1367-9430</t>
  </si>
  <si>
    <t>1469-1795</t>
  </si>
  <si>
    <t>ANIM CONSERV</t>
  </si>
  <si>
    <t>Anim. Conserv.</t>
  </si>
  <si>
    <t>JUN</t>
  </si>
  <si>
    <t>Biodiversity Conservation; Ecology</t>
  </si>
  <si>
    <t>Science Citation Index Expanded (SCI-EXPANDED); Social Science Citation Index (SSCI)</t>
  </si>
  <si>
    <t>769TI</t>
  </si>
  <si>
    <t>Bronze</t>
  </si>
  <si>
    <t>WOS:000291040800011</t>
  </si>
  <si>
    <t>["Mexico"]</t>
  </si>
  <si>
    <t>["Great curassow", "Tinamous", "Ocellated Turkey", "Plain Chachalaca", "Keel-billed toucan", "Central American Agouti", "Tayra", "Red and Yucatan Brown Brocket deer", "White-nosed Coati", "White-tailed deer", "Collared peccary", "Squirrels", "White-lipped peccary", "Yucatán Black Howler Monkey", "Spider monkey", "Northern tamandua"]</t>
  </si>
  <si>
    <t>["Crax rubra", "Crypturellus spp.", "Meleagris ocellata", "Ortalis vetula", "Ramphastos sulfuratus", "Dasyprocta punctata", "Eira barbara", "Mazama americana and M. pandora", "Nasua narica", "Odocoileus virginianus", "Pecari tajacu", "Sciurus spp", "Tayassu pecari", "Alouatta pigra", "Ateles geoffroyi", "Tamandua mexicana"]</t>
  </si>
  <si>
    <t>["Galliformes", "Tinamiformes", "Piciformes", "Rodentia", "Carnivores", "Cetartiodactyla", "Primates", "Pilosa"]</t>
  </si>
  <si>
    <t>Suárez, E; Zapata-Ríos, G; Utreras, V; Strindberg, S; Vargas, J</t>
  </si>
  <si>
    <t>Suarez, E.; Zapata-Rios, G.; Utreras, V.; Strindberg, S.; Vargas, J.</t>
  </si>
  <si>
    <t>Controlling access to oil roads protects forest cover, but not wildlife communities: a case study from the rainforest of Yasuni Biosphere Reserve (Ecuador)</t>
  </si>
  <si>
    <t>Hunting; oil extraction; roads; indirect impacts; Amazon; Ecuador; indigenous groups</t>
  </si>
  <si>
    <t>HABITAT FRAGMENTATION; AMAZON; IMPACT; DEFORESTATION; MAMMALS; POPULATIONS; DIVERSITY; PRIMATE; SUSTAINABILITY; VERTEBRATES</t>
  </si>
  <si>
    <t>Through the analysis of a case study from Amazonian Ecuador, this paper evaluates the impacts of two oil-road management approaches on the structure and composition of wildlife communities (large- or medium-sized mammals and game bird species). In a free-access road, where forest has been cleared and fragmented by colonists, fewer species were found, together with wildlife density estimates that were almost 80% lower than on a control site without human disturbance. In contrast, on the road where access control has been enforced, habitat destruction has been minimal, but several wildlife species showed reductions in their populations, apparently related to changes in the subsistence practices of local Waorani hunters that settled along the road after its construction. In this area, economic subsidies and free transportation from the oil companies, access to the road, more efficient hunting technologies, and market incentives have increased the impacts of hunting by the Waorani, resulting in depletion of the local wildlife populations. Our research suggests that construction of roads in oil extraction areas must be avoided if at all possible. The alternative management of controlling access can be effective for short-term habitat protection, but not for wildlife conservation, especially when oil industry practices alter the social dynamics of local indigenous groups.</t>
  </si>
  <si>
    <t>[Suarez, E.] Univ San Francisco de Quito, Colegio Ciencias Biol &amp; Ambientales, Quito, Ecuador; [Zapata-Rios, G.] Univ Florida, Dept Wildlife Ecol &amp; Conservat, Gainesville, FL USA; [Zapata-Rios, G.; Utreras, V.] Wildlife Conservat Soc, Programa Ecuador, Quito, Ecuador; [Strindberg, S.] Wildlife Conservat Soc, Bronx, NY USA; [Vargas, J.] Minist Ambiente Ecuador, Quito, Ecuador</t>
  </si>
  <si>
    <t>Universidad San Francisco de Quito; State University System of Florida; University of Florida; Wildlife Conservation Society</t>
  </si>
  <si>
    <t>Suárez, E (corresponding author), Univ San Francisco de Quito, Colegio Ciencias Biol &amp; Ambientales, Ave Diego de Robles S-N &amp; Interocean, Quito, Ecuador.</t>
  </si>
  <si>
    <t>esuarez@usfq.edu.ec</t>
  </si>
  <si>
    <t>Zapata-Ríos, Galo/H-8722-2019; Suarez, Esteban/AAP-7440-2020</t>
  </si>
  <si>
    <t>Zapata-Ríos, Galo/0000-0003-3508-5078; Suarez, Esteban/0000-0003-0425-8933</t>
  </si>
  <si>
    <t>Betty and Gordon Moore Foundation</t>
  </si>
  <si>
    <t>Betty and Gordon Moore Foundation(Gordon &amp; Betty Moore Foundation)</t>
  </si>
  <si>
    <t>We thank the Ministry of the Environment of Ecuador for permission to conduct this research in Yasuni National Park and the Yasuni Scientific Station for their logistical support during our work along the Maxus road. This study would not have been possible without the field assistance of Eduardo Toral, Javier Torres, Walter Prado and Efren Tenorio. Support for this project was provided by the Betty and Gordon Moore Foundation. This paper was greatly improved with insightful comments by Kelly Swing, Diego Mosquera and two anonymous reviewers.</t>
  </si>
  <si>
    <t>154VI</t>
  </si>
  <si>
    <t>WOS:000319703600005</t>
  </si>
  <si>
    <t>["Ecuador"]</t>
  </si>
  <si>
    <t>["Salvin's Curassow", "Speckled chacalaca", "Spix's Guan", "Trinidad Piping-guan", "Grey-winged Trumpeter", "Toucan", "White-bellied Spider Monkey", "Red-bellied Titi Monkey", "White-fronted capuchin", "Spotted paca", "Black Agouti", "Humboldt's Woolly Monkey", "Red brocket deer", "Amazon Dwarf Squirrel", "Green acouchy", "Collared peccary", "Geoffroy's monk saki", "Golden-mantle Saddleback Tamarin", "Common Squirrel Monkey", "Squirrels", "White-lipped peccary"]</t>
  </si>
  <si>
    <t>["Mitu salvini", "Ortalis guttata", "Penelope jacquacu", "Pipile pipile", "Psophia crepitans", "Ramphastos spp", "Ateles belzebuth", "Callicebus moloch", "Cebus albifrons", "Cuniculus paca", "Dasyprocta fuliginosa", "Lagothrix lagotricha", "Mazama americana", "Microsciurus flaviventer", "Myoprocta pratti", "Pecari tajacu", "Pithecia monachus", "Saguinus tripartitus", "Saimiri sciureus", "Sciurus spp", "Tayassu pecari"]</t>
  </si>
  <si>
    <t>["Galliformes", "Gruiformes", "Piciformes", "Primates", "Rodentia", "Cetartiodactyla"]</t>
  </si>
  <si>
    <t>Peres, CA; Nascimento, HS</t>
  </si>
  <si>
    <t>Peres, Carlos A.; Nascimento, Hilton S.</t>
  </si>
  <si>
    <t>Impact of game hunting by the Kayapo of south-eastern Amazonia: implications for wildlife conservation in tropical forest indigenous reserves</t>
  </si>
  <si>
    <t>Amazonia; bushmeat; exploitation; forest resources; game management; hunting; indigenous reserves; source-sink dynamics</t>
  </si>
  <si>
    <t>CHOICE; VERTEBRATES; PERILS</t>
  </si>
  <si>
    <t>Indigenous forest reserves represent approximately one fifth of Brazilian Amazonia and pose enormous challenges for sustainable natural resource management by native Amazonians. In collaboration with the Kayapo Indians of A'Ukre of southeastern Amazonia, we obtained a game harvest profile of over 1360 forest vertebrates consumed at this village over a 20-month period, including 743 mammals, 361 forest tortoises and 256 birds from a minimum of 42 game species. This amounted to a total of 13,775 kg of game animals harvested over the entire study (mean = 26.2 kg d(-1)supercript stop). We also obtained some 450 km of line transect census data of midsized to large-bodied vertebrates within the core hunting catchment of this village and in an unhunted but otherwise comparable site upriver of A'Ukre. Population density estimates of 16 of the 18 species censused were significantly depressed by hunting by central place foragers within the village catchment, and a number of harvest-sensitive prey species showed clear evidence of local depletion. For the time being, however, we can conclude that hunting was sustainable at the landscape scale largely because source-sink dynamics in the context of low village catchment density is made possible by large surrounding tracts of primary forest that remain unharvested or underharvested.</t>
  </si>
  <si>
    <t>Univ E Anglia, Sch Environm Sci, Ctr Ecol Conservat &amp; Evolut, Norwich NR4 7TJ, Norfolk, England; FUNAI, Frente Protecao Etnoambiental Vale Javari, BR-69640 Tabatinga, Amazonas, Brazil</t>
  </si>
  <si>
    <t>Peres, CA (corresponding author), Univ E Anglia, Sch Environm Sci, Ctr Ecol Conservat &amp; Evolut, Norwich NR4 7TJ, Norfolk, England.</t>
  </si>
  <si>
    <t>C.Peres@uea.ac.uk</t>
  </si>
  <si>
    <t>Peres, Carlos/B-1276-2013; Peres, Carlos/B-1276-2013</t>
  </si>
  <si>
    <t>Peres, Carlos/0000-0002-1588-8765;</t>
  </si>
  <si>
    <t>JUL</t>
  </si>
  <si>
    <t>093LD</t>
  </si>
  <si>
    <t>WOS:000241168900016</t>
  </si>
  <si>
    <t>["Bare-faced and Razor-billed Curassows", "Tinamous", "White-crested Guan and Rusty-margined guan", "Red-throated Piping-guan", "Dark-winged Trumpeter", "Red-handed Howler Monkey", "Uta Hick’s Bearded Saki", "Spotted paca", "Red-rumped agouti", "South American red and gray brocket deer", "South American Coati", "Collared peccary", "Giant Armadillo", "Tufted capuchin", "Lowland tapir", "White-lipped peccary"]</t>
  </si>
  <si>
    <t>["Crax fasciolata and Mitu tuberosum", "Crypturellus spp.", "Penelope pileata and P. superciliaris", "Pipile cujubi", "Psophia viridis", "Tinamus spp.", "Alouatta belzebul", "Chiropotes utahickae", "Cuniculus paca", "Dasyprocta leporina", "Mazama americana and M. gouazoubira", "Nasua nasua", "Pecari tajacu", "Priodontes maximus", "Sapajus apella", "Tapirus terrestris", "Tayassu pecari"]</t>
  </si>
  <si>
    <t>["Galliformes", "Tinamiformes", "Gruiformes", "Primates", "Rodentia", "Cetartiodactyla", "Carnivores", "Cingulata", "Perissodactyla"]</t>
  </si>
  <si>
    <t>Koerner, SE; Poulsen, JR; Blanchard, EJ; Okouyi, J; Clark, CJ</t>
  </si>
  <si>
    <t>Koerner, Sally E.; Poulsen, John R.; Blanchard, Emily J.; Okouyi, Joseph; Clark, Connie J.</t>
  </si>
  <si>
    <t>Vertebrate community composition and diversity declines along a defaunation gradient radiating from rural villages in Gabon</t>
  </si>
  <si>
    <t>JOURNAL OF APPLIED ECOLOGY</t>
  </si>
  <si>
    <t>abundance; Anthropocene defaunation; biodiversity; birds; Central Africa; hunting intensity; mammals; species richness; tropical forests</t>
  </si>
  <si>
    <t>PRIMATE COMMUNITIES; TROPICAL FORESTS; TREE RECRUITMENT; SEED DISPERSAL; FOOD SECURITY; EMPTY FOREST; CONGO BASIN; BUSHMEAT; CONSERVATION; ABUNDANCE</t>
  </si>
  <si>
    <t>1. Anthropocene defaunation is the global phenomenon of human-induced animal biodiversity loss. Understanding the patterns and process of defaunation is critical to predict outcomes for wildlife populations and cascading consequences for ecosystem function and human welfare. 2. We investigated a defaunation gradient in north-eastern Gabon by establishing 24 transects at varying distances (2-30 km) to rural villages and surveying the abundance and composition of vertebrate communities. Distance from village was positively correlated with observations of hunting (shotgun shells, campfires, hunters), making it a good proxy for hunting pressure. 3. Species diversity declined significantly with proximity to village, with mammal richness increasing by roughly 1 similar to 5 species every 10 km travelled away from a village. Compared to forest far from villages, the wildlife community near villages consisted of higher abundances of large birds and rodents and lower abundances of large mammals like monkeys and ungulates. 4. Distance to nearest village emerged as a key driver of the relative abundance of five of the six taxonomic guilds, indicating that the top-down force of hunting strongly influences large vertebrate community composition and structure. Several measures of vegetation structure also explained animal abundance, but these varied across taxonomic guilds. Forest elephants were the exception: no measured variable or combination of variables explained variation in elephant abundances. 5. Synthesis and applications. Hunting is concentrated within 10 km around villages, creating a hunting halo characterized by heavily altered animal communities composed of relatively small-bodied species. Although the strongest anthropogenic effects are relatively distance-limited, the linear increase in species richness shown here even at distances 30 km from villages suggests that hunting may have altered vertebrate abundances across the entire landscape. Central African forests store &gt; 25% of the carbon in tropical forests and are home to 3000 endemic species, but roughly 53% of the region lies within the village hunting halo. Resource management strategies should take into account this hunting-induced spatial variation in animal communities. Near villages, resource management should focus on sustainable community-led hunting programmes that provide long- term supplies of wild meat to rural people. Resource management far from villages should focus on law enforcement and promoting industry practices that maintain remote tracts of land to preserve ecosystem services like carbon storage and biodiversity.</t>
  </si>
  <si>
    <t>[Koerner, Sally E.; Poulsen, John R.; Blanchard, Emily J.; Clark, Connie J.] Duke Univ, Nicholas Sch Environm, POB 90328, Durham, NC 27708 USA; [Okouyi, Joseph] Agence Natl Parcs Nationaux, Libreville 20379, Gabon</t>
  </si>
  <si>
    <t>Duke University</t>
  </si>
  <si>
    <t>Koerner, SE (corresponding author), Univ S Florida, Dept Integrat Biol, SCA 100,4202 E Fowler Ave, Tampa, FL 33620 USA.</t>
  </si>
  <si>
    <t>koerner@USF.edu</t>
  </si>
  <si>
    <t>Koerner, Sally/I-1701-2019; Poulsen, John/O-5332-2019</t>
  </si>
  <si>
    <t>Koerner, Sally/0000-0001-6403-7513; Poulsen, John/0000-0002-1532-9808</t>
  </si>
  <si>
    <t>0021-8901</t>
  </si>
  <si>
    <t>1365-2664</t>
  </si>
  <si>
    <t>J APPL ECOL</t>
  </si>
  <si>
    <t>J. Appl. Ecol.</t>
  </si>
  <si>
    <t>EU7UB</t>
  </si>
  <si>
    <t>Green Submitted, Bronze</t>
  </si>
  <si>
    <t>WOS:000401239100014</t>
  </si>
  <si>
    <t>["Gabon"]</t>
  </si>
  <si>
    <t>["Black guineafowl", "White-thighed hornbill", "Piping hornbill", "Black-casqued hornbill", "Blue-plantain eater", "Latham's forest francolin", "African grey parrot", "Yellow-billed turaco", "Green turaco", "Red-billed dwarf hornbill", "African pied hornbill", "White-crested hornbill", "Medium-sized duikers", "Black-fronted duiker", "Yellow-backed duiker", "Agile mangabey", "Moustached Monkey", "Putty-nosed monkey", "Crowned monkey", "Guereza", "Western gorilla", "Grey-cheeked mangabey", "African Elephant", "Chimpanzee", "Blue duiker", "Red river hog", "African giant squirrel", "Other squirrels"]</t>
  </si>
  <si>
    <t>["Agelastes niger", "Bycanistes albotibialis", "Bycanistes fistulator", "Ceratogymna atrata", "Corythaeola cristata", "Francolinus lathami", "Psittacus erithacus", "Tauraco macrorhynchus", "Tauraco persa", "Tockus camurus", "Tockus fasciatus", "Tropicranus albocristatus", "Cephalophus callipygus, C. leucogaster, and C. dorsalis castaneus", "Cephalophus nigrifons", "Cephalophus silvicultor", "Cercocebus agilis", "Cercopithecus cephus", "Cercopithecus nictitans", "Cercopithecus pogonias", "Colobus guereza", "Gorilla gorilla", "Lophocebus albigena", "Loxodonta africana", "Pan troglodytes", "Philantomba monticola", "Potamochoerus porcus", "Protoxerus stangeri", "Xerinae spp."]</t>
  </si>
  <si>
    <t>["Galliformes", "Bucerotiformes", "Musophagiformes", "Psittaciformes", "Cetartiodactyla", "Primates", "Proboscidea", "Rodentia"]</t>
  </si>
  <si>
    <t>Peres, CA; Lake, IR</t>
  </si>
  <si>
    <t>Extent of nontimber resource extraction in tropical forests: Accessibility to game vertebrates by hunters in the Amazon basin</t>
  </si>
  <si>
    <t>ROADS; CONSERVATION; RESERVES; FRAGMENTATION; DISTURBANCE; MAMMALS; FUTURE</t>
  </si>
  <si>
    <t>Extractive activities targeting a wide range of nontimber forest products (NTFPs) are ubiquitous in tropical forests, yet the extent of structurally intact forests in a given region affected by this form of cryptic disturbance is poorly documented. We conducted a basin-wide geographic information system analysis of the nonmotorized accessibility of Amazonian NTFP extraction and estimated the proportion of the Amazon drainage basin within Brazil (3.74 million km(2)) that can be accessed on foot from the nearest navigable river or functional road. We use a long-term series of standardized line-transect vertebrate censuses conducted throughout the region to illustrate the effects of physical accessibility on wildlife densities in terms of hunting pressure as a function of distance from the nearest point of access. Population abundance in large-bodied, prime-target species preferred by game hunters tended to increase at greater distances from the access matrix, whereas small-bodied species ignored by hunters usually showed the reverse trend. In addition, we estimated the proportion of presumably inviolate core areas within nature, extractive, and indigenous reserves of Brazilian Amazonia that are prohibitively remote and unlikely to be overhunted; for instance, only 1.16% of the basin-wide area is strictly protected on paper and is reasonably safe from extractive activities targeted to game vertebrates and other valuable NTFPs. Finally, we discuss the concept of truly undisturbed wildlands in the last major tropical forest regions by distinguishing potentially overharvested areas from those that remain largely or entirely pristine and that maintain viable populations of a full complement of harvest-sensitive species.</t>
  </si>
  <si>
    <t>Univ E Anglia, Sch Environm Sci, Ctr Ecol Evolut &amp; Conservat, Norwich NR4 7TJ, Norfolk, England</t>
  </si>
  <si>
    <t>Peres, CA (corresponding author), Univ E Anglia, Sch Environm Sci, Ctr Ecol Evolut &amp; Conservat, Norwich NR4 7TJ, Norfolk, England.</t>
  </si>
  <si>
    <t>c.peres@uea.ac.uk</t>
  </si>
  <si>
    <t>Peres, Carlos/B-1276-2013; Lake, Iain Richard/C-9917-2011; Peres, Carlos/B-1276-2013</t>
  </si>
  <si>
    <t>Lake, Iain Richard/0000-0003-4407-5357; Peres, Carlos/0000-0002-1588-8765</t>
  </si>
  <si>
    <t>APR</t>
  </si>
  <si>
    <t>658TK</t>
  </si>
  <si>
    <t>WOS:000181736400021</t>
  </si>
  <si>
    <t>["Razor-billed curassow and other Curassows", "Trumpeteers", "Howler monkeys", "Coppery and Red-bellied Titi Monkeys", "White-fronted Capuchin", "Agoutis", "Humboldt's Woolly Monkey", "Collared peccary", "Moustached tamarin and Imperator Tamarin", "Squirrel monkeys", "Southern Amazon Red Squirrel", "Lowland tapir"]</t>
  </si>
  <si>
    <t>["Mitu tuberosum and Crax spp", "Psophia spp", "Alouatta spp", "Callicebus cupreus and C. moloch", "Cebus albifrons", "Dasyprocta spp", "Lagothrix lagotricha", "Pecari tajacu", "Saguinus mystax and imperator", "Saimiri spp", "Sciurus spadiceus", "Tapirus terrestris"]</t>
  </si>
  <si>
    <t>["Galliformes", "Gruiformes", "Primates", "Rodentia", "Cetartiodactyla", "Perissodactyla"]</t>
  </si>
  <si>
    <t>Demmer, J; Godoy, R; Wilkie, D; Overman, H; Taimur, M; Fernando, K; Gupta, R; McSweeney, K; Brokaw, N; Sriram, S; Price, T</t>
  </si>
  <si>
    <t>Do levels of income explain differences in game abundance? An empirical test in two Honduran villages</t>
  </si>
  <si>
    <t>animal census; economic development; game abundance; Honduras; income; mosquitia; multivariate analysis; Tawahka</t>
  </si>
  <si>
    <t>ROADS; CONSERVATION; GROWTH; DIET</t>
  </si>
  <si>
    <t>Although researchers have documented the role of anthropogenic hunting pressure on the abundance of game, few have measured the direct effects of income or economic development on game abundance. Economic theory tends to predict an ambiguous causal relation between income and the abundance of game. Here we test whether income (a standard proxy of economic development) erodes the abundance of game in two Tawahka Amerindian villages in the rain forest of Honduras. The two villages have similar ecologies and weather and lie 17 km apart but differ in income, population size, wealth, the presence of outside institutions, and hunting pressure. A census of animals done over 2 continuous years suggests that the richer village had less game and relatively fewer large-bodied animals. At the level of animal groups (e. g., mammals) or individual species, or when we include controls for the simultaneous effect of vegetation type, distance from the start of the hunting trail, and time of the year through a random-effect probit model, the two villages display no statistically significant differences in game abundance. A random-effect, multivariate tobit model, in fact, suggests that being in the more remote village correlated with 43.5% fewer animals seen in any one encounter; results were significant at the 99% confidence level. The conclusions contain a discussion of why income might produce ambiguous effects on game abundance and the tradeoffs of using bivariate and multivariate techniques to analyze the covariates of game abundance in the tropical rain forests of the New World.</t>
  </si>
  <si>
    <t>Brandeis Univ, Heller Sch Social Policy &amp; Management, Sustainable Int Dev Program, Waltham, MA 02455 USA; Wildlife Conservat Soc, Bronx, NY 10460 USA; Univ Amsterdam, Inst Biodivers &amp; Ecosyst Dynam, NL-1090 GB Amsterdam, Netherlands; Ohio State Univ, Dept Geog, Columbus, OH 43210 USA; Univ Puerto Rico, Inst Trop Ecosyst Studies, Rio Piedras, PR 00931 USA</t>
  </si>
  <si>
    <t>Brandeis University; Wildlife Conservation Society; University of Amsterdam; University System of Ohio; Ohio State University; University of Puerto Rico; University of Puerto Rico Rio Piedras</t>
  </si>
  <si>
    <t>Godoy, R (corresponding author), Brandeis Univ, Heller Sch Social Policy &amp; Management, Sustainable Int Dev Program, MS 078, Waltham, MA 02455 USA.</t>
  </si>
  <si>
    <t>yapuwas@yahoo.com</t>
  </si>
  <si>
    <t>597CJ</t>
  </si>
  <si>
    <t>WOS:000178204300010</t>
  </si>
  <si>
    <t>["Honduras"]</t>
  </si>
  <si>
    <t>["Yellow-crowned Amazon", "Great green macaw", "Scarlet Macaw", "Parakeets", "Ground doves", "Great curassow", "Quails", "Plain Chachalaca", "Crested guan", "White-crowned parrot", "Collared Aracari", "chestnut-mandibled toucan", "Keel-billed toucan", "Great tinamou", "Howler monkey", "Spider monkey", "White-faced capuchin", "Striped Hog-nosed Skunk", "Central American Agouti", "Nine-banded Armadillo", "Grey brocket deer", "white-nosed coati", "Jaguar", "Collared peccary", "Squirrels", "Baird's tapir", "White-lipped peccary", "Common Ground-dove", "Spotted paca"]</t>
  </si>
  <si>
    <t>["Amazona ochrocephala", "Ara ambiguus", "Ara macao", "Aratinga spp", "Claravis mondetoura and C. pretiosa", "Crax rubra", "Odontophorus spp", "Ortalis vetula", "Penelope purpurascens aequatorialis", "Pionus senilis", "Pteroglossus torquatus", "Ramphastos ambiguus swainsonii", "Ramphastos sulfuratus", "Tinamus major", "Alouatta palliata", "Ateles geoffroyi", "Cebus capuchinus", "Conepatus semistriatus", "Dasyprocta punctata", "Dasypus novemcinctus", "Mazama gouazoubira", "Nasua narica", "Panthera onca", "Pecari tajacu", "Sciurus spp", "Tapirus bairdii", "Tayassu pecari", "Columbina passerina", "Cuniculus paca"]</t>
  </si>
  <si>
    <t>["Psittaciformes", "Columbiformes", "Galliformes", "Piciformes", "Tinamiformes", "Primates", "Carnivores", "Rodentia", "Cingulata", "Cetartiodactyla", "Perissodactyla"]</t>
  </si>
  <si>
    <t>Nuñez-Iturri, G; Howe, HF</t>
  </si>
  <si>
    <t>Nunez-Iturri, Gabriela; Howe, Henry F.</t>
  </si>
  <si>
    <t>Bushmeat and the fate of trees with seeds dispersed by large primates in a lowland rain forest in western Amazonia</t>
  </si>
  <si>
    <t>BIOTROPICA</t>
  </si>
  <si>
    <t>Article; Proceedings Paper</t>
  </si>
  <si>
    <t>Annual Meeting of the Association-for-Tropical-Biology-and-Conservation</t>
  </si>
  <si>
    <t>Uberlandia, BRAZIL</t>
  </si>
  <si>
    <t>Canadian Assoc Phys Anthropol</t>
  </si>
  <si>
    <t>bushmeat; conservation; hunting; Manu; Peru; primates; recruitment; regeneration; seed dispersal; tropical forest</t>
  </si>
  <si>
    <t>TINIGUA-NATIONAL-PARK; FOOD CHOICE; CONSEQUENCES; COMMUNITIES; DIVERSITY; MONKEYS; HARVEST; CONSERVATION; RECRUITMENT; GERMINATION</t>
  </si>
  <si>
    <t>In Neotropical forests, large fruit-eating primates play important ecological roles as dispersal agents of large seeds. Bushmeat hunting threatens to disrupt populations of primates and large-seeded trees. We test the hypothesis that otherwise intact Neotropical forests with depressed populations of large primates experience decline in recruitment of large-seeded trees. We quantify the proportion of small juveniles (&gt; 0.5 m tall-1 cm diameter at breast height, DBH) of large primate-dispersed tree species found underneath heterospecifc trees that are also dispersed by large primates at two protected sites in Manu National Park and one hunted site outside Manu N.P. in southeastern Peru. The forests are comparable in edaphic and climatic qualities, successional stage, and adult tree species composition. We found that hunting locally exterminates populations of large primates, and reduced primates of intermediate body size (hereafter medium primates) by 80 percent. Moreover, tree species richness was 55 percent lower and density of species dispersed by large and medium-bodied primates 60 percent lower in hunted than in protected sites. In addition, richness and density of abiotically dispersed species and plants dispersed by non-game animals are greater in hunted sites. Overhunting threatens to disrupt the ecological interactions between primates and the plants that rely on them for seed dispersal and recruitment. Sustainable wildlife management plans are urgently needed, because protected areas are at risk of becoming island parks if buffer zones become empty of animals and have impoverished flora.</t>
  </si>
  <si>
    <t>Univ Illinois, Dept Biol Sci, Chicago, IL 60607 USA</t>
  </si>
  <si>
    <t>University of Illinois System; University of Illinois Chicago; University of Illinois Chicago Hospital</t>
  </si>
  <si>
    <t>Nuñez-Iturri, G (corresponding author), Univ Illinois, Dept Biol Sci, 845 W Taylor St M-C 066, Chicago, IL 60607 USA.</t>
  </si>
  <si>
    <t>gnunez2@uic.edu</t>
  </si>
  <si>
    <t>Howe, Henry/B-8749-2014</t>
  </si>
  <si>
    <t>0006-3606</t>
  </si>
  <si>
    <t>1744-7429</t>
  </si>
  <si>
    <t>Biotropica</t>
  </si>
  <si>
    <t>Ecology</t>
  </si>
  <si>
    <t>Science Citation Index Expanded (SCI-EXPANDED); Conference Proceedings Citation Index - Science (CPCI-S)</t>
  </si>
  <si>
    <t>Environmental Sciences &amp; Ecology</t>
  </si>
  <si>
    <t>160KM</t>
  </si>
  <si>
    <t>WOS:000245939300007</t>
  </si>
  <si>
    <t>["Razor-billed curassow", "Spix's Guan", "Pale-winged trumpeter", "Red howler monkey", "Black-headed Night Monkey", "Peruvian spider monkey", "Short-eared dog", "Northern olingo", "Brown Titi Monkey", "White-fronted capuchin", "Spotted paca", "Central American Agouti", "Nine-banded Armadillo", "Black-eared Opossum", "Tayra", "Ocelot", "Red brocket deer", "Grey brocket deer", "Green acouchy", "South American Coati", "Rice rat sp", "Jaguar", "Collared peccary", "Kinkajou", "Spiny rats", "Puma", "Brown-mantled tamarin", "Imperator Tamarin", "Common Squirrel Monkey", "Tufted capuchin", "Bolivian Squirrel", "Southern Amazon Red Squirrel", "Tapeti", "Southern Tamandua", "South american tapir", "White-lipped peccary"]</t>
  </si>
  <si>
    <t>["Mitu tuberosum", "Penelope jacquacu", "Psophia leucoptera", "Alouatta seniculus", "Aotus nigriceps", "Ateles chamek", "Atelocynus microtis", "Bassaricyon gabbii", "Callicebus brunneus", "Cebus albifrons", "Cuniculus paca", "Dasyprocta punctata", "Dasypus novemcinctus", "Didelphis marsupialis", "Eira barbara", "Leopardus pardalis", "Mazama americana", "Mazama gouazoubira", "Myoprocta pratti", "Nasua nasua", "Oryzomys spp.", "Panthera onca", "Pecari tajacu", "Potos flavus", "Proechimys spp", "Puma concolor", "Saguinus fuscicollis", "Saguinus imperator", "Saimiri sciureus", "Sapajus apella", "Sciurus ignitus", "Sciurus spadiceus", "Sylvilagus brasiliensis", "Tamandua tetradactyla", "Tapirus terrestris", "Tayassu pecari"]</t>
  </si>
  <si>
    <t>["Galliformes", "Gruiformes", "Primates", "Carnivores", "Rodentia", "Cingulata", "Didelphimorphia", "Cetartiodactyla", "Lagomorpha", "Pilosa", "Perissodactyla"]</t>
  </si>
  <si>
    <t>Endo, W; Peres, CA; Salas, E; Mori, S; Sanchez-Vega, JL; Shepard, GH; Pacheco, V; Yu, DW</t>
  </si>
  <si>
    <t>Endo, Whaldener; Peres, Carlos A.; Salas, Edith; Mori, Sandra; Sanchez-Vega, Jose-Luis; Shepard, Glenn H.; Pacheco, Victor; Yu, Douglas W.</t>
  </si>
  <si>
    <t>Game Vertebrate Densities in Hunted and Nonhunted Forest Sites in Manu National Park, Peru</t>
  </si>
  <si>
    <t>bushmeat; defaunation; distance sampling; forest vertebrates; hunting; indigenous people; Manu National Park; trophic cascade</t>
  </si>
  <si>
    <t>NEOTROPICAL FORESTS; COMMUNITY STRUCTURE; AMAZONIAN FORESTS; CONSERVATION; SUBSISTENCE; SUSTAINABILITY; RESERVES; MAMMALS; MONKEYS; PERILS</t>
  </si>
  <si>
    <t>Manu National Park of southern Peru is one of the most renowned protected areas in the world, yet large-bodied vertebrate surveys conducted to date have been restricted to Cocha Cashu Biological Station, a research station covering &lt;0.06 percent of the 1.7Mha park. Manu Park is occupied by &gt;460 settled Matsigenka Amerindians, 300-400 isolated Matsigenka, and several, little-known groups of isolated hunter-gatherers, yet the impact of these native Amazonians on game vertebrate populations within the park remains poorly understood. On the basis of 1495 km of standardized line-transect censuses, we present density and biomass estimates for 23 mammal, bird, and reptile species for seven lowland and upland forest sites in Manu Park, including Cocha Cashu. We compare these estimates between hunted and nonhunted sites within Manu Park, and with other Neotropical forest sites. Manu Park safeguards some of the most species-rich and highest biomass assemblages of arboreal and terrestrial mammals ever recorded in Neotropical forests, most likely because of its direct Andean influence and high levels of soil fertility. Relative to Barro Colorado Island, seed predators and arboreal folivores in Manu are rare, and generalist frugivores specializing on mature fruit pulp are abundant. The impact of such a qualitative shift in the vertebrate community on the dynamics of plant regeneration, and therefore, on our understanding of tropical plant ecology, must be profound. Despite a number of external threats, Manu Park continues to serve as a baseline against which other Neotropical forests can be gauged.</t>
  </si>
  <si>
    <t>[Endo, Whaldener; Yu, Douglas W.] Chinese Acad Sci, State Key Lab Genet Resources &amp; Evolut, ECEC, Kunming Inst Zool, Kunming 650223, Yunnan, Peoples R China; [Endo, Whaldener; Peres, Carlos A.; Shepard, Glenn H.; Yu, Douglas W.] Univ E Anglia, Sch EnvironmSci, CEEC, Norwich NR4 7TJ, Norfolk, England; [Endo, Whaldener; Peres, Carlos A.; Shepard, Glenn H.; Yu, Douglas W.] Univ E Anglia, Sch Biol Sci, Norwich NR4 7TJ, Norfolk, England; [Salas, Edith; Mori, Sandra; Sanchez-Vega, Jose-Luis; Pacheco, Victor] Univ Nacl Mayor San Marcos, Museo Hist Nat, Lima 14, Peru</t>
  </si>
  <si>
    <t>Chinese Academy of Sciences; Kunming Institute of Zoology, CAS; University of East Anglia; University of East Anglia; Universidad Nacional Mayor de San Marcos</t>
  </si>
  <si>
    <t>Yu, DW (corresponding author), Chinese Acad Sci, State Key Lab Genet Resources &amp; Evolut, ECEC, Kunming Inst Zool, Kunming 650223, Yunnan, Peoples R China.</t>
  </si>
  <si>
    <t>douglas.yu@uea.ac.uk</t>
  </si>
  <si>
    <t>Pacheco, Víctor/F-5882-2011; Yu, Douglas/D-2536-2009; Shepard, Glenn/C-3667-2014; Peres, Carlos/B-1276-2013; Endo, Whaldener/D-1726-2012; Peres, Carlos/B-1276-2013</t>
  </si>
  <si>
    <t>Pacheco, Víctor/0000-0002-1005-135X; Shepard, Glenn/0000-0003-3195-8230; Peres, Carlos/0000-0002-1588-8765; Salas Perez, Edith/0000-0002-7644-8974; Endo, Whaldener/0000-0002-7305-4398;</t>
  </si>
  <si>
    <t>National Geographic Society's Committee for Research and Exploration; Leverhulme Trust; Yunnan provincial government [20080A001]; Chinese Academy of Sciences [0902281081]</t>
  </si>
  <si>
    <t>National Geographic Society's Committee for Research and Exploration(National Geographic Society); Leverhulme Trust(Leverhulme Trust); Yunnan provincial government; Chinese Academy of Sciences(Chinese Academy of Sciences)</t>
  </si>
  <si>
    <t>We thank Peru's Instituto de Recursos Naturales (INRENA) for permission to conduct research in Manu Park, the Matsigenka residents of Tayakome and Yomybato for their hospitality, the Matsigenka spotters for their help during the censuses, and J. Terborgh for his support. We were funded by the National Geographic Society's Committee for Research and Exploration, the Leverhulme Trust, the Yunnan provincial government ((sic) 20080A001) and the Chinese Academy of Sciences (0902281081) to DWY.</t>
  </si>
  <si>
    <t>MAR</t>
  </si>
  <si>
    <t>564LK</t>
  </si>
  <si>
    <t>WOS:000275215700017</t>
  </si>
  <si>
    <t>["Peru"]</t>
  </si>
  <si>
    <t>["Small Tinamous", "Razor-billed curassow", "Marbled Wood quail", "Spix's Guan", "Blue-throated Piping-guan", "Pale-winged trumpeter", "Large Tinamous", "Bolivian red howler", "Peruvian spider monkey", "Brown Titi Monkey", "White-fronted capuchin", "Central American Agouti", "Gray wooly monkey", "South American red and gray brocket deer", "Green acouchy", "Collared peccary", "Brown-mantled tamarin", "Black-capped squirrel monkey", "Brown capuchin", "Southern Amazon Red and Sanborn's Squirrels", "Bush dog", "South american tapir", "White-lipped peccary"]</t>
  </si>
  <si>
    <t>["Crypturellus atrocapillus, C. bartletti, C. cinereus, C.soui, C. strigulosus, C. undulatus and C. variegatus", "Mitu tuberosum", "Odontophorus gujanensis", "Penelope jacquacu", "Pipile cumanensis", "Psophia leucoptera", "Tinamus major, T. guttatus and T. tao", "Alouatta sara", "Ateles chamek", "Callicebus brunneus", "Cebus albifrons", "Dasyprocta punctata", "Lagothrix cana", "Mazama americana and M. gouazoubira", "Myoprocta pratti", "Pecari tajacu", "Saguinus fuscicollis", "Saimiri boliviensis", "Sapajus apella", "Sciurus spadiceus and S.sanborni.", "Speothos venaticus", "Tapirus terrestris", "Tayassu pecari"]</t>
  </si>
  <si>
    <t>["Tinamiformes", "Galliformes", "Gruiformes", "Primates", "Rodentia", "Cetartiodactyla", "Carnivores", "Perissodactyla"]</t>
  </si>
  <si>
    <t>Atickem, A; Loe, LE; Langangen, O; Rueness, EK; Bekele, A; Stenseth, NC</t>
  </si>
  <si>
    <t>Atickem, A.; Loe, L. E.; Langangen, O.; Rueness, E. K.; Bekele, A.; Stenseth, N. C.</t>
  </si>
  <si>
    <t>Estimating population size and habitat suitability for mountain nyala in areas with different protection status</t>
  </si>
  <si>
    <t>mountain nyala; habitat use; resource selection functions; trophy hunting; population size estimation</t>
  </si>
  <si>
    <t>SPECIES DISTRIBUTION; NATIONAL-PARK; CONSERVATION; DENSITY; COVER; WILD</t>
  </si>
  <si>
    <t>Many species of large herbivores are declining in numbers as a consequence of direct exploitation or habitat loss. In the Ethiopian highlands, rapid human population growth has resulted in an expansion of human settlements and farmland, threatening many endemic species such as the mountain nyala Tragelaphus buxtoni. Despite being listed as an endangered species, the mountain nyala is still the most important trophy hunting species in Ethiopia. We counted faecal pellets of mountain nyala within plots distributed along transects to estimate population size and identify key environmental variables associated with the presence of faecal pellet groups. The total mountain nyala population was estimated at 3756 (95% confidence intervals: 2506-7135) individuals, mainly occupying woodlands while avoiding human developments (agriculture and settlements). The total suitable area was estimated at 8333km(2). Only 31.6% of the total population lived within a national park, while 53.5% of the population inhabited two controlled hunting areas in the eastern mountains. Abundance was 3.7 times higher in areas patrolled by wardens, regardless of being in a national park or hunting area, suggesting that formal protection must be followed by surveillance to avoid poaching and habitat destruction. We found no negative correlation between pellet abundance and trophy hunting. Yet, it is too early to conclude that trophy hunting is sustainable as it has only recently been initiated in the studied populations.</t>
  </si>
  <si>
    <t>[Atickem, A.; Loe, L. E.; Langangen, O.; Rueness, E. K.; Stenseth, N. C.] Univ Oslo, Dept Biol, Ctr Ecol &amp; Evolutionary Synth CEES, NO-0316 Oslo, Norway; [Atickem, A.; Bekele, A.] Univ Addis Ababa, Dept Biol, Addis Ababa, Ethiopia; [Loe, L. E.] Norwegian Univ Life Sci, Dept Ecol &amp; Nat Resource Management, NO-1432 As, Norway</t>
  </si>
  <si>
    <t>University of Oslo; Addis Ababa University; Norwegian University of Life Sciences</t>
  </si>
  <si>
    <t>Loe, LE (corresponding author), Univ Oslo, Dept Biol, Ctr Ecol &amp; Evolutionary Synth CEES, POB 1066 Blindern, NO-0316 Oslo, Norway.</t>
  </si>
  <si>
    <t>leif.egil.loe@umb.no</t>
  </si>
  <si>
    <t>Loe, Leif Egil/M-5798-2016; Stenseth, Nils Christian/G-5212-2016</t>
  </si>
  <si>
    <t>Loe, Leif Egil/0000-0003-4804-2253; Stenseth, Nils Christian/0000-0002-1591-5399</t>
  </si>
  <si>
    <t>Saint Louis Zoo; Sahal FARM-Africa SOS Sahel Ethiopia; Rufford Small Grants for Nature Conservation; Conservation des Especes et des Populations Animales</t>
  </si>
  <si>
    <t>This research was funded by Saint Louis Zoo, Sahal FARM-Africa SOS Sahel Ethiopia, Rufford Small Grants for Nature Conservation and Conservation des Especes et des Populations Animales. We would like to thank the Ethiopian Wildlife Conservation Authority for giving permission for this research and FZS for providing logistic support. We thank Stuart Williams with his support in establishing this research and two anonymous referees for valuable comments improving the paper.</t>
  </si>
  <si>
    <t>AUG</t>
  </si>
  <si>
    <t>798AW</t>
  </si>
  <si>
    <t>WOS:000293173900014</t>
  </si>
  <si>
    <t>["Ethiopia"]</t>
  </si>
  <si>
    <t>["Aves"]</t>
  </si>
  <si>
    <t>["Mountain nyala"]</t>
  </si>
  <si>
    <t>["Tragelaphus buxtoni"]</t>
  </si>
  <si>
    <t>["Cetartiodactyla"]</t>
  </si>
  <si>
    <t>Kümpel, NF; Milner-Gulland, EJ; Rowcliffe, JM; Cowlishaw, G</t>
  </si>
  <si>
    <t>Kumpel, Noelle F.; Milner-Gulland, E. J.; Rowcliffe, J. Marcus; Cowlishaw, Guy</t>
  </si>
  <si>
    <t>Impact of gun-hunting on diurnal primates in continental Equatorial Guinea</t>
  </si>
  <si>
    <t>INTERNATIONAL JOURNAL OF PRIMATOLOGY</t>
  </si>
  <si>
    <t>21st Congress of the International-Primatological-Society</t>
  </si>
  <si>
    <t>JUN 25-30, 2006</t>
  </si>
  <si>
    <t>Entebbe, UGANDA</t>
  </si>
  <si>
    <t>Int Primatol Soc</t>
  </si>
  <si>
    <t>bushmeat; Colobus satanas; Equatorial Guinea; gun-hunting; impact; primates</t>
  </si>
  <si>
    <t>BIOKO ISLAND; CONSERVATION; TRANSECT; ECOLOGY; RESERVE; MONKEYS; FOREST</t>
  </si>
  <si>
    <t>Bushmeat hunting is threatening wildlife populations across west-central Africa, and now poses a greater threat to primates than habitat loss or degradation does in some areas. However, species vary in their abilities to withstand hunting, either because hunters target them differentially or they vary in their vulnerability to a given level of hunting. We studied the impact of current levels of gun-hunting on diurnal primate species in the little-studied Monte Mitra area of Monte Alen National Park, continental Equatorial Guinea. Most bushmeat is currently trapped, but gun-hunting is increasing as shotguns become more available and affordable, allowing targeting of arboreal as well as terrestrial prey. We collected data over 15-mo, via hunter interviews, gun-hunter follows, an offtake survey recording 9374 individuals, and primate surveys covering 408 km of line transects in 2 sites with differing gun-hunting histories. Inside the park, where gun-hunting pressure was recent and light, we found high primate diversity, density, and biomass, with black colobus (Colobus satanas) particularly abundant at 57 individuals/km(2). However, around the village, where gun-hunting was longer-established, though other species such as the guenons still persisted (albeit at lower densities), Colobus satanas were virtually absent. Being slow and large-bodied, Colobus satanas are preferred and susceptible prey, and an early indicator of overhunting. Monte Alen National Park is currently an important stronghold for primates, particularly Colobus satanas, but regulation of the trade and enforcement of hunting bans in the park are urgently needed to safeguard their future and that of other vulnerable species.</t>
  </si>
  <si>
    <t>[Kumpel, Noelle F.] Zool Soc London, London NW1 4RY, England; [Kumpel, Noelle F.] UCL, Dept Anthropol, London WC1H 0BW, England; [Kumpel, Noelle F.; Milner-Gulland, E. J.] Univ London Imperial Coll Sci Technol &amp; Med, Div Biol, Ascot SL5 7PY, Berks, England; [Rowcliffe, J. Marcus; Cowlishaw, Guy] Zool Soc London, Inst Zool, London NW1 4RY, England</t>
  </si>
  <si>
    <t>Zoological Society of London; University of London; University College London; Imperial College London; Zoological Society of London</t>
  </si>
  <si>
    <t>Kümpel, NF (corresponding author), Zool Soc London, Regents Pk, London NW1 4RY, England.</t>
  </si>
  <si>
    <t>noelle.kumpel@zsl.org</t>
  </si>
  <si>
    <t>; Rowcliffe, Marcus/G-3713-2018</t>
  </si>
  <si>
    <t>Milner-Gulland, EJ/0000-0003-0324-2710; Rowcliffe, Marcus/0000-0002-4286-6887</t>
  </si>
  <si>
    <t>Economic and Social Research Council [ES/E010075/1] Funding Source: researchfish; ESRC [ES/E010075/1] Funding Source: UKRI</t>
  </si>
  <si>
    <t>Economic and Social Research Council(UK Research &amp; Innovation (UKRI)Economic &amp; Social Research Council (ESRC)); ESRC(UK Research &amp; Innovation (UKRI)Economic &amp; Social Research Council (ESRC))</t>
  </si>
  <si>
    <t>NEW YORK</t>
  </si>
  <si>
    <t>ONE NEW YORK PLAZA, SUITE 4600, NEW YORK, NY, UNITED STATES</t>
  </si>
  <si>
    <t>0164-0291</t>
  </si>
  <si>
    <t>1573-8604</t>
  </si>
  <si>
    <t>INT J PRIMATOL</t>
  </si>
  <si>
    <t>Int. J. Primatol.</t>
  </si>
  <si>
    <t>344XE</t>
  </si>
  <si>
    <t>WOS:000258959800015</t>
  </si>
  <si>
    <t>["Equatorial Guinea"]</t>
  </si>
  <si>
    <t>["Moustached Monkey", "Putty-nosed monkey", "Crowned monkey", "Black Colobus"]</t>
  </si>
  <si>
    <t>["Cercopithecus cephus", "Cercopithecus nictitans", "Cercopithecus pogonias", "Colobus satanas"]</t>
  </si>
  <si>
    <t>["Primates"]</t>
  </si>
  <si>
    <t>Kun-Rodrigues, C; Salmona, J; Besolo, A; Rasolondraibe, E; Rabarivola, C; Marques, TA; Chikhi, L</t>
  </si>
  <si>
    <t>Kun-Rodrigues, Celia; Salmona, Jordi; Besolo, Aubin; Rasolondraibe, Emmanuel; Rabarivola, Clement; Marques, Tiago A.; Chikhi, Lounes</t>
  </si>
  <si>
    <t>New Density Estimates of a Threatened Sifaka Species ( Propithecus coquereli) in Ankarafantsika National Park</t>
  </si>
  <si>
    <t>AMERICAN JOURNAL OF PRIMATOLOGY</t>
  </si>
  <si>
    <t>Propithecus coquereli; distance sampling; population density; abundance; edge effect</t>
  </si>
  <si>
    <t>EASTERN MADAGASCAR; POPULATION; LEMUR; CONSERVATION; FOREST; FRAGMENTATION; VERREAUXI; ABUNDANCE; ANIMALS; SIZE</t>
  </si>
  <si>
    <t>Propithecus coquereli is one of the last sifaka species for which no reliable and extensive density estimates are yet available. Despite its endangered conservation status [IUCN, 2012] and recognition as a flagship species of the northwestern dry forests of Madagascar, its population in its last main refugium, the Ankarafantsika National Park (ANP), is still poorly known. Using line transect distance sampling surveys we estimated population density and abundance in the ANP. Furthermore, we investigated the effects of road, forest edge, river proximity and group size on sighting frequencies, and density estimates. We provide here the first population density estimates throughout the ANP. We found that density varied greatly among surveyed sites (from 5 to approximate to 100ind/km(2)) which could result from significant (negative) effects of road, and forest edge, and/or a (positive) effect of river proximity. Our results also suggest that the population size may be approximate to 47,000 individuals in the ANP, hinting that the population likely underwent a strong decline in some parts of the Park in recent decades, possibly caused by habitat loss from fires and charcoal production and by poaching. We suggest community-based conservation actions for the largest remaining population of Coquerel's sifaka which will (i) maintain forest connectivity; (ii) implement alternatives to deforestation through charcoal production, logging, and grass fires; (iii) reduce poaching; and (iv) enable long-term monitoring of the population in collaboration with local authorities and researchers. Am. J. Primatol. 76:515-528, 2014. (c) 2014 Wiley Periodicals, Inc.</t>
  </si>
  <si>
    <t>[Kun-Rodrigues, Celia; Salmona, Jordi; Chikhi, Lounes] Inst Gulbenkian Ciencias, P-2780156 Oeiras, Portugal; [Besolo, Aubin; Rasolondraibe, Emmanuel; Rabarivola, Clement] Univ Mahajanga, Fac Sci, Mahajanga, Madagascar; [Marques, Tiago A.] Univ St Andrews, Ctr Res Ecol &amp; Environm Modelling, St Andrews, Fife, Scotland; [Chikhi, Lounes] Univ Toulouse 3, CNRS, ENFA, Lab Evolut &amp; Divers Biol, F-31062 Toulouse, France; [Chikhi, Lounes] Univ Toulouse, Toulouse, France</t>
  </si>
  <si>
    <t>Instituto Gulbenkian de Ciencia; University of St Andrews; Centre National de la Recherche Scientifique (CNRS); Universite Federale Toulouse Midi-Pyrenees (ComUE); Universite de Toulouse; Ecole Nationale Formation Agronomique (ENSFEA); Universite Toulouse III - Paul Sabatier; Universite de Toulouse</t>
  </si>
  <si>
    <t>Kun-Rodrigues, C (corresponding author), Inst Gulbenkian Ciencias, Rua Quinta Grande 6, P-2780156 Oeiras, Portugal.</t>
  </si>
  <si>
    <t>celiakrodrigues@gmail.com; jordi.salmona@gmail.com; chikhi@cict.fr</t>
  </si>
  <si>
    <t>Salmona, Jordi/P-5996-2017; Marques, Tiago A/M-3253-2019; Chikhi, Lounes/KAL-8932-2024; Kun-Rodrigues, Celia/AAH-9450-2021</t>
  </si>
  <si>
    <t>Salmona, Jordi/0000-0002-1950-5805; Marques, Tiago A/0000-0002-2581-1972; Chikhi, Lounes/0000-0002-1140-0718;</t>
  </si>
  <si>
    <t>OptimusAlive!Oeiras-IGC fellowship; Fundacao para a Ciencia e a Tecnologia (FCT) [SFRH/BD/64875/2009, PTDC/BIA-BEC/100176/2008, PTDC/BIA-BIC/4476/2012]; Laboratoire d'Excellence (LABEX) [ANR-10-LABX-41]; Rufford Small Grant Foundation [10941-1]; Fundação para a Ciência e a Tecnologia [PTDC/BIA-BIC/4476/2012, PTDC/BIA-BEC/100176/2008, SFRH/BD/64875/2009] Funding Source: FCT</t>
  </si>
  <si>
    <t>OptimusAlive!Oeiras-IGC fellowship; Fundacao para a Ciencia e a Tecnologia (FCT)(Fundacao para a Ciencia e a Tecnologia (FCT)); Laboratoire d'Excellence (LABEX); Rufford Small Grant Foundation; Fundação para a Ciência e a Tecnologia(Fundacao para a Ciencia e a Tecnologia (FCT))</t>
  </si>
  <si>
    <t>Contract grant sponsor: OptimusAlive!Oeiras-IGC fellowship; contract grant sponsor: Fundacao para a Ciencia e a Tecnologia (FCT); contract grant numbers: SFRH/BD/64875/2009, PTDC/BIA-BEC/100176/2008, PTDC/BIA-BIC/4476/2012; contract grant sponsor: Laboratoire d'Excellence (LABEX); contract grant number: ANR-10-LABX-41; contract grant sponsor: Rufford Small Grant Foundation; contract grant number: 10941-1.</t>
  </si>
  <si>
    <t>0275-2565</t>
  </si>
  <si>
    <t>1098-2345</t>
  </si>
  <si>
    <t>AM J PRIMATOL</t>
  </si>
  <si>
    <t>Am. J. Primatol.</t>
  </si>
  <si>
    <t>AG5WU</t>
  </si>
  <si>
    <t>Green Submitted</t>
  </si>
  <si>
    <t>WOS:000335490200001</t>
  </si>
  <si>
    <t>["Madagascar"]</t>
  </si>
  <si>
    <t>["Coquerel's Sifaka"]</t>
  </si>
  <si>
    <t>["Propithecus coquereli"]</t>
  </si>
  <si>
    <t>Rovero, F; Mtui, AS; Kitegile, AS; Nielsen, MR</t>
  </si>
  <si>
    <t>Rovero, Francesco; Mtui, Arafat S.; Kitegile, Amani S.; Nielsen, Martin R.</t>
  </si>
  <si>
    <t>Hunting or habitat degradation? Decline of primate populations in Udzungwa Mountains, Tanzania: An analysis of threats</t>
  </si>
  <si>
    <t>BIOLOGICAL CONSERVATION</t>
  </si>
  <si>
    <t>Extinction risk; Primates; Bushmeat; Threats; Udzungwa red colobus; Sanje mangabey</t>
  </si>
  <si>
    <t>KIBALE NATIONAL-PARK; RED COLOBUS; DIURNAL PRIMATES; FOREST MAMMALS; TANA RIVER; BODY-SIZE; CONSERVATION; IMPACT; ABUNDANCE; AREA</t>
  </si>
  <si>
    <t>Hunting and habitat degradation are universal threats to primates across the tropics, thus deciphering the relative impact of threats on population relative abundance is critical to predicting extinction risk and providing conservation recommendations. We studied diurnal primates over a period of nearly 6 years in the Udzungwa Mountains of Tanzania, a site of global importance for primate conservation. We assessed how population relative abundance of five species (of which two are endemic and IUCN-Endangered) differed between two forest blocks that are similar in size and habitat types but contrast strongly in protection level, and how abundance changed during 2004-2009. We also measured habitat and disturbance parameters and, in the unprotected forest, evaluated hunting practices. We found significant differences in primates' abundance between protected and unprotected forests, with the greater contrast being the lower abundance of colobine monkeys (Udzungwa red colobus and Angolan colobus) in the unprotected forest. At this site moreover, colobines declined to near-extinction over the study period. In contrast, two cercopithecines (Sanje mangabey and Sykes' monkey) showed slightly higher abundance in the unprotected forest and did not decline significantly. We argue that escalating hunting in the unprotected forest has specifically impacted the canopy-dwelling colobus monkeys, although habitat degradation may also have reduced their abundance. In contrast, cercopithecines did not seem affected by the current hunting, and their greater ecological adaptability may explain the relatively higher abundance in the unprotected forest. We provide recommendations towards the long-term protection of the area. (C) 2011 Elsevier Ltd. All rights reserved.</t>
  </si>
  <si>
    <t>[Rovero, Francesco] Museo Sci, Trop Biodivers Sect, I-38122 Trento, Italy; [Rovero, Francesco; Mtui, Arafat S.; Kitegile, Amani S.] Udzungwa Mt Natl Pk, Udzungwa Ecol Monitoring Ctr, Mangula, Tanzania; [Kitegile, Amani S.] Sokoine Univ Agr, Dept Wildlife Management, Morogoro, Tanzania; [Nielsen, Martin R.] Univ Copenhagen, Ctr Forest &amp; Landscape, DK-1958 Frederiksberg C, Denmark</t>
  </si>
  <si>
    <t>Sokoine University of Agriculture; University of Copenhagen</t>
  </si>
  <si>
    <t>Rovero, F (corresponding author), Museo Sci, Trop Biodivers Sect, Via Calepina 14, I-38122 Trento, Italy.</t>
  </si>
  <si>
    <t>francesco.rovero@mtsn.tn.it; armtui@yahoo.com; akisa76ud@yahoo.com; nielsenmr@gmail.com</t>
  </si>
  <si>
    <t>Nielsen, Martin Reinhardt/E-1173-2015; Mtui, Arafat/KIG-2509-2024; Rovero, Francesco/AAI-3157-2020</t>
  </si>
  <si>
    <t>Nielsen, Martin Reinhardt/0000-0002-8941-6031; Rovero, Francesco/0000-0001-6688-1494</t>
  </si>
  <si>
    <t>Trento Autonomous Province; Trento Science Museum; Centre for Macro Ecology; Evolution and Climate (University of Copenhagen); Critical Ecosystem Partnership Fund</t>
  </si>
  <si>
    <t>We are grateful to John Oates, Thomas Struhsaker, Lars Dinesen, Claudia Barelli and two anonymous reviewers for valuable comments on the manuscript. Daniel Spitale helped with statistical analysis. Research permits were granted by the Tanzania Wildlife Research Institute, Tanzania Commission for Science and Technology, Forestry and Beekeeping Division and Tanzania National Parks. Funding was provided by Trento Autonomous Province (post-doctoral Grant to F.R. 2004-2007), Trento Science Museum, Centre for Macro Ecology, Evolution and Climate (University of Copenhagen), and the Critical Ecosystem Partnership Fund. Several local field assistants provided invaluable help during data collection.</t>
  </si>
  <si>
    <t>ELSEVIER SCI LTD</t>
  </si>
  <si>
    <t>OXFORD</t>
  </si>
  <si>
    <t>THE BOULEVARD, LANGFORD LANE, KIDLINGTON, OXFORD OX5 1GB, OXON, ENGLAND</t>
  </si>
  <si>
    <t>0006-3207</t>
  </si>
  <si>
    <t>1873-2917</t>
  </si>
  <si>
    <t>BIOL CONSERV</t>
  </si>
  <si>
    <t>Biol. Conserv.</t>
  </si>
  <si>
    <t>FEB</t>
  </si>
  <si>
    <t>912QI</t>
  </si>
  <si>
    <t>WOS:000301814300010</t>
  </si>
  <si>
    <t>["Sanje River Mangabey", "Blue Monkey", "Angolan Colobus", "Yellow Baboon", "Udzungwa Red Colobus"]</t>
  </si>
  <si>
    <t>["Cercocebus sanjei", "Cercopithecus mitis", "Colobus angolensis", "Papio cynocephalus", "Procolobus gordonorum"]</t>
  </si>
  <si>
    <t>Topp-Jorgensen, E; Nielsen, MR; Marshall, AR; Pedersen, U</t>
  </si>
  <si>
    <t>Topp-Jorgensen, Elmer; Nielsen, Martin Reinhardt; Marshall, Andrew R.; Pedersen, Ulrik</t>
  </si>
  <si>
    <t>Relative densities of mammals in response to different levels of bushmeat hunting in the Udzungwa Mountains, Tanzania.</t>
  </si>
  <si>
    <t>TROPICAL CONSERVATION SCIENCE</t>
  </si>
  <si>
    <t>PARTICIPATORY FOREST MANAGEMENT; WILDLIFE POPULATIONS; TRANSECT METHODS; PRIMATES; MONKEY; CONSERVATION; EXTINCTION; ABUNDANCE; ECOLOGY; AFRICA</t>
  </si>
  <si>
    <t>Bushmeat hunting constitutes the most immediate threat to wildlife populations in the Udzungwa Mountains of the Eastern Afromontane biodiversity hotspot. This study assesses the impact of hunting by comparing densities of mammalian species between the little hunted West Kilombero Scarp Forest Reserve (WKSFR), the medium-hunted Udzungwa Scarp Forest Reserve (USFR) and the intensively hunted New Dabaga Ulongambi Forest Reserve (NDUFR). Of the 22 species recorded, 20 were present in WKSFR, 17 in USFR and 12 in NDUFR. Most large species (&gt;40 kg.) were absent from hunted areas, while medium-sized species were reduced more than smaller species. Few traces of Abbott's duiker were observed in hunted areas and bush pig was reduced by more than 85% in hunted areas. Hunting appears to have little effect on relative abundance of primates, blue duiker, Harvey's duiker, aardvark, eastern tree hyrax, and giant pouched rat in USFR, at least for those areas surveyed. In NDUFR relative abundance of most mammals are reduced compared to the less hunted reserves. The exception is red colobus which were no less abundant than USFR. However in NDUFR, transects were placed in the best quality habitat for these habitat-sensitive monkeys, thus emphasising the additional role of habitat degradation. The effect of hunting appears to be proportional to the size of the species and the intensity of hunting, although effects of life history strategy, forest fragment size, isolation, and previous logging cannot be excluded. Reduction of hunting levels are paramount to the survival of large bodied species in USFR and for the continued presence of most species in NDUFR. This study furthermore constitutes an important baseline for monitoring the effect of current efforts to implement joint forest management in the Udzungwa Mountains.</t>
  </si>
  <si>
    <t>[Nielsen, Martin Reinhardt] Univ Copenhagen, Ctr Forest Landscape &amp; Planning, Fac Life Sci, DK-1958 Frederiksberg C, Denmark; [Topp-Jorgensen, Elmer; Pedersen, Ulrik] Danish Zool Soc, DK-2100 Copenhagen O, Denmark; [Marshall, Andrew R.] Univ York, Dept Environm, York YO10 5DD, N Yorkshire, England; [Marshall, Andrew R.] Flamingo Land Ltd, Malton YO17 6UX, N Yorkshire, England</t>
  </si>
  <si>
    <t>University of Copenhagen; University of York - UK</t>
  </si>
  <si>
    <t>Nielsen, MR (corresponding author), Univ Copenhagen, Ctr Forest Landscape &amp; Planning, Fac Life Sci, Rolighedsvej 23, DK-1958 Frederiksberg C, Denmark.</t>
  </si>
  <si>
    <t>nielsenmr@gmail.com</t>
  </si>
  <si>
    <t>; Topp-Jørgensen, Elmer/N-6198-2019; Nielsen, Martin/E-1173-2015; Nielsen, Martin Reinhardt/E-1173-2015</t>
  </si>
  <si>
    <t>Topp-Jørgensen, Elmer/0000-0002-5050-9273; Nielsen, Martin Reinhardt/0000-0002-8941-6031</t>
  </si>
  <si>
    <t>Age W. Jensen Foundation; Danish Government through DANIDA</t>
  </si>
  <si>
    <t>We are indebted to the Age W. Jensen Foundation for funding surveys in WKSFR and USFR. In addition to data compiled by the authors for WKSFR and USFR, this publication uses material collected in NDUFR during the Udzungwa Mountains Biodiversity Surveys; a collaborative venture between the Society for Environmental Exploration and the University of Dar es Salaam (through the Frontier Tanzania Forest Research Program), and the Udzungwa Mountains Forest Management and Biodiversity Conservation Component, MEMA, supported by the Danish Government through DANIDA. We also wish to thank Prof. J. Fjeldsa, H. Baagoe, T. Butynski, C. Ehardt, T. T. Struhsaker and L. Dinesen for valuable comments to earlier drafts. Special thanks should also go to Dr. J. Lovett, K. Mikkelsen and C. Frimodt-Moller for assisting with botanical problems and sharing their data.</t>
  </si>
  <si>
    <t>SAGE PUBLICATIONS INC</t>
  </si>
  <si>
    <t>THOUSAND OAKS</t>
  </si>
  <si>
    <t>2455 TELLER RD, THOUSAND OAKS, CA 91320 USA</t>
  </si>
  <si>
    <t>1940-0829</t>
  </si>
  <si>
    <t>TROP CONSERV SCI</t>
  </si>
  <si>
    <t>Trop. Conserv. Sci.</t>
  </si>
  <si>
    <t>Biodiversity Conservation</t>
  </si>
  <si>
    <t>Biodiversity &amp; Conservation</t>
  </si>
  <si>
    <t>V21XY</t>
  </si>
  <si>
    <t>WOS:000208241500007</t>
  </si>
  <si>
    <t>["Harvey's duiker", "Abbott's duiker", "Blue Monkey", "Angolan Colobus", "Giant pouched rat", "African Elephant", "Aardvark", "Blue duiker and Suni", "Bushpig", "Udzungwa Red Colobus", "Buffalo"]</t>
  </si>
  <si>
    <t>["Cephalophus harveyi", "Cephalophus spadix", "Cercopithecus mitis", "Colobus angolensis", "Cricetomys gambianus", "Loxodonta africana", "Orycteropus afer", "Philantomba monticola, Neotragus moschatus", "Potamochoerus larvatus", "Procolobus gordonorum", "Syncerus caffer"]</t>
  </si>
  <si>
    <t>["Cetartiodactyla", "Primates", "Rodentia", "Proboscidea", "Tubulidentata"]</t>
  </si>
  <si>
    <t>Marshall, AR; Topp-Jorgensen, JE; Brink, H; Fanning, E</t>
  </si>
  <si>
    <t>Monkey abundance and social structure in two high-elevation forest reserves in the Udzungwa Mountains of Tanzania</t>
  </si>
  <si>
    <t>altitude; transect; logging; bushmeat; Eastern Arc</t>
  </si>
  <si>
    <t>KIBALE NATIONAL-PARK; RED COLOBUS MONKEY; PRIMATE POPULATIONS; GROUP-SIZE; CONSERVATION; ECOLOGY; SOCIOECOLOGY; ANGOLENSIS; BADIUS</t>
  </si>
  <si>
    <t>The effects of human activity on population and social structure are a pantropical concern for primate conservation. We compare census data and social group counts from two forests in the Udzungwa Mountains, Tanzania. The main aim is to relate differences within and between the forests to current theory on the effect of human disturbance on primate abundance and group size. The survey reveals the presence of the restricted-range red colobus, Procolobus gordonorum, in New Dabaga/Ulangambi Forest Reserve (NDUFR). The primate community of NDUFR is impoverished compared to that in Ndundulu forest. Red colobus and black-and-white colobus (Colobus angolensis palliatus) abundance and group size are lowest in NDUFR. Fission-fusion of red colobus social groups may be occurring in previously logged areas of both forests. Our observations are consistent with current theory on the effect of habitat degradation and hunting on primates, but the relative effects of the 2 factors could not be differentiated. We pooled the results with previous data to show that abundance of red colobus in the Udzungwa Mountains is lowest at high elevations. Low red colobus group sizes appear to be related to human activity rather than elevation. Black-and-white colobus and Sykes monkeys ( Cercopithecus mitis) show no relationship with elevation. Future studies will require more detailed information on vegetation, diet and ranging patterns to interpret fully intraspecific variation in population demography and social structure in the Udzungwa Mountains.</t>
  </si>
  <si>
    <t>Univ York, Ctr Ecol Law &amp; Policy, Dept Environm, York YO10 5DD, N Yorkshire, England; Soc Environm Explorat, London EC2A 3QP, England</t>
  </si>
  <si>
    <t>University of York - UK</t>
  </si>
  <si>
    <t>Marshall, AR (corresponding author), Univ York, Ctr Ecol Law &amp; Policy, Dept Environm, York YO10 5DD, N Yorkshire, England.</t>
  </si>
  <si>
    <t>andrewrmarshall@hotmail.com</t>
  </si>
  <si>
    <t>Topp-Jørgensen, Elmer/N-6198-2019</t>
  </si>
  <si>
    <t>Topp-Jørgensen, Elmer/0000-0002-5050-9273</t>
  </si>
  <si>
    <t>902ND</t>
  </si>
  <si>
    <t>WOS:000227362900006</t>
  </si>
  <si>
    <t>["Blue Monkey", "Angolan Colobus", "Udzungwa Red Colobus"]</t>
  </si>
  <si>
    <t>["Cercopithecus mitis", "Colobus angolensis", "Procolobus gordonorum"]</t>
  </si>
  <si>
    <t>Nijman, V</t>
  </si>
  <si>
    <t>Effects of habitat disturbance and hunting on the density and the biomass of the endemic Hose's leaf monkey Presbytis hosei (Thomas, 1889) (Mammalia: Primates: Cercopithecidae) in east Borneo</t>
  </si>
  <si>
    <t>CONTRIBUTIONS TO ZOOLOGY</t>
  </si>
  <si>
    <t>colobines; conservation; logging; primates; shifting cultivation</t>
  </si>
  <si>
    <t>NASALIS-LARVATUS; CONSERVATION; KALIMANTAN; FOREST; BIODIVERSITY; HOTSPOTS</t>
  </si>
  <si>
    <t>Hose's leaf monkey Presbytis hosei is endemic to Borneo and occurs only in tall forest. In recent decades Borneo has lost a large part of its forest cover, mostly in low-lying coastal regions. Large intact tracts of forest remain in the interior, but these are by and large inhabited by tribes that subsist in part by hunting. The combined effects of habitat disturbance and hunting on the densities and biomass of Hose's leaf monkey were studied in Kayan Mentarang National Park in Borneo's far interior. Over four months, data on densities and hunting were collected by transect walks in four forest types. Hose's leaf monkeys were hunted to deter crop-raiding, for their meat, and to obtain bezoar stones (visceral secretions used in traditional medicine). Hose's leaf monkeys occurred in single male groups of 7-8 individuals in densities from 0.8 to 2.3 groups km(-2). Densities of Hose's leaf monkeys were positively correlated with certain vegetation characteristics, e.g. tree height and height of first bough, and negatively correlated with distance to the nearest village. Biomass of Hose's leaf monkeys declined considerably as a result of habitat disturbance and hunting from 92 kg km(-2) in primary hill forest inside the reserve to 38 kg km(-2) in old secondary forest and 31 kg km(-2) in young secondary forest near villages. A review of the few studies conducted on the effects of habitat disturbance and hunting on Hose's leaf monkeys reveal inconsistent trends in biomass and density responses.</t>
  </si>
  <si>
    <t>Univ Amsterdam, Inst Biodivers &amp; Ecosyst Dynam, Zool Museum, NL-1090 GT Amsterdam, Netherlands</t>
  </si>
  <si>
    <t>University of Amsterdam</t>
  </si>
  <si>
    <t>Nijman, V (corresponding author), Univ Amsterdam, Inst Biodivers &amp; Ecosyst Dynam, Zool Museum, POB 94766, NL-1090 GT Amsterdam, Netherlands.</t>
  </si>
  <si>
    <t>nijman@science.uva.nl</t>
  </si>
  <si>
    <t>Nijman, Vincent/AHD-8685-2022</t>
  </si>
  <si>
    <t>Nijman, Vincent/0000-0002-5600-4276</t>
  </si>
  <si>
    <t>BRILL</t>
  </si>
  <si>
    <t>LEIDEN</t>
  </si>
  <si>
    <t>PLANTIJNSTRAAT 2, P O BOX 9000, 2300 PA LEIDEN, NETHERLANDS</t>
  </si>
  <si>
    <t>1383-4517</t>
  </si>
  <si>
    <t>1875-9866</t>
  </si>
  <si>
    <t>CONTRIB ZOOL</t>
  </si>
  <si>
    <t>Contrib. Zool.</t>
  </si>
  <si>
    <t>910KA</t>
  </si>
  <si>
    <t>WOS:000227928800004</t>
  </si>
  <si>
    <t>["Indonesia"]</t>
  </si>
  <si>
    <t>["Hose’s Langur"]</t>
  </si>
  <si>
    <t>["Presbytis hosei"]</t>
  </si>
  <si>
    <t>Nielsen, MR</t>
  </si>
  <si>
    <t>Importance, cause and effect of bushmeat hunting in the Udzungwa Mountains, Tanzania: Implications for community based wildlife management</t>
  </si>
  <si>
    <t>bushmeat hunting; CBWM; Udzungwa Mountains; Tanzania</t>
  </si>
  <si>
    <t>INTEGRATED CONSERVATION; PROTECTED AREAS; FORESTS; DENSITIES; PROGRAMS</t>
  </si>
  <si>
    <t>Community Based Wildlife Management (CBWM) has been suggested as a conservation strategy in response to bushmeat hunting in the Udzungwa Mountains within the Eastern Afromontane biodiversity hotspot. The feasibility of CBWM based on meat cropping was therefore evaluated in New Dabaga/Ulangambi Forest Reserve (NDUFR). Comparison of relative wildlife densities with West Kilombero Scarp Forest Reserve, which is subject to only low hunting pressure, indicate that most relevant populations are severely depleted (Cephalophus monticola, C. harueyi and C. spadix, Potamochoerus larvatus) and hence that sustainable harvesting currently is not possible in NDUFR. Records of catch from hunters in the villages surrounding NDUFR indicate that bushmeat is of relatively low importance in terms of use and contribution to protein intake. Proximity to NDUFR and secondarily population size in the different villages is positively correlated with hunting intensity and depletion of wildlife. Comparisons between hunters and non-hunters in terms of wealth measures show that hunting is linked to poverty and low protein intake. An estimation of maximum sustainable harvest in NDUFR reveals that CBWM only has limited capacity to reduce these causes of hunting, maintain the communities' interest and offset the opportunity costs of conservation. Results of this study suggest that conservation efforts in NDUFR should focus on protecting wildlife against exploitation instead of encouraging use and dependence through CBWM. Supporting efforts should attempt to facilitate a complete shift to domestic sources of meat, by increasing the number of domestic animals in the poorest part of the population. (c) 2005 Elsevier Ltd. All rights reserved.</t>
  </si>
  <si>
    <t>Univ Copenhagen, Zool Museum, DK-2100 Copenhagen, Denmark</t>
  </si>
  <si>
    <t>University of Copenhagen</t>
  </si>
  <si>
    <t>Nielsen, MR (corresponding author), Univ Copenhagen, Zool Museum, Univ Pk 15, DK-2100 Copenhagen, Denmark.</t>
  </si>
  <si>
    <t>nielsnmr@gmail.com</t>
  </si>
  <si>
    <t>Nielsen, Martin Reinhardt/E-1173-2015</t>
  </si>
  <si>
    <t>Nielsen, Martin Reinhardt/0000-0002-8941-6031</t>
  </si>
  <si>
    <t>London</t>
  </si>
  <si>
    <t>125 London Wall, London, ENGLAND</t>
  </si>
  <si>
    <t>023BS</t>
  </si>
  <si>
    <t>WOS:000236100800009</t>
  </si>
  <si>
    <t>["Harvey's duiker", "Giant pouched rat", "Blue duiker"]</t>
  </si>
  <si>
    <t>["Cephalophus harveyi", "Cricetomys gambianus", "Philantomba monticola"]</t>
  </si>
  <si>
    <t>["Cetartiodactyla", "Rodentia"]</t>
  </si>
  <si>
    <t>Kuehl, HS; Nzeingui, C; Yeno, SLD; Huijbregts, B; Boesch, C; Walsh, PD</t>
  </si>
  <si>
    <t>Kuehl, Hjalmar S.; Nzeingui, Christian; Yeno, Stephane Le Duc; Huijbregts, Bas; Boesch, Christophe; Walsh, Peter D.</t>
  </si>
  <si>
    <t>Discriminating between village and commercial hunting of apes</t>
  </si>
  <si>
    <t>Village; Human population center; Density; Park management; Population gradient; Survey</t>
  </si>
  <si>
    <t>GORILLA GORILLA-GORILLA; CONSERVATION PRACTICE; FOREST; POPULATIONS; DECLINE; MODELS; CRISIS; EBOLA</t>
  </si>
  <si>
    <t>Hunting is the major driver of large mammal decline in Central African forests. in slowly reproducing species even low hunting pressure leaves spatial gradients with wildlife density increasing with distance from transport routes and human settlements. Park management can use this pattern formation to identify sources of threats, but also to discriminate between different threat scenarios, such as the impact of subsistence vs. commercial hunting. We conducted an ape survey in the mountainous Moukalaba Doudou National Park, Gabon, to evaluate whether potential population gradients would emanate from the three human population centers in the region or the villages surrounding the park. Using generalized linear modeling we found hill slope as a good predictor of ape nest occurrence probability and the distance to human population centers a better predictor of ape nest density and ape nest group size than distance to villages. In fact ape nest density was three times lower at the park borders close to the human population centers than in the park's interior. The results indicate that Moukalaba's ape population is more impacted by commercial than subsistence hunting and suggest that park management should focus conservation efforts on the human population centers. We conclude that in particular for slowly reproducing species geographic information on wildlife population gradients are of additional value for guiding protected area management. The hunting impact on those species might be easily underestimated, if derived only from market surveys or transport route controls, where they are only rarely found. (C) 2009 Elsevier Ltd. All rights reserved.</t>
  </si>
  <si>
    <t>[Kuehl, Hjalmar S.; Boesch, Christophe; Walsh, Peter D.] Max Planck Inst Evolutionary Anthropol, Dept Primatol, D-04103 Leipzig, Germany; [Nzeingui, Christian; Yeno, Stephane Le Duc; Huijbregts, Bas] WWF Gamba, World Wide Fund Nat, Libreville, Gabon</t>
  </si>
  <si>
    <t>Max Planck Society; World Wildlife Fund</t>
  </si>
  <si>
    <t>Kuehl, HS (corresponding author), Max Planck Inst Evolutionary Anthropol, Dept Primatol, Deutsch Pl 6, D-04103 Leipzig, Germany.</t>
  </si>
  <si>
    <t>kuehl@eva.mpg.de; leducyeno@yahoo.fr; huijbregts_bas@hotmail.com; boesch@eva.mpg.de; walsh@eva.mpg.de</t>
  </si>
  <si>
    <t>WWF Gamba; Max Planck Society; Deutscher Akademischer Austauschdienst (DAAD)</t>
  </si>
  <si>
    <t>WWF Gamba; Max Planck Society(Max Planck Society); Deutscher Akademischer Austauschdienst (DAAD)(Deutscher Akademischer Austausch Dienst (DAAD))</t>
  </si>
  <si>
    <t>We thank the government of Gabon for allowing us to work in Moukalaba Doudou NP. We thank especially Brice Leandre Meye, Park Warden of Moukalaba Doudou National Park, for his full support, and Augustin Mihindou Mbina, Park Warden of southern Loango, National Park and president of the Technical Management Committee during the time of field work, for his huge efforts in coordinating conservation work in the larger Gamba Complex. We also had great personnel and administrative support from Marc Dethier, Hugues Mouanambatsi, and the Moukalaba Doudou survey team. We thank Samantha Strindberg for helpful comments on the manuscript, and two anonymous reviewers. Source for the SRTM data we used in our study was the Global Land Cover Facility, http://www.landcover.org. This work was financed by WWF Gamba, Max Planck Society, and Deutscher Akademischer Austauschdienst (DAAD).</t>
  </si>
  <si>
    <t>455IP</t>
  </si>
  <si>
    <t>WOS:000266752500026</t>
  </si>
  <si>
    <t>["Western gorilla", "Chimpanzee"]</t>
  </si>
  <si>
    <t>["Gorilla gorilla", "Pan troglodytes"]</t>
  </si>
  <si>
    <t>Altrichter, M</t>
  </si>
  <si>
    <t>The sustainability of subsistence hunting of peccaries in the Argentine Chaco</t>
  </si>
  <si>
    <t>Argentina; Chaco; peccaries; sustainability; Tayassuidae</t>
  </si>
  <si>
    <t>COLLARED PECCARIES; TAYASSU-PECARI; WILDLIFE MANAGEMENT; CATAGONUS-WAGNERI; RANGING BEHAVIOR; ATLANTIC FOREST; POPULATION; TAJACU; FRAGMENTATION; PATTERNS</t>
  </si>
  <si>
    <t>Subsistence hunting practiced by poor rural and indigenous people in Latin America differentially affects the three species of peccaries (Artiodactyla: Tayassuidae). Sustainability of subsistence hunting of peccaries in the Argentine semi-arid Chaco, where the three species coexist, was unknown. My objectives were to determine the importance of peccaries for the local people, describe the current pattern of hunting and its impact on the three species of peccary and identify the factors that affect hunting sustainability. I found that many rural (70%) and village people (40%) consumed peccaries. White-lipped and chacoan peccaries were more susceptible to overharvesting than collared peccary. Current rates of hunting of white-lipped and chacoan peccaries are likely not sustainable because: (a) density of both species was between two to three times higher inside a protected area than outside; (b) populations have declined near larger villages and in older settlements; (c) herds sizes were small in comparison with other regions; (d) large number of juveniles less than one year old were harvested; (e) hunting did not discriminate based on sex or reproductive status and (f) The unified harvest model indicated unsustainable harvest because more than 40% of the reproductive production was taken and populations densities were less than 60% carrying capacities. In contrast, harvest of collared peccary seems sustainable at the current rates of hunting by rural peasants. Other threats such as forest exploitation, however, are accelerating, and are likely to reduce sustainability. (c) 2005 Elsevier Ltd. All rights reserved.</t>
  </si>
  <si>
    <t>Univ Arizona, Sch Renewable Nat Resources, Tucson, AZ 85721 USA</t>
  </si>
  <si>
    <t>University of Arizona</t>
  </si>
  <si>
    <t>Altrichter, M (corresponding author), Univ Arizona, Dept Wildlife &amp; Fisheries Sci, 5103 N Hillcrest Dr, Tucson, AZ 85704 USA.</t>
  </si>
  <si>
    <t>marianaalt@msn.com</t>
  </si>
  <si>
    <t>DEC</t>
  </si>
  <si>
    <t>980DJ</t>
  </si>
  <si>
    <t>WOS:000232993900006</t>
  </si>
  <si>
    <t>["Argentina"]</t>
  </si>
  <si>
    <t>["Deserts and semi-deserts"]</t>
  </si>
  <si>
    <t>["Chacoan peccary", "Collared peccary", "White-lipped peccary"]</t>
  </si>
  <si>
    <t>["Catagonus wagneri", "Pecari tajacu", "Tayassu pecari"]</t>
  </si>
  <si>
    <t>de Thoisy, B; Renoux, F; Julliot, C</t>
  </si>
  <si>
    <t>Hunting in northern French Guiana and its impact on primate communities</t>
  </si>
  <si>
    <t>ORYX</t>
  </si>
  <si>
    <t>Bushmeat; French Guiana; habitats; hunting; necitropical primates; rainforest; sustainable harvest</t>
  </si>
  <si>
    <t>MONKEYS ALOUATTA-SENICULUS; SEED DISPERSAL; RAIN-FOREST; CONSERVATION; DIVERSITY; ABUNDANCE; FRAGMENTATION; POPULATION; PATTERNS; MAMMALS</t>
  </si>
  <si>
    <t>The Guianas contain one of the largest single remaining tracts of undisturbed tropical rainforest in the world, but this forest and its fauna are facing increased threats. In the north of French Guiana both anthropogenic pressures and conflicts between settlements related to the use of natural resources are growing. Based on surveys in 17 forest sites we show that hunting pressure was the main factor determining current primate species richness, masking the effects of logging or forest type. Three of the larger species, the red howler monkey Alotialta smicitilits, black spider monkey Ateles pain. and tufted capuchin Cebus apella, were less abundant in hunted areas. In the areas around four settlements the harvested biomass of primates was low compared to other game species, but the harvests were close to or beyond the maximal sustainable thresholds for the red howler monkey and tufted capuchin. In French Guiana primates are either fully protected by law (the spider monkey and white-faced saki Pithecia pithecia), or their hunting is restricted to subsistence use (howler monkey, tufted capuchin and wedge-capped capuchin Cebus olivaceus). Most hunted meat is, however, destined for sale. Current conservation policy in French Guiana is limited to legal protection for some species and areas, and laws are poorly enforced. Although large areas of forest and its wildlife are protected simply by their remoteness, there is an increasingly urgent need for the legal protection of all primate species, and the establishment of large protected areas and efficient forest management schemes to minimize the impacts of logging and hunting.</t>
  </si>
  <si>
    <t>Assoc Kwata, BP 672, F-97335 Cayenne, French Guiana; ENGREF, Kourou 97379, French Guiana; Silvolab, Cayenne 97323, French Guiana</t>
  </si>
  <si>
    <t>de Thoisy, B (corresponding author), Assoc Kwata, BP 672, F-97335 Cayenne, French Guiana.</t>
  </si>
  <si>
    <t>thoisy@kwata.org</t>
  </si>
  <si>
    <t>CAMBRIDGE UNIV PRESS</t>
  </si>
  <si>
    <t>CAMBRIDGE</t>
  </si>
  <si>
    <t>EDINBURGH BLDG, SHAFTESBURY RD, CB2 8RU CAMBRIDGE, ENGLAND</t>
  </si>
  <si>
    <t>0030-6053</t>
  </si>
  <si>
    <t>1365-3008</t>
  </si>
  <si>
    <t>Oryx</t>
  </si>
  <si>
    <t>923YF</t>
  </si>
  <si>
    <t>WOS:000228944800017</t>
  </si>
  <si>
    <t>["Red howler monkey", "Black spider monkey", "Wedge-capped capuchin", "White-faced saki", "Golden-handed tamarin", "Tufted capuchin"]</t>
  </si>
  <si>
    <t>["Alouatta seniculus", "Ateles paniscus", "Cebus olivaceus", "Pithecia pithecia", "Saguinus midas", "Sapajus apella"]</t>
  </si>
  <si>
    <t>Laurance, WF; Croes, BM; Tchignoumba, L; Lahm, SA; Alonso, A; Lee, ME; Campbell, P; Ondzeano, C</t>
  </si>
  <si>
    <t>Laurance, William F.; Croes, Barbara M.; Tchignoumba, Landry; Lahm, Sally A.; Alonso, Alfonso; Lee, Michelle E.; Campbell, Patrick; Ondzeano, Claude</t>
  </si>
  <si>
    <t>Impacts of roads and hunting on central African rainforest mammals</t>
  </si>
  <si>
    <t>Gabon; infrastructure; oil development; rainforest; tropical forests; wildlife conservation</t>
  </si>
  <si>
    <t>CONSERVATION; POPULATIONS; BUSHMEAT; GABON; EXTINCTION; HARVEST; BIRDS</t>
  </si>
  <si>
    <t>Road expansion and associated increases in hunting pressure are a rapidly growing threat to African tropical wildlife. In the rainforests of southern Gabon, we compared abundances of larger (&gt; 1 kg) mammal species at varying distances from forest roads and between hunted and unhunted treatments (comparing a 130-km(2) oil concession that was almost entirely protected from hunting with nearby areas outside the concession that had moderate hunting pressure). At each of 12 study sites that were evenly divided between hunted and unhunted areas, we established standardized 1-km transects at five distances (50, 300, 600, 900, and 1200 m) from an unpaved road, and then repeatedly surveyed mammals during the 2004 dry and wet seasons. Hunting had the greatest impact on duikers (Cephalophus spp.), forest buffalo (Syncerus caffer nanus), and red river bogs (Potamochoerus porcus), which declined in abundance outside the oil concession, and lesser effects on lowland gorillas (Gorilla gorilla gorilla) and carnivores. Roads depressed abundances of duikers, sitatungas (Tragelaphus spekei gratus), and forest elephants (Loxondonta africana cyclotis), with avoidance of roads being stronger outside than inside the concession. Five monkey species showed little response to roads or hunting, whereas some rodents and pangolins increased in abundance outside the concession, possibly in response to greater forest disturbance. Our findings suggest that even moderate hunting pressure can markedly alter the structure of mammal communities in central Africa. Roads had the greatest impacts on large and small ungulates, with the magnitude of road avoidance increasing with local bunting pressure.</t>
  </si>
  <si>
    <t>Smithsonian Trop Res Inst, Balboa, Panama; Smithsonian Inst, Monitoring &amp; Assessment Biodivers Program, Washington, DC 20560 USA; Inst Rech &amp; Ecol Trop, Makokou, Gabon</t>
  </si>
  <si>
    <t>Smithsonian Institution; Smithsonian Tropical Research Institute; Smithsonian Institution</t>
  </si>
  <si>
    <t>Laurance, WF (corresponding author), Smithsonian Trop Res Inst, Apartado 2072, Balboa, Panama.</t>
  </si>
  <si>
    <t>laurancew@si.edu</t>
  </si>
  <si>
    <t>; Laurance, William/B-2709-2012</t>
  </si>
  <si>
    <t>Alonso, Alfonso/0000-0001-6860-8432;</t>
  </si>
  <si>
    <t>070SX</t>
  </si>
  <si>
    <t>WOS:000239545500036</t>
  </si>
  <si>
    <t>["Red duikers", "African Elephant"]</t>
  </si>
  <si>
    <t>["Cephalophus callipygus, C. dorsalis, C. leucogaster, C. nigrifrons and C. ogilbyi", "Loxodonta africana"]</t>
  </si>
  <si>
    <t>["Cetartiodactyla", "Proboscidea"]</t>
  </si>
  <si>
    <t>Muchaal, PK; Ngandjui, G</t>
  </si>
  <si>
    <t>Impact of village hunting on wildlife populations in the western Dia Reserve, Cameroon</t>
  </si>
  <si>
    <t>RAIN-FOREST; MARKET</t>
  </si>
  <si>
    <t>The Dja Biosphere Reserve, a lowland rainforest in southern Cameroon, supports extensive biotic communities with a high proportion of endemic fauna and flora. A growing human population afflicted by an economic crisis and a predilection for game meat has augmented pressures on the faunal resources. We conducted a 2-year study to assess the spatial distribution and intensity of hunting in the western Dja Reserve and the implications for the management of these activities. We mapped the area where the villagers hunt, determined snare densities, and collected biological data on species killed. Surveys using standard line-transect methodology were conducted on mammalian game species in the various hunting zones across strata of human-disturbed and less-disturbed areas. In the three hunting zones of the village of Mekas, snare density decreased as distance from the village increased. Despite a 64% lower snare density, the monthly overall capture rate was four times higher there than in the zone closest to the village. The number of animals that rotted on snares was three times higher in the farthest hunting region from the village. Except for the four common arboreal primates, encounter rates and densities of game species tended to decrease with proximity to human activity and with an increase in snare densities. Duikers (Cephalophus spp.) comprised 63.5% of animals killed. We used Robinson and Redford's (1991) production model to determine the sustainability of the present harvest rates. Harvest rates of C. monticola, C. dorsalis, and C. callipygus in two of the hunting zones were between one and three times higher than the populations can theoretically sustain. As species are depleted, hunters will journey even further into the forest to hunt. To reduce waste, subsistence hunting should be limited to within 15 km of the village. Ecological studies to determine stochastic and deterministic influences on the duiker populations are required to ensure their conservation within the Dja Reserve.</t>
  </si>
  <si>
    <t>Conservat &amp; Utilisat Rat Ecosyst Forestiers Afriq, Yaounde, Cameroon; Inst Anim &amp; Vet Res IRZV, Yaounde, Cameroon</t>
  </si>
  <si>
    <t>Muchaal, PK (corresponding author), Int Inst Trop Agr, Humid Forest Stn, BP 2008 Messa, Yaounde, Cameroon.</t>
  </si>
  <si>
    <t>BLACKWELL SCIENCE INC</t>
  </si>
  <si>
    <t>MALDEN</t>
  </si>
  <si>
    <t>350 MAIN ST, MALDEN, MA 02148 USA</t>
  </si>
  <si>
    <t>181YX</t>
  </si>
  <si>
    <t>WOS:000079472000022</t>
  </si>
  <si>
    <t>["Cameroon"]</t>
  </si>
  <si>
    <t>["African brush-tailed porcupine", "Red duikers", "Yellow back duiker", "Moustached Monkey", "Putty-nosed monkey", "Crowned monkey", "Guereza", "Western gorilla", "Mongoose", "Grey-cheeked mangabey", "Chimpanzee", "Blue duiker", "Red river hog", "Squirrels", "Buffalo", "Greater cane rat", "Bongo"]</t>
  </si>
  <si>
    <t>["Atherurus africanus", "Cephalophus callipygus, C. dorsalis, C. leucogaster and C. nigrifrons", "Cephalophus silvicultor", "Cercopithecus cephus", "Cercopithecus nictitans", "Cercopithecus pogonias", "Colobus guereza", "Gorilla gorilla", "Herpestidae spp", "Lophocebus albigena", "Pan troglodytes", "Philantomba monticola", "Potamochoerus porcus", "Sciurus spp", "Syncerus caffer", "Thryonomys swinderianus", "Tragelaphus spekii"]</t>
  </si>
  <si>
    <t>["Rodentia", "Cetartiodactyla", "Primates", "Carnivores"]</t>
  </si>
  <si>
    <t>Hayward, MW</t>
  </si>
  <si>
    <t>Hayward, Matt W.</t>
  </si>
  <si>
    <t>Bushmeat hunting in Dwesa and Cwebe Nature Reserves, Eastern Cape, South Africa</t>
  </si>
  <si>
    <t>SOUTH AFRICAN JOURNAL OF WILDLIFE RESEARCH</t>
  </si>
  <si>
    <t>bushmeat hunting; poaching; temperate forests; fenced conservation areas; protected area management</t>
  </si>
  <si>
    <t>FOREST</t>
  </si>
  <si>
    <t>Reports of bushmeat hunting as a threatening process are almost entirely restricted to tropical biomes and developing countries. Mammalian fauna within South Africa's fenced reserves could be considered immune to such threats; however, there has been no study testing this. Transects were conducted throughout the fenced, temperate coastal indigenous forested reserves of Dwesa and Cwebe to detect sign (observations, footprints, faeces) of medium and large mammals, and evidence of poaching (snares, human footprints, bullet cartridges). I used generalized linear models of relative abundance data to identify the most likely causes of population decline and presence/absence data to identify the most likely causes of local extinction. Two of the largest mammals (white rhinoceros, Ceratotherium simum and eland, Tragelaphus oryx, were the only species that had distance to the reserve boundary (and hunting humans) as the most important factors affecting their distribution; however, three other ungulates avoided humans (avoided reserve boundary or roads). Highly unusual habitat use (forest restriction) was observed for several normally grassland inhabitants, illustrating the perceived risks associated with open habitats. This study illustrates that bushmeat hunting is not a threat restricted to the Third World tropics and that conservation areas require monitoring, as well as fencing, to ensure poaching does not threaten wildlife.</t>
  </si>
  <si>
    <t>[Hayward, Matt W.] Walter Sisulu Univ, Dept Zool, ZA-5117 Umtata, South Africa; [Hayward, Matt W.] Polish Acad Sci, Mammal Res Inst, PL-17230 Bialowieza, Poland</t>
  </si>
  <si>
    <t>Walter Sisulu University; Polish Academy of Sciences; Mammal Research Institute of the Polish Academy of Sciences</t>
  </si>
  <si>
    <t>Hayward, MW (corresponding author), Walter Sisulu Univ, Dept Zool, Private Bag X1, ZA-5117 Umtata, South Africa.</t>
  </si>
  <si>
    <t>hayers111@aol.com</t>
  </si>
  <si>
    <t>Hayward, Matt W/F-3569-2010</t>
  </si>
  <si>
    <t>Hayward, Matt W/0000-0002-5574-1653</t>
  </si>
  <si>
    <t>NRF Postdoctoral Fellowship</t>
  </si>
  <si>
    <t>Mzo Nkaitshana, Sintu Pondoland Hola and Chawe greatly assisted in the field. Michael Somers and Michele Walters generously provided accommodation and hospitality while in Mthatha, while they and Emile Plumstead were the highlights of city life. I was belatedly funded by an NRF Postdoctoral Fellowship. M. Mbete, Manager of Dwesa and Cwebe Nature Reserves provided approval to work there. R. White also generously assisted with field work, the design of a variation of this study and funding. Michele Walters and Michael Somers improved the manuscript with their reviews, and Thomas Cornulier gave valuable statistical advice.</t>
  </si>
  <si>
    <t>SOUTHERN AFRICAN WILDLIFE MANAGEMENT ASSOC</t>
  </si>
  <si>
    <t>BLOUBERGSTRAND</t>
  </si>
  <si>
    <t>P O BOX 217, BLOUBERGSTRAND 7437, SOUTH AFRICA</t>
  </si>
  <si>
    <t>0379-4369</t>
  </si>
  <si>
    <t>1996-8477</t>
  </si>
  <si>
    <t>S AFR J WILDL RES</t>
  </si>
  <si>
    <t>South Afr. J. Wildl. Res.</t>
  </si>
  <si>
    <t>Ecology; Zoology</t>
  </si>
  <si>
    <t>Environmental Sciences &amp; Ecology; Zoology</t>
  </si>
  <si>
    <t>492WH</t>
  </si>
  <si>
    <t>WOS:000269692700008</t>
  </si>
  <si>
    <t>["South Africa"]</t>
  </si>
  <si>
    <t>["Water mongoose", "Vervet monkey", "Blue wildebeest", "African and golden mole rat", "Burchell's zebra", "Cape genet", "Blue duiker", "Bushpig", "Common duiker", "Bushbuck", "White rhinoceros", "Cape porcupine", "Eland"]</t>
  </si>
  <si>
    <t>["Atilax paludinosus", "Chlorocebus aethiops", "Connochaetes taurinus", "Cryptomys hottentotus and Amblysomus hottentotus", "Equus quagga", "Genetta tigrina", "Philantomba monticola", "Potamochoerus larvatus", "Sylvicapra grimmia", "Tragelaphus scriptus", "Ceratotherium simum", "Hystrix africaeaustralis", "Tragelaphus oryx"]</t>
  </si>
  <si>
    <t>["Carnivores", "Primates", "Cetartiodactyla", "Rodentia", "Perissodactyla"]</t>
  </si>
  <si>
    <t>Linder, JM; Oates, JF</t>
  </si>
  <si>
    <t>Linder, Joshua M.; Oates, John F.</t>
  </si>
  <si>
    <t>Differential impact of bushmeat hunting on monkey species and implications for primate conservation in Korup National Park, Cameroon</t>
  </si>
  <si>
    <t>Bushmeat hunting; Differential vulnerability; Competitive release; Korup National Park</t>
  </si>
  <si>
    <t>MBARACAYU RESERVE; AMAZONIAN FORESTS; BIOKO ISLAND; RAIN-FOREST; ABUNDANCE; HABITAT; BIOMASS; EXPLOITATION; EXTINCTION; DENSITIES</t>
  </si>
  <si>
    <t>Bushmeat hunting is one of the primary threats to many large-bodied vertebrate species in African forests. However, species vary in their degree of vulnerability to hunting. We investigated the impact of hunting on monkey species in Cameroon's Korup National Park (KNP) and examined how vulnerability to hunting varies among species. Data on primate abundance and hunting intensity were collected along 10 line transects, distributed across three survey areas in KNP. We assessed how the relative abundance of seven monkey species spatially varied between heavily and lightly hunted areas and evaluated temporal changes in the relative abundance and proportional representation of these species at a single hunted forest site and in bushmeat harvests. The putty-nosed and mona monkeys are most tolerant to heavy hunting pressure whereas the crowned monkey, drill, and red colobus are among the most vulnerable. At our heavily hunted survey site, the overall relative density of monkey groups increased through time but primate species richness declined. The proportional representation of Cercopithecus species, especially putty-nosed monkeys, increased through time, possibly due to competitive release. We also observed an increase in the proportional representation of the putty-nosed and mona monkeys and a reduced percent contribution of the red colobus and drill in hunter harvests. We conclude that hunting is driving some of Africa's most threatened primate species (e.g.. Preuss's red colobus and the drill) to local extinction in KNP. We discuss intrinsic factors of species that might influence their degree of vulnerability and strategies to improve protection efforts in KNP. (C) 2010 Elsevier Ltd. All rights reserved.</t>
  </si>
  <si>
    <t>[Linder, Joshua M.] James Madison Univ, Dept Sociol &amp; Anthropol, Harrisonburg, VA 22807 USA; [Oates, John F.] CUNY Hunter Coll, Dept Anthropol, New York, NY 10065 USA; [Oates, John F.] Oxford Brookes Univ, Dept Geog &amp; Anthropol, Oxford OX3 0BP, England</t>
  </si>
  <si>
    <t>James Madison University; City University of New York (CUNY) System; Hunter College (CUNY); Oxford Brookes University</t>
  </si>
  <si>
    <t>Linder, JM (corresponding author), James Madison Univ, Dept Sociol &amp; Anthropol, MSC 7501, Harrisonburg, VA 22807 USA.</t>
  </si>
  <si>
    <t>linderjm@jmu.edu</t>
  </si>
  <si>
    <t>Wildlife Conservation Society; Center for Tropical Forest Science of the Smithsonian Tropical Research Institute; Conservation International Primate Action Fund; Primate Conservation, Inc.; American Society of Primatologists; Gorilla Foundation; New York Consortium in Evolutionary Primatology; Government of Cameroon; Institutional Animal Use and Care Committee of Hunter College; Institutional Review Board of CUNY for human participants</t>
  </si>
  <si>
    <t>This project was funded by the Wildlife Conservation Society Research Fellowship Program, Center for Tropical Forest Science of the Smithsonian Tropical Research Institute, Conservation International Primate Action Fund, Primate Conservation, Inc., American Society of Primatologists, The Gorilla Foundation's Wildlife Protectors Fund, and the New York Consortium in Evolutionary Primatology. We thank our field personnel in Cameroon, especially David Okon. We also thank those people who contributed data to this study and Dr. Richard Lawler for assistance with statistical analyses and helpful suggestions. All research was approved by the Government of Cameroon, the Institutional Animal Use and Care Committee of Hunter College, and the Institutional Review Board of CUNY for human participants.</t>
  </si>
  <si>
    <t>728TJ</t>
  </si>
  <si>
    <t>WOS:000287897100013</t>
  </si>
  <si>
    <t>["Red-capped Mangabey", "Red-eared Monkey", "Mona monkey", "Putty-nosed monkey", "Crowned monkey", "Drill", "Pennant's Red Colobus"]</t>
  </si>
  <si>
    <t>["Cercocebus torquatus", "Cercopithecus erythrotis", "Cercopithecus mona", "Cercopithecus nictitans", "Cercopithecus pogonias", "Mandrillus leucophaeus", "Procolobus pennantii"]</t>
  </si>
  <si>
    <t>Blom, A; van Zalinge, R; Heitkönig, IMA; Prins, HHT</t>
  </si>
  <si>
    <t>Factors influencing the distribution of large mammals within a protected central African forest</t>
  </si>
  <si>
    <t>Central African Republic; Dzanga-Sangha; hunting; mammals; monitoring; protected areas</t>
  </si>
  <si>
    <t>GORILLA-GORILLA-GORILLA; WILDLIFE POPULATIONS; NORTHEASTERN GABON; ELEPHANT NUMBERS; NATIONAL-PARK; LOPE RESERVE; RAIN-FOREST; DUNG COUNTS; DENSITY; CENSUS</t>
  </si>
  <si>
    <t>This paper presents the analyses of data obtained from eight permanent 20 km transects to determine the relative effect of local human populations and ecological factors on the distribution of large mammals within the Dzanga sector of the Dzanga-Ndoki National Park and the adjacent area of the Dzanga-Sangha Dense Forest Special Reserve in south-west Central African Republic. Principal component analysis indicated that human activities significantly influence the distribution of large mammals, even within this protected area. Distance from the village and the main road as well as the distance from secondary roads appeared to have the greatest influence. Elephants in particular were significantly less common in areas related to human use. Our study showed that poachers use roads, both primary and secondary, to penetrate into the National Park. Thus increasing anti-poaching efforts along these roads could be an effective protection measure.</t>
  </si>
  <si>
    <t>Univ Wageningen &amp; Res Ctr, Resource Ecol Grp, NL-6708 PD Wageningen, Netherlands; World Wildlife Fund, Dzanga Sangha Project, Bangui, Cent Afr Republ</t>
  </si>
  <si>
    <t>Wageningen University &amp; Research</t>
  </si>
  <si>
    <t>Blom, A (corresponding author), World Wildlife Fund, 1250 24th St NW, Washington, DC 20037 USA.</t>
  </si>
  <si>
    <t>allard.blom@wwfus.org</t>
  </si>
  <si>
    <t>Prins, Herbert/0000-0003-1131-5107; Heitkonig, Ignas/0000-0001-7771-3111</t>
  </si>
  <si>
    <t>40 WEST 20TH ST, NEW YORK, NY 10011-4211 USA</t>
  </si>
  <si>
    <t>996DB</t>
  </si>
  <si>
    <t>WOS:000234153500009</t>
  </si>
  <si>
    <t>["Central African Republic"]</t>
  </si>
  <si>
    <t>["Red duikers", "Agile mangabey", "Moustached Monkey", "Putty-nosed monkey", "Crowned monkey", "Western gorilla", "Grey-cheeked mangabey", "African Elephant", "Chimpanzee", "Blue duiker"]</t>
  </si>
  <si>
    <t>["Cephalophus callipygus, C. dorsalis, C. leucogaster and C. nigrifrons", "Cercocebus agilis", "Cercopithecus cephus", "Cercopithecus nictitans", "Cercopithecus pogonias", "Gorilla gorilla", "Lophocebus albigena", "Loxodonta africana", "Pan troglodytes", "Philantomba monticola"]</t>
  </si>
  <si>
    <t>["Cetartiodactyla", "Primates", "Proboscidea"]</t>
  </si>
  <si>
    <t>Carrillo, E; Wong, G; Cuarón, AD</t>
  </si>
  <si>
    <t>Monitoring mammal populations in Costa Rican protected areas under different hunting restrictions</t>
  </si>
  <si>
    <t>NEOTROPICAL FORESTS; FELIS-CONCOLOR; DIVERSITY; ABUNDANCE</t>
  </si>
  <si>
    <t>If is necessary to assess whether the management of protected areas is achieving the objectives set for them. In particular, changes and trends in wildlife populations should be documented. We compared the 1990 abundance of mammals in two Costa Rican protected areas Corcovado National Park (CNP) and Golfo Dulce Forest Reserve (GDFR), with similar environmental characteristics bat different hunting restrictions and levels of protection. We also monitored the abundance of mammals in CNP over a 4-year period. We also devised an inexpensive method of monitoring tropical rainforest mammal populations in a timely and efficient manner. The method is based on the use of mammal track records and arboreal mammal sightings and requires little effort. With this method 20 mammal species were recorded at CNP and 15 at GDFR. Species were consistently less abundant in GDFR than in CNP, principally those species preferred by hunters. Species were grouped according to whether or not they are used as food and whether they are locally or globally threatened or not threatened. The abundance of all these groups of species in GDFR was 6-28% the abundance in CNP. During 1990-1994, overall mammal abundance in CNP remained relatively stable, but there was considerable variability among species. As a group, both species used for food and globally threatened species declined in abundance during that period in CNP. The abundance of all groups of species declined from 1992 to 1994, coinciding with a reduction in hunting vigilance at CNP. Evidence suggests that the main factor differentiating the abundance of mammals in the two protected areas, and at CNP during the study period, was the level of hunting. Golfo Dulce Forest Reserve seems to be achieving only partial success in protecting wildlife, whereas Corcovado National Park seems to be considerably more effective, although not entirely successful.</t>
  </si>
  <si>
    <t>Univ Nacl Autonoma Mexico, Inst Ecol, Dept Ecol Recursos Nat, Morelia 58089, Michoacan, Mexico; Ctr Agron Invest &amp; Ensenanza, Unidad Area Protegidas, Turrialba, Costa Rica; Univ Massachusetts, Dept Forestry &amp; Wildlife Management, Amherst, MA 01003 USA; Univ Nacl, Programa Reg Manejo Vida Silvestre, Heredia, Costa Rica</t>
  </si>
  <si>
    <t>Universidad Nacional Autonoma de Mexico; CATIE - Centro Agronomico Tropical de Investigacion y Ensenanza; University of Massachusetts System; University of Massachusetts Amherst; Universidad Nacional Costa Rica</t>
  </si>
  <si>
    <t>cuaron@oikos.unam.mx</t>
  </si>
  <si>
    <t>Carrillo, Eduardo/0000-0002-5303-0858</t>
  </si>
  <si>
    <t>385ZV</t>
  </si>
  <si>
    <t>WOS:000166035800007</t>
  </si>
  <si>
    <t>["Costa Rica"]</t>
  </si>
  <si>
    <t>["Howler monkey", "Spider monkey", "White-faced capuchin", "Spotted paca", "Central American Agouti", "Nine-banded Armadillo", "Black-eared Opossum", "Ocelot", "Margay", "Neotropical Otter", "Red brocket deer", "White-nosed Coati", "Jaguar", "Collared peccary", "Crab-eating and Northern Raccoons", "Puma", "Black-crowned Central American Squirrel Monkey", "Northern tamandua", "Baird's tapir", "White-lipped peccary"]</t>
  </si>
  <si>
    <t>["Alouatta palliata", "Ateles geoffroyi", "Cebus capuchinus", "Cuniculus paca", "Dasyprocta punctata", "Dasypus novemcinctus", "Didelphis marsupialis", "Leopardus pardalis", "Leopardus wiedii", "Lontra longicaudis", "Mazama americana", "Nasua narica", "Panthera onca", "Pecari tajacu", "Procyon cancrivorous and P. lotor", "Puma concolor", "Saimiri oerstedii", "Tamandua mexicana", "Tapirus bairdii", "Tayassu pecari"]</t>
  </si>
  <si>
    <t>["Primates", "Rodentia", "Cingulata", "Didelphimorphia", "Carnivores", "Cetartiodactyla", "Pilosa", "Perissodactyla"]</t>
  </si>
  <si>
    <t>Hill, K; Padwe, J; Bejyvagi, C; Bepurangi, A; Jakugi, F; Tykuarangi, R; Tykuarangi, T</t>
  </si>
  <si>
    <t>Impact of hunting on large vertebrates in the Mbaracayu reserve, Paraguay</t>
  </si>
  <si>
    <t>Over 1,400,000 m of line transect data were collected in collaboration with Ache Indians to determine encounter rates with all large vertebrates in the Mbaracayu Reserve Paraguay. The data were analyzed using logistic regression in order to determine the impact of human hunting on animal encounter rates in the reserve. The method controlled for effects of season, weather, time of day, and habitat in order to statistically isolate the human predation effect. Encounters with the animals themselves ns well as fresh signs of their activity allowed us to determine whether lower encounter rates in hunted zones are simply due to increased wariness by target species. Our results show that areas near hunters are hunted more frequently, and that Dasypus novemcinctus, Cebus apella, Tapirus terrestris, and Mazama spp. are all encountered at lower rates in those areas than in unhunted zones. We were unable to show that encounter rates with other important game species have been affected by human hunting. Demonstration of local depletion by central place foragers is expected, however and cannot be used to conclude that prey species are in danger of regional extirpation.</t>
  </si>
  <si>
    <t>MBARACAYU FOREST RESERVE, CANINDEYU, PARAGUAY</t>
  </si>
  <si>
    <t>Hill, K (corresponding author), UNIV NEW MEXICO, DEPT ANTHROPOL, ALBUQUERQUE, NM 87131 USA.</t>
  </si>
  <si>
    <t>Padwe, Jonathan/F-5495-2011</t>
  </si>
  <si>
    <t>Padwe, Jonathan/0000-0002-7357-7439</t>
  </si>
  <si>
    <t>WILEY-BLACKWELL</t>
  </si>
  <si>
    <t>COMMERCE PLACE, 350 MAIN ST, MALDEN 02148, MA USA</t>
  </si>
  <si>
    <t>YK806</t>
  </si>
  <si>
    <t>WOS:A1997YK80600014</t>
  </si>
  <si>
    <t>["Paraguay"]</t>
  </si>
  <si>
    <t>["Nine-banded Armadillo", "South American red and gray brocket deer", "Azara's capuchin", "Lowland tapir", "Spotted paca", "South American Coati", "Collared peccary", "South american tapir", "White lipped peccary (groups)"]</t>
  </si>
  <si>
    <t>["Dasypus novemcinctus", "Mazama americana and M. gouazoubira", "Sapajus cay", "Tapirus terrestris", "Cuniculus paca", "Nasua nasua", "Pecari tajacu", "Tayassu pecari"]</t>
  </si>
  <si>
    <t>["Cingulata", "Cetartiodactyla", "Primates", "Perissodactyla", "Rodentia", "Carnivores"]</t>
  </si>
  <si>
    <t>Melo, ERD; Gadelha, JR; da Silva, MDD; da Silva, AP; Pontes, ARM</t>
  </si>
  <si>
    <t>de Andrade Melo, Everton Renan; Gadelha, Jose Ramon; Domingos da Silva, Maria de Nazare; da Silva Junior, Antonio Paulo; Mendes Pontes, Antonio Rossano</t>
  </si>
  <si>
    <t>Diversity, abundance and the impact of hunting on large mammals in two contrasting forest sites in northern amazon</t>
  </si>
  <si>
    <t>WILDLIFE BIOLOGY</t>
  </si>
  <si>
    <t>MANU NATIONAL-PARK; ATLANTIC FOREST; TAYASSU-PECARI; GAME; PATTERNS; CONSERVATION; COMMUNITIES; SUSTAINABILITY; FRAGMENTATION; CONSEQUENCES</t>
  </si>
  <si>
    <t>A variety of Amazonian mammals serve as sources of food for its human inhabitants, but hunting can have a strong negative impact on them. Diversity, abundance, biomass, and average group size of medium-sized and large mammals are compared across two forest areas of the northern Amazon: the Virua National Park (protected) and the Novo Paraiso settlement (a human settlement where hunting is permitted). Hunting pressure was also characterized in Novo Paraiso. A total of 33 mammal species were recorded. There were no significant differences in the sighting rates, relative abundance and biomass, and mammal group sizes between the two areas, although the totals of all these variables were higher in Virua due to the higher abundance of Tayassu pecari, which was not recorded at Novo Paraiso. It is suggested that T. pecari may be on the verge of local extinction, as it was the most hunted species in the settlement area. Through interviews with 50 hunters, we estimate that 541 mammals of 20 species were hunted during the study year, resulting in an estimated biomass take of 8517 kg. While the hunting intensity in Novo Paraiso may be sustainable in the short term, the reported decline of hunting efficiency, combined with the extirpation of T. pecari, suggests that mammal abundance may decline there in the near future. In the study year, 849 hunts were carried out in a hunting effort of 4575 hours, with a maximum distance travelled of 5.4 km. There was an average of 4.82 consumers for each hunt, and a per capita harvest rate of 2.24 individuals/consumer year. Hunting was not only for subsistence, but also for retaliation, although some species may not be hunted due to cultural taboos. The need for quantification of harvesting rates to maintain hunting at sustainable levels is highlighted.</t>
  </si>
  <si>
    <t>[de Andrade Melo, Everton Renan] Water &amp; Climate Agcy State Pernambuco, BR-50040000 Recife, PE, Brazil; [Gadelha, Jose Ramon; Domingos da Silva, Maria de Nazare] Fed Univ Pernambuco UFPE, Ctr Biol Sci, Dept Zool, BR-50740620 Recife, PE, Brazil; [da Silva Junior, Antonio Paulo] Technol Inst State Pernambuco ITEP, BR-50740540 Recife, PE, Brazil; [Mendes Pontes, Antonio Rossano] Fed Univ Pernambuco UFPE, Ctr Biol Sci, BR-50740620 Recife, PE, Brazil</t>
  </si>
  <si>
    <t>Universidade Federal de Pernambuco; Instituto de Tecnologia de Pernambuco (ITEP); Universidade Federal de Pernambuco</t>
  </si>
  <si>
    <t>Melo, ERD (corresponding author), Water &amp; Climate Agcy State Pernambuco, Ave Cruz Cabug,1111 Santo Amaro, BR-50040000 Recife, PE, Brazil.</t>
  </si>
  <si>
    <t>antonio.rossano@inpa.gov.br</t>
  </si>
  <si>
    <t>Gomes da Silva, Maria de/LZH-2224-2025; Silva, Antonio/K-5157-2012; Pontes, Antonio/I-1649-2012</t>
  </si>
  <si>
    <t>Fundacao Grupo O Boticario de Protecao a Natureza; National Research Council (CNPq) [133641/2010-4, 472401/2008-4, 130986/2010-0, 552207/2008-8]</t>
  </si>
  <si>
    <t>Fundacao Grupo O Boticario de Protecao a Natureza; National Research Council (CNPq)(Conselho Nacional de Desenvolvimento Cientifico e Tecnologico (CNPQ))</t>
  </si>
  <si>
    <t>we thank the people of Novo Paraiso for having so willingly contributed to the interviews and help during field work. We are also indebted to E. Venticinque for corrections of the dissertation which led to this manuscript. Fundacao Grupo O Boticario de Protecao a Natureza kindly financed fieldwork; the National Research Council (CNPq) granted a scholarship to ERAM (no. 133641/2010-4), to JRG (no. 472401/2008-4), MNDS (no. 130986/2010-0), and APSJ (no. 552207/2008-8), and research grant to ARMP (no. 472401/2008-4). Adrian Barnett helped with the English.</t>
  </si>
  <si>
    <t>0909-6396</t>
  </si>
  <si>
    <t>1903-220X</t>
  </si>
  <si>
    <t>WILDLIFE BIOL</t>
  </si>
  <si>
    <t>Wildlife Biol.</t>
  </si>
  <si>
    <t>SEP</t>
  </si>
  <si>
    <t>CU6UB</t>
  </si>
  <si>
    <t>gold</t>
  </si>
  <si>
    <t>WOS:000363668300001</t>
  </si>
  <si>
    <t>["Guianan Red Howler Monkey", "Northern night monkey", "Black spider monkey", "Crab-eating fox", "Bearded Saki", "Spotted paca", "Red-rumped agouti", "Nine-banded Armadillo", "Tayra", "Red brocket deer", "Amazonian Brown Brocket,", "Red acouchy", "South American Coati", "Jaguar", "Collared peccary", "White-faced saki", "Kinkajou", "Golden-handed tamarin", "Common Squirrel Monkey", "Tufted capuchin", "Guianan Squirrel", "Southern Tamandua", "South american tapir", "White-lipped peccary"]</t>
  </si>
  <si>
    <t>["Alouatta macconnelli", "Aotus trivirgatus", "Ateles paniscus", "Cerdocyon thous", "Chiropotes chiropotes", "Cuniculus paca", "Dasyprocta leporina", "Dasypus novemcinctus", "Eira barbara", "Mazama americana", "Mazama nemorivaga", "Myoprocta acouchy", "Nasua nasua", "Panthera onca", "Pecari tajacu", "Pithecia pithecia", "Potos flavus", "Saguinus midas", "Saimiri sciureus", "Sapajus apella", "Sciurus aestuans", "Tamandua tetradactyla", "Tapirus terrestris", "Tayassu pecari"]</t>
  </si>
  <si>
    <t>["Primates", "Carnivores", "Rodentia", "Cingulata", "Cetartiodactyla", "Pilosa", "Perissodactyla"]</t>
  </si>
  <si>
    <t>Effiom, EO; Birkhofer, K; Smith, HG; Olsson, O</t>
  </si>
  <si>
    <t>Effiom, Edu O.; Birkhofer, Klaus; Smith, Henrik G.; Olsson, Ola</t>
  </si>
  <si>
    <t>Changes of community composition at multiple trophic levels due to hunting in Nigerian tropical forests</t>
  </si>
  <si>
    <t>ECOGRAPHY</t>
  </si>
  <si>
    <t>SEED DISPERSAL; RECRUITMENT; DIVERSITY; BUSHMEAT; EXTINCTION; HABITAT; GORILLA; PLANTS; TREES</t>
  </si>
  <si>
    <t>Hunting in tropical forests decimates large mammals, and this may have direct and indirect effects on other trophic levels and lead to trophic cascades. We compared replicated sites of hunted and protected forests in southeastern Nigeria, with respect to community composition of primates, other mammals, birds, plant seedlings, and mature trees. We make predictions regarding the community composition at the different trophic levels. In forests where large primates are rare, we hypothesize that their ecological role will not be fully compensated for by small frugivores. We apply multivariate methods to assess changes in community composition of mammals, birds, and seedlings, controlling for any differences between sites in the other groups, including mature trees. Medium and large (4-180 kg) primates were much rarer in hunted sites, while porcupine and rock hyrax increased in abundance with hunting. In contrast, the community composition of birds was similar in both types of forests. Seedling communities were significantly related to the community composition of mammals, and thus strongly affected by hunting. In protected forests primate dispersed plant seedling species dominated, whereas in hunted forests the seedling community was shifted towards one dominated by abiotically dispersed species. This was probably both a consequence of reduced seed dispersal by primates, and increased seed predation by rodents and hyrax. Hence we found no evidence for buffering effects on tree regeneration through functional compensation by non-hunted animals (such as birds). Our results highlight how seedling communities are changed by the complex plant-animal intera ctions, triggered by the loss of seed dispersers. The results predict a rarity of primate-dispersed trees in future tropical forest canopies; a forest less diverse in timber and non-timber resources.</t>
  </si>
  <si>
    <t>[Effiom, Edu O.; Birkhofer, Klaus; Smith, Henrik G.; Olsson, Ola] Lund Univ, Biodivers Unit, Dept Biol, SE-22362 Lund, Sweden; [Effiom, Edu O.] Forestry Commiss, Forest Carbon Unit, Calabar, Cross River Sta, Nigeria</t>
  </si>
  <si>
    <t>Lund University</t>
  </si>
  <si>
    <t>Effiom, EO (corresponding author), Lund Univ, Biodivers Unit, Dept Biol, Ecol Bldg, SE-22362 Lund, Sweden.</t>
  </si>
  <si>
    <t>ola.olsson@biol.lu.se</t>
  </si>
  <si>
    <t>Birkhofer, Klaus/AAA-2374-2021</t>
  </si>
  <si>
    <t>Birkhofer, Klaus/0000-0002-9301-2443; Olsson, Ola/0000-0003-0789-1064; Smith, Henrik/0000-0002-2289-889X</t>
  </si>
  <si>
    <t>Sida [SWE-2011-030]; Kungliga Fysiografiska Sallskapet; Formas</t>
  </si>
  <si>
    <t>Sida; Kungliga Fysiografiska Sallskapet; Formas(Swedish Research Council Formas)</t>
  </si>
  <si>
    <t>The authors wish to thank the Cross River State Forestry Commission, and Cross River National Park (CRNP) for permitting us to conduct research within the AMWS, MMCWS and the CRNP. Wildlife Conservation Society, the Nigerian office for logistic support, the Dept of Forestry and Wildlife, Univ. of Calabar for releasing Dan Otu to share and provide botanical information in the field and office. We also thank Ulf Ottosson, Chris Agbor and Erkki Palmu for useful comments and insights, and Jacob Odu and other field workers for their hard work. Joanna Lambert, Jose Fedriani, and Thorsten Wiegand provided valuable comments to an earlier version of the paper. This study was supported by grant SWE-2011-030 from Sida to OO, grants from Kungliga Fysiografiska Sallskapet to EOE, and by grants from Formas to OO and HGS. This is contribution no 71 from A. P. Leventis Ornithological Research Inst.</t>
  </si>
  <si>
    <t>0906-7590</t>
  </si>
  <si>
    <t>1600-0587</t>
  </si>
  <si>
    <t>Ecography</t>
  </si>
  <si>
    <t>AD9TW</t>
  </si>
  <si>
    <t>WOS:000333608400007</t>
  </si>
  <si>
    <t>["Nigeria"]</t>
  </si>
  <si>
    <t>["Squirrel", "African brush-tailed porcupine", "Mona monkey", "Putty-nosed monkey", "Drill", "Rock hyrax"]</t>
  </si>
  <si>
    <t>["Anomalurus sp", "Atherurus africanus", "Cercopithecus mona", "Cercopithecus nictitans", "Mandrillus leucophaeus", "Procavia capensis"]</t>
  </si>
  <si>
    <t>["Rodentia", "Primates", "Hyracoidea"]</t>
  </si>
  <si>
    <t>Marshall, AJ; Nardiyono; Engström, LM; Pamungkas, B; Palapa, J; Meijaard, E; Stanley, SA</t>
  </si>
  <si>
    <t>Marshall, Andrew J.; Nardiyono; Engstrom, Linda M.; Pamungkas, Bhayu; Palapa, Jhon; Meijaard, Erik; Stanley, Scott A.</t>
  </si>
  <si>
    <t>The blowgun is mightier than the chainsaw in determining population density of Bornean orangutans (Pongo pygmaeus morio) in the forests of East Kalimantan</t>
  </si>
  <si>
    <t>orangutans; Pongo pygmaeus morio; population density; hunting; logging</t>
  </si>
  <si>
    <t>WEST KALIMANTAN; BEHAVIORAL ECOLOGY; AERIAL SURVEYS; SABAH; CONSERVATION; INDONESIA; PRIMATES; LOWLAND</t>
  </si>
  <si>
    <t>Due to its practical relevance to conservation, considerable efforts have been devoted to understanding the effects of logging on orangutan (Pongo spp.) population densities. Despite these efforts, consistent patterns have yet to emerge. We conducted orangutan nest surveys and measured forest quality and disturbance level at 108 independent locations in 22 distinct sites in the forests of the Berau and East Kutai regencies of East Kalimantan, Indonesia. Survey locations varied substantially in orangutan density, forest structure, distance to villages, and logging intensity. We incorporated site-specific nest tree composition into our estimates of nest decay rates to reduce errors associated with inter-site differences in nest tree selection. Orangutan nest densities were uncorrelated with altitude, fig density, or any other ecological measure. Multivariate analyses demonstrated that densities were not significantly affected by logging intensity (at the relatively light levels we report here) or the distance to the nearest village, but were positively correlated with the distance from the nearest village known to hunt orangutans. These results indicate that provided hunting is absent, lightly to moderately degraded forests retain high conservation value for orangutans. Widespread incorporation of degraded areas into management plans for orangutan populations would substantially increase the size of populations that could be protected, and thereby improve their changes for long-term survival. (c) 2005 Elsevier Ltd. All rights reserved.</t>
  </si>
  <si>
    <t>Harvard Univ, Cambridge, MA 02138 USA; Nature Conservancy, E Kalimantan Program, Samarinda, E Kalimantan, Indonesia</t>
  </si>
  <si>
    <t>Harvard University; The Nature Conservancy Indonesia</t>
  </si>
  <si>
    <t>Marshall, AJ (corresponding author), Harvard Univ, 22 Divin Ave, Cambridge, MA 02138 USA.</t>
  </si>
  <si>
    <t>amarshall@oeb.harvard.edu</t>
  </si>
  <si>
    <t>Meijaard, Erik/A-2687-2016</t>
  </si>
  <si>
    <t>Meijaard, Erik/0000-0001-8685-3685</t>
  </si>
  <si>
    <t>047KT</t>
  </si>
  <si>
    <t>WOS:000237878900014</t>
  </si>
  <si>
    <t>["Bornean orangutan"]</t>
  </si>
  <si>
    <t>["Pongo pygmaeus morio"]</t>
  </si>
  <si>
    <t>Stokes, EJ; Strindberg, S; Bakabana, PC; Elkan, PW; Iyenguet, FC; Madzoké, B; Malanda, GAF; Mowawa, BS; Moukoumbou, C; Ouakabadio, FK; Rainey, HJ</t>
  </si>
  <si>
    <t>Stokes, Emma J.; Strindberg, Samantha; Bakabana, Parfait C.; Elkan, Paul W.; Iyenguet, Fortune C.; Madzoke, Bola; Malanda, Guy Aime F.; Mowawa, Brice S.; Moukoumbou, Calixte; Ouakabadio, Franck K.; Rainey, Hugo J.</t>
  </si>
  <si>
    <t>Monitoring Great Ape and Elephant Abundance at Large Spatial Scales: Measuring Effectiveness of a Conservation Landscape</t>
  </si>
  <si>
    <t>PLOS ONE</t>
  </si>
  <si>
    <t>LOXODONTA-AFRICANA-CYCLOTIS; WESTERN LOWLAND GORILLAS; LOGGING CONCESSION; FOREST ELEPHANTS; SPECIES APPROACH; PROTECTED AREAS; SWAMP FOREST; CONGO; CHIMPANZEES; MANAGEMENT</t>
  </si>
  <si>
    <t>Protected areas are fundamental to biodiversity conservation, but there is growing recognition of the need to extend beyond protected areas to meet the ecological requirements of species at larger scales. Landscape-scale conservation requires an evaluation of management impact on biodiversity under different land-use strategies; this is challenging and there exist few empirical studies. In a conservation landscape in northern Republic of Congo we demonstrate the application of a large-scale monitoring program designed to evaluate the impact of conservation interventions on three globally threatened species: western gorillas, chimpanzees and forest elephants, under three land-use types: integral protection, commercial logging, and community-based natural resource management. We applied distance-sampling methods to examine species abundance across different land-use types under varying degrees of management and human disturbance. We found no clear trends in abundance between land-use types. However, units with interventions designed to reduce poaching and protect habitats irrespective of land-use type - harboured all three species at consistently higher abundance than a neighbouring logging concession undergoing no wildlife management. We applied Generalized-Additive Models to evaluate a priori predictions of species response to different landscape processes. Our results indicate that, given adequate protection from poaching, elephants and gorillas can profit from herbaceous vegetation in recently logged forests and maintain access to ecologically important resources located outside of protected areas. However, proximity to the single integrally protected area in the landscape maintained an overriding positive influence on elephant abundance, and logging roads - even subject to anti-poaching controls - were exploited by elephant poachers and had a major negative influence on elephant distribution. Chimpanzees show a clear preference for unlogged or more mature forests and human disturbance had a negative influence on chimpanzee abundance, in spite of anti-poaching interventions. We caution against the pitfalls of missing and confounded co-variables in model-based estimation approaches and highlight the importance of spatial scale in the response of different species to landscape processes. We stress the importance of a stratified design-based approach to monitoring species status in response to conservation interventions and advocate a holistic framework for landscape-scale monitoring that includes smaller-scale targeted research and punctual assessment of threats.</t>
  </si>
  <si>
    <t>[Stokes, Emma J.; Strindberg, Samantha; Elkan, Paul W.; Rainey, Hugo J.] Wildlife Conservat Soc, Global Conservat Program, New York, NY USA; [Bakabana, Parfait C.; Iyenguet, Fortune C.; Madzoke, Bola; Malanda, Guy Aime F.; Ouakabadio, Franck K.] Wildlife Conservat Soc, Congo Program, Brazzaville, Rep Congo; [Mowawa, Brice S.] Minist Econ Forestiere, Brazzaville, Rep Congo</t>
  </si>
  <si>
    <t>Wildlife Conservation Society</t>
  </si>
  <si>
    <t>Stokes, EJ (corresponding author), Wildlife Conservat Soc, Global Conservat Program, New York, NY USA.</t>
  </si>
  <si>
    <t>estokes@wcs.org</t>
  </si>
  <si>
    <t>Rainey, Hugo/I-6047-2012</t>
  </si>
  <si>
    <t>United States Fish and Wildlife Service; United States Agency for International Development; Wildlife Conservation Society</t>
  </si>
  <si>
    <t>United States Fish and Wildlife Service(US Fish &amp; Wildlife Service); United States Agency for International Development(United States Agency for International Development (USAID)); Wildlife Conservation Society</t>
  </si>
  <si>
    <t>This work was funded by the United States Fish and Wildlife Service Great Ape and African Elephant Conservation Funds (http://www.fws.gov/international/DIC/species/species.html) with additional support from the United States Agency for International Development, Central African Regional Program for the Environment (http://carpe.umd.edu), and the Wildlife Conservation Society's Global Conservation Program (http://www.wcs.org). The views expressed here do not necessarily represent those of the US government or its agencies. The funders had no role in study design, data collection and analysis, decision to publish, or preparation of the manuscript.</t>
  </si>
  <si>
    <t>PUBLIC LIBRARY SCIENCE</t>
  </si>
  <si>
    <t>SAN FRANCISCO</t>
  </si>
  <si>
    <t>1160 BATTERY STREET, STE 100, SAN FRANCISCO, CA 94111 USA</t>
  </si>
  <si>
    <t>1932-6203</t>
  </si>
  <si>
    <t>PLoS One</t>
  </si>
  <si>
    <t>APR 23</t>
  </si>
  <si>
    <t>e10294</t>
  </si>
  <si>
    <t>Multidisciplinary Sciences</t>
  </si>
  <si>
    <t>Science &amp; Technology - Other Topics</t>
  </si>
  <si>
    <t>588NU</t>
  </si>
  <si>
    <t>Green Submitted, gold</t>
  </si>
  <si>
    <t>WOS:000277079300006</t>
  </si>
  <si>
    <t>["Congo"]</t>
  </si>
  <si>
    <t>["Western gorilla", "African Elephant", "Chimpanzee"]</t>
  </si>
  <si>
    <t>["Gorilla gorilla", "Loxodonta africana", "Pan troglodytes"]</t>
  </si>
  <si>
    <t>["Primates", "Proboscidea"]</t>
  </si>
  <si>
    <t>Wang, BC; Sork, VL; Leong, MT; Smith, TB</t>
  </si>
  <si>
    <t>Wang, Benjamin C.; Sork, Victoria L.; Leong, Misha T.; Smith, Thomas B.</t>
  </si>
  <si>
    <t>Hunting of mammals reduces seed removal and dispersal of the afrotropical tree Antrocaryon klaineanum (Anacardiaceae)</t>
  </si>
  <si>
    <t>Africa; Antrocaryon klaineanum; hunting; microsatellite; tropical forest; seed dispersal; seed removal</t>
  </si>
  <si>
    <t>TROPICAL RAIN-FOREST; SPATIAL-PATTERNS; DJA-RESERVE; WILDLIFE; FATE; RECRUITMENT; POPULATIONS; AFRICA; MICROSATELLITES; ESTABLISHMENT</t>
  </si>
  <si>
    <t>Throughout the tropics, mammalian seed dispersers are being driven to local extinction by intense hunting pressure, generating concern not only about the loss of these species, but also about the consequences for the plants they disperse. We compared two rain forest sites in Cameroon-one with heavy hunting pressure and one protected from hunting-to appraise the loss of mammalian seed dispersers and to assess the impact of this loss on seed removal and seed dispersal of Antrocaryon klaineanum (Anacardiaceae), a mammal-dispersed tree. Surveys of arboreal frugivores indicate that three of the five monkey species, as well as chimpanzee and gorilla, have been extirpated from the hunted forest. Diaspore counts underneath A. klaineanum adults (six trees per site) indicate that seed removal is severely reduced in the hunted forest. Finally, genetic maternity exclusion analysis (using 3-7 nuclear microsatellite loci) of maternally inherited endocarp tissue from diaspores collected under the canopies of 12 fruiting mother trees (six trees per site) revealed that seed dispersal in the hunted forest is also greatly reduced. In the hunted forest with reduced mammal dispersal agents, only 1 of the 53 assayed endocarps (2%) did not match the mother and was determined to be from a dispersed diaspore. By contrast, in the protected forest, 20 of the 48 assayed endocarps (42%) were from dispersed diaspores. This study provides strong evidence that loss of dispersal agents can lead to reduced seed removal and loss of seed dispersal, disrupting the seed dispersal cycle.</t>
  </si>
  <si>
    <t>Univ Calif Los Angeles, Dept Ecol &amp; Evolut Biol, Los Angeles, CA 90095 USA; Univ Calif Los Angeles, Ctr Trop Res, Inst Environm, Los Angeles, CA 90095 USA; Univ Calif Los Angeles, Inst Environm, Los Angeles, CA 90095 USA</t>
  </si>
  <si>
    <t>University of California System; University of California Los Angeles; University of California System; University of California Los Angeles; University of California System; University of California Los Angeles</t>
  </si>
  <si>
    <t>Wang, BC (corresponding author), Univ Calif Los Angeles, Dept Ecol &amp; Evolut Biol, Box 951606, Los Angeles, CA 90095 USA.</t>
  </si>
  <si>
    <t>bcw@ucla.edu</t>
  </si>
  <si>
    <t>, Tom Smtih/JXX-5281-2024; Sork, Victoria/P-9278-2017</t>
  </si>
  <si>
    <t>WOS:000245939300006</t>
  </si>
  <si>
    <t>["Moustached Monkey", "Putty-nosed monkey", "Crowned monkey", "Guereza", "Grey-cheeked mangabey", "Chimpanzee"]</t>
  </si>
  <si>
    <t>["Cercopithecus cephus", "Cercopithecus nictitans", "Cercopithecus pogonias", "Colobus guereza", "Lophocebus albigena", "Pan troglodytes"]</t>
  </si>
  <si>
    <t>Lin, L; Feng, LM; Pan, WJ; Guo, XM; Zhao, JW; Luo, AD; Zhang, L</t>
  </si>
  <si>
    <t>Lin, Liu; Feng, Limin; Pan, Wenjing; Guo, Xianming; Zhao, Jianwei; Luo, Aidong; Zhang, Li</t>
  </si>
  <si>
    <t>Habitat selection and the change in distribution of Asian elephants in Mengyang Protected Area, Yunnan, China</t>
  </si>
  <si>
    <t>ACTA THERIOLOGICA</t>
  </si>
  <si>
    <t>Elephas maximus; logistic regression; human-wildlife conflict; transformation; poaching; habitat alteration; conservation; road ecology</t>
  </si>
  <si>
    <t>NATIONAL-PARK; SOUTHERN INDIA; CONSERVATION; WILDLIFE; MAXIMUS; ECOLOGY; POPULATIONS; CORRIDORS; ROADS; ZONE</t>
  </si>
  <si>
    <t>Elephants were confined to Mengyang Protected Area in China and their distribution range had reduced greatly compared to past records. A preliminary study of habitat selection by Asian elephants Elephas maximus Linnaeus, 1758 and their distribution was conducted in Mengyang Protected Area and its surrounds using site visits and transect surveys from July 2003 to December 2006. Although no variable significantly influenced their habitat selection, elephants still showed preference for altitudes between 900 and 1200 in, gradients &lt; 30 degrees, and orientations to the south-east, south and south-west. Human activities, including habitat transformation and degradation, disturbance by large infrastructure and poaching were considered to be the main factors inducing elephant distribution changes.</t>
  </si>
  <si>
    <t>[Lin, Liu; Feng, Limin; Pan, Wenjing; Zhang, Li] Beijing Normal Univ, Key Lab Biodivers Sci &amp; Ecol Engn, Minist Educ, Coll Life Sci, Beijing 100875, Peoples R China; [Guo, Xianming; Zhao, Jianwei; Luo, Aidong] Xishuangbanna Natl Nat Reserve Bureaus, Jinghong 666100, Yunnan, Peoples R China</t>
  </si>
  <si>
    <t>Beijing Normal University</t>
  </si>
  <si>
    <t>Zhang, L (corresponding author), Beijing Normal Univ, Key Lab Biodivers Sci &amp; Ecol Engn, Minist Educ, Coll Life Sci, Beijing 100875, Peoples R China.</t>
  </si>
  <si>
    <t>asterzhang@vip.sina.com</t>
  </si>
  <si>
    <t>Zhao, Jianwei/HCI-6516-2022; Feng, Limin/G-9539-2014</t>
  </si>
  <si>
    <t>Feng, Limin/0000-0001-9526-1681</t>
  </si>
  <si>
    <t>International Fund for Animal Welfare (IFAW); Asian Elephant Conservation Grant of the USFWS; Xishuangbanna National Nature Reserve Management Bureau</t>
  </si>
  <si>
    <t>International Fund for Animal Welfare (IFAW); Asian Elephant Conservation Grant of the USFWS(US Fish &amp; Wildlife Service); Xishuangbanna National Nature Reserve Management Bureau(Chinese Academy of Sciences)</t>
  </si>
  <si>
    <t>We are grateful to the International Fund for Animal Welfare (IFAW), Asian Elephant Conservation Grant of the USFWS and Xishuangbanna National Nature Reserve Management Bureau for both financial and logistic support. We greatly appreciated J. G. Huang, Y. H. Dong, Y. L. Guo. Z. Q. Yuan, W. Q. Zhu for their guidance and advice, and H. D. Zhao, D. F. Cao, Z. H. Li, K. X. Xiewen for their hard work and field assistance.</t>
  </si>
  <si>
    <t>SPRINGER HEIDELBERG</t>
  </si>
  <si>
    <t>HEIDELBERG</t>
  </si>
  <si>
    <t>TIERGARTENSTRASSE 17, D-69121 HEIDELBERG, GERMANY</t>
  </si>
  <si>
    <t>0001-7051</t>
  </si>
  <si>
    <t>2190-3743</t>
  </si>
  <si>
    <t>ACTA THERIOL</t>
  </si>
  <si>
    <t>Acta Theriol.</t>
  </si>
  <si>
    <t>367MQ</t>
  </si>
  <si>
    <t>WOS:000260556500005</t>
  </si>
  <si>
    <t>["China"]</t>
  </si>
  <si>
    <t>["Asian Elephant"]</t>
  </si>
  <si>
    <t>["Elephas maximus"]</t>
  </si>
  <si>
    <t>["Proboscidea"]</t>
  </si>
  <si>
    <t>Remis, MJ; Kpanou, JB</t>
  </si>
  <si>
    <t>Remis, Melissa J.; Kpanou, Jean Bosco</t>
  </si>
  <si>
    <t>Primate and ungulate abundance in response to multi-use zoning and human extractive activities in a Central African Reserve</t>
  </si>
  <si>
    <t>AFRICAN JOURNAL OF ECOLOGY</t>
  </si>
  <si>
    <t>Congo Basin; conservation; elephants; gorillas; hunting</t>
  </si>
  <si>
    <t>GORILLA-GORILLA-GORILLA; INTEGRATED CONSERVATION; WILDLIFE POPULATIONS; TROPICAL FORESTS; NATIONAL-PARK; BUSHMEAT; IMPACTS; MAMMALS; WEST; COMMUNITIES</t>
  </si>
  <si>
    <t>This study examines the abundance of key mammal species at the Dzanga-Sangha Reserve (RDS) in the Central African Republic with respect to conservation zoning and human activities in the reserve. RDS has been funded as an integrated conservation and development project since the mid-1980s. This study illustrates distinct wildlife responses to logging and hunting in RDS sectors that vary in protection and enforcement levels and the erosion of some critical animal communities across the RDS in the face of challenges of increasing human populations and flows of arms and ammunitions there. Our results show elephants (Loxodonta africana cyclotis) to be appreciably absent close to human settlements, and increasingly vulnerable to hunting in the more integrally protected sectors far from town. We have found that duikers (Cephalophus sp.) and western lowland gorillas (Gorilla g. gorilla) make use of recently logged areas but are vulnerable to hunting there. These species are now most abundant farthest from human settlements. Our results have implications for the formulation of adaptive management plans that would benefit from the inclusion of nuanced understandings of site-specific and species-specific responses to microhabitats and the particular kinds of human extractive activities and challenges in the region.Resume Cette etude examine l'abondance d'especes cles de mammiferes dans la Reserve de Dzanga-Sangha (RDS), en Republique centrafricaine, en fonction du zonage de la conservation et des activites humaines dans la reserve. La RDS est financee comme un projet de conservation et de developpement integre (PCDI) depuis le milieu des annees 1980. Cette etude illustre diverses reponses de la faune sauvage aux coupes d'arbres et a la chasse dans des secteurs de la RDS ou le niveau de protection et de maintien de la loi varie, ainsi que l'erosion de certaines communautes animales critiques dans toute la RDS face aux defis que representent l'augmentation des populations humaines et l'afflux d'armes et de munitions. Nos resultats montrent que l'elephant (Loxodonta africana cyclotis) est significativement absent a proximite des installations humaines, et de plus en plus vulnerable a la chasse dans les secteurs mieux proteges loin des localites. Nous avons decouvert que les cephalophes (Cephalophus sp.) et les gorilles des plaines de l'Ouest (Gorilla g. gorilla) frequentent les zones fraichement exploitees mais qu'ils y sont vulnerables a la chasse. Ces especes sont desormais plus abondantes loin des installations humaines. Nos resultats ont des implications pour la conception de plans de gestion adaptative, qui auraient tout a gagner a inclure apprehension nuancee des reponses specifiques des especes et des sites aux conditions de microhabitats et aux types particuliers d'activites extractives humaines et de defis dans la region.</t>
  </si>
  <si>
    <t>[Remis, Melissa J.] Purdue Univ, Dept Anthropol, W Lafayette, IN 47907 USA; [Kpanou, Jean Bosco] World Wildlife Fund, Bangui, Cent Afr Republ</t>
  </si>
  <si>
    <t>Purdue University System; Purdue University</t>
  </si>
  <si>
    <t>Remis, MJ (corresponding author), Purdue Univ, Dept Anthropol, W Lafayette, IN 47907 USA.</t>
  </si>
  <si>
    <t>remis@purdue.edu</t>
  </si>
  <si>
    <t>National Geographic Society [7873-05]; Purdue University</t>
  </si>
  <si>
    <t>National Geographic Society(National Geographic Society); Purdue University</t>
  </si>
  <si>
    <t>We thank RDS and CAR government for permission and B. Bokoto for support. K. Otto and trackers assisted in data collection. National Geographic Society (7873-05) and Purdue University provided funding.</t>
  </si>
  <si>
    <t>0141-6707</t>
  </si>
  <si>
    <t>1365-2028</t>
  </si>
  <si>
    <t>AFR J ECOL</t>
  </si>
  <si>
    <t>Afr. J. Ecol.</t>
  </si>
  <si>
    <t>718BG</t>
  </si>
  <si>
    <t>WOS:000287094000009</t>
  </si>
  <si>
    <t>["C.A.R."]</t>
  </si>
  <si>
    <t>["Red duiker", "Red duikers", "Yellow-backed duiker", "Putty-nosed monkey", "Western gorilla", "Grey-cheeked Mangabey", "African Elephant", "AfricanElephant", "Chimpanzee", "Blue duiker", "Bongo"]</t>
  </si>
  <si>
    <t>["Cephalophus callipygus, C. dorsalis, C. leucogaster and C. nigrifrons", "Cephalophus silvicultor", "Cercopithecus nictitans", "Gorilla gorilla", "Lophocebus albigena", "Loxodonta africana", "Pan troglodytes", "Philantomba monticola", "Tragelaphus eurycerus"]</t>
  </si>
  <si>
    <t>Henschel, P; Hunter, LTB; Coad, L; Abernethy, KA; Mühlenberg, M</t>
  </si>
  <si>
    <t>Henschel, P.; Hunter, L. T. B.; Coad, L.; Abernethy, K. A.; Muehlenberg, M.</t>
  </si>
  <si>
    <t>Leopard prey choice in the Congo Basin rainforest suggests exploitative competition with human bushmeat hunters</t>
  </si>
  <si>
    <t>JOURNAL OF ZOOLOGY</t>
  </si>
  <si>
    <t>leopard; Panthera pardus; prey; bushmeat; competition; Congo Basin</t>
  </si>
  <si>
    <t>TROPICAL FORESTS; WILDLIFE POPULATIONS; PROTECTED AREAS; CENTRAL-AFRICA; FOOD-HABITS; CONSERVATION; MAMMALS; IMPACT; SUSTAINABILITY; GABON</t>
  </si>
  <si>
    <t>Analyses of leopard Panthera pardus prey choice reveal a strong preference for species weighing 10-40 kg. In the Congo Basin rainforests, species within this weight range are also targeted by bushmeat hunters, potentially leading to exploitative competition between leopards and hunters. We investigated leopard prey choice along a gradient of human disturbance, hypothesizing that leopards will exploit smaller prey where competition is strong, possibly resulting in reduced leopard densities at highly hunted sites. We determined leopard diet by means of scat analysis at four rainforest sites in central Gabon, which varied according to their distance from human settlements. Camera trap data collected at each of the four study sites revealed that human hunting intensity increased with proximity to settlements, while the abundance of potential leopard prey species decreased. We found no evidence of leopards at the site nearest to settlements. At the remaining sites, the number of scats collected, mean leopard prey weight and the proportion of large prey (420 kg) in leopard diet increased with distance from settlements. Camera trap data demonstrated that leopard population density increased with distance from settlements, from 2.7 perpendicular to 0.94 leopards/100 km(2) to 12.1 perpendicular to 5.11 leopards/100 km(2). Our results document an increasing use of smaller prey species and a decrease in leopard density in proximity to settlements, supporting our hypothesis. Comparison of leopard diet with hunter return data revealed a high dietary niche overlap between leopards and hunters at sites situated at similar distances from settlements. Our results suggest that bushmeat hunting may precipitate the decline in leopard numbers through exploitative competition and that intensively hunted areas are unlikely to support resident leopard populations. Conserving the leopard in the Congo Basin will rely on effective protected areas and alternative land</t>
  </si>
  <si>
    <t>[Henschel, P.; Hunter, L. T. B.] Panthera, New York, NY 10018 USA; [Coad, L.] Univ Oxford, Oxford Martin Sch, Oxford, England; [Abernethy, K. A.] Univ Stirling, Sch Biol &amp; Environm Sci, Stirling FK9 4LA, Scotland; [Abernethy, K. A.] Inst Rech Ecol Tropicale, Libreville, Gabon; [Muehlenberg, M.] Univ Gottingen, Ctr Nat Conservat, Gottingen, Germany</t>
  </si>
  <si>
    <t>University of Oxford; University of Stirling; University of Gottingen</t>
  </si>
  <si>
    <t>Henschel, P (corresponding author), Panthera, 8 W 40th St,18th Floor, New York, NY 10018 USA.</t>
  </si>
  <si>
    <t>phenschel@panthera.org</t>
  </si>
  <si>
    <t>Hunter, Luke/H-3324-2019; Abernethy, Katharine/KBB-1586-2024</t>
  </si>
  <si>
    <t>Hunter, Luke/0000-0001-9653-6544; Henschel, Philipp/0009-0003-6413-8471; Abernethy, Katharine/0000-0002-0393-9342</t>
  </si>
  <si>
    <t>WCS; German Academic Exchange Service (DAAD); Kolner Gymnasial- und Stiftungs-fonds; UK NERC, Cambridge Philosophical Society; British Federation of Women Graduates</t>
  </si>
  <si>
    <t>WCS; German Academic Exchange Service (DAAD)(Deutscher Akademischer Austausch Dienst (DAAD)); Kolner Gymnasial- und Stiftungs-fonds; UK NERC, Cambridge Philosophical Society(UK Research &amp; Innovation (UKRI)Natural Environment Research Council (NERC)); British Federation of Women Graduates</t>
  </si>
  <si>
    <t>For permission to conduct fieldwork in Gabon, P. H. and L. C. express their gratitude to Gabon's Ministry of Water, Forests and Environment, as well as to the country's National Parks Agency. Logistical support during the study was provided by the Wildlife Conservation Society (WCS) Gabon Program and the Station d'Etudes des Gorilles et Chimpanze's (SEGC). We thank Matt Hayward, Grant Hopcraft and one anonymous reviewer for constructive comments on the manuscript. Fieldwork on leopards was financed by WCS, and P. H. particularly thanks donors Michael Cline and Bob Spehar for their contributions. P. H. received stipends from the German Academic Exchange Service (DAAD) and the Kolner Gymnasial- und Stiftungs-fonds. L. C. received fieldwork grants from the UK NERC, Cambridge Philosophical Society and the British Federation of Women Graduates.</t>
  </si>
  <si>
    <t>0952-8369</t>
  </si>
  <si>
    <t>1469-7998</t>
  </si>
  <si>
    <t>J ZOOL</t>
  </si>
  <si>
    <t>J. Zool.</t>
  </si>
  <si>
    <t>810ZO</t>
  </si>
  <si>
    <t>WOS:000294170500002</t>
  </si>
  <si>
    <t>["African golden cat", "Red duikers", "Yellow back duiker", "African civet", "Western gorilla", "African Elephant", "Chimpanzee", "Leopard", "Red river hog", "Forest buffalo", "Bongo"]</t>
  </si>
  <si>
    <t>["Caracal aurata", "Cephalophus callipygus, C. dorsalis and C. ogilby", "Cephalophus silvicultor", "Civettictis civetta", "Gorilla gorilla", "Loxodonta africana", "Pan troglodytes", "Panthera pardus", "Potamochoerus porcus", "Syncerus caffer nanus", "Tragelaphus spekii"]</t>
  </si>
  <si>
    <t>["Carnivores", "Cetartiodactyla", "Primates", "Proboscidea"]</t>
  </si>
  <si>
    <t>Effiom, EO; Nuñez-Iturri, G; Smith, HG; Ottosson, U; Olsson, O</t>
  </si>
  <si>
    <t>Effiom, Edu O.; Nunez-Iturri, Gabriela; Smith, Henrik G.; Ottosson, Ulf; Olsson, Ola</t>
  </si>
  <si>
    <t>Bushmeat hunting changes regeneration of African rainforests</t>
  </si>
  <si>
    <t>PROCEEDINGS OF THE ROYAL SOCIETY B-BIOLOGICAL SCIENCES</t>
  </si>
  <si>
    <t>bushmeat hunting; seedling community; seed dispersal</t>
  </si>
  <si>
    <t>SEED DISPERSAL; DENSITY-DEPENDENCE; TROPICAL FORESTS; RECRUITMENT; COMMUNITY; CONSEQUENCES; LIMITATION; DIVERSITY; PREDATION; ABUNDANCE</t>
  </si>
  <si>
    <t>To assess ecological consequences of bushmeat hunting in African lowland rainforests, we compared paired sites, with high and low hunting pressure, in three areas of southeastern Nigeria. In hunted sites, populations of important seed dispersers-both small and large primates (including the Cross River gorilla, Gorilla gorilla diehli)-were drastically reduced. Large rodents were more abundant in hunted sites, even though they are hunted. Hunted and protected sites had similar mature tree communities dominated by primate-dispersed species. In protected sites, seedling communities were similar in composition to the mature trees, but in hunted sites species with other dispersal modes dominated among seedlings. Seedlings emerging 1 year after clearing of all vegetation in experimental plots showed a similar pattern to the standing seedlings. This study thus verifies the transforming effects of bushmeat hunting on plant communities of tropical forests and is one of the first studies to do so for the African continent.</t>
  </si>
  <si>
    <t>[Effiom, Edu O.; Smith, Henrik G.; Olsson, Ola] Lund Univ, Dept Biol, Biodivers Unit, S-22362 Lund, Sweden; [Effiom, Edu O.] Cross River State Forestry Commiss, Calabar, Nigeria; [Nunez-Iturri, Gabriela] Univ Illinois, Dept Biol Sci, Chicago, IL 60680 USA; [Smith, Henrik G.] Lund Univ, Ctr Environm &amp; Climate Res, S-22362 Lund, Sweden; [Ottosson, Ulf] AP Leventis Ornithol Res Inst, Jos, Nigeria</t>
  </si>
  <si>
    <t>Lund University; University of Illinois System; University of Illinois Chicago; University of Illinois Chicago Hospital; Lund University</t>
  </si>
  <si>
    <t>Olsson, O (corresponding author), Lund Univ, Dept Biol, Biodivers Unit, Ecol Bldg, S-22362 Lund, Sweden.</t>
  </si>
  <si>
    <t>Olsson, Ola/0000-0003-0789-1064; Smith, Henrik/0000-0002-2289-889X</t>
  </si>
  <si>
    <t>We thank two anonymous reviewers for very valuable comments on previous versions of this manuscript. This study was supported by grant no. SWE-2011-030 from Sida to O.O., grants from Kungliga Fysiografiska Sallskapet to E. E. and by grants from Formas to O.O. and H. G. S. E. E. is employed by the Cross River State Forestry Commission and is a PhD student at Lund University. This is contribution no. 62 from A. P. Leventis Ornithological Research Institute.</t>
  </si>
  <si>
    <t>ROYAL SOC</t>
  </si>
  <si>
    <t>LONDON</t>
  </si>
  <si>
    <t>6-9 CARLTON HOUSE TERRACE, LONDON SW1Y 5AG, ENGLAND</t>
  </si>
  <si>
    <t>0962-8452</t>
  </si>
  <si>
    <t>1471-2954</t>
  </si>
  <si>
    <t>P ROY SOC B-BIOL SCI</t>
  </si>
  <si>
    <t>Proc. R. Soc. B-Biol. Sci.</t>
  </si>
  <si>
    <t>MAY 22</t>
  </si>
  <si>
    <t>Biology; Ecology; Evolutionary Biology</t>
  </si>
  <si>
    <t>Life Sciences &amp; Biomedicine - Other Topics; Environmental Sciences &amp; Ecology; Evolutionary Biology</t>
  </si>
  <si>
    <t>124RA</t>
  </si>
  <si>
    <t>WOS:000317482100017</t>
  </si>
  <si>
    <t>["Peters' Duiker", "Bay Duiker", "White-bellied Duiker", "Black-fronted duiker", "Yellow back duiker", "Blue duiker"]</t>
  </si>
  <si>
    <t>["Cephalophus callipygus", "Cephalophus dorsalis", "Cephalophus leucogaster", "Cephalophus nigrifons", "Cephalophus silvicultor", "Philantomba monticola"]</t>
  </si>
  <si>
    <t>Van Vliet, N; Nasi, R</t>
  </si>
  <si>
    <t>Van Vliet, Nathalie; Nasi, Robert</t>
  </si>
  <si>
    <t>Mammal distribution in a Central African logging concession area</t>
  </si>
  <si>
    <t>mammal distribution; logging concession; eco-geographical factors; hunting; roads; Gabon</t>
  </si>
  <si>
    <t>FOREST; GABON</t>
  </si>
  <si>
    <t>We used data collected during a routine forest inventory to prepare a management plan for a logging concession in Gabon to identify the biophysical and human factors that better explain the distribution of mammal species within the logged-over landscape. Results of a Multiple Correspondence Analysis show that the distribution of mammals within the forest concession is more influenced by roads and hunting than by the direct effects of logging. The structure of the canopy and that of the understorey are also important factors explaining the distribution of mammals within the concession. Linear regressions and Spearman correlation tests were computed to assess the significance of the correlation between the probability of encounter for a particular species and the distance from main roads. Small diurnal monkeys were found far from the villages and between 3 and 10 km from the main roads. Elephants were equally found close or far from roads and do not seem to be affected by hunting activities. Red duikers and the yellow back duikers avoided hunted zones and were significantly more abundant far from roads. Other species like gorillas, chimpanzees or forest buffaloes show no negative relationship with distance to roads and were observed close to villages. We show also how using routinely collected data without research purposes, can be used to propose practical recommendations to managers to limit the negative impacts of logging activities within the concession.</t>
  </si>
  <si>
    <t>[Van Vliet, Nathalie; Nasi, Robert] CIRAD, CIFOR, F-34398 Montpellier 5, France</t>
  </si>
  <si>
    <t>CGIAR; Center for International Forestry Research (CIFOR); CIRAD</t>
  </si>
  <si>
    <t>Van Vliet, N (corresponding author), CIRAD, CIFOR, Campus Int Baillarguet, F-34398 Montpellier 5, France.</t>
  </si>
  <si>
    <t>vanvlietnathalie@yahoo.com; robert.nasi@cirad.fr</t>
  </si>
  <si>
    <t>Nasi, Robert/A-3549-2015; Nasi, Robert/P-2382-2019</t>
  </si>
  <si>
    <t>Nasi, Robert/0000-0001-9739-3135;</t>
  </si>
  <si>
    <t>302VO</t>
  </si>
  <si>
    <t>WOS:000255998100017</t>
  </si>
  <si>
    <t>["Red duikers", "Yellow back duiker", "Small diurnal monkeys", "African Elephant", "Blue duiker"]</t>
  </si>
  <si>
    <t>["Cephalophus callipygus, C. dorsalis, C. leucogaster, C. nigrifrons and C. ogilbyi", "Cephalophus silvicultor", "Cercopithecus cephus, C. nictitans, C. pogonias and Lophocebus albigena", "Loxodonta africana", "Philantomba monticola"]</t>
  </si>
  <si>
    <t>Lwanga, JS</t>
  </si>
  <si>
    <t>Lwanga, Jeremiah S.</t>
  </si>
  <si>
    <t>The influence of forest variation and possible effects of poaching on duiker abundance at Ngogo, Kibale National Park, Uganda</t>
  </si>
  <si>
    <t>bushmeat; duikers; old growth; rainforest; secondary</t>
  </si>
  <si>
    <t>ITURI FOREST; WILD-MEAT; CONSERVATION; BUSHMEAT; POPULATIONS; DENSITIES; IMPACTS; RESERVE</t>
  </si>
  <si>
    <t>Duikers were censused at the Ngogo study area, Kibale National Park, Uganda, between July 2002 and August 2004. Censuses were conducted along three transects, of which, two (colonizing forests 1 and 2) were located in colonizing forests naturally replacing anthropogenic grasslands and one in old growth forest. Colonizing forest 1 was more prone to poaching than both colonizing forest 2 and the old growth forest that were closest to the research camp. Duikers that were actually sighted were identified to species, red or blue. However, on some occasions, duikers were detected by alarm calls and/or movements as they fled; these were simply recorded as duikers. Duiker abundance, regardless of species or mode of detection, was higher in colonizing forest 2 than colonizing forest 1 and the old growth forest. However, when the analysis was restricted only to duikers that were sighted, and hence identified to species, red duiker abundance was highest in colonizing forest 2 followed by the old growth forest and was lowest in colonizing forest 1; all these differences were significant. Blue duiker abundance was lowest in the old growth forest despite its proximity to the research camp; however, this was only significantly lower than in colonizing forest 2. Apart from colonizing forest 1, red duikers were significantly more abundant than blue duikers in the other two forest sections. This study suggests that forests colonizing anthropogenic grasslands may support more duikers than old growth forests; poaching in colonizing forest 1 has a severe impact on the duiker population and, red duikers are affected more severely by poaching than blue duikers.</t>
  </si>
  <si>
    <t>Makerere Univ, Biol Field Stn, Fort Portal, Uganda</t>
  </si>
  <si>
    <t>Makerere University</t>
  </si>
  <si>
    <t>Lwanga, JS (corresponding author), Yale Univ, Dept Anthropol, New Haven, CT 06520 USA.</t>
  </si>
  <si>
    <t>lwanga@yale.edu</t>
  </si>
  <si>
    <t>044SA</t>
  </si>
  <si>
    <t>WOS:000237691500011</t>
  </si>
  <si>
    <t>["Uganda"]</t>
  </si>
  <si>
    <t>["Weyns's Duiker", "Blue duiker"]</t>
  </si>
  <si>
    <t>["Cephalophus weynsi", "Philantomba monticola"]</t>
  </si>
  <si>
    <t>Hema, EM; Barnes, RFW; Guenda, W</t>
  </si>
  <si>
    <t>Hema, Emmanuel M.; Barnes, Richard F. W.; Guenda, Wendengoudi</t>
  </si>
  <si>
    <t>Distribution of savannah elephants (Loxodonta africana africana Blumenbach 1797) within Nazinga game ranch, Southern Burkina Faso</t>
  </si>
  <si>
    <t>Burkina Faso; dung; elephants; occupancy; Nazinga; villages; water</t>
  </si>
  <si>
    <t>SPATIAL AUTOCORRELATION; WOODY VEGETATION; ASIAN ELEPHANT; RED HERRINGS; ECOLOGY; PATTERN; INDIA</t>
  </si>
  <si>
    <t>We tested the hypothesis that elephant distribution inside the Nazinga Game Ranch (Southern Burkina Faso) during the wet season is influenced by villages outside, while in the dry season elephants are restricted only by water. Occupancy was evaluated by recording elephant dung-piles on 54 line transects in each of three seasons: wet 2006, dry 2007 and dry 2008. We measured the distance of each transect from nearest villages, nearest permanent water sources, nearest guard posts and tourist camps. The results were unexpected: elephant occupancy in the wet season was independent of villages but influenced by poaching, while their occupancy in both dry seasons was determined by the proximity of villages as well as water. In the dry season, elephants were attracted to villages by grain stores and fruiting trees. There has been a dramatic shift in the dry season distribution of elephants, and consequently in browsing pressure, over the last two decades. We suggest that this change is a consequence of the expansion of human activities outside the ranch. This study shows that the effects of growing human disturbance on elephant populations in small protected areas are not predictable. Correcting for spatial autocorrelation had a negligible effect upon the models.Resume Nous avons teste l'hypothese selon laquelle la distribution des elephants dans le Ranch de Gibier de Nazinga (dans le sud du Burkina Faso) etait influencee, durant la saison des pluies, par des villages situes a l'exterieur, tandis que, en saison seche, les elephants ne sont limites que par l'eau. On a evalue l'occupation en enregistrant les tas de crottes d'elephant sur 54 transects lineaires pendant trois saisons: saison pluvieuse 2006, saison seche 2007 et saison seche 2008. Nous avons mesure la distance entre chaque transect par rapport aux villages les plus proches, les points d'eau les plus proches, les postes de gardes et les camps de touristes les plus proches. Les resultats furent inattendus : l'occupation des elephants en saison des pluies ne dependait pas des villages mais plutot du braconnage alors que pendant les deux saisons seches, leur taux d'occupation etait determine par la proximite des villages et de l'eau. En saison seche, les elephants etaient attires vers les villages par les stocks de grain et les arbres qui fructifiaient. Il y a eu un spectaculaire changement de la distribution saisonniere des elephants, et par consequent la pression de broutage en saison seche, au cours des deux dernieres decennies. Nous suggerons que ce changement est une consequence de l'expansion des activites humaines hors du ranch. Cette etude montre que les effets des croissantes perturbations humaines sur les populations d'elephants dans de petites aires protegees ne sont pas previsibles. Le fait d'apporter une correction pour l'autocorrelation spatiale n'avait qu'un effet negligeable sur les modeles.</t>
  </si>
  <si>
    <t>[Hema, Emmanuel M.; Guenda, Wendengoudi] Univ Ouagadougou, UFR SVT, Lab Biol &amp; Ecol Anim, Ouagadougou, Burkina Faso; [Barnes, Richard F. W.] Univ Calif San Diego, Div Biol Sci MC 0116, Ecol Behav &amp; Evolut Sect, La Jolla, CA 92093 USA</t>
  </si>
  <si>
    <t>University of California System; University of California San Diego</t>
  </si>
  <si>
    <t>Hema, EM (corresponding author), Univ Ouagadougou, UFR SVT, Lab Biol &amp; Ecol Anim, 09 BP 848 Ouagadougou 09, Ouagadougou, Burkina Faso.</t>
  </si>
  <si>
    <t>hema.emmanuel@yahoo.fr</t>
  </si>
  <si>
    <t>HEMA, Emmanuel/HLQ-2172-2023</t>
  </si>
  <si>
    <t>Nazinga Game Ranch</t>
  </si>
  <si>
    <t>Field work was financed by the Nazinga Game Ranch as part of its Ecological Monitoring Program; we benefited from additional supports from the consortium of WildFoundation in USA, Save the Elephants in Kenya and the Environment &amp; Development Group in UK. The late M. Adama Ouedraogo, Director of the Ranch during the period of the study, gave us permission to work at Nazinga. We are grateful to the Directeur de la Faune et des Chasses M. Urbain Belemsobgo who made the study possible. We thank all field assistants especially M. Banzourou Niagabare , M. Neti Naman, M. Tinsgnimi Dialla, M. Ousmane Badini, M. Boukare Ouedraogo, M. Dominique Zida, M. Boureima Kabore and M. Misson Zida, for their support.</t>
  </si>
  <si>
    <t>758NQ</t>
  </si>
  <si>
    <t>WOS:000290171900002</t>
  </si>
  <si>
    <t>["Burkina Faso"]</t>
  </si>
  <si>
    <t>["African Elephant"]</t>
  </si>
  <si>
    <t>["Loxodonta africana"]</t>
  </si>
  <si>
    <t>Hall, JS; Inogwabini, BI; Williamson, EA; Omari, I; Sikubwabo, C; White, LJT</t>
  </si>
  <si>
    <t>A survey of elephants (Loxodonta africana) in the Kahuzi-Biega National Park lowland sector and adjacent forest in eastern Zaire</t>
  </si>
  <si>
    <t>conservation; elephant; forest; poaching; survey; Zaire</t>
  </si>
  <si>
    <t>DUNG PILES; GABON; CYCLOTIS; NUMBERS; RESERVE</t>
  </si>
  <si>
    <t>There has been considerable uncertainty about the abundance estimation of Loxodonta africana within tropical lowland moist forests in Zaire. We surveyed a 15,570 km(2) area within the forests of eastern Zaire using transect sampling methods and estimated the elephant population to be 3720 (range 2300-5000) individuals. Dung pile densities were significantly different between adjacent settlement, deep forest, and deep forest core strata, with the most remote area harbouring the highest density. Evidence of elephant poaching was encountered throughout the survey area suggesting that elephant populations continue to be at severe risk.</t>
  </si>
  <si>
    <t>Wildlife Conservat Soc, Bronx, NY 10460 USA; Univ Stirling, Dept Psychol, Stirling FK9 4LA, Scotland; Inst Zairois Conservat Nat, Kinshasa, DEM REP CONGO</t>
  </si>
  <si>
    <t>Wildlife Conservation Society; University of Stirling</t>
  </si>
  <si>
    <t>Hall, JS (corresponding author), Yale Univ, Sch Forestry &amp; Environm Studies, Marsh Hall,360 Prospect St, New Haven, CT 06511 USA.</t>
  </si>
  <si>
    <t>; Williamson, Elizabeth/N-8958-2019</t>
  </si>
  <si>
    <t>Williaon, Elizabeth/0000-0001-6848-9154; Inogwabini, Bila-Isia/0000-0002-6897-2477;</t>
  </si>
  <si>
    <t>YY773</t>
  </si>
  <si>
    <t>WOS:000072183400004</t>
  </si>
  <si>
    <t>["D.R. Congo"]</t>
  </si>
  <si>
    <t>FAY, JM; AGNAGNA, M</t>
  </si>
  <si>
    <t>A POPULATION SURVEY OF FOREST ELEPHANTS (LOXODONTA-AFRICANA-CYCLOTIS) IN NORTHERN CONGO</t>
  </si>
  <si>
    <t>ELEPHANT; CONGO; CYCLOTIS; DUNG; COUNTING; FORESTS</t>
  </si>
  <si>
    <t>From February to April of 1989 transects were run in four forested areas of northern Congo (Brazzaville) to census elephant populations using dung counts. A total of 401.0 km of line transects was completed during the survey. An overall extrapolated density of 0.7 elephants/km2 was obtained with a variation from 0.3 to 0.9 elephants/km2. This study shows for the first time that elephants occur in high densities in a number of sites in northern Congo. When elephant dung density is plotted against distance from the nearest village for each transect a significant positive linear correlation results. Based on this correlation we hypothesize that the population of elephants in much of northern Congo is high. Local reports and our own observations indicate that elephant poaching is heavy in northern Congo and that the CITES ban on trade in African elephant ivory has had a limited effect on the level of poaching.</t>
  </si>
  <si>
    <t>MINIST ECON FORESTIERE, Brazzaville, REP CONGO</t>
  </si>
  <si>
    <t>FAY, JM (corresponding author), WILDLIFE CONSERVAT INT, NEW YORK ZOOL SOC, BRONX, NY 10460 USA.</t>
  </si>
  <si>
    <t>HC738</t>
  </si>
  <si>
    <t>WOS:A1991HC73800001</t>
  </si>
  <si>
    <t>EMMONS, LH</t>
  </si>
  <si>
    <t>GEOGRAPHIC-VARIATION IN DENSITIES AND DIVERSITIES OF NON-FLYING MAMMALS IN AMAZONIA</t>
  </si>
  <si>
    <t>Non-flying mammals were surveyed by trapping and transect census at 7 localities in Peru, Ecuador and Brazil. Relative numbers of individuals of smaller species varied dramatically from site to site while those of large species tended to be quite constant. The observed pattern of variation in numbers of individuals is mirrored by species richness differences between western Amazonia and the Guiana Shield region of Brazil, suggesting that similar environmental factors may regulate both the numbers of individuals and species in a locality. Soil fertility and undergrowth density are positively correlated with the density and species richness of mammals in the locality but quantity or pattern of rainfall does not seem to account for any of the observed differences. Competition, home range size and diet are discussed as possible causes of the differential reduction in density and species richness of small, compared to large species in unfavorable habitats. Hunting has extirpated or severely reduced populations of large mammals, especially primates, at 5 of the 7 localities surveyed.</t>
  </si>
  <si>
    <t>EMMONS, LH (corresponding author), SMITHSONIAN INST, DIV MAMMALS, NHB 390, WASHINGTON, DC 20560 USA.</t>
  </si>
  <si>
    <t>TR492</t>
  </si>
  <si>
    <t>WOS:A1984TR49200005</t>
  </si>
  <si>
    <t>["Howler monkeys", "Northern night monkey", "Spider monkey", "Western lowland oligo", "Brown-throated sloth", "Titi monkey sp", "Black-shouldered Opossum", "Pygmy marmoset", "White-fronted capuchin", "Spotted paca", "Amazon Bamboo Rat", "Nine-banded Armadillo", "Black-eared Opossum", "Ocelot and Margay", "Long furred wooly mouse opossum", "Opossum", "White-bellied slender mouse opossum and Delicate slender mouse opossum", "Red brocket deer", "Brown Four-eyed Opossum", "Rice rat sp", "Jaguar", "Gray Four-eyed Opossum", "Kinkajou", "Kinkajou or Oligo", "Spiny rats", "Puma", "Tamarins", "Squirrel monkeys", "Tufted capuchin", "Squirrels", "Small squirrels"]</t>
  </si>
  <si>
    <t>["Alouatta spp", "Aotus trivirgatus", "Ateles spp", "Bassaricyon medius", "Bradypus variegatus", "Callicebus spp", "Caluromysiops irrupta", "Cebuella pygmaea", "Cebus albifrons", "Cuniculus paca", "Dactylomys dactylinus", "Dasypus novemcinctus", "Didelphis marsupialis", "Leopardus pardalis and L. wiedii", "Marmosa demerarae", "Marmosa spp", "Marmosops noctivagus and M. parvidens", "Mazama americana", "Metachirus nudicaudatus", "Oryzomys spp.", "Panthera onca", "Philander opossum", "Potos flavus", "Potos flavus or Bassaricyon spp", "Proechimys spp", "Puma concolor", "Saguinus spp", "Saimiri spp", "Sapajus apella", "Sciurus spp", "Sciurus spp (small)"]</t>
  </si>
  <si>
    <t>["Primates", "Carnivores", "Pilosa", "Didelphimorphia", "Rodentia", "Cingulata", "Cetartiodactyla"]</t>
  </si>
  <si>
    <t>Bowkett, AE; Rovero, F; Marshall, AR</t>
  </si>
  <si>
    <t>Bowkett, Andrew E.; Rovero, Francesco; Marshall, Andrew R.</t>
  </si>
  <si>
    <t>The use of camera-trap data to model habitat use by antelope species in the Udzungwa Mountain forests, Tanzania</t>
  </si>
  <si>
    <t>Cephalophus harveyi; Eastern Arc; generalized linear models; Harvey's duiker; Neotragus moschatus; suni</t>
  </si>
  <si>
    <t>RAIN-FOREST; MONKEY ABUNDANCE; MWANIHANA FOREST; DUIKER; BUSHMEAT; PRIMATES; DIET; POPULATIONS; PATTERNS; BEHAVIOR</t>
  </si>
  <si>
    <t>The ecology of many species of duiker, and other African forest antelope, is poorly known and yet knowledge of the factors determining their distribution and abundance is critical to the conservation of this increasingly threatened group. Camera-trapping was used to investigate forest antelope ecology in the biologically diverse Udzungwa Mountains, Tanzania. The relationship between camera-trapping rates and vegetation (and other habitat variables) was investigated using generalized linear modelling. Over 630 photographs of antelope were obtained, with Harvey's duiker being the most recorded species. The camera-trap rate of Harvey's duiker was positively related to the species diversity of small plant stems and negatively related to an index of visibility, while that of suni antelope was negatively related to the percentage ground cover of leaf-litter. The camera-trap rate of Harvey's duiker was also negatively related to distance to the nearest village, as predicted for a species targeted for subsistence hunting. Camera-traps also recorded bushbuck and the threatened Tanzanian endemic Abbott's duiker, but there were insufficient captures to model habitat use for these species. Results of this study illustrate the potential of camera-trapping for modelling habitat requirements and providing guidelines for the conservation management of threatened antelope populations in forest habitats.</t>
  </si>
  <si>
    <t>[Bowkett, Andrew E.] Paignton Zoo, Whitley Wildlife Conservat Trust, Field Conservat &amp; Res Dept, Paignton TQ4 7EU, England; [Rovero, Francesco] Museo Tridentino Sci Nat, Sez Zool Vertebrati, I-38100 Trento, Italy; [Marshall, Andrew R.] Univ York, Dept Environm, Ctr Ecol Law &amp; Policy, York YO10 5DD, N Yorkshire, England</t>
  </si>
  <si>
    <t>Bowkett, AE (corresponding author), Paignton Zoo, Whitley Wildlife Conservat Trust, Field Conservat &amp; Res Dept, Totnes Rd, Paignton TQ4 7EU, England.</t>
  </si>
  <si>
    <t>andrew.bowkett@paigntonzoo.org.uk</t>
  </si>
  <si>
    <t>Rovero, Francesco/AAI-3157-2020</t>
  </si>
  <si>
    <t>Rovero, Francesco/0000-0001-6688-1494</t>
  </si>
  <si>
    <t>Natural Environment Research Council [NER/S/A/2002/11177]; National Geographic Society and Margot Marsh Biodiversity Foundation; National Geographic Society to Thomas Struhsaker, FR and ARM; UMNP</t>
  </si>
  <si>
    <t>Natural Environment Research Council(UK Research &amp; Innovation (UKRI)Natural Environment Research Council (NERC)); National Geographic Society and Margot Marsh Biodiversity Foundation(National Geographic Society); National Geographic Society to Thomas Struhsaker, FR and ARM(National Geographic Society); UMNP</t>
  </si>
  <si>
    <t>We would like to thank Ruben Mwakisoma; Quentin Luke; Chris Ruffo and Kaj Vollesen and herbarium colleagues at the Royal Botanic Gardens, Kew; for help with plant identification. FR was supported by postdoctoral funding from the Provincia Autonoma di Trento through the Museo Tridentino di Scienze Naturali and AEB was supported by Paignton Zoo, part of the Whitley Wildlife Conservation Trust. ARM was supported by the Natural Environment Research Council (Award Number NER/S/A/2002/11177) and by grants from the National Geographic Society and Margot Marsh Biodiversity Foundation obtained with Thomas Struhsaker. Some cameras were funded through the grant from the National Geographic Society to Thomas Struhsaker, FR and ARM. The staff of the UMNP are thanked for their support especially Mr Timbuka, Chief Warden-in-Charge and Mr Abel Mtui, Warden for Ecology. The Tanzanian Commission for Science and Technology, Tanzania Wildlife Research Institute and Tanzanian National Parks gave permission to conduct the study. Arafat Mtui, John Msirikali, Kulthumu Ally, Richard Laizzer, Yahaya Sama and Adenani Seki are thanked for invaluable assistance during data collection. Amy Plowman and Thomas Struhsaker provided valuable comments on the manuscript.</t>
  </si>
  <si>
    <t>377HY</t>
  </si>
  <si>
    <t>WOS:000261243500004</t>
  </si>
  <si>
    <t>["HarveyÆs duiker", "Abbott's duiker", "Suni"]</t>
  </si>
  <si>
    <t>["Cephalophus harveyi", "Cephalophus spadix", "Neotragus moschatus"]</t>
  </si>
  <si>
    <t>Blom, A; van Zalinge, R; Mbea, E; Heitkönig, IMA; Prins, HHT</t>
  </si>
  <si>
    <t>Human impact on wildlife populations within a protected Central African forest</t>
  </si>
  <si>
    <t>Central Africa; conservation; monitoring; wildlife</t>
  </si>
  <si>
    <t>GORILLA-GORILLA-GORILLA; LOXODONTA-AFRICANA; NORTHEASTERN GABON; NATIONAL-PARK; LOPE-RESERVE; DUNG COUNTS; RAIN-FOREST; ELEPHANTS; DENSITY; CENSUS</t>
  </si>
  <si>
    <t>This paper addresses the effect of human activities on the density of large mammals in the Dzanga-Ndoki National Park and the adjacent Dzanga-Sangha Reserve in the Central African Republic. Between six and eight 20 km long permanent transects were walked on a monthly basis from January 1997 to August 1999 to assess large mammal populations as well as human intrusion. There were no obvious seasonal or monthly trends in elephant, gorilla or non-human primate densities. Overall, it appears that human activities negatively influence the distribution of most of the large forest animals in Dzanga-Sangha. Elephants in particular were significantly less common in areas used by humans, but also other species such as non-human primates showed lower densities closer to the main road and the town of Bayanga. This study confirms the findings of previous studies that roads have a negative impact on wildlife populations. Results of this study stress the need for conservation of large uninterrupted forest blocks to maintain wildlife populations at normal levels. Simply creating roads, even within a protected Central African forest, is likely to have negative impacts on wildlife populations.</t>
  </si>
  <si>
    <t>Univ Wageningen &amp; Res Ctr, Trop Nat Conservat &amp; Vertebrate Ecol Grp, NL-6708 PD Wageningen, Netherlands; SUNY Stony Brook, Dept Anthropol, Stony Brook, NY 11794 USA; World Wildlife Fund, Dzanga Sangha Project, Bangui, Cent Afr Republ</t>
  </si>
  <si>
    <t>Wageningen University &amp; Research; State University of New York (SUNY) System; Stony Brook University</t>
  </si>
  <si>
    <t>Blom, A (corresponding author), ECOFAC, BP 15115, Libreville, Gabon.</t>
  </si>
  <si>
    <t>allardblom@assala.net</t>
  </si>
  <si>
    <t>Heitkonig, Ignas/0000-0001-7771-3111; Prins, Herbert/0000-0003-1131-5107</t>
  </si>
  <si>
    <t>BLACKWELL PUBLISHING LTD</t>
  </si>
  <si>
    <t>9600 GARSINGTON RD, OXFORD OX4 2DG, OXON, ENGLAND</t>
  </si>
  <si>
    <t>809HN</t>
  </si>
  <si>
    <t>WOS:000220627900003</t>
  </si>
  <si>
    <t>["Western gorilla", "African Elephant"]</t>
  </si>
  <si>
    <t>["Gorilla gorilla", "Loxodonta africana"]</t>
  </si>
  <si>
    <t>Lahm, SA; Barnes, RFW; Beardsley, K; Cervinka, P</t>
  </si>
  <si>
    <t>A method for censusing the greater white-nosed monkey in northeastern Gabon using the population density gradient in relation to roads</t>
  </si>
  <si>
    <t>JOURNAL OF TROPICAL ECOLOGY</t>
  </si>
  <si>
    <t>census; forest; Gabon; gradient; methods; monkeys</t>
  </si>
  <si>
    <t>FOREST ELEPHANT</t>
  </si>
  <si>
    <t>This paper-presents a method for estimating monkey numbers in a large area of forest where there is a gradient of monkey densities. The method is illustrated using data collected in the northeastern forests of Gabon during an earlier project. These forests:are sparsely populated and there are few roads. The density of Cercopithecus nictitans increases with distance from the nearest road. A geographic information system (GIS) divided the forest into bands of increasing distance from the nearest road. The number of monkeys in each band is the product of the monkey density in that band and the area of the band. Summing across bands gives the population estimate; the standard error can be estimated by bootstrapping. The optimum sample size can be estimated by simulation. Combining estimates of the density-gradient with a GIS is a cost-effective method of censusing primates in extensive forests.</t>
  </si>
  <si>
    <t>Univ Calif San Diego, Dept Biol 0116, La Jolla, CA 92093 USA; Inst Rech Ecol Trop, Makokou, Gabon; Univ Calif Davis, Dept Environm Sci &amp; Policy, Informat Ctr Environm, Davis, CA 95616 USA; Univ Calif Davis, Dept Agr &amp; Resource Econ, Davis, CA 95616 USA</t>
  </si>
  <si>
    <t>University of California System; University of California San Diego; University of California System; University of California Davis; University of California System; University of California Davis</t>
  </si>
  <si>
    <t>Barnes, RFW (corresponding author), Univ Calif San Diego, Dept Biol 0116, La Jolla, CA 92093 USA.</t>
  </si>
  <si>
    <t>rfbarnes@ucsd.edu</t>
  </si>
  <si>
    <t>32 AVENUE OF THE AMERICAS, NEW YORK, NY 10013-2473 USA</t>
  </si>
  <si>
    <t>0266-4674</t>
  </si>
  <si>
    <t>J TROP ECOL</t>
  </si>
  <si>
    <t>J. Trop. Ecol.</t>
  </si>
  <si>
    <t>139GQ</t>
  </si>
  <si>
    <t>WOS:000077020100005</t>
  </si>
  <si>
    <t>["Putty-nosed monkey"]</t>
  </si>
  <si>
    <t>["Cercopithecus nictitans"]</t>
  </si>
  <si>
    <t>Blake, JG; Mosquera, D; Salvador, J</t>
  </si>
  <si>
    <t>Blake, J. G.; Mosquera, D.; Salvador, J.</t>
  </si>
  <si>
    <t>Use of mineral licks by mammals and birds in hunted and non-hunted areas of Yasuni National Park, Ecuador</t>
  </si>
  <si>
    <t>activity patterns; camera trap; Ecuador; hunting; mineral lick; Yasuni</t>
  </si>
  <si>
    <t>MBARACAYU RESERVE; LARGE VERTEBRATES; NATURAL LICKS; GEOPHAGY; CONSERVATION; ALOUATTA; FOREST; SUSTAINABILITY; PATTERNS; PRIMATES</t>
  </si>
  <si>
    <t>Mineral licks are sites where a diverse array of mammals and birds consume soil or drink water, likely for mineral supplementation. Many of those same animals are targets of hunters. Camera traps triggered by heat and motion were used to document use of mineral licks by birds and mammals over approximately 2 months at two lowland forest sites in eastern Ecuador, one that has experienced considerable hunting by indigenous Waorani (four mineral licks) and one that is largely unaffected by hunting (five licks). We obtained 264 photographs representing nine mammal species and one photograph of a bird at the hunted site; 1123 photographs of 12 mammal species and 73 of three bird species were obtained at the site without hunting. Photographs were counted if at least 30min elapsed between photographs of the same species at the same camera location. Activity (photographs/100 trap-days) was higher at all licks at the site without hunting (mean=436; range 276-665/100 trap-days) than at the hunted site (mean=123; range 89-151/100 trap-days). Diurnal activity was, overall, lower at the hunted site, particularly during the middle of the day. Species not recorded at the hunted site included two primates (white-bellied spider monkey Ateles belzebuth; Venezuelan red howler monkey Alouatta seniculus), white-lipped peccary, Tayassu pecari and two large-bodied birds (common piping-guan, Pipile pipile; Salvin's curassow, Mitu salvini); all are common prey of local hunters. Red brocket deer, Mazama americana was the most frequently photographed species at both sites, but was less active during the day at the hunted site.</t>
  </si>
  <si>
    <t>[Blake, J. G.] Univ Florida, Dept Wildlife Ecol &amp; Conservat, Gainesville, FL 32611 USA; [Mosquera, D.] Univ San Francisco Quito, Estn Biodiversidad Tiputini, Quito, Ecuador</t>
  </si>
  <si>
    <t>State University System of Florida; University of Florida; Universidad San Francisco de Quito</t>
  </si>
  <si>
    <t>Blake, JG (corresponding author), Univ Florida, Dept Wildlife Ecol &amp; Conservat, 110 Newins Ziegler Hall,POB 110430, Gainesville, FL 32611 USA.</t>
  </si>
  <si>
    <t>john.blake@ufl.edu</t>
  </si>
  <si>
    <t>Universidad San Francisco de Quito; Pontificia Universidad Catolica de Ecuador; University of Florida</t>
  </si>
  <si>
    <t>Universidad San Francisco de Quito; Pontificia Universidad Catolica de Ecuador; University of Florida(University of Florida)</t>
  </si>
  <si>
    <t>We thank the staff at TBS and YRS who facilitated our work at these sites. We also appreciate the help of Consuelo de Romo in facilitating our work at Tiputini and Pablo Jarrin at YRS. We thank two anonymous reviewers whose suggestions helped improve this manuscript. Support for this study was provided by Universidad San Francisco de Quito, Pontificia Universidad Catolica de Ecuador, and University of Florida. This study was conducted in accordance with research permit no. 0005-FAU-MAE-DPO-PNY, Ministerio del Ambiente, Ecuador.</t>
  </si>
  <si>
    <t>200WL</t>
  </si>
  <si>
    <t>WOS:000323101700011</t>
  </si>
  <si>
    <t>["African Elephant", "Salvin's Curassow", "Plumbeous Pigeon", "Trinidad Piping-guan", "Red howler monkey", "White-bellied Spider Monkey", "Spotted paca", "Black Agouti", "Nine-banded Armadillo", "Red brocket deer", "Green acouchy", "Giant anteater", "Collared peccary", "Crab-eating Raccoon", "South american tapir", "White-lipped peccary"]</t>
  </si>
  <si>
    <t>["Loxodonta africana", "Mitu salvini", "Patagioenas plumbea", "Pipile pipile", "Alouatta seniculus", "Ateles belzebuth", "Cuniculus paca", "Dasyprocta fuliginosa", "Dasypus novemcinctus", "Mazama americana", "Myoprocta pratti", "Myrmecophaga tridactyla", "Pecari tajacu", "Procyon cancrivorus", "Tapirus terrestris", "Tayassu pecari"]</t>
  </si>
  <si>
    <t>["Proboscidea", "Galliformes", "Columbiformes", "Primates", "Rodentia", "Cingulata", "Cetartiodactyla", "Pilosa", "Carnivores", "Perissodactyla"]</t>
  </si>
  <si>
    <t>Hegerl, C; Burgess, ND; Nielsen, MR; Martin, E; Ciolli, M; Rovero, F</t>
  </si>
  <si>
    <t>Hegerl, Carla; Burgess, Neil D.; Nielsen, Martin R.; Martin, Emanuel; Ciolli, Marco; Rovero, Francesco</t>
  </si>
  <si>
    <t>Using camera trap data to assess the impact of bushmeat hunting on forest mammals in Tanzania</t>
  </si>
  <si>
    <t>Biodiversity conservation; bushmeat; Eastern Arc; poaching; rainforest; Tanzania; Udzungwa</t>
  </si>
  <si>
    <t>EASTERN ARC MOUNTAINS; UDZUNGWA MOUNTAINS; COMMUNITY STRUCTURE; TROPICAL FORESTS; TREE RECRUITMENT; WILDLIFE; BIODIVERSITY; DIVERSITY; BENEFITS; HABITAT</t>
  </si>
  <si>
    <t>Bushmeat hunting is a pantropical threat to rainforest mammals. Understanding its effects on species richness, community composition and population abundance is of critical conservation relevance. As data on the pre-hunting state of mammal populations in Africa are not generally available, we evaluated the impacts of illegal bushmeat hunting on the mammal community of two ecologically similar forests in the Udzungwa Mountains of Tanzania. The forests differ only in their protection status: one is a National Park and the other a Forest Reserve. We deployed systematic camera trap surveys in these forests, amounting to 850 and 917 camera days in the Forest Reserve and the National Park, respectively, and investigated differences between the two areas in estimated species-specific occupancies, detectabilities and species richness. We show that the mammal community in the Forest Reserve is degraded in all aspects relative to the National Park. Species richness was almost 40% lower in the Forest Reserve (median 18 vs 29 species, highest posterior density intervals 15-30 and 23-47, respectively). Occupancy of most species was also reduced significantly and the functional community appeared significantly altered, with an increase in rodents, and loss of large carnivores and omnivores. Overall, our results show how ineffective reserve management, with almost absent law enforcement, leads to uncontrolled illegal hunting, which in turn has a significant impact on the mammal fauna of globally important sites for conservation.</t>
  </si>
  <si>
    <t>[Hegerl, Carla] Uppsala Univ, Dept Anim Ecol, Evolutionary Biol Ctr, Norbyvagen 18D, SE-75236 Uppsala, Sweden; [Burgess, Neil D.] UNEP WCMC, Cambridge, England; [Burgess, Neil D.] Univ Copenhagen, CMEC, Nat Hist Museum, Copenhagen, Denmark; [Nielsen, Martin R.] Univ Copenhagen, Dept Food &amp; Resource Econ, Frederiksberg, Denmark; [Martin, Emanuel] Sokoine Univ Agr, Dept Wildlife Management, Morogoro, Tanzania; [Ciolli, Marco] Univ Trento, Dept Civil Environm &amp; Mech Engn, Trento, Italy; [Rovero, Francesco] MUSE Museo Sci, Trop Biodivers Sect, Trento, Italy; [Martin, Emanuel; Rovero, Francesco] Udzungwa Mt Natl Pk, Udzungwa Ecol Monitoring Ctr, Kidayi, Tanzania</t>
  </si>
  <si>
    <t>Uppsala University; United Nations Environment Programme; University of Copenhagen; University of Copenhagen; Sokoine University of Agriculture; University of Trento</t>
  </si>
  <si>
    <t>Hegerl, C (corresponding author), Uppsala Univ, Dept Anim Ecol, Evolutionary Biol Ctr, Norbyvagen 18D, SE-75236 Uppsala, Sweden.</t>
  </si>
  <si>
    <t>carlahegerl@gmail.com</t>
  </si>
  <si>
    <t>Ciolli, Marco/D-8613-2014; Rovero, Francesco/AAI-3157-2020; Nielsen, Martin Reinhardt/E-1173-2015; Martin, Emanuel/ABD-1876-2020</t>
  </si>
  <si>
    <t>Ciolli, Marco/0000-0001-8370-9039; Rovero, Francesco/0000-0001-6688-1494; Nielsen, Martin Reinhardt/0000-0002-8941-6031; Martin, Emanuel/0000-0003-1801-5131</t>
  </si>
  <si>
    <t>Gordon and Betty Moore Foundation; German Academic Exchange Service; MUSE-Museo delle Scienze (Trento, Italy); Uppsala University; University of Trento</t>
  </si>
  <si>
    <t>Gordon and Betty Moore Foundation(Gordon &amp; Betty Moore Foundation); German Academic Exchange Service(Deutscher Akademischer Austausch Dienst (DAAD)); MUSE-Museo delle Scienze (Trento, Italy); Uppsala University; University of Trento</t>
  </si>
  <si>
    <t>We thank two anonymous reviewers for valuable comments. Permits for data collection were granted by the Tanzania Wildlife Research Institute, Tanzania Commission for Science and Technology, Forestry and Beekeeping Division and Tanzania National Parks. Data for Mwanihana were provided by the Tropical Ecology Assessment and Monitoring Network (a collaboration between Conservation International, the Missouri Botanical Garden, the Smithsonian Institution, and the Wildlife Conservation Society, partially funded by these institutions, the Gordon and Betty Moore Foundation and other donors). Funding for this project was provided by the German Academic Exchange Service, MUSE-Museo delle Scienze (Trento, Italy), and Uppsala University; University of Trento funded the camera traps for Uzungwa Scarp. We are grateful to the staff at the Udzungwa Ecological Monitoring Centre who provided critical logistical support, and to field assistants Ruben Mwakisoma, Steven Shinyambala and Aggrey Uisso, as well as Elisa Cattani, for their invaluable help.</t>
  </si>
  <si>
    <t>JAN</t>
  </si>
  <si>
    <t>EI1FS</t>
  </si>
  <si>
    <t>WOS:000392222700020</t>
  </si>
  <si>
    <t>Nunez-Iturri, G; Olsson, O; Howe, HF</t>
  </si>
  <si>
    <t>Nunez-Iturri, Gabriela; Olsson, Ola; Howe, Henry F.</t>
  </si>
  <si>
    <t>Hunting reduces recruitment of primate-dispersed trees in Amazonian Peru</t>
  </si>
  <si>
    <t>Amazon basin; hunting; primates; seed dispersal; seedling communities; tropical rain forest</t>
  </si>
  <si>
    <t>SEED DISPERSAL; FOREST FRAGMENTATION; RAIN-FOREST; SPECIES COMPOSITION; TROPICAL FORESTS; CONSERVATION; DIVERSITY; BUSHMEAT; HARVEST; WILDLIFE</t>
  </si>
  <si>
    <t>Hunting with firearms decimates primates of large and medium body size (&gt; 2 kg) that disperse the seeds of large-seeded trees. In continuous, un-fragmented forests of southeastern Peru regularly hunted with firearms for 30-40 years, large primates are extirpated and medium-sized (medium) primates are reduced 61% compared with protected forests. At hunted sites seedlings and small juveniles (&lt; 1 m height) of trees dispersed by primates heavier than 2 kg are reduced 46%, a loss of one species m(-2), and abiotically-dispersed plants are 284% more common, adding eight individuals m(-2), compared with protected forests. Here we provide evidence consistent with the long-held prediction that commercial hunting changes plant communities. We show that the composition of seedling and small juvenile tree communities that ultimately regenerate future forests differs markedly in forests hunted with firearms compared with protected forests. This opens the possibility of shifts in tree species composition, even in hunted forests that are not logged or fragmented, towards forests dominated by trees dispersed by wind or non-game animals. (c) 2008 Elsevier Ltd. All rights reserved.</t>
  </si>
  <si>
    <t>[Nunez-Iturri, Gabriela; Howe, Henry F.] Univ Illinois, Dept Biol Sci, Chicago, IL 60607 USA; [Olsson, Ola] Lund Univ, Dept Anim Ecol, SE-22362 Lund, Sweden; [Howe, Henry F.] Field Museum Nat Hist, Dept Zool, Chicago, IL 60605 USA</t>
  </si>
  <si>
    <t>University of Illinois System; University of Illinois Chicago; University of Illinois Chicago Hospital; Lund University; Field Museum of Natural History (Chicago)</t>
  </si>
  <si>
    <t>Howe, HF (corresponding author), Univ Illinois, Dept Biol Sci, 845 W Taylor St M-C 066, Chicago, IL 60607 USA.</t>
  </si>
  <si>
    <t>hfhowe@uic.edu</t>
  </si>
  <si>
    <t>Olsson, Ola/0000-0003-0789-1064</t>
  </si>
  <si>
    <t>324RQ</t>
  </si>
  <si>
    <t>WOS:000257536100009</t>
  </si>
  <si>
    <t>Reyna-Hurtado, R; Tanner, GW</t>
  </si>
  <si>
    <t>Reyna-Hurtado, Rafael; Tanner, George W.</t>
  </si>
  <si>
    <t>Ungulate relative abundance in hunted and non-hunted sites in Calakmul Forest (Southern Mexico)</t>
  </si>
  <si>
    <t>brocket deer; Calakmul; collared peccary; hunting; relative abundance; tapir; transects; ungulate; white-lipped peccary; white-tailed deer</t>
  </si>
  <si>
    <t>TAYASSU PECARI; PECCARIES</t>
  </si>
  <si>
    <t>The relative abundance of an ungulate community in hunted and non-hunted areas was studied in Calakmul, a tropical forest in southern Mexico that includes a 723,815 ha Biosphere Reserve where no hunting is allowed and communal lands where hunting activity does take place. Tapir, white-lipped peccary (WLP), collared peccary, two species of brocket deer and white-tailed deer were the focal species. Relative abundance of ungulates was obtained by counting tracks along transects in three hunted sites and in the southern core area of the Calakmul Biosphere Reserve, a enforced part of the protected area of 350,000 ha where no hunting has been-permitted since 1989. A total of 1708 ungulates tracks were obtained along 206.1 km (n = 90 transects) divided among the four sites. Relative abundance of the species was estimated from the track encounter rate (TER) calculated as the number of tracks per species encountered per km of transect. No significant differences in brocket deer and collared peccary TER was found among hunted and non-hunted areas. TER for WLP was significant higher in the non-hunted area, while TER for white-tailed deer and tapir was significant higher in hunted sites. Hunting activity affected the ungulate species in Calakmul differently. Brocket deer, white-tailed deer and collared peccary are more resistant species toward the hunting pressure than the WLP, who needs an immediate protection plan throughout Calakmul. Hunting areas are important habitat refuges for tapir populations and they should be protected in these areas.</t>
  </si>
  <si>
    <t>Univ Florida, Dept Wildlife Ecol &amp; Conservat, Gainesville, FL 32611 USA</t>
  </si>
  <si>
    <t>State University System of Florida; University of Florida</t>
  </si>
  <si>
    <t>Reyna-Hurtado, R (corresponding author), Univ Florida, Dept Wildlife Ecol &amp; Conservat, 110 Newins Ziegler Hall,POB 110430, Gainesville, FL 32611 USA.</t>
  </si>
  <si>
    <t>rafaelrh@ufl.edu</t>
  </si>
  <si>
    <t>Reyna-Hurtado, Rafael/M-7204-2019</t>
  </si>
  <si>
    <t>Reyna-Hurtado, Rafael/0000-0003-4382-642X</t>
  </si>
  <si>
    <t>142XN</t>
  </si>
  <si>
    <t>WOS:000244684700011</t>
  </si>
  <si>
    <t>source</t>
  </si>
  <si>
    <t>Benitez lopez et al</t>
  </si>
  <si>
    <t>["Central African Republic (the)"]</t>
  </si>
  <si>
    <t>["Tanzania, the United Republic of"]</t>
  </si>
  <si>
    <t>["Congo (the Democratic Republic of the)"]</t>
  </si>
  <si>
    <t>2025-12-06</t>
  </si>
  <si>
    <t>Williamson, Elizabeth/N-8958-2019</t>
  </si>
  <si>
    <t>Williaon, Elizabeth/0000-0001-6848-9154; Inogwabini, Bila-Isia/0000-0002-6897-2477</t>
  </si>
  <si>
    <t>FAY, JM</t>
  </si>
  <si>
    <t>AN ELEPHANT (LOXODONTA-AFRICANA) SURVEY USING DUNG COUNTS IN THE FORESTS OF THE CENTRAL-AFRICAN-REPUBLIC</t>
  </si>
  <si>
    <t>CENTRAL-AFRICAN-REPUBLIC; DUNG COUNTS; ELEPHANTS; FOREST; LOXODONTA-AFRICANA; SURVEY</t>
  </si>
  <si>
    <t>In May and June of 1989 data on elephant (Loxodonta africana) dung density were collected in the main forested areas of the Central African Republic. A total of 147.0 km of line transects (N = 14 transects, xBAR = 10.50 km, SD = 3.79) was completed. Dung was recorded in 37.4% of the 294 sectors of 0.5 km each. The overall dung density was estimated to be 266 piles km-2 (xBAR = 382, SD = 383.7). The highest dung density was found in the proposed Dzanga-Sangha Reserve in the extreme south-west with 1166 piles km-2 (N = 12 sectors of 0.5 km). The south-eastern forests were found to have an intermediate dung density of 336 piles km-2 (N = 215 sectors of 0.5 km, xBAR = 419, SD = 308). In the eastern section of the south-western forests no dung was recorded along survey transects (N = 67 sectors of 0.5 km). These data indicate that elephant populations are still relatively high in the forests of south-western and south-eastern Central African Republic, while the population in the eastern section of the south-western forests has diminished to a very low level.</t>
  </si>
  <si>
    <t>FAY, JM (corresponding author), WASHINGTON UNIV,DEPT ANTHROPOL,ST LOUIS,MO 63130, USA.</t>
  </si>
  <si>
    <t>40 WEST 20TH STREET, NEW YORK, NY 10011-4211</t>
  </si>
  <si>
    <t>FE807</t>
  </si>
  <si>
    <t>WOS:A1991FE80700002</t>
  </si>
  <si>
    <t>Nunez-Iturri, G (corresponding author), Univ Illinois, Dept Biol Sci, 845 W Taylor St M-C 066, Chicago, IL 60607 USA.</t>
  </si>
  <si>
    <t>Hayward, Matt/F-3569-2010; Hayward, Matt W/F-3569-2010</t>
  </si>
  <si>
    <t>; Birkhofer, Klaus/AAA-2374-2021</t>
  </si>
  <si>
    <t>Birkhofer, Klaus/0000-0002-9301-2443; Olsson, Ola/0000-0003-0789-1064; Smith, Henrik/0000-0002-2289-889X;</t>
  </si>
  <si>
    <t>Martínez-Morales, MA</t>
  </si>
  <si>
    <t>Conservation status and habitat preferences of the Cozumel Curassow</t>
  </si>
  <si>
    <t>CONDOR</t>
  </si>
  <si>
    <t>conservation; Cozumel Curassow; Cracidae; Crax rubra griscomi; density; hunting; Yucatan Peninsula</t>
  </si>
  <si>
    <t>FOREST BIRD COMMUNITY; RAIN-FOREST</t>
  </si>
  <si>
    <t>I assessed the population status and habitat preferences of the Cozumel Curassow, Crax rubra griscomi, in the forests of Cozumel Island, Mexico, from Octobcr 1994 to June 1995. The estimated density was 0.9 curassows km(-2) with a population size of about 300 birds. These numbers and the fact that the Cozumel Curassow is restricted to the island, place this endemic cracid within the conservation status of Critically Endangered. Hunting is likely the main cause of its present conservation status. This curassow showed a greater preference for the tropical semi-deciduous forest than for the low tropical deciduous forest. Likewise, older stands of forest have a positive influence on its distribution. Freshwater sources within the forests have a positive influence on the Cozumel Curassow distribution within a radius of about 2 km. Human settlements and human accesses to the forest interior showed a negative influence on its distribution within a radius of 4.5 km.</t>
  </si>
  <si>
    <t>Univ Cambridge, Dept Anat, Wildlife Res Grp, Cambridge CB2 3DY, England</t>
  </si>
  <si>
    <t>University of Cambridge</t>
  </si>
  <si>
    <t>Martínez-Morales, MA (corresponding author), Univ Cambridge, Dept Zool, Downing St, Cambridge CB2 3EJ, England.</t>
  </si>
  <si>
    <t>COOPER ORNITHOLOGICAL SOC</t>
  </si>
  <si>
    <t>LAWRENCE</t>
  </si>
  <si>
    <t>ORNITHOLOGICAL SOC NORTH AMER PO BOX 1897, LAWRENCE, KS 66044-8897 USA</t>
  </si>
  <si>
    <t>0010-5422</t>
  </si>
  <si>
    <t>Condor</t>
  </si>
  <si>
    <t>Ornithology</t>
  </si>
  <si>
    <t>169CP</t>
  </si>
  <si>
    <t>WOS:000078730200002</t>
  </si>
  <si>
    <t>Suarez, Esteban/0000-0003-0425-8933; Zapata-Ríos, Galo/0000-0003-3508-5078</t>
  </si>
  <si>
    <t>Walsh, Philip/HRB-7450-2023</t>
  </si>
  <si>
    <t>Silva, Antonio/K-5157-2012; Pontes, Antonio/I-1649-2012; Gomes da Silva, Maria de/LZH-2224-2025</t>
  </si>
  <si>
    <t>Røskaft, Eivin/N-7476-2019; Magige, Flora/ABB-7595-2020</t>
  </si>
  <si>
    <t>; Nijman, Vincent/AHD-8685-2022</t>
  </si>
  <si>
    <t>Nijman, Vincent/0000-0002-5600-4276;</t>
  </si>
  <si>
    <t>Loe, Leif/M-5798-2016; Stenseth, Nils/G-5212-2016; Stenseth, Nils Christian/G-5212-2016; Loe, Leif Egil/M-5798-2016</t>
  </si>
  <si>
    <t>Stenseth, Nils Christian/0000-0002-1591-5399; Loe, Leif Egil/0000-0003-4804-2253</t>
  </si>
  <si>
    <t>Peres, Carlos/B-1276-2013; Peres, Carlos/B-1276-2013; lake, iain/C-9917-2011</t>
  </si>
  <si>
    <t>Peres, Carlos/0000-0002-1588-8765; Peres, Carlos/0000-0002-1588-8765; Lake, Iain Richard/0000-0003-4407-5357</t>
  </si>
  <si>
    <t>Blake, S; Strindberg, S; Boudjan, P; Makombo, C; Bila-Isia, I; Ilambu, O; Grossmann, F; Bene-Bene, L; de Semboli, B; Mbenzo, V; S'hwa, D; Bayogo, R; Williamson, L; Fay, M; Hart, J; Maisels, F</t>
  </si>
  <si>
    <t>Blake, Stephen; Strindberg, Samantha; Boudjan, Patrick; Makombo, Calixte; Bila-Isia, Inogwabini; Ilambu, Omari; Grossmann, Falk; Bene-Bene, Lambert; de Semboli, Bruno; Mbenzo, Valentin; S'hwa, Dino; Bayogo, Rosine; Williamson, Liz; Fay, Mike; Hart, John; Maisels, Fiona</t>
  </si>
  <si>
    <t>Forest elephant crisis in the Congo Basin</t>
  </si>
  <si>
    <t>PLOS BIOLOGY</t>
  </si>
  <si>
    <t>IVORY TRADE; NUMBERS</t>
  </si>
  <si>
    <t>Debate over repealing the ivory trade ban dominates conferences of the Convention on International Trade in Endangered Species of Wild Fauna and Flora ( CITES). Resolving this controversy requires accurate estimates of elephant population trends and rates of illegal killing. Most African savannah elephant populations are well known; however, the status of forest elephants, perhaps a distinct species, in the vast Congo Basin is unclear. We assessed population status and incidence of poaching from line-transect and reconnaissance surveys conducted on foot in sites throughout the Congo Basin. Results indicate that the abundance and range of forest elephants are threatened from poaching that is most intense close to roads. The probability of elephant presence increased with distance to roads, whereas that of human signs declined. At all distances from roads, the probability of elephant occurrence was always higher inside, compared to outside, protected areas, whereas that of humans was always lower. Inside protected areas, forest elephant density was correlated with the size of remote forest core, but not with size of protected area. Forest elephants must be prioritised in elephant management planning at the continental scale.</t>
  </si>
  <si>
    <t>Wildlife Conservat Soc, Africa Program, Bronx, NY USA; Univ Maryland, Dept Geog, College Pk, MD 20742 USA; Worl Wildlife Fund, Yaounde, Cameroon; World Wildlife Fund Dzanga Sangha, Bangui, Cent Afr Republ; Canadian Ctr Int Studies &amp; Cooperat, Bangassou Forest Project, Bangui, Cent Afr Republ</t>
  </si>
  <si>
    <t>Wildlife Conservation Society; University System of Maryland; University of Maryland College Park</t>
  </si>
  <si>
    <t>Blake, S (corresponding author), Wildlife Conservat Soc, Africa Program, Bronx, NY USA.</t>
  </si>
  <si>
    <t>sblake@uuplus.com</t>
  </si>
  <si>
    <t>; Maisels, Fiona/E-7382-2015; Williamson, Elizabeth/N-8958-2019; Maisels, Fiona/E-7382-2015; Blake, Stephen/HPE-0562-2023</t>
  </si>
  <si>
    <t>Inogwabini, Bila-Isia/0000-0002-6897-2477; Maisels, Fiona/0000-0002-0778-0615; Maisels, Fiona/0000-0002-0778-0615; Williaon, Elizabeth/0000-0001-6848-9154;</t>
  </si>
  <si>
    <t>1544-9173</t>
  </si>
  <si>
    <t>1545-7885</t>
  </si>
  <si>
    <t>PLOS BIOL</t>
  </si>
  <si>
    <t>PLoS. Biol.</t>
  </si>
  <si>
    <t>e11</t>
  </si>
  <si>
    <t>Biochemistry &amp; Molecular Biology; Biology</t>
  </si>
  <si>
    <t>Biochemistry &amp; Molecular Biology; Life Sciences &amp; Biomedicine - Other Topics</t>
  </si>
  <si>
    <t>159XP</t>
  </si>
  <si>
    <t>Green Published, Green Submitted, gold</t>
  </si>
  <si>
    <t>WOS:000245901500025</t>
  </si>
  <si>
    <t>; Peres, Carlos/B-1276-2013; Yu, Douglas/D-2536-2009; Pacheco, Víctor/F-5882-2011; Endo, Whaldener/D-1726-2012; Peres, Carlos/B-1276-2013; Shepard, Glenn/C-3667-2014</t>
  </si>
  <si>
    <t>Endo, Whaldener/0000-0002-7305-4398; Peres, Carlos/0000-0002-1588-8765; Pacheco, Víctor/0000-0002-1005-135X; Salas Perez, Edith/0000-0002-7644-8974; Peres, Carlos/0000-0002-1588-8765; Shepard, Glenn/0000-0003-3195-8230</t>
  </si>
  <si>
    <t>Liu, Li-Yang/JYP-7462-2024; Zhao, Jianwei/HCI-6516-2022; Feng, Limin/G-9539-2014</t>
  </si>
  <si>
    <t>University of East Anglia; Empresa Brasileira de Pesquisa Agropecuaria (EMBRAPA); CGIAR; Center for International Forestry Research (CIFOR); Lancaster University</t>
  </si>
  <si>
    <t>Parry, Luke/LMN-8844-2024; Peres, Carlos/B-1276-2013; Barlow, Jos/HGE-9486-2022; Peres, Carlos/B-1276-2013</t>
  </si>
  <si>
    <t>Barlow, Jos/0000-0003-4992-2594; Peres, Carlos/0000-0002-1588-8765; Peres, Carlos/0000-0002-1588-8765; Parry, Luke/0000-0003-0330-9516</t>
  </si>
  <si>
    <t>Sork, Victoria/P-9278-2017; , Tom Smtih/JXX-5281-2024</t>
  </si>
  <si>
    <t>; Rovero, Francesco/AAI-3157-2020; Nielsen, Martin Reinhardt/E-1173-2015; Mtui, Arafat/KIG-2509-2024; Nielsen, Martin/E-1173-2015</t>
  </si>
  <si>
    <t>Rovero, Francesco/0000-0001-6688-1494; Nielsen, Martin Reinhardt/0000-0002-8941-6031;</t>
  </si>
  <si>
    <t>Peres, Carlos/0000-0002-1588-8765; Peres, Carlos/0000-0002-1588-8765</t>
  </si>
  <si>
    <t>Rowcliffe, Marcus/G-3713-2018</t>
  </si>
  <si>
    <t>Rowcliffe, Marcus/0000-0002-4286-6887; Milner-Gulland, EJ/0000-0003-0324-2710</t>
  </si>
  <si>
    <t>ESRC [ES/E010075/1] Funding Source: UKRI; Economic and Social Research Council [ES/E010075/1] Funding Source: researchfish</t>
  </si>
  <si>
    <t>ESRC(UK Research &amp; Innovation (UKRI)Economic &amp; Social Research Council (ESRC)); Economic and Social Research Council(UK Research &amp; Innovation (UKRI)Economic &amp; Social Research Council (ESRC))</t>
  </si>
  <si>
    <t>Laurance, William/B-2709-2012</t>
  </si>
  <si>
    <t>Alonso, Alfonso/0000-0001-6860-8432</t>
  </si>
  <si>
    <t>Nielsen, Martin/E-1173-2015; Nielsen, Martin Reinhardt/E-1173-2015</t>
  </si>
  <si>
    <t>; Peres, Carlos/B-1276-2013; Peres, Carlos/B-1276-2013; Dolman, Paul/AAK-3914-2020</t>
  </si>
  <si>
    <t>Urquiza-Haas, Tania/0000-0002-7065-6326; Peres, Carlos/0000-0002-1588-8765; Peres, Carlos/0000-0002-1588-8765; Dolman, Paul/0000-0002-9340-2791</t>
  </si>
  <si>
    <t>Abernethy, Katharine/0000-0002-0393-9342; Hunter, Luke/0000-0001-9653-6544; Henschel, Philipp/0009-0003-6413-8471</t>
  </si>
  <si>
    <t>BARNES, RFW; BARNES, KL; ALERS, MPT; BLOM, A</t>
  </si>
  <si>
    <t>MAN DETERMINES THE DISTRIBUTION OF ELEPHANTS IN THE RAIN-FORESTS OF NORTHEASTERN GABON</t>
  </si>
  <si>
    <t>ELEPHANTS; DROPPING COUNTS; FOREST; ROADS; VILLAGES</t>
  </si>
  <si>
    <t>LOXODONTA-AFRICANA-CYCLOTIS; NATIONAL-PARK; POPULATIONS; DROPPINGS</t>
  </si>
  <si>
    <t>Dropping counts were used to assess elephant abundance in the remote forests of northeastern Gabon where there are few people and no logging. Elephants prefer the secondary forest which grows on abandoned villages and plantations, but avoid roads and villages. Thus elephant distribution is governed by the distribution of both past and present human settlement, even in the remotest and least disturbed forests of equatorial Africa.</t>
  </si>
  <si>
    <t>FW498</t>
  </si>
  <si>
    <t>WOS:A1991FW49800007</t>
  </si>
  <si>
    <t>Instituto Gulbenkian de Ciencia; University of St Andrews; Universite Federale Toulouse Midi-Pyrenees (ComUE); Universite de Toulouse; Ecole Nationale Formation Agronomique (ENSFEA); Centre National de la Recherche Scientifique (CNRS); Universite Toulouse III - Paul Sabatier; Universite de Toulouse</t>
  </si>
  <si>
    <t>Marques, Tiago/M-3253-2019; CHIKHI, Lounes/KAL-8932-2024; Kun-Rodrigues, Celia/AAH-9450-2021; Salmona, Jordi/P-5996-2017</t>
  </si>
  <si>
    <t>Salmona, Jordi/0000-0002-1950-5805; Marques, Tiago A/0000-0002-2581-1972; Chikhi, Lounes/0000-0002-1140-0718</t>
  </si>
  <si>
    <t>OptimusAlive!Oeiras-IGC fellowship; Fundacao para a Ciencia e a Tecnologia (FCT) [SFRH/BD/64875/2009, PTDC/BIA-BEC/100176/2008, PTDC/BIA-BIC/4476/2012]; Laboratoire d'Excellence (LABEX) [ANR-10-LABX-41]; Rufford Small Grant Foundation [10941-1]; Fundação para a Ciência e a Tecnologia [PTDC/BIA-BEC/100176/2008, PTDC/BIA-BIC/4476/2012, SFRH/BD/64875/2009] Funding Source: FCT</t>
  </si>
  <si>
    <t>OptimusAlive!Oeiras-IGC fellowship; Fundacao para a Ciencia e a Tecnologia (FCT)(Fundacao para a Ciencia e a Tecnologia (FCT)); Laboratoire d'Excellence (LABEX); Rufford Small Grant Foundation; Fundação para a Ciência e a Tecnologia</t>
  </si>
  <si>
    <t>Pia, MV; Renison, D; Mangeaud, A; De Angelo, C; Haro, JG</t>
  </si>
  <si>
    <t>Pia, M. V.; Renison, D.; Mangeaud, A.; De Angelo, C.; Haro, J. G.</t>
  </si>
  <si>
    <t>Occurrence of top carnivores in relation to land protection status, human settlements and rock outcrops in the high mountains of central Argentina</t>
  </si>
  <si>
    <t>JOURNAL OF ARID ENVIRONMENTS</t>
  </si>
  <si>
    <t>Culpeo fox; Generalized linear models; Land use; Poaching; Protected area; Puma; Sign survey</t>
  </si>
  <si>
    <t>JAGUARS PANTHERA-ONCA; MAMMALIAN CARNIVORES; PSEUDALOPEX-CULPAEUS; LANDSCAPE ANALYSIS; FOREST LANDSCAPE; PUMA-CONCOLOR; HABITAT USE; LIVESTOCK; CONSERVATION; ABUNDANCE</t>
  </si>
  <si>
    <t>We evaluated puma (Puma concolor) and culpeo fox (Pseudalopex culpaeus smithersi) occurrence in relation to a national park where livestock was reduced and hunting banned, and in relation to human presence and landscape features. In the high mountains of central Argentina puma signs were about 3.5 times less frequent than culpeo signs. Puma and culpeo signs were 33 and 19 times, respectively, more abundant within than outside the park. Puma signs increased with distance to settlements within the park but no trend was detected outside the park where signs were scarce. Culpeos were abundant all throughout the park with no relation with distance to settlements while outside the park signs increased with distance from settlements. Rock outcrops had a positive effect on pumas, which used this habitat frequently, and negative effect on culpeos, whose presence decreased slightly at sites with the highest proportion of rock outcrops inside the park and sharply at sites with presence of rock outcrops outside the park. We conclude that top carnivores were positively affected by the park creation and encourage the creation of more protected areas with connectivity in the region to better assure the long-term conservation of top predators. (C) 2012 Elsevier Ltd. All rights reserved.</t>
  </si>
  <si>
    <t>[Pia, M. V.] Univ Nacl Cordoba, Fac Ciencias Exactas Fis &amp; Nat, Catedra Estadist &amp; Biometria, Natl Res Council CONICET, RA-5000 Cordoba, Argentina; [Renison, D.] UNC, FCEFyN, Ctr Ecol &amp; Recursos Nat Renovables Dr Ricardo Lut, Cordoba, Argentina; [Renison, D.] Consejo Nacl Invest Cient &amp; Tecn, Inst Invest Biol &amp; Tecnol IIByT, Cordoba, Argentina; [Mangeaud, A.] Univ Nacl Cordoba, Fac Ciencias Exactas Fis &amp; Nat, Catedra Estadist &amp; Biometria, RA-5000 Cordoba, Argentina; [Haro, J. G.] Univ Nacl Cordoba, Fac Ciencias Exactas Fis &amp; Nat, Museo Zool, RA-5000 Cordoba, Argentina</t>
  </si>
  <si>
    <t>National University of Cordoba; National University of Cordoba; Consejo Nacional de Investigaciones Cientificas y Tecnicas (CONICET); National University of Cordoba; National University of Cordoba</t>
  </si>
  <si>
    <t>Pia, MV (corresponding author), Los Pinos 47,X5153AAA San Antonio de Arredondo, Cordoba, Argentina.</t>
  </si>
  <si>
    <t>monicavpia@yahoo.com.ar; drenison@conicet.gov.ar; amangeaud@yahoo.com.ar; carlos.deangelo@conicet.gov.ar; jgharo@yahoo.com</t>
  </si>
  <si>
    <t>; RENISON, DANIEL/AAG-8927-2021; De Angelo, Carlos/JNR-6977-2023</t>
  </si>
  <si>
    <t>De Angelo, Carlos/0000-0002-7759-3321; Renison, Daniel/0000-0002-1817-6552; Mangeaud, Arnaldo Peo/0000-0002-7370-7256;</t>
  </si>
  <si>
    <t>CONICET; Rufford Foundation; Idea Wild; National Parks Administration of Argentina</t>
  </si>
  <si>
    <t>CONICET(Consejo Nacional de Investigaciones Cientificas y Tecnicas (CONICET)); Rufford Foundation; Idea Wild; National Parks Administration of Argentina</t>
  </si>
  <si>
    <t>We are very grateful to the park rangers of Condorito National Park, Carolina Esbry, Susana Dell'Ana and Cristina Pia, who assisted us in the field surveys. National Parks authorities provided permits to conduct the study. Financial support was provided by CONICET, Rufford Foundation, Idea Wild, and National Parks Administration of Argentina. We also thank anonymous reviewers for help and comments on the manuscript.</t>
  </si>
  <si>
    <t>ACADEMIC PRESS LTD- ELSEVIER SCIENCE LTD</t>
  </si>
  <si>
    <t>24-28 OVAL RD, LONDON NW1 7DX, ENGLAND</t>
  </si>
  <si>
    <t>0140-1963</t>
  </si>
  <si>
    <t>1095-922X</t>
  </si>
  <si>
    <t>J ARID ENVIRON</t>
  </si>
  <si>
    <t>J. Arid. Environ.</t>
  </si>
  <si>
    <t>Ecology; Environmental Sciences</t>
  </si>
  <si>
    <t>132GO</t>
  </si>
  <si>
    <t>WOS:000318056100005</t>
  </si>
  <si>
    <t>Wright, SJ; Zeballos, H; Domínguez, I; Gallardo, MM; Moreno, MC; Ibáñez, R</t>
  </si>
  <si>
    <t>Poachers alter mammal abundance, seed dispersal, and seed predation in a neotropical forest</t>
  </si>
  <si>
    <t>PALM ASTROCARYUM-STANDLEYANUM; PECCARIES TAYASSU-TAJACU; PROECHIMYS-SEMISPINOSUS; SPINY RATS; RECRUITMENT; PANAMA; PECARI</t>
  </si>
  <si>
    <t>We evaluated the hypothesis that poachers reduce the abundance of herbivorous mammals, and that this, in turn, alters seed dispersal seed predation, and seedling recruitment for two palms (Attalea butyraceae and Astrocaryum standleyanum) in central Panama. Using physical evidence left by poachers and interviews with forest guards, we quantified poaching intensity for eight forest sites. We quantified mammal abundance using transect counts and small-mammal traps Abundance was inversely related to poaching intensity for 9 of 11 mammal species (significantly so for 5 species), confirming the first component of the hypothesis. The outcome of interactions among seeds, mammals, and beetles also varied with Poaching intensity: Nonvolant mammals were the only seed-dispersal agents, and rodents and beetles were the only seed predators. We quantified seed fate by examining the stony, endocarps that encase the seeds of both palms. The large, durable endocarps were located easily on the forest floor and bear characteristic scars when a rodent or beetle eats the enclosed seed The proportion of seeds dispersed away from beneath fruiting conspecifics ;was inversely related to poaching intensity, ranging from 0% to 10% at protected sites where mammals were abundant and from 3% to 40% at unprotected sites where poachers were most active. The proportion of dispersed seeds destroyed by beetles was directly related to poaching intensity, ranging from 85% to 99% at protected sites and from 30% to 50% at unprotected sites. The proportion of dispersed seeds destroyed by rodents was inversely related to poaching intensity, ranging from 85% to 99% at protected sites and from 4% to 50% at at unprotected sites. Finally, seedling densities were directly related to poaching intensity. There was no single relationship between poaching intensity and the biotic interactions that determine seedling recruitment. The net effect of poaching on seedling recruitment can be determined only empirically. For these palms, seedling densities were directly, related to poaching intensity.</t>
  </si>
  <si>
    <t>Smithsonian Trop Res Inst, Balboa, Ancon, Panama; Prodefensa Naturaleza Arequipa, Miraflores, Arequipa, Peru; Inst Nacl Recursos Nat Renovables, Direccion Nacl Cuencas Hidrog, Panama City, Panama</t>
  </si>
  <si>
    <t>Smithsonian Institution; Smithsonian Tropical Research Institute</t>
  </si>
  <si>
    <t>Wright, SJ (corresponding author), Smithsonian Trop Res Inst, Unit 0948, APO, AA 34002 USA.</t>
  </si>
  <si>
    <t>Wright, S Joseph/M-3311-2013; Zeballos, Horacio/JNR-2124-2023; Wright, Stuart/M-3311-2013</t>
  </si>
  <si>
    <t>Wright, S Joseph/0000-0003-4260-5676; Ibáñez, Roberto/0000-0001-6118-5780</t>
  </si>
  <si>
    <t>285AV</t>
  </si>
  <si>
    <t>WOS:000085366700028</t>
  </si>
  <si>
    <t>Nielsen, Martin Reinhardt/E-1173-2015; Nielsen, Martin/E-1173-2015; Topp-Jørgensen, Elmer/N-6198-2019</t>
  </si>
  <si>
    <t>Nielsen, Martin Reinhardt/0000-0002-8941-6031; Topp-Jørgensen, Elmer/0000-0002-5050-9273;</t>
  </si>
  <si>
    <t>WILKIE, DS; FINN, JT</t>
  </si>
  <si>
    <t>SLASH BURN CULTIVATION AND MAMMAL ABUNDANCE IN THE ITURI FOREST, ZAIRE</t>
  </si>
  <si>
    <t>UNIV UTAH,DEPT ANTHROPOL,SALT LAKE CITY,UT 84112; UNIV MASSACHUSETTS,DEPT FORESTRY &amp; WILDLIFE,AMHERST,MA 01003</t>
  </si>
  <si>
    <t>Utah System of Higher Education; University of Utah; University of Massachusetts System; University of Massachusetts Amherst</t>
  </si>
  <si>
    <t>ASSN TROP BIOL</t>
  </si>
  <si>
    <t>ST LOUIS</t>
  </si>
  <si>
    <t>MISSOURI BOTANICAL GARDEN 2345 TOWER GROVE AVE, ST LOUIS, MO 63110</t>
  </si>
  <si>
    <t>DL161</t>
  </si>
  <si>
    <t>WOS:A1990DL16100011</t>
  </si>
  <si>
    <t>Hall, JS; White, LJT; Inogwabini, BI; Omari, I; Morland, HS; Williamson, EA; Saltonstall, K; Walsh, P; Sikubwabo, C; Bonny, D; Kiswele, KP; Vedder, A; Freeman, K</t>
  </si>
  <si>
    <t>Survey of Grauer's gorillas (Gorilla gorilla graueri) and eastern chimpanzees (Pan troglodytes schweinfurthi) in the Kahuzi-Biega National Park lowland sector and adjacent forest in eastern Democratic Republic of Congo</t>
  </si>
  <si>
    <t>Grauer's gorilla; chimpanzee; survey; conservation; Democratic Republic of Congo</t>
  </si>
  <si>
    <t>CENSUS; REGION; UGANDA; GABON</t>
  </si>
  <si>
    <t>We describe the distribution and estimate densities of Grauer's gorillas (Gorilla gorilla graueri) and eastern chimpanzees (Pan troglodytes schweinfurthi) in a 12,770-km(2) area of lowland forest between the Lowa, Luka, Lugula, and Oku rivers in eastern Democratic Republic of Congo, the site of the largest continuous population of Grauer's gorillas. The survey included a total of 480 km of transects completed within seven sampling zones in the Kahuzi-Biega National park lowland sector and adjacent Kasese regions and approximately 1100 km of footpath and forest reconnaissance. We estimate total populations of 7670 (4180-10,830) weaned gorillas within the Kahuzi-Biega lowland sector and 3350 (1420-5950) individuals in the Kasese survey areas. Within the same area, we estimate a population of 2600 (1620-4500) chimpanzees. Ape nest site densities are significantly higher within the Kahuzi-Biega lowland sector than in the more remote Kasese survey area in spite of a significantly higher encounter rate of human sign within the lowland sector of the park. Comparison of our data with information obtained by Emlen and Schaller during the first rangewide survey of Grauer's gorillas in 1959 suggests that gorilla populations have remained stable in protected areas but declined in adjacent forest. These findings underscore the key role played by national parks in protecting biological resources in spite of the recent political and economic turmoil in the region. We also show that forest reconnaissance is a reliable and cost-effective method to assess gorilla densities in remote forested areas.</t>
  </si>
  <si>
    <t>Yale Univ, Sch Forestry &amp; Environm Studies, New Haven, CT 06511 USA; Wildlife Conservat Soc, Bronx, NY 10460 USA; Inst Congolais Conservat Nat, Kinshasa, DEM REP CONGO; Univ Stirling, Dept Psychol, Stirling FK9 4LA, Scotland; Amer Museum Nat Hist, Dept Entomol, New York, NY 10024 USA; Ctr Rech Sci Nat, Dept Biol, Lab Mammal, Lwiro, DEM REP CONGO</t>
  </si>
  <si>
    <t>Yale University; Wildlife Conservation Society; University of Stirling; American Museum of Natural History (AMNH)</t>
  </si>
  <si>
    <t>jefferson.hall@yale.edu</t>
  </si>
  <si>
    <t>ZH745</t>
  </si>
  <si>
    <t>WOS:000073143400002</t>
  </si>
  <si>
    <t>; Rovero, Francesco/AAI-3157-2020</t>
  </si>
  <si>
    <t>Rovero, Francesco/0000-0001-6688-1494;</t>
  </si>
  <si>
    <t>Reyna-Hurtado, Rafael/M-7204-2019; Reyna-Hurtado, Rafael/B-6223-2015</t>
  </si>
  <si>
    <t>Nielsen, Martin Reinhardt/E-1173-2015; Ciolli, Marco/D-8613-2014; Martin, Emanuel/ABD-1876-2020; Nielsen, Martin/E-1173-2015; Rovero, Francesco/AAI-3157-2020</t>
  </si>
  <si>
    <t>Nielsen, Martin Reinhardt/0000-0002-8941-6031; Ciolli, Marco/0000-0001-8370-9039; Rovero, Francesco/0000-0001-6688-1494; Martin, Emanuel/0000-0003-1801-5131;</t>
  </si>
  <si>
    <t>; Poulsen, John/O-5332-2019; Koerner, Sally/I-1701-2019</t>
  </si>
  <si>
    <t>Koerner, Sally/0000-0001-6403-7513; Poulsen, John/0000-0002-1532-9808;</t>
  </si>
  <si>
    <t>Returns 60 records from WOS</t>
  </si>
  <si>
    <t>Returns 52 records in curated labels</t>
  </si>
  <si>
    <t>DO = (
"10.1046/j.1523-1739.2003.01413.x" OR
10.15517/rbt.v56i3.5727 OR
10.1371/journal.pbio.0050111 OR
10.1111/j.1365-2028.2007.00881.x OR
10.1023/A:1020305903156 OR
10.1016/j.biocon.2009.02.032 OR
10.1371/journal.pone.0010294 OR
10.1016/j.biocon.2005.06.024 OR
10.22386/ca.v4i2.78 OR
10.1111/j.1469-1795.2011.00437.x OR
10.1111/j.1365-2028.1991.tb00820.x OR
10.1017/S0030605300030106 OR
10.1111/acv.12012 OR
10.1111/j.0141-6707.2004.00441.x OR
10.1017/S0030605305001080 OR
10.1016/S0006-3207(01)00182-3 OR
10.1046/j.1523-1739.2000.99103.x OR
10.1016/S0006-3207(98)00130-X OR
10.2981/wlb.00095 OR
10.1098/rspb.2013.0246 OR
10.1098/rspb.2013.0246 OR
10.1111/j.1600-0587.2013.00359.x OR
10.2307/2388054 OR
10.1111/j.1744-7429.2009.00546.x OR
10.1111/j.1365-2028.1991.tb01000.x OR
10.1017/S0266467400005022 OR
10.1111/j.1365-2028.1997.088-89088.x OR
10.1023/A:1020375430965 OR
10.3957/056.039.0108 OR
10.1017/S0030605315000836 OR
10.1111/j.1365-2028.2010.01239.x OR
10.1046/j.1523-1739.1997.96048.x OR
10.1016/S0006-3207(03)00167-8 OR
10.14989/68121 OR
10.1111/1365-2664.12798 OR
10.1177/194008291400700209 OR
10.1007/s10764-008-9254-9 OR
10.1002/ajp.22243 OR
10.1017/S0266467498000443 OR
10.1111/j.1523-1739.2006.00420.x OR
10.1007/BF03195197 OR
10.1111/j.1365-2028.2006.00629.x OR
10.1007/s10531-008-9481-6 OR
10.1007/s10764-005-0011-z OR
10.1016/j.biocon.2005.11.025 OR
10.2307/1370441 OR
10.1046/j.1523-1739.1999.013002385.x OR
10.1016/j.biocon.2005.10.017 OR
10.1111/j.1523-1739.2009.01224.x OR
10.1007/s10531-005-5406-9 OR
10.1016/0006-3207(90)90041-M OR
10.1016/0006-3207(96)00010-9 OR
10.1890/10-1083.1 OR
10.1017/S0030605300030908 OR
10.1111/j.1365-2028.2010.01229.x OR
10.1896/044.020.0105 OR
10.1016/j.biocon.2011.09.017 OR
10.1111/j.1469-1795.2012.00592.x OR
10.1007/s10531-004-8412-4 OR
10.1017/S0030605305000384 OR
10.1177/194008290900200108 OR
10.1111/j.1469-1795.2010.00426.x OR
10.1007/s10531-007-9300-5 OR
10.1111/j.1744-7429.2007.00275.x OR
10.1046/j.1523-1739.2000.98333.x OR
10.1016/j.biocon.2010.10.023 OR
10.1016/j.biocon.2008.03.020 OR
10.1111/j.1744-7429.2007.00276.x OR
10.1016/j.jaridenv.2012.11.004 OR
10.1007/s10531-005-6198-7 OR
10.2307/2388723 OR
10.1016/S0006-3207(00)00011-2 OR
10.1111/j.1469-7998.2011.00826.x
)
OR 
TS = (
"Habitat preferences and activity patterns of the larger mammal community in Phnom Prich Wildlife Sanctuary" OR
"Differential effects of hunting on populations of hornbills and imperial pigeons in the rainforests of the Eastern Indian Himalaya" OR
"Effects of habitat disturbance and hunting on the density and the biomass of the endemic Hose’s leaf monkey Presbytis hosei" OR 
"Raptor community structure of a primary rain forest in French Guiana and effect of human hunting pressure" OR
"The sustainability of duiker (Cephalophus spp.) hunting for the Baka hunter gatherers in southeastern Cameroon" OR
"Ecological consequences of hunting in Atlantic forest patches, Saƒ o Paulo, Brazil"
)</t>
  </si>
  <si>
    <t>DT=(Article)</t>
  </si>
  <si>
    <t>AND WC=(</t>
  </si>
  <si>
    <t>Biodiversity Conservation OR</t>
  </si>
  <si>
    <t>Ecology OR</t>
  </si>
  <si>
    <t>Environmental Sciences OR</t>
  </si>
  <si>
    <t>Environmental Studies OR</t>
  </si>
  <si>
    <t>Marine &amp; Freshwater Biology OR</t>
  </si>
  <si>
    <t>Fisheries OR</t>
  </si>
  <si>
    <t>Oceanography OR</t>
  </si>
  <si>
    <t>Forestry OR</t>
  </si>
  <si>
    <t>Water Resources OR</t>
  </si>
  <si>
    <t>Agronomy OR</t>
  </si>
  <si>
    <t>Geosciences, Multidisciplinary OR</t>
  </si>
  <si>
    <t>Meteorology &amp; Atmospheric Sciences OR</t>
  </si>
  <si>
    <t>Plant Sciences OR</t>
  </si>
  <si>
    <t>Zoology OR</t>
  </si>
  <si>
    <t>Remote Sensing OR</t>
  </si>
  <si>
    <t>)</t>
  </si>
  <si>
    <t>AND TS=(</t>
  </si>
  <si>
    <t>(</t>
  </si>
  <si>
    <t>loss* NEAR/3 (habitat* OR biodiversit* OR species OR population*</t>
  </si>
  <si>
    <t>OR "ecosystem service*" OR ecosystem* OR forest* OR coral*</t>
  </si>
  <si>
    <t>OR mangrove* OR reef* OR wetland* OR bird* OR mammal* OR plant*)</t>
  </si>
  <si>
    <t>OR</t>
  </si>
  <si>
    <t>change* OR reference*   OR indicator* OR impact* OR effect*  OR pressure* OR trend* OR response* OR status  OR pattern* OR assessment* OR monitor*  OR risk* OR driver*</t>
  </si>
  <si>
    <t>AND</t>
  </si>
  <si>
    <t>(“land use chang*” OR “land cover chang*” OR “land* system* chang*” OR “land*</t>
  </si>
  <si>
    <t>chang*” OR “land* degradation” OR “land* conversion” OR “land management”) OR</t>
  </si>
  <si>
    <t>((marine OR ocean OR sea*) AND use AND change*) OR (“habitat loss*” OR “habitat</t>
  </si>
  <si>
    <t>degradation*” OR “habitat chang*” OR “habitat conversion” OR “habitat modification*” OR</t>
  </si>
  <si>
    <t>“habitat fragmentation” OR “habitat management”) OR (biofuel* OR biogas*) OR</t>
  </si>
  <si>
    <t>((residential OR urban* OR cities OR housing OR commercial OR industrial OR touris* OR</t>
  </si>
  <si>
    <t>recreation*) AND (extent OR area OR cover* OR proportion* OR percentage*) AND</t>
  </si>
  <si>
    <t>(develop* OR expan* OR increas*)) OR (deforestation OR afforestation OR “wood</t>
  </si>
  <si>
    <t>plantation*” OR “forest* plantation*” OR “pulp* plantation*”) OR ((aquaculture* OR</t>
  </si>
  <si>
    <t>agricultur* OR crop* OR “cultivated area*” OR farmland OR pasture) AND (develop* OR</t>
  </si>
  <si>
    <t>expan* OR increas* OR intensification OR extensification OR abandon* OR chang*)) OR</t>
  </si>
  <si>
    <t>(livestock AND (farm* OR ranch* OR graz* OR densit*)) OR (energy AND (drill* OR min*</t>
  </si>
  <si>
    <t>OR quarry*)) OR (((transport* OR service) AND (network* OR corridor* OR</t>
  </si>
  <si>
    <t>infrastructure*)) OR road* OR rail* OR “ship* lane*” OR “flight path*”) OR (“system*</t>
  </si>
  <si>
    <t>modification*” OR (dams OR (water AND (management OR use))))</t>
  </si>
  <si>
    <t>((((natur* AND resource*) OR material* OR (biomass OR “fossil fuel*” OR ore* OR</t>
  </si>
  <si>
    <t>mineral*)) OR ((biological AND resource*) OR wildlife OR animal* OR plant* OR</t>
  </si>
  <si>
    <t>population*) OR water) AND ((overextraction OR overexploitation) OR (extraction OR</t>
  </si>
  <si>
    <t>exploitation OR withdraw*) OR depletion OR (hunting OR collect* OR gather* OR poaching</t>
  </si>
  <si>
    <t>OR “bush meat*”))) OR ((forest* OR wood OR timber*) AND (harvest* OR logging*)) OR</t>
  </si>
  <si>
    <t>(soil* AND (erosion OR acidification OR degradation)) OR (fisher* OR fishing OR (bycatch</t>
  </si>
  <si>
    <t>OR by-catch))</t>
  </si>
  <si>
    <t>“climat* change” OR “chang* climat*” OR (“increase* temperature*” OR “thermal</t>
  </si>
  <si>
    <t>alteration” OR “global warming”) OR (chang* AND precipitation*) OR ((extreme OR</t>
  </si>
  <si>
    <t>severe) AND (weather OR temperature OR precipitation OR climat*)) OR heatwave* OR</t>
  </si>
  <si>
    <t>drought* OR storm* OR flood* OR (UV OR ultraviolet) OR “sea level rise” OR “soil</t>
  </si>
  <si>
    <t>salinization” OR (“habitat shift*” AND climate) OR (“habitat alteration” AND climate) OR</t>
  </si>
  <si>
    <t>((consumptive OR human OR agricultural) AND “water stress”)</t>
  </si>
  <si>
    <t>(pollut* OR contamin* OR emission* OR spill-over* OR disposal* OR deposition* OR</t>
  </si>
  <si>
    <t>load* OR dump* OR discharge*) OR ((noise OR light OR gas* OR particle* OR particulate*</t>
  </si>
  <si>
    <t>OR nitrogen OR sulphur* OR phosphor* OR waste* OR garbage OR sewage OR pesticide*</t>
  </si>
  <si>
    <t>OR fertilizer* OR nutrient* OR “oil spill*” OR metal OR salinization OR salinisation OR</t>
  </si>
  <si>
    <t>acidification OR solid OR plastic OR mercury OR nutrient* OR pollutant*) AND (soil OR</t>
  </si>
  <si>
    <t>water OR ocean OR marine OR atmosphere OR air)) OR ((industrial OR military OR</t>
  </si>
  <si>
    <t>agricultur* OR forest*) AND effluent*)</t>
  </si>
  <si>
    <t>((invasive OR invasion) AND (alien OR exotic OR non-native OR pest* OR disease) AND</t>
  </si>
  <si>
    <t>species) OR “biological invasion*” OR (introduc* AND (species OR material))</t>
  </si>
  <si>
    <t>AND (</t>
  </si>
  <si>
    <t>DO = (</t>
  </si>
  <si>
    <t>10.1046/j.1523-1739.2003.01413.x OR</t>
  </si>
  <si>
    <t>10.15517/rbt.v56i3.5727 OR</t>
  </si>
  <si>
    <t>10.1371/journal.pbio.0050111 OR</t>
  </si>
  <si>
    <t>10.1111/j.1365-2028.2007.00881.x OR</t>
  </si>
  <si>
    <t>10.1023/A:1020305903156 OR</t>
  </si>
  <si>
    <t>10.1016/j.biocon.2009.02.032 OR</t>
  </si>
  <si>
    <t>10.1371/journal.pone.0010294 OR</t>
  </si>
  <si>
    <t>10.1016/j.biocon.2005.06.024 OR</t>
  </si>
  <si>
    <t>10.22386/ca.v4i2.78 OR</t>
  </si>
  <si>
    <t>10.1111/j.1469-1795.2011.00437.x OR</t>
  </si>
  <si>
    <t>10.1111/j.1365-2028.1991.tb00820.x OR</t>
  </si>
  <si>
    <t>10.1017/S0030605300030106 OR</t>
  </si>
  <si>
    <t>10.1111/acv.12012 OR</t>
  </si>
  <si>
    <t>10.1111/j.0141-6707.2004.00441.x OR</t>
  </si>
  <si>
    <t>10.1017/S0030605305001080 OR</t>
  </si>
  <si>
    <t>10.1016/S0006-3207(01)00182-3 OR</t>
  </si>
  <si>
    <t>10.1046/j.1523-1739.2000.99103.x OR</t>
  </si>
  <si>
    <t>10.1016/S0006-3207(98)00130-X OR</t>
  </si>
  <si>
    <t>10.2981/wlb.00095 OR</t>
  </si>
  <si>
    <t>10.1098/rspb.2013.0246 OR</t>
  </si>
  <si>
    <t>10.1111/j.1600-0587.2013.00359.x OR</t>
  </si>
  <si>
    <t>10.2307/2388054 OR</t>
  </si>
  <si>
    <t>10.1111/j.1744-7429.2009.00546.x OR</t>
  </si>
  <si>
    <t>10.1111/j.1365-2028.1991.tb01000.x OR</t>
  </si>
  <si>
    <t>10.1017/S0266467400005022 OR</t>
  </si>
  <si>
    <t>10.1111/j.1365-2028.1997.088-89088.x OR</t>
  </si>
  <si>
    <t>10.1023/A:1020375430965 OR</t>
  </si>
  <si>
    <t>10.3957/056.039.0108 OR</t>
  </si>
  <si>
    <t>10.1017/S0030605315000836 OR</t>
  </si>
  <si>
    <t>10.1111/j.1365-2028.2010.01239.x OR</t>
  </si>
  <si>
    <t>10.1046/j.1523-1739.1997.96048.x OR</t>
  </si>
  <si>
    <t>10.1016/S0006-3207(03)00167-8 OR</t>
  </si>
  <si>
    <t>10.14989/68121 OR</t>
  </si>
  <si>
    <t>10.1111/1365-2664.12798 OR</t>
  </si>
  <si>
    <t>10.1177/194008291400700209 OR</t>
  </si>
  <si>
    <t>10.1007/s10764-008-9254-9 OR</t>
  </si>
  <si>
    <t>10.1002/ajp.22243 OR</t>
  </si>
  <si>
    <t>10.1017/S0266467498000443 OR</t>
  </si>
  <si>
    <t>10.1111/j.1523-1739.2006.00420.x OR</t>
  </si>
  <si>
    <t>10.1007/BF03195197 OR</t>
  </si>
  <si>
    <t>10.1111/j.1365-2028.2006.00629.x OR</t>
  </si>
  <si>
    <t>10.1007/s10531-008-9481-6 OR</t>
  </si>
  <si>
    <t>10.1007/s10764-005-0011-z OR</t>
  </si>
  <si>
    <t>10.1016/j.biocon.2005.11.025 OR</t>
  </si>
  <si>
    <t>10.2307/1370441 OR</t>
  </si>
  <si>
    <t>10.1046/j.1523-1739.1999.013002385.x OR</t>
  </si>
  <si>
    <t>10.1016/j.biocon.2005.10.017 OR</t>
  </si>
  <si>
    <t>10.1111/j.1523-1739.2009.01224.x OR</t>
  </si>
  <si>
    <t>10.1007/s10531-005-5406-9 OR</t>
  </si>
  <si>
    <t>10.1016/0006-3207(90)90041-M OR</t>
  </si>
  <si>
    <t>10.1016/0006-3207(96)00010-9 OR</t>
  </si>
  <si>
    <t>10.1890/10-1083.1 OR</t>
  </si>
  <si>
    <t>10.1017/S0030605300030908 OR</t>
  </si>
  <si>
    <t>10.1111/j.1365-2028.2010.01229.x OR</t>
  </si>
  <si>
    <t>10.1896/044.020.0105 OR</t>
  </si>
  <si>
    <t>10.1016/j.biocon.2011.09.017 OR</t>
  </si>
  <si>
    <t>10.1111/j.1469-1795.2012.00592.x OR</t>
  </si>
  <si>
    <t>10.1007/s10531-004-8412-4 OR</t>
  </si>
  <si>
    <t>10.1017/S0030605305000384 OR</t>
  </si>
  <si>
    <t>10.1177/194008290900200108 OR</t>
  </si>
  <si>
    <t>10.1111/j.1469-1795.2010.00426.x OR</t>
  </si>
  <si>
    <t>10.1007/s10531-007-9300-5 OR</t>
  </si>
  <si>
    <t>10.1111/j.1744-7429.2007.00275.x OR</t>
  </si>
  <si>
    <t>10.1046/j.1523-1739.2000.98333.x OR</t>
  </si>
  <si>
    <t>10.1016/j.biocon.2010.10.023 OR</t>
  </si>
  <si>
    <t>10.1016/j.biocon.2008.03.020 OR</t>
  </si>
  <si>
    <t>10.1111/j.1744-7429.2007.00276.x OR</t>
  </si>
  <si>
    <t>10.1016/j.jaridenv.2012.11.004 OR</t>
  </si>
  <si>
    <t>10.1007/s10531-005-6198-7 OR</t>
  </si>
  <si>
    <t>10.2307/2388723 OR</t>
  </si>
  <si>
    <t>10.1016/S0006-3207(00)00011-2 OR</t>
  </si>
  <si>
    <t>TS = (</t>
  </si>
  <si>
    <t>Habitat preferences and activity patterns of the larger mammal community in Phnom Prich Wildlife Sanctuary OR</t>
  </si>
  <si>
    <t>Differential effects of hunting on populations of hornbills and imperial pigeons in the rainforests of the Eastern Indian Himalaya OR</t>
  </si>
  <si>
    <t>Effects of habitat disturbance and hunting on the density and the biomass of the endemic Hose’s leaf monkey Presbytis hosei OR</t>
  </si>
  <si>
    <t>Raptor community structure of a primary rain forest in French Guiana and effect of human hunting pressure OR</t>
  </si>
  <si>
    <t>The sustainability of duiker (Cephalophus spp.) hunting for the Baka hunter gatherers in southeastern Cameroon 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</si>
</sst>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0.000000"/>
    <numFmt numFmtId="166" formatCode="0.0"/>
    <numFmt numFmtId="167" formatCode="0.00000000000"/>
  </numFmts>
  <fonts count="17">
    <font>
      <sz val="10.0"/>
      <color rgb="FF000000"/>
      <name val="Arial"/>
      <scheme val="minor"/>
    </font>
    <font>
      <u/>
      <color rgb="FF0000FF"/>
      <name val="Arial"/>
    </font>
    <font>
      <color theme="1"/>
      <name val="Arial"/>
    </font>
    <font>
      <color theme="1"/>
      <name val="Arial"/>
      <scheme val="minor"/>
    </font>
    <font>
      <b/>
      <color theme="1"/>
      <name val="Arial"/>
    </font>
    <font>
      <u/>
      <color rgb="FF0000FF"/>
    </font>
    <font>
      <b/>
      <sz val="8.0"/>
      <color theme="1"/>
      <name val="Calibri"/>
    </font>
    <font>
      <sz val="8.0"/>
      <color theme="1"/>
      <name val="Calibri"/>
    </font>
    <font>
      <i/>
      <sz val="8.0"/>
      <color theme="1"/>
      <name val="Calibri"/>
    </font>
    <font>
      <sz val="8.0"/>
      <color rgb="FF000000"/>
      <name val="Arial"/>
    </font>
    <font>
      <sz val="8.0"/>
      <color rgb="FF000000"/>
      <name val="Calibri"/>
    </font>
    <font>
      <i/>
      <sz val="8.0"/>
      <color rgb="FF000000"/>
      <name val="Calibri"/>
    </font>
    <font>
      <b/>
      <sz val="8.0"/>
      <color rgb="FF000000"/>
      <name val="Calibri"/>
    </font>
    <font>
      <u/>
      <color rgb="FF0000FF"/>
    </font>
    <font>
      <b/>
      <sz val="11.0"/>
      <color theme="1"/>
      <name val="Calibri"/>
    </font>
    <font>
      <sz val="11.0"/>
      <color rgb="FF000000"/>
      <name val="Calibri"/>
    </font>
    <font>
      <u/>
      <color rgb="FF0000FF"/>
    </font>
  </fonts>
  <fills count="5">
    <fill>
      <patternFill patternType="none"/>
    </fill>
    <fill>
      <patternFill patternType="lightGray"/>
    </fill>
    <fill>
      <patternFill patternType="solid">
        <fgColor rgb="FFFFF2CC"/>
        <bgColor rgb="FFFFF2CC"/>
      </patternFill>
    </fill>
    <fill>
      <patternFill patternType="solid">
        <fgColor rgb="FFF4CCCC"/>
        <bgColor rgb="FFF4CCCC"/>
      </patternFill>
    </fill>
    <fill>
      <patternFill patternType="solid">
        <fgColor rgb="FFFCE5CD"/>
        <bgColor rgb="FFFCE5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shrinkToFit="0" wrapText="1"/>
    </xf>
    <xf borderId="0" fillId="0" fontId="3" numFmtId="0" xfId="0" applyAlignment="1" applyFont="1">
      <alignment readingOrder="0"/>
    </xf>
    <xf borderId="1" fillId="0" fontId="3" numFmtId="0" xfId="0" applyAlignment="1" applyBorder="1" applyFont="1">
      <alignment readingOrder="0"/>
    </xf>
    <xf borderId="1" fillId="0" fontId="2" numFmtId="0" xfId="0" applyAlignment="1" applyBorder="1" applyFont="1">
      <alignment readingOrder="0" shrinkToFit="0" wrapText="1"/>
    </xf>
    <xf borderId="1" fillId="0" fontId="2" numFmtId="0" xfId="0" applyAlignment="1" applyBorder="1" applyFont="1">
      <alignment shrinkToFit="0" wrapText="1"/>
    </xf>
    <xf borderId="0" fillId="0" fontId="2" numFmtId="0" xfId="0" applyAlignment="1" applyFont="1">
      <alignment readingOrder="0" shrinkToFit="0" wrapText="1"/>
    </xf>
    <xf borderId="0" fillId="0" fontId="4" numFmtId="0" xfId="0" applyAlignment="1" applyFont="1">
      <alignment horizontal="center"/>
    </xf>
    <xf borderId="0" fillId="2" fontId="4" numFmtId="0" xfId="0" applyAlignment="1" applyFill="1" applyFont="1">
      <alignment horizontal="center"/>
    </xf>
    <xf borderId="0" fillId="3" fontId="4" numFmtId="1" xfId="0" applyAlignment="1" applyFill="1" applyFont="1" applyNumberFormat="1">
      <alignment horizontal="center"/>
    </xf>
    <xf borderId="0" fillId="3" fontId="2" numFmtId="1" xfId="0" applyAlignment="1" applyFont="1" applyNumberFormat="1">
      <alignment horizontal="center"/>
    </xf>
    <xf borderId="0" fillId="3" fontId="4" numFmtId="0" xfId="0" applyAlignment="1" applyFont="1">
      <alignment horizontal="center"/>
    </xf>
    <xf borderId="0" fillId="0" fontId="2" numFmtId="0" xfId="0" applyFont="1"/>
    <xf borderId="0" fillId="0" fontId="2" numFmtId="0" xfId="0" applyAlignment="1" applyFont="1">
      <alignment horizontal="left"/>
    </xf>
    <xf borderId="0" fillId="0" fontId="5" numFmtId="0" xfId="0" applyFont="1"/>
    <xf borderId="0" fillId="0" fontId="2" numFmtId="1" xfId="0" applyFont="1" applyNumberFormat="1"/>
    <xf borderId="0" fillId="3" fontId="2" numFmtId="0" xfId="0" applyFont="1"/>
    <xf borderId="0" fillId="0" fontId="2" numFmtId="3" xfId="0" applyAlignment="1" applyFont="1" applyNumberFormat="1">
      <alignment horizontal="left"/>
    </xf>
    <xf borderId="0" fillId="0" fontId="6" numFmtId="1" xfId="0" applyFont="1" applyNumberFormat="1"/>
    <xf borderId="0" fillId="4" fontId="7" numFmtId="1" xfId="0" applyFill="1" applyFont="1" applyNumberFormat="1"/>
    <xf borderId="0" fillId="4" fontId="6" numFmtId="1" xfId="0" applyFont="1" applyNumberFormat="1"/>
    <xf borderId="0" fillId="0" fontId="6" numFmtId="2" xfId="0" applyFont="1" applyNumberFormat="1"/>
    <xf borderId="0" fillId="4" fontId="6" numFmtId="1" xfId="0" applyAlignment="1" applyFont="1" applyNumberFormat="1">
      <alignment horizontal="left"/>
    </xf>
    <xf borderId="0" fillId="0" fontId="6" numFmtId="164" xfId="0" applyAlignment="1" applyFont="1" applyNumberFormat="1">
      <alignment horizontal="right"/>
    </xf>
    <xf borderId="0" fillId="4" fontId="6" numFmtId="0" xfId="0" applyAlignment="1" applyFont="1">
      <alignment horizontal="right"/>
    </xf>
    <xf borderId="0" fillId="0" fontId="6" numFmtId="164" xfId="0" applyFont="1" applyNumberFormat="1"/>
    <xf borderId="0" fillId="0" fontId="6" numFmtId="165" xfId="0" applyFont="1" applyNumberFormat="1"/>
    <xf borderId="0" fillId="0" fontId="6" numFmtId="166" xfId="0" applyFont="1" applyNumberFormat="1"/>
    <xf borderId="0" fillId="0" fontId="7" numFmtId="1" xfId="0" applyFont="1" applyNumberFormat="1"/>
    <xf borderId="0" fillId="0" fontId="8" numFmtId="1" xfId="0" applyFont="1" applyNumberFormat="1"/>
    <xf borderId="0" fillId="0" fontId="7" numFmtId="2" xfId="0" applyFont="1" applyNumberFormat="1"/>
    <xf borderId="0" fillId="0" fontId="7" numFmtId="1" xfId="0" applyAlignment="1" applyFont="1" applyNumberFormat="1">
      <alignment horizontal="left"/>
    </xf>
    <xf borderId="0" fillId="0" fontId="7" numFmtId="164" xfId="0" applyAlignment="1" applyFont="1" applyNumberFormat="1">
      <alignment horizontal="right"/>
    </xf>
    <xf borderId="0" fillId="0" fontId="7" numFmtId="0" xfId="0" applyAlignment="1" applyFont="1">
      <alignment horizontal="right"/>
    </xf>
    <xf borderId="0" fillId="0" fontId="7" numFmtId="0" xfId="0" applyFont="1"/>
    <xf borderId="0" fillId="0" fontId="7" numFmtId="164" xfId="0" applyFont="1" applyNumberFormat="1"/>
    <xf borderId="0" fillId="0" fontId="7" numFmtId="165" xfId="0" applyFont="1" applyNumberFormat="1"/>
    <xf borderId="0" fillId="0" fontId="7" numFmtId="166" xfId="0" applyFont="1" applyNumberFormat="1"/>
    <xf borderId="0" fillId="0" fontId="8" numFmtId="0" xfId="0" applyFont="1"/>
    <xf borderId="0" fillId="0" fontId="9" numFmtId="0" xfId="0" applyFont="1"/>
    <xf borderId="0" fillId="0" fontId="10" numFmtId="0" xfId="0" applyAlignment="1" applyFont="1">
      <alignment horizontal="left" shrinkToFit="0" vertical="top" wrapText="1"/>
    </xf>
    <xf borderId="0" fillId="0" fontId="10" numFmtId="0" xfId="0" applyFont="1"/>
    <xf borderId="0" fillId="0" fontId="10" numFmtId="0" xfId="0" applyAlignment="1" applyFont="1">
      <alignment vertical="center"/>
    </xf>
    <xf borderId="0" fillId="0" fontId="7" numFmtId="167" xfId="0" applyFont="1" applyNumberFormat="1"/>
    <xf borderId="0" fillId="0" fontId="11" numFmtId="0" xfId="0" applyAlignment="1" applyFont="1">
      <alignment vertical="center"/>
    </xf>
    <xf borderId="0" fillId="0" fontId="10" numFmtId="164" xfId="0" applyAlignment="1" applyFont="1" applyNumberFormat="1">
      <alignment vertical="center"/>
    </xf>
    <xf borderId="0" fillId="0" fontId="12" numFmtId="164" xfId="0" applyAlignment="1" applyFont="1" applyNumberFormat="1">
      <alignment vertical="center"/>
    </xf>
    <xf borderId="0" fillId="0" fontId="7" numFmtId="0" xfId="0" applyAlignment="1" applyFont="1">
      <alignment horizontal="left"/>
    </xf>
    <xf borderId="0" fillId="0" fontId="8" numFmtId="2" xfId="0" applyFont="1" applyNumberFormat="1"/>
    <xf borderId="0" fillId="0" fontId="8" numFmtId="0" xfId="0" applyAlignment="1" applyFont="1">
      <alignment shrinkToFit="0" wrapText="1"/>
    </xf>
    <xf borderId="0" fillId="0" fontId="10" numFmtId="2" xfId="0" applyAlignment="1" applyFont="1" applyNumberFormat="1">
      <alignment vertical="center"/>
    </xf>
    <xf borderId="0" fillId="0" fontId="2" numFmtId="0" xfId="0" applyAlignment="1" applyFont="1">
      <alignment readingOrder="0"/>
    </xf>
    <xf borderId="0" fillId="0" fontId="13" numFmtId="0" xfId="0" applyAlignment="1" applyFont="1">
      <alignment readingOrder="0"/>
    </xf>
    <xf borderId="0" fillId="0" fontId="4" numFmtId="0" xfId="0" applyFont="1"/>
    <xf borderId="1" fillId="0" fontId="14" numFmtId="0" xfId="0" applyAlignment="1" applyBorder="1" applyFont="1">
      <alignment horizontal="center" readingOrder="0" shrinkToFit="0" vertical="top" wrapText="0"/>
    </xf>
    <xf borderId="0" fillId="0" fontId="15" numFmtId="0" xfId="0" applyAlignment="1" applyFont="1">
      <alignment readingOrder="0" shrinkToFit="0" vertical="bottom" wrapText="0"/>
    </xf>
    <xf borderId="0" fillId="0" fontId="15" numFmtId="0" xfId="0" applyAlignment="1" applyFont="1">
      <alignment shrinkToFit="0" vertical="bottom" wrapText="0"/>
    </xf>
    <xf borderId="0" fillId="0" fontId="3" numFmtId="0" xfId="0" applyFont="1"/>
    <xf borderId="0" fillId="4" fontId="2" numFmtId="0" xfId="0" applyFont="1"/>
    <xf borderId="0" fillId="3" fontId="2" numFmtId="1" xfId="0" applyAlignment="1" applyFont="1" applyNumberFormat="1">
      <alignment readingOrder="0"/>
    </xf>
    <xf borderId="0" fillId="3" fontId="2" numFmtId="1" xfId="0" applyFont="1" applyNumberFormat="1"/>
    <xf borderId="0" fillId="4" fontId="2" numFmtId="0" xfId="0" applyAlignment="1" applyFont="1">
      <alignment readingOrder="0"/>
    </xf>
    <xf borderId="0" fillId="3" fontId="3" numFmtId="0" xfId="0" applyAlignment="1" applyFont="1">
      <alignment readingOrder="0"/>
    </xf>
    <xf borderId="0" fillId="0" fontId="3" numFmtId="1" xfId="0" applyFont="1" applyNumberFormat="1"/>
    <xf borderId="0" fillId="0" fontId="16" numFmtId="0" xfId="0" applyFont="1"/>
    <xf borderId="0" fillId="0" fontId="3" numFmtId="1" xfId="0" applyAlignment="1" applyFont="1" applyNumberFormat="1">
      <alignment readingOrder="0"/>
    </xf>
    <xf borderId="0" fillId="0" fontId="2" numFmtId="0" xfId="0" applyAlignment="1" applyFont="1">
      <alignment readingOrder="0"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Hunain" id="{51cc2d4f-b62c-4a25-ac7a-1ba5f22c7ec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 dT="2025-12-25T01:50:30.00" personId="{51cc2d4f-b62c-4a25-ac7a-1ba5f22c7ec4}" id="{0c77547b-361c-4a8d-a34c-755190b95a6d}" done="0">
    <x18tc:text xml:space="preserve">Lookup from Enriched 1. Null DOI implies that the record isn't part of enriched i.e. excluded from raw data.
The data as here is created using Raw data by grouping References for the Taxa items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 dT="2026-04-05T16:50:25.00" personId="{51cc2d4f-b62c-4a25-ac7a-1ba5f22c7ec4}" id="{2c573dd4-52da-4bee-9de1-1b9cea19e3f0}" done="0">
    <x18tc:text xml:space="preserve">2 records from curated not included here b/c they're have relevant labels to the map</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hyperlink" Target="https://www.science.org/doi/10.1126/science.aaj1891"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dx.doi.org/10.1111/j.1523-1739.2006.00420.x" TargetMode="External"/><Relationship Id="rId42" Type="http://schemas.openxmlformats.org/officeDocument/2006/relationships/hyperlink" Target="http://dx.doi.org/10.1111/j.1365-2028.2006.00629.x" TargetMode="External"/><Relationship Id="rId41" Type="http://schemas.openxmlformats.org/officeDocument/2006/relationships/hyperlink" Target="http://dx.doi.org/10.1007/BF03195197" TargetMode="External"/><Relationship Id="rId44" Type="http://schemas.openxmlformats.org/officeDocument/2006/relationships/hyperlink" Target="http://dx.doi.org/10.1007/s10764-005-0011-z" TargetMode="External"/><Relationship Id="rId43" Type="http://schemas.openxmlformats.org/officeDocument/2006/relationships/hyperlink" Target="http://dx.doi.org/10.1007/s10531-008-9481-6" TargetMode="External"/><Relationship Id="rId46" Type="http://schemas.openxmlformats.org/officeDocument/2006/relationships/hyperlink" Target="http://dx.doi.org/10.2307/1370441" TargetMode="External"/><Relationship Id="rId45" Type="http://schemas.openxmlformats.org/officeDocument/2006/relationships/hyperlink" Target="http://dx.doi.org/10.1016/j.biocon.2005.11.025" TargetMode="External"/><Relationship Id="rId1" Type="http://schemas.openxmlformats.org/officeDocument/2006/relationships/hyperlink" Target="http://dx.doi.org/10.1046/j.1523-1739.2003.01413.x" TargetMode="External"/><Relationship Id="rId2" Type="http://schemas.openxmlformats.org/officeDocument/2006/relationships/hyperlink" Target="https://doi.org/10.15517/rbt.v56i3.5727" TargetMode="External"/><Relationship Id="rId3" Type="http://schemas.openxmlformats.org/officeDocument/2006/relationships/hyperlink" Target="http://dx.doi.org/10.1371/journal.pbio.0050111" TargetMode="External"/><Relationship Id="rId4" Type="http://schemas.openxmlformats.org/officeDocument/2006/relationships/hyperlink" Target="http://dx.doi.org/10.1111/j.1365-2028.2007.00881.x" TargetMode="External"/><Relationship Id="rId9" Type="http://schemas.openxmlformats.org/officeDocument/2006/relationships/hyperlink" Target="http://dx.doi.org/10.22386/ca.v4i2.78" TargetMode="External"/><Relationship Id="rId48" Type="http://schemas.openxmlformats.org/officeDocument/2006/relationships/hyperlink" Target="http://dx.doi.org/10.1016/j.biocon.2005.10.017" TargetMode="External"/><Relationship Id="rId47" Type="http://schemas.openxmlformats.org/officeDocument/2006/relationships/hyperlink" Target="http://dx.doi.org/10.1046/j.1523-1739.1999.013002385.x" TargetMode="External"/><Relationship Id="rId49" Type="http://schemas.openxmlformats.org/officeDocument/2006/relationships/hyperlink" Target="http://dx.doi.org/10.1111/j.1523-1739.2009.01224.x" TargetMode="External"/><Relationship Id="rId5" Type="http://schemas.openxmlformats.org/officeDocument/2006/relationships/hyperlink" Target="http://dx.doi.org/10.1023/A:1020305903156" TargetMode="External"/><Relationship Id="rId6" Type="http://schemas.openxmlformats.org/officeDocument/2006/relationships/hyperlink" Target="http://dx.doi.org/10.1016/j.biocon.2009.02.032" TargetMode="External"/><Relationship Id="rId7" Type="http://schemas.openxmlformats.org/officeDocument/2006/relationships/hyperlink" Target="http://dx.doi.org/10.1371/journal.pone.0010294" TargetMode="External"/><Relationship Id="rId8" Type="http://schemas.openxmlformats.org/officeDocument/2006/relationships/hyperlink" Target="http://dx.doi.org/10.1016/j.biocon.2005.06.024" TargetMode="External"/><Relationship Id="rId31" Type="http://schemas.openxmlformats.org/officeDocument/2006/relationships/hyperlink" Target="http://dx.doi.org/10.1111/j.1365-2028.2010.01239.x" TargetMode="External"/><Relationship Id="rId30" Type="http://schemas.openxmlformats.org/officeDocument/2006/relationships/hyperlink" Target="http://dx.doi.org/10.1017/S0030605315000836" TargetMode="External"/><Relationship Id="rId33" Type="http://schemas.openxmlformats.org/officeDocument/2006/relationships/hyperlink" Target="http://dx.doi.org/10.1016/S0006-3207(03)00167-8" TargetMode="External"/><Relationship Id="rId32" Type="http://schemas.openxmlformats.org/officeDocument/2006/relationships/hyperlink" Target="http://dx.doi.org/10.1046/j.1523-1739.1997.96048.x" TargetMode="External"/><Relationship Id="rId35" Type="http://schemas.openxmlformats.org/officeDocument/2006/relationships/hyperlink" Target="http://dx.doi.org/10.1111/1365-2664.12798" TargetMode="External"/><Relationship Id="rId34" Type="http://schemas.openxmlformats.org/officeDocument/2006/relationships/hyperlink" Target="https://doi.org/10.14989/68121" TargetMode="External"/><Relationship Id="rId37" Type="http://schemas.openxmlformats.org/officeDocument/2006/relationships/hyperlink" Target="http://dx.doi.org/10.1007/s10764-008-9254-9" TargetMode="External"/><Relationship Id="rId36" Type="http://schemas.openxmlformats.org/officeDocument/2006/relationships/hyperlink" Target="http://dx.doi.org/10.1177/194008291400700209" TargetMode="External"/><Relationship Id="rId39" Type="http://schemas.openxmlformats.org/officeDocument/2006/relationships/hyperlink" Target="http://dx.doi.org/10.1017/S0266467498000443" TargetMode="External"/><Relationship Id="rId38" Type="http://schemas.openxmlformats.org/officeDocument/2006/relationships/hyperlink" Target="http://dx.doi.org/10.1002/ajp.22243" TargetMode="External"/><Relationship Id="rId62" Type="http://schemas.openxmlformats.org/officeDocument/2006/relationships/hyperlink" Target="http://dx.doi.org/10.1111/j.1469-1795.2010.00426.x" TargetMode="External"/><Relationship Id="rId61" Type="http://schemas.openxmlformats.org/officeDocument/2006/relationships/hyperlink" Target="http://dx.doi.org/10.1177/194008290900200108" TargetMode="External"/><Relationship Id="rId20" Type="http://schemas.openxmlformats.org/officeDocument/2006/relationships/hyperlink" Target="http://dx.doi.org/10.1098/rspb.2013.0246" TargetMode="External"/><Relationship Id="rId64" Type="http://schemas.openxmlformats.org/officeDocument/2006/relationships/hyperlink" Target="http://dx.doi.org/10.1111/j.1744-7429.2007.00275.x" TargetMode="External"/><Relationship Id="rId63" Type="http://schemas.openxmlformats.org/officeDocument/2006/relationships/hyperlink" Target="http://dx.doi.org/10.1007/s10531-007-9300-5" TargetMode="External"/><Relationship Id="rId22" Type="http://schemas.openxmlformats.org/officeDocument/2006/relationships/hyperlink" Target="http://dx.doi.org/10.1111/j.1600-0587.2013.00359.x" TargetMode="External"/><Relationship Id="rId66" Type="http://schemas.openxmlformats.org/officeDocument/2006/relationships/drawing" Target="../drawings/drawing2.xml"/><Relationship Id="rId21" Type="http://schemas.openxmlformats.org/officeDocument/2006/relationships/hyperlink" Target="http://dx.doi.org/10.1098/rspb.2013.0246" TargetMode="External"/><Relationship Id="rId65" Type="http://schemas.openxmlformats.org/officeDocument/2006/relationships/hyperlink" Target="http://dx.doi.org/10.1046/j.1523-1739.2000.98333.x" TargetMode="External"/><Relationship Id="rId24" Type="http://schemas.openxmlformats.org/officeDocument/2006/relationships/hyperlink" Target="http://dx.doi.org/10.1111/j.1744-7429.2009.00546.x" TargetMode="External"/><Relationship Id="rId23" Type="http://schemas.openxmlformats.org/officeDocument/2006/relationships/hyperlink" Target="http://dx.doi.org/10.2307/2388054" TargetMode="External"/><Relationship Id="rId60" Type="http://schemas.openxmlformats.org/officeDocument/2006/relationships/hyperlink" Target="http://dx.doi.org/10.1017/S0030605305000384" TargetMode="External"/><Relationship Id="rId26" Type="http://schemas.openxmlformats.org/officeDocument/2006/relationships/hyperlink" Target="http://dx.doi.org/10.1017/S0266467400005022" TargetMode="External"/><Relationship Id="rId25" Type="http://schemas.openxmlformats.org/officeDocument/2006/relationships/hyperlink" Target="http://dx.doi.org/10.1111/j.1365-2028.1991.tb01000.x" TargetMode="External"/><Relationship Id="rId28" Type="http://schemas.openxmlformats.org/officeDocument/2006/relationships/hyperlink" Target="http://dx.doi.org/10.1023/A:1020375430965" TargetMode="External"/><Relationship Id="rId27" Type="http://schemas.openxmlformats.org/officeDocument/2006/relationships/hyperlink" Target="http://dx.doi.org/10.1111/j.1365-2028.1997.088-89088.x" TargetMode="External"/><Relationship Id="rId29" Type="http://schemas.openxmlformats.org/officeDocument/2006/relationships/hyperlink" Target="http://dx.doi.org/10.3957/056.039.0108" TargetMode="External"/><Relationship Id="rId51" Type="http://schemas.openxmlformats.org/officeDocument/2006/relationships/hyperlink" Target="http://dx.doi.org/10.1016/0006-3207(90)90041-M" TargetMode="External"/><Relationship Id="rId50" Type="http://schemas.openxmlformats.org/officeDocument/2006/relationships/hyperlink" Target="http://dx.doi.org/10.1007/s10531-005-5406-9" TargetMode="External"/><Relationship Id="rId53" Type="http://schemas.openxmlformats.org/officeDocument/2006/relationships/hyperlink" Target="http://dx.doi.org/10.1890/10-1083.1" TargetMode="External"/><Relationship Id="rId52" Type="http://schemas.openxmlformats.org/officeDocument/2006/relationships/hyperlink" Target="http://dx.doi.org/10.1016/0006-3207(96)00010-9" TargetMode="External"/><Relationship Id="rId11" Type="http://schemas.openxmlformats.org/officeDocument/2006/relationships/hyperlink" Target="http://dx.doi.org/10.1111/j.1365-2028.1991.tb00820.x" TargetMode="External"/><Relationship Id="rId55" Type="http://schemas.openxmlformats.org/officeDocument/2006/relationships/hyperlink" Target="http://dx.doi.org/10.1111/j.1365-2028.2010.01229.x" TargetMode="External"/><Relationship Id="rId10" Type="http://schemas.openxmlformats.org/officeDocument/2006/relationships/hyperlink" Target="http://dx.doi.org/10.1111/j.1469-1795.2011.00437.x" TargetMode="External"/><Relationship Id="rId54" Type="http://schemas.openxmlformats.org/officeDocument/2006/relationships/hyperlink" Target="http://dx.doi.org/10.1017/S0030605300030908" TargetMode="External"/><Relationship Id="rId13" Type="http://schemas.openxmlformats.org/officeDocument/2006/relationships/hyperlink" Target="http://dx.doi.org/10.1111/acv.12012" TargetMode="External"/><Relationship Id="rId57" Type="http://schemas.openxmlformats.org/officeDocument/2006/relationships/hyperlink" Target="http://dx.doi.org/10.1016/j.biocon.2011.09.017" TargetMode="External"/><Relationship Id="rId12" Type="http://schemas.openxmlformats.org/officeDocument/2006/relationships/hyperlink" Target="http://dx.doi.org/10.1017/S0030605300030106" TargetMode="External"/><Relationship Id="rId56" Type="http://schemas.openxmlformats.org/officeDocument/2006/relationships/hyperlink" Target="http://dx.doi.org/10.1896/044.020.0105" TargetMode="External"/><Relationship Id="rId15" Type="http://schemas.openxmlformats.org/officeDocument/2006/relationships/hyperlink" Target="http://dx.doi.org/10.1017/S0030605305001080" TargetMode="External"/><Relationship Id="rId59" Type="http://schemas.openxmlformats.org/officeDocument/2006/relationships/hyperlink" Target="http://dx.doi.org/10.1007/s10531-004-8412-4" TargetMode="External"/><Relationship Id="rId14" Type="http://schemas.openxmlformats.org/officeDocument/2006/relationships/hyperlink" Target="http://dx.doi.org/10.1111/j.0141-6707.2004.00441.x" TargetMode="External"/><Relationship Id="rId58" Type="http://schemas.openxmlformats.org/officeDocument/2006/relationships/hyperlink" Target="http://dx.doi.org/10.1111/j.1469-1795.2012.00592.x" TargetMode="External"/><Relationship Id="rId17" Type="http://schemas.openxmlformats.org/officeDocument/2006/relationships/hyperlink" Target="http://dx.doi.org/10.1046/j.1523-1739.2000.99103.x" TargetMode="External"/><Relationship Id="rId16" Type="http://schemas.openxmlformats.org/officeDocument/2006/relationships/hyperlink" Target="http://dx.doi.org/10.1016/S0006-3207(01)00182-3" TargetMode="External"/><Relationship Id="rId19" Type="http://schemas.openxmlformats.org/officeDocument/2006/relationships/hyperlink" Target="http://dx.doi.org/10.2981/wlb.00095" TargetMode="External"/><Relationship Id="rId18" Type="http://schemas.openxmlformats.org/officeDocument/2006/relationships/hyperlink" Target="http://dx.doi.org/10.1016/S0006-3207(98)00130-X"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40" Type="http://schemas.openxmlformats.org/officeDocument/2006/relationships/hyperlink" Target="http://dx.doi.org/10.1111/j.1365-2028.2010.01239.x" TargetMode="External"/><Relationship Id="rId42" Type="http://schemas.openxmlformats.org/officeDocument/2006/relationships/hyperlink" Target="http://dx.doi.org/10.1111/1365-2664.12798" TargetMode="External"/><Relationship Id="rId41" Type="http://schemas.openxmlformats.org/officeDocument/2006/relationships/hyperlink" Target="http://dx.doi.org/10.1046/j.1523-1739.1997.96048.x" TargetMode="External"/><Relationship Id="rId44" Type="http://schemas.openxmlformats.org/officeDocument/2006/relationships/hyperlink" Target="http://dx.doi.org/10.1002/ajp.22243" TargetMode="External"/><Relationship Id="rId43" Type="http://schemas.openxmlformats.org/officeDocument/2006/relationships/hyperlink" Target="http://dx.doi.org/10.1007/s10764-008-9254-9" TargetMode="External"/><Relationship Id="rId46" Type="http://schemas.openxmlformats.org/officeDocument/2006/relationships/hyperlink" Target="http://dx.doi.org/10.1111/j.1523-1739.2006.00420.x" TargetMode="External"/><Relationship Id="rId45" Type="http://schemas.openxmlformats.org/officeDocument/2006/relationships/hyperlink" Target="http://dx.doi.org/10.1017/S0266467498000443" TargetMode="External"/><Relationship Id="rId1" Type="http://schemas.openxmlformats.org/officeDocument/2006/relationships/hyperlink" Target="https://doi.org/10.15517/rbt.v56i3.5727" TargetMode="External"/><Relationship Id="rId2" Type="http://schemas.openxmlformats.org/officeDocument/2006/relationships/hyperlink" Target="http://dx.doi.org/10.22386/ca.v4i2.78" TargetMode="External"/><Relationship Id="rId3" Type="http://schemas.openxmlformats.org/officeDocument/2006/relationships/hyperlink" Target="http://dx.doi.org/10.1017/S0030605300030106" TargetMode="External"/><Relationship Id="rId4" Type="http://schemas.openxmlformats.org/officeDocument/2006/relationships/hyperlink" Target="http://dx.doi.org/10.1016/S0006-3207(01)00182-3" TargetMode="External"/><Relationship Id="rId9" Type="http://schemas.openxmlformats.org/officeDocument/2006/relationships/hyperlink" Target="http://dx.doi.org/10.1016/0006-3207(90)90041-M" TargetMode="External"/><Relationship Id="rId48" Type="http://schemas.openxmlformats.org/officeDocument/2006/relationships/hyperlink" Target="http://dx.doi.org/10.1111/j.1365-2028.2006.00629.x" TargetMode="External"/><Relationship Id="rId47" Type="http://schemas.openxmlformats.org/officeDocument/2006/relationships/hyperlink" Target="http://dx.doi.org/10.1007/BF03195197" TargetMode="External"/><Relationship Id="rId49" Type="http://schemas.openxmlformats.org/officeDocument/2006/relationships/hyperlink" Target="http://dx.doi.org/10.1007/s10531-008-9481-6" TargetMode="External"/><Relationship Id="rId5" Type="http://schemas.openxmlformats.org/officeDocument/2006/relationships/hyperlink" Target="http://dx.doi.org/10.1016/S0006-3207(98)00130-X" TargetMode="External"/><Relationship Id="rId6" Type="http://schemas.openxmlformats.org/officeDocument/2006/relationships/hyperlink" Target="http://dx.doi.org/10.1016/S0006-3207(03)00167-8" TargetMode="External"/><Relationship Id="rId7" Type="http://schemas.openxmlformats.org/officeDocument/2006/relationships/hyperlink" Target="https://doi.org/10.14989/68121" TargetMode="External"/><Relationship Id="rId8" Type="http://schemas.openxmlformats.org/officeDocument/2006/relationships/hyperlink" Target="http://dx.doi.org/10.1177/194008291400700209" TargetMode="External"/><Relationship Id="rId73" Type="http://schemas.openxmlformats.org/officeDocument/2006/relationships/hyperlink" Target="http://dx.doi.org/10.2307/2388723" TargetMode="External"/><Relationship Id="rId72" Type="http://schemas.openxmlformats.org/officeDocument/2006/relationships/hyperlink" Target="http://dx.doi.org/10.1007/s10531-005-6198-7" TargetMode="External"/><Relationship Id="rId31" Type="http://schemas.openxmlformats.org/officeDocument/2006/relationships/hyperlink" Target="http://dx.doi.org/10.1111/j.1600-0587.2013.00359.x" TargetMode="External"/><Relationship Id="rId75" Type="http://schemas.openxmlformats.org/officeDocument/2006/relationships/drawing" Target="../drawings/drawing4.xml"/><Relationship Id="rId30" Type="http://schemas.openxmlformats.org/officeDocument/2006/relationships/hyperlink" Target="http://dx.doi.org/10.1098/rspb.2013.0246" TargetMode="External"/><Relationship Id="rId74" Type="http://schemas.openxmlformats.org/officeDocument/2006/relationships/hyperlink" Target="https://doi.org/10.1111/j.1469-7998.2011.00826.x" TargetMode="External"/><Relationship Id="rId33" Type="http://schemas.openxmlformats.org/officeDocument/2006/relationships/hyperlink" Target="http://dx.doi.org/10.1111/j.1744-7429.2009.00546.x" TargetMode="External"/><Relationship Id="rId32" Type="http://schemas.openxmlformats.org/officeDocument/2006/relationships/hyperlink" Target="http://dx.doi.org/10.2307/2388054" TargetMode="External"/><Relationship Id="rId35" Type="http://schemas.openxmlformats.org/officeDocument/2006/relationships/hyperlink" Target="http://dx.doi.org/10.1017/S0266467400005022" TargetMode="External"/><Relationship Id="rId34" Type="http://schemas.openxmlformats.org/officeDocument/2006/relationships/hyperlink" Target="http://dx.doi.org/10.1111/j.1365-2028.1991.tb01000.x" TargetMode="External"/><Relationship Id="rId71" Type="http://schemas.openxmlformats.org/officeDocument/2006/relationships/hyperlink" Target="http://dx.doi.org/10.1016/j.jaridenv.2012.11.004" TargetMode="External"/><Relationship Id="rId70" Type="http://schemas.openxmlformats.org/officeDocument/2006/relationships/hyperlink" Target="http://dx.doi.org/10.1111/j.1744-7429.2007.00276.x" TargetMode="External"/><Relationship Id="rId37" Type="http://schemas.openxmlformats.org/officeDocument/2006/relationships/hyperlink" Target="http://dx.doi.org/10.1023/A:1020375430965" TargetMode="External"/><Relationship Id="rId36" Type="http://schemas.openxmlformats.org/officeDocument/2006/relationships/hyperlink" Target="http://dx.doi.org/10.1111/j.1365-2028.1997.088-89088.x" TargetMode="External"/><Relationship Id="rId39" Type="http://schemas.openxmlformats.org/officeDocument/2006/relationships/hyperlink" Target="http://dx.doi.org/10.1017/S0030605315000836" TargetMode="External"/><Relationship Id="rId38" Type="http://schemas.openxmlformats.org/officeDocument/2006/relationships/hyperlink" Target="http://dx.doi.org/10.3957/056.039.0108" TargetMode="External"/><Relationship Id="rId62" Type="http://schemas.openxmlformats.org/officeDocument/2006/relationships/hyperlink" Target="http://dx.doi.org/10.1017/S0030605305000384" TargetMode="External"/><Relationship Id="rId61" Type="http://schemas.openxmlformats.org/officeDocument/2006/relationships/hyperlink" Target="http://dx.doi.org/10.1007/s10531-004-8412-4" TargetMode="External"/><Relationship Id="rId20" Type="http://schemas.openxmlformats.org/officeDocument/2006/relationships/hyperlink" Target="http://dx.doi.org/10.1371/journal.pone.0010294" TargetMode="External"/><Relationship Id="rId64" Type="http://schemas.openxmlformats.org/officeDocument/2006/relationships/hyperlink" Target="http://dx.doi.org/10.1111/j.1469-1795.2010.00426.x" TargetMode="External"/><Relationship Id="rId63" Type="http://schemas.openxmlformats.org/officeDocument/2006/relationships/hyperlink" Target="http://dx.doi.org/10.1177/194008290900200108" TargetMode="External"/><Relationship Id="rId22" Type="http://schemas.openxmlformats.org/officeDocument/2006/relationships/hyperlink" Target="http://dx.doi.org/10.1111/j.1469-1795.2011.00437.x" TargetMode="External"/><Relationship Id="rId66" Type="http://schemas.openxmlformats.org/officeDocument/2006/relationships/hyperlink" Target="http://dx.doi.org/10.1111/j.1744-7429.2007.00275.x" TargetMode="External"/><Relationship Id="rId21" Type="http://schemas.openxmlformats.org/officeDocument/2006/relationships/hyperlink" Target="http://dx.doi.org/10.1016/j.biocon.2005.06.024" TargetMode="External"/><Relationship Id="rId65" Type="http://schemas.openxmlformats.org/officeDocument/2006/relationships/hyperlink" Target="http://dx.doi.org/10.1007/s10531-007-9300-5" TargetMode="External"/><Relationship Id="rId24" Type="http://schemas.openxmlformats.org/officeDocument/2006/relationships/hyperlink" Target="http://dx.doi.org/10.1111/acv.12012" TargetMode="External"/><Relationship Id="rId68" Type="http://schemas.openxmlformats.org/officeDocument/2006/relationships/hyperlink" Target="http://dx.doi.org/10.1016/j.biocon.2010.10.023" TargetMode="External"/><Relationship Id="rId23" Type="http://schemas.openxmlformats.org/officeDocument/2006/relationships/hyperlink" Target="http://dx.doi.org/10.1111/j.1365-2028.1991.tb00820.x" TargetMode="External"/><Relationship Id="rId67" Type="http://schemas.openxmlformats.org/officeDocument/2006/relationships/hyperlink" Target="http://dx.doi.org/10.1046/j.1523-1739.2000.98333.x" TargetMode="External"/><Relationship Id="rId60" Type="http://schemas.openxmlformats.org/officeDocument/2006/relationships/hyperlink" Target="http://dx.doi.org/10.1111/j.1469-1795.2012.00592.x" TargetMode="External"/><Relationship Id="rId26" Type="http://schemas.openxmlformats.org/officeDocument/2006/relationships/hyperlink" Target="http://dx.doi.org/10.1017/S0030605305001080" TargetMode="External"/><Relationship Id="rId25" Type="http://schemas.openxmlformats.org/officeDocument/2006/relationships/hyperlink" Target="http://dx.doi.org/10.1111/j.0141-6707.2004.00441.x" TargetMode="External"/><Relationship Id="rId69" Type="http://schemas.openxmlformats.org/officeDocument/2006/relationships/hyperlink" Target="http://dx.doi.org/10.1016/j.biocon.2008.03.020" TargetMode="External"/><Relationship Id="rId28" Type="http://schemas.openxmlformats.org/officeDocument/2006/relationships/hyperlink" Target="http://dx.doi.org/10.2981/wlb.00095" TargetMode="External"/><Relationship Id="rId27" Type="http://schemas.openxmlformats.org/officeDocument/2006/relationships/hyperlink" Target="http://dx.doi.org/10.1046/j.1523-1739.2000.99103.x" TargetMode="External"/><Relationship Id="rId29" Type="http://schemas.openxmlformats.org/officeDocument/2006/relationships/hyperlink" Target="http://dx.doi.org/10.1098/rspb.2013.0246" TargetMode="External"/><Relationship Id="rId51" Type="http://schemas.openxmlformats.org/officeDocument/2006/relationships/hyperlink" Target="http://dx.doi.org/10.1016/j.biocon.2005.11.025" TargetMode="External"/><Relationship Id="rId50" Type="http://schemas.openxmlformats.org/officeDocument/2006/relationships/hyperlink" Target="http://dx.doi.org/10.1007/s10764-005-0011-z" TargetMode="External"/><Relationship Id="rId53" Type="http://schemas.openxmlformats.org/officeDocument/2006/relationships/hyperlink" Target="http://dx.doi.org/10.1046/j.1523-1739.1999.013002385.x" TargetMode="External"/><Relationship Id="rId52" Type="http://schemas.openxmlformats.org/officeDocument/2006/relationships/hyperlink" Target="http://dx.doi.org/10.2307/1370441" TargetMode="External"/><Relationship Id="rId11" Type="http://schemas.openxmlformats.org/officeDocument/2006/relationships/hyperlink" Target="http://dx.doi.org/10.1890/10-1083.1" TargetMode="External"/><Relationship Id="rId55" Type="http://schemas.openxmlformats.org/officeDocument/2006/relationships/hyperlink" Target="https://doi.org/10.1163/18759866-07304004" TargetMode="External"/><Relationship Id="rId10" Type="http://schemas.openxmlformats.org/officeDocument/2006/relationships/hyperlink" Target="http://dx.doi.org/10.1016/0006-3207(96)00010-9" TargetMode="External"/><Relationship Id="rId54" Type="http://schemas.openxmlformats.org/officeDocument/2006/relationships/hyperlink" Target="http://dx.doi.org/10.1016/j.biocon.2005.10.017" TargetMode="External"/><Relationship Id="rId13" Type="http://schemas.openxmlformats.org/officeDocument/2006/relationships/hyperlink" Target="http://dx.doi.org/10.1896/044.020.0105" TargetMode="External"/><Relationship Id="rId57" Type="http://schemas.openxmlformats.org/officeDocument/2006/relationships/hyperlink" Target="http://dx.doi.org/10.1007/s10531-005-5406-9" TargetMode="External"/><Relationship Id="rId12" Type="http://schemas.openxmlformats.org/officeDocument/2006/relationships/hyperlink" Target="http://dx.doi.org/10.1017/S0030605300030908" TargetMode="External"/><Relationship Id="rId56" Type="http://schemas.openxmlformats.org/officeDocument/2006/relationships/hyperlink" Target="http://dx.doi.org/10.1111/j.1523-1739.2009.01224.x" TargetMode="External"/><Relationship Id="rId15" Type="http://schemas.openxmlformats.org/officeDocument/2006/relationships/hyperlink" Target="http://dx.doi.org/10.1046/j.1523-1739.2003.01413.x" TargetMode="External"/><Relationship Id="rId59" Type="http://schemas.openxmlformats.org/officeDocument/2006/relationships/hyperlink" Target="http://dx.doi.org/10.1016/j.biocon.2011.09.017" TargetMode="External"/><Relationship Id="rId14" Type="http://schemas.openxmlformats.org/officeDocument/2006/relationships/hyperlink" Target="http://dx.doi.org/10.1016/S0006-3207(00)00011-2" TargetMode="External"/><Relationship Id="rId58" Type="http://schemas.openxmlformats.org/officeDocument/2006/relationships/hyperlink" Target="http://dx.doi.org/10.1111/j.1365-2028.2010.01229.x" TargetMode="External"/><Relationship Id="rId17" Type="http://schemas.openxmlformats.org/officeDocument/2006/relationships/hyperlink" Target="http://dx.doi.org/10.1111/j.1365-2028.2007.00881.x" TargetMode="External"/><Relationship Id="rId16" Type="http://schemas.openxmlformats.org/officeDocument/2006/relationships/hyperlink" Target="http://dx.doi.org/10.1371/journal.pbio.0050111" TargetMode="External"/><Relationship Id="rId19" Type="http://schemas.openxmlformats.org/officeDocument/2006/relationships/hyperlink" Target="http://dx.doi.org/10.1016/j.biocon.2009.02.032" TargetMode="External"/><Relationship Id="rId18" Type="http://schemas.openxmlformats.org/officeDocument/2006/relationships/hyperlink" Target="http://dx.doi.org/10.1023/A:1020305903156"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5.xml"/><Relationship Id="rId5"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24.13"/>
    <col customWidth="1" min="3" max="3" width="90.13"/>
    <col customWidth="1" min="4" max="5" width="12.63"/>
  </cols>
  <sheetData>
    <row r="1" ht="15.75" customHeight="1">
      <c r="B1" s="1" t="s">
        <v>0</v>
      </c>
      <c r="C1" s="2"/>
    </row>
    <row r="2" ht="15.75" customHeight="1">
      <c r="B2" s="3" t="s">
        <v>1</v>
      </c>
      <c r="C2" s="2"/>
    </row>
    <row r="3" ht="15.75" customHeight="1">
      <c r="B3" s="4" t="s">
        <v>2</v>
      </c>
      <c r="C3" s="5" t="s">
        <v>3</v>
      </c>
    </row>
    <row r="4" ht="15.75" customHeight="1">
      <c r="B4" s="4" t="s">
        <v>4</v>
      </c>
      <c r="C4" s="6" t="s">
        <v>5</v>
      </c>
    </row>
    <row r="5" ht="15.75" customHeight="1">
      <c r="B5" s="4" t="s">
        <v>6</v>
      </c>
      <c r="C5" s="5" t="s">
        <v>7</v>
      </c>
    </row>
    <row r="6" ht="15.75" customHeight="1">
      <c r="B6" s="4" t="s">
        <v>8</v>
      </c>
      <c r="C6" s="5" t="s">
        <v>9</v>
      </c>
    </row>
    <row r="7" ht="15.75" customHeight="1">
      <c r="B7" s="4" t="s">
        <v>10</v>
      </c>
      <c r="C7" s="5" t="s">
        <v>11</v>
      </c>
    </row>
    <row r="8" ht="15.75" customHeight="1">
      <c r="B8" s="4" t="s">
        <v>12</v>
      </c>
      <c r="C8" s="5" t="s">
        <v>13</v>
      </c>
    </row>
    <row r="9" ht="15.75" customHeight="1">
      <c r="B9" s="4" t="s">
        <v>14</v>
      </c>
      <c r="C9" s="5" t="s">
        <v>15</v>
      </c>
    </row>
    <row r="10" ht="15.75" customHeight="1">
      <c r="B10" s="4" t="s">
        <v>12</v>
      </c>
      <c r="C10" s="5" t="s">
        <v>13</v>
      </c>
    </row>
    <row r="11" ht="15.75" customHeight="1">
      <c r="B11" s="4" t="s">
        <v>16</v>
      </c>
      <c r="C11" s="5" t="s">
        <v>17</v>
      </c>
    </row>
    <row r="12" ht="15.75" customHeight="1">
      <c r="C12" s="2"/>
    </row>
    <row r="13" ht="15.75" customHeight="1">
      <c r="C13" s="7"/>
    </row>
    <row r="14" ht="15.75" customHeight="1">
      <c r="C14" s="2"/>
    </row>
    <row r="15" ht="15.75" customHeight="1">
      <c r="C15" s="2"/>
    </row>
    <row r="16" ht="15.75" customHeight="1">
      <c r="C16" s="2"/>
    </row>
    <row r="17" ht="15.75" customHeight="1">
      <c r="C17" s="2"/>
    </row>
    <row r="18" ht="15.75" customHeight="1">
      <c r="C18" s="2"/>
    </row>
    <row r="19" ht="15.75" customHeight="1">
      <c r="C19" s="2"/>
    </row>
    <row r="20" ht="15.75" customHeight="1">
      <c r="C20" s="2"/>
    </row>
    <row r="21" ht="15.75" customHeight="1">
      <c r="C21" s="2"/>
    </row>
    <row r="22" ht="15.75" customHeight="1">
      <c r="C22" s="2"/>
    </row>
    <row r="23" ht="15.75" customHeight="1">
      <c r="C23" s="2"/>
    </row>
    <row r="24" ht="15.75" customHeight="1">
      <c r="C24" s="2"/>
    </row>
    <row r="25" ht="15.75" customHeight="1">
      <c r="C25" s="2"/>
    </row>
    <row r="26" ht="15.75" customHeight="1">
      <c r="C26" s="2"/>
    </row>
    <row r="27" ht="15.75" customHeight="1">
      <c r="C27" s="2"/>
    </row>
    <row r="28" ht="15.75" customHeight="1">
      <c r="C28" s="2"/>
    </row>
    <row r="29" ht="15.75" customHeight="1">
      <c r="C29" s="2"/>
    </row>
    <row r="30" ht="15.75" customHeight="1">
      <c r="C30" s="2"/>
    </row>
    <row r="31" ht="15.75" customHeight="1">
      <c r="C31" s="2"/>
    </row>
    <row r="32" ht="15.75" customHeight="1">
      <c r="C32" s="2"/>
    </row>
    <row r="33" ht="15.75" customHeight="1">
      <c r="C33" s="2"/>
    </row>
    <row r="34" ht="15.75" customHeight="1">
      <c r="C34" s="2"/>
    </row>
    <row r="35" ht="15.75" customHeight="1">
      <c r="C35" s="2"/>
    </row>
    <row r="36" ht="15.75" customHeight="1">
      <c r="C36" s="2"/>
    </row>
    <row r="37" ht="15.75" customHeight="1">
      <c r="C37" s="2"/>
    </row>
    <row r="38" ht="15.75" customHeight="1">
      <c r="C38" s="2"/>
    </row>
    <row r="39" ht="15.75" customHeight="1">
      <c r="C39" s="2"/>
    </row>
    <row r="40" ht="15.75" customHeight="1">
      <c r="C40" s="2"/>
    </row>
    <row r="41" ht="15.75" customHeight="1">
      <c r="C41" s="2"/>
    </row>
    <row r="42" ht="15.75" customHeight="1">
      <c r="C42" s="2"/>
    </row>
    <row r="43" ht="15.75" customHeight="1">
      <c r="C43" s="2"/>
    </row>
    <row r="44" ht="15.75" customHeight="1">
      <c r="C44" s="2"/>
    </row>
    <row r="45" ht="15.75" customHeight="1">
      <c r="C45" s="2"/>
    </row>
    <row r="46" ht="15.75" customHeight="1">
      <c r="C46" s="2"/>
    </row>
    <row r="47" ht="15.75" customHeight="1">
      <c r="C47" s="2"/>
    </row>
    <row r="48" ht="15.75" customHeight="1">
      <c r="C48" s="2"/>
    </row>
    <row r="49" ht="15.75" customHeight="1">
      <c r="C49" s="2"/>
    </row>
    <row r="50" ht="15.75" customHeight="1">
      <c r="C50" s="2"/>
    </row>
    <row r="51" ht="15.75" customHeight="1">
      <c r="C51" s="2"/>
    </row>
    <row r="52" ht="15.75" customHeight="1">
      <c r="C52" s="2"/>
    </row>
    <row r="53" ht="15.75" customHeight="1">
      <c r="C53" s="2"/>
    </row>
    <row r="54" ht="15.75" customHeight="1">
      <c r="C54" s="2"/>
    </row>
    <row r="55" ht="15.75" customHeight="1">
      <c r="C55" s="2"/>
    </row>
    <row r="56" ht="15.75" customHeight="1">
      <c r="C56" s="2"/>
    </row>
    <row r="57" ht="15.75" customHeight="1">
      <c r="C57" s="2"/>
    </row>
    <row r="58" ht="15.75" customHeight="1">
      <c r="C58" s="2"/>
    </row>
    <row r="59" ht="15.75" customHeight="1">
      <c r="C59" s="2"/>
    </row>
    <row r="60" ht="15.75" customHeight="1">
      <c r="C60" s="2"/>
    </row>
    <row r="61" ht="15.75" customHeight="1">
      <c r="C61" s="2"/>
    </row>
    <row r="62" ht="15.75" customHeight="1">
      <c r="C62" s="2"/>
    </row>
    <row r="63" ht="15.75" customHeight="1">
      <c r="C63" s="2"/>
    </row>
    <row r="64" ht="15.75" customHeight="1">
      <c r="C64" s="2"/>
    </row>
    <row r="65" ht="15.75" customHeight="1">
      <c r="C65" s="2"/>
    </row>
    <row r="66" ht="15.75" customHeight="1">
      <c r="C66" s="2"/>
    </row>
    <row r="67" ht="15.75" customHeight="1">
      <c r="C67" s="2"/>
    </row>
    <row r="68" ht="15.75" customHeight="1">
      <c r="C68" s="2"/>
    </row>
    <row r="69" ht="15.75" customHeight="1">
      <c r="C69" s="2"/>
    </row>
    <row r="70" ht="15.75" customHeight="1">
      <c r="C70" s="2"/>
    </row>
    <row r="71" ht="15.75" customHeight="1">
      <c r="C71" s="2"/>
    </row>
    <row r="72" ht="15.75" customHeight="1">
      <c r="C72" s="2"/>
    </row>
    <row r="73" ht="15.75" customHeight="1">
      <c r="C73" s="2"/>
    </row>
    <row r="74" ht="15.75" customHeight="1">
      <c r="C74" s="2"/>
    </row>
    <row r="75" ht="15.75" customHeight="1">
      <c r="C75" s="2"/>
    </row>
    <row r="76" ht="15.75" customHeight="1">
      <c r="C76" s="2"/>
    </row>
    <row r="77" ht="15.75" customHeight="1">
      <c r="C77" s="2"/>
    </row>
    <row r="78" ht="15.75" customHeight="1">
      <c r="C78" s="2"/>
    </row>
    <row r="79" ht="15.75" customHeight="1">
      <c r="C79" s="2"/>
    </row>
    <row r="80" ht="15.75" customHeight="1">
      <c r="C80" s="2"/>
    </row>
    <row r="81" ht="15.75" customHeight="1">
      <c r="C81" s="2"/>
    </row>
    <row r="82" ht="15.75" customHeight="1">
      <c r="C82" s="2"/>
    </row>
    <row r="83" ht="15.75" customHeight="1">
      <c r="C83" s="2"/>
    </row>
    <row r="84" ht="15.75" customHeight="1">
      <c r="C84" s="2"/>
    </row>
    <row r="85" ht="15.75" customHeight="1">
      <c r="C85" s="2"/>
    </row>
    <row r="86" ht="15.75" customHeight="1">
      <c r="C86" s="2"/>
    </row>
    <row r="87" ht="15.75" customHeight="1">
      <c r="C87" s="2"/>
    </row>
    <row r="88" ht="15.75" customHeight="1">
      <c r="C88" s="2"/>
    </row>
    <row r="89" ht="15.75" customHeight="1">
      <c r="C89" s="2"/>
    </row>
    <row r="90" ht="15.75" customHeight="1">
      <c r="C90" s="2"/>
    </row>
    <row r="91" ht="15.75" customHeight="1">
      <c r="C91" s="2"/>
    </row>
    <row r="92" ht="15.75" customHeight="1">
      <c r="C92" s="2"/>
    </row>
    <row r="93" ht="15.75" customHeight="1">
      <c r="C93" s="2"/>
    </row>
    <row r="94" ht="15.75" customHeight="1">
      <c r="C94" s="2"/>
    </row>
    <row r="95" ht="15.75" customHeight="1">
      <c r="C95" s="2"/>
    </row>
    <row r="96" ht="15.75" customHeight="1">
      <c r="C96" s="2"/>
    </row>
    <row r="97" ht="15.75" customHeight="1">
      <c r="C97" s="2"/>
    </row>
    <row r="98" ht="15.75" customHeight="1">
      <c r="C98" s="2"/>
    </row>
    <row r="99" ht="15.75" customHeight="1">
      <c r="C99" s="2"/>
    </row>
    <row r="100" ht="15.75" customHeight="1">
      <c r="C100" s="2"/>
    </row>
    <row r="101" ht="15.75" customHeight="1">
      <c r="C101" s="2"/>
    </row>
    <row r="102" ht="15.75" customHeight="1">
      <c r="C102" s="2"/>
    </row>
    <row r="103" ht="15.75" customHeight="1">
      <c r="C103" s="2"/>
    </row>
    <row r="104" ht="15.75" customHeight="1">
      <c r="C104" s="2"/>
    </row>
    <row r="105" ht="15.75" customHeight="1">
      <c r="C105" s="2"/>
    </row>
    <row r="106" ht="15.75" customHeight="1">
      <c r="C106" s="2"/>
    </row>
    <row r="107" ht="15.75" customHeight="1">
      <c r="C107" s="2"/>
    </row>
    <row r="108" ht="15.75" customHeight="1">
      <c r="C108" s="2"/>
    </row>
    <row r="109" ht="15.75" customHeight="1">
      <c r="C109" s="2"/>
    </row>
    <row r="110" ht="15.75" customHeight="1">
      <c r="C110" s="2"/>
    </row>
    <row r="111" ht="15.75" customHeight="1">
      <c r="C111" s="2"/>
    </row>
    <row r="112" ht="15.75" customHeight="1">
      <c r="C112" s="2"/>
    </row>
    <row r="113" ht="15.75" customHeight="1">
      <c r="C113" s="2"/>
    </row>
    <row r="114" ht="15.75" customHeight="1">
      <c r="C114" s="2"/>
    </row>
    <row r="115" ht="15.75" customHeight="1">
      <c r="C115" s="2"/>
    </row>
    <row r="116" ht="15.75" customHeight="1">
      <c r="C116" s="2"/>
    </row>
    <row r="117" ht="15.75" customHeight="1">
      <c r="C117" s="2"/>
    </row>
    <row r="118" ht="15.75" customHeight="1">
      <c r="C118" s="2"/>
    </row>
    <row r="119" ht="15.75" customHeight="1">
      <c r="C119" s="2"/>
    </row>
    <row r="120" ht="15.75" customHeight="1">
      <c r="C120" s="2"/>
    </row>
    <row r="121" ht="15.75" customHeight="1">
      <c r="C121" s="2"/>
    </row>
    <row r="122" ht="15.75" customHeight="1">
      <c r="C122" s="2"/>
    </row>
    <row r="123" ht="15.75" customHeight="1">
      <c r="C123" s="2"/>
    </row>
    <row r="124" ht="15.75" customHeight="1">
      <c r="C124" s="2"/>
    </row>
    <row r="125" ht="15.75" customHeight="1">
      <c r="C125" s="2"/>
    </row>
    <row r="126" ht="15.75" customHeight="1">
      <c r="C126" s="2"/>
    </row>
    <row r="127" ht="15.75" customHeight="1">
      <c r="C127" s="2"/>
    </row>
    <row r="128" ht="15.75" customHeight="1">
      <c r="C128" s="2"/>
    </row>
    <row r="129" ht="15.75" customHeight="1">
      <c r="C129" s="2"/>
    </row>
    <row r="130" ht="15.75" customHeight="1">
      <c r="C130" s="2"/>
    </row>
    <row r="131" ht="15.75" customHeight="1">
      <c r="C131" s="2"/>
    </row>
    <row r="132" ht="15.75" customHeight="1">
      <c r="C132" s="2"/>
    </row>
    <row r="133" ht="15.75" customHeight="1">
      <c r="C133" s="2"/>
    </row>
    <row r="134" ht="15.75" customHeight="1">
      <c r="C134" s="2"/>
    </row>
    <row r="135" ht="15.75" customHeight="1">
      <c r="C135" s="2"/>
    </row>
    <row r="136" ht="15.75" customHeight="1">
      <c r="C136" s="2"/>
    </row>
    <row r="137" ht="15.75" customHeight="1">
      <c r="C137" s="2"/>
    </row>
    <row r="138" ht="15.75" customHeight="1">
      <c r="C138" s="2"/>
    </row>
    <row r="139" ht="15.75" customHeight="1">
      <c r="C139" s="2"/>
    </row>
    <row r="140" ht="15.75" customHeight="1">
      <c r="C140" s="2"/>
    </row>
    <row r="141" ht="15.75" customHeight="1">
      <c r="C141" s="2"/>
    </row>
    <row r="142" ht="15.75" customHeight="1">
      <c r="C142" s="2"/>
    </row>
    <row r="143" ht="15.75" customHeight="1">
      <c r="C143" s="2"/>
    </row>
    <row r="144" ht="15.75" customHeight="1">
      <c r="C144" s="2"/>
    </row>
    <row r="145" ht="15.75" customHeight="1">
      <c r="C145" s="2"/>
    </row>
    <row r="146" ht="15.75" customHeight="1">
      <c r="C146" s="2"/>
    </row>
    <row r="147" ht="15.75" customHeight="1">
      <c r="C147" s="2"/>
    </row>
    <row r="148" ht="15.75" customHeight="1">
      <c r="C148" s="2"/>
    </row>
    <row r="149" ht="15.75" customHeight="1">
      <c r="C149" s="2"/>
    </row>
    <row r="150" ht="15.75" customHeight="1">
      <c r="C150" s="2"/>
    </row>
    <row r="151" ht="15.75" customHeight="1">
      <c r="C151" s="2"/>
    </row>
    <row r="152" ht="15.75" customHeight="1">
      <c r="C152" s="2"/>
    </row>
    <row r="153" ht="15.75" customHeight="1">
      <c r="C153" s="2"/>
    </row>
    <row r="154" ht="15.75" customHeight="1">
      <c r="C154" s="2"/>
    </row>
    <row r="155" ht="15.75" customHeight="1">
      <c r="C155" s="2"/>
    </row>
    <row r="156" ht="15.75" customHeight="1">
      <c r="C156" s="2"/>
    </row>
    <row r="157" ht="15.75" customHeight="1">
      <c r="C157" s="2"/>
    </row>
    <row r="158" ht="15.75" customHeight="1">
      <c r="C158" s="2"/>
    </row>
    <row r="159" ht="15.75" customHeight="1">
      <c r="C159" s="2"/>
    </row>
    <row r="160" ht="15.75" customHeight="1">
      <c r="C160" s="2"/>
    </row>
    <row r="161" ht="15.75" customHeight="1">
      <c r="C161" s="2"/>
    </row>
    <row r="162" ht="15.75" customHeight="1">
      <c r="C162" s="2"/>
    </row>
    <row r="163" ht="15.75" customHeight="1">
      <c r="C163" s="2"/>
    </row>
    <row r="164" ht="15.75" customHeight="1">
      <c r="C164" s="2"/>
    </row>
    <row r="165" ht="15.75" customHeight="1">
      <c r="C165" s="2"/>
    </row>
    <row r="166" ht="15.75" customHeight="1">
      <c r="C166" s="2"/>
    </row>
    <row r="167" ht="15.75" customHeight="1">
      <c r="C167" s="2"/>
    </row>
    <row r="168" ht="15.75" customHeight="1">
      <c r="C168" s="2"/>
    </row>
    <row r="169" ht="15.75" customHeight="1">
      <c r="C169" s="2"/>
    </row>
    <row r="170" ht="15.75" customHeight="1">
      <c r="C170" s="2"/>
    </row>
    <row r="171" ht="15.75" customHeight="1">
      <c r="C171" s="2"/>
    </row>
    <row r="172" ht="15.75" customHeight="1">
      <c r="C172" s="2"/>
    </row>
    <row r="173" ht="15.75" customHeight="1">
      <c r="C173" s="2"/>
    </row>
    <row r="174" ht="15.75" customHeight="1">
      <c r="C174" s="2"/>
    </row>
    <row r="175" ht="15.75" customHeight="1">
      <c r="C175" s="2"/>
    </row>
    <row r="176" ht="15.75" customHeight="1">
      <c r="C176" s="2"/>
    </row>
    <row r="177" ht="15.75" customHeight="1">
      <c r="C177" s="2"/>
    </row>
    <row r="178" ht="15.75" customHeight="1">
      <c r="C178" s="2"/>
    </row>
    <row r="179" ht="15.75" customHeight="1">
      <c r="C179" s="2"/>
    </row>
    <row r="180" ht="15.75" customHeight="1">
      <c r="C180" s="2"/>
    </row>
    <row r="181" ht="15.75" customHeight="1">
      <c r="C181" s="2"/>
    </row>
    <row r="182" ht="15.75" customHeight="1">
      <c r="C182" s="2"/>
    </row>
    <row r="183" ht="15.75" customHeight="1">
      <c r="C183" s="2"/>
    </row>
    <row r="184" ht="15.75" customHeight="1">
      <c r="C184" s="2"/>
    </row>
    <row r="185" ht="15.75" customHeight="1">
      <c r="C185" s="2"/>
    </row>
    <row r="186" ht="15.75" customHeight="1">
      <c r="C186" s="2"/>
    </row>
    <row r="187" ht="15.75" customHeight="1">
      <c r="C187" s="2"/>
    </row>
    <row r="188" ht="15.75" customHeight="1">
      <c r="C188" s="2"/>
    </row>
    <row r="189" ht="15.75" customHeight="1">
      <c r="C189" s="2"/>
    </row>
    <row r="190" ht="15.75" customHeight="1">
      <c r="C190" s="2"/>
    </row>
    <row r="191" ht="15.75" customHeight="1">
      <c r="C191" s="2"/>
    </row>
    <row r="192" ht="15.75" customHeight="1">
      <c r="C192" s="2"/>
    </row>
    <row r="193" ht="15.75" customHeight="1">
      <c r="C193" s="2"/>
    </row>
    <row r="194" ht="15.75" customHeight="1">
      <c r="C194" s="2"/>
    </row>
    <row r="195" ht="15.75" customHeight="1">
      <c r="C195" s="2"/>
    </row>
    <row r="196" ht="15.75" customHeight="1">
      <c r="C196" s="2"/>
    </row>
    <row r="197" ht="15.75" customHeight="1">
      <c r="C197" s="2"/>
    </row>
    <row r="198" ht="15.75" customHeight="1">
      <c r="C198" s="2"/>
    </row>
    <row r="199" ht="15.75" customHeight="1">
      <c r="C199" s="2"/>
    </row>
    <row r="200" ht="15.75" customHeight="1">
      <c r="C200" s="2"/>
    </row>
    <row r="201" ht="15.75" customHeight="1">
      <c r="C201" s="2"/>
    </row>
    <row r="202" ht="15.75" customHeight="1">
      <c r="C202" s="2"/>
    </row>
    <row r="203" ht="15.75" customHeight="1">
      <c r="C203" s="2"/>
    </row>
    <row r="204" ht="15.75" customHeight="1">
      <c r="C204" s="2"/>
    </row>
    <row r="205" ht="15.75" customHeight="1">
      <c r="C205" s="2"/>
    </row>
    <row r="206" ht="15.75" customHeight="1">
      <c r="C206" s="2"/>
    </row>
    <row r="207" ht="15.75" customHeight="1">
      <c r="C207" s="2"/>
    </row>
    <row r="208" ht="15.75" customHeight="1">
      <c r="C208" s="2"/>
    </row>
    <row r="209" ht="15.75" customHeight="1">
      <c r="C209" s="2"/>
    </row>
    <row r="210" ht="15.75" customHeight="1">
      <c r="C210" s="2"/>
    </row>
    <row r="211" ht="15.75" customHeight="1">
      <c r="C211" s="2"/>
    </row>
    <row r="212" ht="15.75" customHeight="1">
      <c r="C212" s="2"/>
    </row>
    <row r="213" ht="15.75" customHeight="1">
      <c r="C213" s="2"/>
    </row>
    <row r="214" ht="15.75" customHeight="1">
      <c r="C214" s="2"/>
    </row>
    <row r="215" ht="15.75" customHeight="1">
      <c r="C215" s="2"/>
    </row>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hyperlinks>
    <hyperlink r:id="rId1" ref="B1"/>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7.38"/>
    <col customWidth="1" min="2" max="2" width="12.63"/>
    <col customWidth="1" min="3" max="3" width="14.63"/>
    <col customWidth="1" min="4" max="4" width="14.5"/>
    <col customWidth="1" min="5" max="5" width="24.38"/>
    <col customWidth="1" min="6" max="6" width="20.13"/>
    <col customWidth="1" min="8" max="8" width="24.63"/>
    <col customWidth="1" min="9" max="9" width="19.0"/>
    <col customWidth="1" min="10" max="10" width="21.75"/>
  </cols>
  <sheetData>
    <row r="1" ht="15.75" customHeight="1">
      <c r="A1" s="8" t="s">
        <v>18</v>
      </c>
      <c r="B1" s="8" t="s">
        <v>19</v>
      </c>
      <c r="C1" s="8" t="s">
        <v>20</v>
      </c>
      <c r="D1" s="8" t="s">
        <v>21</v>
      </c>
      <c r="E1" s="9" t="s">
        <v>22</v>
      </c>
      <c r="F1" s="9" t="s">
        <v>23</v>
      </c>
      <c r="G1" s="9" t="s">
        <v>24</v>
      </c>
      <c r="H1" s="9" t="s">
        <v>25</v>
      </c>
      <c r="I1" s="9" t="s">
        <v>26</v>
      </c>
      <c r="J1" s="9" t="s">
        <v>27</v>
      </c>
      <c r="K1" s="9" t="s">
        <v>28</v>
      </c>
      <c r="L1" s="10" t="s">
        <v>29</v>
      </c>
      <c r="M1" s="11" t="s">
        <v>30</v>
      </c>
      <c r="N1" s="10" t="s">
        <v>31</v>
      </c>
      <c r="O1" s="10" t="s">
        <v>32</v>
      </c>
      <c r="P1" s="12" t="s">
        <v>33</v>
      </c>
      <c r="Q1" s="10" t="s">
        <v>26</v>
      </c>
      <c r="R1" s="10" t="s">
        <v>34</v>
      </c>
      <c r="S1" s="8" t="s">
        <v>35</v>
      </c>
      <c r="T1" s="8" t="s">
        <v>35</v>
      </c>
    </row>
    <row r="2" ht="15.75" customHeight="1">
      <c r="A2" s="13" t="s">
        <v>36</v>
      </c>
      <c r="B2" s="13" t="s">
        <v>37</v>
      </c>
      <c r="C2" s="14">
        <v>5.0</v>
      </c>
      <c r="D2" s="15" t="s">
        <v>38</v>
      </c>
      <c r="E2" s="13" t="s">
        <v>39</v>
      </c>
      <c r="F2" s="13" t="s">
        <v>40</v>
      </c>
      <c r="G2" s="13" t="s">
        <v>41</v>
      </c>
      <c r="H2" s="13" t="s">
        <v>42</v>
      </c>
      <c r="I2" s="13" t="s">
        <v>43</v>
      </c>
      <c r="J2" s="13" t="s">
        <v>44</v>
      </c>
      <c r="K2" s="13" t="s">
        <v>45</v>
      </c>
      <c r="L2" s="16" t="str">
        <f>VLOOKUP($A2,'Raw - 2'!$A$2:$AC$2323,3,false)</f>
        <v>Birds</v>
      </c>
      <c r="M2" s="16" t="str">
        <f>VLOOKUP($A2,'Raw - 2'!$A$2:$AC$2323,10,false)</f>
        <v>S</v>
      </c>
      <c r="N2" s="16" t="str">
        <f>VLOOKUP($A2,'Raw - 2'!$A$2:$AC$2323,11,false)</f>
        <v>S America</v>
      </c>
      <c r="O2" s="16" t="str">
        <f>VLOOKUP($A2,'Raw - 2'!$A$2:$AC$2323,12,false)</f>
        <v>Brazil</v>
      </c>
      <c r="P2" s="13" t="str">
        <f>VLOOKUP($A2,'Raw - 2'!$A$2:$AC$2323,15,false)</f>
        <v>Yes</v>
      </c>
      <c r="Q2" s="16" t="str">
        <f>VLOOKUP($A2,'Raw - 2'!$A$2:$AC$2323,16,false)</f>
        <v>River</v>
      </c>
      <c r="R2" s="16" t="str">
        <f>VLOOKUP($A2,'Raw - 2'!$A$2:$AC$2323,27,false)</f>
        <v>Tropical forest</v>
      </c>
      <c r="S2" s="13">
        <v>1.0</v>
      </c>
      <c r="T2" s="13">
        <v>1.0</v>
      </c>
    </row>
    <row r="3" ht="15.75" customHeight="1">
      <c r="A3" s="13" t="s">
        <v>46</v>
      </c>
      <c r="B3" s="13" t="s">
        <v>47</v>
      </c>
      <c r="C3" s="14">
        <v>27.0</v>
      </c>
      <c r="D3" s="15" t="s">
        <v>48</v>
      </c>
      <c r="E3" s="13" t="s">
        <v>49</v>
      </c>
      <c r="F3" s="13" t="s">
        <v>50</v>
      </c>
      <c r="G3" s="13" t="s">
        <v>41</v>
      </c>
      <c r="H3" s="13" t="s">
        <v>51</v>
      </c>
      <c r="I3" s="13" t="s">
        <v>52</v>
      </c>
      <c r="J3" s="13" t="s">
        <v>44</v>
      </c>
      <c r="K3" s="13" t="s">
        <v>45</v>
      </c>
      <c r="L3" s="16" t="str">
        <f>VLOOKUP($A3,'Raw - 2'!$A$2:$AC$2323,3,false)</f>
        <v>Mammals</v>
      </c>
      <c r="M3" s="16" t="str">
        <f>VLOOKUP($A3,'Raw - 2'!$A$2:$AC$2323,10,false)</f>
        <v>S</v>
      </c>
      <c r="N3" s="16" t="str">
        <f>VLOOKUP($A3,'Raw - 2'!$A$2:$AC$2323,11,false)</f>
        <v>S America</v>
      </c>
      <c r="O3" s="16" t="str">
        <f>VLOOKUP($A3,'Raw - 2'!$A$2:$AC$2323,12,false)</f>
        <v>Colombia</v>
      </c>
      <c r="P3" s="13" t="str">
        <f>VLOOKUP($A3,'Raw - 2'!$A$2:$AC$2323,15,false)</f>
        <v>Yes</v>
      </c>
      <c r="Q3" s="16" t="str">
        <f>VLOOKUP($A3,'Raw - 2'!$A$2:$AC$2323,16,false)</f>
        <v>Settlement</v>
      </c>
      <c r="R3" s="16" t="str">
        <f>VLOOKUP($A3,'Raw - 2'!$A$2:$AC$2323,27,false)</f>
        <v>Tropical forest</v>
      </c>
      <c r="S3" s="13">
        <v>1.0</v>
      </c>
      <c r="T3" s="13">
        <v>1.0</v>
      </c>
    </row>
    <row r="4" ht="15.75" customHeight="1">
      <c r="A4" s="13" t="s">
        <v>53</v>
      </c>
      <c r="B4" s="13" t="s">
        <v>54</v>
      </c>
      <c r="C4" s="14">
        <v>32.0</v>
      </c>
      <c r="D4" s="15" t="s">
        <v>55</v>
      </c>
      <c r="E4" s="13" t="s">
        <v>56</v>
      </c>
      <c r="F4" s="13" t="s">
        <v>40</v>
      </c>
      <c r="G4" s="13" t="s">
        <v>41</v>
      </c>
      <c r="H4" s="13" t="s">
        <v>57</v>
      </c>
      <c r="I4" s="13" t="s">
        <v>58</v>
      </c>
      <c r="J4" s="13" t="s">
        <v>59</v>
      </c>
      <c r="K4" s="13" t="s">
        <v>60</v>
      </c>
      <c r="L4" s="16" t="str">
        <f>VLOOKUP($A4,'Raw - 2'!$A$2:$AC$2323,3,false)</f>
        <v>Mammals</v>
      </c>
      <c r="M4" s="16" t="str">
        <f>VLOOKUP($A4,'Raw - 2'!$A$2:$AC$2323,10,false)</f>
        <v>C</v>
      </c>
      <c r="N4" s="16" t="str">
        <f>VLOOKUP($A4,'Raw - 2'!$A$2:$AC$2323,11,false)</f>
        <v>Africa</v>
      </c>
      <c r="O4" s="16" t="str">
        <f>VLOOKUP($A4,'Raw - 2'!$A$2:$AC$2323,12,false)</f>
        <v>Cameroon</v>
      </c>
      <c r="P4" s="13" t="str">
        <f>VLOOKUP($A4,'Raw - 2'!$A$2:$AC$2323,15,false)</f>
        <v>Yes</v>
      </c>
      <c r="Q4" s="16" t="str">
        <f>VLOOKUP($A4,'Raw - 2'!$A$2:$AC$2323,16,false)</f>
        <v>Road</v>
      </c>
      <c r="R4" s="16" t="str">
        <f>VLOOKUP($A4,'Raw - 2'!$A$2:$AC$2323,27,false)</f>
        <v>Tropical forest</v>
      </c>
      <c r="S4" s="13">
        <v>4.0</v>
      </c>
      <c r="T4" s="13">
        <v>4.0</v>
      </c>
    </row>
    <row r="5" ht="15.75" customHeight="1">
      <c r="A5" s="13" t="s">
        <v>61</v>
      </c>
      <c r="B5" s="13" t="s">
        <v>62</v>
      </c>
      <c r="C5" s="14">
        <v>33.0</v>
      </c>
      <c r="D5" s="15" t="s">
        <v>63</v>
      </c>
      <c r="E5" s="13" t="s">
        <v>64</v>
      </c>
      <c r="F5" s="13" t="s">
        <v>65</v>
      </c>
      <c r="G5" s="13" t="s">
        <v>41</v>
      </c>
      <c r="H5" s="13" t="s">
        <v>66</v>
      </c>
      <c r="I5" s="13" t="s">
        <v>67</v>
      </c>
      <c r="J5" s="13" t="s">
        <v>68</v>
      </c>
      <c r="K5" s="13" t="s">
        <v>60</v>
      </c>
      <c r="L5" s="16" t="str">
        <f>VLOOKUP($A5,'Raw - 2'!$A$2:$AC$2323,3,false)</f>
        <v>Mammals</v>
      </c>
      <c r="M5" s="16" t="str">
        <f>VLOOKUP($A5,'Raw - 2'!$A$2:$AC$2323,10,false)</f>
        <v>SC</v>
      </c>
      <c r="N5" s="16" t="str">
        <f>VLOOKUP($A5,'Raw - 2'!$A$2:$AC$2323,11,false)</f>
        <v>Africa</v>
      </c>
      <c r="O5" s="16" t="str">
        <f>VLOOKUP($A5,'Raw - 2'!$A$2:$AC$2323,12,false)</f>
        <v>Tanzania</v>
      </c>
      <c r="P5" s="13" t="str">
        <f>VLOOKUP($A5,'Raw - 2'!$A$2:$AC$2323,15,false)</f>
        <v>Yes</v>
      </c>
      <c r="Q5" s="16" t="str">
        <f>VLOOKUP($A5,'Raw - 2'!$A$2:$AC$2323,16,false)</f>
        <v>Road &amp; Settlement</v>
      </c>
      <c r="R5" s="16" t="str">
        <f>VLOOKUP($A5,'Raw - 2'!$A$2:$AC$2323,27,false)</f>
        <v>Montane forest</v>
      </c>
      <c r="S5" s="13">
        <v>1.0</v>
      </c>
      <c r="T5" s="13">
        <v>1.0</v>
      </c>
    </row>
    <row r="6" ht="15.75" customHeight="1">
      <c r="A6" s="13" t="s">
        <v>69</v>
      </c>
      <c r="B6" s="13" t="s">
        <v>70</v>
      </c>
      <c r="C6" s="14">
        <v>34.0</v>
      </c>
      <c r="D6" s="15" t="s">
        <v>71</v>
      </c>
      <c r="E6" s="13" t="s">
        <v>72</v>
      </c>
      <c r="F6" s="13" t="s">
        <v>40</v>
      </c>
      <c r="G6" s="13" t="s">
        <v>73</v>
      </c>
      <c r="H6" s="13" t="s">
        <v>74</v>
      </c>
      <c r="I6" s="13" t="s">
        <v>52</v>
      </c>
      <c r="J6" s="13" t="s">
        <v>44</v>
      </c>
      <c r="K6" s="13" t="s">
        <v>75</v>
      </c>
      <c r="L6" s="16" t="str">
        <f>VLOOKUP($A6,'Raw - 2'!$A$2:$AC$2323,3,false)</f>
        <v>Birds</v>
      </c>
      <c r="M6" s="16" t="str">
        <f>VLOOKUP($A6,'Raw - 2'!$A$2:$AC$2323,10,false)</f>
        <v>S</v>
      </c>
      <c r="N6" s="16" t="str">
        <f>VLOOKUP($A6,'Raw - 2'!$A$2:$AC$2323,11,false)</f>
        <v>C America</v>
      </c>
      <c r="O6" s="16" t="str">
        <f>VLOOKUP($A6,'Raw - 2'!$A$2:$AC$2323,12,false)</f>
        <v>Honduras</v>
      </c>
      <c r="P6" s="13" t="str">
        <f>VLOOKUP($A6,'Raw - 2'!$A$2:$AC$2323,15,false)</f>
        <v>Yes</v>
      </c>
      <c r="Q6" s="16" t="str">
        <f>VLOOKUP($A6,'Raw - 2'!$A$2:$AC$2323,16,false)</f>
        <v>Settlement</v>
      </c>
      <c r="R6" s="16" t="str">
        <f>VLOOKUP($A6,'Raw - 2'!$A$2:$AC$2323,27,false)</f>
        <v>Tropical forest</v>
      </c>
      <c r="S6" s="13" t="s">
        <v>76</v>
      </c>
      <c r="T6" s="13">
        <v>2.0</v>
      </c>
    </row>
    <row r="7" ht="15.75" customHeight="1">
      <c r="A7" s="13" t="s">
        <v>77</v>
      </c>
      <c r="B7" s="13" t="s">
        <v>78</v>
      </c>
      <c r="C7" s="14">
        <v>35.0</v>
      </c>
      <c r="E7" s="13" t="s">
        <v>79</v>
      </c>
      <c r="F7" s="13" t="s">
        <v>80</v>
      </c>
      <c r="G7" s="13" t="s">
        <v>41</v>
      </c>
      <c r="H7" s="13" t="s">
        <v>81</v>
      </c>
      <c r="I7" s="13" t="s">
        <v>52</v>
      </c>
      <c r="J7" s="13" t="s">
        <v>68</v>
      </c>
      <c r="K7" s="13" t="s">
        <v>60</v>
      </c>
      <c r="L7" s="16" t="str">
        <f>VLOOKUP($A7,'Raw - 2'!$A$2:$AC$2323,3,false)</f>
        <v>Mammals</v>
      </c>
      <c r="M7" s="16" t="str">
        <f>VLOOKUP($A7,'Raw - 2'!$A$2:$AC$2323,10,false)</f>
        <v>SC</v>
      </c>
      <c r="N7" s="16" t="str">
        <f>VLOOKUP($A7,'Raw - 2'!$A$2:$AC$2323,11,false)</f>
        <v>Asia</v>
      </c>
      <c r="O7" s="16" t="str">
        <f>VLOOKUP($A7,'Raw - 2'!$A$2:$AC$2323,12,false)</f>
        <v>Cambodia</v>
      </c>
      <c r="P7" s="13" t="str">
        <f>VLOOKUP($A7,'Raw - 2'!$A$2:$AC$2323,15,false)</f>
        <v>Yes</v>
      </c>
      <c r="Q7" s="16" t="str">
        <f>VLOOKUP($A7,'Raw - 2'!$A$2:$AC$2323,16,false)</f>
        <v>Settlement</v>
      </c>
      <c r="R7" s="16" t="str">
        <f>VLOOKUP($A7,'Raw - 2'!$A$2:$AC$2323,27,false)</f>
        <v>Tropical forest</v>
      </c>
      <c r="S7" s="13">
        <v>1.0</v>
      </c>
      <c r="T7" s="13">
        <v>1.0</v>
      </c>
    </row>
    <row r="8" ht="15.75" customHeight="1">
      <c r="A8" s="13" t="s">
        <v>82</v>
      </c>
      <c r="B8" s="13" t="s">
        <v>83</v>
      </c>
      <c r="C8" s="14">
        <v>36.0</v>
      </c>
      <c r="D8" s="15" t="s">
        <v>84</v>
      </c>
      <c r="E8" s="13" t="s">
        <v>85</v>
      </c>
      <c r="F8" s="13" t="s">
        <v>86</v>
      </c>
      <c r="G8" s="13" t="s">
        <v>41</v>
      </c>
      <c r="H8" s="13" t="s">
        <v>87</v>
      </c>
      <c r="I8" s="13" t="s">
        <v>67</v>
      </c>
      <c r="J8" s="13" t="s">
        <v>68</v>
      </c>
      <c r="K8" s="13" t="s">
        <v>60</v>
      </c>
      <c r="L8" s="16" t="str">
        <f>VLOOKUP($A8,'Raw - 2'!$A$2:$AC$2323,3,false)</f>
        <v>Mammals</v>
      </c>
      <c r="M8" s="16" t="str">
        <f>VLOOKUP($A8,'Raw - 2'!$A$2:$AC$2323,10,false)</f>
        <v>SC</v>
      </c>
      <c r="N8" s="16" t="str">
        <f>VLOOKUP($A8,'Raw - 2'!$A$2:$AC$2323,11,false)</f>
        <v>Africa</v>
      </c>
      <c r="O8" s="16" t="str">
        <f>VLOOKUP($A8,'Raw - 2'!$A$2:$AC$2323,12,false)</f>
        <v>Gabon</v>
      </c>
      <c r="P8" s="13" t="str">
        <f>VLOOKUP($A8,'Raw - 2'!$A$2:$AC$2323,15,false)</f>
        <v>Yes</v>
      </c>
      <c r="Q8" s="16" t="str">
        <f>VLOOKUP($A8,'Raw - 2'!$A$2:$AC$2323,16,false)</f>
        <v>Settlement</v>
      </c>
      <c r="R8" s="16" t="str">
        <f>VLOOKUP($A8,'Raw - 2'!$A$2:$AC$2323,27,false)</f>
        <v>Tropical forest</v>
      </c>
      <c r="S8" s="13">
        <v>1.0</v>
      </c>
      <c r="T8" s="13">
        <v>1.0</v>
      </c>
    </row>
    <row r="9" ht="15.75" customHeight="1">
      <c r="A9" s="13" t="s">
        <v>88</v>
      </c>
      <c r="B9" s="13" t="s">
        <v>89</v>
      </c>
      <c r="C9" s="14">
        <v>37.0</v>
      </c>
      <c r="D9" s="15" t="s">
        <v>90</v>
      </c>
      <c r="E9" s="13" t="s">
        <v>91</v>
      </c>
      <c r="F9" s="13" t="s">
        <v>40</v>
      </c>
      <c r="G9" s="13" t="s">
        <v>41</v>
      </c>
      <c r="H9" s="13" t="s">
        <v>92</v>
      </c>
      <c r="I9" s="13" t="s">
        <v>67</v>
      </c>
      <c r="J9" s="13" t="s">
        <v>59</v>
      </c>
      <c r="K9" s="13" t="s">
        <v>60</v>
      </c>
      <c r="L9" s="16" t="str">
        <f>VLOOKUP($A9,'Raw - 2'!$A$2:$AC$2323,3,false)</f>
        <v>Mammals</v>
      </c>
      <c r="M9" s="16" t="str">
        <f>VLOOKUP($A9,'Raw - 2'!$A$2:$AC$2323,10,false)</f>
        <v>C</v>
      </c>
      <c r="N9" s="16" t="str">
        <f>VLOOKUP($A9,'Raw - 2'!$A$2:$AC$2323,11,false)</f>
        <v>Africa</v>
      </c>
      <c r="O9" s="16" t="str">
        <f>VLOOKUP($A9,'Raw - 2'!$A$2:$AC$2323,12,false)</f>
        <v>Congo</v>
      </c>
      <c r="P9" s="13" t="str">
        <f>VLOOKUP($A9,'Raw - 2'!$A$2:$AC$2323,15,false)</f>
        <v>Yes</v>
      </c>
      <c r="Q9" s="16" t="str">
        <f>VLOOKUP($A9,'Raw - 2'!$A$2:$AC$2323,16,false)</f>
        <v>Road &amp; Settlement</v>
      </c>
      <c r="R9" s="16" t="str">
        <f>VLOOKUP($A9,'Raw - 2'!$A$2:$AC$2323,27,false)</f>
        <v>Tropical forest</v>
      </c>
      <c r="S9" s="13">
        <v>1.0</v>
      </c>
      <c r="T9" s="13">
        <v>1.0</v>
      </c>
    </row>
    <row r="10" ht="15.75" customHeight="1">
      <c r="A10" s="13" t="s">
        <v>93</v>
      </c>
      <c r="B10" s="13" t="s">
        <v>94</v>
      </c>
      <c r="C10" s="14">
        <v>59.0</v>
      </c>
      <c r="D10" s="15" t="s">
        <v>95</v>
      </c>
      <c r="E10" s="13" t="s">
        <v>96</v>
      </c>
      <c r="F10" s="13" t="s">
        <v>97</v>
      </c>
      <c r="G10" s="13" t="s">
        <v>41</v>
      </c>
      <c r="H10" s="13" t="s">
        <v>66</v>
      </c>
      <c r="I10" s="13" t="s">
        <v>52</v>
      </c>
      <c r="J10" s="13" t="s">
        <v>44</v>
      </c>
      <c r="K10" s="13" t="s">
        <v>45</v>
      </c>
      <c r="L10" s="16" t="str">
        <f>VLOOKUP($A10,'Raw - 2'!$A$2:$AC$2323,3,false)</f>
        <v>Mammals</v>
      </c>
      <c r="M10" s="16" t="str">
        <f>VLOOKUP($A10,'Raw - 2'!$A$2:$AC$2323,10,false)</f>
        <v>S</v>
      </c>
      <c r="N10" s="16" t="str">
        <f>VLOOKUP($A10,'Raw - 2'!$A$2:$AC$2323,11,false)</f>
        <v>S America</v>
      </c>
      <c r="O10" s="16" t="str">
        <f>VLOOKUP($A10,'Raw - 2'!$A$2:$AC$2323,12,false)</f>
        <v>Argentina</v>
      </c>
      <c r="P10" s="13" t="str">
        <f>VLOOKUP($A10,'Raw - 2'!$A$2:$AC$2323,15,false)</f>
        <v>No</v>
      </c>
      <c r="Q10" s="16" t="str">
        <f>VLOOKUP($A10,'Raw - 2'!$A$2:$AC$2323,16,false)</f>
        <v>Settlement</v>
      </c>
      <c r="R10" s="16" t="str">
        <f>VLOOKUP($A10,'Raw - 2'!$A$2:$AC$2323,27,false)</f>
        <v>Xerophilous forest</v>
      </c>
      <c r="S10" s="13">
        <v>1.0</v>
      </c>
      <c r="T10" s="13">
        <v>1.0</v>
      </c>
    </row>
    <row r="11" ht="15.75" customHeight="1">
      <c r="A11" s="13" t="s">
        <v>98</v>
      </c>
      <c r="B11" s="13" t="s">
        <v>99</v>
      </c>
      <c r="C11" s="14">
        <v>60.0</v>
      </c>
      <c r="D11" s="15" t="s">
        <v>100</v>
      </c>
      <c r="E11" s="13" t="s">
        <v>101</v>
      </c>
      <c r="F11" s="13" t="s">
        <v>102</v>
      </c>
      <c r="G11" s="13" t="s">
        <v>41</v>
      </c>
      <c r="H11" s="13" t="s">
        <v>103</v>
      </c>
      <c r="I11" s="13" t="s">
        <v>52</v>
      </c>
      <c r="J11" s="13" t="s">
        <v>104</v>
      </c>
      <c r="K11" s="13" t="s">
        <v>105</v>
      </c>
      <c r="L11" s="16" t="str">
        <f>VLOOKUP($A11,'Raw - 2'!$A$2:$AC$2323,3,false)</f>
        <v>Mammals</v>
      </c>
      <c r="M11" s="16" t="str">
        <f>VLOOKUP($A11,'Raw - 2'!$A$2:$AC$2323,10,false)</f>
        <v>SC</v>
      </c>
      <c r="N11" s="16" t="str">
        <f>VLOOKUP($A11,'Raw - 2'!$A$2:$AC$2323,11,false)</f>
        <v>S America</v>
      </c>
      <c r="O11" s="16" t="str">
        <f>VLOOKUP($A11,'Raw - 2'!$A$2:$AC$2323,12,false)</f>
        <v>Peru</v>
      </c>
      <c r="P11" s="13" t="str">
        <f>VLOOKUP($A11,'Raw - 2'!$A$2:$AC$2323,15,false)</f>
        <v>No</v>
      </c>
      <c r="Q11" s="16" t="str">
        <f>VLOOKUP($A11,'Raw - 2'!$A$2:$AC$2323,16,false)</f>
        <v>Settlement</v>
      </c>
      <c r="R11" s="16" t="str">
        <f>VLOOKUP($A11,'Raw - 2'!$A$2:$AC$2323,27,false)</f>
        <v>Tropical forest</v>
      </c>
      <c r="S11" s="13">
        <v>1.0</v>
      </c>
      <c r="T11" s="13">
        <v>1.0</v>
      </c>
    </row>
    <row r="12" ht="15.75" customHeight="1">
      <c r="A12" s="13" t="s">
        <v>106</v>
      </c>
      <c r="B12" s="13" t="s">
        <v>107</v>
      </c>
      <c r="C12" s="14">
        <v>61.0</v>
      </c>
      <c r="D12" s="15" t="s">
        <v>108</v>
      </c>
      <c r="E12" s="13" t="s">
        <v>109</v>
      </c>
      <c r="F12" s="13" t="s">
        <v>110</v>
      </c>
      <c r="G12" s="13" t="s">
        <v>41</v>
      </c>
      <c r="H12" s="13" t="s">
        <v>111</v>
      </c>
      <c r="I12" s="13" t="s">
        <v>52</v>
      </c>
      <c r="J12" s="13" t="s">
        <v>59</v>
      </c>
      <c r="K12" s="13" t="s">
        <v>60</v>
      </c>
      <c r="L12" s="16" t="str">
        <f>VLOOKUP($A12,'Raw - 2'!$A$2:$AC$2323,3,false)</f>
        <v>Mammals</v>
      </c>
      <c r="M12" s="16" t="str">
        <f>VLOOKUP($A12,'Raw - 2'!$A$2:$AC$2323,10,false)</f>
        <v>C</v>
      </c>
      <c r="N12" s="16" t="str">
        <f>VLOOKUP($A12,'Raw - 2'!$A$2:$AC$2323,11,false)</f>
        <v>Africa</v>
      </c>
      <c r="O12" s="16" t="str">
        <f>VLOOKUP($A12,'Raw - 2'!$A$2:$AC$2323,12,false)</f>
        <v>Ethiopia</v>
      </c>
      <c r="P12" s="13" t="str">
        <f>VLOOKUP($A12,'Raw - 2'!$A$2:$AC$2323,15,false)</f>
        <v>No</v>
      </c>
      <c r="Q12" s="16" t="str">
        <f>VLOOKUP($A12,'Raw - 2'!$A$2:$AC$2323,16,false)</f>
        <v>Settlement</v>
      </c>
      <c r="R12" s="16" t="str">
        <f>VLOOKUP($A12,'Raw - 2'!$A$2:$AC$2323,27,false)</f>
        <v>Grasslands</v>
      </c>
      <c r="S12" s="13">
        <v>2.0</v>
      </c>
      <c r="T12" s="13">
        <v>2.0</v>
      </c>
    </row>
    <row r="13" ht="15.75" customHeight="1">
      <c r="A13" s="13" t="s">
        <v>112</v>
      </c>
      <c r="B13" s="13" t="s">
        <v>113</v>
      </c>
      <c r="C13" s="14">
        <v>62.0</v>
      </c>
      <c r="D13" s="15" t="s">
        <v>114</v>
      </c>
      <c r="E13" s="13" t="s">
        <v>115</v>
      </c>
      <c r="F13" s="13" t="s">
        <v>40</v>
      </c>
      <c r="G13" s="13" t="s">
        <v>41</v>
      </c>
      <c r="H13" s="13" t="s">
        <v>57</v>
      </c>
      <c r="I13" s="13" t="s">
        <v>67</v>
      </c>
      <c r="J13" s="13" t="s">
        <v>59</v>
      </c>
      <c r="K13" s="13" t="s">
        <v>60</v>
      </c>
      <c r="L13" s="16" t="str">
        <f>VLOOKUP($A13,'Raw - 2'!$A$2:$AC$2323,3,false)</f>
        <v>Mammals</v>
      </c>
      <c r="M13" s="16" t="str">
        <f>VLOOKUP($A13,'Raw - 2'!$A$2:$AC$2323,10,false)</f>
        <v>C</v>
      </c>
      <c r="N13" s="16" t="str">
        <f>VLOOKUP($A13,'Raw - 2'!$A$2:$AC$2323,11,false)</f>
        <v>Africa</v>
      </c>
      <c r="O13" s="16" t="str">
        <f>VLOOKUP($A13,'Raw - 2'!$A$2:$AC$2323,12,false)</f>
        <v>Gabon</v>
      </c>
      <c r="P13" s="13" t="str">
        <f>VLOOKUP($A13,'Raw - 2'!$A$2:$AC$2323,15,false)</f>
        <v>No</v>
      </c>
      <c r="Q13" s="16" t="str">
        <f>VLOOKUP($A13,'Raw - 2'!$A$2:$AC$2323,16,false)</f>
        <v>Road</v>
      </c>
      <c r="R13" s="16" t="str">
        <f>VLOOKUP($A13,'Raw - 2'!$A$2:$AC$2323,27,false)</f>
        <v>Tropical forest</v>
      </c>
      <c r="S13" s="13">
        <v>2.0</v>
      </c>
      <c r="T13" s="13">
        <v>2.0</v>
      </c>
    </row>
    <row r="14" ht="15.75" customHeight="1">
      <c r="A14" s="13" t="s">
        <v>116</v>
      </c>
      <c r="B14" s="17" t="s">
        <v>117</v>
      </c>
      <c r="C14" s="14">
        <v>63.0</v>
      </c>
      <c r="E14" s="13" t="s">
        <v>118</v>
      </c>
      <c r="F14" s="13" t="s">
        <v>119</v>
      </c>
      <c r="G14" s="13" t="s">
        <v>73</v>
      </c>
      <c r="H14" s="13" t="s">
        <v>120</v>
      </c>
      <c r="I14" s="13" t="s">
        <v>52</v>
      </c>
      <c r="J14" s="13" t="s">
        <v>121</v>
      </c>
      <c r="K14" s="13" t="s">
        <v>45</v>
      </c>
      <c r="L14" s="16" t="str">
        <f>VLOOKUP($A14,'Raw - 2'!$A$2:$AC$2323,3,false)</f>
        <v>Birds</v>
      </c>
      <c r="M14" s="16" t="str">
        <f>VLOOKUP($A14,'Raw - 2'!$A$2:$AC$2323,10,false)</f>
        <v>SC</v>
      </c>
      <c r="N14" s="16" t="str">
        <f>VLOOKUP($A14,'Raw - 2'!$A$2:$AC$2323,11,false)</f>
        <v>C America</v>
      </c>
      <c r="O14" s="16" t="str">
        <f>VLOOKUP($A14,'Raw - 2'!$A$2:$AC$2323,12,false)</f>
        <v>Guatemala</v>
      </c>
      <c r="P14" s="13" t="str">
        <f>VLOOKUP($A14,'Raw - 2'!$A$2:$AC$2323,15,false)</f>
        <v>Yes</v>
      </c>
      <c r="Q14" s="16" t="str">
        <f>VLOOKUP($A14,'Raw - 2'!$A$2:$AC$2323,16,false)</f>
        <v>Settlement</v>
      </c>
      <c r="R14" s="16" t="str">
        <f>VLOOKUP($A14,'Raw - 2'!$A$2:$AC$2323,27,false)</f>
        <v>Tropical forest</v>
      </c>
      <c r="S14" s="13">
        <v>1.0</v>
      </c>
      <c r="T14" s="13">
        <v>1.0</v>
      </c>
    </row>
    <row r="15" ht="15.75" customHeight="1">
      <c r="A15" s="16" t="s">
        <v>122</v>
      </c>
      <c r="B15" s="13" t="s">
        <v>123</v>
      </c>
      <c r="C15" s="14">
        <v>64.0</v>
      </c>
      <c r="D15" s="15" t="s">
        <v>124</v>
      </c>
      <c r="E15" s="13" t="s">
        <v>125</v>
      </c>
      <c r="F15" s="13" t="s">
        <v>40</v>
      </c>
      <c r="G15" s="13" t="s">
        <v>126</v>
      </c>
      <c r="H15" s="13" t="s">
        <v>127</v>
      </c>
      <c r="I15" s="13" t="s">
        <v>52</v>
      </c>
      <c r="J15" s="13" t="s">
        <v>44</v>
      </c>
      <c r="K15" s="13" t="s">
        <v>128</v>
      </c>
      <c r="L15" s="16" t="str">
        <f>VLOOKUP($A15,'Raw - 2'!$A$2:$AC$2323,3,false)</f>
        <v>Birds</v>
      </c>
      <c r="M15" s="16" t="str">
        <f>VLOOKUP($A15,'Raw - 2'!$A$2:$AC$2323,10,false)</f>
        <v>S</v>
      </c>
      <c r="N15" s="16" t="str">
        <f>VLOOKUP($A15,'Raw - 2'!$A$2:$AC$2323,11,false)</f>
        <v>S America</v>
      </c>
      <c r="O15" s="16" t="str">
        <f>VLOOKUP($A15,'Raw - 2'!$A$2:$AC$2323,12,false)</f>
        <v>Peru</v>
      </c>
      <c r="P15" s="13" t="str">
        <f>VLOOKUP($A15,'Raw - 2'!$A$2:$AC$2323,15,false)</f>
        <v>No</v>
      </c>
      <c r="Q15" s="16" t="str">
        <f>VLOOKUP($A15,'Raw - 2'!$A$2:$AC$2323,16,false)</f>
        <v>Settlement</v>
      </c>
      <c r="R15" s="16" t="str">
        <f>VLOOKUP($A15,'Raw - 2'!$A$2:$AC$2323,27,false)</f>
        <v>Tropical forest</v>
      </c>
      <c r="S15" s="13">
        <v>1.0</v>
      </c>
      <c r="T15" s="13">
        <v>1.0</v>
      </c>
    </row>
    <row r="16" ht="15.75" customHeight="1">
      <c r="A16" s="13" t="s">
        <v>129</v>
      </c>
      <c r="B16" s="17" t="s">
        <v>130</v>
      </c>
      <c r="C16" s="14">
        <v>65.0</v>
      </c>
      <c r="E16" s="13" t="s">
        <v>131</v>
      </c>
      <c r="F16" s="13" t="s">
        <v>40</v>
      </c>
      <c r="G16" s="13" t="s">
        <v>126</v>
      </c>
      <c r="H16" s="13" t="s">
        <v>132</v>
      </c>
      <c r="I16" s="13" t="s">
        <v>52</v>
      </c>
      <c r="J16" s="13" t="s">
        <v>44</v>
      </c>
      <c r="K16" s="13" t="s">
        <v>128</v>
      </c>
      <c r="L16" s="16" t="str">
        <f>VLOOKUP($A16,'Raw - 2'!$A$2:$AC$2323,3,false)</f>
        <v>Birds</v>
      </c>
      <c r="M16" s="16" t="str">
        <f>VLOOKUP($A16,'Raw - 2'!$A$2:$AC$2323,10,false)</f>
        <v>S</v>
      </c>
      <c r="N16" s="16" t="str">
        <f>VLOOKUP($A16,'Raw - 2'!$A$2:$AC$2323,11,false)</f>
        <v>S America</v>
      </c>
      <c r="O16" s="16" t="str">
        <f>VLOOKUP($A16,'Raw - 2'!$A$2:$AC$2323,12,false)</f>
        <v>Peru</v>
      </c>
      <c r="P16" s="13" t="str">
        <f>VLOOKUP($A16,'Raw - 2'!$A$2:$AC$2323,15,false)</f>
        <v>Yes</v>
      </c>
      <c r="Q16" s="16" t="str">
        <f>VLOOKUP($A16,'Raw - 2'!$A$2:$AC$2323,16,false)</f>
        <v>Settlement</v>
      </c>
      <c r="R16" s="16" t="str">
        <f>VLOOKUP($A16,'Raw - 2'!$A$2:$AC$2323,27,false)</f>
        <v>Tropical forest</v>
      </c>
      <c r="S16" s="13" t="s">
        <v>133</v>
      </c>
      <c r="T16" s="13">
        <v>4.0</v>
      </c>
    </row>
    <row r="17" ht="15.75" customHeight="1">
      <c r="A17" s="13" t="s">
        <v>134</v>
      </c>
      <c r="B17" s="13" t="s">
        <v>135</v>
      </c>
      <c r="C17" s="14">
        <v>66.0</v>
      </c>
      <c r="D17" s="15" t="s">
        <v>136</v>
      </c>
      <c r="E17" s="13" t="s">
        <v>137</v>
      </c>
      <c r="F17" s="13" t="s">
        <v>40</v>
      </c>
      <c r="G17" s="13" t="s">
        <v>73</v>
      </c>
      <c r="H17" s="13" t="s">
        <v>138</v>
      </c>
      <c r="I17" s="13" t="s">
        <v>58</v>
      </c>
      <c r="J17" s="13" t="s">
        <v>68</v>
      </c>
      <c r="K17" s="13" t="s">
        <v>45</v>
      </c>
      <c r="L17" s="16" t="str">
        <f>VLOOKUP($A17,'Raw - 2'!$A$2:$AC$2323,3,false)</f>
        <v>Mammals</v>
      </c>
      <c r="M17" s="16" t="str">
        <f>VLOOKUP($A17,'Raw - 2'!$A$2:$AC$2323,10,false)</f>
        <v>C</v>
      </c>
      <c r="N17" s="16" t="str">
        <f>VLOOKUP($A17,'Raw - 2'!$A$2:$AC$2323,11,false)</f>
        <v>Africa</v>
      </c>
      <c r="O17" s="16" t="str">
        <f>VLOOKUP($A17,'Raw - 2'!$A$2:$AC$2323,12,false)</f>
        <v>D.R. Congo</v>
      </c>
      <c r="P17" s="13" t="str">
        <f>VLOOKUP($A17,'Raw - 2'!$A$2:$AC$2323,15,false)</f>
        <v>Yes</v>
      </c>
      <c r="Q17" s="16" t="str">
        <f>VLOOKUP($A17,'Raw - 2'!$A$2:$AC$2323,16,false)</f>
        <v>Road</v>
      </c>
      <c r="R17" s="16" t="str">
        <f>VLOOKUP($A17,'Raw - 2'!$A$2:$AC$2323,27,false)</f>
        <v>Tropical forest</v>
      </c>
      <c r="S17" s="13">
        <v>1.0</v>
      </c>
      <c r="T17" s="13">
        <v>1.0</v>
      </c>
    </row>
    <row r="18" ht="15.75" customHeight="1">
      <c r="A18" s="13" t="s">
        <v>139</v>
      </c>
      <c r="B18" s="13" t="s">
        <v>140</v>
      </c>
      <c r="C18" s="14">
        <v>67.0</v>
      </c>
      <c r="D18" s="15" t="s">
        <v>141</v>
      </c>
      <c r="E18" s="13" t="s">
        <v>142</v>
      </c>
      <c r="F18" s="13" t="s">
        <v>40</v>
      </c>
      <c r="G18" s="13" t="s">
        <v>41</v>
      </c>
      <c r="H18" s="13" t="s">
        <v>143</v>
      </c>
      <c r="I18" s="13" t="s">
        <v>144</v>
      </c>
      <c r="J18" s="13" t="s">
        <v>59</v>
      </c>
      <c r="K18" s="13" t="s">
        <v>60</v>
      </c>
      <c r="L18" s="16" t="str">
        <f>VLOOKUP($A18,'Raw - 2'!$A$2:$AC$2323,3,false)</f>
        <v>Mammals</v>
      </c>
      <c r="M18" s="16" t="str">
        <f>VLOOKUP($A18,'Raw - 2'!$A$2:$AC$2323,10,false)</f>
        <v>C</v>
      </c>
      <c r="N18" s="16" t="str">
        <f>VLOOKUP($A18,'Raw - 2'!$A$2:$AC$2323,11,false)</f>
        <v>Africa</v>
      </c>
      <c r="O18" s="16" t="str">
        <f>VLOOKUP($A18,'Raw - 2'!$A$2:$AC$2323,12,false)</f>
        <v>Central African Republic</v>
      </c>
      <c r="P18" s="13" t="str">
        <f>VLOOKUP($A18,'Raw - 2'!$A$2:$AC$2323,15,false)</f>
        <v>No</v>
      </c>
      <c r="Q18" s="16" t="str">
        <f>VLOOKUP($A18,'Raw - 2'!$A$2:$AC$2323,16,false)</f>
        <v>Road &amp; Settlement</v>
      </c>
      <c r="R18" s="16" t="str">
        <f>VLOOKUP($A18,'Raw - 2'!$A$2:$AC$2323,27,false)</f>
        <v>Tropical forest</v>
      </c>
      <c r="S18" s="13">
        <v>1.0</v>
      </c>
      <c r="T18" s="13">
        <v>1.0</v>
      </c>
    </row>
    <row r="19" ht="15.75" customHeight="1">
      <c r="A19" s="13" t="s">
        <v>145</v>
      </c>
      <c r="B19" s="13" t="s">
        <v>146</v>
      </c>
      <c r="C19" s="14">
        <v>68.0</v>
      </c>
      <c r="D19" s="15" t="s">
        <v>147</v>
      </c>
      <c r="E19" s="13" t="s">
        <v>142</v>
      </c>
      <c r="F19" s="13" t="s">
        <v>40</v>
      </c>
      <c r="G19" s="13" t="s">
        <v>41</v>
      </c>
      <c r="H19" s="13" t="s">
        <v>148</v>
      </c>
      <c r="I19" s="13" t="s">
        <v>144</v>
      </c>
      <c r="J19" s="13" t="s">
        <v>44</v>
      </c>
      <c r="K19" s="13" t="s">
        <v>75</v>
      </c>
      <c r="L19" s="16" t="str">
        <f>VLOOKUP($A19,'Raw - 2'!$A$2:$AC$2323,3,false)</f>
        <v>Mammals</v>
      </c>
      <c r="M19" s="16" t="str">
        <f>VLOOKUP($A19,'Raw - 2'!$A$2:$AC$2323,10,false)</f>
        <v>S</v>
      </c>
      <c r="N19" s="16" t="str">
        <f>VLOOKUP($A19,'Raw - 2'!$A$2:$AC$2323,11,false)</f>
        <v>Africa</v>
      </c>
      <c r="O19" s="16" t="str">
        <f>VLOOKUP($A19,'Raw - 2'!$A$2:$AC$2323,12,false)</f>
        <v>Central African Republic</v>
      </c>
      <c r="P19" s="13" t="str">
        <f>VLOOKUP($A19,'Raw - 2'!$A$2:$AC$2323,15,false)</f>
        <v>No</v>
      </c>
      <c r="Q19" s="16" t="str">
        <f>VLOOKUP($A19,'Raw - 2'!$A$2:$AC$2323,16,false)</f>
        <v>Road &amp; Settlement</v>
      </c>
      <c r="R19" s="16" t="str">
        <f>VLOOKUP($A19,'Raw - 2'!$A$2:$AC$2323,27,false)</f>
        <v>Tropical forest</v>
      </c>
      <c r="S19" s="13">
        <v>1.0</v>
      </c>
      <c r="T19" s="13">
        <v>1.0</v>
      </c>
    </row>
    <row r="20" ht="15.75" customHeight="1">
      <c r="A20" s="13" t="s">
        <v>149</v>
      </c>
      <c r="B20" s="13" t="s">
        <v>150</v>
      </c>
      <c r="C20" s="14">
        <v>69.0</v>
      </c>
      <c r="D20" s="15" t="s">
        <v>151</v>
      </c>
      <c r="E20" s="13" t="s">
        <v>152</v>
      </c>
      <c r="F20" s="13" t="s">
        <v>40</v>
      </c>
      <c r="G20" s="13" t="s">
        <v>126</v>
      </c>
      <c r="H20" s="13" t="s">
        <v>153</v>
      </c>
      <c r="I20" s="13" t="s">
        <v>52</v>
      </c>
      <c r="J20" s="13" t="s">
        <v>68</v>
      </c>
      <c r="K20" s="13" t="s">
        <v>60</v>
      </c>
      <c r="L20" s="16" t="str">
        <f>VLOOKUP($A20,'Raw - 2'!$A$2:$AC$2323,3,false)</f>
        <v>Birds</v>
      </c>
      <c r="M20" s="16" t="str">
        <f>VLOOKUP($A20,'Raw - 2'!$A$2:$AC$2323,10,false)</f>
        <v>SC</v>
      </c>
      <c r="N20" s="16" t="str">
        <f>VLOOKUP($A20,'Raw - 2'!$A$2:$AC$2323,11,false)</f>
        <v>Asia</v>
      </c>
      <c r="O20" s="16" t="str">
        <f>VLOOKUP($A20,'Raw - 2'!$A$2:$AC$2323,12,false)</f>
        <v>Vietnam</v>
      </c>
      <c r="P20" s="13" t="str">
        <f>VLOOKUP($A20,'Raw - 2'!$A$2:$AC$2323,15,false)</f>
        <v>No</v>
      </c>
      <c r="Q20" s="16" t="str">
        <f>VLOOKUP($A20,'Raw - 2'!$A$2:$AC$2323,16,false)</f>
        <v>Settlement</v>
      </c>
      <c r="R20" s="16" t="str">
        <f>VLOOKUP($A20,'Raw - 2'!$A$2:$AC$2323,27,false)</f>
        <v>Tropical forest</v>
      </c>
      <c r="S20" s="13">
        <v>1.0</v>
      </c>
      <c r="T20" s="13">
        <v>1.0</v>
      </c>
    </row>
    <row r="21" ht="15.75" customHeight="1">
      <c r="A21" s="13" t="s">
        <v>154</v>
      </c>
      <c r="B21" s="17" t="s">
        <v>155</v>
      </c>
      <c r="C21" s="14">
        <v>70.0</v>
      </c>
      <c r="E21" s="13" t="s">
        <v>156</v>
      </c>
      <c r="F21" s="13" t="s">
        <v>40</v>
      </c>
      <c r="G21" s="13" t="s">
        <v>73</v>
      </c>
      <c r="H21" s="13" t="s">
        <v>157</v>
      </c>
      <c r="I21" s="13" t="s">
        <v>52</v>
      </c>
      <c r="J21" s="13" t="s">
        <v>44</v>
      </c>
      <c r="K21" s="13" t="s">
        <v>45</v>
      </c>
      <c r="L21" s="16" t="str">
        <f>VLOOKUP($A21,'Raw - 2'!$A$2:$AC$2323,3,false)</f>
        <v>Birds</v>
      </c>
      <c r="M21" s="16" t="str">
        <f>VLOOKUP($A21,'Raw - 2'!$A$2:$AC$2323,10,false)</f>
        <v>S</v>
      </c>
      <c r="N21" s="16" t="str">
        <f>VLOOKUP($A21,'Raw - 2'!$A$2:$AC$2323,11,false)</f>
        <v>S America</v>
      </c>
      <c r="O21" s="16" t="str">
        <f>VLOOKUP($A21,'Raw - 2'!$A$2:$AC$2323,12,false)</f>
        <v>Honduras</v>
      </c>
      <c r="P21" s="13" t="str">
        <f>VLOOKUP($A21,'Raw - 2'!$A$2:$AC$2323,15,false)</f>
        <v>Yes</v>
      </c>
      <c r="Q21" s="16" t="str">
        <f>VLOOKUP($A21,'Raw - 2'!$A$2:$AC$2323,16,false)</f>
        <v>Settlement</v>
      </c>
      <c r="R21" s="16" t="str">
        <f>VLOOKUP($A21,'Raw - 2'!$A$2:$AC$2323,27,false)</f>
        <v>Tropical forest</v>
      </c>
      <c r="S21" s="13">
        <v>1.0</v>
      </c>
      <c r="T21" s="13">
        <v>1.0</v>
      </c>
    </row>
    <row r="22" ht="15.75" customHeight="1">
      <c r="A22" s="16" t="s">
        <v>158</v>
      </c>
      <c r="B22" s="13" t="s">
        <v>159</v>
      </c>
      <c r="C22" s="14">
        <v>71.0</v>
      </c>
      <c r="D22" s="15" t="s">
        <v>160</v>
      </c>
      <c r="E22" s="13" t="s">
        <v>161</v>
      </c>
      <c r="F22" s="13" t="s">
        <v>102</v>
      </c>
      <c r="G22" s="13" t="s">
        <v>41</v>
      </c>
      <c r="H22" s="13" t="s">
        <v>162</v>
      </c>
      <c r="I22" s="13" t="s">
        <v>163</v>
      </c>
      <c r="J22" s="13" t="s">
        <v>68</v>
      </c>
      <c r="K22" s="13" t="s">
        <v>164</v>
      </c>
      <c r="L22" s="16" t="str">
        <f>VLOOKUP($A22,'Raw - 2'!$A$2:$AC$2323,3,false)</f>
        <v>Mammals</v>
      </c>
      <c r="M22" s="16" t="str">
        <f>VLOOKUP($A22,'Raw - 2'!$A$2:$AC$2323,10,false)</f>
        <v>SC</v>
      </c>
      <c r="N22" s="16" t="str">
        <f>VLOOKUP($A22,'Raw - 2'!$A$2:$AC$2323,11,false)</f>
        <v>C America</v>
      </c>
      <c r="O22" s="16" t="str">
        <f>VLOOKUP($A22,'Raw - 2'!$A$2:$AC$2323,12,false)</f>
        <v>Costa Rica</v>
      </c>
      <c r="P22" s="13" t="str">
        <f>VLOOKUP($A22,'Raw - 2'!$A$2:$AC$2323,15,false)</f>
        <v>Yes</v>
      </c>
      <c r="Q22" s="16" t="str">
        <f>VLOOKUP($A22,'Raw - 2'!$A$2:$AC$2323,16,false)</f>
        <v>Road &amp; Settlement</v>
      </c>
      <c r="R22" s="16" t="str">
        <f>VLOOKUP($A22,'Raw - 2'!$A$2:$AC$2323,27,false)</f>
        <v>Tropical forest</v>
      </c>
      <c r="S22" s="13">
        <v>1.0</v>
      </c>
      <c r="T22" s="13">
        <v>1.0</v>
      </c>
    </row>
    <row r="23" ht="15.75" customHeight="1">
      <c r="A23" s="13" t="s">
        <v>165</v>
      </c>
      <c r="B23" s="13" t="s">
        <v>166</v>
      </c>
      <c r="C23" s="14">
        <v>72.0</v>
      </c>
      <c r="D23" s="15" t="s">
        <v>167</v>
      </c>
      <c r="E23" s="13" t="s">
        <v>168</v>
      </c>
      <c r="F23" s="13" t="s">
        <v>169</v>
      </c>
      <c r="G23" s="13" t="s">
        <v>41</v>
      </c>
      <c r="H23" s="13" t="s">
        <v>170</v>
      </c>
      <c r="I23" s="13" t="s">
        <v>163</v>
      </c>
      <c r="J23" s="13" t="s">
        <v>68</v>
      </c>
      <c r="K23" s="13" t="s">
        <v>60</v>
      </c>
      <c r="L23" s="13" t="str">
        <f>VLOOKUP($A23,'Raw - 2'!$A$2:$AC$2323,3,false)</f>
        <v>Mammals</v>
      </c>
      <c r="M23" s="13" t="str">
        <f>VLOOKUP($A23,'Raw - 2'!$A$2:$AC$2323,10,false)</f>
        <v>SC</v>
      </c>
      <c r="N23" s="13" t="str">
        <f>VLOOKUP($A23,'Raw - 2'!$A$2:$AC$2323,11,false)</f>
        <v>S America</v>
      </c>
      <c r="O23" s="13" t="str">
        <f>VLOOKUP($A23,'Raw - 2'!$A$2:$AC$2323,12,false)</f>
        <v>Brazil</v>
      </c>
      <c r="P23" s="13" t="str">
        <f>VLOOKUP($A23,'Raw - 2'!$A$2:$AC$2323,15,false)</f>
        <v>Yes</v>
      </c>
      <c r="Q23" s="16" t="str">
        <f>VLOOKUP($A23,'Raw - 2'!$A$2:$AC$2323,16,false)</f>
        <v>Road &amp; Settlement</v>
      </c>
      <c r="R23" s="13" t="str">
        <f>VLOOKUP($A23,'Raw - 2'!$A$2:$AC$2323,27,false)</f>
        <v>Atlantic forest</v>
      </c>
      <c r="S23" s="13">
        <v>1.0</v>
      </c>
      <c r="T23" s="13">
        <v>1.0</v>
      </c>
    </row>
    <row r="24" ht="15.75" customHeight="1">
      <c r="A24" s="13" t="s">
        <v>171</v>
      </c>
      <c r="B24" s="13" t="s">
        <v>172</v>
      </c>
      <c r="C24" s="14">
        <v>73.0</v>
      </c>
      <c r="E24" s="13" t="s">
        <v>173</v>
      </c>
      <c r="F24" s="13" t="s">
        <v>40</v>
      </c>
      <c r="G24" s="13" t="s">
        <v>41</v>
      </c>
      <c r="H24" s="13" t="s">
        <v>174</v>
      </c>
      <c r="I24" s="13" t="s">
        <v>52</v>
      </c>
      <c r="J24" s="13" t="s">
        <v>68</v>
      </c>
      <c r="K24" s="13" t="s">
        <v>60</v>
      </c>
      <c r="L24" s="16" t="str">
        <f>VLOOKUP($A24,'Raw - 2'!$A$2:$AC$2323,3,false)</f>
        <v>Mammals</v>
      </c>
      <c r="M24" s="16" t="str">
        <f>VLOOKUP($A24,'Raw - 2'!$A$2:$AC$2323,10,false)</f>
        <v>SC</v>
      </c>
      <c r="N24" s="16" t="str">
        <f>VLOOKUP($A24,'Raw - 2'!$A$2:$AC$2323,11,false)</f>
        <v>Africa</v>
      </c>
      <c r="O24" s="16" t="str">
        <f>VLOOKUP($A24,'Raw - 2'!$A$2:$AC$2323,12,false)</f>
        <v>Equatorial Guinea</v>
      </c>
      <c r="P24" s="13" t="str">
        <f>VLOOKUP($A24,'Raw - 2'!$A$2:$AC$2323,15,false)</f>
        <v>Yes</v>
      </c>
      <c r="Q24" s="16" t="str">
        <f>VLOOKUP($A24,'Raw - 2'!$A$2:$AC$2323,16,false)</f>
        <v>Settlement</v>
      </c>
      <c r="R24" s="16" t="str">
        <f>VLOOKUP($A24,'Raw - 2'!$A$2:$AC$2323,27,false)</f>
        <v>Tropical forest</v>
      </c>
      <c r="S24" s="13" t="s">
        <v>175</v>
      </c>
      <c r="T24" s="13">
        <v>3.0</v>
      </c>
    </row>
    <row r="25" ht="15.75" customHeight="1">
      <c r="A25" s="13" t="s">
        <v>176</v>
      </c>
      <c r="B25" s="13" t="s">
        <v>177</v>
      </c>
      <c r="C25" s="14">
        <v>76.0</v>
      </c>
      <c r="E25" s="13" t="s">
        <v>178</v>
      </c>
      <c r="F25" s="13" t="s">
        <v>179</v>
      </c>
      <c r="G25" s="13" t="s">
        <v>126</v>
      </c>
      <c r="H25" s="13" t="s">
        <v>180</v>
      </c>
      <c r="I25" s="13" t="s">
        <v>52</v>
      </c>
      <c r="J25" s="13" t="s">
        <v>68</v>
      </c>
      <c r="K25" s="13" t="s">
        <v>181</v>
      </c>
      <c r="L25" s="13" t="str">
        <f>VLOOKUP($A25,'Raw - 2'!$A$2:$AC$2323,3,false)</f>
        <v>Birds</v>
      </c>
      <c r="M25" s="13" t="str">
        <f>VLOOKUP($A25,'Raw - 2'!$A$2:$AC$2323,10,false)</f>
        <v>SC</v>
      </c>
      <c r="N25" s="13" t="str">
        <f>VLOOKUP($A25,'Raw - 2'!$A$2:$AC$2323,11,false)</f>
        <v>Asia</v>
      </c>
      <c r="O25" s="13" t="str">
        <f>VLOOKUP($A25,'Raw - 2'!$A$2:$AC$2323,12,false)</f>
        <v>India</v>
      </c>
      <c r="P25" s="13" t="str">
        <f>VLOOKUP($A25,'Raw - 2'!$A$2:$AC$2323,15,false)</f>
        <v>No</v>
      </c>
      <c r="Q25" s="16" t="str">
        <f>VLOOKUP($A25,'Raw - 2'!$A$2:$AC$2323,16,false)</f>
        <v>Settlement</v>
      </c>
      <c r="R25" s="16" t="str">
        <f>VLOOKUP($A25,'Raw - 2'!$A$2:$AC$2323,27,false)</f>
        <v>Tropical forest</v>
      </c>
      <c r="S25" s="13" t="s">
        <v>182</v>
      </c>
      <c r="T25" s="13">
        <v>4.0</v>
      </c>
    </row>
    <row r="26" ht="15.75" customHeight="1">
      <c r="A26" s="13" t="s">
        <v>183</v>
      </c>
      <c r="B26" s="13" t="s">
        <v>184</v>
      </c>
      <c r="C26" s="14">
        <v>77.0</v>
      </c>
      <c r="E26" s="13" t="s">
        <v>185</v>
      </c>
      <c r="F26" s="13" t="s">
        <v>186</v>
      </c>
      <c r="G26" s="13" t="s">
        <v>41</v>
      </c>
      <c r="H26" s="13" t="s">
        <v>51</v>
      </c>
      <c r="I26" s="13" t="s">
        <v>52</v>
      </c>
      <c r="J26" s="13" t="s">
        <v>68</v>
      </c>
      <c r="K26" s="13" t="s">
        <v>187</v>
      </c>
      <c r="L26" s="16" t="str">
        <f>VLOOKUP($A26,'Raw - 2'!$A$2:$AC$2323,3,false)</f>
        <v>Mammals</v>
      </c>
      <c r="M26" s="13" t="str">
        <f>VLOOKUP($A26,'Raw - 2'!$A$2:$AC$2323,10,false)</f>
        <v>SC</v>
      </c>
      <c r="N26" s="16" t="str">
        <f>VLOOKUP($A26,'Raw - 2'!$A$2:$AC$2323,11,false)</f>
        <v>Africa</v>
      </c>
      <c r="O26" s="16" t="str">
        <f>VLOOKUP($A26,'Raw - 2'!$A$2:$AC$2323,12,false)</f>
        <v>Sierra Leone</v>
      </c>
      <c r="P26" s="13" t="str">
        <f>VLOOKUP($A26,'Raw - 2'!$A$2:$AC$2323,15,false)</f>
        <v>No</v>
      </c>
      <c r="Q26" s="16" t="str">
        <f>VLOOKUP($A26,'Raw - 2'!$A$2:$AC$2323,16,false)</f>
        <v>Settlement</v>
      </c>
      <c r="R26" s="16" t="str">
        <f>VLOOKUP($A26,'Raw - 2'!$A$2:$AC$2323,27,false)</f>
        <v>Farmbush</v>
      </c>
      <c r="S26" s="13" t="s">
        <v>188</v>
      </c>
      <c r="T26" s="13">
        <v>2.0</v>
      </c>
    </row>
    <row r="27" ht="15.75" customHeight="1">
      <c r="A27" s="13" t="s">
        <v>189</v>
      </c>
      <c r="B27" s="13" t="s">
        <v>190</v>
      </c>
      <c r="C27" s="14">
        <v>78.0</v>
      </c>
      <c r="D27" s="15" t="s">
        <v>191</v>
      </c>
      <c r="E27" s="13" t="s">
        <v>192</v>
      </c>
      <c r="F27" s="13" t="s">
        <v>193</v>
      </c>
      <c r="G27" s="13" t="s">
        <v>41</v>
      </c>
      <c r="H27" s="13" t="s">
        <v>194</v>
      </c>
      <c r="I27" s="13" t="s">
        <v>52</v>
      </c>
      <c r="J27" s="13" t="s">
        <v>44</v>
      </c>
      <c r="K27" s="13" t="s">
        <v>45</v>
      </c>
      <c r="L27" s="16" t="str">
        <f>VLOOKUP($A27,'Raw - 2'!$A$2:$AC$2323,3,false)</f>
        <v>Mammals</v>
      </c>
      <c r="M27" s="16" t="str">
        <f>VLOOKUP($A27,'Raw - 2'!$A$2:$AC$2323,10,false)</f>
        <v>S</v>
      </c>
      <c r="N27" s="16" t="str">
        <f>VLOOKUP($A27,'Raw - 2'!$A$2:$AC$2323,11,false)</f>
        <v>S America</v>
      </c>
      <c r="O27" s="16" t="str">
        <f>VLOOKUP($A27,'Raw - 2'!$A$2:$AC$2323,12,false)</f>
        <v>Brazil</v>
      </c>
      <c r="P27" s="13" t="str">
        <f>VLOOKUP($A27,'Raw - 2'!$A$2:$AC$2323,15,false)</f>
        <v>No</v>
      </c>
      <c r="Q27" s="16" t="str">
        <f>VLOOKUP($A27,'Raw - 2'!$A$2:$AC$2323,16,false)</f>
        <v>Settlement</v>
      </c>
      <c r="R27" s="16" t="str">
        <f>VLOOKUP($A27,'Raw - 2'!$A$2:$AC$2323,27,false)</f>
        <v>Camparina Forest</v>
      </c>
      <c r="S27" s="13">
        <v>1.0</v>
      </c>
      <c r="T27" s="13">
        <v>1.0</v>
      </c>
    </row>
    <row r="28" ht="15.75" customHeight="1">
      <c r="A28" s="13" t="s">
        <v>195</v>
      </c>
      <c r="B28" s="13" t="s">
        <v>196</v>
      </c>
      <c r="C28" s="14">
        <v>79.0</v>
      </c>
      <c r="E28" s="13" t="s">
        <v>137</v>
      </c>
      <c r="F28" s="13" t="s">
        <v>102</v>
      </c>
      <c r="G28" s="13" t="s">
        <v>41</v>
      </c>
      <c r="H28" s="13" t="s">
        <v>51</v>
      </c>
      <c r="I28" s="13" t="s">
        <v>67</v>
      </c>
      <c r="J28" s="13" t="s">
        <v>68</v>
      </c>
      <c r="K28" s="13" t="s">
        <v>45</v>
      </c>
      <c r="L28" s="16" t="str">
        <f>VLOOKUP($A28,'Raw - 2'!$A$2:$AC$2323,3,false)</f>
        <v>Mammals</v>
      </c>
      <c r="M28" s="16" t="str">
        <f>VLOOKUP($A28,'Raw - 2'!$A$2:$AC$2323,10,false)</f>
        <v>SC</v>
      </c>
      <c r="N28" s="16" t="str">
        <f>VLOOKUP($A28,'Raw - 2'!$A$2:$AC$2323,11,false)</f>
        <v>S America</v>
      </c>
      <c r="O28" s="16" t="str">
        <f>VLOOKUP($A28,'Raw - 2'!$A$2:$AC$2323,12,false)</f>
        <v>Ecuador</v>
      </c>
      <c r="P28" s="13" t="str">
        <f>VLOOKUP($A28,'Raw - 2'!$A$2:$AC$2323,15,false)</f>
        <v>Yes</v>
      </c>
      <c r="Q28" s="16" t="str">
        <f>VLOOKUP($A28,'Raw - 2'!$A$2:$AC$2323,16,false)</f>
        <v>Road &amp; Settlement</v>
      </c>
      <c r="R28" s="16" t="str">
        <f>VLOOKUP($A28,'Raw - 2'!$A$2:$AC$2323,27,false)</f>
        <v>Tropical forest</v>
      </c>
      <c r="S28" s="13">
        <v>1.0</v>
      </c>
      <c r="T28" s="13">
        <v>1.0</v>
      </c>
    </row>
    <row r="29" ht="15.75" customHeight="1">
      <c r="A29" s="13" t="s">
        <v>197</v>
      </c>
      <c r="B29" s="13" t="s">
        <v>198</v>
      </c>
      <c r="C29" s="14">
        <v>80.0</v>
      </c>
      <c r="D29" s="15" t="s">
        <v>199</v>
      </c>
      <c r="E29" s="13" t="s">
        <v>200</v>
      </c>
      <c r="F29" s="13" t="s">
        <v>40</v>
      </c>
      <c r="G29" s="13" t="s">
        <v>41</v>
      </c>
      <c r="H29" s="13" t="s">
        <v>201</v>
      </c>
      <c r="I29" s="13" t="s">
        <v>52</v>
      </c>
      <c r="J29" s="13" t="s">
        <v>59</v>
      </c>
      <c r="K29" s="13" t="s">
        <v>45</v>
      </c>
      <c r="L29" s="16" t="str">
        <f>VLOOKUP($A29,'Raw - 2'!$A$2:$AC$2323,3,false)</f>
        <v>Mammals</v>
      </c>
      <c r="M29" s="16" t="str">
        <f>VLOOKUP($A29,'Raw - 2'!$A$2:$AC$2323,10,false)</f>
        <v>SC</v>
      </c>
      <c r="N29" s="16" t="str">
        <f>VLOOKUP($A29,'Raw - 2'!$A$2:$AC$2323,11,false)</f>
        <v>Africa</v>
      </c>
      <c r="O29" s="16" t="str">
        <f>VLOOKUP($A29,'Raw - 2'!$A$2:$AC$2323,12,false)</f>
        <v>Cameroon</v>
      </c>
      <c r="P29" s="13" t="str">
        <f>VLOOKUP($A29,'Raw - 2'!$A$2:$AC$2323,15,false)</f>
        <v>Yes</v>
      </c>
      <c r="Q29" s="16" t="str">
        <f>VLOOKUP($A29,'Raw - 2'!$A$2:$AC$2323,16,false)</f>
        <v>Settlement</v>
      </c>
      <c r="R29" s="16" t="str">
        <f>VLOOKUP($A29,'Raw - 2'!$A$2:$AC$2323,27,false)</f>
        <v>Tropical forest</v>
      </c>
      <c r="S29" s="13">
        <v>1.0</v>
      </c>
      <c r="T29" s="13">
        <v>1.0</v>
      </c>
    </row>
    <row r="30" ht="15.75" customHeight="1">
      <c r="A30" s="13" t="s">
        <v>202</v>
      </c>
      <c r="B30" s="13" t="s">
        <v>203</v>
      </c>
      <c r="C30" s="14">
        <v>81.0</v>
      </c>
      <c r="E30" s="13" t="s">
        <v>204</v>
      </c>
      <c r="F30" s="13" t="s">
        <v>102</v>
      </c>
      <c r="G30" s="13" t="s">
        <v>41</v>
      </c>
      <c r="H30" s="13" t="s">
        <v>205</v>
      </c>
      <c r="I30" s="13" t="s">
        <v>52</v>
      </c>
      <c r="J30" s="13" t="s">
        <v>44</v>
      </c>
      <c r="K30" s="13" t="s">
        <v>206</v>
      </c>
      <c r="L30" s="16" t="str">
        <f>VLOOKUP($A30,'Raw - 2'!$A$2:$AC$2323,3,false)</f>
        <v>Mammals</v>
      </c>
      <c r="M30" s="16" t="str">
        <f>VLOOKUP($A30,'Raw - 2'!$A$2:$AC$2323,10,false)</f>
        <v>S</v>
      </c>
      <c r="N30" s="16" t="str">
        <f>VLOOKUP($A30,'Raw - 2'!$A$2:$AC$2323,11,false)</f>
        <v>C America</v>
      </c>
      <c r="O30" s="16" t="str">
        <f>VLOOKUP($A30,'Raw - 2'!$A$2:$AC$2323,12,false)</f>
        <v>Belize</v>
      </c>
      <c r="P30" s="13" t="str">
        <f>VLOOKUP($A30,'Raw - 2'!$A$2:$AC$2323,15,false)</f>
        <v>Yes</v>
      </c>
      <c r="Q30" s="16" t="str">
        <f>VLOOKUP($A30,'Raw - 2'!$A$2:$AC$2323,16,false)</f>
        <v>Settlement</v>
      </c>
      <c r="R30" s="16" t="str">
        <f>VLOOKUP($A30,'Raw - 2'!$A$2:$AC$2323,27,false)</f>
        <v>Tropical forest</v>
      </c>
      <c r="S30" s="13">
        <v>1.0</v>
      </c>
      <c r="T30" s="13">
        <v>1.0</v>
      </c>
    </row>
    <row r="31" ht="15.75" customHeight="1">
      <c r="A31" s="13" t="s">
        <v>207</v>
      </c>
      <c r="B31" s="13" t="s">
        <v>208</v>
      </c>
      <c r="C31" s="14">
        <v>82.0</v>
      </c>
      <c r="D31" s="15" t="s">
        <v>199</v>
      </c>
      <c r="E31" s="13" t="s">
        <v>209</v>
      </c>
      <c r="F31" s="13" t="s">
        <v>102</v>
      </c>
      <c r="G31" s="13" t="s">
        <v>41</v>
      </c>
      <c r="H31" s="13" t="s">
        <v>210</v>
      </c>
      <c r="I31" s="13" t="s">
        <v>52</v>
      </c>
      <c r="J31" s="13" t="s">
        <v>68</v>
      </c>
      <c r="K31" s="13" t="s">
        <v>206</v>
      </c>
      <c r="L31" s="13" t="str">
        <f>VLOOKUP($A31,'Raw - 2'!$A$2:$AC$2323,3,false)</f>
        <v>Mammals</v>
      </c>
      <c r="M31" s="13" t="str">
        <f>VLOOKUP($A31,'Raw - 2'!$A$2:$AC$2323,10,false)</f>
        <v>SC</v>
      </c>
      <c r="N31" s="13" t="str">
        <f>VLOOKUP($A31,'Raw - 2'!$A$2:$AC$2323,11,false)</f>
        <v>Africa</v>
      </c>
      <c r="O31" s="13" t="str">
        <f>VLOOKUP($A31,'Raw - 2'!$A$2:$AC$2323,12,false)</f>
        <v>Nigeria</v>
      </c>
      <c r="P31" s="13" t="str">
        <f>VLOOKUP($A31,'Raw - 2'!$A$2:$AC$2323,15,false)</f>
        <v>Yes</v>
      </c>
      <c r="Q31" s="16" t="str">
        <f>VLOOKUP($A31,'Raw - 2'!$A$2:$AC$2323,16,false)</f>
        <v>Settlement</v>
      </c>
      <c r="R31" s="16" t="str">
        <f>VLOOKUP($A31,'Raw - 2'!$A$2:$AC$2323,27,false)</f>
        <v>Tropical forest</v>
      </c>
      <c r="S31" s="13">
        <v>1.0</v>
      </c>
      <c r="T31" s="13">
        <v>1.0</v>
      </c>
    </row>
    <row r="32" ht="15.75" customHeight="1">
      <c r="A32" s="13" t="s">
        <v>211</v>
      </c>
      <c r="B32" s="13" t="s">
        <v>212</v>
      </c>
      <c r="C32" s="14">
        <v>83.0</v>
      </c>
      <c r="D32" s="15" t="s">
        <v>213</v>
      </c>
      <c r="E32" s="13" t="s">
        <v>209</v>
      </c>
      <c r="F32" s="13" t="s">
        <v>102</v>
      </c>
      <c r="G32" s="13" t="s">
        <v>41</v>
      </c>
      <c r="H32" s="13" t="s">
        <v>214</v>
      </c>
      <c r="I32" s="13" t="s">
        <v>52</v>
      </c>
      <c r="J32" s="13" t="s">
        <v>68</v>
      </c>
      <c r="K32" s="13" t="s">
        <v>206</v>
      </c>
      <c r="L32" s="13" t="str">
        <f>VLOOKUP($A32,'Raw - 2'!$A$2:$AC$2323,3,false)</f>
        <v>Mammals</v>
      </c>
      <c r="M32" s="13" t="str">
        <f>VLOOKUP($A32,'Raw - 2'!$A$2:$AC$2323,10,false)</f>
        <v>SC</v>
      </c>
      <c r="N32" s="13" t="str">
        <f>VLOOKUP($A32,'Raw - 2'!$A$2:$AC$2323,11,false)</f>
        <v>Africa</v>
      </c>
      <c r="O32" s="13" t="str">
        <f>VLOOKUP($A32,'Raw - 2'!$A$2:$AC$2323,12,false)</f>
        <v>Nigeria</v>
      </c>
      <c r="P32" s="13" t="str">
        <f>VLOOKUP($A32,'Raw - 2'!$A$2:$AC$2323,15,false)</f>
        <v>Yes</v>
      </c>
      <c r="Q32" s="16" t="str">
        <f>VLOOKUP($A32,'Raw - 2'!$A$2:$AC$2323,16,false)</f>
        <v>Settlement</v>
      </c>
      <c r="R32" s="16" t="str">
        <f>VLOOKUP($A32,'Raw - 2'!$A$2:$AC$2323,27,false)</f>
        <v>Tropical forest</v>
      </c>
      <c r="S32" s="13">
        <v>1.0</v>
      </c>
      <c r="T32" s="13">
        <v>1.0</v>
      </c>
    </row>
    <row r="33" ht="15.75" customHeight="1">
      <c r="A33" s="13" t="s">
        <v>215</v>
      </c>
      <c r="B33" s="13" t="s">
        <v>216</v>
      </c>
      <c r="C33" s="14">
        <v>84.0</v>
      </c>
      <c r="D33" s="15" t="s">
        <v>217</v>
      </c>
      <c r="E33" s="13" t="s">
        <v>218</v>
      </c>
      <c r="F33" s="13" t="s">
        <v>102</v>
      </c>
      <c r="G33" s="13" t="s">
        <v>41</v>
      </c>
      <c r="H33" s="13" t="s">
        <v>219</v>
      </c>
      <c r="I33" s="13" t="s">
        <v>67</v>
      </c>
      <c r="J33" s="13" t="s">
        <v>44</v>
      </c>
      <c r="K33" s="13" t="s">
        <v>45</v>
      </c>
      <c r="L33" s="13" t="str">
        <f>VLOOKUP($A33,'Raw - 2'!$A$2:$AC$2323,3,false)</f>
        <v>Mammals</v>
      </c>
      <c r="M33" s="13" t="str">
        <f>VLOOKUP($A33,'Raw - 2'!$A$2:$AC$2323,10,false)</f>
        <v>S</v>
      </c>
      <c r="N33" s="13" t="str">
        <f>VLOOKUP($A33,'Raw - 2'!$A$2:$AC$2323,11,false)</f>
        <v>S America</v>
      </c>
      <c r="O33" s="13" t="str">
        <f>VLOOKUP($A33,'Raw - 2'!$A$2:$AC$2323,12,false)</f>
        <v>Peru</v>
      </c>
      <c r="P33" s="13" t="str">
        <f>VLOOKUP($A33,'Raw - 2'!$A$2:$AC$2323,15,false)</f>
        <v>No</v>
      </c>
      <c r="Q33" s="16" t="str">
        <f>VLOOKUP($A33,'Raw - 2'!$A$2:$AC$2323,16,false)</f>
        <v>Road &amp; Settlement</v>
      </c>
      <c r="R33" s="16" t="str">
        <f>VLOOKUP($A33,'Raw - 2'!$A$2:$AC$2323,27,false)</f>
        <v>Tropical forest</v>
      </c>
      <c r="S33" s="13">
        <v>1.0</v>
      </c>
      <c r="T33" s="13">
        <v>1.0</v>
      </c>
    </row>
    <row r="34" ht="15.75" customHeight="1">
      <c r="A34" s="16" t="s">
        <v>220</v>
      </c>
      <c r="B34" s="13" t="s">
        <v>221</v>
      </c>
      <c r="C34" s="14">
        <v>85.0</v>
      </c>
      <c r="D34" s="15" t="s">
        <v>222</v>
      </c>
      <c r="E34" s="13" t="s">
        <v>223</v>
      </c>
      <c r="F34" s="13" t="s">
        <v>102</v>
      </c>
      <c r="G34" s="13" t="s">
        <v>73</v>
      </c>
      <c r="H34" s="13" t="s">
        <v>224</v>
      </c>
      <c r="I34" s="13" t="s">
        <v>52</v>
      </c>
      <c r="J34" s="13" t="s">
        <v>44</v>
      </c>
      <c r="K34" s="13" t="s">
        <v>45</v>
      </c>
      <c r="L34" s="16" t="str">
        <f>VLOOKUP($A34,'Raw - 2'!$A$2:$AC$2323,3,false)</f>
        <v>Birds</v>
      </c>
      <c r="M34" s="16" t="str">
        <f>VLOOKUP($A34,'Raw - 2'!$A$2:$AC$2323,10,false)</f>
        <v>S</v>
      </c>
      <c r="N34" s="16" t="str">
        <f>VLOOKUP($A34,'Raw - 2'!$A$2:$AC$2323,11,false)</f>
        <v>S America</v>
      </c>
      <c r="O34" s="16" t="str">
        <f>VLOOKUP($A34,'Raw - 2'!$A$2:$AC$2323,12,false)</f>
        <v>Peru</v>
      </c>
      <c r="P34" s="13" t="str">
        <f>VLOOKUP($A34,'Raw - 2'!$A$2:$AC$2323,15,false)</f>
        <v>Yes</v>
      </c>
      <c r="Q34" s="16" t="str">
        <f>VLOOKUP($A34,'Raw - 2'!$A$2:$AC$2323,16,false)</f>
        <v>Settlement</v>
      </c>
      <c r="R34" s="16" t="str">
        <f>VLOOKUP($A34,'Raw - 2'!$A$2:$AC$2323,27,false)</f>
        <v>Tropical forest</v>
      </c>
      <c r="S34" s="13" t="s">
        <v>225</v>
      </c>
      <c r="T34" s="13">
        <v>2.0</v>
      </c>
    </row>
    <row r="35" ht="15.75" customHeight="1">
      <c r="A35" s="16" t="s">
        <v>226</v>
      </c>
      <c r="B35" s="13" t="s">
        <v>227</v>
      </c>
      <c r="C35" s="14">
        <v>86.0</v>
      </c>
      <c r="E35" s="13" t="s">
        <v>228</v>
      </c>
      <c r="F35" s="13" t="s">
        <v>102</v>
      </c>
      <c r="G35" s="13" t="s">
        <v>229</v>
      </c>
      <c r="H35" s="13" t="s">
        <v>230</v>
      </c>
      <c r="I35" s="13" t="s">
        <v>52</v>
      </c>
      <c r="J35" s="13" t="s">
        <v>68</v>
      </c>
      <c r="K35" s="13" t="s">
        <v>45</v>
      </c>
      <c r="L35" s="16" t="str">
        <f>VLOOKUP($A35,'Raw - 2'!$A$2:$AC$2323,3,false)</f>
        <v>Birds</v>
      </c>
      <c r="M35" s="16" t="str">
        <f>VLOOKUP($A35,'Raw - 2'!$A$2:$AC$2323,10,false)</f>
        <v>SC</v>
      </c>
      <c r="N35" s="16" t="str">
        <f>VLOOKUP($A35,'Raw - 2'!$A$2:$AC$2323,11,false)</f>
        <v>S America</v>
      </c>
      <c r="O35" s="16" t="str">
        <f>VLOOKUP($A35,'Raw - 2'!$A$2:$AC$2323,12,false)</f>
        <v>Ecuador</v>
      </c>
      <c r="P35" s="13" t="str">
        <f>VLOOKUP($A35,'Raw - 2'!$A$2:$AC$2323,15,false)</f>
        <v>Yes</v>
      </c>
      <c r="Q35" s="16" t="str">
        <f>VLOOKUP($A35,'Raw - 2'!$A$2:$AC$2323,16,false)</f>
        <v>Settlement</v>
      </c>
      <c r="R35" s="16" t="str">
        <f>VLOOKUP($A35,'Raw - 2'!$A$2:$AC$2323,27,false)</f>
        <v>Tropical forest</v>
      </c>
      <c r="S35" s="13">
        <v>1.0</v>
      </c>
      <c r="T35" s="13">
        <v>1.0</v>
      </c>
    </row>
    <row r="36" ht="15.75" customHeight="1">
      <c r="A36" s="16" t="s">
        <v>231</v>
      </c>
      <c r="B36" s="13" t="s">
        <v>232</v>
      </c>
      <c r="C36" s="14">
        <v>87.0</v>
      </c>
      <c r="E36" s="13" t="s">
        <v>233</v>
      </c>
      <c r="F36" s="13" t="s">
        <v>102</v>
      </c>
      <c r="G36" s="13" t="s">
        <v>41</v>
      </c>
      <c r="H36" s="13" t="s">
        <v>234</v>
      </c>
      <c r="I36" s="13" t="s">
        <v>52</v>
      </c>
      <c r="J36" s="13" t="s">
        <v>235</v>
      </c>
      <c r="K36" s="13" t="s">
        <v>45</v>
      </c>
      <c r="L36" s="16" t="str">
        <f>VLOOKUP($A36,'Raw - 2'!$A$2:$AC$2323,3,false)</f>
        <v>Mammals</v>
      </c>
      <c r="M36" s="16" t="str">
        <f>VLOOKUP($A36,'Raw - 2'!$A$2:$AC$2323,10,false)</f>
        <v>SC</v>
      </c>
      <c r="N36" s="16" t="str">
        <f>VLOOKUP($A36,'Raw - 2'!$A$2:$AC$2323,11,false)</f>
        <v>Africa</v>
      </c>
      <c r="O36" s="16" t="str">
        <f>VLOOKUP($A36,'Raw - 2'!$A$2:$AC$2323,12,false)</f>
        <v>Congo</v>
      </c>
      <c r="P36" s="13" t="str">
        <f>VLOOKUP($A36,'Raw - 2'!$A$2:$AC$2323,15,false)</f>
        <v>No</v>
      </c>
      <c r="Q36" s="16" t="str">
        <f>VLOOKUP($A36,'Raw - 2'!$A$2:$AC$2323,16,false)</f>
        <v>Settlement</v>
      </c>
      <c r="R36" s="16" t="str">
        <f>VLOOKUP($A36,'Raw - 2'!$A$2:$AC$2323,27,false)</f>
        <v>Tropical forest</v>
      </c>
      <c r="S36" s="13" t="s">
        <v>175</v>
      </c>
      <c r="T36" s="13">
        <v>3.0</v>
      </c>
    </row>
    <row r="37" ht="15.75" customHeight="1">
      <c r="A37" s="13" t="s">
        <v>236</v>
      </c>
      <c r="B37" s="13" t="s">
        <v>237</v>
      </c>
      <c r="C37" s="14">
        <v>88.0</v>
      </c>
      <c r="D37" s="15" t="s">
        <v>238</v>
      </c>
      <c r="E37" s="13" t="s">
        <v>91</v>
      </c>
      <c r="F37" s="13" t="s">
        <v>40</v>
      </c>
      <c r="G37" s="13" t="s">
        <v>41</v>
      </c>
      <c r="H37" s="13" t="s">
        <v>239</v>
      </c>
      <c r="I37" s="13" t="s">
        <v>52</v>
      </c>
      <c r="J37" s="13" t="s">
        <v>59</v>
      </c>
      <c r="K37" s="13" t="s">
        <v>60</v>
      </c>
      <c r="L37" s="16" t="str">
        <f>VLOOKUP($A37,'Raw - 2'!$A$2:$AC$2323,3,false)</f>
        <v>Mammals</v>
      </c>
      <c r="M37" s="16" t="str">
        <f>VLOOKUP($A37,'Raw - 2'!$A$2:$AC$2323,10,false)</f>
        <v>C</v>
      </c>
      <c r="N37" s="16" t="str">
        <f>VLOOKUP($A37,'Raw - 2'!$A$2:$AC$2323,11,false)</f>
        <v>Africa</v>
      </c>
      <c r="O37" s="16" t="str">
        <f>VLOOKUP($A37,'Raw - 2'!$A$2:$AC$2323,12,false)</f>
        <v>Congo</v>
      </c>
      <c r="P37" s="13" t="str">
        <f>VLOOKUP($A37,'Raw - 2'!$A$2:$AC$2323,15,false)</f>
        <v>No</v>
      </c>
      <c r="Q37" s="16" t="str">
        <f>VLOOKUP($A37,'Raw - 2'!$A$2:$AC$2323,16,false)</f>
        <v>Settlement</v>
      </c>
      <c r="R37" s="16" t="str">
        <f>VLOOKUP($A37,'Raw - 2'!$A$2:$AC$2323,27,false)</f>
        <v>Tropical forest</v>
      </c>
      <c r="S37" s="13">
        <v>1.0</v>
      </c>
      <c r="T37" s="13">
        <v>1.0</v>
      </c>
    </row>
    <row r="38" ht="15.75" customHeight="1">
      <c r="A38" s="13" t="s">
        <v>240</v>
      </c>
      <c r="B38" s="13" t="s">
        <v>241</v>
      </c>
      <c r="C38" s="14">
        <v>89.0</v>
      </c>
      <c r="D38" s="15" t="s">
        <v>242</v>
      </c>
      <c r="E38" s="13" t="s">
        <v>243</v>
      </c>
      <c r="F38" s="13" t="s">
        <v>40</v>
      </c>
      <c r="G38" s="13" t="s">
        <v>41</v>
      </c>
      <c r="H38" s="13" t="s">
        <v>57</v>
      </c>
      <c r="I38" s="13" t="s">
        <v>52</v>
      </c>
      <c r="J38" s="13" t="s">
        <v>59</v>
      </c>
      <c r="K38" s="13" t="s">
        <v>60</v>
      </c>
      <c r="L38" s="16" t="str">
        <f>VLOOKUP($A38,'Raw - 2'!$A$2:$AC$2323,3,false)</f>
        <v>Mammals</v>
      </c>
      <c r="M38" s="16" t="str">
        <f>VLOOKUP($A38,'Raw - 2'!$A$2:$AC$2323,10,false)</f>
        <v>C</v>
      </c>
      <c r="N38" s="16" t="str">
        <f>VLOOKUP($A38,'Raw - 2'!$A$2:$AC$2323,11,false)</f>
        <v>Africa</v>
      </c>
      <c r="O38" s="16" t="str">
        <f>VLOOKUP($A38,'Raw - 2'!$A$2:$AC$2323,12,false)</f>
        <v>Central African Republic</v>
      </c>
      <c r="P38" s="13" t="str">
        <f>VLOOKUP($A38,'Raw - 2'!$A$2:$AC$2323,15,false)</f>
        <v>No</v>
      </c>
      <c r="Q38" s="16" t="str">
        <f>VLOOKUP($A38,'Raw - 2'!$A$2:$AC$2323,16,false)</f>
        <v>Settlement</v>
      </c>
      <c r="R38" s="16" t="str">
        <f>VLOOKUP($A38,'Raw - 2'!$A$2:$AC$2323,27,false)</f>
        <v>Tropical forest</v>
      </c>
      <c r="S38" s="13">
        <v>1.0</v>
      </c>
      <c r="T38" s="13">
        <v>1.0</v>
      </c>
    </row>
    <row r="39" ht="15.75" customHeight="1">
      <c r="A39" s="16" t="s">
        <v>244</v>
      </c>
      <c r="B39" s="13" t="s">
        <v>245</v>
      </c>
      <c r="C39" s="14">
        <v>90.0</v>
      </c>
      <c r="E39" s="13" t="s">
        <v>246</v>
      </c>
      <c r="F39" s="13" t="s">
        <v>40</v>
      </c>
      <c r="G39" s="13" t="s">
        <v>41</v>
      </c>
      <c r="H39" s="13" t="s">
        <v>247</v>
      </c>
      <c r="I39" s="13" t="s">
        <v>248</v>
      </c>
      <c r="J39" s="13" t="s">
        <v>68</v>
      </c>
      <c r="K39" s="13" t="s">
        <v>249</v>
      </c>
      <c r="L39" s="16" t="str">
        <f>VLOOKUP($A39,'Raw - 2'!$A$2:$AC$2323,3,false)</f>
        <v>Mammals</v>
      </c>
      <c r="M39" s="16" t="str">
        <f>VLOOKUP($A39,'Raw - 2'!$A$2:$AC$2323,10,false)</f>
        <v>SC</v>
      </c>
      <c r="N39" s="16" t="str">
        <f>VLOOKUP($A39,'Raw - 2'!$A$2:$AC$2323,11,false)</f>
        <v>Africa</v>
      </c>
      <c r="O39" s="16" t="str">
        <f>VLOOKUP($A39,'Raw - 2'!$A$2:$AC$2323,12,false)</f>
        <v>Cameroon</v>
      </c>
      <c r="P39" s="13" t="str">
        <f>VLOOKUP($A39,'Raw - 2'!$A$2:$AC$2323,15,false)</f>
        <v>No</v>
      </c>
      <c r="Q39" s="16" t="str">
        <f>VLOOKUP($A39,'Raw - 2'!$A$2:$AC$2323,16,false)</f>
        <v>Road &amp; Settlement</v>
      </c>
      <c r="R39" s="16" t="str">
        <f>VLOOKUP($A39,'Raw - 2'!$A$2:$AC$2323,27,false)</f>
        <v>Tropical forest</v>
      </c>
      <c r="S39" s="13">
        <v>1.0</v>
      </c>
      <c r="T39" s="13">
        <v>1.0</v>
      </c>
    </row>
    <row r="40" ht="15.75" customHeight="1">
      <c r="A40" s="13" t="s">
        <v>250</v>
      </c>
      <c r="B40" s="13" t="s">
        <v>251</v>
      </c>
      <c r="C40" s="14">
        <v>91.0</v>
      </c>
      <c r="E40" s="13" t="s">
        <v>252</v>
      </c>
      <c r="F40" s="13" t="s">
        <v>40</v>
      </c>
      <c r="G40" s="13" t="s">
        <v>41</v>
      </c>
      <c r="H40" s="13" t="s">
        <v>253</v>
      </c>
      <c r="I40" s="13" t="s">
        <v>52</v>
      </c>
      <c r="J40" s="13" t="s">
        <v>44</v>
      </c>
      <c r="K40" s="13" t="s">
        <v>60</v>
      </c>
      <c r="L40" s="16" t="str">
        <f>VLOOKUP($A40,'Raw - 2'!$A$2:$AC$2323,3,false)</f>
        <v>Mammals</v>
      </c>
      <c r="M40" s="16" t="str">
        <f>VLOOKUP($A40,'Raw - 2'!$A$2:$AC$2323,10,false)</f>
        <v>S</v>
      </c>
      <c r="N40" s="16" t="str">
        <f>VLOOKUP($A40,'Raw - 2'!$A$2:$AC$2323,11,false)</f>
        <v>C America</v>
      </c>
      <c r="O40" s="16" t="str">
        <f>VLOOKUP($A40,'Raw - 2'!$A$2:$AC$2323,12,false)</f>
        <v>Belize</v>
      </c>
      <c r="P40" s="13" t="str">
        <f>VLOOKUP($A40,'Raw - 2'!$A$2:$AC$2323,15,false)</f>
        <v>No</v>
      </c>
      <c r="Q40" s="16" t="str">
        <f>VLOOKUP($A40,'Raw - 2'!$A$2:$AC$2323,16,false)</f>
        <v>Settlement</v>
      </c>
      <c r="R40" s="16" t="str">
        <f>VLOOKUP($A40,'Raw - 2'!$A$2:$AC$2323,27,false)</f>
        <v>Tropical forest</v>
      </c>
      <c r="S40" s="13">
        <v>1.0</v>
      </c>
      <c r="T40" s="13">
        <v>1.0</v>
      </c>
    </row>
    <row r="41" ht="15.75" customHeight="1">
      <c r="A41" s="13" t="s">
        <v>254</v>
      </c>
      <c r="B41" s="13" t="s">
        <v>255</v>
      </c>
      <c r="C41" s="14">
        <v>92.0</v>
      </c>
      <c r="E41" s="13" t="s">
        <v>256</v>
      </c>
      <c r="F41" s="13" t="s">
        <v>40</v>
      </c>
      <c r="G41" s="13" t="s">
        <v>41</v>
      </c>
      <c r="H41" s="13" t="s">
        <v>257</v>
      </c>
      <c r="I41" s="13" t="s">
        <v>67</v>
      </c>
      <c r="J41" s="13" t="s">
        <v>68</v>
      </c>
      <c r="K41" s="13" t="s">
        <v>45</v>
      </c>
      <c r="L41" s="13" t="str">
        <f>VLOOKUP($A41,'Raw - 2'!$A$2:$AC$2323,3,false)</f>
        <v>Mammals</v>
      </c>
      <c r="M41" s="13" t="str">
        <f>VLOOKUP($A41,'Raw - 2'!$A$2:$AC$2323,10,false)</f>
        <v>SC</v>
      </c>
      <c r="N41" s="13" t="str">
        <f>VLOOKUP($A41,'Raw - 2'!$A$2:$AC$2323,11,false)</f>
        <v>C America</v>
      </c>
      <c r="O41" s="13" t="str">
        <f>VLOOKUP($A41,'Raw - 2'!$A$2:$AC$2323,12,false)</f>
        <v>Panama</v>
      </c>
      <c r="P41" s="13" t="str">
        <f>VLOOKUP($A41,'Raw - 2'!$A$2:$AC$2323,15,false)</f>
        <v>No</v>
      </c>
      <c r="Q41" s="16" t="str">
        <f>VLOOKUP($A41,'Raw - 2'!$A$2:$AC$2323,16,false)</f>
        <v>Road &amp; Settlement</v>
      </c>
      <c r="R41" s="13" t="str">
        <f>VLOOKUP($A41,'Raw - 2'!$A$2:$AC$2323,27,false)</f>
        <v>Tropical forest</v>
      </c>
      <c r="S41" s="13">
        <v>1.0</v>
      </c>
      <c r="T41" s="13">
        <v>1.0</v>
      </c>
    </row>
    <row r="42" ht="15.75" customHeight="1">
      <c r="A42" s="13" t="s">
        <v>258</v>
      </c>
      <c r="B42" s="13" t="s">
        <v>259</v>
      </c>
      <c r="C42" s="14">
        <v>93.0</v>
      </c>
      <c r="D42" s="15" t="s">
        <v>260</v>
      </c>
      <c r="E42" s="13" t="s">
        <v>261</v>
      </c>
      <c r="F42" s="13" t="s">
        <v>40</v>
      </c>
      <c r="G42" s="13" t="s">
        <v>41</v>
      </c>
      <c r="H42" s="13" t="s">
        <v>57</v>
      </c>
      <c r="I42" s="13" t="s">
        <v>67</v>
      </c>
      <c r="J42" s="13" t="s">
        <v>59</v>
      </c>
      <c r="K42" s="13" t="s">
        <v>60</v>
      </c>
      <c r="L42" s="16" t="str">
        <f>VLOOKUP($A42,'Raw - 2'!$A$2:$AC$2323,3,false)</f>
        <v>Mammals</v>
      </c>
      <c r="M42" s="16" t="str">
        <f>VLOOKUP($A42,'Raw - 2'!$A$2:$AC$2323,10,false)</f>
        <v>C</v>
      </c>
      <c r="N42" s="16" t="str">
        <f>VLOOKUP($A42,'Raw - 2'!$A$2:$AC$2323,11,false)</f>
        <v>Africa</v>
      </c>
      <c r="O42" s="16" t="str">
        <f>VLOOKUP($A42,'Raw - 2'!$A$2:$AC$2323,12,false)</f>
        <v>D.R. Congo</v>
      </c>
      <c r="P42" s="13" t="str">
        <f>VLOOKUP($A42,'Raw - 2'!$A$2:$AC$2323,15,false)</f>
        <v>Yes</v>
      </c>
      <c r="Q42" s="16" t="str">
        <f>VLOOKUP($A42,'Raw - 2'!$A$2:$AC$2323,16,false)</f>
        <v>Road &amp; Settlement</v>
      </c>
      <c r="R42" s="16" t="str">
        <f>VLOOKUP($A42,'Raw - 2'!$A$2:$AC$2323,27,false)</f>
        <v>Tropical forest</v>
      </c>
      <c r="S42" s="13">
        <v>1.0</v>
      </c>
      <c r="T42" s="13">
        <v>1.0</v>
      </c>
    </row>
    <row r="43" ht="15.75" customHeight="1">
      <c r="A43" s="13" t="s">
        <v>262</v>
      </c>
      <c r="B43" s="13" t="s">
        <v>263</v>
      </c>
      <c r="C43" s="14">
        <v>94.0</v>
      </c>
      <c r="D43" s="15" t="s">
        <v>264</v>
      </c>
      <c r="E43" s="13" t="s">
        <v>261</v>
      </c>
      <c r="F43" s="13" t="s">
        <v>40</v>
      </c>
      <c r="G43" s="13" t="s">
        <v>41</v>
      </c>
      <c r="H43" s="13" t="s">
        <v>265</v>
      </c>
      <c r="I43" s="13" t="s">
        <v>67</v>
      </c>
      <c r="J43" s="13" t="s">
        <v>59</v>
      </c>
      <c r="K43" s="13" t="s">
        <v>60</v>
      </c>
      <c r="L43" s="16" t="str">
        <f>VLOOKUP($A43,'Raw - 2'!$A$2:$AC$2323,3,false)</f>
        <v>Mammals</v>
      </c>
      <c r="M43" s="16" t="str">
        <f>VLOOKUP($A43,'Raw - 2'!$A$2:$AC$2323,10,false)</f>
        <v>S</v>
      </c>
      <c r="N43" s="16" t="str">
        <f>VLOOKUP($A43,'Raw - 2'!$A$2:$AC$2323,11,false)</f>
        <v>Africa</v>
      </c>
      <c r="O43" s="16" t="str">
        <f>VLOOKUP($A43,'Raw - 2'!$A$2:$AC$2323,12,false)</f>
        <v>D.R. Congo</v>
      </c>
      <c r="P43" s="13" t="str">
        <f>VLOOKUP($A43,'Raw - 2'!$A$2:$AC$2323,15,false)</f>
        <v>Yes</v>
      </c>
      <c r="Q43" s="16" t="str">
        <f>VLOOKUP($A43,'Raw - 2'!$A$2:$AC$2323,16,false)</f>
        <v>Road &amp; Settlement</v>
      </c>
      <c r="R43" s="16" t="str">
        <f>VLOOKUP($A43,'Raw - 2'!$A$2:$AC$2323,27,false)</f>
        <v>Tropical forest</v>
      </c>
      <c r="S43" s="13">
        <v>1.0</v>
      </c>
      <c r="T43" s="13">
        <v>1.0</v>
      </c>
    </row>
    <row r="44" ht="15.75" customHeight="1">
      <c r="A44" s="13" t="s">
        <v>266</v>
      </c>
      <c r="B44" s="13" t="s">
        <v>267</v>
      </c>
      <c r="C44" s="14">
        <v>95.0</v>
      </c>
      <c r="E44" s="13" t="s">
        <v>268</v>
      </c>
      <c r="F44" s="13" t="s">
        <v>40</v>
      </c>
      <c r="G44" s="13" t="s">
        <v>41</v>
      </c>
      <c r="H44" s="13" t="s">
        <v>269</v>
      </c>
      <c r="I44" s="13" t="s">
        <v>52</v>
      </c>
      <c r="J44" s="13" t="s">
        <v>68</v>
      </c>
      <c r="K44" s="13" t="s">
        <v>45</v>
      </c>
      <c r="L44" s="16" t="str">
        <f>VLOOKUP($A44,'Raw - 2'!$A$2:$AC$2323,3,false)</f>
        <v>Mammals</v>
      </c>
      <c r="M44" s="16" t="str">
        <f>VLOOKUP($A44,'Raw - 2'!$A$2:$AC$2323,10,false)</f>
        <v>SC</v>
      </c>
      <c r="N44" s="16" t="str">
        <f>VLOOKUP($A44,'Raw - 2'!$A$2:$AC$2323,11,false)</f>
        <v>Africa</v>
      </c>
      <c r="O44" s="16" t="str">
        <f>VLOOKUP($A44,'Raw - 2'!$A$2:$AC$2323,12,false)</f>
        <v>D.R. Congo</v>
      </c>
      <c r="P44" s="13" t="str">
        <f>VLOOKUP($A44,'Raw - 2'!$A$2:$AC$2323,15,false)</f>
        <v>Yes</v>
      </c>
      <c r="Q44" s="16" t="str">
        <f>VLOOKUP($A44,'Raw - 2'!$A$2:$AC$2323,16,false)</f>
        <v>Settlement</v>
      </c>
      <c r="R44" s="16" t="str">
        <f>VLOOKUP($A44,'Raw - 2'!$A$2:$AC$2323,27,false)</f>
        <v>Tropical forest</v>
      </c>
      <c r="S44" s="13">
        <v>1.0</v>
      </c>
      <c r="T44" s="13">
        <v>1.0</v>
      </c>
    </row>
    <row r="45" ht="15.75" customHeight="1">
      <c r="A45" s="13" t="s">
        <v>270</v>
      </c>
      <c r="B45" s="13" t="s">
        <v>271</v>
      </c>
      <c r="C45" s="14">
        <v>96.0</v>
      </c>
      <c r="D45" s="15" t="s">
        <v>272</v>
      </c>
      <c r="E45" s="13" t="s">
        <v>273</v>
      </c>
      <c r="F45" s="13" t="s">
        <v>274</v>
      </c>
      <c r="G45" s="13" t="s">
        <v>41</v>
      </c>
      <c r="H45" s="13" t="s">
        <v>275</v>
      </c>
      <c r="I45" s="13" t="s">
        <v>58</v>
      </c>
      <c r="J45" s="13" t="s">
        <v>68</v>
      </c>
      <c r="K45" s="13" t="s">
        <v>60</v>
      </c>
      <c r="L45" s="16" t="str">
        <f>VLOOKUP($A45,'Raw - 2'!$A$2:$AC$2323,3,false)</f>
        <v>Mammals</v>
      </c>
      <c r="M45" s="16" t="str">
        <f>VLOOKUP($A45,'Raw - 2'!$A$2:$AC$2323,10,false)</f>
        <v>SC</v>
      </c>
      <c r="N45" s="16" t="str">
        <f>VLOOKUP($A45,'Raw - 2'!$A$2:$AC$2323,11,false)</f>
        <v>Africa</v>
      </c>
      <c r="O45" s="16" t="str">
        <f>VLOOKUP($A45,'Raw - 2'!$A$2:$AC$2323,12,false)</f>
        <v>South Africa</v>
      </c>
      <c r="P45" s="13" t="str">
        <f>VLOOKUP($A45,'Raw - 2'!$A$2:$AC$2323,15,false)</f>
        <v>Yes</v>
      </c>
      <c r="Q45" s="16" t="str">
        <f>VLOOKUP($A45,'Raw - 2'!$A$2:$AC$2323,16,false)</f>
        <v>Settlement</v>
      </c>
      <c r="R45" s="16" t="str">
        <f>VLOOKUP($A45,'Raw - 2'!$A$2:$AC$2323,27,false)</f>
        <v>Subtropical forest</v>
      </c>
      <c r="S45" s="13" t="s">
        <v>276</v>
      </c>
      <c r="T45" s="13">
        <v>2.0</v>
      </c>
    </row>
    <row r="46" ht="15.75" customHeight="1">
      <c r="A46" s="16" t="s">
        <v>277</v>
      </c>
      <c r="B46" s="13" t="s">
        <v>278</v>
      </c>
      <c r="C46" s="14">
        <v>97.0</v>
      </c>
      <c r="D46" s="15" t="s">
        <v>279</v>
      </c>
      <c r="E46" s="13" t="s">
        <v>280</v>
      </c>
      <c r="F46" s="13" t="s">
        <v>281</v>
      </c>
      <c r="G46" s="13" t="s">
        <v>41</v>
      </c>
      <c r="H46" s="13" t="s">
        <v>282</v>
      </c>
      <c r="I46" s="13" t="s">
        <v>52</v>
      </c>
      <c r="J46" s="13" t="s">
        <v>68</v>
      </c>
      <c r="K46" s="13" t="s">
        <v>60</v>
      </c>
      <c r="L46" s="16" t="str">
        <f>VLOOKUP($A46,'Raw - 2'!$A$2:$AC$2323,3,false)</f>
        <v>Mammals</v>
      </c>
      <c r="M46" s="16" t="str">
        <f>VLOOKUP($A46,'Raw - 2'!$A$2:$AC$2323,10,false)</f>
        <v>SC</v>
      </c>
      <c r="N46" s="16" t="str">
        <f>VLOOKUP($A46,'Raw - 2'!$A$2:$AC$2323,11,false)</f>
        <v>Africa</v>
      </c>
      <c r="O46" s="16" t="str">
        <f>VLOOKUP($A46,'Raw - 2'!$A$2:$AC$2323,12,false)</f>
        <v>Tanzania</v>
      </c>
      <c r="P46" s="13" t="str">
        <f>VLOOKUP($A46,'Raw - 2'!$A$2:$AC$2323,15,false)</f>
        <v>Yes</v>
      </c>
      <c r="Q46" s="16" t="str">
        <f>VLOOKUP($A46,'Raw - 2'!$A$2:$AC$2323,16,false)</f>
        <v>Settlement</v>
      </c>
      <c r="R46" s="16" t="str">
        <f>VLOOKUP($A46,'Raw - 2'!$A$2:$AC$2323,27,false)</f>
        <v>Montane forest</v>
      </c>
      <c r="S46" s="13">
        <v>1.0</v>
      </c>
      <c r="T46" s="13">
        <v>1.0</v>
      </c>
    </row>
    <row r="47" ht="15.75" customHeight="1">
      <c r="A47" s="13" t="s">
        <v>283</v>
      </c>
      <c r="B47" s="13" t="s">
        <v>284</v>
      </c>
      <c r="C47" s="14">
        <v>98.0</v>
      </c>
      <c r="D47" s="15" t="s">
        <v>285</v>
      </c>
      <c r="E47" s="13" t="s">
        <v>286</v>
      </c>
      <c r="F47" s="13" t="s">
        <v>287</v>
      </c>
      <c r="G47" s="13" t="s">
        <v>41</v>
      </c>
      <c r="H47" s="13" t="s">
        <v>288</v>
      </c>
      <c r="I47" s="13" t="s">
        <v>289</v>
      </c>
      <c r="J47" s="13" t="s">
        <v>59</v>
      </c>
      <c r="K47" s="13" t="s">
        <v>60</v>
      </c>
      <c r="L47" s="16" t="str">
        <f>VLOOKUP($A47,'Raw - 2'!$A$2:$AC$2323,3,false)</f>
        <v>Mammals</v>
      </c>
      <c r="M47" s="16" t="str">
        <f>VLOOKUP($A47,'Raw - 2'!$A$2:$AC$2323,10,false)</f>
        <v>C</v>
      </c>
      <c r="N47" s="16" t="str">
        <f>VLOOKUP($A47,'Raw - 2'!$A$2:$AC$2323,11,false)</f>
        <v>Africa</v>
      </c>
      <c r="O47" s="16" t="str">
        <f>VLOOKUP($A47,'Raw - 2'!$A$2:$AC$2323,12,false)</f>
        <v>Burkina Faso</v>
      </c>
      <c r="P47" s="13" t="str">
        <f>VLOOKUP($A47,'Raw - 2'!$A$2:$AC$2323,15,false)</f>
        <v>Yes</v>
      </c>
      <c r="Q47" s="16" t="str">
        <f>VLOOKUP($A47,'Raw - 2'!$A$2:$AC$2323,16,false)</f>
        <v>Settlement</v>
      </c>
      <c r="R47" s="16" t="str">
        <f>VLOOKUP($A47,'Raw - 2'!$A$2:$AC$2323,27,false)</f>
        <v>Savannah</v>
      </c>
      <c r="S47" s="13" t="s">
        <v>290</v>
      </c>
      <c r="T47" s="13">
        <v>3.0</v>
      </c>
    </row>
    <row r="48" ht="15.75" customHeight="1">
      <c r="A48" s="13" t="s">
        <v>291</v>
      </c>
      <c r="B48" s="13" t="s">
        <v>292</v>
      </c>
      <c r="C48" s="14">
        <v>101.0</v>
      </c>
      <c r="D48" s="15" t="s">
        <v>293</v>
      </c>
      <c r="E48" s="13" t="s">
        <v>294</v>
      </c>
      <c r="F48" s="13" t="s">
        <v>40</v>
      </c>
      <c r="G48" s="13" t="s">
        <v>41</v>
      </c>
      <c r="H48" s="13" t="s">
        <v>295</v>
      </c>
      <c r="I48" s="13" t="s">
        <v>296</v>
      </c>
      <c r="J48" s="13" t="s">
        <v>44</v>
      </c>
      <c r="K48" s="13" t="s">
        <v>297</v>
      </c>
      <c r="L48" s="16" t="str">
        <f>VLOOKUP($A48,'Raw - 2'!$A$2:$AC$2323,3,false)</f>
        <v>Mammals</v>
      </c>
      <c r="M48" s="16" t="str">
        <f>VLOOKUP($A48,'Raw - 2'!$A$2:$AC$2323,10,false)</f>
        <v>S</v>
      </c>
      <c r="N48" s="16" t="str">
        <f>VLOOKUP($A48,'Raw - 2'!$A$2:$AC$2323,11,false)</f>
        <v>S America</v>
      </c>
      <c r="O48" s="16" t="str">
        <f>VLOOKUP($A48,'Raw - 2'!$A$2:$AC$2323,12,false)</f>
        <v>Paraguay</v>
      </c>
      <c r="P48" s="13" t="str">
        <f>VLOOKUP($A48,'Raw - 2'!$A$2:$AC$2323,15,false)</f>
        <v>Yes</v>
      </c>
      <c r="Q48" s="16" t="str">
        <f>VLOOKUP($A48,'Raw - 2'!$A$2:$AC$2323,16,false)</f>
        <v>Settlement</v>
      </c>
      <c r="R48" s="16" t="str">
        <f>VLOOKUP($A48,'Raw - 2'!$A$2:$AC$2323,27,false)</f>
        <v>Tropical forest</v>
      </c>
      <c r="S48" s="13">
        <v>2.0</v>
      </c>
      <c r="T48" s="13">
        <v>2.0</v>
      </c>
    </row>
    <row r="49" ht="15.75" customHeight="1">
      <c r="A49" s="16" t="s">
        <v>298</v>
      </c>
      <c r="B49" s="13" t="s">
        <v>299</v>
      </c>
      <c r="C49" s="14">
        <v>102.0</v>
      </c>
      <c r="D49" s="15" t="s">
        <v>300</v>
      </c>
      <c r="E49" s="13" t="s">
        <v>301</v>
      </c>
      <c r="F49" s="13" t="s">
        <v>40</v>
      </c>
      <c r="G49" s="13" t="s">
        <v>41</v>
      </c>
      <c r="H49" s="13" t="s">
        <v>302</v>
      </c>
      <c r="I49" s="13" t="s">
        <v>52</v>
      </c>
      <c r="J49" s="13" t="s">
        <v>44</v>
      </c>
      <c r="K49" s="13" t="s">
        <v>45</v>
      </c>
      <c r="L49" s="16" t="str">
        <f>VLOOKUP($A49,'Raw - 2'!$A$2:$AC$2323,3,false)</f>
        <v>Mammals</v>
      </c>
      <c r="M49" s="16" t="str">
        <f>VLOOKUP($A49,'Raw - 2'!$A$2:$AC$2323,10,false)</f>
        <v>S</v>
      </c>
      <c r="N49" s="16" t="str">
        <f>VLOOKUP($A49,'Raw - 2'!$A$2:$AC$2323,11,false)</f>
        <v>S America</v>
      </c>
      <c r="O49" s="16" t="str">
        <f>VLOOKUP($A49,'Raw - 2'!$A$2:$AC$2323,12,false)</f>
        <v>Peru</v>
      </c>
      <c r="P49" s="13" t="str">
        <f>VLOOKUP($A49,'Raw - 2'!$A$2:$AC$2323,15,false)</f>
        <v>Yes</v>
      </c>
      <c r="Q49" s="16" t="str">
        <f>VLOOKUP($A49,'Raw - 2'!$A$2:$AC$2323,16,false)</f>
        <v>Settlement</v>
      </c>
      <c r="R49" s="16" t="str">
        <f>VLOOKUP($A49,'Raw - 2'!$A$2:$AC$2323,27,false)</f>
        <v>Tropical forest</v>
      </c>
      <c r="S49" s="13">
        <v>1.0</v>
      </c>
      <c r="T49" s="13">
        <v>1.0</v>
      </c>
    </row>
    <row r="50" ht="15.75" customHeight="1">
      <c r="A50" s="16" t="s">
        <v>303</v>
      </c>
      <c r="B50" s="13" t="s">
        <v>304</v>
      </c>
      <c r="C50" s="14">
        <v>103.0</v>
      </c>
      <c r="D50" s="15" t="s">
        <v>305</v>
      </c>
      <c r="E50" s="13" t="s">
        <v>306</v>
      </c>
      <c r="F50" s="13" t="s">
        <v>40</v>
      </c>
      <c r="G50" s="13" t="s">
        <v>41</v>
      </c>
      <c r="H50" s="13" t="s">
        <v>87</v>
      </c>
      <c r="I50" s="13" t="s">
        <v>52</v>
      </c>
      <c r="J50" s="13" t="s">
        <v>44</v>
      </c>
      <c r="K50" s="13" t="s">
        <v>60</v>
      </c>
      <c r="L50" s="16" t="str">
        <f>VLOOKUP($A50,'Raw - 2'!$A$2:$AC$2323,3,false)</f>
        <v>Mammals</v>
      </c>
      <c r="M50" s="16" t="str">
        <f>VLOOKUP($A50,'Raw - 2'!$A$2:$AC$2323,10,false)</f>
        <v>S</v>
      </c>
      <c r="N50" s="16" t="str">
        <f>VLOOKUP($A50,'Raw - 2'!$A$2:$AC$2323,11,false)</f>
        <v>Africa</v>
      </c>
      <c r="O50" s="16" t="str">
        <f>VLOOKUP($A50,'Raw - 2'!$A$2:$AC$2323,12,false)</f>
        <v>Congo</v>
      </c>
      <c r="P50" s="13" t="str">
        <f>VLOOKUP($A50,'Raw - 2'!$A$2:$AC$2323,15,false)</f>
        <v>No</v>
      </c>
      <c r="Q50" s="16" t="str">
        <f>VLOOKUP($A50,'Raw - 2'!$A$2:$AC$2323,16,false)</f>
        <v>Settlement</v>
      </c>
      <c r="R50" s="16" t="str">
        <f>VLOOKUP($A50,'Raw - 2'!$A$2:$AC$2323,27,false)</f>
        <v>Tropical forest</v>
      </c>
      <c r="S50" s="13">
        <v>1.0</v>
      </c>
      <c r="T50" s="13">
        <v>1.0</v>
      </c>
    </row>
    <row r="51" ht="15.75" customHeight="1">
      <c r="A51" s="16" t="s">
        <v>307</v>
      </c>
      <c r="B51" s="13" t="s">
        <v>308</v>
      </c>
      <c r="C51" s="14">
        <v>104.0</v>
      </c>
      <c r="D51" s="15" t="s">
        <v>309</v>
      </c>
      <c r="E51" s="13" t="s">
        <v>310</v>
      </c>
      <c r="F51" s="13" t="s">
        <v>102</v>
      </c>
      <c r="G51" s="13" t="s">
        <v>73</v>
      </c>
      <c r="H51" s="13" t="s">
        <v>311</v>
      </c>
      <c r="I51" s="13" t="s">
        <v>52</v>
      </c>
      <c r="J51" s="13" t="s">
        <v>44</v>
      </c>
      <c r="K51" s="13" t="s">
        <v>206</v>
      </c>
      <c r="L51" s="16" t="str">
        <f>VLOOKUP($A51,'Raw - 2'!$A$2:$AC$2323,3,false)</f>
        <v>Birds</v>
      </c>
      <c r="M51" s="16" t="str">
        <f>VLOOKUP($A51,'Raw - 2'!$A$2:$AC$2323,10,false)</f>
        <v>S</v>
      </c>
      <c r="N51" s="16" t="str">
        <f>VLOOKUP($A51,'Raw - 2'!$A$2:$AC$2323,11,false)</f>
        <v>Africa</v>
      </c>
      <c r="O51" s="16" t="str">
        <f>VLOOKUP($A51,'Raw - 2'!$A$2:$AC$2323,12,false)</f>
        <v>Gabon</v>
      </c>
      <c r="P51" s="13" t="str">
        <f>VLOOKUP($A51,'Raw - 2'!$A$2:$AC$2323,15,false)</f>
        <v>No</v>
      </c>
      <c r="Q51" s="16" t="str">
        <f>VLOOKUP($A51,'Raw - 2'!$A$2:$AC$2323,16,false)</f>
        <v>Settlement</v>
      </c>
      <c r="R51" s="16" t="str">
        <f>VLOOKUP($A51,'Raw - 2'!$A$2:$AC$2323,27,false)</f>
        <v>Tropical forest</v>
      </c>
      <c r="S51" s="13">
        <v>1.0</v>
      </c>
      <c r="T51" s="13">
        <v>1.0</v>
      </c>
    </row>
    <row r="52" ht="15.75" customHeight="1">
      <c r="A52" s="13" t="s">
        <v>312</v>
      </c>
      <c r="B52" s="13" t="s">
        <v>313</v>
      </c>
      <c r="C52" s="14">
        <v>105.0</v>
      </c>
      <c r="D52" s="15" t="s">
        <v>314</v>
      </c>
      <c r="E52" s="13" t="s">
        <v>315</v>
      </c>
      <c r="F52" s="13" t="s">
        <v>316</v>
      </c>
      <c r="G52" s="13" t="s">
        <v>41</v>
      </c>
      <c r="H52" s="13" t="s">
        <v>317</v>
      </c>
      <c r="I52" s="13" t="s">
        <v>58</v>
      </c>
      <c r="J52" s="13" t="s">
        <v>68</v>
      </c>
      <c r="K52" s="13" t="s">
        <v>75</v>
      </c>
      <c r="L52" s="16" t="str">
        <f>VLOOKUP($A52,'Raw - 2'!$A$2:$AC$2323,3,false)</f>
        <v>Mammals</v>
      </c>
      <c r="M52" s="16" t="str">
        <f>VLOOKUP($A52,'Raw - 2'!$A$2:$AC$2323,10,false)</f>
        <v>SC</v>
      </c>
      <c r="N52" s="16" t="str">
        <f>VLOOKUP($A52,'Raw - 2'!$A$2:$AC$2323,11,false)</f>
        <v>S America</v>
      </c>
      <c r="O52" s="16" t="str">
        <f>VLOOKUP($A52,'Raw - 2'!$A$2:$AC$2323,12,false)</f>
        <v>Bolivia</v>
      </c>
      <c r="P52" s="13" t="str">
        <f>VLOOKUP($A52,'Raw - 2'!$A$2:$AC$2323,15,false)</f>
        <v>No</v>
      </c>
      <c r="Q52" s="16" t="str">
        <f>VLOOKUP($A52,'Raw - 2'!$A$2:$AC$2323,16,false)</f>
        <v>Road</v>
      </c>
      <c r="R52" s="16" t="str">
        <f>VLOOKUP($A52,'Raw - 2'!$A$2:$AC$2323,27,false)</f>
        <v>Tropical forest</v>
      </c>
      <c r="S52" s="13">
        <v>1.0</v>
      </c>
      <c r="T52" s="13">
        <v>1.0</v>
      </c>
    </row>
    <row r="53" ht="15.75" customHeight="1">
      <c r="A53" s="16" t="s">
        <v>318</v>
      </c>
      <c r="B53" s="13" t="s">
        <v>319</v>
      </c>
      <c r="C53" s="14">
        <v>106.0</v>
      </c>
      <c r="D53" s="15" t="s">
        <v>320</v>
      </c>
      <c r="E53" s="13" t="s">
        <v>321</v>
      </c>
      <c r="F53" s="13" t="s">
        <v>322</v>
      </c>
      <c r="G53" s="13" t="s">
        <v>41</v>
      </c>
      <c r="H53" s="13" t="s">
        <v>323</v>
      </c>
      <c r="I53" s="13" t="s">
        <v>52</v>
      </c>
      <c r="J53" s="13" t="s">
        <v>59</v>
      </c>
      <c r="K53" s="13" t="s">
        <v>60</v>
      </c>
      <c r="L53" s="16" t="str">
        <f>VLOOKUP($A53,'Raw - 2'!$A$2:$AC$2323,3,false)</f>
        <v>Mammals</v>
      </c>
      <c r="M53" s="16" t="str">
        <f>VLOOKUP($A53,'Raw - 2'!$A$2:$AC$2323,10,false)</f>
        <v>C</v>
      </c>
      <c r="N53" s="16" t="str">
        <f>VLOOKUP($A53,'Raw - 2'!$A$2:$AC$2323,11,false)</f>
        <v>Africa</v>
      </c>
      <c r="O53" s="16" t="str">
        <f>VLOOKUP($A53,'Raw - 2'!$A$2:$AC$2323,12,false)</f>
        <v>Equatorial Guinea</v>
      </c>
      <c r="P53" s="13" t="str">
        <f>VLOOKUP($A53,'Raw - 2'!$A$2:$AC$2323,15,false)</f>
        <v>No</v>
      </c>
      <c r="Q53" s="16" t="str">
        <f>VLOOKUP($A53,'Raw - 2'!$A$2:$AC$2323,16,false)</f>
        <v>Settlement</v>
      </c>
      <c r="R53" s="16" t="str">
        <f>VLOOKUP($A53,'Raw - 2'!$A$2:$AC$2323,27,false)</f>
        <v>Tropical forest</v>
      </c>
      <c r="S53" s="13">
        <v>1.0</v>
      </c>
      <c r="T53" s="13">
        <v>1.0</v>
      </c>
    </row>
    <row r="54" ht="15.75" customHeight="1">
      <c r="A54" s="13" t="s">
        <v>324</v>
      </c>
      <c r="B54" s="13" t="s">
        <v>325</v>
      </c>
      <c r="C54" s="14">
        <v>107.0</v>
      </c>
      <c r="D54" s="15" t="s">
        <v>326</v>
      </c>
      <c r="E54" s="13" t="s">
        <v>327</v>
      </c>
      <c r="F54" s="13" t="s">
        <v>328</v>
      </c>
      <c r="G54" s="13" t="s">
        <v>41</v>
      </c>
      <c r="H54" s="13" t="s">
        <v>329</v>
      </c>
      <c r="I54" s="13" t="s">
        <v>58</v>
      </c>
      <c r="J54" s="13" t="s">
        <v>44</v>
      </c>
      <c r="K54" s="13" t="s">
        <v>60</v>
      </c>
      <c r="L54" s="16" t="str">
        <f>VLOOKUP($A54,'Raw - 2'!$A$2:$AC$2323,3,false)</f>
        <v>Mammals</v>
      </c>
      <c r="M54" s="16" t="str">
        <f>VLOOKUP($A54,'Raw - 2'!$A$2:$AC$2323,10,false)</f>
        <v>S</v>
      </c>
      <c r="N54" s="16" t="str">
        <f>VLOOKUP($A54,'Raw - 2'!$A$2:$AC$2323,11,false)</f>
        <v>Africa</v>
      </c>
      <c r="O54" s="16" t="str">
        <f>VLOOKUP($A54,'Raw - 2'!$A$2:$AC$2323,12,false)</f>
        <v>Madagascar</v>
      </c>
      <c r="P54" s="13" t="str">
        <f>VLOOKUP($A54,'Raw - 2'!$A$2:$AC$2323,15,false)</f>
        <v>Yes</v>
      </c>
      <c r="Q54" s="16" t="str">
        <f>VLOOKUP($A54,'Raw - 2'!$A$2:$AC$2323,16,false)</f>
        <v>Road</v>
      </c>
      <c r="R54" s="16" t="str">
        <f>VLOOKUP($A54,'Raw - 2'!$A$2:$AC$2323,27,false)</f>
        <v>Dry Deciduous Forest</v>
      </c>
      <c r="S54" s="13">
        <v>1.0</v>
      </c>
      <c r="T54" s="13">
        <v>1.0</v>
      </c>
    </row>
    <row r="55" ht="15.75" customHeight="1">
      <c r="A55" s="13" t="s">
        <v>330</v>
      </c>
      <c r="B55" s="13" t="s">
        <v>331</v>
      </c>
      <c r="C55" s="14">
        <v>108.0</v>
      </c>
      <c r="E55" s="13" t="s">
        <v>115</v>
      </c>
      <c r="F55" s="13" t="s">
        <v>40</v>
      </c>
      <c r="G55" s="13" t="s">
        <v>41</v>
      </c>
      <c r="H55" s="13" t="s">
        <v>332</v>
      </c>
      <c r="I55" s="13" t="s">
        <v>144</v>
      </c>
      <c r="J55" s="13" t="s">
        <v>68</v>
      </c>
      <c r="K55" s="13" t="s">
        <v>249</v>
      </c>
      <c r="L55" s="16" t="str">
        <f>VLOOKUP($A55,'Raw - 2'!$A$2:$AC$2323,3,false)</f>
        <v>Mammals</v>
      </c>
      <c r="M55" s="16" t="str">
        <f>VLOOKUP($A55,'Raw - 2'!$A$2:$AC$2323,10,false)</f>
        <v>SC</v>
      </c>
      <c r="N55" s="16" t="str">
        <f>VLOOKUP($A55,'Raw - 2'!$A$2:$AC$2323,11,false)</f>
        <v>Africa</v>
      </c>
      <c r="O55" s="16" t="str">
        <f>VLOOKUP($A55,'Raw - 2'!$A$2:$AC$2323,12,false)</f>
        <v>Gabon</v>
      </c>
      <c r="P55" s="13" t="str">
        <f>VLOOKUP($A55,'Raw - 2'!$A$2:$AC$2323,15,false)</f>
        <v>No</v>
      </c>
      <c r="Q55" s="16" t="str">
        <f>VLOOKUP($A55,'Raw - 2'!$A$2:$AC$2323,16,false)</f>
        <v>Road &amp; Settlement</v>
      </c>
      <c r="R55" s="16" t="str">
        <f>VLOOKUP($A55,'Raw - 2'!$A$2:$AC$2323,27,false)</f>
        <v>Tropical forest</v>
      </c>
      <c r="S55" s="13">
        <v>1.0</v>
      </c>
      <c r="T55" s="13">
        <v>1.0</v>
      </c>
    </row>
    <row r="56" ht="15.75" customHeight="1">
      <c r="A56" s="13" t="s">
        <v>333</v>
      </c>
      <c r="B56" s="13" t="s">
        <v>334</v>
      </c>
      <c r="C56" s="14">
        <v>109.0</v>
      </c>
      <c r="D56" s="15" t="s">
        <v>335</v>
      </c>
      <c r="E56" s="13" t="s">
        <v>115</v>
      </c>
      <c r="F56" s="13" t="s">
        <v>40</v>
      </c>
      <c r="G56" s="13" t="s">
        <v>41</v>
      </c>
      <c r="H56" s="13" t="s">
        <v>336</v>
      </c>
      <c r="I56" s="13" t="s">
        <v>144</v>
      </c>
      <c r="J56" s="13" t="s">
        <v>44</v>
      </c>
      <c r="K56" s="13" t="s">
        <v>45</v>
      </c>
      <c r="L56" s="16" t="str">
        <f>VLOOKUP($A56,'Raw - 2'!$A$2:$AC$2323,3,false)</f>
        <v>Mammals</v>
      </c>
      <c r="M56" s="16" t="str">
        <f>VLOOKUP($A56,'Raw - 2'!$A$2:$AC$2323,10,false)</f>
        <v>SC</v>
      </c>
      <c r="N56" s="16" t="str">
        <f>VLOOKUP($A56,'Raw - 2'!$A$2:$AC$2323,11,false)</f>
        <v>Africa</v>
      </c>
      <c r="O56" s="16" t="str">
        <f>VLOOKUP($A56,'Raw - 2'!$A$2:$AC$2323,12,false)</f>
        <v>Gabon</v>
      </c>
      <c r="P56" s="13" t="str">
        <f>VLOOKUP($A56,'Raw - 2'!$A$2:$AC$2323,15,false)</f>
        <v>No</v>
      </c>
      <c r="Q56" s="16" t="str">
        <f>VLOOKUP($A56,'Raw - 2'!$A$2:$AC$2323,16,false)</f>
        <v>Road &amp; Settlement</v>
      </c>
      <c r="R56" s="16" t="str">
        <f>VLOOKUP($A56,'Raw - 2'!$A$2:$AC$2323,27,false)</f>
        <v>Tropical forest</v>
      </c>
      <c r="S56" s="13">
        <v>1.0</v>
      </c>
      <c r="T56" s="13">
        <v>1.0</v>
      </c>
    </row>
    <row r="57" ht="15.75" customHeight="1">
      <c r="A57" s="13" t="s">
        <v>337</v>
      </c>
      <c r="B57" s="13" t="s">
        <v>338</v>
      </c>
      <c r="C57" s="14">
        <v>110.0</v>
      </c>
      <c r="D57" s="15" t="s">
        <v>339</v>
      </c>
      <c r="E57" s="13" t="s">
        <v>340</v>
      </c>
      <c r="F57" s="13" t="s">
        <v>40</v>
      </c>
      <c r="G57" s="13" t="s">
        <v>41</v>
      </c>
      <c r="H57" s="13" t="s">
        <v>341</v>
      </c>
      <c r="I57" s="13" t="s">
        <v>58</v>
      </c>
      <c r="J57" s="13" t="s">
        <v>59</v>
      </c>
      <c r="K57" s="13" t="s">
        <v>45</v>
      </c>
      <c r="L57" s="16" t="str">
        <f>VLOOKUP($A57,'Raw - 2'!$A$2:$AC$2323,3,false)</f>
        <v>Mammals</v>
      </c>
      <c r="M57" s="16" t="str">
        <f>VLOOKUP($A57,'Raw - 2'!$A$2:$AC$2323,10,false)</f>
        <v>C</v>
      </c>
      <c r="N57" s="16" t="str">
        <f>VLOOKUP($A57,'Raw - 2'!$A$2:$AC$2323,11,false)</f>
        <v>Africa</v>
      </c>
      <c r="O57" s="16" t="str">
        <f>VLOOKUP($A57,'Raw - 2'!$A$2:$AC$2323,12,false)</f>
        <v>Gabon</v>
      </c>
      <c r="P57" s="13" t="str">
        <f>VLOOKUP($A57,'Raw - 2'!$A$2:$AC$2323,15,false)</f>
        <v>No</v>
      </c>
      <c r="Q57" s="16" t="str">
        <f>VLOOKUP($A57,'Raw - 2'!$A$2:$AC$2323,16,false)</f>
        <v>Road</v>
      </c>
      <c r="R57" s="16" t="str">
        <f>VLOOKUP($A57,'Raw - 2'!$A$2:$AC$2323,27,false)</f>
        <v>Tropical forest</v>
      </c>
      <c r="S57" s="13">
        <v>1.0</v>
      </c>
      <c r="T57" s="13">
        <v>1.0</v>
      </c>
    </row>
    <row r="58" ht="15.75" customHeight="1">
      <c r="A58" s="13" t="s">
        <v>342</v>
      </c>
      <c r="B58" s="13" t="s">
        <v>343</v>
      </c>
      <c r="C58" s="14">
        <v>111.0</v>
      </c>
      <c r="D58" s="15" t="s">
        <v>344</v>
      </c>
      <c r="E58" s="13" t="s">
        <v>345</v>
      </c>
      <c r="F58" s="13" t="s">
        <v>346</v>
      </c>
      <c r="G58" s="13" t="s">
        <v>41</v>
      </c>
      <c r="H58" s="13" t="s">
        <v>288</v>
      </c>
      <c r="I58" s="13" t="s">
        <v>248</v>
      </c>
      <c r="J58" s="13" t="s">
        <v>59</v>
      </c>
      <c r="K58" s="13" t="s">
        <v>60</v>
      </c>
      <c r="L58" s="16" t="str">
        <f>VLOOKUP($A58,'Raw - 2'!$A$2:$AC$2323,3,false)</f>
        <v>Mammals</v>
      </c>
      <c r="M58" s="16" t="str">
        <f>VLOOKUP($A58,'Raw - 2'!$A$2:$AC$2323,10,false)</f>
        <v>C</v>
      </c>
      <c r="N58" s="16" t="str">
        <f>VLOOKUP($A58,'Raw - 2'!$A$2:$AC$2323,11,false)</f>
        <v>Asia</v>
      </c>
      <c r="O58" s="16" t="str">
        <f>VLOOKUP($A58,'Raw - 2'!$A$2:$AC$2323,12,false)</f>
        <v>China</v>
      </c>
      <c r="P58" s="13" t="str">
        <f>VLOOKUP($A58,'Raw - 2'!$A$2:$AC$2323,15,false)</f>
        <v>Yes</v>
      </c>
      <c r="Q58" s="16" t="str">
        <f>VLOOKUP($A58,'Raw - 2'!$A$2:$AC$2323,16,false)</f>
        <v>Road &amp; Settlement</v>
      </c>
      <c r="R58" s="16" t="str">
        <f>VLOOKUP($A58,'Raw - 2'!$A$2:$AC$2323,27,false)</f>
        <v>Tropical forest</v>
      </c>
      <c r="S58" s="13">
        <v>1.0</v>
      </c>
      <c r="T58" s="13">
        <v>1.0</v>
      </c>
    </row>
    <row r="59" ht="15.75" customHeight="1">
      <c r="A59" s="13" t="s">
        <v>347</v>
      </c>
      <c r="B59" s="13" t="s">
        <v>348</v>
      </c>
      <c r="C59" s="14">
        <v>114.0</v>
      </c>
      <c r="D59" s="15" t="s">
        <v>349</v>
      </c>
      <c r="E59" s="13" t="s">
        <v>350</v>
      </c>
      <c r="F59" s="13" t="s">
        <v>351</v>
      </c>
      <c r="G59" s="13" t="s">
        <v>41</v>
      </c>
      <c r="H59" s="13" t="s">
        <v>302</v>
      </c>
      <c r="I59" s="13" t="s">
        <v>52</v>
      </c>
      <c r="J59" s="13" t="s">
        <v>68</v>
      </c>
      <c r="K59" s="13" t="s">
        <v>60</v>
      </c>
      <c r="L59" s="13" t="str">
        <f>VLOOKUP($A59,'Raw - 2'!$A$2:$AC$2323,3,false)</f>
        <v>Mammals</v>
      </c>
      <c r="M59" s="13" t="str">
        <f>VLOOKUP($A59,'Raw - 2'!$A$2:$AC$2323,10,false)</f>
        <v>SC</v>
      </c>
      <c r="N59" s="13" t="str">
        <f>VLOOKUP($A59,'Raw - 2'!$A$2:$AC$2323,11,false)</f>
        <v>Africa</v>
      </c>
      <c r="O59" s="13" t="str">
        <f>VLOOKUP($A59,'Raw - 2'!$A$2:$AC$2323,12,false)</f>
        <v>Uganda</v>
      </c>
      <c r="P59" s="13" t="str">
        <f>VLOOKUP($A59,'Raw - 2'!$A$2:$AC$2323,15,false)</f>
        <v>Yes</v>
      </c>
      <c r="Q59" s="13" t="str">
        <f>VLOOKUP($A59,'Raw - 2'!$A$2:$AC$2323,16,false)</f>
        <v>Settlement</v>
      </c>
      <c r="R59" s="13" t="str">
        <f>VLOOKUP($A59,'Raw - 2'!$A$2:$AC$2323,27,false)</f>
        <v>Tropical forest</v>
      </c>
      <c r="S59" s="13">
        <v>1.0</v>
      </c>
      <c r="T59" s="13">
        <v>1.0</v>
      </c>
    </row>
    <row r="60" ht="15.75" customHeight="1">
      <c r="A60" s="16" t="s">
        <v>352</v>
      </c>
      <c r="B60" s="13" t="s">
        <v>353</v>
      </c>
      <c r="C60" s="14">
        <v>115.0</v>
      </c>
      <c r="D60" s="15" t="s">
        <v>354</v>
      </c>
      <c r="E60" s="13" t="s">
        <v>355</v>
      </c>
      <c r="F60" s="13" t="s">
        <v>356</v>
      </c>
      <c r="G60" s="13" t="s">
        <v>126</v>
      </c>
      <c r="H60" s="13" t="s">
        <v>357</v>
      </c>
      <c r="I60" s="13" t="s">
        <v>52</v>
      </c>
      <c r="J60" s="13" t="s">
        <v>44</v>
      </c>
      <c r="K60" s="13" t="s">
        <v>60</v>
      </c>
      <c r="L60" s="16" t="str">
        <f>VLOOKUP($A60,'Raw - 2'!$A$2:$AC$2323,3,false)</f>
        <v>Birds</v>
      </c>
      <c r="M60" s="16" t="str">
        <f>VLOOKUP($A60,'Raw - 2'!$A$2:$AC$2323,10,false)</f>
        <v>SC</v>
      </c>
      <c r="N60" s="16" t="str">
        <f>VLOOKUP($A60,'Raw - 2'!$A$2:$AC$2323,11,false)</f>
        <v>Africa</v>
      </c>
      <c r="O60" s="16" t="str">
        <f>VLOOKUP($A60,'Raw - 2'!$A$2:$AC$2323,12,false)</f>
        <v>Tanzania</v>
      </c>
      <c r="P60" s="13" t="str">
        <f>VLOOKUP($A60,'Raw - 2'!$A$2:$AC$2323,15,false)</f>
        <v>Yes</v>
      </c>
      <c r="Q60" s="16" t="str">
        <f>VLOOKUP($A60,'Raw - 2'!$A$2:$AC$2323,16,false)</f>
        <v>Settlement</v>
      </c>
      <c r="R60" s="16" t="str">
        <f>VLOOKUP($A60,'Raw - 2'!$A$2:$AC$2323,27,false)</f>
        <v>Savannah</v>
      </c>
      <c r="S60" s="13">
        <v>1.0</v>
      </c>
      <c r="T60" s="13">
        <v>1.0</v>
      </c>
    </row>
    <row r="61" ht="15.75" customHeight="1">
      <c r="A61" s="13" t="s">
        <v>358</v>
      </c>
      <c r="B61" s="13" t="s">
        <v>359</v>
      </c>
      <c r="C61" s="14">
        <v>116.0</v>
      </c>
      <c r="D61" s="15" t="s">
        <v>360</v>
      </c>
      <c r="E61" s="13" t="s">
        <v>361</v>
      </c>
      <c r="F61" s="13" t="s">
        <v>362</v>
      </c>
      <c r="G61" s="13" t="s">
        <v>41</v>
      </c>
      <c r="H61" s="13" t="s">
        <v>363</v>
      </c>
      <c r="I61" s="13" t="s">
        <v>52</v>
      </c>
      <c r="J61" s="13" t="s">
        <v>44</v>
      </c>
      <c r="K61" s="13" t="s">
        <v>60</v>
      </c>
      <c r="L61" s="16" t="str">
        <f>VLOOKUP($A61,'Raw - 2'!$A$2:$AC$2323,3,false)</f>
        <v>Mammals</v>
      </c>
      <c r="M61" s="16" t="str">
        <f>VLOOKUP($A61,'Raw - 2'!$A$2:$AC$2323,10,false)</f>
        <v>S</v>
      </c>
      <c r="N61" s="16" t="str">
        <f>VLOOKUP($A61,'Raw - 2'!$A$2:$AC$2323,11,false)</f>
        <v>Africa</v>
      </c>
      <c r="O61" s="16" t="str">
        <f>VLOOKUP($A61,'Raw - 2'!$A$2:$AC$2323,12,false)</f>
        <v>Tanzania</v>
      </c>
      <c r="P61" s="13" t="str">
        <f>VLOOKUP($A61,'Raw - 2'!$A$2:$AC$2323,15,false)</f>
        <v>Yes</v>
      </c>
      <c r="Q61" s="16" t="str">
        <f>VLOOKUP($A61,'Raw - 2'!$A$2:$AC$2323,16,false)</f>
        <v>Settlement</v>
      </c>
      <c r="R61" s="16" t="str">
        <f>VLOOKUP($A61,'Raw - 2'!$A$2:$AC$2323,27,false)</f>
        <v>Montane forest</v>
      </c>
      <c r="S61" s="13">
        <v>1.0</v>
      </c>
      <c r="T61" s="13">
        <v>1.0</v>
      </c>
    </row>
    <row r="62" ht="15.75" customHeight="1">
      <c r="A62" s="13" t="s">
        <v>364</v>
      </c>
      <c r="B62" s="13" t="s">
        <v>365</v>
      </c>
      <c r="C62" s="14">
        <v>117.0</v>
      </c>
      <c r="D62" s="15" t="s">
        <v>366</v>
      </c>
      <c r="E62" s="13" t="s">
        <v>367</v>
      </c>
      <c r="F62" s="13" t="s">
        <v>40</v>
      </c>
      <c r="G62" s="13" t="s">
        <v>41</v>
      </c>
      <c r="H62" s="13" t="s">
        <v>336</v>
      </c>
      <c r="I62" s="13" t="s">
        <v>52</v>
      </c>
      <c r="J62" s="13" t="s">
        <v>44</v>
      </c>
      <c r="K62" s="13" t="s">
        <v>60</v>
      </c>
      <c r="L62" s="16" t="str">
        <f>VLOOKUP($A62,'Raw - 2'!$A$2:$AC$2323,3,false)</f>
        <v>Mammals</v>
      </c>
      <c r="M62" s="16" t="str">
        <f>VLOOKUP($A62,'Raw - 2'!$A$2:$AC$2323,10,false)</f>
        <v>S</v>
      </c>
      <c r="N62" s="16" t="str">
        <f>VLOOKUP($A62,'Raw - 2'!$A$2:$AC$2323,11,false)</f>
        <v>Asia</v>
      </c>
      <c r="O62" s="16" t="str">
        <f>VLOOKUP($A62,'Raw - 2'!$A$2:$AC$2323,12,false)</f>
        <v>Indonesia</v>
      </c>
      <c r="P62" s="13" t="str">
        <f>VLOOKUP($A62,'Raw - 2'!$A$2:$AC$2323,15,false)</f>
        <v>No</v>
      </c>
      <c r="Q62" s="16" t="str">
        <f>VLOOKUP($A62,'Raw - 2'!$A$2:$AC$2323,16,false)</f>
        <v>Settlement</v>
      </c>
      <c r="R62" s="16" t="str">
        <f>VLOOKUP($A62,'Raw - 2'!$A$2:$AC$2323,27,false)</f>
        <v>Tropical forest</v>
      </c>
      <c r="S62" s="13">
        <v>1.0</v>
      </c>
      <c r="T62" s="13">
        <v>1.0</v>
      </c>
    </row>
    <row r="63" ht="15.75" customHeight="1">
      <c r="A63" s="16" t="s">
        <v>368</v>
      </c>
      <c r="B63" s="13" t="s">
        <v>369</v>
      </c>
      <c r="C63" s="14">
        <v>118.0</v>
      </c>
      <c r="D63" s="15" t="s">
        <v>370</v>
      </c>
      <c r="E63" s="13" t="s">
        <v>371</v>
      </c>
      <c r="F63" s="13" t="s">
        <v>40</v>
      </c>
      <c r="G63" s="13" t="s">
        <v>126</v>
      </c>
      <c r="H63" s="13" t="s">
        <v>372</v>
      </c>
      <c r="I63" s="13" t="s">
        <v>67</v>
      </c>
      <c r="J63" s="13" t="s">
        <v>44</v>
      </c>
      <c r="K63" s="13" t="s">
        <v>45</v>
      </c>
      <c r="L63" s="16" t="str">
        <f>VLOOKUP($A63,'Raw - 2'!$A$2:$AC$2323,3,false)</f>
        <v>Birds</v>
      </c>
      <c r="M63" s="16" t="str">
        <f>VLOOKUP($A63,'Raw - 2'!$A$2:$AC$2323,10,false)</f>
        <v>S</v>
      </c>
      <c r="N63" s="16" t="str">
        <f>VLOOKUP($A63,'Raw - 2'!$A$2:$AC$2323,11,false)</f>
        <v>C America</v>
      </c>
      <c r="O63" s="16" t="str">
        <f>VLOOKUP($A63,'Raw - 2'!$A$2:$AC$2323,12,false)</f>
        <v>Mexico</v>
      </c>
      <c r="P63" s="13" t="str">
        <f>VLOOKUP($A63,'Raw - 2'!$A$2:$AC$2323,15,false)</f>
        <v>No</v>
      </c>
      <c r="Q63" s="16" t="str">
        <f>VLOOKUP($A63,'Raw - 2'!$A$2:$AC$2323,16,false)</f>
        <v>Road &amp; Settlement</v>
      </c>
      <c r="R63" s="16" t="str">
        <f>VLOOKUP($A63,'Raw - 2'!$A$2:$AC$2323,27,false)</f>
        <v>Tropical forest</v>
      </c>
      <c r="S63" s="13">
        <v>1.0</v>
      </c>
      <c r="T63" s="13">
        <v>1.0</v>
      </c>
    </row>
    <row r="64" ht="15.75" customHeight="1">
      <c r="A64" s="16" t="s">
        <v>373</v>
      </c>
      <c r="B64" s="13" t="s">
        <v>374</v>
      </c>
      <c r="C64" s="14">
        <v>119.0</v>
      </c>
      <c r="E64" s="13" t="s">
        <v>375</v>
      </c>
      <c r="F64" s="13" t="s">
        <v>376</v>
      </c>
      <c r="G64" s="13" t="s">
        <v>73</v>
      </c>
      <c r="H64" s="13" t="s">
        <v>377</v>
      </c>
      <c r="I64" s="13" t="s">
        <v>52</v>
      </c>
      <c r="J64" s="13" t="s">
        <v>44</v>
      </c>
      <c r="K64" s="13" t="s">
        <v>45</v>
      </c>
      <c r="L64" s="16" t="str">
        <f>VLOOKUP($A64,'Raw - 2'!$A$2:$AC$2323,3,false)</f>
        <v>Birds</v>
      </c>
      <c r="M64" s="16" t="str">
        <f>VLOOKUP($A64,'Raw - 2'!$A$2:$AC$2323,10,false)</f>
        <v>S</v>
      </c>
      <c r="N64" s="16" t="str">
        <f>VLOOKUP($A64,'Raw - 2'!$A$2:$AC$2323,11,false)</f>
        <v>S America</v>
      </c>
      <c r="O64" s="16" t="str">
        <f>VLOOKUP($A64,'Raw - 2'!$A$2:$AC$2323,12,false)</f>
        <v>Ecuador</v>
      </c>
      <c r="P64" s="13" t="str">
        <f>VLOOKUP($A64,'Raw - 2'!$A$2:$AC$2323,15,false)</f>
        <v>No</v>
      </c>
      <c r="Q64" s="16" t="str">
        <f>VLOOKUP($A64,'Raw - 2'!$A$2:$AC$2323,16,false)</f>
        <v>Settlement</v>
      </c>
      <c r="R64" s="16" t="str">
        <f>VLOOKUP($A64,'Raw - 2'!$A$2:$AC$2323,27,false)</f>
        <v>Tropical forest</v>
      </c>
      <c r="S64" s="13">
        <v>1.0</v>
      </c>
      <c r="T64" s="13">
        <v>1.0</v>
      </c>
    </row>
    <row r="65" ht="15.75" customHeight="1">
      <c r="A65" s="13" t="s">
        <v>378</v>
      </c>
      <c r="B65" s="13" t="s">
        <v>379</v>
      </c>
      <c r="C65" s="14">
        <v>120.0</v>
      </c>
      <c r="D65" s="15" t="s">
        <v>380</v>
      </c>
      <c r="E65" s="13" t="s">
        <v>381</v>
      </c>
      <c r="F65" s="13" t="s">
        <v>40</v>
      </c>
      <c r="G65" s="13" t="s">
        <v>41</v>
      </c>
      <c r="H65" s="13" t="s">
        <v>382</v>
      </c>
      <c r="I65" s="13" t="s">
        <v>52</v>
      </c>
      <c r="J65" s="13" t="s">
        <v>68</v>
      </c>
      <c r="K65" s="13" t="s">
        <v>249</v>
      </c>
      <c r="L65" s="16" t="str">
        <f>VLOOKUP($A65,'Raw - 2'!$A$2:$AC$2323,3,false)</f>
        <v>Mammals</v>
      </c>
      <c r="M65" s="16" t="str">
        <f>VLOOKUP($A65,'Raw - 2'!$A$2:$AC$2323,10,false)</f>
        <v>SC</v>
      </c>
      <c r="N65" s="16" t="str">
        <f>VLOOKUP($A65,'Raw - 2'!$A$2:$AC$2323,11,false)</f>
        <v>Africa</v>
      </c>
      <c r="O65" s="16" t="str">
        <f>VLOOKUP($A65,'Raw - 2'!$A$2:$AC$2323,12,false)</f>
        <v>Cameroon</v>
      </c>
      <c r="P65" s="13" t="str">
        <f>VLOOKUP($A65,'Raw - 2'!$A$2:$AC$2323,15,false)</f>
        <v>Yes</v>
      </c>
      <c r="Q65" s="16" t="str">
        <f>VLOOKUP($A65,'Raw - 2'!$A$2:$AC$2323,16,false)</f>
        <v>Settlement</v>
      </c>
      <c r="R65" s="16" t="str">
        <f>VLOOKUP($A65,'Raw - 2'!$A$2:$AC$2323,27,false)</f>
        <v>Tropical forest</v>
      </c>
      <c r="S65" s="13">
        <v>1.0</v>
      </c>
      <c r="T65" s="13">
        <v>1.0</v>
      </c>
    </row>
    <row r="66" ht="15.75" customHeight="1">
      <c r="A66" s="13" t="s">
        <v>383</v>
      </c>
      <c r="B66" s="13" t="s">
        <v>384</v>
      </c>
      <c r="C66" s="14">
        <v>121.0</v>
      </c>
      <c r="D66" s="15" t="s">
        <v>385</v>
      </c>
      <c r="E66" s="13" t="s">
        <v>280</v>
      </c>
      <c r="F66" s="13" t="s">
        <v>362</v>
      </c>
      <c r="G66" s="13" t="s">
        <v>41</v>
      </c>
      <c r="H66" s="13" t="s">
        <v>386</v>
      </c>
      <c r="I66" s="13" t="s">
        <v>52</v>
      </c>
      <c r="J66" s="13" t="s">
        <v>44</v>
      </c>
      <c r="K66" s="13" t="s">
        <v>60</v>
      </c>
      <c r="L66" s="16" t="str">
        <f>VLOOKUP($A66,'Raw - 2'!$A$2:$AC$2323,3,false)</f>
        <v>Mammals</v>
      </c>
      <c r="M66" s="16" t="str">
        <f>VLOOKUP($A66,'Raw - 2'!$A$2:$AC$2323,10,false)</f>
        <v>SC</v>
      </c>
      <c r="N66" s="16" t="str">
        <f>VLOOKUP($A66,'Raw - 2'!$A$2:$AC$2323,11,false)</f>
        <v>Africa</v>
      </c>
      <c r="O66" s="16" t="str">
        <f>VLOOKUP($A66,'Raw - 2'!$A$2:$AC$2323,12,false)</f>
        <v>Tanzania</v>
      </c>
      <c r="P66" s="13" t="str">
        <f>VLOOKUP($A66,'Raw - 2'!$A$2:$AC$2323,15,false)</f>
        <v>Yes</v>
      </c>
      <c r="Q66" s="16" t="str">
        <f>VLOOKUP($A66,'Raw - 2'!$A$2:$AC$2323,16,false)</f>
        <v>Settlement</v>
      </c>
      <c r="R66" s="16" t="str">
        <f>VLOOKUP($A66,'Raw - 2'!$A$2:$AC$2323,27,false)</f>
        <v>Montane forest</v>
      </c>
      <c r="S66" s="13">
        <v>1.0</v>
      </c>
      <c r="T66" s="13">
        <v>1.0</v>
      </c>
    </row>
    <row r="67" ht="15.75" customHeight="1">
      <c r="A67" s="13" t="s">
        <v>387</v>
      </c>
      <c r="B67" s="13" t="s">
        <v>388</v>
      </c>
      <c r="C67" s="14">
        <v>122.0</v>
      </c>
      <c r="E67" s="13" t="s">
        <v>389</v>
      </c>
      <c r="F67" s="13" t="s">
        <v>390</v>
      </c>
      <c r="G67" s="13" t="s">
        <v>41</v>
      </c>
      <c r="H67" s="13" t="s">
        <v>336</v>
      </c>
      <c r="I67" s="13" t="s">
        <v>52</v>
      </c>
      <c r="J67" s="13" t="s">
        <v>68</v>
      </c>
      <c r="K67" s="13" t="s">
        <v>60</v>
      </c>
      <c r="L67" s="16" t="str">
        <f>VLOOKUP($A67,'Raw - 2'!$A$2:$AC$2323,3,false)</f>
        <v>Mammals</v>
      </c>
      <c r="M67" s="16" t="str">
        <f>VLOOKUP($A67,'Raw - 2'!$A$2:$AC$2323,10,false)</f>
        <v>SC</v>
      </c>
      <c r="N67" s="16" t="str">
        <f>VLOOKUP($A67,'Raw - 2'!$A$2:$AC$2323,11,false)</f>
        <v>Asia</v>
      </c>
      <c r="O67" s="16" t="str">
        <f>VLOOKUP($A67,'Raw - 2'!$A$2:$AC$2323,12,false)</f>
        <v>Indonesia</v>
      </c>
      <c r="P67" s="13" t="str">
        <f>VLOOKUP($A67,'Raw - 2'!$A$2:$AC$2323,15,false)</f>
        <v>No</v>
      </c>
      <c r="Q67" s="16" t="str">
        <f>VLOOKUP($A67,'Raw - 2'!$A$2:$AC$2323,16,false)</f>
        <v>Settlement</v>
      </c>
      <c r="R67" s="16" t="str">
        <f>VLOOKUP($A67,'Raw - 2'!$A$2:$AC$2323,27,false)</f>
        <v>Tropical forest</v>
      </c>
      <c r="S67" s="13">
        <v>1.0</v>
      </c>
      <c r="T67" s="13">
        <v>1.0</v>
      </c>
    </row>
    <row r="68" ht="15.75" customHeight="1">
      <c r="A68" s="13" t="s">
        <v>391</v>
      </c>
      <c r="B68" s="13" t="s">
        <v>392</v>
      </c>
      <c r="C68" s="14">
        <v>123.0</v>
      </c>
      <c r="E68" s="13" t="s">
        <v>393</v>
      </c>
      <c r="F68" s="13" t="s">
        <v>102</v>
      </c>
      <c r="G68" s="13" t="s">
        <v>41</v>
      </c>
      <c r="H68" s="13" t="s">
        <v>394</v>
      </c>
      <c r="I68" s="13" t="s">
        <v>144</v>
      </c>
      <c r="J68" s="13" t="s">
        <v>44</v>
      </c>
      <c r="K68" s="13" t="s">
        <v>45</v>
      </c>
      <c r="L68" s="16" t="str">
        <f>VLOOKUP($A68,'Raw - 2'!$A$2:$AC$2323,3,false)</f>
        <v>Mammals</v>
      </c>
      <c r="M68" s="16" t="str">
        <f>VLOOKUP($A68,'Raw - 2'!$A$2:$AC$2323,10,false)</f>
        <v>S</v>
      </c>
      <c r="N68" s="16" t="str">
        <f>VLOOKUP($A68,'Raw - 2'!$A$2:$AC$2323,11,false)</f>
        <v>Africa</v>
      </c>
      <c r="O68" s="16" t="str">
        <f>VLOOKUP($A68,'Raw - 2'!$A$2:$AC$2323,12,false)</f>
        <v>C.A.R.</v>
      </c>
      <c r="P68" s="13" t="str">
        <f>VLOOKUP($A68,'Raw - 2'!$A$2:$AC$2323,15,false)</f>
        <v>Yes</v>
      </c>
      <c r="Q68" s="16" t="str">
        <f>VLOOKUP($A68,'Raw - 2'!$A$2:$AC$2323,16,false)</f>
        <v>Settlement</v>
      </c>
      <c r="R68" s="16" t="str">
        <f>VLOOKUP($A68,'Raw - 2'!$A$2:$AC$2323,27,false)</f>
        <v>Tropical forest</v>
      </c>
      <c r="S68" s="13">
        <v>1.0</v>
      </c>
      <c r="T68" s="13">
        <v>1.0</v>
      </c>
    </row>
    <row r="69" ht="15.75" customHeight="1">
      <c r="A69" s="13" t="s">
        <v>395</v>
      </c>
      <c r="B69" s="13" t="s">
        <v>396</v>
      </c>
      <c r="C69" s="14">
        <v>124.0</v>
      </c>
      <c r="E69" s="13" t="s">
        <v>397</v>
      </c>
      <c r="F69" s="13" t="s">
        <v>398</v>
      </c>
      <c r="G69" s="13" t="s">
        <v>41</v>
      </c>
      <c r="H69" s="13" t="s">
        <v>399</v>
      </c>
      <c r="I69" s="13" t="s">
        <v>289</v>
      </c>
      <c r="J69" s="13" t="s">
        <v>44</v>
      </c>
      <c r="K69" s="13" t="s">
        <v>45</v>
      </c>
      <c r="L69" s="16" t="str">
        <f>VLOOKUP($A69,'Raw - 2'!$A$2:$AC$2323,3,false)</f>
        <v>Mammals</v>
      </c>
      <c r="M69" s="16" t="str">
        <f>VLOOKUP($A69,'Raw - 2'!$A$2:$AC$2323,10,false)</f>
        <v>S</v>
      </c>
      <c r="N69" s="16" t="str">
        <f>VLOOKUP($A69,'Raw - 2'!$A$2:$AC$2323,11,false)</f>
        <v>S America</v>
      </c>
      <c r="O69" s="16" t="str">
        <f>VLOOKUP($A69,'Raw - 2'!$A$2:$AC$2323,12,false)</f>
        <v>Bolivia</v>
      </c>
      <c r="P69" s="13" t="str">
        <f>VLOOKUP($A69,'Raw - 2'!$A$2:$AC$2323,15,false)</f>
        <v>No</v>
      </c>
      <c r="Q69" s="16" t="str">
        <f>VLOOKUP($A69,'Raw - 2'!$A$2:$AC$2323,16,false)</f>
        <v>Settlement</v>
      </c>
      <c r="R69" s="16" t="str">
        <f>VLOOKUP($A69,'Raw - 2'!$A$2:$AC$2323,27,false)</f>
        <v>Xerophilous forest</v>
      </c>
      <c r="S69" s="13">
        <v>1.0</v>
      </c>
      <c r="T69" s="13">
        <v>1.0</v>
      </c>
    </row>
    <row r="70" ht="15.75" customHeight="1">
      <c r="A70" s="13" t="s">
        <v>400</v>
      </c>
      <c r="B70" s="13" t="s">
        <v>401</v>
      </c>
      <c r="C70" s="14">
        <v>125.0</v>
      </c>
      <c r="E70" s="13" t="s">
        <v>402</v>
      </c>
      <c r="F70" s="13" t="s">
        <v>403</v>
      </c>
      <c r="G70" s="13" t="s">
        <v>41</v>
      </c>
      <c r="H70" s="13" t="s">
        <v>404</v>
      </c>
      <c r="I70" s="13" t="s">
        <v>52</v>
      </c>
      <c r="J70" s="13" t="s">
        <v>44</v>
      </c>
      <c r="K70" s="13" t="s">
        <v>45</v>
      </c>
      <c r="L70" s="16" t="str">
        <f>VLOOKUP($A70,'Raw - 2'!$A$2:$AC$2323,3,false)</f>
        <v>Mammals</v>
      </c>
      <c r="M70" s="16" t="str">
        <f>VLOOKUP($A70,'Raw - 2'!$A$2:$AC$2323,10,false)</f>
        <v>S</v>
      </c>
      <c r="N70" s="16" t="str">
        <f>VLOOKUP($A70,'Raw - 2'!$A$2:$AC$2323,11,false)</f>
        <v>C America</v>
      </c>
      <c r="O70" s="16" t="str">
        <f>VLOOKUP($A70,'Raw - 2'!$A$2:$AC$2323,12,false)</f>
        <v>Guatemala</v>
      </c>
      <c r="P70" s="13" t="str">
        <f>VLOOKUP($A70,'Raw - 2'!$A$2:$AC$2323,15,false)</f>
        <v>Yes</v>
      </c>
      <c r="Q70" s="16" t="str">
        <f>VLOOKUP($A70,'Raw - 2'!$A$2:$AC$2323,16,false)</f>
        <v>Settlement</v>
      </c>
      <c r="R70" s="16" t="str">
        <f>VLOOKUP($A70,'Raw - 2'!$A$2:$AC$2323,27,false)</f>
        <v>Tropical forest</v>
      </c>
      <c r="S70" s="13">
        <v>1.0</v>
      </c>
      <c r="T70" s="13">
        <v>1.0</v>
      </c>
    </row>
    <row r="71" ht="15.75" customHeight="1">
      <c r="A71" s="13" t="s">
        <v>405</v>
      </c>
      <c r="B71" s="13" t="s">
        <v>406</v>
      </c>
      <c r="C71" s="14">
        <v>129.0</v>
      </c>
      <c r="E71" s="13" t="s">
        <v>407</v>
      </c>
      <c r="F71" s="13" t="s">
        <v>408</v>
      </c>
      <c r="G71" s="13" t="s">
        <v>41</v>
      </c>
      <c r="H71" s="13" t="s">
        <v>409</v>
      </c>
      <c r="I71" s="13" t="s">
        <v>52</v>
      </c>
      <c r="J71" s="13" t="s">
        <v>44</v>
      </c>
      <c r="K71" s="13" t="s">
        <v>45</v>
      </c>
      <c r="L71" s="16" t="str">
        <f>VLOOKUP($A71,'Raw - 2'!$A$2:$AC$2323,3,false)</f>
        <v>Mammals</v>
      </c>
      <c r="M71" s="16" t="str">
        <f>VLOOKUP($A71,'Raw - 2'!$A$2:$AC$2323,10,false)</f>
        <v>S</v>
      </c>
      <c r="N71" s="16" t="str">
        <f>VLOOKUP($A71,'Raw - 2'!$A$2:$AC$2323,11,false)</f>
        <v>Asia</v>
      </c>
      <c r="O71" s="16" t="str">
        <f>VLOOKUP($A71,'Raw - 2'!$A$2:$AC$2323,12,false)</f>
        <v>Indonesia</v>
      </c>
      <c r="P71" s="13" t="str">
        <f>VLOOKUP($A71,'Raw - 2'!$A$2:$AC$2323,15,false)</f>
        <v>No</v>
      </c>
      <c r="Q71" s="16" t="str">
        <f>VLOOKUP($A71,'Raw - 2'!$A$2:$AC$2323,16,false)</f>
        <v>Settlement</v>
      </c>
      <c r="R71" s="16" t="str">
        <f>VLOOKUP($A71,'Raw - 2'!$A$2:$AC$2323,27,false)</f>
        <v>Tropical forest</v>
      </c>
      <c r="S71" s="13" t="s">
        <v>410</v>
      </c>
      <c r="T71" s="13">
        <v>3.0</v>
      </c>
    </row>
    <row r="72" ht="15.75" customHeight="1">
      <c r="A72" s="13" t="s">
        <v>411</v>
      </c>
      <c r="B72" s="13" t="s">
        <v>412</v>
      </c>
      <c r="C72" s="14">
        <v>130.0</v>
      </c>
      <c r="D72" s="15" t="s">
        <v>413</v>
      </c>
      <c r="E72" s="13" t="s">
        <v>414</v>
      </c>
      <c r="F72" s="13" t="s">
        <v>415</v>
      </c>
      <c r="G72" s="13" t="s">
        <v>73</v>
      </c>
      <c r="H72" s="13" t="s">
        <v>416</v>
      </c>
      <c r="I72" s="13" t="s">
        <v>52</v>
      </c>
      <c r="J72" s="13" t="s">
        <v>44</v>
      </c>
      <c r="K72" s="13" t="s">
        <v>45</v>
      </c>
      <c r="L72" s="16" t="str">
        <f>VLOOKUP($A72,'Raw - 2'!$A$2:$AC$2323,3,false)</f>
        <v>Birds</v>
      </c>
      <c r="M72" s="16" t="str">
        <f>VLOOKUP($A72,'Raw - 2'!$A$2:$AC$2323,10,false)</f>
        <v>S</v>
      </c>
      <c r="N72" s="16" t="str">
        <f>VLOOKUP($A72,'Raw - 2'!$A$2:$AC$2323,11,false)</f>
        <v>S America</v>
      </c>
      <c r="O72" s="16" t="str">
        <f>VLOOKUP($A72,'Raw - 2'!$A$2:$AC$2323,12,false)</f>
        <v>Brazil</v>
      </c>
      <c r="P72" s="13" t="str">
        <f>VLOOKUP($A72,'Raw - 2'!$A$2:$AC$2323,15,false)</f>
        <v>No</v>
      </c>
      <c r="Q72" s="16" t="str">
        <f>VLOOKUP($A72,'Raw - 2'!$A$2:$AC$2323,16,false)</f>
        <v>Settlement</v>
      </c>
      <c r="R72" s="16" t="str">
        <f>VLOOKUP($A72,'Raw - 2'!$A$2:$AC$2323,27,false)</f>
        <v>Tropical forest</v>
      </c>
      <c r="S72" s="13">
        <v>1.0</v>
      </c>
      <c r="T72" s="13">
        <v>1.0</v>
      </c>
    </row>
    <row r="73" ht="15.75" customHeight="1">
      <c r="A73" s="13" t="s">
        <v>417</v>
      </c>
      <c r="B73" s="13" t="s">
        <v>418</v>
      </c>
      <c r="C73" s="14">
        <v>131.0</v>
      </c>
      <c r="E73" s="13" t="s">
        <v>419</v>
      </c>
      <c r="F73" s="13" t="s">
        <v>40</v>
      </c>
      <c r="G73" s="13" t="s">
        <v>73</v>
      </c>
      <c r="H73" s="13" t="s">
        <v>420</v>
      </c>
      <c r="I73" s="13" t="s">
        <v>52</v>
      </c>
      <c r="J73" s="13" t="s">
        <v>44</v>
      </c>
      <c r="K73" s="13" t="s">
        <v>45</v>
      </c>
      <c r="L73" s="16" t="str">
        <f>VLOOKUP($A73,'Raw - 2'!$A$2:$AC$2323,3,false)</f>
        <v>Birds</v>
      </c>
      <c r="M73" s="16" t="str">
        <f>VLOOKUP($A73,'Raw - 2'!$A$2:$AC$2323,10,false)</f>
        <v>S</v>
      </c>
      <c r="N73" s="16" t="str">
        <f>VLOOKUP($A73,'Raw - 2'!$A$2:$AC$2323,11,false)</f>
        <v>S America</v>
      </c>
      <c r="O73" s="16" t="str">
        <f>VLOOKUP($A73,'Raw - 2'!$A$2:$AC$2323,12,false)</f>
        <v>Venezuela</v>
      </c>
      <c r="P73" s="13" t="str">
        <f>VLOOKUP($A73,'Raw - 2'!$A$2:$AC$2323,15,false)</f>
        <v>Yes</v>
      </c>
      <c r="Q73" s="13" t="str">
        <f>VLOOKUP($A73,'Raw - 2'!$A$2:$AC$2323,16,false)</f>
        <v>Settlement</v>
      </c>
      <c r="R73" s="13" t="str">
        <f>VLOOKUP($A73,'Raw - 2'!$A$2:$AC$2323,27,false)</f>
        <v>Tropical forest</v>
      </c>
      <c r="S73" s="13">
        <v>1.0</v>
      </c>
      <c r="T73" s="13">
        <v>1.0</v>
      </c>
    </row>
    <row r="74" ht="15.75" customHeight="1">
      <c r="A74" s="13" t="s">
        <v>421</v>
      </c>
      <c r="B74" s="13" t="s">
        <v>422</v>
      </c>
      <c r="C74" s="14">
        <v>132.0</v>
      </c>
      <c r="D74" s="15" t="s">
        <v>423</v>
      </c>
      <c r="E74" s="13" t="s">
        <v>424</v>
      </c>
      <c r="F74" s="13" t="s">
        <v>40</v>
      </c>
      <c r="G74" s="13" t="s">
        <v>73</v>
      </c>
      <c r="H74" s="13" t="s">
        <v>425</v>
      </c>
      <c r="I74" s="13" t="s">
        <v>52</v>
      </c>
      <c r="J74" s="13" t="s">
        <v>44</v>
      </c>
      <c r="K74" s="13" t="s">
        <v>45</v>
      </c>
      <c r="L74" s="16" t="str">
        <f>VLOOKUP($A74,'Raw - 2'!$A$2:$AC$2323,3,false)</f>
        <v>Birds</v>
      </c>
      <c r="M74" s="16" t="str">
        <f>VLOOKUP($A74,'Raw - 2'!$A$2:$AC$2323,10,false)</f>
        <v>S</v>
      </c>
      <c r="N74" s="16" t="str">
        <f>VLOOKUP($A74,'Raw - 2'!$A$2:$AC$2323,11,false)</f>
        <v>S America</v>
      </c>
      <c r="O74" s="16" t="str">
        <f>VLOOKUP($A74,'Raw - 2'!$A$2:$AC$2323,12,false)</f>
        <v>Brazil</v>
      </c>
      <c r="P74" s="13" t="str">
        <f>VLOOKUP($A74,'Raw - 2'!$A$2:$AC$2323,15,false)</f>
        <v>Yes</v>
      </c>
      <c r="Q74" s="16" t="str">
        <f>VLOOKUP($A74,'Raw - 2'!$A$2:$AC$2323,16,false)</f>
        <v>Settlement</v>
      </c>
      <c r="R74" s="16" t="str">
        <f>VLOOKUP($A74,'Raw - 2'!$A$2:$AC$2323,27,false)</f>
        <v>Tropical forest</v>
      </c>
      <c r="S74" s="13">
        <v>1.0</v>
      </c>
      <c r="T74" s="13">
        <v>1.0</v>
      </c>
    </row>
    <row r="75" ht="15.75" customHeight="1">
      <c r="A75" s="13" t="s">
        <v>426</v>
      </c>
      <c r="B75" s="13" t="s">
        <v>427</v>
      </c>
      <c r="C75" s="14">
        <v>133.0</v>
      </c>
      <c r="D75" s="15" t="s">
        <v>428</v>
      </c>
      <c r="E75" s="13" t="s">
        <v>429</v>
      </c>
      <c r="F75" s="13" t="s">
        <v>40</v>
      </c>
      <c r="G75" s="13" t="s">
        <v>41</v>
      </c>
      <c r="H75" s="13" t="s">
        <v>430</v>
      </c>
      <c r="I75" s="13" t="s">
        <v>52</v>
      </c>
      <c r="J75" s="13" t="s">
        <v>44</v>
      </c>
      <c r="K75" s="13" t="s">
        <v>45</v>
      </c>
      <c r="L75" s="16" t="str">
        <f>VLOOKUP($A75,'Raw - 2'!$A$2:$AC$2323,3,false)</f>
        <v>Mammals</v>
      </c>
      <c r="M75" s="16" t="str">
        <f>VLOOKUP($A75,'Raw - 2'!$A$2:$AC$2323,10,false)</f>
        <v>S</v>
      </c>
      <c r="N75" s="16" t="str">
        <f>VLOOKUP($A75,'Raw - 2'!$A$2:$AC$2323,11,false)</f>
        <v>S America</v>
      </c>
      <c r="O75" s="16" t="str">
        <f>VLOOKUP($A75,'Raw - 2'!$A$2:$AC$2323,12,false)</f>
        <v>Brazil</v>
      </c>
      <c r="P75" s="13" t="str">
        <f>VLOOKUP($A75,'Raw - 2'!$A$2:$AC$2323,15,false)</f>
        <v>No</v>
      </c>
      <c r="Q75" s="16" t="str">
        <f>VLOOKUP($A75,'Raw - 2'!$A$2:$AC$2323,16,false)</f>
        <v>Settlement</v>
      </c>
      <c r="R75" s="16" t="str">
        <f>VLOOKUP($A75,'Raw - 2'!$A$2:$AC$2323,27,false)</f>
        <v>Tropical forest</v>
      </c>
      <c r="S75" s="13" t="s">
        <v>431</v>
      </c>
      <c r="T75" s="13">
        <v>4.0</v>
      </c>
    </row>
    <row r="76" ht="15.75" customHeight="1">
      <c r="A76" s="13" t="s">
        <v>432</v>
      </c>
      <c r="B76" s="13" t="s">
        <v>433</v>
      </c>
      <c r="C76" s="14">
        <v>134.0</v>
      </c>
      <c r="D76" s="15" t="s">
        <v>434</v>
      </c>
      <c r="E76" s="13" t="s">
        <v>435</v>
      </c>
      <c r="F76" s="13" t="s">
        <v>40</v>
      </c>
      <c r="G76" s="13" t="s">
        <v>41</v>
      </c>
      <c r="H76" s="13" t="s">
        <v>436</v>
      </c>
      <c r="I76" s="13" t="s">
        <v>437</v>
      </c>
      <c r="J76" s="13" t="s">
        <v>44</v>
      </c>
      <c r="K76" s="13" t="s">
        <v>45</v>
      </c>
      <c r="L76" s="16" t="str">
        <f>VLOOKUP($A76,'Raw - 2'!$A$2:$AC$2323,3,false)</f>
        <v>Mammals</v>
      </c>
      <c r="M76" s="16" t="str">
        <f>VLOOKUP($A76,'Raw - 2'!$A$2:$AC$2323,10,false)</f>
        <v>S</v>
      </c>
      <c r="N76" s="16" t="str">
        <f>VLOOKUP($A76,'Raw - 2'!$A$2:$AC$2323,11,false)</f>
        <v>S America</v>
      </c>
      <c r="O76" s="16" t="str">
        <f>VLOOKUP($A76,'Raw - 2'!$A$2:$AC$2323,12,false)</f>
        <v>Brazil</v>
      </c>
      <c r="P76" s="13" t="str">
        <f>VLOOKUP($A76,'Raw - 2'!$A$2:$AC$2323,15,false)</f>
        <v>No</v>
      </c>
      <c r="Q76" s="16" t="str">
        <f>VLOOKUP($A76,'Raw - 2'!$A$2:$AC$2323,16,false)</f>
        <v>Settlement</v>
      </c>
      <c r="R76" s="16" t="str">
        <f>VLOOKUP($A76,'Raw - 2'!$A$2:$AC$2323,27,false)</f>
        <v>Tropical forest</v>
      </c>
      <c r="S76" s="13" t="s">
        <v>438</v>
      </c>
      <c r="T76" s="13">
        <v>9.0</v>
      </c>
    </row>
    <row r="77" ht="15.75" customHeight="1">
      <c r="A77" s="13" t="s">
        <v>439</v>
      </c>
      <c r="B77" s="13" t="s">
        <v>440</v>
      </c>
      <c r="C77" s="14">
        <v>137.0</v>
      </c>
      <c r="D77" s="15" t="s">
        <v>441</v>
      </c>
      <c r="E77" s="13" t="s">
        <v>442</v>
      </c>
      <c r="F77" s="13" t="s">
        <v>102</v>
      </c>
      <c r="G77" s="13" t="s">
        <v>73</v>
      </c>
      <c r="H77" s="13" t="s">
        <v>443</v>
      </c>
      <c r="I77" s="13" t="s">
        <v>52</v>
      </c>
      <c r="J77" s="13" t="s">
        <v>68</v>
      </c>
      <c r="K77" s="13" t="s">
        <v>45</v>
      </c>
      <c r="L77" s="16" t="str">
        <f>VLOOKUP($A77,'Raw - 2'!$A$2:$AC$2323,3,false)</f>
        <v>Birds</v>
      </c>
      <c r="M77" s="16" t="str">
        <f>VLOOKUP($A77,'Raw - 2'!$A$2:$AC$2323,10,false)</f>
        <v>SC</v>
      </c>
      <c r="N77" s="16" t="str">
        <f>VLOOKUP($A77,'Raw - 2'!$A$2:$AC$2323,11,false)</f>
        <v>Africa</v>
      </c>
      <c r="O77" s="16" t="str">
        <f>VLOOKUP($A77,'Raw - 2'!$A$2:$AC$2323,12,false)</f>
        <v>D.R. Congo</v>
      </c>
      <c r="P77" s="13" t="str">
        <f>VLOOKUP($A77,'Raw - 2'!$A$2:$AC$2323,15,false)</f>
        <v>No</v>
      </c>
      <c r="Q77" s="16" t="str">
        <f>VLOOKUP($A77,'Raw - 2'!$A$2:$AC$2323,16,false)</f>
        <v>Settlement</v>
      </c>
      <c r="R77" s="16" t="str">
        <f>VLOOKUP($A77,'Raw - 2'!$A$2:$AC$2323,27,false)</f>
        <v>Tropical forest</v>
      </c>
      <c r="S77" s="13" t="s">
        <v>444</v>
      </c>
      <c r="T77" s="13">
        <v>1.0</v>
      </c>
    </row>
    <row r="78" ht="15.75" customHeight="1">
      <c r="A78" s="13" t="s">
        <v>445</v>
      </c>
      <c r="B78" s="13" t="s">
        <v>446</v>
      </c>
      <c r="C78" s="14">
        <v>138.0</v>
      </c>
      <c r="D78" s="15" t="s">
        <v>447</v>
      </c>
      <c r="E78" s="13" t="s">
        <v>448</v>
      </c>
      <c r="F78" s="13" t="s">
        <v>40</v>
      </c>
      <c r="G78" s="13" t="s">
        <v>41</v>
      </c>
      <c r="H78" s="13" t="s">
        <v>449</v>
      </c>
      <c r="I78" s="13" t="s">
        <v>52</v>
      </c>
      <c r="J78" s="13" t="s">
        <v>68</v>
      </c>
      <c r="K78" s="13" t="s">
        <v>249</v>
      </c>
      <c r="L78" s="13" t="str">
        <f>VLOOKUP($A78,'Raw - 2'!$A$2:$AC$2323,3,false)</f>
        <v>Mammals</v>
      </c>
      <c r="M78" s="13" t="str">
        <f>VLOOKUP($A78,'Raw - 2'!$A$2:$AC$2323,10,false)</f>
        <v>SC</v>
      </c>
      <c r="N78" s="13" t="str">
        <f>VLOOKUP($A78,'Raw - 2'!$A$2:$AC$2323,11,false)</f>
        <v>Africa</v>
      </c>
      <c r="O78" s="16" t="str">
        <f>VLOOKUP($A78,'Raw - 2'!$A$2:$AC$2323,12,false)</f>
        <v>C.A.R.</v>
      </c>
      <c r="P78" s="13" t="str">
        <f>VLOOKUP($A78,'Raw - 2'!$A$2:$AC$2323,15,false)</f>
        <v>No</v>
      </c>
      <c r="Q78" s="13" t="str">
        <f>VLOOKUP($A78,'Raw - 2'!$A$2:$AC$2323,16,false)</f>
        <v>Settlement</v>
      </c>
      <c r="R78" s="13" t="str">
        <f>VLOOKUP($A78,'Raw - 2'!$A$2:$AC$2323,27,false)</f>
        <v>Tropical forest</v>
      </c>
      <c r="S78" s="13">
        <v>1.0</v>
      </c>
      <c r="T78" s="13">
        <v>1.0</v>
      </c>
    </row>
    <row r="79" ht="15.75" customHeight="1">
      <c r="A79" s="13" t="s">
        <v>450</v>
      </c>
      <c r="B79" s="13" t="s">
        <v>451</v>
      </c>
      <c r="C79" s="14">
        <v>139.0</v>
      </c>
      <c r="D79" s="15" t="s">
        <v>452</v>
      </c>
      <c r="E79" s="13" t="s">
        <v>453</v>
      </c>
      <c r="F79" s="13" t="s">
        <v>40</v>
      </c>
      <c r="G79" s="13" t="s">
        <v>41</v>
      </c>
      <c r="H79" s="13" t="s">
        <v>454</v>
      </c>
      <c r="I79" s="13" t="s">
        <v>67</v>
      </c>
      <c r="J79" s="13" t="s">
        <v>68</v>
      </c>
      <c r="K79" s="13" t="s">
        <v>455</v>
      </c>
      <c r="L79" s="16" t="str">
        <f>VLOOKUP($A79,'Raw - 2'!$A$2:$AC$2323,3,false)</f>
        <v>Mammals</v>
      </c>
      <c r="M79" s="16" t="str">
        <f>VLOOKUP($A79,'Raw - 2'!$A$2:$AC$2323,10,false)</f>
        <v>SC</v>
      </c>
      <c r="N79" s="16" t="str">
        <f>VLOOKUP($A79,'Raw - 2'!$A$2:$AC$2323,11,false)</f>
        <v>Africa</v>
      </c>
      <c r="O79" s="16" t="str">
        <f>VLOOKUP($A79,'Raw - 2'!$A$2:$AC$2323,12,false)</f>
        <v>C.A.R.</v>
      </c>
      <c r="P79" s="13" t="str">
        <f>VLOOKUP($A79,'Raw - 2'!$A$2:$AC$2323,15,false)</f>
        <v>Yes</v>
      </c>
      <c r="Q79" s="16" t="str">
        <f>VLOOKUP($A79,'Raw - 2'!$A$2:$AC$2323,16,false)</f>
        <v>Road &amp; Settlement</v>
      </c>
      <c r="R79" s="16" t="str">
        <f>VLOOKUP($A79,'Raw - 2'!$A$2:$AC$2323,27,false)</f>
        <v>Tropical forest</v>
      </c>
      <c r="S79" s="13">
        <v>1.0</v>
      </c>
      <c r="T79" s="13">
        <v>1.0</v>
      </c>
    </row>
    <row r="80" ht="15.75" customHeight="1">
      <c r="A80" s="13" t="s">
        <v>456</v>
      </c>
      <c r="B80" s="13" t="s">
        <v>457</v>
      </c>
      <c r="C80" s="14">
        <v>142.0</v>
      </c>
      <c r="D80" s="15" t="s">
        <v>458</v>
      </c>
      <c r="E80" s="13" t="s">
        <v>459</v>
      </c>
      <c r="F80" s="13" t="s">
        <v>40</v>
      </c>
      <c r="G80" s="13" t="s">
        <v>41</v>
      </c>
      <c r="H80" s="13" t="s">
        <v>460</v>
      </c>
      <c r="I80" s="13" t="s">
        <v>52</v>
      </c>
      <c r="J80" s="13" t="s">
        <v>44</v>
      </c>
      <c r="K80" s="13" t="s">
        <v>45</v>
      </c>
      <c r="L80" s="16" t="str">
        <f>VLOOKUP($A80,'Raw - 2'!$A$2:$AC$2323,3,false)</f>
        <v>Mammals</v>
      </c>
      <c r="M80" s="16" t="str">
        <f>VLOOKUP($A80,'Raw - 2'!$A$2:$AC$2323,10,false)</f>
        <v>S</v>
      </c>
      <c r="N80" s="16" t="str">
        <f>VLOOKUP($A80,'Raw - 2'!$A$2:$AC$2323,11,false)</f>
        <v>S America</v>
      </c>
      <c r="O80" s="16" t="str">
        <f>VLOOKUP($A80,'Raw - 2'!$A$2:$AC$2323,12,false)</f>
        <v>Peru</v>
      </c>
      <c r="P80" s="13" t="str">
        <f>VLOOKUP($A80,'Raw - 2'!$A$2:$AC$2323,15,false)</f>
        <v>Yes</v>
      </c>
      <c r="Q80" s="16" t="str">
        <f>VLOOKUP($A80,'Raw - 2'!$A$2:$AC$2323,16,false)</f>
        <v>Settlement</v>
      </c>
      <c r="R80" s="16" t="str">
        <f>VLOOKUP($A80,'Raw - 2'!$A$2:$AC$2323,27,false)</f>
        <v>Tropical forest</v>
      </c>
      <c r="S80" s="13">
        <v>1.0</v>
      </c>
      <c r="T80" s="13">
        <v>1.0</v>
      </c>
    </row>
    <row r="81" ht="15.75" customHeight="1">
      <c r="A81" s="16" t="s">
        <v>461</v>
      </c>
      <c r="B81" s="13" t="s">
        <v>462</v>
      </c>
      <c r="C81" s="14">
        <v>143.0</v>
      </c>
      <c r="D81" s="15" t="s">
        <v>463</v>
      </c>
      <c r="E81" s="13" t="s">
        <v>464</v>
      </c>
      <c r="F81" s="13" t="s">
        <v>465</v>
      </c>
      <c r="G81" s="13" t="s">
        <v>41</v>
      </c>
      <c r="H81" s="13" t="s">
        <v>466</v>
      </c>
      <c r="I81" s="13" t="s">
        <v>52</v>
      </c>
      <c r="J81" s="13" t="s">
        <v>68</v>
      </c>
      <c r="K81" s="13" t="s">
        <v>60</v>
      </c>
      <c r="L81" s="16" t="str">
        <f>VLOOKUP($A81,'Raw - 2'!$A$2:$AC$2323,3,false)</f>
        <v>Mammals</v>
      </c>
      <c r="M81" s="16" t="str">
        <f>VLOOKUP($A81,'Raw - 2'!$A$2:$AC$2323,10,false)</f>
        <v>SC</v>
      </c>
      <c r="N81" s="16" t="str">
        <f>VLOOKUP($A81,'Raw - 2'!$A$2:$AC$2323,11,false)</f>
        <v>Africa</v>
      </c>
      <c r="O81" s="16" t="str">
        <f>VLOOKUP($A81,'Raw - 2'!$A$2:$AC$2323,12,false)</f>
        <v>Tanzania</v>
      </c>
      <c r="P81" s="13" t="str">
        <f>VLOOKUP($A81,'Raw - 2'!$A$2:$AC$2323,15,false)</f>
        <v>Yes</v>
      </c>
      <c r="Q81" s="16" t="str">
        <f>VLOOKUP($A81,'Raw - 2'!$A$2:$AC$2323,16,false)</f>
        <v>Settlement</v>
      </c>
      <c r="R81" s="16" t="str">
        <f>VLOOKUP($A81,'Raw - 2'!$A$2:$AC$2323,27,false)</f>
        <v>Montane forest</v>
      </c>
      <c r="S81" s="13">
        <v>1.0</v>
      </c>
      <c r="T81" s="13">
        <v>1.0</v>
      </c>
    </row>
    <row r="82" ht="15.75" customHeight="1">
      <c r="A82" s="13" t="s">
        <v>467</v>
      </c>
      <c r="B82" s="13" t="s">
        <v>468</v>
      </c>
      <c r="C82" s="14">
        <v>144.0</v>
      </c>
      <c r="E82" s="13" t="s">
        <v>327</v>
      </c>
      <c r="F82" s="13" t="s">
        <v>469</v>
      </c>
      <c r="G82" s="13" t="s">
        <v>41</v>
      </c>
      <c r="H82" s="13" t="s">
        <v>460</v>
      </c>
      <c r="I82" s="13" t="s">
        <v>58</v>
      </c>
      <c r="J82" s="13" t="s">
        <v>44</v>
      </c>
      <c r="K82" s="13" t="s">
        <v>60</v>
      </c>
      <c r="L82" s="16" t="str">
        <f>VLOOKUP($A82,'Raw - 2'!$A$2:$AC$2323,3,false)</f>
        <v>Mammals</v>
      </c>
      <c r="M82" s="16" t="str">
        <f>VLOOKUP($A82,'Raw - 2'!$A$2:$AC$2323,10,false)</f>
        <v>S</v>
      </c>
      <c r="N82" s="16" t="str">
        <f>VLOOKUP($A82,'Raw - 2'!$A$2:$AC$2323,11,false)</f>
        <v>Africa</v>
      </c>
      <c r="O82" s="16" t="str">
        <f>VLOOKUP($A82,'Raw - 2'!$A$2:$AC$2323,12,false)</f>
        <v>Madagascar</v>
      </c>
      <c r="P82" s="13" t="str">
        <f>VLOOKUP($A82,'Raw - 2'!$A$2:$AC$2323,15,false)</f>
        <v>Yes</v>
      </c>
      <c r="Q82" s="16" t="str">
        <f>VLOOKUP($A82,'Raw - 2'!$A$2:$AC$2323,16,false)</f>
        <v>Road</v>
      </c>
      <c r="R82" s="16" t="str">
        <f>VLOOKUP($A82,'Raw - 2'!$A$2:$AC$2323,27,false)</f>
        <v>Xerophytic forest</v>
      </c>
      <c r="S82" s="13">
        <v>1.0</v>
      </c>
      <c r="T82" s="13">
        <v>1.0</v>
      </c>
    </row>
    <row r="83" ht="15.75" customHeight="1">
      <c r="A83" s="13" t="s">
        <v>470</v>
      </c>
      <c r="B83" s="13" t="s">
        <v>471</v>
      </c>
      <c r="C83" s="14">
        <v>145.0</v>
      </c>
      <c r="D83" s="15" t="s">
        <v>472</v>
      </c>
      <c r="E83" s="13" t="s">
        <v>473</v>
      </c>
      <c r="F83" s="13" t="s">
        <v>474</v>
      </c>
      <c r="G83" s="13" t="s">
        <v>73</v>
      </c>
      <c r="H83" s="13" t="s">
        <v>475</v>
      </c>
      <c r="I83" s="13" t="s">
        <v>67</v>
      </c>
      <c r="J83" s="13" t="s">
        <v>68</v>
      </c>
      <c r="K83" s="13" t="s">
        <v>249</v>
      </c>
      <c r="L83" s="16" t="str">
        <f>VLOOKUP($A83,'Raw - 2'!$A$2:$AC$2323,3,false)</f>
        <v>Birds</v>
      </c>
      <c r="M83" s="16" t="str">
        <f>VLOOKUP($A83,'Raw - 2'!$A$2:$AC$2323,10,false)</f>
        <v>SC</v>
      </c>
      <c r="N83" s="16" t="str">
        <f>VLOOKUP($A83,'Raw - 2'!$A$2:$AC$2323,11,false)</f>
        <v>S America</v>
      </c>
      <c r="O83" s="16" t="str">
        <f>VLOOKUP($A83,'Raw - 2'!$A$2:$AC$2323,12,false)</f>
        <v>Ecuador</v>
      </c>
      <c r="P83" s="13" t="str">
        <f>VLOOKUP($A83,'Raw - 2'!$A$2:$AC$2323,15,false)</f>
        <v>No</v>
      </c>
      <c r="Q83" s="16" t="str">
        <f>VLOOKUP($A83,'Raw - 2'!$A$2:$AC$2323,16,false)</f>
        <v>Road &amp; Settlement</v>
      </c>
      <c r="R83" s="16" t="str">
        <f>VLOOKUP($A83,'Raw - 2'!$A$2:$AC$2323,27,false)</f>
        <v>Tropical forest</v>
      </c>
      <c r="S83" s="13">
        <v>1.0</v>
      </c>
      <c r="T83" s="13">
        <v>1.0</v>
      </c>
    </row>
    <row r="84" ht="15.75" customHeight="1">
      <c r="A84" s="13" t="s">
        <v>476</v>
      </c>
      <c r="B84" s="13" t="s">
        <v>477</v>
      </c>
      <c r="C84" s="14">
        <v>146.0</v>
      </c>
      <c r="D84" s="13" t="s">
        <v>478</v>
      </c>
      <c r="E84" s="13" t="s">
        <v>479</v>
      </c>
      <c r="F84" s="13" t="s">
        <v>40</v>
      </c>
      <c r="G84" s="13" t="s">
        <v>126</v>
      </c>
      <c r="H84" s="13" t="s">
        <v>480</v>
      </c>
      <c r="I84" s="13" t="s">
        <v>52</v>
      </c>
      <c r="J84" s="13" t="s">
        <v>44</v>
      </c>
      <c r="K84" s="13" t="s">
        <v>45</v>
      </c>
      <c r="L84" s="16" t="str">
        <f>VLOOKUP($A84,'Raw - 2'!$A$2:$AC$2323,3,false)</f>
        <v>Birds</v>
      </c>
      <c r="M84" s="16" t="str">
        <f>VLOOKUP($A84,'Raw - 2'!$A$2:$AC$2323,10,false)</f>
        <v>S</v>
      </c>
      <c r="N84" s="16" t="str">
        <f>VLOOKUP($A84,'Raw - 2'!$A$2:$AC$2323,11,false)</f>
        <v>S America</v>
      </c>
      <c r="O84" s="16" t="str">
        <f>VLOOKUP($A84,'Raw - 2'!$A$2:$AC$2323,12,false)</f>
        <v>French Guiana</v>
      </c>
      <c r="P84" s="13" t="str">
        <f>VLOOKUP($A84,'Raw - 2'!$A$2:$AC$2323,15,false)</f>
        <v>No</v>
      </c>
      <c r="Q84" s="16" t="str">
        <f>VLOOKUP($A84,'Raw - 2'!$A$2:$AC$2323,16,false)</f>
        <v>Settlement</v>
      </c>
      <c r="R84" s="16" t="str">
        <f>VLOOKUP($A84,'Raw - 2'!$A$2:$AC$2323,27,false)</f>
        <v>Tropical forest</v>
      </c>
      <c r="S84" s="13">
        <v>1.0</v>
      </c>
      <c r="T84" s="13">
        <v>1.0</v>
      </c>
    </row>
    <row r="85" ht="15.75" customHeight="1">
      <c r="A85" s="13" t="s">
        <v>481</v>
      </c>
      <c r="B85" s="13" t="s">
        <v>482</v>
      </c>
      <c r="C85" s="14">
        <v>147.0</v>
      </c>
      <c r="D85" s="15" t="s">
        <v>483</v>
      </c>
      <c r="E85" s="13" t="s">
        <v>479</v>
      </c>
      <c r="F85" s="13" t="s">
        <v>40</v>
      </c>
      <c r="G85" s="13" t="s">
        <v>126</v>
      </c>
      <c r="H85" s="13" t="s">
        <v>484</v>
      </c>
      <c r="I85" s="13" t="s">
        <v>52</v>
      </c>
      <c r="J85" s="13" t="s">
        <v>68</v>
      </c>
      <c r="K85" s="13" t="s">
        <v>45</v>
      </c>
      <c r="L85" s="16" t="str">
        <f>VLOOKUP($A85,'Raw - 2'!$A$2:$AC$2323,3,false)</f>
        <v>Birds</v>
      </c>
      <c r="M85" s="16" t="str">
        <f>VLOOKUP($A85,'Raw - 2'!$A$2:$AC$2323,10,false)</f>
        <v>SC</v>
      </c>
      <c r="N85" s="16" t="str">
        <f>VLOOKUP($A85,'Raw - 2'!$A$2:$AC$2323,11,false)</f>
        <v>S America</v>
      </c>
      <c r="O85" s="16" t="str">
        <f>VLOOKUP($A85,'Raw - 2'!$A$2:$AC$2323,12,false)</f>
        <v>French Guiana</v>
      </c>
      <c r="P85" s="13" t="str">
        <f>VLOOKUP($A85,'Raw - 2'!$A$2:$AC$2323,15,false)</f>
        <v>No</v>
      </c>
      <c r="Q85" s="16" t="str">
        <f>VLOOKUP($A85,'Raw - 2'!$A$2:$AC$2323,16,false)</f>
        <v>Settlement</v>
      </c>
      <c r="R85" s="16" t="str">
        <f>VLOOKUP($A85,'Raw - 2'!$A$2:$AC$2323,27,false)</f>
        <v>Tropical forest</v>
      </c>
      <c r="S85" s="13">
        <v>1.0</v>
      </c>
      <c r="T85" s="13">
        <v>1.0</v>
      </c>
    </row>
    <row r="86" ht="15.75" customHeight="1">
      <c r="A86" s="16" t="s">
        <v>485</v>
      </c>
      <c r="B86" s="13" t="s">
        <v>486</v>
      </c>
      <c r="C86" s="14">
        <v>148.0</v>
      </c>
      <c r="D86" s="15" t="s">
        <v>487</v>
      </c>
      <c r="E86" s="13" t="s">
        <v>488</v>
      </c>
      <c r="F86" s="13" t="s">
        <v>40</v>
      </c>
      <c r="G86" s="13" t="s">
        <v>41</v>
      </c>
      <c r="H86" s="13" t="s">
        <v>489</v>
      </c>
      <c r="I86" s="13" t="s">
        <v>52</v>
      </c>
      <c r="J86" s="13" t="s">
        <v>68</v>
      </c>
      <c r="K86" s="13" t="s">
        <v>60</v>
      </c>
      <c r="L86" s="16" t="str">
        <f>VLOOKUP($A86,'Raw - 2'!$A$2:$AC$2323,3,false)</f>
        <v>Mammals</v>
      </c>
      <c r="M86" s="16" t="str">
        <f>VLOOKUP($A86,'Raw - 2'!$A$2:$AC$2323,10,false)</f>
        <v>SC</v>
      </c>
      <c r="N86" s="16" t="str">
        <f>VLOOKUP($A86,'Raw - 2'!$A$2:$AC$2323,11,false)</f>
        <v>S America</v>
      </c>
      <c r="O86" s="16" t="str">
        <f>VLOOKUP($A86,'Raw - 2'!$A$2:$AC$2323,12,false)</f>
        <v>French Guiana</v>
      </c>
      <c r="P86" s="13" t="str">
        <f>VLOOKUP($A86,'Raw - 2'!$A$2:$AC$2323,15,false)</f>
        <v>No</v>
      </c>
      <c r="Q86" s="16" t="str">
        <f>VLOOKUP($A86,'Raw - 2'!$A$2:$AC$2323,16,false)</f>
        <v>Settlement</v>
      </c>
      <c r="R86" s="16" t="str">
        <f>VLOOKUP($A86,'Raw - 2'!$A$2:$AC$2323,27,false)</f>
        <v>Tropical forest</v>
      </c>
      <c r="S86" s="13">
        <v>1.0</v>
      </c>
      <c r="T86" s="13">
        <v>1.0</v>
      </c>
    </row>
    <row r="87" ht="15.75" customHeight="1">
      <c r="A87" s="13" t="s">
        <v>490</v>
      </c>
      <c r="B87" s="13" t="s">
        <v>491</v>
      </c>
      <c r="C87" s="14">
        <v>149.0</v>
      </c>
      <c r="D87" s="15" t="s">
        <v>492</v>
      </c>
      <c r="E87" s="13" t="s">
        <v>493</v>
      </c>
      <c r="F87" s="13" t="s">
        <v>362</v>
      </c>
      <c r="G87" s="13" t="s">
        <v>41</v>
      </c>
      <c r="H87" s="13" t="s">
        <v>494</v>
      </c>
      <c r="I87" s="13" t="s">
        <v>52</v>
      </c>
      <c r="J87" s="13" t="s">
        <v>44</v>
      </c>
      <c r="K87" s="13" t="s">
        <v>60</v>
      </c>
      <c r="L87" s="16" t="str">
        <f>VLOOKUP($A87,'Raw - 2'!$A$2:$AC$2323,3,false)</f>
        <v>Mammals</v>
      </c>
      <c r="M87" s="16" t="str">
        <f>VLOOKUP($A87,'Raw - 2'!$A$2:$AC$2323,10,false)</f>
        <v>S</v>
      </c>
      <c r="N87" s="16" t="str">
        <f>VLOOKUP($A87,'Raw - 2'!$A$2:$AC$2323,11,false)</f>
        <v>Africa</v>
      </c>
      <c r="O87" s="16" t="str">
        <f>VLOOKUP($A87,'Raw - 2'!$A$2:$AC$2323,12,false)</f>
        <v>Tanzania</v>
      </c>
      <c r="P87" s="13" t="str">
        <f>VLOOKUP($A87,'Raw - 2'!$A$2:$AC$2323,15,false)</f>
        <v>Yes</v>
      </c>
      <c r="Q87" s="16" t="str">
        <f>VLOOKUP($A87,'Raw - 2'!$A$2:$AC$2323,16,false)</f>
        <v>Settlement</v>
      </c>
      <c r="R87" s="16" t="str">
        <f>VLOOKUP($A87,'Raw - 2'!$A$2:$AC$2323,27,false)</f>
        <v>Montane forest</v>
      </c>
      <c r="S87" s="13">
        <v>1.0</v>
      </c>
      <c r="T87" s="13">
        <v>1.0</v>
      </c>
    </row>
    <row r="88" ht="15.75" customHeight="1">
      <c r="A88" s="16" t="s">
        <v>495</v>
      </c>
      <c r="B88" s="13" t="s">
        <v>496</v>
      </c>
      <c r="C88" s="14">
        <v>150.0</v>
      </c>
      <c r="D88" s="15" t="s">
        <v>497</v>
      </c>
      <c r="E88" s="13" t="s">
        <v>498</v>
      </c>
      <c r="F88" s="13" t="s">
        <v>102</v>
      </c>
      <c r="G88" s="13" t="s">
        <v>229</v>
      </c>
      <c r="H88" s="13" t="s">
        <v>499</v>
      </c>
      <c r="I88" s="13" t="s">
        <v>52</v>
      </c>
      <c r="J88" s="13" t="s">
        <v>44</v>
      </c>
      <c r="K88" s="13" t="s">
        <v>206</v>
      </c>
      <c r="L88" s="16" t="str">
        <f>VLOOKUP($A88,'Raw - 2'!$A$2:$AC$2323,3,false)</f>
        <v>Birds</v>
      </c>
      <c r="M88" s="16" t="str">
        <f>VLOOKUP($A88,'Raw - 2'!$A$2:$AC$2323,10,false)</f>
        <v>S</v>
      </c>
      <c r="N88" s="16" t="str">
        <f>VLOOKUP($A88,'Raw - 2'!$A$2:$AC$2323,11,false)</f>
        <v>C America</v>
      </c>
      <c r="O88" s="16" t="str">
        <f>VLOOKUP($A88,'Raw - 2'!$A$2:$AC$2323,12,false)</f>
        <v>Mexico</v>
      </c>
      <c r="P88" s="13" t="str">
        <f>VLOOKUP($A88,'Raw - 2'!$A$2:$AC$2323,15,false)</f>
        <v>No</v>
      </c>
      <c r="Q88" s="16" t="str">
        <f>VLOOKUP($A88,'Raw - 2'!$A$2:$AC$2323,16,false)</f>
        <v>Settlement</v>
      </c>
      <c r="R88" s="16" t="str">
        <f>VLOOKUP($A88,'Raw - 2'!$A$2:$AC$2323,27,false)</f>
        <v>Tropical forest</v>
      </c>
      <c r="S88" s="13" t="s">
        <v>500</v>
      </c>
      <c r="T88" s="13">
        <v>2.0</v>
      </c>
    </row>
    <row r="89" ht="15.75" customHeight="1">
      <c r="A89" s="13" t="s">
        <v>501</v>
      </c>
      <c r="B89" s="13" t="s">
        <v>502</v>
      </c>
      <c r="C89" s="14">
        <v>151.0</v>
      </c>
      <c r="D89" s="15" t="s">
        <v>503</v>
      </c>
      <c r="E89" s="13" t="s">
        <v>340</v>
      </c>
      <c r="F89" s="13" t="s">
        <v>40</v>
      </c>
      <c r="G89" s="13" t="s">
        <v>41</v>
      </c>
      <c r="H89" s="13" t="s">
        <v>504</v>
      </c>
      <c r="I89" s="13" t="s">
        <v>58</v>
      </c>
      <c r="J89" s="13" t="s">
        <v>44</v>
      </c>
      <c r="K89" s="13" t="s">
        <v>45</v>
      </c>
      <c r="L89" s="16" t="str">
        <f>VLOOKUP($A89,'Raw - 2'!$A$2:$AC$2323,3,false)</f>
        <v>Mammals</v>
      </c>
      <c r="M89" s="16" t="str">
        <f>VLOOKUP($A89,'Raw - 2'!$A$2:$AC$2323,10,false)</f>
        <v>SC</v>
      </c>
      <c r="N89" s="16" t="str">
        <f>VLOOKUP($A89,'Raw - 2'!$A$2:$AC$2323,11,false)</f>
        <v>Africa</v>
      </c>
      <c r="O89" s="16" t="str">
        <f>VLOOKUP($A89,'Raw - 2'!$A$2:$AC$2323,12,false)</f>
        <v>Gabon</v>
      </c>
      <c r="P89" s="13" t="str">
        <f>VLOOKUP($A89,'Raw - 2'!$A$2:$AC$2323,15,false)</f>
        <v>No</v>
      </c>
      <c r="Q89" s="16" t="str">
        <f>VLOOKUP($A89,'Raw - 2'!$A$2:$AC$2323,16,false)</f>
        <v>Road</v>
      </c>
      <c r="R89" s="16" t="str">
        <f>VLOOKUP($A89,'Raw - 2'!$A$2:$AC$2323,27,false)</f>
        <v>Tropical forest</v>
      </c>
      <c r="S89" s="13">
        <v>1.0</v>
      </c>
      <c r="T89" s="13">
        <v>1.0</v>
      </c>
    </row>
    <row r="90" ht="15.75" customHeight="1">
      <c r="A90" s="13" t="s">
        <v>505</v>
      </c>
      <c r="B90" s="13" t="s">
        <v>506</v>
      </c>
      <c r="C90" s="14">
        <v>152.0</v>
      </c>
      <c r="E90" s="13" t="s">
        <v>507</v>
      </c>
      <c r="F90" s="13" t="s">
        <v>40</v>
      </c>
      <c r="G90" s="13" t="s">
        <v>41</v>
      </c>
      <c r="H90" s="13" t="s">
        <v>508</v>
      </c>
      <c r="I90" s="13" t="s">
        <v>52</v>
      </c>
      <c r="J90" s="13" t="s">
        <v>68</v>
      </c>
      <c r="K90" s="13" t="s">
        <v>60</v>
      </c>
      <c r="L90" s="16" t="str">
        <f>VLOOKUP($A90,'Raw - 2'!$A$2:$AC$2323,3,false)</f>
        <v>Mammals</v>
      </c>
      <c r="M90" s="16" t="str">
        <f>VLOOKUP($A90,'Raw - 2'!$A$2:$AC$2323,10,false)</f>
        <v>SC</v>
      </c>
      <c r="N90" s="16" t="str">
        <f>VLOOKUP($A90,'Raw - 2'!$A$2:$AC$2323,11,false)</f>
        <v>Asia</v>
      </c>
      <c r="O90" s="16" t="str">
        <f>VLOOKUP($A90,'Raw - 2'!$A$2:$AC$2323,12,false)</f>
        <v>Thailand</v>
      </c>
      <c r="P90" s="13" t="str">
        <f>VLOOKUP($A90,'Raw - 2'!$A$2:$AC$2323,15,false)</f>
        <v>Yes</v>
      </c>
      <c r="Q90" s="16" t="str">
        <f>VLOOKUP($A90,'Raw - 2'!$A$2:$AC$2323,16,false)</f>
        <v>Settlement</v>
      </c>
      <c r="R90" s="16" t="str">
        <f>VLOOKUP($A90,'Raw - 2'!$A$2:$AC$2323,27,false)</f>
        <v>Tropical forest</v>
      </c>
      <c r="S90" s="13" t="s">
        <v>509</v>
      </c>
      <c r="T90" s="13">
        <v>2.0</v>
      </c>
    </row>
    <row r="91" ht="15.75" customHeight="1">
      <c r="A91" s="13" t="s">
        <v>510</v>
      </c>
      <c r="B91" s="13" t="s">
        <v>511</v>
      </c>
      <c r="C91" s="14">
        <v>153.0</v>
      </c>
      <c r="D91" s="15" t="s">
        <v>512</v>
      </c>
      <c r="E91" s="13" t="s">
        <v>513</v>
      </c>
      <c r="F91" s="13" t="s">
        <v>514</v>
      </c>
      <c r="G91" s="13" t="s">
        <v>41</v>
      </c>
      <c r="H91" s="13" t="s">
        <v>466</v>
      </c>
      <c r="I91" s="13" t="s">
        <v>52</v>
      </c>
      <c r="J91" s="13" t="s">
        <v>68</v>
      </c>
      <c r="K91" s="13" t="s">
        <v>45</v>
      </c>
      <c r="L91" s="16" t="str">
        <f>VLOOKUP($A91,'Raw - 2'!$A$2:$AC$2323,3,false)</f>
        <v>Mammals</v>
      </c>
      <c r="M91" s="16" t="str">
        <f>VLOOKUP($A91,'Raw - 2'!$A$2:$AC$2323,10,false)</f>
        <v>SC</v>
      </c>
      <c r="N91" s="16" t="str">
        <f>VLOOKUP($A91,'Raw - 2'!$A$2:$AC$2323,11,false)</f>
        <v>Africa</v>
      </c>
      <c r="O91" s="16" t="str">
        <f>VLOOKUP($A91,'Raw - 2'!$A$2:$AC$2323,12,false)</f>
        <v>Cameroon</v>
      </c>
      <c r="P91" s="13" t="str">
        <f>VLOOKUP($A91,'Raw - 2'!$A$2:$AC$2323,15,false)</f>
        <v>No</v>
      </c>
      <c r="Q91" s="16" t="str">
        <f>VLOOKUP($A91,'Raw - 2'!$A$2:$AC$2323,16,false)</f>
        <v>Settlement</v>
      </c>
      <c r="R91" s="16" t="str">
        <f>VLOOKUP($A91,'Raw - 2'!$A$2:$AC$2323,27,false)</f>
        <v>Tropical forest</v>
      </c>
      <c r="S91" s="13">
        <v>1.0</v>
      </c>
      <c r="T91" s="13">
        <v>1.0</v>
      </c>
    </row>
    <row r="92" ht="15.75" customHeight="1">
      <c r="A92" s="13" t="s">
        <v>515</v>
      </c>
      <c r="B92" s="13" t="s">
        <v>516</v>
      </c>
      <c r="C92" s="14">
        <v>154.0</v>
      </c>
      <c r="E92" s="13" t="s">
        <v>513</v>
      </c>
      <c r="F92" s="13" t="s">
        <v>514</v>
      </c>
      <c r="G92" s="13" t="s">
        <v>126</v>
      </c>
      <c r="H92" s="13" t="s">
        <v>517</v>
      </c>
      <c r="I92" s="13" t="s">
        <v>52</v>
      </c>
      <c r="J92" s="13" t="s">
        <v>44</v>
      </c>
      <c r="K92" s="13" t="s">
        <v>45</v>
      </c>
      <c r="L92" s="16" t="str">
        <f>VLOOKUP($A92,'Raw - 2'!$A$2:$AC$2323,3,false)</f>
        <v>Birds</v>
      </c>
      <c r="M92" s="16" t="str">
        <f>VLOOKUP($A92,'Raw - 2'!$A$2:$AC$2323,10,false)</f>
        <v>SC</v>
      </c>
      <c r="N92" s="16" t="str">
        <f>VLOOKUP($A92,'Raw - 2'!$A$2:$AC$2323,11,false)</f>
        <v>Africa</v>
      </c>
      <c r="O92" s="16" t="str">
        <f>VLOOKUP($A92,'Raw - 2'!$A$2:$AC$2323,12,false)</f>
        <v>Cameroon</v>
      </c>
      <c r="P92" s="13" t="str">
        <f>VLOOKUP($A92,'Raw - 2'!$A$2:$AC$2323,15,false)</f>
        <v>No</v>
      </c>
      <c r="Q92" s="16" t="str">
        <f>VLOOKUP($A92,'Raw - 2'!$A$2:$AC$2323,16,false)</f>
        <v>Settlement</v>
      </c>
      <c r="R92" s="16" t="str">
        <f>VLOOKUP($A92,'Raw - 2'!$A$2:$AC$2323,27,false)</f>
        <v>Tropical forest</v>
      </c>
      <c r="S92" s="13">
        <v>1.0</v>
      </c>
      <c r="T92" s="13">
        <v>1.0</v>
      </c>
    </row>
    <row r="93" ht="15.75" customHeight="1">
      <c r="A93" s="13" t="s">
        <v>518</v>
      </c>
      <c r="B93" s="13" t="s">
        <v>519</v>
      </c>
      <c r="C93" s="14">
        <v>155.0</v>
      </c>
      <c r="E93" s="13" t="s">
        <v>520</v>
      </c>
      <c r="F93" s="13" t="s">
        <v>40</v>
      </c>
      <c r="G93" s="13" t="s">
        <v>41</v>
      </c>
      <c r="H93" s="13" t="s">
        <v>66</v>
      </c>
      <c r="I93" s="13" t="s">
        <v>52</v>
      </c>
      <c r="J93" s="13" t="s">
        <v>44</v>
      </c>
      <c r="K93" s="13" t="s">
        <v>45</v>
      </c>
      <c r="L93" s="16" t="str">
        <f>VLOOKUP($A93,'Raw - 2'!$A$2:$AC$2323,3,false)</f>
        <v>Mammals</v>
      </c>
      <c r="M93" s="16" t="str">
        <f>VLOOKUP($A93,'Raw - 2'!$A$2:$AC$2323,10,false)</f>
        <v>S</v>
      </c>
      <c r="N93" s="16" t="str">
        <f>VLOOKUP($A93,'Raw - 2'!$A$2:$AC$2323,11,false)</f>
        <v>C America</v>
      </c>
      <c r="O93" s="16" t="str">
        <f>VLOOKUP($A93,'Raw - 2'!$A$2:$AC$2323,12,false)</f>
        <v>Mexico</v>
      </c>
      <c r="P93" s="13" t="str">
        <f>VLOOKUP($A93,'Raw - 2'!$A$2:$AC$2323,15,false)</f>
        <v>No</v>
      </c>
      <c r="Q93" s="16" t="str">
        <f>VLOOKUP($A93,'Raw - 2'!$A$2:$AC$2323,16,false)</f>
        <v>Settlement</v>
      </c>
      <c r="R93" s="16" t="str">
        <f>VLOOKUP($A93,'Raw - 2'!$A$2:$AC$2323,27,false)</f>
        <v>Tropical forest</v>
      </c>
      <c r="S93" s="13">
        <v>1.0</v>
      </c>
      <c r="T93" s="13">
        <v>1.0</v>
      </c>
    </row>
    <row r="94" ht="15.75" customHeight="1">
      <c r="A94" s="13" t="s">
        <v>521</v>
      </c>
      <c r="B94" s="13" t="s">
        <v>522</v>
      </c>
      <c r="C94" s="14">
        <v>158.0</v>
      </c>
      <c r="D94" s="15" t="s">
        <v>523</v>
      </c>
      <c r="E94" s="13" t="s">
        <v>524</v>
      </c>
      <c r="F94" s="13" t="s">
        <v>525</v>
      </c>
      <c r="G94" s="13" t="s">
        <v>41</v>
      </c>
      <c r="H94" s="13" t="s">
        <v>526</v>
      </c>
      <c r="I94" s="13" t="s">
        <v>289</v>
      </c>
      <c r="J94" s="13" t="s">
        <v>527</v>
      </c>
      <c r="K94" s="13" t="s">
        <v>60</v>
      </c>
      <c r="L94" s="16" t="str">
        <f>VLOOKUP($A94,'Raw - 2'!$A$2:$AC$2323,3,false)</f>
        <v>Mammals</v>
      </c>
      <c r="M94" s="16" t="str">
        <f>VLOOKUP($A94,'Raw - 2'!$A$2:$AC$2323,10,false)</f>
        <v>SC</v>
      </c>
      <c r="N94" s="16" t="str">
        <f>VLOOKUP($A94,'Raw - 2'!$A$2:$AC$2323,11,false)</f>
        <v>C America</v>
      </c>
      <c r="O94" s="16" t="str">
        <f>VLOOKUP($A94,'Raw - 2'!$A$2:$AC$2323,12,false)</f>
        <v>Panama</v>
      </c>
      <c r="P94" s="13" t="str">
        <f>VLOOKUP($A94,'Raw - 2'!$A$2:$AC$2323,15,false)</f>
        <v>Yes</v>
      </c>
      <c r="Q94" s="16" t="str">
        <f>VLOOKUP($A94,'Raw - 2'!$A$2:$AC$2323,16,false)</f>
        <v>Settlement</v>
      </c>
      <c r="R94" s="16" t="str">
        <f>VLOOKUP($A94,'Raw - 2'!$A$2:$AC$2323,27,false)</f>
        <v>Tropical forest</v>
      </c>
      <c r="S94" s="13">
        <v>1.0</v>
      </c>
      <c r="T94" s="13">
        <v>1.0</v>
      </c>
    </row>
    <row r="95" ht="15.75" customHeight="1">
      <c r="A95" s="13" t="s">
        <v>528</v>
      </c>
      <c r="B95" s="13" t="s">
        <v>529</v>
      </c>
      <c r="C95" s="14">
        <v>159.0</v>
      </c>
      <c r="E95" s="13" t="s">
        <v>530</v>
      </c>
      <c r="F95" s="13" t="s">
        <v>40</v>
      </c>
      <c r="G95" s="13" t="s">
        <v>41</v>
      </c>
      <c r="H95" s="13" t="s">
        <v>531</v>
      </c>
      <c r="I95" s="13" t="s">
        <v>532</v>
      </c>
      <c r="J95" s="13" t="s">
        <v>44</v>
      </c>
      <c r="K95" s="13" t="s">
        <v>45</v>
      </c>
      <c r="L95" s="13" t="str">
        <f>VLOOKUP($A95,'Raw - 2'!$A$2:$AC$2323,3,false)</f>
        <v>Mammals</v>
      </c>
      <c r="M95" s="13" t="str">
        <f>VLOOKUP($A95,'Raw - 2'!$A$2:$AC$2323,10,false)</f>
        <v>S</v>
      </c>
      <c r="N95" s="13" t="str">
        <f>VLOOKUP($A95,'Raw - 2'!$A$2:$AC$2323,11,false)</f>
        <v>Africa</v>
      </c>
      <c r="O95" s="13" t="str">
        <f>VLOOKUP($A95,'Raw - 2'!$A$2:$AC$2323,12,false)</f>
        <v>Cameroon</v>
      </c>
      <c r="P95" s="13" t="str">
        <f>VLOOKUP($A95,'Raw - 2'!$A$2:$AC$2323,15,false)</f>
        <v>Yes</v>
      </c>
      <c r="Q95" s="16" t="str">
        <f>VLOOKUP($A95,'Raw - 2'!$A$2:$AC$2323,16,false)</f>
        <v>Settlement</v>
      </c>
      <c r="R95" s="13" t="str">
        <f>VLOOKUP($A95,'Raw - 2'!$A$2:$AC$2323,27,false)</f>
        <v>Tropical forest</v>
      </c>
      <c r="S95" s="13">
        <v>1.0</v>
      </c>
      <c r="T95" s="13">
        <v>1.0</v>
      </c>
    </row>
    <row r="96" ht="15.75" customHeight="1">
      <c r="A96" s="13" t="s">
        <v>533</v>
      </c>
      <c r="B96" s="13" t="s">
        <v>534</v>
      </c>
      <c r="C96" s="18">
        <v>112113.0</v>
      </c>
      <c r="D96" s="13"/>
      <c r="E96" s="13" t="s">
        <v>535</v>
      </c>
      <c r="F96" s="13" t="s">
        <v>102</v>
      </c>
      <c r="G96" s="13" t="s">
        <v>41</v>
      </c>
      <c r="H96" s="13" t="s">
        <v>51</v>
      </c>
      <c r="I96" s="13" t="s">
        <v>289</v>
      </c>
      <c r="J96" s="13" t="s">
        <v>68</v>
      </c>
      <c r="K96" s="13" t="s">
        <v>60</v>
      </c>
      <c r="S96" s="13">
        <v>1.0</v>
      </c>
      <c r="T96" s="13">
        <v>1.0</v>
      </c>
    </row>
    <row r="97" ht="15.75" customHeight="1">
      <c r="A97" s="13" t="s">
        <v>536</v>
      </c>
      <c r="B97" s="13" t="s">
        <v>537</v>
      </c>
      <c r="C97" s="14" t="s">
        <v>538</v>
      </c>
      <c r="D97" s="13"/>
      <c r="E97" s="13" t="s">
        <v>539</v>
      </c>
      <c r="F97" s="13" t="s">
        <v>540</v>
      </c>
      <c r="G97" s="13" t="s">
        <v>41</v>
      </c>
      <c r="H97" s="13" t="s">
        <v>541</v>
      </c>
      <c r="I97" s="13" t="s">
        <v>52</v>
      </c>
      <c r="J97" s="13" t="s">
        <v>68</v>
      </c>
      <c r="K97" s="13" t="s">
        <v>45</v>
      </c>
      <c r="S97" s="13">
        <v>1.0</v>
      </c>
      <c r="T97" s="13">
        <v>1.0</v>
      </c>
    </row>
    <row r="98" ht="15.75" customHeight="1">
      <c r="A98" s="13" t="s">
        <v>542</v>
      </c>
      <c r="B98" s="13" t="s">
        <v>543</v>
      </c>
      <c r="C98" s="14" t="s">
        <v>544</v>
      </c>
      <c r="D98" s="13"/>
      <c r="E98" s="13" t="s">
        <v>545</v>
      </c>
      <c r="F98" s="13" t="s">
        <v>546</v>
      </c>
      <c r="G98" s="13" t="s">
        <v>41</v>
      </c>
      <c r="H98" s="13" t="s">
        <v>547</v>
      </c>
      <c r="I98" s="13" t="s">
        <v>52</v>
      </c>
      <c r="J98" s="13" t="s">
        <v>44</v>
      </c>
      <c r="K98" s="13" t="s">
        <v>60</v>
      </c>
      <c r="S98" s="13" t="s">
        <v>548</v>
      </c>
      <c r="T98" s="13">
        <v>2.0</v>
      </c>
    </row>
    <row r="99" ht="15.75" customHeight="1">
      <c r="A99" s="13" t="s">
        <v>549</v>
      </c>
      <c r="B99" s="13" t="s">
        <v>550</v>
      </c>
      <c r="C99" s="14" t="s">
        <v>551</v>
      </c>
      <c r="D99" s="13"/>
      <c r="E99" s="13" t="s">
        <v>552</v>
      </c>
      <c r="F99" s="13" t="s">
        <v>40</v>
      </c>
      <c r="G99" s="13" t="s">
        <v>41</v>
      </c>
      <c r="H99" s="13" t="s">
        <v>553</v>
      </c>
      <c r="I99" s="13" t="s">
        <v>52</v>
      </c>
      <c r="J99" s="13" t="s">
        <v>44</v>
      </c>
      <c r="K99" s="13" t="s">
        <v>45</v>
      </c>
      <c r="S99" s="13">
        <v>1.0</v>
      </c>
      <c r="T99" s="13">
        <v>1.0</v>
      </c>
    </row>
    <row r="100" ht="15.75" customHeight="1">
      <c r="A100" s="16" t="s">
        <v>554</v>
      </c>
      <c r="B100" s="13" t="s">
        <v>555</v>
      </c>
      <c r="C100" s="14" t="s">
        <v>556</v>
      </c>
      <c r="D100" s="13"/>
      <c r="E100" s="13" t="s">
        <v>557</v>
      </c>
      <c r="F100" s="13" t="s">
        <v>40</v>
      </c>
      <c r="G100" s="13" t="s">
        <v>41</v>
      </c>
      <c r="H100" s="13" t="s">
        <v>558</v>
      </c>
      <c r="I100" s="13" t="s">
        <v>144</v>
      </c>
      <c r="J100" s="13" t="s">
        <v>44</v>
      </c>
      <c r="K100" s="13" t="s">
        <v>45</v>
      </c>
      <c r="L100" s="16" t="str">
        <f>VLOOKUP($A100,'Raw - 2'!$A$2:$AC$2323,3,false)</f>
        <v>Mammals</v>
      </c>
      <c r="M100" s="16" t="str">
        <f>VLOOKUP($A100,'Raw - 2'!$A$2:$AC$2323,10,false)</f>
        <v>S</v>
      </c>
      <c r="N100" s="16" t="str">
        <f>VLOOKUP($A100,'Raw - 2'!$A$2:$AC$2323,11,false)</f>
        <v>Africa</v>
      </c>
      <c r="O100" s="16" t="str">
        <f>VLOOKUP($A100,'Raw - 2'!$A$2:$AC$2323,12,false)</f>
        <v>D.R. Congo</v>
      </c>
      <c r="P100" s="13" t="str">
        <f>VLOOKUP($A100,'Raw - 2'!$A$2:$AC$2323,15,false)</f>
        <v>No</v>
      </c>
      <c r="Q100" s="16" t="str">
        <f>VLOOKUP($A100,'Raw - 2'!$A$2:$AC$2323,16,false)</f>
        <v>Road &amp; Settlement</v>
      </c>
      <c r="R100" s="16" t="str">
        <f>VLOOKUP($A100,'Raw - 2'!$A$2:$AC$2323,27,false)</f>
        <v>Tropical forest</v>
      </c>
      <c r="S100" s="13">
        <v>1.0</v>
      </c>
      <c r="T100" s="13">
        <v>1.0</v>
      </c>
    </row>
    <row r="101" ht="15.75" customHeight="1">
      <c r="A101" s="13" t="s">
        <v>559</v>
      </c>
      <c r="B101" s="13" t="s">
        <v>560</v>
      </c>
      <c r="C101" s="14" t="s">
        <v>561</v>
      </c>
      <c r="D101" s="13"/>
      <c r="E101" s="13" t="s">
        <v>562</v>
      </c>
      <c r="F101" s="13" t="s">
        <v>563</v>
      </c>
      <c r="G101" s="13" t="s">
        <v>73</v>
      </c>
      <c r="H101" s="13" t="s">
        <v>564</v>
      </c>
      <c r="I101" s="13" t="s">
        <v>52</v>
      </c>
      <c r="J101" s="13" t="s">
        <v>44</v>
      </c>
      <c r="K101" s="13" t="s">
        <v>60</v>
      </c>
      <c r="S101" s="13" t="s">
        <v>565</v>
      </c>
      <c r="T101" s="13">
        <v>4.0</v>
      </c>
    </row>
    <row r="102" ht="15.75" customHeight="1">
      <c r="A102" s="13" t="s">
        <v>566</v>
      </c>
      <c r="B102" s="13" t="s">
        <v>567</v>
      </c>
      <c r="C102" s="14" t="s">
        <v>568</v>
      </c>
      <c r="D102" s="13"/>
      <c r="E102" s="13" t="s">
        <v>569</v>
      </c>
      <c r="F102" s="13" t="s">
        <v>40</v>
      </c>
      <c r="G102" s="13" t="s">
        <v>41</v>
      </c>
      <c r="H102" s="13" t="s">
        <v>570</v>
      </c>
      <c r="I102" s="13" t="s">
        <v>67</v>
      </c>
      <c r="J102" s="13" t="s">
        <v>59</v>
      </c>
      <c r="K102" s="13" t="s">
        <v>60</v>
      </c>
      <c r="L102" s="16" t="str">
        <f>VLOOKUP($A102,'Raw - 2'!$A$2:$AC$2323,3,false)</f>
        <v>Mammals</v>
      </c>
      <c r="M102" s="16" t="str">
        <f>VLOOKUP($A102,'Raw - 2'!$A$2:$AC$2323,10,false)</f>
        <v>C</v>
      </c>
      <c r="N102" s="16" t="str">
        <f>VLOOKUP($A102,'Raw - 2'!$A$2:$AC$2323,11,false)</f>
        <v>Africa</v>
      </c>
      <c r="O102" s="16" t="str">
        <f>VLOOKUP($A102,'Raw - 2'!$A$2:$AC$2323,12,false)</f>
        <v>Gabon</v>
      </c>
      <c r="P102" s="13" t="str">
        <f>VLOOKUP($A102,'Raw - 2'!$A$2:$AC$2323,15,false)</f>
        <v>Yes</v>
      </c>
      <c r="Q102" s="16" t="str">
        <f>VLOOKUP($A102,'Raw - 2'!$A$2:$AC$2323,16,false)</f>
        <v>Settlement</v>
      </c>
      <c r="R102" s="16" t="str">
        <f>VLOOKUP($A102,'Raw - 2'!$A$2:$AC$2323,27,false)</f>
        <v>Tropical forest</v>
      </c>
      <c r="S102" s="13">
        <v>1.0</v>
      </c>
      <c r="T102" s="13">
        <v>1.0</v>
      </c>
    </row>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T$102">
    <sortState ref="A1:T102">
      <sortCondition ref="C1:C102"/>
    </sortState>
  </autoFilter>
  <hyperlinks>
    <hyperlink r:id="rId1" ref="D2"/>
    <hyperlink r:id="rId2" ref="D3"/>
    <hyperlink r:id="rId3" ref="D4"/>
    <hyperlink r:id="rId4" ref="D5"/>
    <hyperlink r:id="rId5" ref="D6"/>
    <hyperlink r:id="rId6" ref="D8"/>
    <hyperlink r:id="rId7" ref="D9"/>
    <hyperlink r:id="rId8" ref="D10"/>
    <hyperlink r:id="rId9" ref="D11"/>
    <hyperlink r:id="rId10" ref="D12"/>
    <hyperlink r:id="rId11" ref="D13"/>
    <hyperlink r:id="rId12" ref="D15"/>
    <hyperlink r:id="rId13" ref="D17"/>
    <hyperlink r:id="rId14" ref="D18"/>
    <hyperlink r:id="rId15" ref="D19"/>
    <hyperlink r:id="rId16" ref="D20"/>
    <hyperlink r:id="rId17" ref="D22"/>
    <hyperlink r:id="rId18" ref="D23"/>
    <hyperlink r:id="rId19" ref="D27"/>
    <hyperlink r:id="rId20" ref="D29"/>
    <hyperlink r:id="rId21" ref="D31"/>
    <hyperlink r:id="rId22" ref="D32"/>
    <hyperlink r:id="rId23" ref="D33"/>
    <hyperlink r:id="rId24" ref="D34"/>
    <hyperlink r:id="rId25" ref="D37"/>
    <hyperlink r:id="rId26" ref="D38"/>
    <hyperlink r:id="rId27" ref="D42"/>
    <hyperlink r:id="rId28" ref="D43"/>
    <hyperlink r:id="rId29" ref="D45"/>
    <hyperlink r:id="rId30" ref="D46"/>
    <hyperlink r:id="rId31" ref="D47"/>
    <hyperlink r:id="rId32" ref="D48"/>
    <hyperlink r:id="rId33" ref="D49"/>
    <hyperlink r:id="rId34" ref="D50"/>
    <hyperlink r:id="rId35" ref="D51"/>
    <hyperlink r:id="rId36" ref="D52"/>
    <hyperlink r:id="rId37" ref="D53"/>
    <hyperlink r:id="rId38" ref="D54"/>
    <hyperlink r:id="rId39" ref="D56"/>
    <hyperlink r:id="rId40" ref="D57"/>
    <hyperlink r:id="rId41" ref="D58"/>
    <hyperlink r:id="rId42" ref="D59"/>
    <hyperlink r:id="rId43" ref="D60"/>
    <hyperlink r:id="rId44" ref="D61"/>
    <hyperlink r:id="rId45" ref="D62"/>
    <hyperlink r:id="rId46" ref="D63"/>
    <hyperlink r:id="rId47" ref="D65"/>
    <hyperlink r:id="rId48" ref="D66"/>
    <hyperlink r:id="rId49" ref="D72"/>
    <hyperlink r:id="rId50" ref="D74"/>
    <hyperlink r:id="rId51" ref="D75"/>
    <hyperlink r:id="rId52" ref="D76"/>
    <hyperlink r:id="rId53" ref="D77"/>
    <hyperlink r:id="rId54" ref="D78"/>
    <hyperlink r:id="rId55" ref="D79"/>
    <hyperlink r:id="rId56" ref="D80"/>
    <hyperlink r:id="rId57" ref="D81"/>
    <hyperlink r:id="rId58" ref="D83"/>
    <hyperlink r:id="rId59" ref="D85"/>
    <hyperlink r:id="rId60" ref="D86"/>
    <hyperlink r:id="rId61" ref="D87"/>
    <hyperlink r:id="rId62" ref="D88"/>
    <hyperlink r:id="rId63" ref="D89"/>
    <hyperlink r:id="rId64" ref="D91"/>
    <hyperlink r:id="rId65" ref="D94"/>
  </hyperlinks>
  <drawing r:id="rId6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20.75"/>
    <col customWidth="1" min="2" max="2" width="3.75"/>
    <col customWidth="1" min="3" max="4" width="7.75"/>
    <col customWidth="1" min="5" max="5" width="4.38"/>
    <col customWidth="1" min="6" max="22" width="7.75"/>
    <col customWidth="1" min="23" max="23" width="7.38"/>
    <col customWidth="1" min="24" max="29" width="7.75"/>
  </cols>
  <sheetData>
    <row r="1" ht="14.25" customHeight="1">
      <c r="A1" s="19" t="s">
        <v>571</v>
      </c>
      <c r="B1" s="19" t="s">
        <v>572</v>
      </c>
      <c r="C1" s="20" t="s">
        <v>29</v>
      </c>
      <c r="D1" s="21" t="s">
        <v>573</v>
      </c>
      <c r="E1" s="19" t="s">
        <v>574</v>
      </c>
      <c r="F1" s="21" t="s">
        <v>575</v>
      </c>
      <c r="G1" s="21" t="s">
        <v>25</v>
      </c>
      <c r="H1" s="22" t="s">
        <v>576</v>
      </c>
      <c r="I1" s="19" t="s">
        <v>577</v>
      </c>
      <c r="J1" s="23" t="s">
        <v>30</v>
      </c>
      <c r="K1" s="21" t="s">
        <v>31</v>
      </c>
      <c r="L1" s="21" t="s">
        <v>32</v>
      </c>
      <c r="M1" s="24" t="s">
        <v>578</v>
      </c>
      <c r="N1" s="24" t="s">
        <v>579</v>
      </c>
      <c r="O1" s="25" t="s">
        <v>33</v>
      </c>
      <c r="P1" s="23" t="s">
        <v>26</v>
      </c>
      <c r="Q1" s="19" t="s">
        <v>580</v>
      </c>
      <c r="R1" s="19" t="s">
        <v>581</v>
      </c>
      <c r="S1" s="26" t="s">
        <v>582</v>
      </c>
      <c r="T1" s="26" t="s">
        <v>583</v>
      </c>
      <c r="U1" s="26" t="s">
        <v>584</v>
      </c>
      <c r="V1" s="26" t="s">
        <v>585</v>
      </c>
      <c r="W1" s="27" t="s">
        <v>586</v>
      </c>
      <c r="X1" s="22" t="s">
        <v>587</v>
      </c>
      <c r="Y1" s="26" t="s">
        <v>588</v>
      </c>
      <c r="Z1" s="26" t="s">
        <v>589</v>
      </c>
      <c r="AA1" s="21" t="s">
        <v>34</v>
      </c>
      <c r="AB1" s="22" t="s">
        <v>590</v>
      </c>
      <c r="AC1" s="28" t="s">
        <v>591</v>
      </c>
    </row>
    <row r="2" ht="14.25" customHeight="1">
      <c r="A2" s="29" t="s">
        <v>592</v>
      </c>
      <c r="B2" s="29">
        <v>17.0</v>
      </c>
      <c r="C2" s="29" t="s">
        <v>593</v>
      </c>
      <c r="D2" s="29" t="s">
        <v>594</v>
      </c>
      <c r="E2" s="29">
        <v>67.0</v>
      </c>
      <c r="F2" s="30" t="s">
        <v>595</v>
      </c>
      <c r="G2" s="29" t="s">
        <v>596</v>
      </c>
      <c r="H2" s="31">
        <v>0.4</v>
      </c>
      <c r="I2" s="29" t="s">
        <v>597</v>
      </c>
      <c r="J2" s="32" t="s">
        <v>598</v>
      </c>
      <c r="K2" s="29" t="s">
        <v>599</v>
      </c>
      <c r="L2" s="29" t="s">
        <v>600</v>
      </c>
      <c r="M2" s="33">
        <v>-49.714</v>
      </c>
      <c r="N2" s="33">
        <v>-22.66</v>
      </c>
      <c r="O2" s="34" t="s">
        <v>601</v>
      </c>
      <c r="P2" s="32" t="s">
        <v>602</v>
      </c>
      <c r="Q2" s="35">
        <v>6.0</v>
      </c>
      <c r="R2" s="35">
        <v>6.0</v>
      </c>
      <c r="S2" s="36">
        <v>0.24</v>
      </c>
      <c r="T2" s="36">
        <v>1.942857143</v>
      </c>
      <c r="U2" s="36">
        <v>0.348571429</v>
      </c>
      <c r="V2" s="36">
        <v>0.371428571</v>
      </c>
      <c r="W2" s="37" t="s">
        <v>603</v>
      </c>
      <c r="X2" s="31">
        <v>2.5</v>
      </c>
      <c r="Y2" s="36">
        <v>-2.080790490390531</v>
      </c>
      <c r="Z2" s="36">
        <v>0.357659813140489</v>
      </c>
      <c r="AA2" s="29" t="s">
        <v>604</v>
      </c>
      <c r="AB2" s="31">
        <v>9.62254047394</v>
      </c>
      <c r="AC2" s="38">
        <v>212.0</v>
      </c>
    </row>
    <row r="3" ht="14.25" customHeight="1">
      <c r="A3" s="29" t="s">
        <v>592</v>
      </c>
      <c r="B3" s="29">
        <v>17.0</v>
      </c>
      <c r="C3" s="29" t="s">
        <v>593</v>
      </c>
      <c r="D3" s="29" t="s">
        <v>605</v>
      </c>
      <c r="E3" s="29">
        <v>320.0</v>
      </c>
      <c r="F3" s="30" t="s">
        <v>606</v>
      </c>
      <c r="G3" s="29" t="s">
        <v>607</v>
      </c>
      <c r="H3" s="31">
        <v>0.895</v>
      </c>
      <c r="I3" s="29" t="s">
        <v>597</v>
      </c>
      <c r="J3" s="32" t="s">
        <v>598</v>
      </c>
      <c r="K3" s="29" t="s">
        <v>599</v>
      </c>
      <c r="L3" s="29" t="s">
        <v>600</v>
      </c>
      <c r="M3" s="33">
        <v>-49.714</v>
      </c>
      <c r="N3" s="33">
        <v>-22.66</v>
      </c>
      <c r="O3" s="34" t="s">
        <v>601</v>
      </c>
      <c r="P3" s="32" t="s">
        <v>602</v>
      </c>
      <c r="Q3" s="35">
        <v>6.0</v>
      </c>
      <c r="R3" s="35">
        <v>6.0</v>
      </c>
      <c r="S3" s="36">
        <v>1.862745098</v>
      </c>
      <c r="T3" s="36">
        <v>6.18</v>
      </c>
      <c r="U3" s="36">
        <v>0.490196</v>
      </c>
      <c r="V3" s="36">
        <v>1.27</v>
      </c>
      <c r="W3" s="37" t="s">
        <v>603</v>
      </c>
      <c r="X3" s="31">
        <v>2.5</v>
      </c>
      <c r="Y3" s="36">
        <v>-1.1949564152869951</v>
      </c>
      <c r="Z3" s="36">
        <v>0.01858049507595695</v>
      </c>
      <c r="AA3" s="29" t="s">
        <v>604</v>
      </c>
      <c r="AB3" s="31">
        <v>9.62254047394</v>
      </c>
      <c r="AC3" s="38">
        <v>212.0</v>
      </c>
    </row>
    <row r="4" ht="14.25" customHeight="1">
      <c r="A4" s="29" t="s">
        <v>592</v>
      </c>
      <c r="B4" s="29">
        <v>17.0</v>
      </c>
      <c r="C4" s="29" t="s">
        <v>608</v>
      </c>
      <c r="D4" s="35" t="s">
        <v>609</v>
      </c>
      <c r="E4" s="29">
        <v>288.0</v>
      </c>
      <c r="F4" s="30" t="s">
        <v>610</v>
      </c>
      <c r="G4" s="29" t="s">
        <v>611</v>
      </c>
      <c r="H4" s="31">
        <v>5.188</v>
      </c>
      <c r="I4" s="29" t="s">
        <v>612</v>
      </c>
      <c r="J4" s="32" t="s">
        <v>598</v>
      </c>
      <c r="K4" s="29" t="s">
        <v>599</v>
      </c>
      <c r="L4" s="29" t="s">
        <v>600</v>
      </c>
      <c r="M4" s="33">
        <v>-49.714</v>
      </c>
      <c r="N4" s="33">
        <v>-22.66</v>
      </c>
      <c r="O4" s="34" t="s">
        <v>601</v>
      </c>
      <c r="P4" s="32" t="s">
        <v>602</v>
      </c>
      <c r="Q4" s="35">
        <v>6.0</v>
      </c>
      <c r="R4" s="35">
        <v>6.0</v>
      </c>
      <c r="S4" s="36">
        <v>0.057</v>
      </c>
      <c r="T4" s="36">
        <v>0.343</v>
      </c>
      <c r="U4" s="36">
        <f t="shared" ref="U4:U5" si="1">SQRT(S4)</f>
        <v>0.2387467277</v>
      </c>
      <c r="V4" s="36">
        <v>0.14</v>
      </c>
      <c r="W4" s="37" t="s">
        <v>603</v>
      </c>
      <c r="X4" s="31">
        <v>2.5</v>
      </c>
      <c r="Y4" s="36">
        <v>-1.7931278693395192</v>
      </c>
      <c r="Z4" s="36">
        <v>2.951742816711361</v>
      </c>
      <c r="AA4" s="29" t="s">
        <v>604</v>
      </c>
      <c r="AB4" s="31">
        <v>9.62254047394</v>
      </c>
      <c r="AC4" s="38">
        <v>212.0</v>
      </c>
    </row>
    <row r="5" ht="14.25" customHeight="1">
      <c r="A5" s="29" t="s">
        <v>592</v>
      </c>
      <c r="B5" s="29">
        <v>17.0</v>
      </c>
      <c r="C5" s="29" t="s">
        <v>608</v>
      </c>
      <c r="D5" s="29" t="s">
        <v>613</v>
      </c>
      <c r="E5" s="29">
        <v>289.0</v>
      </c>
      <c r="F5" s="30" t="s">
        <v>614</v>
      </c>
      <c r="G5" s="29" t="s">
        <v>615</v>
      </c>
      <c r="H5" s="31">
        <v>2.309</v>
      </c>
      <c r="I5" s="29" t="s">
        <v>616</v>
      </c>
      <c r="J5" s="32" t="s">
        <v>598</v>
      </c>
      <c r="K5" s="29" t="s">
        <v>599</v>
      </c>
      <c r="L5" s="29" t="s">
        <v>600</v>
      </c>
      <c r="M5" s="33">
        <v>-49.714</v>
      </c>
      <c r="N5" s="33">
        <v>-22.66</v>
      </c>
      <c r="O5" s="34" t="s">
        <v>601</v>
      </c>
      <c r="P5" s="32" t="s">
        <v>602</v>
      </c>
      <c r="Q5" s="35">
        <v>6.0</v>
      </c>
      <c r="R5" s="35">
        <v>6.0</v>
      </c>
      <c r="S5" s="36">
        <v>0.011</v>
      </c>
      <c r="T5" s="36">
        <v>1.33</v>
      </c>
      <c r="U5" s="36">
        <f t="shared" si="1"/>
        <v>0.1048808848</v>
      </c>
      <c r="V5" s="36">
        <v>0.23</v>
      </c>
      <c r="W5" s="37" t="s">
        <v>603</v>
      </c>
      <c r="X5" s="31">
        <v>2.5</v>
      </c>
      <c r="Y5" s="36">
        <v>-4.764321307306394</v>
      </c>
      <c r="Z5" s="36">
        <v>15.15649941668937</v>
      </c>
      <c r="AA5" s="29" t="s">
        <v>604</v>
      </c>
      <c r="AB5" s="31">
        <v>9.62254047394</v>
      </c>
      <c r="AC5" s="38">
        <v>212.0</v>
      </c>
    </row>
    <row r="6" ht="14.25" customHeight="1">
      <c r="A6" s="29" t="s">
        <v>592</v>
      </c>
      <c r="B6" s="29">
        <v>17.0</v>
      </c>
      <c r="C6" s="29" t="s">
        <v>608</v>
      </c>
      <c r="D6" s="29" t="s">
        <v>617</v>
      </c>
      <c r="E6" s="29">
        <v>75.0</v>
      </c>
      <c r="F6" s="30" t="s">
        <v>618</v>
      </c>
      <c r="G6" s="29" t="s">
        <v>619</v>
      </c>
      <c r="H6" s="31">
        <v>4.2</v>
      </c>
      <c r="I6" s="29" t="s">
        <v>620</v>
      </c>
      <c r="J6" s="32" t="s">
        <v>598</v>
      </c>
      <c r="K6" s="29" t="s">
        <v>599</v>
      </c>
      <c r="L6" s="29" t="s">
        <v>600</v>
      </c>
      <c r="M6" s="33">
        <v>-49.714</v>
      </c>
      <c r="N6" s="33">
        <v>-22.66</v>
      </c>
      <c r="O6" s="34" t="s">
        <v>601</v>
      </c>
      <c r="P6" s="32" t="s">
        <v>602</v>
      </c>
      <c r="Q6" s="35">
        <v>6.0</v>
      </c>
      <c r="R6" s="35">
        <v>6.0</v>
      </c>
      <c r="S6" s="36">
        <v>0.406</v>
      </c>
      <c r="T6" s="36">
        <v>0.0143</v>
      </c>
      <c r="U6" s="36">
        <v>0.35</v>
      </c>
      <c r="V6" s="36">
        <v>0.017</v>
      </c>
      <c r="W6" s="37" t="s">
        <v>603</v>
      </c>
      <c r="X6" s="31">
        <v>2.5</v>
      </c>
      <c r="Y6" s="36">
        <v>3.346102709414005</v>
      </c>
      <c r="Z6" s="36">
        <v>0.3594058239917731</v>
      </c>
      <c r="AA6" s="29" t="s">
        <v>604</v>
      </c>
      <c r="AB6" s="31">
        <v>9.62254047394</v>
      </c>
      <c r="AC6" s="38">
        <v>212.0</v>
      </c>
    </row>
    <row r="7" ht="14.25" customHeight="1">
      <c r="A7" s="29" t="s">
        <v>592</v>
      </c>
      <c r="B7" s="29">
        <v>17.0</v>
      </c>
      <c r="C7" s="29" t="s">
        <v>608</v>
      </c>
      <c r="D7" s="29" t="s">
        <v>621</v>
      </c>
      <c r="E7" s="29">
        <v>91.0</v>
      </c>
      <c r="F7" s="30" t="s">
        <v>622</v>
      </c>
      <c r="G7" s="29" t="s">
        <v>611</v>
      </c>
      <c r="H7" s="31">
        <v>0.7</v>
      </c>
      <c r="I7" s="29" t="s">
        <v>616</v>
      </c>
      <c r="J7" s="32" t="s">
        <v>598</v>
      </c>
      <c r="K7" s="29" t="s">
        <v>599</v>
      </c>
      <c r="L7" s="29" t="s">
        <v>600</v>
      </c>
      <c r="M7" s="33">
        <v>-49.714</v>
      </c>
      <c r="N7" s="33">
        <v>-22.66</v>
      </c>
      <c r="O7" s="34" t="s">
        <v>601</v>
      </c>
      <c r="P7" s="32" t="s">
        <v>602</v>
      </c>
      <c r="Q7" s="35">
        <v>6.0</v>
      </c>
      <c r="R7" s="35">
        <v>6.0</v>
      </c>
      <c r="S7" s="36">
        <v>1.71</v>
      </c>
      <c r="T7" s="36">
        <v>2.66</v>
      </c>
      <c r="U7" s="36">
        <v>1.3077</v>
      </c>
      <c r="V7" s="36">
        <v>1.631</v>
      </c>
      <c r="W7" s="37" t="s">
        <v>623</v>
      </c>
      <c r="X7" s="31">
        <v>2.5</v>
      </c>
      <c r="Y7" s="36">
        <v>-0.4414315026677404</v>
      </c>
      <c r="Z7" s="36">
        <v>0.1601308402585411</v>
      </c>
      <c r="AA7" s="29" t="s">
        <v>604</v>
      </c>
      <c r="AB7" s="31">
        <v>9.62254047394</v>
      </c>
      <c r="AC7" s="38">
        <v>212.0</v>
      </c>
    </row>
    <row r="8" ht="14.25" customHeight="1">
      <c r="A8" s="29" t="s">
        <v>592</v>
      </c>
      <c r="B8" s="29">
        <v>17.0</v>
      </c>
      <c r="C8" s="29" t="s">
        <v>608</v>
      </c>
      <c r="D8" s="29" t="s">
        <v>624</v>
      </c>
      <c r="E8" s="29">
        <v>101.0</v>
      </c>
      <c r="F8" s="30" t="s">
        <v>625</v>
      </c>
      <c r="G8" s="29" t="s">
        <v>626</v>
      </c>
      <c r="H8" s="31">
        <v>18.59</v>
      </c>
      <c r="I8" s="29" t="s">
        <v>612</v>
      </c>
      <c r="J8" s="32" t="s">
        <v>598</v>
      </c>
      <c r="K8" s="29" t="s">
        <v>599</v>
      </c>
      <c r="L8" s="29" t="s">
        <v>600</v>
      </c>
      <c r="M8" s="33">
        <v>-49.714</v>
      </c>
      <c r="N8" s="33">
        <v>-22.66</v>
      </c>
      <c r="O8" s="34" t="s">
        <v>601</v>
      </c>
      <c r="P8" s="32" t="s">
        <v>602</v>
      </c>
      <c r="Q8" s="35">
        <v>6.0</v>
      </c>
      <c r="R8" s="35">
        <v>6.0</v>
      </c>
      <c r="S8" s="36">
        <v>0.27</v>
      </c>
      <c r="T8" s="36">
        <v>0.1</v>
      </c>
      <c r="U8" s="36">
        <v>0.14</v>
      </c>
      <c r="V8" s="36">
        <v>0.13</v>
      </c>
      <c r="W8" s="37" t="s">
        <v>603</v>
      </c>
      <c r="X8" s="31">
        <v>2.5</v>
      </c>
      <c r="Y8" s="36">
        <v>0.9933473232363325</v>
      </c>
      <c r="Z8" s="36">
        <v>0.32647690900777315</v>
      </c>
      <c r="AA8" s="29" t="s">
        <v>604</v>
      </c>
      <c r="AB8" s="31">
        <v>9.62254047394</v>
      </c>
      <c r="AC8" s="38">
        <v>212.0</v>
      </c>
    </row>
    <row r="9" ht="14.25" customHeight="1">
      <c r="A9" s="29" t="s">
        <v>592</v>
      </c>
      <c r="B9" s="29">
        <v>17.0</v>
      </c>
      <c r="C9" s="29" t="s">
        <v>608</v>
      </c>
      <c r="D9" s="35" t="s">
        <v>627</v>
      </c>
      <c r="E9" s="29">
        <v>111.0</v>
      </c>
      <c r="F9" s="39" t="s">
        <v>628</v>
      </c>
      <c r="G9" s="29" t="s">
        <v>629</v>
      </c>
      <c r="H9" s="31">
        <v>3.79</v>
      </c>
      <c r="I9" s="29" t="s">
        <v>597</v>
      </c>
      <c r="J9" s="32" t="s">
        <v>598</v>
      </c>
      <c r="K9" s="29" t="s">
        <v>599</v>
      </c>
      <c r="L9" s="29" t="s">
        <v>600</v>
      </c>
      <c r="M9" s="33">
        <v>-49.714</v>
      </c>
      <c r="N9" s="33">
        <v>-22.66</v>
      </c>
      <c r="O9" s="34" t="s">
        <v>601</v>
      </c>
      <c r="P9" s="32" t="s">
        <v>602</v>
      </c>
      <c r="Q9" s="35">
        <v>6.0</v>
      </c>
      <c r="R9" s="35">
        <v>6.0</v>
      </c>
      <c r="S9" s="36">
        <v>1.979</v>
      </c>
      <c r="T9" s="36">
        <v>0.279</v>
      </c>
      <c r="U9" s="36">
        <v>0.75</v>
      </c>
      <c r="V9" s="36">
        <v>0.22</v>
      </c>
      <c r="W9" s="37" t="s">
        <v>603</v>
      </c>
      <c r="X9" s="31">
        <v>2.5</v>
      </c>
      <c r="Y9" s="36">
        <v>1.959171535744365</v>
      </c>
      <c r="Z9" s="36">
        <v>0.12756759871156725</v>
      </c>
      <c r="AA9" s="29" t="s">
        <v>604</v>
      </c>
      <c r="AB9" s="31">
        <v>9.62254047394</v>
      </c>
      <c r="AC9" s="38">
        <v>212.0</v>
      </c>
    </row>
    <row r="10" ht="14.25" customHeight="1">
      <c r="A10" s="29" t="s">
        <v>592</v>
      </c>
      <c r="B10" s="29">
        <v>17.0</v>
      </c>
      <c r="C10" s="29" t="s">
        <v>608</v>
      </c>
      <c r="D10" s="29" t="s">
        <v>630</v>
      </c>
      <c r="E10" s="29">
        <v>129.0</v>
      </c>
      <c r="F10" s="30" t="s">
        <v>631</v>
      </c>
      <c r="G10" s="29" t="s">
        <v>626</v>
      </c>
      <c r="H10" s="31">
        <v>21.27</v>
      </c>
      <c r="I10" s="29" t="s">
        <v>612</v>
      </c>
      <c r="J10" s="32" t="s">
        <v>598</v>
      </c>
      <c r="K10" s="29" t="s">
        <v>599</v>
      </c>
      <c r="L10" s="29" t="s">
        <v>600</v>
      </c>
      <c r="M10" s="33">
        <v>-49.714</v>
      </c>
      <c r="N10" s="33">
        <v>-22.66</v>
      </c>
      <c r="O10" s="34" t="s">
        <v>601</v>
      </c>
      <c r="P10" s="32" t="s">
        <v>602</v>
      </c>
      <c r="Q10" s="35">
        <v>6.0</v>
      </c>
      <c r="R10" s="35">
        <v>6.0</v>
      </c>
      <c r="S10" s="36">
        <v>3.43</v>
      </c>
      <c r="T10" s="36">
        <v>4.26</v>
      </c>
      <c r="U10" s="36">
        <v>1.21</v>
      </c>
      <c r="V10" s="36">
        <v>1.5</v>
      </c>
      <c r="W10" s="37" t="s">
        <v>603</v>
      </c>
      <c r="X10" s="31">
        <v>2.5</v>
      </c>
      <c r="Y10" s="36">
        <v>-0.21638852150636476</v>
      </c>
      <c r="Z10" s="36">
        <v>0.04140496387886436</v>
      </c>
      <c r="AA10" s="29" t="s">
        <v>604</v>
      </c>
      <c r="AB10" s="31">
        <v>9.62254047394</v>
      </c>
      <c r="AC10" s="38">
        <v>212.0</v>
      </c>
    </row>
    <row r="11" ht="14.25" customHeight="1">
      <c r="A11" s="29" t="s">
        <v>592</v>
      </c>
      <c r="B11" s="29">
        <v>17.0</v>
      </c>
      <c r="C11" s="29" t="s">
        <v>608</v>
      </c>
      <c r="D11" s="29" t="s">
        <v>632</v>
      </c>
      <c r="E11" s="29">
        <v>173.0</v>
      </c>
      <c r="F11" s="30" t="s">
        <v>633</v>
      </c>
      <c r="G11" s="29" t="s">
        <v>611</v>
      </c>
      <c r="H11" s="31">
        <v>2.5</v>
      </c>
      <c r="I11" s="29" t="s">
        <v>616</v>
      </c>
      <c r="J11" s="32" t="s">
        <v>598</v>
      </c>
      <c r="K11" s="29" t="s">
        <v>599</v>
      </c>
      <c r="L11" s="29" t="s">
        <v>600</v>
      </c>
      <c r="M11" s="33">
        <v>-49.714</v>
      </c>
      <c r="N11" s="33">
        <v>-22.66</v>
      </c>
      <c r="O11" s="34" t="s">
        <v>601</v>
      </c>
      <c r="P11" s="32" t="s">
        <v>602</v>
      </c>
      <c r="Q11" s="35">
        <v>6.0</v>
      </c>
      <c r="R11" s="35">
        <v>6.0</v>
      </c>
      <c r="S11" s="36">
        <v>18.857</v>
      </c>
      <c r="T11" s="36">
        <v>7.314</v>
      </c>
      <c r="U11" s="36">
        <v>1.77</v>
      </c>
      <c r="V11" s="36">
        <v>1.43</v>
      </c>
      <c r="W11" s="37" t="s">
        <v>603</v>
      </c>
      <c r="X11" s="31">
        <v>2.5</v>
      </c>
      <c r="Y11" s="36">
        <v>0.9471939417867846</v>
      </c>
      <c r="Z11" s="36">
        <v>0.007839467807126988</v>
      </c>
      <c r="AA11" s="29" t="s">
        <v>604</v>
      </c>
      <c r="AB11" s="31">
        <v>9.62254047394</v>
      </c>
      <c r="AC11" s="38">
        <v>212.0</v>
      </c>
    </row>
    <row r="12" ht="14.25" customHeight="1">
      <c r="A12" s="29" t="s">
        <v>592</v>
      </c>
      <c r="B12" s="29">
        <v>17.0</v>
      </c>
      <c r="C12" s="29" t="s">
        <v>608</v>
      </c>
      <c r="D12" s="35" t="s">
        <v>634</v>
      </c>
      <c r="E12" s="29">
        <v>219.0</v>
      </c>
      <c r="F12" s="30" t="s">
        <v>635</v>
      </c>
      <c r="G12" s="29" t="s">
        <v>615</v>
      </c>
      <c r="H12" s="31">
        <v>0.19</v>
      </c>
      <c r="I12" s="29" t="s">
        <v>597</v>
      </c>
      <c r="J12" s="32" t="s">
        <v>598</v>
      </c>
      <c r="K12" s="29" t="s">
        <v>599</v>
      </c>
      <c r="L12" s="29" t="s">
        <v>600</v>
      </c>
      <c r="M12" s="33">
        <v>-49.714</v>
      </c>
      <c r="N12" s="33">
        <v>-22.66</v>
      </c>
      <c r="O12" s="34" t="s">
        <v>601</v>
      </c>
      <c r="P12" s="32" t="s">
        <v>602</v>
      </c>
      <c r="Q12" s="35">
        <v>6.0</v>
      </c>
      <c r="R12" s="35">
        <v>6.0</v>
      </c>
      <c r="S12" s="36">
        <v>0.7</v>
      </c>
      <c r="T12" s="36">
        <v>0.12</v>
      </c>
      <c r="U12" s="36">
        <v>0.54</v>
      </c>
      <c r="V12" s="36">
        <v>0.06</v>
      </c>
      <c r="W12" s="37" t="s">
        <v>603</v>
      </c>
      <c r="X12" s="31">
        <v>2.5</v>
      </c>
      <c r="Y12" s="36">
        <v>1.7636328195009228</v>
      </c>
      <c r="Z12" s="36">
        <v>0.14085034013605444</v>
      </c>
      <c r="AA12" s="29" t="s">
        <v>604</v>
      </c>
      <c r="AB12" s="31">
        <v>9.62254047394</v>
      </c>
      <c r="AC12" s="38">
        <v>212.0</v>
      </c>
    </row>
    <row r="13" ht="14.25" customHeight="1">
      <c r="A13" s="29" t="s">
        <v>592</v>
      </c>
      <c r="B13" s="29">
        <v>17.0</v>
      </c>
      <c r="C13" s="29" t="s">
        <v>608</v>
      </c>
      <c r="D13" s="29" t="s">
        <v>636</v>
      </c>
      <c r="E13" s="29">
        <v>189.0</v>
      </c>
      <c r="F13" s="30" t="s">
        <v>637</v>
      </c>
      <c r="G13" s="29" t="s">
        <v>638</v>
      </c>
      <c r="H13" s="31">
        <v>207.5</v>
      </c>
      <c r="I13" s="29" t="s">
        <v>612</v>
      </c>
      <c r="J13" s="32" t="s">
        <v>598</v>
      </c>
      <c r="K13" s="29" t="s">
        <v>599</v>
      </c>
      <c r="L13" s="29" t="s">
        <v>600</v>
      </c>
      <c r="M13" s="33">
        <v>-49.714</v>
      </c>
      <c r="N13" s="33">
        <v>-22.66</v>
      </c>
      <c r="O13" s="34" t="s">
        <v>601</v>
      </c>
      <c r="P13" s="32" t="s">
        <v>602</v>
      </c>
      <c r="Q13" s="35">
        <v>6.0</v>
      </c>
      <c r="R13" s="35">
        <v>6.0</v>
      </c>
      <c r="S13" s="36">
        <v>0.191</v>
      </c>
      <c r="T13" s="36">
        <v>0.129</v>
      </c>
      <c r="U13" s="36">
        <v>0.061</v>
      </c>
      <c r="V13" s="36">
        <v>0.051</v>
      </c>
      <c r="W13" s="37" t="s">
        <v>603</v>
      </c>
      <c r="X13" s="31">
        <v>2.5</v>
      </c>
      <c r="Y13" s="36">
        <v>0.392635258420106</v>
      </c>
      <c r="Z13" s="36">
        <v>0.043049833927988584</v>
      </c>
      <c r="AA13" s="29" t="s">
        <v>604</v>
      </c>
      <c r="AB13" s="31">
        <v>9.62254047394</v>
      </c>
      <c r="AC13" s="38">
        <v>212.0</v>
      </c>
    </row>
    <row r="14" ht="14.25" customHeight="1">
      <c r="A14" s="29" t="s">
        <v>592</v>
      </c>
      <c r="B14" s="29">
        <v>17.0</v>
      </c>
      <c r="C14" s="29" t="s">
        <v>608</v>
      </c>
      <c r="D14" s="29" t="s">
        <v>639</v>
      </c>
      <c r="E14" s="29">
        <v>190.0</v>
      </c>
      <c r="F14" s="30" t="s">
        <v>640</v>
      </c>
      <c r="G14" s="29" t="s">
        <v>626</v>
      </c>
      <c r="H14" s="31">
        <v>32.23</v>
      </c>
      <c r="I14" s="29" t="s">
        <v>597</v>
      </c>
      <c r="J14" s="32" t="s">
        <v>598</v>
      </c>
      <c r="K14" s="29" t="s">
        <v>599</v>
      </c>
      <c r="L14" s="29" t="s">
        <v>600</v>
      </c>
      <c r="M14" s="33">
        <v>-49.714</v>
      </c>
      <c r="N14" s="33">
        <v>-22.66</v>
      </c>
      <c r="O14" s="34" t="s">
        <v>601</v>
      </c>
      <c r="P14" s="32" t="s">
        <v>602</v>
      </c>
      <c r="Q14" s="35">
        <v>6.0</v>
      </c>
      <c r="R14" s="35">
        <v>6.0</v>
      </c>
      <c r="S14" s="36">
        <v>9.43</v>
      </c>
      <c r="T14" s="36">
        <v>6.43</v>
      </c>
      <c r="U14" s="36">
        <v>2.86</v>
      </c>
      <c r="V14" s="36">
        <v>3.228571429</v>
      </c>
      <c r="W14" s="37" t="s">
        <v>603</v>
      </c>
      <c r="X14" s="31">
        <v>2.5</v>
      </c>
      <c r="Y14" s="36">
        <v>0.3830974630433889</v>
      </c>
      <c r="Z14" s="36">
        <v>0.0573497220413769</v>
      </c>
      <c r="AA14" s="29" t="s">
        <v>604</v>
      </c>
      <c r="AB14" s="31">
        <v>9.62254047394</v>
      </c>
      <c r="AC14" s="38">
        <v>212.0</v>
      </c>
    </row>
    <row r="15" ht="14.25" customHeight="1">
      <c r="A15" s="29" t="s">
        <v>592</v>
      </c>
      <c r="B15" s="29">
        <v>115.0</v>
      </c>
      <c r="C15" s="29" t="s">
        <v>593</v>
      </c>
      <c r="D15" s="29" t="s">
        <v>594</v>
      </c>
      <c r="E15" s="29">
        <v>67.0</v>
      </c>
      <c r="F15" s="30" t="s">
        <v>595</v>
      </c>
      <c r="G15" s="29" t="s">
        <v>596</v>
      </c>
      <c r="H15" s="31">
        <v>0.4</v>
      </c>
      <c r="I15" s="29" t="s">
        <v>597</v>
      </c>
      <c r="J15" s="32" t="s">
        <v>598</v>
      </c>
      <c r="K15" s="29" t="s">
        <v>599</v>
      </c>
      <c r="L15" s="29" t="s">
        <v>600</v>
      </c>
      <c r="M15" s="33">
        <v>-51.526</v>
      </c>
      <c r="N15" s="33">
        <v>-22.673</v>
      </c>
      <c r="O15" s="34" t="s">
        <v>641</v>
      </c>
      <c r="P15" s="32" t="s">
        <v>602</v>
      </c>
      <c r="Q15" s="35">
        <v>6.0</v>
      </c>
      <c r="R15" s="35">
        <v>6.0</v>
      </c>
      <c r="S15" s="36">
        <v>1.085714286</v>
      </c>
      <c r="T15" s="36">
        <v>1.942857143</v>
      </c>
      <c r="U15" s="36">
        <v>0.211428571</v>
      </c>
      <c r="V15" s="36">
        <v>0.371428571</v>
      </c>
      <c r="W15" s="37" t="s">
        <v>603</v>
      </c>
      <c r="X15" s="31">
        <v>2.5</v>
      </c>
      <c r="Y15" s="36">
        <v>-0.5795942117437493</v>
      </c>
      <c r="Z15" s="36">
        <v>0.01241181338604808</v>
      </c>
      <c r="AA15" s="29" t="s">
        <v>604</v>
      </c>
      <c r="AB15" s="31">
        <v>11.1684408188</v>
      </c>
      <c r="AC15" s="38">
        <v>139.0</v>
      </c>
    </row>
    <row r="16" ht="14.25" customHeight="1">
      <c r="A16" s="29" t="s">
        <v>592</v>
      </c>
      <c r="B16" s="29">
        <v>115.0</v>
      </c>
      <c r="C16" s="29" t="s">
        <v>593</v>
      </c>
      <c r="D16" s="29" t="s">
        <v>605</v>
      </c>
      <c r="E16" s="29">
        <v>320.0</v>
      </c>
      <c r="F16" s="30" t="s">
        <v>606</v>
      </c>
      <c r="G16" s="29" t="s">
        <v>607</v>
      </c>
      <c r="H16" s="31">
        <v>0.895</v>
      </c>
      <c r="I16" s="29" t="s">
        <v>597</v>
      </c>
      <c r="J16" s="32" t="s">
        <v>598</v>
      </c>
      <c r="K16" s="29" t="s">
        <v>599</v>
      </c>
      <c r="L16" s="29" t="s">
        <v>600</v>
      </c>
      <c r="M16" s="33">
        <v>-51.526</v>
      </c>
      <c r="N16" s="33">
        <v>-22.673</v>
      </c>
      <c r="O16" s="34" t="s">
        <v>641</v>
      </c>
      <c r="P16" s="32" t="s">
        <v>602</v>
      </c>
      <c r="Q16" s="35">
        <v>6.0</v>
      </c>
      <c r="R16" s="35">
        <v>6.0</v>
      </c>
      <c r="S16" s="36">
        <v>1.666666667</v>
      </c>
      <c r="T16" s="36">
        <v>6.18</v>
      </c>
      <c r="U16" s="36">
        <v>0.352941176</v>
      </c>
      <c r="V16" s="36">
        <v>1.27</v>
      </c>
      <c r="W16" s="37" t="s">
        <v>603</v>
      </c>
      <c r="X16" s="31">
        <v>2.5</v>
      </c>
      <c r="Y16" s="36">
        <v>-1.305676140519599</v>
      </c>
      <c r="Z16" s="36">
        <v>0.014512534261846493</v>
      </c>
      <c r="AA16" s="29" t="s">
        <v>604</v>
      </c>
      <c r="AB16" s="31">
        <v>11.1684408188</v>
      </c>
      <c r="AC16" s="38">
        <v>139.0</v>
      </c>
    </row>
    <row r="17" ht="14.25" customHeight="1">
      <c r="A17" s="29" t="s">
        <v>592</v>
      </c>
      <c r="B17" s="29">
        <v>115.0</v>
      </c>
      <c r="C17" s="29" t="s">
        <v>608</v>
      </c>
      <c r="D17" s="35" t="s">
        <v>609</v>
      </c>
      <c r="E17" s="29">
        <v>288.0</v>
      </c>
      <c r="F17" s="30" t="s">
        <v>610</v>
      </c>
      <c r="G17" s="29" t="s">
        <v>611</v>
      </c>
      <c r="H17" s="31">
        <v>5.188</v>
      </c>
      <c r="I17" s="29" t="s">
        <v>612</v>
      </c>
      <c r="J17" s="32" t="s">
        <v>598</v>
      </c>
      <c r="K17" s="29" t="s">
        <v>599</v>
      </c>
      <c r="L17" s="29" t="s">
        <v>600</v>
      </c>
      <c r="M17" s="33">
        <v>-51.526</v>
      </c>
      <c r="N17" s="33">
        <v>-22.673</v>
      </c>
      <c r="O17" s="34" t="s">
        <v>641</v>
      </c>
      <c r="P17" s="32" t="s">
        <v>602</v>
      </c>
      <c r="Q17" s="35">
        <v>6.0</v>
      </c>
      <c r="R17" s="35">
        <v>6.0</v>
      </c>
      <c r="S17" s="36">
        <v>7.286</v>
      </c>
      <c r="T17" s="36">
        <v>0.343</v>
      </c>
      <c r="U17" s="36">
        <v>1.17</v>
      </c>
      <c r="V17" s="36">
        <v>0.14</v>
      </c>
      <c r="W17" s="37" t="s">
        <v>603</v>
      </c>
      <c r="X17" s="31">
        <v>2.5</v>
      </c>
      <c r="Y17" s="36">
        <v>3.0559916759906356</v>
      </c>
      <c r="Z17" s="36">
        <v>0.032063968324229766</v>
      </c>
      <c r="AA17" s="29" t="s">
        <v>604</v>
      </c>
      <c r="AB17" s="31">
        <v>11.1684408188</v>
      </c>
      <c r="AC17" s="38">
        <v>139.0</v>
      </c>
    </row>
    <row r="18" ht="14.25" customHeight="1">
      <c r="A18" s="29" t="s">
        <v>592</v>
      </c>
      <c r="B18" s="29">
        <v>115.0</v>
      </c>
      <c r="C18" s="29" t="s">
        <v>608</v>
      </c>
      <c r="D18" s="29" t="s">
        <v>613</v>
      </c>
      <c r="E18" s="29">
        <v>289.0</v>
      </c>
      <c r="F18" s="30" t="s">
        <v>614</v>
      </c>
      <c r="G18" s="29" t="s">
        <v>615</v>
      </c>
      <c r="H18" s="31">
        <v>2.309</v>
      </c>
      <c r="I18" s="29" t="s">
        <v>616</v>
      </c>
      <c r="J18" s="32" t="s">
        <v>598</v>
      </c>
      <c r="K18" s="29" t="s">
        <v>599</v>
      </c>
      <c r="L18" s="29" t="s">
        <v>600</v>
      </c>
      <c r="M18" s="33">
        <v>-51.526</v>
      </c>
      <c r="N18" s="33">
        <v>-22.673</v>
      </c>
      <c r="O18" s="34" t="s">
        <v>641</v>
      </c>
      <c r="P18" s="32" t="s">
        <v>602</v>
      </c>
      <c r="Q18" s="35">
        <v>6.0</v>
      </c>
      <c r="R18" s="35">
        <v>6.0</v>
      </c>
      <c r="S18" s="36">
        <v>0.069</v>
      </c>
      <c r="T18" s="36">
        <v>1.33</v>
      </c>
      <c r="U18" s="36">
        <v>0.06</v>
      </c>
      <c r="V18" s="36">
        <v>0.23</v>
      </c>
      <c r="W18" s="37" t="s">
        <v>603</v>
      </c>
      <c r="X18" s="31">
        <v>2.5</v>
      </c>
      <c r="Y18" s="36">
        <v>-2.9538670374640805</v>
      </c>
      <c r="Z18" s="36">
        <v>0.13100820972367813</v>
      </c>
      <c r="AA18" s="29" t="s">
        <v>604</v>
      </c>
      <c r="AB18" s="31">
        <v>11.1684408188</v>
      </c>
      <c r="AC18" s="38">
        <v>139.0</v>
      </c>
    </row>
    <row r="19" ht="14.25" customHeight="1">
      <c r="A19" s="29" t="s">
        <v>592</v>
      </c>
      <c r="B19" s="29">
        <v>115.0</v>
      </c>
      <c r="C19" s="29" t="s">
        <v>608</v>
      </c>
      <c r="D19" s="29" t="s">
        <v>617</v>
      </c>
      <c r="E19" s="29">
        <v>75.0</v>
      </c>
      <c r="F19" s="30" t="s">
        <v>618</v>
      </c>
      <c r="G19" s="29" t="s">
        <v>619</v>
      </c>
      <c r="H19" s="31">
        <v>4.2</v>
      </c>
      <c r="I19" s="29" t="s">
        <v>620</v>
      </c>
      <c r="J19" s="32" t="s">
        <v>598</v>
      </c>
      <c r="K19" s="29" t="s">
        <v>599</v>
      </c>
      <c r="L19" s="29" t="s">
        <v>600</v>
      </c>
      <c r="M19" s="33">
        <v>-51.526</v>
      </c>
      <c r="N19" s="33">
        <v>-22.673</v>
      </c>
      <c r="O19" s="34" t="s">
        <v>641</v>
      </c>
      <c r="P19" s="32" t="s">
        <v>602</v>
      </c>
      <c r="Q19" s="35">
        <v>6.0</v>
      </c>
      <c r="R19" s="35">
        <v>6.0</v>
      </c>
      <c r="S19" s="36">
        <v>0.283</v>
      </c>
      <c r="T19" s="36">
        <v>0.0143</v>
      </c>
      <c r="U19" s="36">
        <v>0.16</v>
      </c>
      <c r="V19" s="36">
        <v>0.017</v>
      </c>
      <c r="W19" s="37" t="s">
        <v>603</v>
      </c>
      <c r="X19" s="31">
        <v>2.5</v>
      </c>
      <c r="Y19" s="36">
        <v>2.985200396937223</v>
      </c>
      <c r="Z19" s="36">
        <v>0.288819406375426</v>
      </c>
      <c r="AA19" s="29" t="s">
        <v>604</v>
      </c>
      <c r="AB19" s="31">
        <v>11.1684408188</v>
      </c>
      <c r="AC19" s="38">
        <v>139.0</v>
      </c>
    </row>
    <row r="20" ht="14.25" customHeight="1">
      <c r="A20" s="29" t="s">
        <v>592</v>
      </c>
      <c r="B20" s="29">
        <v>115.0</v>
      </c>
      <c r="C20" s="29" t="s">
        <v>608</v>
      </c>
      <c r="D20" s="29" t="s">
        <v>621</v>
      </c>
      <c r="E20" s="29">
        <v>91.0</v>
      </c>
      <c r="F20" s="30" t="s">
        <v>622</v>
      </c>
      <c r="G20" s="29" t="s">
        <v>611</v>
      </c>
      <c r="H20" s="31">
        <v>0.7</v>
      </c>
      <c r="I20" s="29" t="s">
        <v>616</v>
      </c>
      <c r="J20" s="32" t="s">
        <v>598</v>
      </c>
      <c r="K20" s="29" t="s">
        <v>599</v>
      </c>
      <c r="L20" s="29" t="s">
        <v>600</v>
      </c>
      <c r="M20" s="33">
        <v>-51.526</v>
      </c>
      <c r="N20" s="33">
        <v>-22.673</v>
      </c>
      <c r="O20" s="34" t="s">
        <v>641</v>
      </c>
      <c r="P20" s="32" t="s">
        <v>602</v>
      </c>
      <c r="Q20" s="35">
        <v>6.0</v>
      </c>
      <c r="R20" s="35">
        <v>6.0</v>
      </c>
      <c r="S20" s="36">
        <v>0.25</v>
      </c>
      <c r="T20" s="36">
        <v>2.66</v>
      </c>
      <c r="U20" s="36">
        <v>0.5</v>
      </c>
      <c r="V20" s="36">
        <v>1.631</v>
      </c>
      <c r="W20" s="37" t="s">
        <v>623</v>
      </c>
      <c r="X20" s="31">
        <v>2.5</v>
      </c>
      <c r="Y20" s="36">
        <v>-2.3618791467747835</v>
      </c>
      <c r="Z20" s="36">
        <v>0.7293271006463526</v>
      </c>
      <c r="AA20" s="29" t="s">
        <v>604</v>
      </c>
      <c r="AB20" s="31">
        <v>11.1684408188</v>
      </c>
      <c r="AC20" s="38">
        <v>139.0</v>
      </c>
    </row>
    <row r="21" ht="14.25" customHeight="1">
      <c r="A21" s="29" t="s">
        <v>592</v>
      </c>
      <c r="B21" s="29">
        <v>115.0</v>
      </c>
      <c r="C21" s="29" t="s">
        <v>608</v>
      </c>
      <c r="D21" s="29" t="s">
        <v>624</v>
      </c>
      <c r="E21" s="29">
        <v>101.0</v>
      </c>
      <c r="F21" s="30" t="s">
        <v>625</v>
      </c>
      <c r="G21" s="29" t="s">
        <v>626</v>
      </c>
      <c r="H21" s="31">
        <v>18.59</v>
      </c>
      <c r="I21" s="29" t="s">
        <v>612</v>
      </c>
      <c r="J21" s="32" t="s">
        <v>598</v>
      </c>
      <c r="K21" s="29" t="s">
        <v>599</v>
      </c>
      <c r="L21" s="29" t="s">
        <v>600</v>
      </c>
      <c r="M21" s="33">
        <v>-51.526</v>
      </c>
      <c r="N21" s="33">
        <v>-22.673</v>
      </c>
      <c r="O21" s="34" t="s">
        <v>641</v>
      </c>
      <c r="P21" s="32" t="s">
        <v>602</v>
      </c>
      <c r="Q21" s="35">
        <v>6.0</v>
      </c>
      <c r="R21" s="35">
        <v>6.0</v>
      </c>
      <c r="S21" s="36">
        <v>0.28</v>
      </c>
      <c r="T21" s="36">
        <v>0.1</v>
      </c>
      <c r="U21" s="36">
        <v>0.06</v>
      </c>
      <c r="V21" s="36">
        <v>0.13</v>
      </c>
      <c r="W21" s="37" t="s">
        <v>603</v>
      </c>
      <c r="X21" s="31">
        <v>2.5</v>
      </c>
      <c r="Y21" s="36">
        <v>1.0297115550563398</v>
      </c>
      <c r="Z21" s="36">
        <v>0.2893197278911564</v>
      </c>
      <c r="AA21" s="29" t="s">
        <v>604</v>
      </c>
      <c r="AB21" s="31">
        <v>11.1684408188</v>
      </c>
      <c r="AC21" s="38">
        <v>139.0</v>
      </c>
    </row>
    <row r="22" ht="14.25" customHeight="1">
      <c r="A22" s="29" t="s">
        <v>592</v>
      </c>
      <c r="B22" s="29">
        <v>115.0</v>
      </c>
      <c r="C22" s="29" t="s">
        <v>608</v>
      </c>
      <c r="D22" s="35" t="s">
        <v>627</v>
      </c>
      <c r="E22" s="29">
        <v>111.0</v>
      </c>
      <c r="F22" s="39" t="s">
        <v>628</v>
      </c>
      <c r="G22" s="29" t="s">
        <v>629</v>
      </c>
      <c r="H22" s="31">
        <v>3.79</v>
      </c>
      <c r="I22" s="29" t="s">
        <v>597</v>
      </c>
      <c r="J22" s="32" t="s">
        <v>598</v>
      </c>
      <c r="K22" s="29" t="s">
        <v>599</v>
      </c>
      <c r="L22" s="29" t="s">
        <v>600</v>
      </c>
      <c r="M22" s="33">
        <v>-51.526</v>
      </c>
      <c r="N22" s="33">
        <v>-22.673</v>
      </c>
      <c r="O22" s="34" t="s">
        <v>641</v>
      </c>
      <c r="P22" s="32" t="s">
        <v>602</v>
      </c>
      <c r="Q22" s="35">
        <v>6.0</v>
      </c>
      <c r="R22" s="35">
        <v>6.0</v>
      </c>
      <c r="S22" s="36">
        <v>1.864</v>
      </c>
      <c r="T22" s="36">
        <v>0.279</v>
      </c>
      <c r="U22" s="36">
        <v>0.46</v>
      </c>
      <c r="V22" s="36">
        <v>0.22</v>
      </c>
      <c r="W22" s="37" t="s">
        <v>603</v>
      </c>
      <c r="X22" s="31">
        <v>2.5</v>
      </c>
      <c r="Y22" s="36">
        <v>1.899306829322424</v>
      </c>
      <c r="Z22" s="36">
        <v>0.11378020248098909</v>
      </c>
      <c r="AA22" s="29" t="s">
        <v>604</v>
      </c>
      <c r="AB22" s="31">
        <v>11.1684408188</v>
      </c>
      <c r="AC22" s="38">
        <v>139.0</v>
      </c>
    </row>
    <row r="23" ht="14.25" customHeight="1">
      <c r="A23" s="29" t="s">
        <v>592</v>
      </c>
      <c r="B23" s="29">
        <v>115.0</v>
      </c>
      <c r="C23" s="29" t="s">
        <v>608</v>
      </c>
      <c r="D23" s="29" t="s">
        <v>630</v>
      </c>
      <c r="E23" s="29">
        <v>129.0</v>
      </c>
      <c r="F23" s="30" t="s">
        <v>631</v>
      </c>
      <c r="G23" s="29" t="s">
        <v>626</v>
      </c>
      <c r="H23" s="31">
        <v>21.27</v>
      </c>
      <c r="I23" s="29" t="s">
        <v>612</v>
      </c>
      <c r="J23" s="32" t="s">
        <v>598</v>
      </c>
      <c r="K23" s="29" t="s">
        <v>599</v>
      </c>
      <c r="L23" s="29" t="s">
        <v>600</v>
      </c>
      <c r="M23" s="33">
        <v>-51.526</v>
      </c>
      <c r="N23" s="33">
        <v>-22.673</v>
      </c>
      <c r="O23" s="34" t="s">
        <v>641</v>
      </c>
      <c r="P23" s="32" t="s">
        <v>602</v>
      </c>
      <c r="Q23" s="35">
        <v>6.0</v>
      </c>
      <c r="R23" s="35">
        <v>6.0</v>
      </c>
      <c r="S23" s="36">
        <v>0.057</v>
      </c>
      <c r="T23" s="36">
        <v>4.26</v>
      </c>
      <c r="U23" s="36">
        <v>0.43</v>
      </c>
      <c r="V23" s="36">
        <v>1.5</v>
      </c>
      <c r="W23" s="37" t="s">
        <v>603</v>
      </c>
      <c r="X23" s="31">
        <v>2.5</v>
      </c>
      <c r="Y23" s="36">
        <v>-4.294874761636078</v>
      </c>
      <c r="Z23" s="36">
        <v>9.505633623717138</v>
      </c>
      <c r="AA23" s="29" t="s">
        <v>604</v>
      </c>
      <c r="AB23" s="31">
        <v>11.1684408188</v>
      </c>
      <c r="AC23" s="38">
        <v>139.0</v>
      </c>
    </row>
    <row r="24" ht="14.25" customHeight="1">
      <c r="A24" s="29" t="s">
        <v>592</v>
      </c>
      <c r="B24" s="29">
        <v>115.0</v>
      </c>
      <c r="C24" s="29" t="s">
        <v>608</v>
      </c>
      <c r="D24" s="29" t="s">
        <v>632</v>
      </c>
      <c r="E24" s="29">
        <v>173.0</v>
      </c>
      <c r="F24" s="30" t="s">
        <v>633</v>
      </c>
      <c r="G24" s="29" t="s">
        <v>611</v>
      </c>
      <c r="H24" s="31">
        <v>2.5</v>
      </c>
      <c r="I24" s="29" t="s">
        <v>616</v>
      </c>
      <c r="J24" s="32" t="s">
        <v>598</v>
      </c>
      <c r="K24" s="29" t="s">
        <v>599</v>
      </c>
      <c r="L24" s="29" t="s">
        <v>600</v>
      </c>
      <c r="M24" s="33">
        <v>-51.526</v>
      </c>
      <c r="N24" s="33">
        <v>-22.673</v>
      </c>
      <c r="O24" s="34" t="s">
        <v>641</v>
      </c>
      <c r="P24" s="32" t="s">
        <v>602</v>
      </c>
      <c r="Q24" s="35">
        <v>6.0</v>
      </c>
      <c r="R24" s="35">
        <v>6.0</v>
      </c>
      <c r="S24" s="36">
        <v>6.8</v>
      </c>
      <c r="T24" s="36">
        <v>7.314</v>
      </c>
      <c r="U24" s="36">
        <v>1.14</v>
      </c>
      <c r="V24" s="36">
        <v>1.43</v>
      </c>
      <c r="W24" s="37" t="s">
        <v>603</v>
      </c>
      <c r="X24" s="31">
        <v>2.5</v>
      </c>
      <c r="Y24" s="36">
        <v>-0.07259024649629602</v>
      </c>
      <c r="Z24" s="36">
        <v>0.011055304575230013</v>
      </c>
      <c r="AA24" s="29" t="s">
        <v>604</v>
      </c>
      <c r="AB24" s="31">
        <v>11.1684408188</v>
      </c>
      <c r="AC24" s="38">
        <v>139.0</v>
      </c>
    </row>
    <row r="25" ht="14.25" customHeight="1">
      <c r="A25" s="29" t="s">
        <v>592</v>
      </c>
      <c r="B25" s="29">
        <v>115.0</v>
      </c>
      <c r="C25" s="29" t="s">
        <v>608</v>
      </c>
      <c r="D25" s="35" t="s">
        <v>634</v>
      </c>
      <c r="E25" s="29">
        <v>219.0</v>
      </c>
      <c r="F25" s="30" t="s">
        <v>635</v>
      </c>
      <c r="G25" s="29" t="s">
        <v>615</v>
      </c>
      <c r="H25" s="31">
        <v>0.19</v>
      </c>
      <c r="I25" s="29" t="s">
        <v>597</v>
      </c>
      <c r="J25" s="32" t="s">
        <v>598</v>
      </c>
      <c r="K25" s="29" t="s">
        <v>599</v>
      </c>
      <c r="L25" s="29" t="s">
        <v>600</v>
      </c>
      <c r="M25" s="33">
        <v>-51.526</v>
      </c>
      <c r="N25" s="33">
        <v>-22.673</v>
      </c>
      <c r="O25" s="34" t="s">
        <v>641</v>
      </c>
      <c r="P25" s="32" t="s">
        <v>602</v>
      </c>
      <c r="Q25" s="35">
        <v>6.0</v>
      </c>
      <c r="R25" s="35">
        <v>6.0</v>
      </c>
      <c r="S25" s="36">
        <v>1.264</v>
      </c>
      <c r="T25" s="36">
        <v>0.12</v>
      </c>
      <c r="U25" s="36">
        <v>0.13</v>
      </c>
      <c r="V25" s="36">
        <v>0.06</v>
      </c>
      <c r="W25" s="37" t="s">
        <v>603</v>
      </c>
      <c r="X25" s="31">
        <v>2.5</v>
      </c>
      <c r="Y25" s="36">
        <v>2.354569325099735</v>
      </c>
      <c r="Z25" s="36">
        <v>0.04342962198899749</v>
      </c>
      <c r="AA25" s="29" t="s">
        <v>604</v>
      </c>
      <c r="AB25" s="31">
        <v>11.1684408188</v>
      </c>
      <c r="AC25" s="38">
        <v>139.0</v>
      </c>
    </row>
    <row r="26" ht="14.25" customHeight="1">
      <c r="A26" s="29" t="s">
        <v>592</v>
      </c>
      <c r="B26" s="29">
        <v>115.0</v>
      </c>
      <c r="C26" s="29" t="s">
        <v>608</v>
      </c>
      <c r="D26" s="29" t="s">
        <v>636</v>
      </c>
      <c r="E26" s="29">
        <v>189.0</v>
      </c>
      <c r="F26" s="30" t="s">
        <v>637</v>
      </c>
      <c r="G26" s="29" t="s">
        <v>638</v>
      </c>
      <c r="H26" s="31">
        <v>207.5</v>
      </c>
      <c r="I26" s="29" t="s">
        <v>612</v>
      </c>
      <c r="J26" s="32" t="s">
        <v>598</v>
      </c>
      <c r="K26" s="29" t="s">
        <v>599</v>
      </c>
      <c r="L26" s="29" t="s">
        <v>600</v>
      </c>
      <c r="M26" s="33">
        <v>-51.526</v>
      </c>
      <c r="N26" s="33">
        <v>-22.673</v>
      </c>
      <c r="O26" s="34" t="s">
        <v>641</v>
      </c>
      <c r="P26" s="32" t="s">
        <v>602</v>
      </c>
      <c r="Q26" s="35">
        <v>6.0</v>
      </c>
      <c r="R26" s="35">
        <v>6.0</v>
      </c>
      <c r="S26" s="36">
        <v>0.128</v>
      </c>
      <c r="T26" s="36">
        <v>0.129</v>
      </c>
      <c r="U26" s="36">
        <v>0.11</v>
      </c>
      <c r="V26" s="36">
        <v>0.051</v>
      </c>
      <c r="W26" s="37" t="s">
        <v>603</v>
      </c>
      <c r="X26" s="31">
        <v>2.5</v>
      </c>
      <c r="Y26" s="36">
        <v>-0.007522160694826605</v>
      </c>
      <c r="Z26" s="36">
        <v>0.14913768228462457</v>
      </c>
      <c r="AA26" s="29" t="s">
        <v>604</v>
      </c>
      <c r="AB26" s="31">
        <v>11.1684408188</v>
      </c>
      <c r="AC26" s="38">
        <v>139.0</v>
      </c>
    </row>
    <row r="27" ht="14.25" customHeight="1">
      <c r="A27" s="29" t="s">
        <v>592</v>
      </c>
      <c r="B27" s="29">
        <v>115.0</v>
      </c>
      <c r="C27" s="29" t="s">
        <v>608</v>
      </c>
      <c r="D27" s="29" t="s">
        <v>639</v>
      </c>
      <c r="E27" s="29">
        <v>190.0</v>
      </c>
      <c r="F27" s="30" t="s">
        <v>640</v>
      </c>
      <c r="G27" s="29" t="s">
        <v>626</v>
      </c>
      <c r="H27" s="31">
        <v>32.23</v>
      </c>
      <c r="I27" s="29" t="s">
        <v>597</v>
      </c>
      <c r="J27" s="32" t="s">
        <v>598</v>
      </c>
      <c r="K27" s="29" t="s">
        <v>599</v>
      </c>
      <c r="L27" s="29" t="s">
        <v>600</v>
      </c>
      <c r="M27" s="33">
        <v>-51.526</v>
      </c>
      <c r="N27" s="33">
        <v>-22.673</v>
      </c>
      <c r="O27" s="34" t="s">
        <v>641</v>
      </c>
      <c r="P27" s="32" t="s">
        <v>602</v>
      </c>
      <c r="Q27" s="35">
        <v>6.0</v>
      </c>
      <c r="R27" s="35">
        <v>6.0</v>
      </c>
      <c r="S27" s="36">
        <v>0.57</v>
      </c>
      <c r="T27" s="36">
        <v>6.43</v>
      </c>
      <c r="U27" s="36">
        <v>1.09</v>
      </c>
      <c r="V27" s="36">
        <v>3.228571429</v>
      </c>
      <c r="W27" s="37" t="s">
        <v>603</v>
      </c>
      <c r="X27" s="31">
        <v>2.5</v>
      </c>
      <c r="Y27" s="36">
        <v>-2.4201872856416777</v>
      </c>
      <c r="Z27" s="36">
        <v>0.6514887632097844</v>
      </c>
      <c r="AA27" s="29" t="s">
        <v>604</v>
      </c>
      <c r="AB27" s="31">
        <v>11.1684408188</v>
      </c>
      <c r="AC27" s="38">
        <v>139.0</v>
      </c>
    </row>
    <row r="28" ht="14.25" customHeight="1">
      <c r="A28" s="29" t="s">
        <v>592</v>
      </c>
      <c r="B28" s="29">
        <v>116.0</v>
      </c>
      <c r="C28" s="29" t="s">
        <v>593</v>
      </c>
      <c r="D28" s="29" t="s">
        <v>594</v>
      </c>
      <c r="E28" s="29">
        <v>67.0</v>
      </c>
      <c r="F28" s="30" t="s">
        <v>595</v>
      </c>
      <c r="G28" s="29" t="s">
        <v>596</v>
      </c>
      <c r="H28" s="31">
        <v>0.4</v>
      </c>
      <c r="I28" s="29" t="s">
        <v>597</v>
      </c>
      <c r="J28" s="32" t="s">
        <v>598</v>
      </c>
      <c r="K28" s="29" t="s">
        <v>599</v>
      </c>
      <c r="L28" s="29" t="s">
        <v>600</v>
      </c>
      <c r="M28" s="33">
        <v>-52.467</v>
      </c>
      <c r="N28" s="33">
        <v>-22.479</v>
      </c>
      <c r="O28" s="34" t="s">
        <v>641</v>
      </c>
      <c r="P28" s="32" t="s">
        <v>602</v>
      </c>
      <c r="Q28" s="35">
        <v>6.0</v>
      </c>
      <c r="R28" s="35">
        <v>6.0</v>
      </c>
      <c r="S28" s="36">
        <v>1.885714286</v>
      </c>
      <c r="T28" s="36">
        <v>1.942857143</v>
      </c>
      <c r="U28" s="36">
        <v>0.445714286</v>
      </c>
      <c r="V28" s="36">
        <v>0.371428571</v>
      </c>
      <c r="W28" s="37" t="s">
        <v>603</v>
      </c>
      <c r="X28" s="31">
        <v>2.5</v>
      </c>
      <c r="Y28" s="36">
        <v>-0.028512321729092308</v>
      </c>
      <c r="Z28" s="36">
        <v>0.015402701911099017</v>
      </c>
      <c r="AA28" s="29" t="s">
        <v>604</v>
      </c>
      <c r="AB28" s="31">
        <v>18.4511890411</v>
      </c>
      <c r="AC28" s="38">
        <v>154.0</v>
      </c>
    </row>
    <row r="29" ht="14.25" customHeight="1">
      <c r="A29" s="29" t="s">
        <v>592</v>
      </c>
      <c r="B29" s="29">
        <v>116.0</v>
      </c>
      <c r="C29" s="29" t="s">
        <v>593</v>
      </c>
      <c r="D29" s="29" t="s">
        <v>605</v>
      </c>
      <c r="E29" s="29">
        <v>320.0</v>
      </c>
      <c r="F29" s="30" t="s">
        <v>606</v>
      </c>
      <c r="G29" s="29" t="s">
        <v>607</v>
      </c>
      <c r="H29" s="31">
        <v>0.895</v>
      </c>
      <c r="I29" s="29" t="s">
        <v>597</v>
      </c>
      <c r="J29" s="32" t="s">
        <v>598</v>
      </c>
      <c r="K29" s="29" t="s">
        <v>599</v>
      </c>
      <c r="L29" s="29" t="s">
        <v>600</v>
      </c>
      <c r="M29" s="33">
        <v>-52.467</v>
      </c>
      <c r="N29" s="33">
        <v>-22.479</v>
      </c>
      <c r="O29" s="34" t="s">
        <v>641</v>
      </c>
      <c r="P29" s="32" t="s">
        <v>602</v>
      </c>
      <c r="Q29" s="35">
        <v>6.0</v>
      </c>
      <c r="R29" s="35">
        <v>6.0</v>
      </c>
      <c r="S29" s="36">
        <v>3.921568627</v>
      </c>
      <c r="T29" s="36">
        <v>6.18</v>
      </c>
      <c r="U29" s="36">
        <v>0.588235294</v>
      </c>
      <c r="V29" s="36">
        <v>1.27</v>
      </c>
      <c r="W29" s="37" t="s">
        <v>603</v>
      </c>
      <c r="X29" s="31">
        <v>2.5</v>
      </c>
      <c r="Y29" s="36">
        <v>-0.45277668701596724</v>
      </c>
      <c r="Z29" s="36">
        <v>0.010788485841222835</v>
      </c>
      <c r="AA29" s="29" t="s">
        <v>604</v>
      </c>
      <c r="AB29" s="31">
        <v>18.4511890411</v>
      </c>
      <c r="AC29" s="38">
        <v>154.0</v>
      </c>
    </row>
    <row r="30" ht="14.25" customHeight="1">
      <c r="A30" s="29" t="s">
        <v>592</v>
      </c>
      <c r="B30" s="29">
        <v>116.0</v>
      </c>
      <c r="C30" s="29" t="s">
        <v>608</v>
      </c>
      <c r="D30" s="35" t="s">
        <v>609</v>
      </c>
      <c r="E30" s="29">
        <v>288.0</v>
      </c>
      <c r="F30" s="30" t="s">
        <v>610</v>
      </c>
      <c r="G30" s="29" t="s">
        <v>611</v>
      </c>
      <c r="H30" s="31">
        <v>5.188</v>
      </c>
      <c r="I30" s="29" t="s">
        <v>612</v>
      </c>
      <c r="J30" s="32" t="s">
        <v>598</v>
      </c>
      <c r="K30" s="29" t="s">
        <v>599</v>
      </c>
      <c r="L30" s="29" t="s">
        <v>600</v>
      </c>
      <c r="M30" s="33">
        <v>-52.467</v>
      </c>
      <c r="N30" s="33">
        <v>-22.479</v>
      </c>
      <c r="O30" s="34" t="s">
        <v>641</v>
      </c>
      <c r="P30" s="32" t="s">
        <v>602</v>
      </c>
      <c r="Q30" s="35">
        <v>6.0</v>
      </c>
      <c r="R30" s="35">
        <v>6.0</v>
      </c>
      <c r="S30" s="36">
        <v>3.77</v>
      </c>
      <c r="T30" s="36">
        <v>0.343</v>
      </c>
      <c r="U30" s="36">
        <v>1.0</v>
      </c>
      <c r="V30" s="36">
        <v>0.14</v>
      </c>
      <c r="W30" s="37" t="s">
        <v>603</v>
      </c>
      <c r="X30" s="31">
        <v>2.5</v>
      </c>
      <c r="Y30" s="36">
        <v>2.397123306022394</v>
      </c>
      <c r="Z30" s="36">
        <v>0.03949264483677776</v>
      </c>
      <c r="AA30" s="29" t="s">
        <v>604</v>
      </c>
      <c r="AB30" s="31">
        <v>18.4511890411</v>
      </c>
      <c r="AC30" s="38">
        <v>154.0</v>
      </c>
    </row>
    <row r="31" ht="14.25" customHeight="1">
      <c r="A31" s="29" t="s">
        <v>592</v>
      </c>
      <c r="B31" s="29">
        <v>116.0</v>
      </c>
      <c r="C31" s="29" t="s">
        <v>608</v>
      </c>
      <c r="D31" s="29" t="s">
        <v>613</v>
      </c>
      <c r="E31" s="29">
        <v>289.0</v>
      </c>
      <c r="F31" s="30" t="s">
        <v>614</v>
      </c>
      <c r="G31" s="29" t="s">
        <v>615</v>
      </c>
      <c r="H31" s="31">
        <v>2.309</v>
      </c>
      <c r="I31" s="29" t="s">
        <v>616</v>
      </c>
      <c r="J31" s="32" t="s">
        <v>598</v>
      </c>
      <c r="K31" s="29" t="s">
        <v>599</v>
      </c>
      <c r="L31" s="29" t="s">
        <v>600</v>
      </c>
      <c r="M31" s="33">
        <v>-52.467</v>
      </c>
      <c r="N31" s="33">
        <v>-22.479</v>
      </c>
      <c r="O31" s="34" t="s">
        <v>641</v>
      </c>
      <c r="P31" s="32" t="s">
        <v>602</v>
      </c>
      <c r="Q31" s="35">
        <v>6.0</v>
      </c>
      <c r="R31" s="35">
        <v>6.0</v>
      </c>
      <c r="S31" s="36">
        <v>0.903</v>
      </c>
      <c r="T31" s="36">
        <v>1.33</v>
      </c>
      <c r="U31" s="36">
        <v>0.17</v>
      </c>
      <c r="V31" s="36">
        <v>0.23</v>
      </c>
      <c r="W31" s="37" t="s">
        <v>603</v>
      </c>
      <c r="X31" s="31">
        <v>2.5</v>
      </c>
      <c r="Y31" s="36">
        <v>-0.3868317430193496</v>
      </c>
      <c r="Z31" s="36">
        <v>0.010891321224204185</v>
      </c>
      <c r="AA31" s="29" t="s">
        <v>604</v>
      </c>
      <c r="AB31" s="31">
        <v>18.4511890411</v>
      </c>
      <c r="AC31" s="38">
        <v>154.0</v>
      </c>
    </row>
    <row r="32" ht="14.25" customHeight="1">
      <c r="A32" s="29" t="s">
        <v>592</v>
      </c>
      <c r="B32" s="29">
        <v>116.0</v>
      </c>
      <c r="C32" s="29" t="s">
        <v>608</v>
      </c>
      <c r="D32" s="29" t="s">
        <v>617</v>
      </c>
      <c r="E32" s="29">
        <v>75.0</v>
      </c>
      <c r="F32" s="30" t="s">
        <v>618</v>
      </c>
      <c r="G32" s="29" t="s">
        <v>619</v>
      </c>
      <c r="H32" s="31">
        <v>4.2</v>
      </c>
      <c r="I32" s="29" t="s">
        <v>620</v>
      </c>
      <c r="J32" s="32" t="s">
        <v>598</v>
      </c>
      <c r="K32" s="29" t="s">
        <v>599</v>
      </c>
      <c r="L32" s="29" t="s">
        <v>600</v>
      </c>
      <c r="M32" s="33">
        <v>-52.467</v>
      </c>
      <c r="N32" s="33">
        <v>-22.479</v>
      </c>
      <c r="O32" s="34" t="s">
        <v>641</v>
      </c>
      <c r="P32" s="32" t="s">
        <v>602</v>
      </c>
      <c r="Q32" s="35">
        <v>6.0</v>
      </c>
      <c r="R32" s="35">
        <v>6.0</v>
      </c>
      <c r="S32" s="36">
        <v>0.157</v>
      </c>
      <c r="T32" s="36">
        <v>0.0143</v>
      </c>
      <c r="U32" s="36">
        <v>0.13</v>
      </c>
      <c r="V32" s="36">
        <v>0.017</v>
      </c>
      <c r="W32" s="37" t="s">
        <v>603</v>
      </c>
      <c r="X32" s="31">
        <v>2.5</v>
      </c>
      <c r="Y32" s="36">
        <v>2.396009766981409</v>
      </c>
      <c r="Z32" s="36">
        <v>0.3498163723957647</v>
      </c>
      <c r="AA32" s="29" t="s">
        <v>604</v>
      </c>
      <c r="AB32" s="31">
        <v>18.4511890411</v>
      </c>
      <c r="AC32" s="38">
        <v>154.0</v>
      </c>
    </row>
    <row r="33" ht="14.25" customHeight="1">
      <c r="A33" s="29" t="s">
        <v>592</v>
      </c>
      <c r="B33" s="29">
        <v>116.0</v>
      </c>
      <c r="C33" s="29" t="s">
        <v>608</v>
      </c>
      <c r="D33" s="29" t="s">
        <v>621</v>
      </c>
      <c r="E33" s="29">
        <v>91.0</v>
      </c>
      <c r="F33" s="30" t="s">
        <v>622</v>
      </c>
      <c r="G33" s="29" t="s">
        <v>611</v>
      </c>
      <c r="H33" s="31">
        <v>0.7</v>
      </c>
      <c r="I33" s="29" t="s">
        <v>616</v>
      </c>
      <c r="J33" s="32" t="s">
        <v>598</v>
      </c>
      <c r="K33" s="29" t="s">
        <v>599</v>
      </c>
      <c r="L33" s="29" t="s">
        <v>600</v>
      </c>
      <c r="M33" s="33">
        <v>-52.467</v>
      </c>
      <c r="N33" s="33">
        <v>-22.479</v>
      </c>
      <c r="O33" s="34" t="s">
        <v>641</v>
      </c>
      <c r="P33" s="32" t="s">
        <v>602</v>
      </c>
      <c r="Q33" s="35">
        <v>6.0</v>
      </c>
      <c r="R33" s="35">
        <v>6.0</v>
      </c>
      <c r="S33" s="36">
        <v>1.0</v>
      </c>
      <c r="T33" s="36">
        <v>2.66</v>
      </c>
      <c r="U33" s="36">
        <v>1.0</v>
      </c>
      <c r="V33" s="36">
        <v>1.631</v>
      </c>
      <c r="W33" s="37" t="s">
        <v>623</v>
      </c>
      <c r="X33" s="31">
        <v>2.5</v>
      </c>
      <c r="Y33" s="36">
        <v>-0.9776400836624717</v>
      </c>
      <c r="Z33" s="36">
        <v>0.2293271006463527</v>
      </c>
      <c r="AA33" s="29" t="s">
        <v>604</v>
      </c>
      <c r="AB33" s="31">
        <v>18.4511890411</v>
      </c>
      <c r="AC33" s="38">
        <v>154.0</v>
      </c>
    </row>
    <row r="34" ht="14.25" customHeight="1">
      <c r="A34" s="29" t="s">
        <v>592</v>
      </c>
      <c r="B34" s="29">
        <v>116.0</v>
      </c>
      <c r="C34" s="29" t="s">
        <v>608</v>
      </c>
      <c r="D34" s="29" t="s">
        <v>624</v>
      </c>
      <c r="E34" s="29">
        <v>101.0</v>
      </c>
      <c r="F34" s="30" t="s">
        <v>625</v>
      </c>
      <c r="G34" s="29" t="s">
        <v>626</v>
      </c>
      <c r="H34" s="31">
        <v>18.59</v>
      </c>
      <c r="I34" s="29" t="s">
        <v>612</v>
      </c>
      <c r="J34" s="32" t="s">
        <v>598</v>
      </c>
      <c r="K34" s="29" t="s">
        <v>599</v>
      </c>
      <c r="L34" s="29" t="s">
        <v>600</v>
      </c>
      <c r="M34" s="33">
        <v>-52.467</v>
      </c>
      <c r="N34" s="33">
        <v>-22.479</v>
      </c>
      <c r="O34" s="34" t="s">
        <v>641</v>
      </c>
      <c r="P34" s="32" t="s">
        <v>602</v>
      </c>
      <c r="Q34" s="35">
        <v>6.0</v>
      </c>
      <c r="R34" s="35">
        <v>6.0</v>
      </c>
      <c r="S34" s="36">
        <v>0.0</v>
      </c>
      <c r="T34" s="36">
        <v>0.1</v>
      </c>
      <c r="U34" s="36">
        <v>0.0</v>
      </c>
      <c r="V34" s="36">
        <v>0.13</v>
      </c>
      <c r="W34" s="37" t="s">
        <v>603</v>
      </c>
      <c r="X34" s="31">
        <v>2.5</v>
      </c>
      <c r="Y34" s="36">
        <v>-8.262558973010657</v>
      </c>
      <c r="Z34" s="36">
        <v>0.35041666666666665</v>
      </c>
      <c r="AA34" s="29" t="s">
        <v>604</v>
      </c>
      <c r="AB34" s="31">
        <v>18.4511890411</v>
      </c>
      <c r="AC34" s="38">
        <v>154.0</v>
      </c>
    </row>
    <row r="35" ht="14.25" customHeight="1">
      <c r="A35" s="29" t="s">
        <v>592</v>
      </c>
      <c r="B35" s="29">
        <v>116.0</v>
      </c>
      <c r="C35" s="29" t="s">
        <v>608</v>
      </c>
      <c r="D35" s="35" t="s">
        <v>627</v>
      </c>
      <c r="E35" s="29">
        <v>111.0</v>
      </c>
      <c r="F35" s="39" t="s">
        <v>628</v>
      </c>
      <c r="G35" s="29" t="s">
        <v>629</v>
      </c>
      <c r="H35" s="31">
        <v>3.79</v>
      </c>
      <c r="I35" s="29" t="s">
        <v>597</v>
      </c>
      <c r="J35" s="32" t="s">
        <v>598</v>
      </c>
      <c r="K35" s="29" t="s">
        <v>599</v>
      </c>
      <c r="L35" s="29" t="s">
        <v>600</v>
      </c>
      <c r="M35" s="33">
        <v>-52.467</v>
      </c>
      <c r="N35" s="33">
        <v>-22.479</v>
      </c>
      <c r="O35" s="34" t="s">
        <v>641</v>
      </c>
      <c r="P35" s="32" t="s">
        <v>602</v>
      </c>
      <c r="Q35" s="35">
        <v>6.0</v>
      </c>
      <c r="R35" s="35">
        <v>6.0</v>
      </c>
      <c r="S35" s="36">
        <v>0.193</v>
      </c>
      <c r="T35" s="36">
        <v>0.279</v>
      </c>
      <c r="U35" s="36">
        <v>0.15</v>
      </c>
      <c r="V35" s="36">
        <v>0.22</v>
      </c>
      <c r="W35" s="37" t="s">
        <v>603</v>
      </c>
      <c r="X35" s="31">
        <v>2.5</v>
      </c>
      <c r="Y35" s="36">
        <v>-0.3681487017021675</v>
      </c>
      <c r="Z35" s="36">
        <v>0.20430389288162348</v>
      </c>
      <c r="AA35" s="29" t="s">
        <v>604</v>
      </c>
      <c r="AB35" s="31">
        <v>18.4511890411</v>
      </c>
      <c r="AC35" s="38">
        <v>154.0</v>
      </c>
    </row>
    <row r="36" ht="14.25" customHeight="1">
      <c r="A36" s="29" t="s">
        <v>592</v>
      </c>
      <c r="B36" s="29">
        <v>116.0</v>
      </c>
      <c r="C36" s="29" t="s">
        <v>608</v>
      </c>
      <c r="D36" s="29" t="s">
        <v>630</v>
      </c>
      <c r="E36" s="29">
        <v>129.0</v>
      </c>
      <c r="F36" s="30" t="s">
        <v>631</v>
      </c>
      <c r="G36" s="29" t="s">
        <v>626</v>
      </c>
      <c r="H36" s="31">
        <v>21.27</v>
      </c>
      <c r="I36" s="29" t="s">
        <v>612</v>
      </c>
      <c r="J36" s="32" t="s">
        <v>598</v>
      </c>
      <c r="K36" s="29" t="s">
        <v>599</v>
      </c>
      <c r="L36" s="29" t="s">
        <v>600</v>
      </c>
      <c r="M36" s="33">
        <v>-52.467</v>
      </c>
      <c r="N36" s="33">
        <v>-22.479</v>
      </c>
      <c r="O36" s="34" t="s">
        <v>641</v>
      </c>
      <c r="P36" s="32" t="s">
        <v>602</v>
      </c>
      <c r="Q36" s="35">
        <v>6.0</v>
      </c>
      <c r="R36" s="35">
        <v>6.0</v>
      </c>
      <c r="S36" s="36">
        <v>0.53</v>
      </c>
      <c r="T36" s="36">
        <v>4.26</v>
      </c>
      <c r="U36" s="36">
        <v>0.4</v>
      </c>
      <c r="V36" s="36">
        <v>1.5</v>
      </c>
      <c r="W36" s="37" t="s">
        <v>603</v>
      </c>
      <c r="X36" s="31">
        <v>2.5</v>
      </c>
      <c r="Y36" s="36">
        <v>-2.0820758606457983</v>
      </c>
      <c r="Z36" s="36">
        <v>0.11559684304144488</v>
      </c>
      <c r="AA36" s="29" t="s">
        <v>604</v>
      </c>
      <c r="AB36" s="31">
        <v>18.4511890411</v>
      </c>
      <c r="AC36" s="38">
        <v>154.0</v>
      </c>
    </row>
    <row r="37" ht="14.25" customHeight="1">
      <c r="A37" s="29" t="s">
        <v>592</v>
      </c>
      <c r="B37" s="29">
        <v>116.0</v>
      </c>
      <c r="C37" s="29" t="s">
        <v>608</v>
      </c>
      <c r="D37" s="29" t="s">
        <v>632</v>
      </c>
      <c r="E37" s="29">
        <v>173.0</v>
      </c>
      <c r="F37" s="30" t="s">
        <v>633</v>
      </c>
      <c r="G37" s="29" t="s">
        <v>611</v>
      </c>
      <c r="H37" s="31">
        <v>2.5</v>
      </c>
      <c r="I37" s="29" t="s">
        <v>616</v>
      </c>
      <c r="J37" s="32" t="s">
        <v>598</v>
      </c>
      <c r="K37" s="29" t="s">
        <v>599</v>
      </c>
      <c r="L37" s="29" t="s">
        <v>600</v>
      </c>
      <c r="M37" s="33">
        <v>-52.467</v>
      </c>
      <c r="N37" s="33">
        <v>-22.479</v>
      </c>
      <c r="O37" s="34" t="s">
        <v>641</v>
      </c>
      <c r="P37" s="32" t="s">
        <v>602</v>
      </c>
      <c r="Q37" s="35">
        <v>6.0</v>
      </c>
      <c r="R37" s="35">
        <v>6.0</v>
      </c>
      <c r="S37" s="36">
        <v>6.4</v>
      </c>
      <c r="T37" s="36">
        <v>7.314</v>
      </c>
      <c r="U37" s="36">
        <v>2.17</v>
      </c>
      <c r="V37" s="36">
        <v>1.43</v>
      </c>
      <c r="W37" s="37" t="s">
        <v>603</v>
      </c>
      <c r="X37" s="31">
        <v>2.5</v>
      </c>
      <c r="Y37" s="36">
        <v>-0.13319752955304334</v>
      </c>
      <c r="Z37" s="36">
        <v>0.025531611670908356</v>
      </c>
      <c r="AA37" s="29" t="s">
        <v>604</v>
      </c>
      <c r="AB37" s="31">
        <v>18.4511890411</v>
      </c>
      <c r="AC37" s="38">
        <v>154.0</v>
      </c>
    </row>
    <row r="38" ht="14.25" customHeight="1">
      <c r="A38" s="29" t="s">
        <v>592</v>
      </c>
      <c r="B38" s="29">
        <v>116.0</v>
      </c>
      <c r="C38" s="29" t="s">
        <v>608</v>
      </c>
      <c r="D38" s="35" t="s">
        <v>634</v>
      </c>
      <c r="E38" s="29">
        <v>219.0</v>
      </c>
      <c r="F38" s="30" t="s">
        <v>635</v>
      </c>
      <c r="G38" s="29" t="s">
        <v>615</v>
      </c>
      <c r="H38" s="31">
        <v>0.19</v>
      </c>
      <c r="I38" s="29" t="s">
        <v>597</v>
      </c>
      <c r="J38" s="32" t="s">
        <v>598</v>
      </c>
      <c r="K38" s="29" t="s">
        <v>599</v>
      </c>
      <c r="L38" s="29" t="s">
        <v>600</v>
      </c>
      <c r="M38" s="33">
        <v>-52.467</v>
      </c>
      <c r="N38" s="33">
        <v>-22.479</v>
      </c>
      <c r="O38" s="34" t="s">
        <v>641</v>
      </c>
      <c r="P38" s="32" t="s">
        <v>602</v>
      </c>
      <c r="Q38" s="35">
        <v>6.0</v>
      </c>
      <c r="R38" s="35">
        <v>6.0</v>
      </c>
      <c r="S38" s="36">
        <v>0.02</v>
      </c>
      <c r="T38" s="36">
        <v>0.12</v>
      </c>
      <c r="U38" s="36">
        <v>0.036</v>
      </c>
      <c r="V38" s="36">
        <v>0.06</v>
      </c>
      <c r="W38" s="37" t="s">
        <v>603</v>
      </c>
      <c r="X38" s="31">
        <v>2.5</v>
      </c>
      <c r="Y38" s="36">
        <v>-1.790212678509756</v>
      </c>
      <c r="Z38" s="36">
        <v>0.5816666666666666</v>
      </c>
      <c r="AA38" s="29" t="s">
        <v>604</v>
      </c>
      <c r="AB38" s="31">
        <v>18.4511890411</v>
      </c>
      <c r="AC38" s="38">
        <v>154.0</v>
      </c>
    </row>
    <row r="39" ht="14.25" customHeight="1">
      <c r="A39" s="29" t="s">
        <v>592</v>
      </c>
      <c r="B39" s="29">
        <v>116.0</v>
      </c>
      <c r="C39" s="29" t="s">
        <v>608</v>
      </c>
      <c r="D39" s="29" t="s">
        <v>636</v>
      </c>
      <c r="E39" s="29">
        <v>189.0</v>
      </c>
      <c r="F39" s="30" t="s">
        <v>637</v>
      </c>
      <c r="G39" s="29" t="s">
        <v>638</v>
      </c>
      <c r="H39" s="31">
        <v>207.5</v>
      </c>
      <c r="I39" s="29" t="s">
        <v>612</v>
      </c>
      <c r="J39" s="32" t="s">
        <v>598</v>
      </c>
      <c r="K39" s="29" t="s">
        <v>599</v>
      </c>
      <c r="L39" s="29" t="s">
        <v>600</v>
      </c>
      <c r="M39" s="33">
        <v>-52.467</v>
      </c>
      <c r="N39" s="33">
        <v>-22.479</v>
      </c>
      <c r="O39" s="34" t="s">
        <v>641</v>
      </c>
      <c r="P39" s="32" t="s">
        <v>602</v>
      </c>
      <c r="Q39" s="35">
        <v>6.0</v>
      </c>
      <c r="R39" s="35">
        <v>6.0</v>
      </c>
      <c r="S39" s="36">
        <v>0.0</v>
      </c>
      <c r="T39" s="36">
        <v>0.129</v>
      </c>
      <c r="U39" s="36">
        <v>0.0</v>
      </c>
      <c r="V39" s="36">
        <v>0.051</v>
      </c>
      <c r="W39" s="37" t="s">
        <v>603</v>
      </c>
      <c r="X39" s="31">
        <v>2.5</v>
      </c>
      <c r="Y39" s="36">
        <v>-8.262558973010657</v>
      </c>
      <c r="Z39" s="36">
        <v>0.2945608097576675</v>
      </c>
      <c r="AA39" s="29" t="s">
        <v>604</v>
      </c>
      <c r="AB39" s="31">
        <v>18.4511890411</v>
      </c>
      <c r="AC39" s="38">
        <v>154.0</v>
      </c>
    </row>
    <row r="40" ht="14.25" customHeight="1">
      <c r="A40" s="29" t="s">
        <v>592</v>
      </c>
      <c r="B40" s="29">
        <v>116.0</v>
      </c>
      <c r="C40" s="29" t="s">
        <v>608</v>
      </c>
      <c r="D40" s="29" t="s">
        <v>639</v>
      </c>
      <c r="E40" s="29">
        <v>190.0</v>
      </c>
      <c r="F40" s="30" t="s">
        <v>640</v>
      </c>
      <c r="G40" s="29" t="s">
        <v>626</v>
      </c>
      <c r="H40" s="31">
        <v>32.23</v>
      </c>
      <c r="I40" s="29" t="s">
        <v>597</v>
      </c>
      <c r="J40" s="32" t="s">
        <v>598</v>
      </c>
      <c r="K40" s="29" t="s">
        <v>599</v>
      </c>
      <c r="L40" s="29" t="s">
        <v>600</v>
      </c>
      <c r="M40" s="33">
        <v>-52.467</v>
      </c>
      <c r="N40" s="33">
        <v>-22.479</v>
      </c>
      <c r="O40" s="34" t="s">
        <v>641</v>
      </c>
      <c r="P40" s="32" t="s">
        <v>602</v>
      </c>
      <c r="Q40" s="35">
        <v>6.0</v>
      </c>
      <c r="R40" s="35">
        <v>6.0</v>
      </c>
      <c r="S40" s="36">
        <v>0.0</v>
      </c>
      <c r="T40" s="36">
        <v>6.43</v>
      </c>
      <c r="U40" s="36">
        <v>0.0</v>
      </c>
      <c r="V40" s="36">
        <v>3.228571429</v>
      </c>
      <c r="W40" s="37" t="s">
        <v>603</v>
      </c>
      <c r="X40" s="31">
        <v>2.5</v>
      </c>
      <c r="Y40" s="36">
        <v>-8.262558973010657</v>
      </c>
      <c r="Z40" s="36">
        <v>0.21491332239857208</v>
      </c>
      <c r="AA40" s="29" t="s">
        <v>604</v>
      </c>
      <c r="AB40" s="31">
        <v>18.4511890411</v>
      </c>
      <c r="AC40" s="38">
        <v>154.0</v>
      </c>
    </row>
    <row r="41" ht="14.25" customHeight="1">
      <c r="A41" s="29" t="s">
        <v>592</v>
      </c>
      <c r="B41" s="29">
        <v>117.0</v>
      </c>
      <c r="C41" s="29" t="s">
        <v>593</v>
      </c>
      <c r="D41" s="29" t="s">
        <v>594</v>
      </c>
      <c r="E41" s="29">
        <v>67.0</v>
      </c>
      <c r="F41" s="30" t="s">
        <v>595</v>
      </c>
      <c r="G41" s="29" t="s">
        <v>596</v>
      </c>
      <c r="H41" s="31">
        <v>0.4</v>
      </c>
      <c r="I41" s="29" t="s">
        <v>597</v>
      </c>
      <c r="J41" s="32" t="s">
        <v>598</v>
      </c>
      <c r="K41" s="29" t="s">
        <v>599</v>
      </c>
      <c r="L41" s="29" t="s">
        <v>600</v>
      </c>
      <c r="M41" s="33">
        <v>-49.894</v>
      </c>
      <c r="N41" s="33">
        <v>-22.841</v>
      </c>
      <c r="O41" s="34" t="s">
        <v>641</v>
      </c>
      <c r="P41" s="32" t="s">
        <v>602</v>
      </c>
      <c r="Q41" s="35">
        <v>6.0</v>
      </c>
      <c r="R41" s="35">
        <v>6.0</v>
      </c>
      <c r="S41" s="36">
        <v>0.005714286</v>
      </c>
      <c r="T41" s="36">
        <v>1.942857143</v>
      </c>
      <c r="U41" s="36">
        <v>0.005714286</v>
      </c>
      <c r="V41" s="36">
        <v>0.371428571</v>
      </c>
      <c r="W41" s="37" t="s">
        <v>603</v>
      </c>
      <c r="X41" s="31">
        <v>2.5</v>
      </c>
      <c r="Y41" s="36">
        <v>-5.462423448844577</v>
      </c>
      <c r="Z41" s="36">
        <v>0.1727580738028095</v>
      </c>
      <c r="AA41" s="29" t="s">
        <v>604</v>
      </c>
      <c r="AB41" s="31">
        <v>31.9780311584</v>
      </c>
      <c r="AC41" s="38">
        <v>12.0</v>
      </c>
    </row>
    <row r="42" ht="14.25" customHeight="1">
      <c r="A42" s="29" t="s">
        <v>592</v>
      </c>
      <c r="B42" s="29">
        <v>117.0</v>
      </c>
      <c r="C42" s="29" t="s">
        <v>593</v>
      </c>
      <c r="D42" s="29" t="s">
        <v>605</v>
      </c>
      <c r="E42" s="29">
        <v>320.0</v>
      </c>
      <c r="F42" s="30" t="s">
        <v>606</v>
      </c>
      <c r="G42" s="29" t="s">
        <v>607</v>
      </c>
      <c r="H42" s="31">
        <v>0.895</v>
      </c>
      <c r="I42" s="29" t="s">
        <v>597</v>
      </c>
      <c r="J42" s="32" t="s">
        <v>598</v>
      </c>
      <c r="K42" s="29" t="s">
        <v>599</v>
      </c>
      <c r="L42" s="29" t="s">
        <v>600</v>
      </c>
      <c r="M42" s="33">
        <v>-49.894</v>
      </c>
      <c r="N42" s="33">
        <v>-22.841</v>
      </c>
      <c r="O42" s="34" t="s">
        <v>641</v>
      </c>
      <c r="P42" s="32" t="s">
        <v>602</v>
      </c>
      <c r="Q42" s="35">
        <v>6.0</v>
      </c>
      <c r="R42" s="35">
        <v>6.0</v>
      </c>
      <c r="S42" s="36">
        <v>1.215686275</v>
      </c>
      <c r="T42" s="36">
        <v>6.18</v>
      </c>
      <c r="U42" s="36">
        <v>0.392156863</v>
      </c>
      <c r="V42" s="36">
        <v>1.27</v>
      </c>
      <c r="W42" s="37" t="s">
        <v>603</v>
      </c>
      <c r="X42" s="31">
        <v>2.5</v>
      </c>
      <c r="Y42" s="36">
        <v>-1.619412125854008</v>
      </c>
      <c r="Z42" s="36">
        <v>0.024381531289199024</v>
      </c>
      <c r="AA42" s="29" t="s">
        <v>604</v>
      </c>
      <c r="AB42" s="31">
        <v>31.9780311584</v>
      </c>
      <c r="AC42" s="38">
        <v>12.0</v>
      </c>
    </row>
    <row r="43" ht="14.25" customHeight="1">
      <c r="A43" s="29" t="s">
        <v>592</v>
      </c>
      <c r="B43" s="29">
        <v>117.0</v>
      </c>
      <c r="C43" s="29" t="s">
        <v>608</v>
      </c>
      <c r="D43" s="35" t="s">
        <v>609</v>
      </c>
      <c r="E43" s="29">
        <v>288.0</v>
      </c>
      <c r="F43" s="30" t="s">
        <v>610</v>
      </c>
      <c r="G43" s="29" t="s">
        <v>611</v>
      </c>
      <c r="H43" s="31">
        <v>5.188</v>
      </c>
      <c r="I43" s="29" t="s">
        <v>612</v>
      </c>
      <c r="J43" s="32" t="s">
        <v>598</v>
      </c>
      <c r="K43" s="29" t="s">
        <v>599</v>
      </c>
      <c r="L43" s="29" t="s">
        <v>600</v>
      </c>
      <c r="M43" s="33">
        <v>-49.894</v>
      </c>
      <c r="N43" s="33">
        <v>-22.841</v>
      </c>
      <c r="O43" s="34" t="s">
        <v>641</v>
      </c>
      <c r="P43" s="32" t="s">
        <v>602</v>
      </c>
      <c r="Q43" s="35">
        <v>6.0</v>
      </c>
      <c r="R43" s="35">
        <v>6.0</v>
      </c>
      <c r="S43" s="36">
        <v>5.371</v>
      </c>
      <c r="T43" s="36">
        <v>0.343</v>
      </c>
      <c r="U43" s="36">
        <v>1.43</v>
      </c>
      <c r="V43" s="36">
        <v>0.14</v>
      </c>
      <c r="W43" s="37" t="s">
        <v>603</v>
      </c>
      <c r="X43" s="31">
        <v>2.5</v>
      </c>
      <c r="Y43" s="36">
        <v>2.7510554187333844</v>
      </c>
      <c r="Z43" s="36">
        <v>0.039580577216164</v>
      </c>
      <c r="AA43" s="29" t="s">
        <v>604</v>
      </c>
      <c r="AB43" s="31">
        <v>31.9780311584</v>
      </c>
      <c r="AC43" s="38">
        <v>12.0</v>
      </c>
    </row>
    <row r="44" ht="14.25" customHeight="1">
      <c r="A44" s="29" t="s">
        <v>592</v>
      </c>
      <c r="B44" s="29">
        <v>117.0</v>
      </c>
      <c r="C44" s="29" t="s">
        <v>608</v>
      </c>
      <c r="D44" s="29" t="s">
        <v>613</v>
      </c>
      <c r="E44" s="29">
        <v>289.0</v>
      </c>
      <c r="F44" s="30" t="s">
        <v>614</v>
      </c>
      <c r="G44" s="29" t="s">
        <v>615</v>
      </c>
      <c r="H44" s="31">
        <v>2.309</v>
      </c>
      <c r="I44" s="29" t="s">
        <v>616</v>
      </c>
      <c r="J44" s="32" t="s">
        <v>598</v>
      </c>
      <c r="K44" s="29" t="s">
        <v>599</v>
      </c>
      <c r="L44" s="29" t="s">
        <v>600</v>
      </c>
      <c r="M44" s="33">
        <v>-49.894</v>
      </c>
      <c r="N44" s="33">
        <v>-22.841</v>
      </c>
      <c r="O44" s="34" t="s">
        <v>641</v>
      </c>
      <c r="P44" s="32" t="s">
        <v>602</v>
      </c>
      <c r="Q44" s="35">
        <v>6.0</v>
      </c>
      <c r="R44" s="35">
        <v>6.0</v>
      </c>
      <c r="S44" s="36">
        <v>0.114</v>
      </c>
      <c r="T44" s="36">
        <v>1.33</v>
      </c>
      <c r="U44" s="36">
        <v>0.16</v>
      </c>
      <c r="V44" s="36">
        <v>0.23</v>
      </c>
      <c r="W44" s="37" t="s">
        <v>603</v>
      </c>
      <c r="X44" s="31">
        <v>2.5</v>
      </c>
      <c r="Y44" s="36">
        <v>-2.4537303178090206</v>
      </c>
      <c r="Z44" s="36">
        <v>0.33329041065487447</v>
      </c>
      <c r="AA44" s="29" t="s">
        <v>604</v>
      </c>
      <c r="AB44" s="31">
        <v>31.9780311584</v>
      </c>
      <c r="AC44" s="38">
        <v>12.0</v>
      </c>
    </row>
    <row r="45" ht="14.25" customHeight="1">
      <c r="A45" s="29" t="s">
        <v>592</v>
      </c>
      <c r="B45" s="29">
        <v>117.0</v>
      </c>
      <c r="C45" s="29" t="s">
        <v>608</v>
      </c>
      <c r="D45" s="29" t="s">
        <v>617</v>
      </c>
      <c r="E45" s="29">
        <v>75.0</v>
      </c>
      <c r="F45" s="30" t="s">
        <v>618</v>
      </c>
      <c r="G45" s="29" t="s">
        <v>619</v>
      </c>
      <c r="H45" s="31">
        <v>4.2</v>
      </c>
      <c r="I45" s="29" t="s">
        <v>620</v>
      </c>
      <c r="J45" s="32" t="s">
        <v>598</v>
      </c>
      <c r="K45" s="29" t="s">
        <v>599</v>
      </c>
      <c r="L45" s="29" t="s">
        <v>600</v>
      </c>
      <c r="M45" s="33">
        <v>-49.894</v>
      </c>
      <c r="N45" s="33">
        <v>-22.841</v>
      </c>
      <c r="O45" s="34" t="s">
        <v>641</v>
      </c>
      <c r="P45" s="32" t="s">
        <v>602</v>
      </c>
      <c r="Q45" s="35">
        <v>6.0</v>
      </c>
      <c r="R45" s="35">
        <v>6.0</v>
      </c>
      <c r="S45" s="36">
        <v>0.0</v>
      </c>
      <c r="T45" s="36">
        <v>0.0143</v>
      </c>
      <c r="U45" s="36">
        <v>0.0</v>
      </c>
      <c r="V45" s="36">
        <v>0.017</v>
      </c>
      <c r="W45" s="37" t="s">
        <v>603</v>
      </c>
      <c r="X45" s="31">
        <v>2.5</v>
      </c>
      <c r="Y45" s="36">
        <v>-8.262558973010657</v>
      </c>
      <c r="Z45" s="36">
        <v>0.3350878782183748</v>
      </c>
      <c r="AA45" s="29" t="s">
        <v>604</v>
      </c>
      <c r="AB45" s="31">
        <v>31.9780311584</v>
      </c>
      <c r="AC45" s="38">
        <v>12.0</v>
      </c>
    </row>
    <row r="46" ht="14.25" customHeight="1">
      <c r="A46" s="29" t="s">
        <v>592</v>
      </c>
      <c r="B46" s="29">
        <v>117.0</v>
      </c>
      <c r="C46" s="29" t="s">
        <v>608</v>
      </c>
      <c r="D46" s="29" t="s">
        <v>621</v>
      </c>
      <c r="E46" s="29">
        <v>91.0</v>
      </c>
      <c r="F46" s="30" t="s">
        <v>622</v>
      </c>
      <c r="G46" s="29" t="s">
        <v>611</v>
      </c>
      <c r="H46" s="31">
        <v>0.7</v>
      </c>
      <c r="I46" s="29" t="s">
        <v>616</v>
      </c>
      <c r="J46" s="32" t="s">
        <v>598</v>
      </c>
      <c r="K46" s="29" t="s">
        <v>599</v>
      </c>
      <c r="L46" s="29" t="s">
        <v>600</v>
      </c>
      <c r="M46" s="33">
        <v>-49.894</v>
      </c>
      <c r="N46" s="33">
        <v>-22.841</v>
      </c>
      <c r="O46" s="34" t="s">
        <v>641</v>
      </c>
      <c r="P46" s="32" t="s">
        <v>602</v>
      </c>
      <c r="Q46" s="35">
        <v>6.0</v>
      </c>
      <c r="R46" s="35">
        <v>6.0</v>
      </c>
      <c r="S46" s="36">
        <v>3.66</v>
      </c>
      <c r="T46" s="36">
        <v>2.66</v>
      </c>
      <c r="U46" s="36">
        <v>1.9131</v>
      </c>
      <c r="V46" s="36">
        <v>1.631</v>
      </c>
      <c r="W46" s="37" t="s">
        <v>623</v>
      </c>
      <c r="X46" s="31">
        <v>2.5</v>
      </c>
      <c r="Y46" s="36">
        <v>0.3193245137391516</v>
      </c>
      <c r="Z46" s="36">
        <v>0.1081971725356298</v>
      </c>
      <c r="AA46" s="29" t="s">
        <v>604</v>
      </c>
      <c r="AB46" s="31">
        <v>31.9780311584</v>
      </c>
      <c r="AC46" s="38">
        <v>12.0</v>
      </c>
    </row>
    <row r="47" ht="14.25" customHeight="1">
      <c r="A47" s="29" t="s">
        <v>592</v>
      </c>
      <c r="B47" s="29">
        <v>117.0</v>
      </c>
      <c r="C47" s="29" t="s">
        <v>608</v>
      </c>
      <c r="D47" s="29" t="s">
        <v>624</v>
      </c>
      <c r="E47" s="29">
        <v>101.0</v>
      </c>
      <c r="F47" s="30" t="s">
        <v>625</v>
      </c>
      <c r="G47" s="29" t="s">
        <v>626</v>
      </c>
      <c r="H47" s="31">
        <v>18.59</v>
      </c>
      <c r="I47" s="29" t="s">
        <v>612</v>
      </c>
      <c r="J47" s="32" t="s">
        <v>598</v>
      </c>
      <c r="K47" s="29" t="s">
        <v>599</v>
      </c>
      <c r="L47" s="29" t="s">
        <v>600</v>
      </c>
      <c r="M47" s="33">
        <v>-49.894</v>
      </c>
      <c r="N47" s="33">
        <v>-22.841</v>
      </c>
      <c r="O47" s="34" t="s">
        <v>641</v>
      </c>
      <c r="P47" s="32" t="s">
        <v>602</v>
      </c>
      <c r="Q47" s="35">
        <v>6.0</v>
      </c>
      <c r="R47" s="35">
        <v>6.0</v>
      </c>
      <c r="S47" s="36">
        <v>0.0</v>
      </c>
      <c r="T47" s="36">
        <v>0.1</v>
      </c>
      <c r="U47" s="36">
        <v>0.0</v>
      </c>
      <c r="V47" s="36">
        <v>0.13</v>
      </c>
      <c r="W47" s="37" t="s">
        <v>603</v>
      </c>
      <c r="X47" s="31">
        <v>2.5</v>
      </c>
      <c r="Y47" s="36">
        <v>-8.262558973010657</v>
      </c>
      <c r="Z47" s="36">
        <v>0.35041666666666665</v>
      </c>
      <c r="AA47" s="29" t="s">
        <v>604</v>
      </c>
      <c r="AB47" s="31">
        <v>31.9780311584</v>
      </c>
      <c r="AC47" s="38">
        <v>12.0</v>
      </c>
    </row>
    <row r="48" ht="14.25" customHeight="1">
      <c r="A48" s="29" t="s">
        <v>592</v>
      </c>
      <c r="B48" s="29">
        <v>117.0</v>
      </c>
      <c r="C48" s="29" t="s">
        <v>608</v>
      </c>
      <c r="D48" s="35" t="s">
        <v>627</v>
      </c>
      <c r="E48" s="29">
        <v>111.0</v>
      </c>
      <c r="F48" s="39" t="s">
        <v>628</v>
      </c>
      <c r="G48" s="29" t="s">
        <v>629</v>
      </c>
      <c r="H48" s="31">
        <v>3.79</v>
      </c>
      <c r="I48" s="29" t="s">
        <v>597</v>
      </c>
      <c r="J48" s="32" t="s">
        <v>598</v>
      </c>
      <c r="K48" s="29" t="s">
        <v>599</v>
      </c>
      <c r="L48" s="29" t="s">
        <v>600</v>
      </c>
      <c r="M48" s="33">
        <v>-49.894</v>
      </c>
      <c r="N48" s="33">
        <v>-22.841</v>
      </c>
      <c r="O48" s="34" t="s">
        <v>641</v>
      </c>
      <c r="P48" s="32" t="s">
        <v>602</v>
      </c>
      <c r="Q48" s="35">
        <v>6.0</v>
      </c>
      <c r="R48" s="35">
        <v>6.0</v>
      </c>
      <c r="S48" s="36">
        <v>0.679</v>
      </c>
      <c r="T48" s="36">
        <v>0.279</v>
      </c>
      <c r="U48" s="36">
        <v>0.82</v>
      </c>
      <c r="V48" s="36">
        <v>0.22</v>
      </c>
      <c r="W48" s="37" t="s">
        <v>603</v>
      </c>
      <c r="X48" s="31">
        <v>2.5</v>
      </c>
      <c r="Y48" s="36">
        <v>0.8895153510525133</v>
      </c>
      <c r="Z48" s="36">
        <v>0.34670315269290397</v>
      </c>
      <c r="AA48" s="29" t="s">
        <v>604</v>
      </c>
      <c r="AB48" s="31">
        <v>31.9780311584</v>
      </c>
      <c r="AC48" s="38">
        <v>12.0</v>
      </c>
    </row>
    <row r="49" ht="14.25" customHeight="1">
      <c r="A49" s="29" t="s">
        <v>592</v>
      </c>
      <c r="B49" s="29">
        <v>117.0</v>
      </c>
      <c r="C49" s="29" t="s">
        <v>608</v>
      </c>
      <c r="D49" s="29" t="s">
        <v>630</v>
      </c>
      <c r="E49" s="29">
        <v>129.0</v>
      </c>
      <c r="F49" s="30" t="s">
        <v>631</v>
      </c>
      <c r="G49" s="29" t="s">
        <v>626</v>
      </c>
      <c r="H49" s="31">
        <v>21.27</v>
      </c>
      <c r="I49" s="29" t="s">
        <v>612</v>
      </c>
      <c r="J49" s="32" t="s">
        <v>598</v>
      </c>
      <c r="K49" s="29" t="s">
        <v>599</v>
      </c>
      <c r="L49" s="29" t="s">
        <v>600</v>
      </c>
      <c r="M49" s="33">
        <v>-49.894</v>
      </c>
      <c r="N49" s="33">
        <v>-22.841</v>
      </c>
      <c r="O49" s="34" t="s">
        <v>641</v>
      </c>
      <c r="P49" s="32" t="s">
        <v>602</v>
      </c>
      <c r="Q49" s="35">
        <v>6.0</v>
      </c>
      <c r="R49" s="35">
        <v>6.0</v>
      </c>
      <c r="S49" s="36">
        <v>3.86</v>
      </c>
      <c r="T49" s="36">
        <v>4.26</v>
      </c>
      <c r="U49" s="36">
        <v>1.09</v>
      </c>
      <c r="V49" s="36">
        <v>1.5</v>
      </c>
      <c r="W49" s="37" t="s">
        <v>603</v>
      </c>
      <c r="X49" s="31">
        <v>2.5</v>
      </c>
      <c r="Y49" s="36">
        <v>-0.09831728385999446</v>
      </c>
      <c r="Z49" s="36">
        <v>0.03395395539247948</v>
      </c>
      <c r="AA49" s="29" t="s">
        <v>604</v>
      </c>
      <c r="AB49" s="31">
        <v>31.9780311584</v>
      </c>
      <c r="AC49" s="38">
        <v>12.0</v>
      </c>
    </row>
    <row r="50" ht="14.25" customHeight="1">
      <c r="A50" s="29" t="s">
        <v>592</v>
      </c>
      <c r="B50" s="29">
        <v>117.0</v>
      </c>
      <c r="C50" s="29" t="s">
        <v>608</v>
      </c>
      <c r="D50" s="29" t="s">
        <v>632</v>
      </c>
      <c r="E50" s="29">
        <v>173.0</v>
      </c>
      <c r="F50" s="30" t="s">
        <v>633</v>
      </c>
      <c r="G50" s="29" t="s">
        <v>611</v>
      </c>
      <c r="H50" s="31">
        <v>2.5</v>
      </c>
      <c r="I50" s="29" t="s">
        <v>616</v>
      </c>
      <c r="J50" s="32" t="s">
        <v>598</v>
      </c>
      <c r="K50" s="29" t="s">
        <v>599</v>
      </c>
      <c r="L50" s="29" t="s">
        <v>600</v>
      </c>
      <c r="M50" s="33">
        <v>-49.894</v>
      </c>
      <c r="N50" s="33">
        <v>-22.841</v>
      </c>
      <c r="O50" s="34" t="s">
        <v>641</v>
      </c>
      <c r="P50" s="32" t="s">
        <v>602</v>
      </c>
      <c r="Q50" s="35">
        <v>6.0</v>
      </c>
      <c r="R50" s="35">
        <v>6.0</v>
      </c>
      <c r="S50" s="36">
        <v>8.57</v>
      </c>
      <c r="T50" s="36">
        <v>7.314</v>
      </c>
      <c r="U50" s="36">
        <v>1.71</v>
      </c>
      <c r="V50" s="36">
        <v>1.43</v>
      </c>
      <c r="W50" s="37" t="s">
        <v>603</v>
      </c>
      <c r="X50" s="31">
        <v>2.5</v>
      </c>
      <c r="Y50" s="36">
        <v>0.15869757498157094</v>
      </c>
      <c r="Z50" s="36">
        <v>0.013006635197770806</v>
      </c>
      <c r="AA50" s="29" t="s">
        <v>604</v>
      </c>
      <c r="AB50" s="31">
        <v>31.9780311584</v>
      </c>
      <c r="AC50" s="38">
        <v>12.0</v>
      </c>
    </row>
    <row r="51" ht="14.25" customHeight="1">
      <c r="A51" s="29" t="s">
        <v>592</v>
      </c>
      <c r="B51" s="29">
        <v>117.0</v>
      </c>
      <c r="C51" s="29" t="s">
        <v>608</v>
      </c>
      <c r="D51" s="35" t="s">
        <v>634</v>
      </c>
      <c r="E51" s="29">
        <v>219.0</v>
      </c>
      <c r="F51" s="30" t="s">
        <v>635</v>
      </c>
      <c r="G51" s="29" t="s">
        <v>615</v>
      </c>
      <c r="H51" s="31">
        <v>0.19</v>
      </c>
      <c r="I51" s="29" t="s">
        <v>597</v>
      </c>
      <c r="J51" s="32" t="s">
        <v>598</v>
      </c>
      <c r="K51" s="29" t="s">
        <v>599</v>
      </c>
      <c r="L51" s="29" t="s">
        <v>600</v>
      </c>
      <c r="M51" s="33">
        <v>-49.894</v>
      </c>
      <c r="N51" s="33">
        <v>-22.841</v>
      </c>
      <c r="O51" s="34" t="s">
        <v>641</v>
      </c>
      <c r="P51" s="32" t="s">
        <v>602</v>
      </c>
      <c r="Q51" s="35">
        <v>6.0</v>
      </c>
      <c r="R51" s="35">
        <v>6.0</v>
      </c>
      <c r="S51" s="36">
        <v>0.32</v>
      </c>
      <c r="T51" s="36">
        <v>0.12</v>
      </c>
      <c r="U51" s="36">
        <v>0.23</v>
      </c>
      <c r="V51" s="36">
        <v>0.06</v>
      </c>
      <c r="W51" s="37" t="s">
        <v>603</v>
      </c>
      <c r="X51" s="31">
        <v>2.5</v>
      </c>
      <c r="Y51" s="36">
        <v>0.9809259975578282</v>
      </c>
      <c r="Z51" s="36">
        <v>0.12776692708333331</v>
      </c>
      <c r="AA51" s="29" t="s">
        <v>604</v>
      </c>
      <c r="AB51" s="31">
        <v>31.9780311584</v>
      </c>
      <c r="AC51" s="38">
        <v>12.0</v>
      </c>
    </row>
    <row r="52" ht="14.25" customHeight="1">
      <c r="A52" s="29" t="s">
        <v>592</v>
      </c>
      <c r="B52" s="29">
        <v>117.0</v>
      </c>
      <c r="C52" s="29" t="s">
        <v>608</v>
      </c>
      <c r="D52" s="29" t="s">
        <v>636</v>
      </c>
      <c r="E52" s="29">
        <v>189.0</v>
      </c>
      <c r="F52" s="30" t="s">
        <v>637</v>
      </c>
      <c r="G52" s="29" t="s">
        <v>638</v>
      </c>
      <c r="H52" s="31">
        <v>207.5</v>
      </c>
      <c r="I52" s="29" t="s">
        <v>612</v>
      </c>
      <c r="J52" s="32" t="s">
        <v>598</v>
      </c>
      <c r="K52" s="29" t="s">
        <v>599</v>
      </c>
      <c r="L52" s="29" t="s">
        <v>600</v>
      </c>
      <c r="M52" s="33">
        <v>-49.894</v>
      </c>
      <c r="N52" s="33">
        <v>-22.841</v>
      </c>
      <c r="O52" s="34" t="s">
        <v>641</v>
      </c>
      <c r="P52" s="32" t="s">
        <v>602</v>
      </c>
      <c r="Q52" s="35">
        <v>6.0</v>
      </c>
      <c r="R52" s="35">
        <v>6.0</v>
      </c>
      <c r="S52" s="36">
        <v>0.0</v>
      </c>
      <c r="T52" s="36">
        <v>0.129</v>
      </c>
      <c r="U52" s="36">
        <v>0.0</v>
      </c>
      <c r="V52" s="36">
        <v>0.051</v>
      </c>
      <c r="W52" s="37" t="s">
        <v>603</v>
      </c>
      <c r="X52" s="31">
        <v>2.5</v>
      </c>
      <c r="Y52" s="36">
        <v>-8.262558973010657</v>
      </c>
      <c r="Z52" s="36">
        <v>0.2945608097576675</v>
      </c>
      <c r="AA52" s="29" t="s">
        <v>604</v>
      </c>
      <c r="AB52" s="31">
        <v>31.9780311584</v>
      </c>
      <c r="AC52" s="38">
        <v>12.0</v>
      </c>
    </row>
    <row r="53" ht="14.25" customHeight="1">
      <c r="A53" s="29" t="s">
        <v>592</v>
      </c>
      <c r="B53" s="29">
        <v>117.0</v>
      </c>
      <c r="C53" s="29" t="s">
        <v>608</v>
      </c>
      <c r="D53" s="29" t="s">
        <v>639</v>
      </c>
      <c r="E53" s="29">
        <v>190.0</v>
      </c>
      <c r="F53" s="30" t="s">
        <v>640</v>
      </c>
      <c r="G53" s="29" t="s">
        <v>626</v>
      </c>
      <c r="H53" s="31">
        <v>32.23</v>
      </c>
      <c r="I53" s="29" t="s">
        <v>597</v>
      </c>
      <c r="J53" s="32" t="s">
        <v>598</v>
      </c>
      <c r="K53" s="29" t="s">
        <v>599</v>
      </c>
      <c r="L53" s="29" t="s">
        <v>600</v>
      </c>
      <c r="M53" s="33">
        <v>-49.894</v>
      </c>
      <c r="N53" s="33">
        <v>-22.841</v>
      </c>
      <c r="O53" s="34" t="s">
        <v>641</v>
      </c>
      <c r="P53" s="32" t="s">
        <v>602</v>
      </c>
      <c r="Q53" s="35">
        <v>6.0</v>
      </c>
      <c r="R53" s="35">
        <v>6.0</v>
      </c>
      <c r="S53" s="36">
        <v>0.0</v>
      </c>
      <c r="T53" s="36">
        <v>6.43</v>
      </c>
      <c r="U53" s="36">
        <v>0.0</v>
      </c>
      <c r="V53" s="36">
        <v>3.228571429</v>
      </c>
      <c r="W53" s="37" t="s">
        <v>603</v>
      </c>
      <c r="X53" s="31">
        <v>2.5</v>
      </c>
      <c r="Y53" s="36">
        <v>-8.262558973010657</v>
      </c>
      <c r="Z53" s="36">
        <v>0.21491332239857208</v>
      </c>
      <c r="AA53" s="29" t="s">
        <v>604</v>
      </c>
      <c r="AB53" s="31">
        <v>31.9780311584</v>
      </c>
      <c r="AC53" s="38">
        <v>12.0</v>
      </c>
    </row>
    <row r="54" ht="14.25" customHeight="1">
      <c r="A54" s="35" t="s">
        <v>165</v>
      </c>
      <c r="B54" s="35">
        <v>155.0</v>
      </c>
      <c r="C54" s="35" t="s">
        <v>608</v>
      </c>
      <c r="D54" s="35" t="s">
        <v>609</v>
      </c>
      <c r="E54" s="29">
        <v>288.0</v>
      </c>
      <c r="F54" s="30" t="s">
        <v>610</v>
      </c>
      <c r="G54" s="29" t="s">
        <v>611</v>
      </c>
      <c r="H54" s="31">
        <v>5.188</v>
      </c>
      <c r="I54" s="29" t="s">
        <v>612</v>
      </c>
      <c r="J54" s="35" t="s">
        <v>642</v>
      </c>
      <c r="K54" s="35" t="s">
        <v>599</v>
      </c>
      <c r="L54" s="35" t="s">
        <v>600</v>
      </c>
      <c r="M54" s="35">
        <v>-40.116165</v>
      </c>
      <c r="N54" s="35">
        <v>-19.007167</v>
      </c>
      <c r="O54" s="35" t="s">
        <v>601</v>
      </c>
      <c r="P54" s="32" t="s">
        <v>643</v>
      </c>
      <c r="Q54" s="35">
        <v>32.0</v>
      </c>
      <c r="R54" s="35">
        <v>30.0</v>
      </c>
      <c r="S54" s="36">
        <v>0.0</v>
      </c>
      <c r="T54" s="36">
        <v>0.15</v>
      </c>
      <c r="U54" s="36">
        <f t="shared" ref="U54:V54" si="2">SQRT(S54)</f>
        <v>0</v>
      </c>
      <c r="V54" s="36">
        <f t="shared" si="2"/>
        <v>0.3872983346</v>
      </c>
      <c r="W54" s="35" t="s">
        <v>644</v>
      </c>
      <c r="X54" s="31">
        <v>6.8979</v>
      </c>
      <c r="Y54" s="36">
        <v>-8.262558973010657</v>
      </c>
      <c r="Z54" s="36">
        <v>0.09336426703122222</v>
      </c>
      <c r="AA54" s="35" t="s">
        <v>645</v>
      </c>
      <c r="AB54" s="35">
        <v>28.88</v>
      </c>
      <c r="AC54" s="35">
        <v>173.3</v>
      </c>
    </row>
    <row r="55" ht="14.25" customHeight="1">
      <c r="A55" s="35" t="s">
        <v>165</v>
      </c>
      <c r="B55" s="35">
        <v>155.0</v>
      </c>
      <c r="C55" s="35" t="s">
        <v>608</v>
      </c>
      <c r="D55" s="35" t="s">
        <v>646</v>
      </c>
      <c r="E55" s="35">
        <v>341.0</v>
      </c>
      <c r="F55" s="39" t="s">
        <v>647</v>
      </c>
      <c r="G55" s="35" t="s">
        <v>611</v>
      </c>
      <c r="H55" s="31">
        <v>1.34999</v>
      </c>
      <c r="I55" s="29" t="s">
        <v>616</v>
      </c>
      <c r="J55" s="35" t="s">
        <v>642</v>
      </c>
      <c r="K55" s="35" t="s">
        <v>599</v>
      </c>
      <c r="L55" s="35" t="s">
        <v>600</v>
      </c>
      <c r="M55" s="35">
        <v>-40.116165</v>
      </c>
      <c r="N55" s="35">
        <v>-19.007167</v>
      </c>
      <c r="O55" s="35" t="s">
        <v>601</v>
      </c>
      <c r="P55" s="32" t="s">
        <v>643</v>
      </c>
      <c r="Q55" s="35">
        <v>32.0</v>
      </c>
      <c r="R55" s="35">
        <v>30.0</v>
      </c>
      <c r="S55" s="36">
        <v>1.66</v>
      </c>
      <c r="T55" s="36">
        <v>1.23</v>
      </c>
      <c r="U55" s="36">
        <f t="shared" ref="U55:V55" si="3">SQRT(S55)</f>
        <v>1.288409873</v>
      </c>
      <c r="V55" s="36">
        <f t="shared" si="3"/>
        <v>1.109053651</v>
      </c>
      <c r="W55" s="35" t="s">
        <v>644</v>
      </c>
      <c r="X55" s="31">
        <v>6.8979</v>
      </c>
      <c r="Y55" s="36">
        <v>0.299994581859377</v>
      </c>
      <c r="Z55" s="36">
        <v>0.0459255722075293</v>
      </c>
      <c r="AA55" s="35" t="s">
        <v>645</v>
      </c>
      <c r="AB55" s="35">
        <v>28.88</v>
      </c>
      <c r="AC55" s="35">
        <v>173.3</v>
      </c>
    </row>
    <row r="56" ht="14.25" customHeight="1">
      <c r="A56" s="35" t="s">
        <v>165</v>
      </c>
      <c r="B56" s="35">
        <v>155.0</v>
      </c>
      <c r="C56" s="35" t="s">
        <v>608</v>
      </c>
      <c r="D56" s="35" t="s">
        <v>648</v>
      </c>
      <c r="E56" s="35">
        <v>343.0</v>
      </c>
      <c r="F56" s="39" t="s">
        <v>649</v>
      </c>
      <c r="G56" s="35" t="s">
        <v>611</v>
      </c>
      <c r="H56" s="31">
        <v>0.342</v>
      </c>
      <c r="I56" s="29" t="s">
        <v>616</v>
      </c>
      <c r="J56" s="35" t="s">
        <v>642</v>
      </c>
      <c r="K56" s="35" t="s">
        <v>599</v>
      </c>
      <c r="L56" s="35" t="s">
        <v>600</v>
      </c>
      <c r="M56" s="35">
        <v>-40.116165</v>
      </c>
      <c r="N56" s="35">
        <v>-19.007167</v>
      </c>
      <c r="O56" s="35" t="s">
        <v>601</v>
      </c>
      <c r="P56" s="32" t="s">
        <v>643</v>
      </c>
      <c r="Q56" s="35">
        <v>32.0</v>
      </c>
      <c r="R56" s="35">
        <v>30.0</v>
      </c>
      <c r="S56" s="36">
        <v>1.81</v>
      </c>
      <c r="T56" s="36">
        <v>2.16</v>
      </c>
      <c r="U56" s="36">
        <f t="shared" ref="U56:V56" si="4">SQRT(S56)</f>
        <v>1.345362405</v>
      </c>
      <c r="V56" s="36">
        <f t="shared" si="4"/>
        <v>1.469693846</v>
      </c>
      <c r="W56" s="35" t="s">
        <v>644</v>
      </c>
      <c r="X56" s="31">
        <v>6.8979</v>
      </c>
      <c r="Y56" s="36">
        <v>-0.17647353676616134</v>
      </c>
      <c r="Z56" s="36">
        <v>0.03269729213559784</v>
      </c>
      <c r="AA56" s="35" t="s">
        <v>645</v>
      </c>
      <c r="AB56" s="35">
        <v>28.88</v>
      </c>
      <c r="AC56" s="35">
        <v>173.3</v>
      </c>
    </row>
    <row r="57" ht="14.25" customHeight="1">
      <c r="A57" s="35" t="s">
        <v>165</v>
      </c>
      <c r="B57" s="35">
        <v>155.0</v>
      </c>
      <c r="C57" s="35" t="s">
        <v>608</v>
      </c>
      <c r="D57" s="29" t="s">
        <v>650</v>
      </c>
      <c r="E57" s="29">
        <v>70.0</v>
      </c>
      <c r="F57" s="30" t="s">
        <v>651</v>
      </c>
      <c r="G57" s="29" t="s">
        <v>615</v>
      </c>
      <c r="H57" s="31">
        <v>8.17</v>
      </c>
      <c r="I57" s="29" t="s">
        <v>616</v>
      </c>
      <c r="J57" s="35" t="s">
        <v>642</v>
      </c>
      <c r="K57" s="35" t="s">
        <v>599</v>
      </c>
      <c r="L57" s="35" t="s">
        <v>600</v>
      </c>
      <c r="M57" s="35">
        <v>-40.116165</v>
      </c>
      <c r="N57" s="35">
        <v>-19.007167</v>
      </c>
      <c r="O57" s="35" t="s">
        <v>601</v>
      </c>
      <c r="P57" s="32" t="s">
        <v>643</v>
      </c>
      <c r="Q57" s="35">
        <v>32.0</v>
      </c>
      <c r="R57" s="35">
        <v>30.0</v>
      </c>
      <c r="S57" s="36">
        <v>0.0</v>
      </c>
      <c r="T57" s="36">
        <v>1.32</v>
      </c>
      <c r="U57" s="36">
        <f t="shared" ref="U57:V57" si="5">SQRT(S57)</f>
        <v>0</v>
      </c>
      <c r="V57" s="36">
        <f t="shared" si="5"/>
        <v>1.148912529</v>
      </c>
      <c r="W57" s="35" t="s">
        <v>644</v>
      </c>
      <c r="X57" s="31">
        <v>6.8979</v>
      </c>
      <c r="Y57" s="36">
        <v>-8.262558973010657</v>
      </c>
      <c r="Z57" s="36">
        <v>0.05861095207208877</v>
      </c>
      <c r="AA57" s="35" t="s">
        <v>645</v>
      </c>
      <c r="AB57" s="35">
        <v>28.88</v>
      </c>
      <c r="AC57" s="35">
        <v>173.3</v>
      </c>
    </row>
    <row r="58" ht="14.25" customHeight="1">
      <c r="A58" s="35" t="s">
        <v>165</v>
      </c>
      <c r="B58" s="35">
        <v>155.0</v>
      </c>
      <c r="C58" s="35" t="s">
        <v>608</v>
      </c>
      <c r="D58" s="29" t="s">
        <v>652</v>
      </c>
      <c r="E58" s="29">
        <v>72.0</v>
      </c>
      <c r="F58" s="30" t="s">
        <v>653</v>
      </c>
      <c r="G58" s="29" t="s">
        <v>615</v>
      </c>
      <c r="H58" s="31">
        <v>3.02</v>
      </c>
      <c r="I58" s="29" t="s">
        <v>616</v>
      </c>
      <c r="J58" s="35" t="s">
        <v>642</v>
      </c>
      <c r="K58" s="35" t="s">
        <v>599</v>
      </c>
      <c r="L58" s="35" t="s">
        <v>600</v>
      </c>
      <c r="M58" s="35">
        <v>-40.116165</v>
      </c>
      <c r="N58" s="35">
        <v>-19.007167</v>
      </c>
      <c r="O58" s="35" t="s">
        <v>601</v>
      </c>
      <c r="P58" s="32" t="s">
        <v>643</v>
      </c>
      <c r="Q58" s="35">
        <v>32.0</v>
      </c>
      <c r="R58" s="35">
        <v>30.0</v>
      </c>
      <c r="S58" s="36">
        <v>1.97</v>
      </c>
      <c r="T58" s="36">
        <v>6.01</v>
      </c>
      <c r="U58" s="36">
        <f t="shared" ref="U58:V58" si="6">SQRT(S58)</f>
        <v>1.403566885</v>
      </c>
      <c r="V58" s="36">
        <f t="shared" si="6"/>
        <v>2.451530134</v>
      </c>
      <c r="W58" s="35" t="s">
        <v>644</v>
      </c>
      <c r="X58" s="31">
        <v>6.8979</v>
      </c>
      <c r="Y58" s="36">
        <v>-1.114604425240251</v>
      </c>
      <c r="Z58" s="36">
        <v>0.02140925586515424</v>
      </c>
      <c r="AA58" s="35" t="s">
        <v>645</v>
      </c>
      <c r="AB58" s="35">
        <v>28.88</v>
      </c>
      <c r="AC58" s="35">
        <v>173.3</v>
      </c>
    </row>
    <row r="59" ht="14.25" customHeight="1">
      <c r="A59" s="35" t="s">
        <v>165</v>
      </c>
      <c r="B59" s="35">
        <v>155.0</v>
      </c>
      <c r="C59" s="35" t="s">
        <v>608</v>
      </c>
      <c r="D59" s="29" t="s">
        <v>617</v>
      </c>
      <c r="E59" s="29">
        <v>75.0</v>
      </c>
      <c r="F59" s="30" t="s">
        <v>618</v>
      </c>
      <c r="G59" s="29" t="s">
        <v>619</v>
      </c>
      <c r="H59" s="31">
        <v>4.2</v>
      </c>
      <c r="I59" s="29" t="s">
        <v>620</v>
      </c>
      <c r="J59" s="35" t="s">
        <v>642</v>
      </c>
      <c r="K59" s="35" t="s">
        <v>599</v>
      </c>
      <c r="L59" s="35" t="s">
        <v>600</v>
      </c>
      <c r="M59" s="35">
        <v>-40.116165</v>
      </c>
      <c r="N59" s="35">
        <v>-19.007167</v>
      </c>
      <c r="O59" s="35" t="s">
        <v>601</v>
      </c>
      <c r="P59" s="32" t="s">
        <v>643</v>
      </c>
      <c r="Q59" s="35">
        <v>32.0</v>
      </c>
      <c r="R59" s="35">
        <v>30.0</v>
      </c>
      <c r="S59" s="36">
        <v>0.12</v>
      </c>
      <c r="T59" s="36">
        <v>0.12</v>
      </c>
      <c r="U59" s="36">
        <f t="shared" ref="U59:V59" si="7">SQRT(S59)</f>
        <v>0.3464101615</v>
      </c>
      <c r="V59" s="36">
        <f t="shared" si="7"/>
        <v>0.3464101615</v>
      </c>
      <c r="W59" s="35" t="s">
        <v>644</v>
      </c>
      <c r="X59" s="31">
        <v>6.8979</v>
      </c>
      <c r="Y59" s="36">
        <v>2.5796466027220563E-4</v>
      </c>
      <c r="Z59" s="36">
        <v>0.5381944444444444</v>
      </c>
      <c r="AA59" s="35" t="s">
        <v>645</v>
      </c>
      <c r="AB59" s="35">
        <v>28.88</v>
      </c>
      <c r="AC59" s="35">
        <v>173.3</v>
      </c>
    </row>
    <row r="60" ht="14.25" customHeight="1">
      <c r="A60" s="35" t="s">
        <v>165</v>
      </c>
      <c r="B60" s="35">
        <v>155.0</v>
      </c>
      <c r="C60" s="35" t="s">
        <v>608</v>
      </c>
      <c r="D60" s="35" t="s">
        <v>654</v>
      </c>
      <c r="E60" s="35">
        <v>350.0</v>
      </c>
      <c r="F60" s="39" t="s">
        <v>655</v>
      </c>
      <c r="G60" s="35" t="s">
        <v>656</v>
      </c>
      <c r="H60" s="31">
        <v>1.16399</v>
      </c>
      <c r="I60" s="35" t="s">
        <v>657</v>
      </c>
      <c r="J60" s="35" t="s">
        <v>642</v>
      </c>
      <c r="K60" s="35" t="s">
        <v>599</v>
      </c>
      <c r="L60" s="35" t="s">
        <v>600</v>
      </c>
      <c r="M60" s="35">
        <v>-40.116165</v>
      </c>
      <c r="N60" s="35">
        <v>-19.007167</v>
      </c>
      <c r="O60" s="35" t="s">
        <v>601</v>
      </c>
      <c r="P60" s="32" t="s">
        <v>643</v>
      </c>
      <c r="Q60" s="35">
        <v>32.0</v>
      </c>
      <c r="R60" s="35">
        <v>30.0</v>
      </c>
      <c r="S60" s="36">
        <v>1.14</v>
      </c>
      <c r="T60" s="36">
        <v>0.66</v>
      </c>
      <c r="U60" s="36">
        <f t="shared" ref="U60:V60" si="8">SQRT(S60)</f>
        <v>1.067707825</v>
      </c>
      <c r="V60" s="36">
        <f t="shared" si="8"/>
        <v>0.8124038405</v>
      </c>
      <c r="W60" s="35" t="s">
        <v>644</v>
      </c>
      <c r="X60" s="31">
        <v>6.8979</v>
      </c>
      <c r="Y60" s="36">
        <v>0.5466930624400111</v>
      </c>
      <c r="Z60" s="36">
        <v>0.07791733120680489</v>
      </c>
      <c r="AA60" s="35" t="s">
        <v>645</v>
      </c>
      <c r="AB60" s="35">
        <v>28.88</v>
      </c>
      <c r="AC60" s="35">
        <v>173.3</v>
      </c>
    </row>
    <row r="61" ht="14.25" customHeight="1">
      <c r="A61" s="35" t="s">
        <v>165</v>
      </c>
      <c r="B61" s="35">
        <v>155.0</v>
      </c>
      <c r="C61" s="35" t="s">
        <v>608</v>
      </c>
      <c r="D61" s="29" t="s">
        <v>624</v>
      </c>
      <c r="E61" s="29">
        <v>101.0</v>
      </c>
      <c r="F61" s="30" t="s">
        <v>625</v>
      </c>
      <c r="G61" s="29" t="s">
        <v>626</v>
      </c>
      <c r="H61" s="31">
        <v>18.59</v>
      </c>
      <c r="I61" s="29" t="s">
        <v>612</v>
      </c>
      <c r="J61" s="35" t="s">
        <v>642</v>
      </c>
      <c r="K61" s="35" t="s">
        <v>599</v>
      </c>
      <c r="L61" s="35" t="s">
        <v>600</v>
      </c>
      <c r="M61" s="35">
        <v>-40.116165</v>
      </c>
      <c r="N61" s="35">
        <v>-19.007167</v>
      </c>
      <c r="O61" s="35" t="s">
        <v>601</v>
      </c>
      <c r="P61" s="32" t="s">
        <v>643</v>
      </c>
      <c r="Q61" s="35">
        <v>32.0</v>
      </c>
      <c r="R61" s="35">
        <v>30.0</v>
      </c>
      <c r="S61" s="36">
        <v>0.6</v>
      </c>
      <c r="T61" s="36">
        <v>2.5</v>
      </c>
      <c r="U61" s="36">
        <f t="shared" ref="U61:V61" si="9">SQRT(S61)</f>
        <v>0.7745966692</v>
      </c>
      <c r="V61" s="36">
        <f t="shared" si="9"/>
        <v>1.58113883</v>
      </c>
      <c r="W61" s="35" t="s">
        <v>644</v>
      </c>
      <c r="X61" s="31">
        <v>6.8979</v>
      </c>
      <c r="Y61" s="36">
        <v>-1.4260419416295766</v>
      </c>
      <c r="Z61" s="36">
        <v>0.06541666666666668</v>
      </c>
      <c r="AA61" s="35" t="s">
        <v>645</v>
      </c>
      <c r="AB61" s="35">
        <v>28.88</v>
      </c>
      <c r="AC61" s="35">
        <v>173.3</v>
      </c>
    </row>
    <row r="62" ht="14.25" customHeight="1">
      <c r="A62" s="35" t="s">
        <v>165</v>
      </c>
      <c r="B62" s="35">
        <v>155.0</v>
      </c>
      <c r="C62" s="35" t="s">
        <v>608</v>
      </c>
      <c r="D62" s="35" t="s">
        <v>627</v>
      </c>
      <c r="E62" s="29">
        <v>111.0</v>
      </c>
      <c r="F62" s="39" t="s">
        <v>628</v>
      </c>
      <c r="G62" s="29" t="s">
        <v>629</v>
      </c>
      <c r="H62" s="31">
        <v>3.79</v>
      </c>
      <c r="I62" s="29" t="s">
        <v>597</v>
      </c>
      <c r="J62" s="35" t="s">
        <v>642</v>
      </c>
      <c r="K62" s="35" t="s">
        <v>599</v>
      </c>
      <c r="L62" s="35" t="s">
        <v>600</v>
      </c>
      <c r="M62" s="35">
        <v>-40.116165</v>
      </c>
      <c r="N62" s="35">
        <v>-19.007167</v>
      </c>
      <c r="O62" s="35" t="s">
        <v>601</v>
      </c>
      <c r="P62" s="32" t="s">
        <v>643</v>
      </c>
      <c r="Q62" s="35">
        <v>32.0</v>
      </c>
      <c r="R62" s="35">
        <v>30.0</v>
      </c>
      <c r="S62" s="36">
        <v>0.3</v>
      </c>
      <c r="T62" s="36">
        <v>0.15</v>
      </c>
      <c r="U62" s="36">
        <f t="shared" ref="U62:V62" si="10">SQRT(S62)</f>
        <v>0.5477225575</v>
      </c>
      <c r="V62" s="36">
        <f t="shared" si="10"/>
        <v>0.3872983346</v>
      </c>
      <c r="W62" s="35" t="s">
        <v>644</v>
      </c>
      <c r="X62" s="31">
        <v>6.8979</v>
      </c>
      <c r="Y62" s="36">
        <v>0.6932761712083021</v>
      </c>
      <c r="Z62" s="36">
        <v>0.3263888888888889</v>
      </c>
      <c r="AA62" s="35" t="s">
        <v>645</v>
      </c>
      <c r="AB62" s="35">
        <v>28.88</v>
      </c>
      <c r="AC62" s="35">
        <v>173.3</v>
      </c>
    </row>
    <row r="63" ht="14.25" customHeight="1">
      <c r="A63" s="35" t="s">
        <v>165</v>
      </c>
      <c r="B63" s="35">
        <v>155.0</v>
      </c>
      <c r="C63" s="35" t="s">
        <v>608</v>
      </c>
      <c r="D63" s="35" t="s">
        <v>658</v>
      </c>
      <c r="E63" s="29">
        <v>207.0</v>
      </c>
      <c r="F63" s="30" t="s">
        <v>659</v>
      </c>
      <c r="G63" s="29" t="s">
        <v>629</v>
      </c>
      <c r="H63" s="31">
        <v>6.88</v>
      </c>
      <c r="I63" s="29" t="s">
        <v>657</v>
      </c>
      <c r="J63" s="35" t="s">
        <v>642</v>
      </c>
      <c r="K63" s="35" t="s">
        <v>599</v>
      </c>
      <c r="L63" s="35" t="s">
        <v>600</v>
      </c>
      <c r="M63" s="35">
        <v>-40.116165</v>
      </c>
      <c r="N63" s="35">
        <v>-19.007167</v>
      </c>
      <c r="O63" s="35" t="s">
        <v>601</v>
      </c>
      <c r="P63" s="32" t="s">
        <v>643</v>
      </c>
      <c r="Q63" s="35">
        <v>32.0</v>
      </c>
      <c r="R63" s="35">
        <v>30.0</v>
      </c>
      <c r="S63" s="36">
        <v>0.0</v>
      </c>
      <c r="T63" s="36">
        <v>0.12</v>
      </c>
      <c r="U63" s="36">
        <f t="shared" ref="U63:V63" si="11">SQRT(S63)</f>
        <v>0</v>
      </c>
      <c r="V63" s="36">
        <f t="shared" si="11"/>
        <v>0.3464101615</v>
      </c>
      <c r="W63" s="35" t="s">
        <v>644</v>
      </c>
      <c r="X63" s="31">
        <v>6.8979</v>
      </c>
      <c r="Y63" s="36">
        <v>-8.262558973010657</v>
      </c>
      <c r="Z63" s="36">
        <v>0.09337366991968223</v>
      </c>
      <c r="AA63" s="35" t="s">
        <v>645</v>
      </c>
      <c r="AB63" s="35">
        <v>28.88</v>
      </c>
      <c r="AC63" s="35">
        <v>173.3</v>
      </c>
    </row>
    <row r="64" ht="14.25" customHeight="1">
      <c r="A64" s="35" t="s">
        <v>165</v>
      </c>
      <c r="B64" s="35">
        <v>155.0</v>
      </c>
      <c r="C64" s="35" t="s">
        <v>608</v>
      </c>
      <c r="D64" s="29" t="s">
        <v>632</v>
      </c>
      <c r="E64" s="29">
        <v>173.0</v>
      </c>
      <c r="F64" s="30" t="s">
        <v>633</v>
      </c>
      <c r="G64" s="29" t="s">
        <v>611</v>
      </c>
      <c r="H64" s="31">
        <v>2.5</v>
      </c>
      <c r="I64" s="29" t="s">
        <v>616</v>
      </c>
      <c r="J64" s="35" t="s">
        <v>642</v>
      </c>
      <c r="K64" s="35" t="s">
        <v>599</v>
      </c>
      <c r="L64" s="35" t="s">
        <v>600</v>
      </c>
      <c r="M64" s="35">
        <v>-40.116165</v>
      </c>
      <c r="N64" s="35">
        <v>-19.007167</v>
      </c>
      <c r="O64" s="35" t="s">
        <v>601</v>
      </c>
      <c r="P64" s="32" t="s">
        <v>643</v>
      </c>
      <c r="Q64" s="35">
        <v>32.0</v>
      </c>
      <c r="R64" s="35">
        <v>30.0</v>
      </c>
      <c r="S64" s="36">
        <v>1.51</v>
      </c>
      <c r="T64" s="36">
        <v>2.47</v>
      </c>
      <c r="U64" s="36">
        <f t="shared" ref="U64:V64" si="12">SQRT(S64)</f>
        <v>1.228820573</v>
      </c>
      <c r="V64" s="36">
        <f t="shared" si="12"/>
        <v>1.571623365</v>
      </c>
      <c r="W64" s="35" t="s">
        <v>644</v>
      </c>
      <c r="X64" s="31">
        <v>6.8979</v>
      </c>
      <c r="Y64" s="36">
        <v>-0.4916865657258793</v>
      </c>
      <c r="Z64" s="36">
        <v>0.03419064089158198</v>
      </c>
      <c r="AA64" s="35" t="s">
        <v>645</v>
      </c>
      <c r="AB64" s="35">
        <v>28.88</v>
      </c>
      <c r="AC64" s="35">
        <v>173.3</v>
      </c>
    </row>
    <row r="65" ht="14.25" customHeight="1">
      <c r="A65" s="35" t="s">
        <v>165</v>
      </c>
      <c r="B65" s="35">
        <v>155.0</v>
      </c>
      <c r="C65" s="35" t="s">
        <v>608</v>
      </c>
      <c r="D65" s="35" t="s">
        <v>634</v>
      </c>
      <c r="E65" s="29">
        <v>219.0</v>
      </c>
      <c r="F65" s="39" t="s">
        <v>635</v>
      </c>
      <c r="G65" s="35" t="s">
        <v>615</v>
      </c>
      <c r="H65" s="31">
        <v>0.19</v>
      </c>
      <c r="I65" s="29" t="s">
        <v>597</v>
      </c>
      <c r="J65" s="35" t="s">
        <v>642</v>
      </c>
      <c r="K65" s="35" t="s">
        <v>599</v>
      </c>
      <c r="L65" s="35" t="s">
        <v>600</v>
      </c>
      <c r="M65" s="35">
        <v>-40.116165</v>
      </c>
      <c r="N65" s="35">
        <v>-19.007167</v>
      </c>
      <c r="O65" s="35" t="s">
        <v>601</v>
      </c>
      <c r="P65" s="32" t="s">
        <v>643</v>
      </c>
      <c r="Q65" s="35">
        <v>32.0</v>
      </c>
      <c r="R65" s="35">
        <v>30.0</v>
      </c>
      <c r="S65" s="36">
        <v>6.8</v>
      </c>
      <c r="T65" s="36">
        <v>7.55</v>
      </c>
      <c r="U65" s="36">
        <f t="shared" ref="U65:V65" si="13">SQRT(S65)</f>
        <v>2.607680962</v>
      </c>
      <c r="V65" s="36">
        <f t="shared" si="13"/>
        <v>2.747726333</v>
      </c>
      <c r="W65" s="35" t="s">
        <v>644</v>
      </c>
      <c r="X65" s="31">
        <v>6.8979</v>
      </c>
      <c r="Y65" s="36">
        <v>-0.10433853850814447</v>
      </c>
      <c r="Z65" s="36">
        <v>0.009010599272821712</v>
      </c>
      <c r="AA65" s="35" t="s">
        <v>645</v>
      </c>
      <c r="AB65" s="35">
        <v>28.88</v>
      </c>
      <c r="AC65" s="35">
        <v>173.3</v>
      </c>
    </row>
    <row r="66" ht="14.25" customHeight="1">
      <c r="A66" s="35" t="s">
        <v>165</v>
      </c>
      <c r="B66" s="35">
        <v>155.0</v>
      </c>
      <c r="C66" s="35" t="s">
        <v>608</v>
      </c>
      <c r="D66" s="35" t="s">
        <v>660</v>
      </c>
      <c r="E66" s="29">
        <v>208.0</v>
      </c>
      <c r="F66" s="30" t="s">
        <v>661</v>
      </c>
      <c r="G66" s="29" t="s">
        <v>662</v>
      </c>
      <c r="H66" s="31">
        <v>0.95</v>
      </c>
      <c r="I66" s="29" t="s">
        <v>612</v>
      </c>
      <c r="J66" s="35" t="s">
        <v>642</v>
      </c>
      <c r="K66" s="35" t="s">
        <v>599</v>
      </c>
      <c r="L66" s="35" t="s">
        <v>600</v>
      </c>
      <c r="M66" s="35">
        <v>-40.116165</v>
      </c>
      <c r="N66" s="35">
        <v>-19.007167</v>
      </c>
      <c r="O66" s="35" t="s">
        <v>601</v>
      </c>
      <c r="P66" s="32" t="s">
        <v>643</v>
      </c>
      <c r="Q66" s="35">
        <v>32.0</v>
      </c>
      <c r="R66" s="35">
        <v>30.0</v>
      </c>
      <c r="S66" s="36">
        <v>0.57</v>
      </c>
      <c r="T66" s="36">
        <v>1.98</v>
      </c>
      <c r="U66" s="36">
        <f t="shared" ref="U66:V66" si="14">SQRT(S66)</f>
        <v>0.7549834435</v>
      </c>
      <c r="V66" s="36">
        <f t="shared" si="14"/>
        <v>1.407124728</v>
      </c>
      <c r="W66" s="35" t="s">
        <v>644</v>
      </c>
      <c r="X66" s="31">
        <v>6.8979</v>
      </c>
      <c r="Y66" s="36">
        <v>-1.2443199608537479</v>
      </c>
      <c r="Z66" s="36">
        <v>0.07165957823852562</v>
      </c>
      <c r="AA66" s="35" t="s">
        <v>645</v>
      </c>
      <c r="AB66" s="35">
        <v>28.88</v>
      </c>
      <c r="AC66" s="35">
        <v>173.3</v>
      </c>
    </row>
    <row r="67" ht="14.25" customHeight="1">
      <c r="A67" s="35" t="s">
        <v>165</v>
      </c>
      <c r="B67" s="35">
        <v>155.0</v>
      </c>
      <c r="C67" s="35" t="s">
        <v>608</v>
      </c>
      <c r="D67" s="29" t="s">
        <v>663</v>
      </c>
      <c r="E67" s="29">
        <v>189.0</v>
      </c>
      <c r="F67" s="30" t="s">
        <v>637</v>
      </c>
      <c r="G67" s="29" t="s">
        <v>638</v>
      </c>
      <c r="H67" s="31">
        <v>207.5</v>
      </c>
      <c r="I67" s="29" t="s">
        <v>612</v>
      </c>
      <c r="J67" s="35" t="s">
        <v>642</v>
      </c>
      <c r="K67" s="35" t="s">
        <v>599</v>
      </c>
      <c r="L67" s="35" t="s">
        <v>600</v>
      </c>
      <c r="M67" s="35">
        <v>-40.116165</v>
      </c>
      <c r="N67" s="35">
        <v>-19.007167</v>
      </c>
      <c r="O67" s="35" t="s">
        <v>601</v>
      </c>
      <c r="P67" s="32" t="s">
        <v>643</v>
      </c>
      <c r="Q67" s="35">
        <v>32.0</v>
      </c>
      <c r="R67" s="35">
        <v>30.0</v>
      </c>
      <c r="S67" s="36">
        <v>0.0</v>
      </c>
      <c r="T67" s="36">
        <v>0.12</v>
      </c>
      <c r="U67" s="36">
        <f t="shared" ref="U67:V67" si="15">SQRT(S67)</f>
        <v>0</v>
      </c>
      <c r="V67" s="36">
        <f t="shared" si="15"/>
        <v>0.3464101615</v>
      </c>
      <c r="W67" s="35" t="s">
        <v>644</v>
      </c>
      <c r="X67" s="31">
        <v>6.8979</v>
      </c>
      <c r="Y67" s="36">
        <v>-8.262558973010657</v>
      </c>
      <c r="Z67" s="36">
        <v>0.09337366991968223</v>
      </c>
      <c r="AA67" s="35" t="s">
        <v>645</v>
      </c>
      <c r="AB67" s="35">
        <v>28.88</v>
      </c>
      <c r="AC67" s="35">
        <v>173.3</v>
      </c>
    </row>
    <row r="68" ht="14.25" customHeight="1">
      <c r="A68" s="29" t="s">
        <v>189</v>
      </c>
      <c r="B68" s="29">
        <v>74.0</v>
      </c>
      <c r="C68" s="29" t="s">
        <v>608</v>
      </c>
      <c r="D68" s="29" t="s">
        <v>664</v>
      </c>
      <c r="E68" s="29">
        <v>2.0</v>
      </c>
      <c r="F68" s="30" t="s">
        <v>665</v>
      </c>
      <c r="G68" s="29" t="s">
        <v>611</v>
      </c>
      <c r="H68" s="31">
        <v>6.32</v>
      </c>
      <c r="I68" s="29" t="s">
        <v>612</v>
      </c>
      <c r="J68" s="32" t="s">
        <v>598</v>
      </c>
      <c r="K68" s="29" t="s">
        <v>599</v>
      </c>
      <c r="L68" s="29" t="s">
        <v>600</v>
      </c>
      <c r="M68" s="33">
        <v>-60.356</v>
      </c>
      <c r="N68" s="33">
        <v>1.29</v>
      </c>
      <c r="O68" s="34" t="s">
        <v>641</v>
      </c>
      <c r="P68" s="32" t="s">
        <v>602</v>
      </c>
      <c r="Q68" s="35">
        <v>31.0</v>
      </c>
      <c r="R68" s="35">
        <v>28.0</v>
      </c>
      <c r="S68" s="36">
        <v>1.3</v>
      </c>
      <c r="T68" s="36">
        <v>1.05</v>
      </c>
      <c r="U68" s="36">
        <v>1.1402</v>
      </c>
      <c r="V68" s="36">
        <v>1.0247</v>
      </c>
      <c r="W68" s="37" t="s">
        <v>603</v>
      </c>
      <c r="X68" s="31">
        <v>2.7</v>
      </c>
      <c r="Y68" s="36">
        <v>0.21378246153766925</v>
      </c>
      <c r="Z68" s="36">
        <v>0.05882889774815024</v>
      </c>
      <c r="AA68" s="29" t="s">
        <v>666</v>
      </c>
      <c r="AB68" s="31">
        <v>0.312480866909</v>
      </c>
      <c r="AC68" s="38">
        <v>580.0</v>
      </c>
    </row>
    <row r="69" ht="14.25" customHeight="1">
      <c r="A69" s="29" t="s">
        <v>189</v>
      </c>
      <c r="B69" s="29">
        <v>74.0</v>
      </c>
      <c r="C69" s="29" t="s">
        <v>608</v>
      </c>
      <c r="D69" s="35" t="s">
        <v>667</v>
      </c>
      <c r="E69" s="29">
        <v>213.0</v>
      </c>
      <c r="F69" s="30" t="s">
        <v>668</v>
      </c>
      <c r="G69" s="29" t="s">
        <v>611</v>
      </c>
      <c r="H69" s="31">
        <v>0.9</v>
      </c>
      <c r="I69" s="29" t="s">
        <v>616</v>
      </c>
      <c r="J69" s="32" t="s">
        <v>598</v>
      </c>
      <c r="K69" s="29" t="s">
        <v>599</v>
      </c>
      <c r="L69" s="29" t="s">
        <v>600</v>
      </c>
      <c r="M69" s="33">
        <v>-60.356</v>
      </c>
      <c r="N69" s="33">
        <v>1.29</v>
      </c>
      <c r="O69" s="34" t="s">
        <v>641</v>
      </c>
      <c r="P69" s="32" t="s">
        <v>602</v>
      </c>
      <c r="Q69" s="35">
        <v>31.0</v>
      </c>
      <c r="R69" s="35">
        <v>28.0</v>
      </c>
      <c r="S69" s="36">
        <v>0.75</v>
      </c>
      <c r="T69" s="36">
        <v>0.61</v>
      </c>
      <c r="U69" s="36">
        <v>0.866</v>
      </c>
      <c r="V69" s="36">
        <v>0.781</v>
      </c>
      <c r="W69" s="37" t="s">
        <v>603</v>
      </c>
      <c r="X69" s="31">
        <v>2.7</v>
      </c>
      <c r="Y69" s="36">
        <v>0.20682406567131162</v>
      </c>
      <c r="Z69" s="36">
        <v>0.10155249552497672</v>
      </c>
      <c r="AA69" s="29" t="s">
        <v>666</v>
      </c>
      <c r="AB69" s="31">
        <v>0.312480866909</v>
      </c>
      <c r="AC69" s="38">
        <v>580.0</v>
      </c>
    </row>
    <row r="70" ht="14.25" customHeight="1">
      <c r="A70" s="29" t="s">
        <v>189</v>
      </c>
      <c r="B70" s="29">
        <v>74.0</v>
      </c>
      <c r="C70" s="29" t="s">
        <v>608</v>
      </c>
      <c r="D70" s="29" t="s">
        <v>669</v>
      </c>
      <c r="E70" s="29">
        <v>17.0</v>
      </c>
      <c r="F70" s="30" t="s">
        <v>670</v>
      </c>
      <c r="G70" s="29" t="s">
        <v>611</v>
      </c>
      <c r="H70" s="31">
        <v>7.9</v>
      </c>
      <c r="I70" s="29" t="s">
        <v>597</v>
      </c>
      <c r="J70" s="32" t="s">
        <v>598</v>
      </c>
      <c r="K70" s="29" t="s">
        <v>599</v>
      </c>
      <c r="L70" s="29" t="s">
        <v>600</v>
      </c>
      <c r="M70" s="33">
        <v>-60.356</v>
      </c>
      <c r="N70" s="33">
        <v>1.29</v>
      </c>
      <c r="O70" s="34" t="s">
        <v>641</v>
      </c>
      <c r="P70" s="32" t="s">
        <v>602</v>
      </c>
      <c r="Q70" s="35">
        <v>31.0</v>
      </c>
      <c r="R70" s="35">
        <v>28.0</v>
      </c>
      <c r="S70" s="36">
        <v>0.67</v>
      </c>
      <c r="T70" s="36">
        <v>1.08</v>
      </c>
      <c r="U70" s="36">
        <v>0.8185</v>
      </c>
      <c r="V70" s="36">
        <v>1.0392</v>
      </c>
      <c r="W70" s="37" t="s">
        <v>603</v>
      </c>
      <c r="X70" s="31">
        <v>2.7</v>
      </c>
      <c r="Y70" s="36">
        <v>-0.4770228169162403</v>
      </c>
      <c r="Z70" s="36">
        <v>0.08120905805373835</v>
      </c>
      <c r="AA70" s="29" t="s">
        <v>666</v>
      </c>
      <c r="AB70" s="31">
        <v>0.312480866909</v>
      </c>
      <c r="AC70" s="38">
        <v>580.0</v>
      </c>
    </row>
    <row r="71" ht="14.25" customHeight="1">
      <c r="A71" s="29" t="s">
        <v>189</v>
      </c>
      <c r="B71" s="29">
        <v>74.0</v>
      </c>
      <c r="C71" s="29" t="s">
        <v>608</v>
      </c>
      <c r="D71" s="29" t="s">
        <v>671</v>
      </c>
      <c r="E71" s="29">
        <v>202.0</v>
      </c>
      <c r="F71" s="30" t="s">
        <v>672</v>
      </c>
      <c r="G71" s="29" t="s">
        <v>629</v>
      </c>
      <c r="H71" s="31">
        <v>5.24</v>
      </c>
      <c r="I71" s="29" t="s">
        <v>657</v>
      </c>
      <c r="J71" s="32" t="s">
        <v>598</v>
      </c>
      <c r="K71" s="29" t="s">
        <v>599</v>
      </c>
      <c r="L71" s="29" t="s">
        <v>600</v>
      </c>
      <c r="M71" s="33">
        <v>-60.356</v>
      </c>
      <c r="N71" s="33">
        <v>1.29</v>
      </c>
      <c r="O71" s="34" t="s">
        <v>641</v>
      </c>
      <c r="P71" s="32" t="s">
        <v>602</v>
      </c>
      <c r="Q71" s="35">
        <v>31.0</v>
      </c>
      <c r="R71" s="35">
        <v>28.0</v>
      </c>
      <c r="S71" s="36">
        <v>0.0</v>
      </c>
      <c r="T71" s="36">
        <v>0.02</v>
      </c>
      <c r="U71" s="36">
        <v>0.0</v>
      </c>
      <c r="V71" s="36">
        <v>0.1414</v>
      </c>
      <c r="W71" s="37" t="s">
        <v>603</v>
      </c>
      <c r="X71" s="31">
        <v>2.7</v>
      </c>
      <c r="Y71" s="36">
        <v>-8.262558973010657</v>
      </c>
      <c r="Z71" s="36">
        <v>0.08659475618983992</v>
      </c>
      <c r="AA71" s="29" t="s">
        <v>666</v>
      </c>
      <c r="AB71" s="31">
        <v>0.312480866909</v>
      </c>
      <c r="AC71" s="38">
        <v>580.0</v>
      </c>
    </row>
    <row r="72" ht="14.25" customHeight="1">
      <c r="A72" s="29" t="s">
        <v>189</v>
      </c>
      <c r="B72" s="29">
        <v>74.0</v>
      </c>
      <c r="C72" s="29" t="s">
        <v>608</v>
      </c>
      <c r="D72" s="29" t="s">
        <v>673</v>
      </c>
      <c r="E72" s="29">
        <v>214.0</v>
      </c>
      <c r="F72" s="30" t="s">
        <v>674</v>
      </c>
      <c r="G72" s="29" t="s">
        <v>611</v>
      </c>
      <c r="H72" s="31">
        <v>2.95</v>
      </c>
      <c r="I72" s="29" t="s">
        <v>597</v>
      </c>
      <c r="J72" s="32" t="s">
        <v>598</v>
      </c>
      <c r="K72" s="29" t="s">
        <v>599</v>
      </c>
      <c r="L72" s="29" t="s">
        <v>600</v>
      </c>
      <c r="M72" s="33">
        <v>-60.356</v>
      </c>
      <c r="N72" s="33">
        <v>1.29</v>
      </c>
      <c r="O72" s="34" t="s">
        <v>641</v>
      </c>
      <c r="P72" s="32" t="s">
        <v>602</v>
      </c>
      <c r="Q72" s="35">
        <v>31.0</v>
      </c>
      <c r="R72" s="35">
        <v>28.0</v>
      </c>
      <c r="S72" s="36">
        <v>0.9</v>
      </c>
      <c r="T72" s="36">
        <v>6.86</v>
      </c>
      <c r="U72" s="36">
        <v>0.9487</v>
      </c>
      <c r="V72" s="36">
        <v>2.6192</v>
      </c>
      <c r="W72" s="37" t="s">
        <v>603</v>
      </c>
      <c r="X72" s="31">
        <v>2.7</v>
      </c>
      <c r="Y72" s="36">
        <v>-2.029103370858932</v>
      </c>
      <c r="Z72" s="36">
        <v>0.041049878392340165</v>
      </c>
      <c r="AA72" s="29" t="s">
        <v>666</v>
      </c>
      <c r="AB72" s="31">
        <v>0.312480866909</v>
      </c>
      <c r="AC72" s="38">
        <v>580.0</v>
      </c>
    </row>
    <row r="73" ht="14.25" customHeight="1">
      <c r="A73" s="29" t="s">
        <v>189</v>
      </c>
      <c r="B73" s="29">
        <v>74.0</v>
      </c>
      <c r="C73" s="29" t="s">
        <v>608</v>
      </c>
      <c r="D73" s="29" t="s">
        <v>650</v>
      </c>
      <c r="E73" s="29">
        <v>70.0</v>
      </c>
      <c r="F73" s="30" t="s">
        <v>651</v>
      </c>
      <c r="G73" s="29" t="s">
        <v>615</v>
      </c>
      <c r="H73" s="31">
        <v>8.17</v>
      </c>
      <c r="I73" s="29" t="s">
        <v>616</v>
      </c>
      <c r="J73" s="32" t="s">
        <v>598</v>
      </c>
      <c r="K73" s="29" t="s">
        <v>599</v>
      </c>
      <c r="L73" s="29" t="s">
        <v>600</v>
      </c>
      <c r="M73" s="33">
        <v>-60.356</v>
      </c>
      <c r="N73" s="33">
        <v>1.29</v>
      </c>
      <c r="O73" s="34" t="s">
        <v>641</v>
      </c>
      <c r="P73" s="32" t="s">
        <v>602</v>
      </c>
      <c r="Q73" s="35">
        <v>31.0</v>
      </c>
      <c r="R73" s="35">
        <v>28.0</v>
      </c>
      <c r="S73" s="36">
        <v>0.0</v>
      </c>
      <c r="T73" s="36">
        <v>0.09</v>
      </c>
      <c r="U73" s="36">
        <v>0.0</v>
      </c>
      <c r="V73" s="36">
        <v>0.3</v>
      </c>
      <c r="W73" s="37" t="s">
        <v>603</v>
      </c>
      <c r="X73" s="31">
        <v>2.7</v>
      </c>
      <c r="Y73" s="36">
        <v>-8.262558973010657</v>
      </c>
      <c r="Z73" s="36">
        <v>0.09792064095147193</v>
      </c>
      <c r="AA73" s="29" t="s">
        <v>666</v>
      </c>
      <c r="AB73" s="31">
        <v>0.312480866909</v>
      </c>
      <c r="AC73" s="38">
        <v>580.0</v>
      </c>
    </row>
    <row r="74" ht="14.25" customHeight="1">
      <c r="A74" s="29" t="s">
        <v>189</v>
      </c>
      <c r="B74" s="29">
        <v>74.0</v>
      </c>
      <c r="C74" s="29" t="s">
        <v>608</v>
      </c>
      <c r="D74" s="29" t="s">
        <v>652</v>
      </c>
      <c r="E74" s="29">
        <v>72.0</v>
      </c>
      <c r="F74" s="30" t="s">
        <v>653</v>
      </c>
      <c r="G74" s="29" t="s">
        <v>615</v>
      </c>
      <c r="H74" s="31">
        <v>3.02</v>
      </c>
      <c r="I74" s="29" t="s">
        <v>616</v>
      </c>
      <c r="J74" s="32" t="s">
        <v>598</v>
      </c>
      <c r="K74" s="29" t="s">
        <v>599</v>
      </c>
      <c r="L74" s="29" t="s">
        <v>600</v>
      </c>
      <c r="M74" s="33">
        <v>-60.356</v>
      </c>
      <c r="N74" s="33">
        <v>1.29</v>
      </c>
      <c r="O74" s="34" t="s">
        <v>641</v>
      </c>
      <c r="P74" s="32" t="s">
        <v>602</v>
      </c>
      <c r="Q74" s="35">
        <v>31.0</v>
      </c>
      <c r="R74" s="35">
        <v>28.0</v>
      </c>
      <c r="S74" s="36">
        <v>0.93</v>
      </c>
      <c r="T74" s="36">
        <v>1.08</v>
      </c>
      <c r="U74" s="36">
        <v>0.9644</v>
      </c>
      <c r="V74" s="36">
        <v>1.0392</v>
      </c>
      <c r="W74" s="37" t="s">
        <v>603</v>
      </c>
      <c r="X74" s="31">
        <v>2.7</v>
      </c>
      <c r="Y74" s="36">
        <v>-0.1492321683388868</v>
      </c>
      <c r="Z74" s="36">
        <v>0.06775544622835974</v>
      </c>
      <c r="AA74" s="29" t="s">
        <v>666</v>
      </c>
      <c r="AB74" s="31">
        <v>0.312480866909</v>
      </c>
      <c r="AC74" s="38">
        <v>580.0</v>
      </c>
    </row>
    <row r="75" ht="14.25" customHeight="1">
      <c r="A75" s="29" t="s">
        <v>189</v>
      </c>
      <c r="B75" s="29">
        <v>74.0</v>
      </c>
      <c r="C75" s="29" t="s">
        <v>608</v>
      </c>
      <c r="D75" s="29" t="s">
        <v>617</v>
      </c>
      <c r="E75" s="29">
        <v>75.0</v>
      </c>
      <c r="F75" s="30" t="s">
        <v>618</v>
      </c>
      <c r="G75" s="29" t="s">
        <v>619</v>
      </c>
      <c r="H75" s="31">
        <v>4.2</v>
      </c>
      <c r="I75" s="29" t="s">
        <v>620</v>
      </c>
      <c r="J75" s="32" t="s">
        <v>598</v>
      </c>
      <c r="K75" s="29" t="s">
        <v>599</v>
      </c>
      <c r="L75" s="29" t="s">
        <v>600</v>
      </c>
      <c r="M75" s="33">
        <v>-60.356</v>
      </c>
      <c r="N75" s="33">
        <v>1.29</v>
      </c>
      <c r="O75" s="34" t="s">
        <v>641</v>
      </c>
      <c r="P75" s="32" t="s">
        <v>602</v>
      </c>
      <c r="Q75" s="35">
        <v>31.0</v>
      </c>
      <c r="R75" s="35">
        <v>28.0</v>
      </c>
      <c r="S75" s="36">
        <v>0.02</v>
      </c>
      <c r="T75" s="36">
        <v>0.02</v>
      </c>
      <c r="U75" s="36">
        <v>0.1414</v>
      </c>
      <c r="V75" s="36">
        <v>0.1414</v>
      </c>
      <c r="W75" s="37" t="s">
        <v>603</v>
      </c>
      <c r="X75" s="31">
        <v>2.7</v>
      </c>
      <c r="Y75" s="36">
        <v>2.5796466027220563E-4</v>
      </c>
      <c r="Z75" s="36">
        <v>3.397591129032258</v>
      </c>
      <c r="AA75" s="29" t="s">
        <v>666</v>
      </c>
      <c r="AB75" s="31">
        <v>0.312480866909</v>
      </c>
      <c r="AC75" s="38">
        <v>580.0</v>
      </c>
    </row>
    <row r="76" ht="14.25" customHeight="1">
      <c r="A76" s="29" t="s">
        <v>189</v>
      </c>
      <c r="B76" s="29">
        <v>74.0</v>
      </c>
      <c r="C76" s="29" t="s">
        <v>608</v>
      </c>
      <c r="D76" s="29" t="s">
        <v>675</v>
      </c>
      <c r="E76" s="29">
        <v>204.0</v>
      </c>
      <c r="F76" s="30" t="s">
        <v>676</v>
      </c>
      <c r="G76" s="29" t="s">
        <v>629</v>
      </c>
      <c r="H76" s="31">
        <v>3.91</v>
      </c>
      <c r="I76" s="29" t="s">
        <v>657</v>
      </c>
      <c r="J76" s="32" t="s">
        <v>598</v>
      </c>
      <c r="K76" s="29" t="s">
        <v>599</v>
      </c>
      <c r="L76" s="29" t="s">
        <v>600</v>
      </c>
      <c r="M76" s="33">
        <v>-60.356</v>
      </c>
      <c r="N76" s="33">
        <v>1.29</v>
      </c>
      <c r="O76" s="34" t="s">
        <v>641</v>
      </c>
      <c r="P76" s="32" t="s">
        <v>602</v>
      </c>
      <c r="Q76" s="35">
        <v>31.0</v>
      </c>
      <c r="R76" s="35">
        <v>28.0</v>
      </c>
      <c r="S76" s="36">
        <v>0.23</v>
      </c>
      <c r="T76" s="36">
        <v>0.1</v>
      </c>
      <c r="U76" s="36">
        <v>0.4796</v>
      </c>
      <c r="V76" s="36">
        <v>0.3162</v>
      </c>
      <c r="W76" s="37" t="s">
        <v>603</v>
      </c>
      <c r="X76" s="31">
        <v>2.7</v>
      </c>
      <c r="Y76" s="36">
        <v>0.833021289659841</v>
      </c>
      <c r="Z76" s="36">
        <v>0.4973424515345012</v>
      </c>
      <c r="AA76" s="29" t="s">
        <v>666</v>
      </c>
      <c r="AB76" s="31">
        <v>0.312480866909</v>
      </c>
      <c r="AC76" s="38">
        <v>580.0</v>
      </c>
    </row>
    <row r="77" ht="14.25" customHeight="1">
      <c r="A77" s="29" t="s">
        <v>189</v>
      </c>
      <c r="B77" s="29">
        <v>74.0</v>
      </c>
      <c r="C77" s="29" t="s">
        <v>608</v>
      </c>
      <c r="D77" s="29" t="s">
        <v>677</v>
      </c>
      <c r="E77" s="29">
        <v>100.0</v>
      </c>
      <c r="F77" s="30" t="s">
        <v>678</v>
      </c>
      <c r="G77" s="29" t="s">
        <v>626</v>
      </c>
      <c r="H77" s="31">
        <v>22.8</v>
      </c>
      <c r="I77" s="29" t="s">
        <v>612</v>
      </c>
      <c r="J77" s="32" t="s">
        <v>598</v>
      </c>
      <c r="K77" s="29" t="s">
        <v>599</v>
      </c>
      <c r="L77" s="29" t="s">
        <v>600</v>
      </c>
      <c r="M77" s="33">
        <v>-60.356</v>
      </c>
      <c r="N77" s="33">
        <v>1.29</v>
      </c>
      <c r="O77" s="34" t="s">
        <v>641</v>
      </c>
      <c r="P77" s="32" t="s">
        <v>602</v>
      </c>
      <c r="Q77" s="35">
        <v>31.0</v>
      </c>
      <c r="R77" s="35">
        <v>28.0</v>
      </c>
      <c r="S77" s="36">
        <v>0.0</v>
      </c>
      <c r="T77" s="36">
        <v>2.66</v>
      </c>
      <c r="U77" s="36">
        <v>0.0</v>
      </c>
      <c r="V77" s="36">
        <v>1.631</v>
      </c>
      <c r="W77" s="37" t="s">
        <v>603</v>
      </c>
      <c r="X77" s="31">
        <v>2.7</v>
      </c>
      <c r="Y77" s="36">
        <v>-8.262558973010657</v>
      </c>
      <c r="Z77" s="36">
        <v>0.048499884880310595</v>
      </c>
      <c r="AA77" s="29" t="s">
        <v>666</v>
      </c>
      <c r="AB77" s="31">
        <v>0.312480866909</v>
      </c>
      <c r="AC77" s="38">
        <v>580.0</v>
      </c>
    </row>
    <row r="78" ht="14.25" customHeight="1">
      <c r="A78" s="29" t="s">
        <v>189</v>
      </c>
      <c r="B78" s="29">
        <v>74.0</v>
      </c>
      <c r="C78" s="29" t="s">
        <v>608</v>
      </c>
      <c r="D78" s="29" t="s">
        <v>679</v>
      </c>
      <c r="E78" s="29">
        <v>215.0</v>
      </c>
      <c r="F78" s="30" t="s">
        <v>680</v>
      </c>
      <c r="G78" s="29" t="s">
        <v>626</v>
      </c>
      <c r="H78" s="31">
        <v>17.58</v>
      </c>
      <c r="I78" s="29" t="s">
        <v>616</v>
      </c>
      <c r="J78" s="32" t="s">
        <v>598</v>
      </c>
      <c r="K78" s="29" t="s">
        <v>599</v>
      </c>
      <c r="L78" s="29" t="s">
        <v>600</v>
      </c>
      <c r="M78" s="33">
        <v>-60.356</v>
      </c>
      <c r="N78" s="33">
        <v>1.29</v>
      </c>
      <c r="O78" s="34" t="s">
        <v>641</v>
      </c>
      <c r="P78" s="32" t="s">
        <v>602</v>
      </c>
      <c r="Q78" s="35">
        <v>31.0</v>
      </c>
      <c r="R78" s="35">
        <v>28.0</v>
      </c>
      <c r="S78" s="36">
        <v>0.0</v>
      </c>
      <c r="T78" s="36">
        <v>1.25</v>
      </c>
      <c r="U78" s="36">
        <v>0.0</v>
      </c>
      <c r="V78" s="36">
        <v>1.118</v>
      </c>
      <c r="W78" s="37" t="s">
        <v>603</v>
      </c>
      <c r="X78" s="31">
        <v>2.7</v>
      </c>
      <c r="Y78" s="36">
        <v>-8.262558973010657</v>
      </c>
      <c r="Z78" s="36">
        <v>0.0627877904636509</v>
      </c>
      <c r="AA78" s="29" t="s">
        <v>666</v>
      </c>
      <c r="AB78" s="31">
        <v>0.312480866909</v>
      </c>
      <c r="AC78" s="38">
        <v>580.0</v>
      </c>
    </row>
    <row r="79" ht="14.25" customHeight="1">
      <c r="A79" s="29" t="s">
        <v>189</v>
      </c>
      <c r="B79" s="29">
        <v>74.0</v>
      </c>
      <c r="C79" s="29" t="s">
        <v>608</v>
      </c>
      <c r="D79" s="29" t="s">
        <v>681</v>
      </c>
      <c r="E79" s="29">
        <v>216.0</v>
      </c>
      <c r="F79" s="30" t="s">
        <v>682</v>
      </c>
      <c r="G79" s="29" t="s">
        <v>615</v>
      </c>
      <c r="H79" s="31">
        <v>0.6</v>
      </c>
      <c r="I79" s="29" t="s">
        <v>616</v>
      </c>
      <c r="J79" s="32" t="s">
        <v>598</v>
      </c>
      <c r="K79" s="29" t="s">
        <v>599</v>
      </c>
      <c r="L79" s="29" t="s">
        <v>600</v>
      </c>
      <c r="M79" s="33">
        <v>-60.356</v>
      </c>
      <c r="N79" s="33">
        <v>1.29</v>
      </c>
      <c r="O79" s="34" t="s">
        <v>641</v>
      </c>
      <c r="P79" s="32" t="s">
        <v>602</v>
      </c>
      <c r="Q79" s="35">
        <v>31.0</v>
      </c>
      <c r="R79" s="35">
        <v>28.0</v>
      </c>
      <c r="S79" s="36">
        <v>0.2</v>
      </c>
      <c r="T79" s="36">
        <v>0.07</v>
      </c>
      <c r="U79" s="36">
        <v>0.4472</v>
      </c>
      <c r="V79" s="36">
        <v>0.2646</v>
      </c>
      <c r="W79" s="37" t="s">
        <v>603</v>
      </c>
      <c r="X79" s="31">
        <v>2.7</v>
      </c>
      <c r="Y79" s="36">
        <v>1.049912419699549</v>
      </c>
      <c r="Z79" s="36">
        <v>0.6715805161290322</v>
      </c>
      <c r="AA79" s="29" t="s">
        <v>666</v>
      </c>
      <c r="AB79" s="31">
        <v>0.312480866909</v>
      </c>
      <c r="AC79" s="38">
        <v>580.0</v>
      </c>
    </row>
    <row r="80" ht="14.25" customHeight="1">
      <c r="A80" s="29" t="s">
        <v>189</v>
      </c>
      <c r="B80" s="29">
        <v>74.0</v>
      </c>
      <c r="C80" s="29" t="s">
        <v>608</v>
      </c>
      <c r="D80" s="35" t="s">
        <v>627</v>
      </c>
      <c r="E80" s="29">
        <v>111.0</v>
      </c>
      <c r="F80" s="39" t="s">
        <v>628</v>
      </c>
      <c r="G80" s="29" t="s">
        <v>629</v>
      </c>
      <c r="H80" s="31">
        <v>3.79</v>
      </c>
      <c r="I80" s="29" t="s">
        <v>597</v>
      </c>
      <c r="J80" s="32" t="s">
        <v>598</v>
      </c>
      <c r="K80" s="29" t="s">
        <v>599</v>
      </c>
      <c r="L80" s="29" t="s">
        <v>600</v>
      </c>
      <c r="M80" s="33">
        <v>-60.356</v>
      </c>
      <c r="N80" s="33">
        <v>1.29</v>
      </c>
      <c r="O80" s="34" t="s">
        <v>641</v>
      </c>
      <c r="P80" s="32" t="s">
        <v>602</v>
      </c>
      <c r="Q80" s="35">
        <v>31.0</v>
      </c>
      <c r="R80" s="35">
        <v>28.0</v>
      </c>
      <c r="S80" s="36">
        <v>0.17</v>
      </c>
      <c r="T80" s="36">
        <v>0.33</v>
      </c>
      <c r="U80" s="36">
        <v>0.4123</v>
      </c>
      <c r="V80" s="36">
        <v>0.5745</v>
      </c>
      <c r="W80" s="37" t="s">
        <v>603</v>
      </c>
      <c r="X80" s="31">
        <v>2.7</v>
      </c>
      <c r="Y80" s="36">
        <v>-0.6627935232556496</v>
      </c>
      <c r="Z80" s="36">
        <v>0.29798518657341394</v>
      </c>
      <c r="AA80" s="29" t="s">
        <v>666</v>
      </c>
      <c r="AB80" s="31">
        <v>0.312480866909</v>
      </c>
      <c r="AC80" s="38">
        <v>580.0</v>
      </c>
    </row>
    <row r="81" ht="14.25" customHeight="1">
      <c r="A81" s="29" t="s">
        <v>189</v>
      </c>
      <c r="B81" s="29">
        <v>74.0</v>
      </c>
      <c r="C81" s="29" t="s">
        <v>608</v>
      </c>
      <c r="D81" s="29" t="s">
        <v>683</v>
      </c>
      <c r="E81" s="29">
        <v>122.0</v>
      </c>
      <c r="F81" s="30" t="s">
        <v>684</v>
      </c>
      <c r="G81" s="29" t="s">
        <v>629</v>
      </c>
      <c r="H81" s="31">
        <v>100.0</v>
      </c>
      <c r="I81" s="29" t="s">
        <v>657</v>
      </c>
      <c r="J81" s="32" t="s">
        <v>598</v>
      </c>
      <c r="K81" s="29" t="s">
        <v>599</v>
      </c>
      <c r="L81" s="29" t="s">
        <v>600</v>
      </c>
      <c r="M81" s="33">
        <v>-60.356</v>
      </c>
      <c r="N81" s="33">
        <v>1.29</v>
      </c>
      <c r="O81" s="34" t="s">
        <v>641</v>
      </c>
      <c r="P81" s="32" t="s">
        <v>602</v>
      </c>
      <c r="Q81" s="35">
        <v>31.0</v>
      </c>
      <c r="R81" s="35">
        <v>28.0</v>
      </c>
      <c r="S81" s="36">
        <v>0.02</v>
      </c>
      <c r="T81" s="36">
        <v>0.02</v>
      </c>
      <c r="U81" s="36">
        <v>0.1414</v>
      </c>
      <c r="V81" s="36">
        <v>0.1414</v>
      </c>
      <c r="W81" s="37" t="s">
        <v>603</v>
      </c>
      <c r="X81" s="31">
        <v>2.7</v>
      </c>
      <c r="Y81" s="36">
        <v>2.5796466027220563E-4</v>
      </c>
      <c r="Z81" s="36">
        <v>3.397591129032258</v>
      </c>
      <c r="AA81" s="29" t="s">
        <v>666</v>
      </c>
      <c r="AB81" s="31">
        <v>0.312480866909</v>
      </c>
      <c r="AC81" s="38">
        <v>580.0</v>
      </c>
    </row>
    <row r="82" ht="14.25" customHeight="1">
      <c r="A82" s="29" t="s">
        <v>189</v>
      </c>
      <c r="B82" s="29">
        <v>74.0</v>
      </c>
      <c r="C82" s="29" t="s">
        <v>608</v>
      </c>
      <c r="D82" s="29" t="s">
        <v>630</v>
      </c>
      <c r="E82" s="29">
        <v>129.0</v>
      </c>
      <c r="F82" s="30" t="s">
        <v>631</v>
      </c>
      <c r="G82" s="29" t="s">
        <v>626</v>
      </c>
      <c r="H82" s="31">
        <v>21.27</v>
      </c>
      <c r="I82" s="29" t="s">
        <v>612</v>
      </c>
      <c r="J82" s="32" t="s">
        <v>598</v>
      </c>
      <c r="K82" s="29" t="s">
        <v>599</v>
      </c>
      <c r="L82" s="29" t="s">
        <v>600</v>
      </c>
      <c r="M82" s="33">
        <v>-60.356</v>
      </c>
      <c r="N82" s="33">
        <v>1.29</v>
      </c>
      <c r="O82" s="34" t="s">
        <v>641</v>
      </c>
      <c r="P82" s="32" t="s">
        <v>602</v>
      </c>
      <c r="Q82" s="35">
        <v>31.0</v>
      </c>
      <c r="R82" s="35">
        <v>28.0</v>
      </c>
      <c r="S82" s="36">
        <v>0.88</v>
      </c>
      <c r="T82" s="36">
        <v>0.95</v>
      </c>
      <c r="U82" s="36">
        <v>0.9381</v>
      </c>
      <c r="V82" s="36">
        <v>0.9747</v>
      </c>
      <c r="W82" s="37" t="s">
        <v>603</v>
      </c>
      <c r="X82" s="31">
        <v>2.7</v>
      </c>
      <c r="Y82" s="36">
        <v>-0.07626159540285936</v>
      </c>
      <c r="Z82" s="36">
        <v>0.07425377965637736</v>
      </c>
      <c r="AA82" s="29" t="s">
        <v>666</v>
      </c>
      <c r="AB82" s="31">
        <v>0.312480866909</v>
      </c>
      <c r="AC82" s="38">
        <v>580.0</v>
      </c>
    </row>
    <row r="83" ht="14.25" customHeight="1">
      <c r="A83" s="29" t="s">
        <v>189</v>
      </c>
      <c r="B83" s="29">
        <v>74.0</v>
      </c>
      <c r="C83" s="29" t="s">
        <v>608</v>
      </c>
      <c r="D83" s="29" t="s">
        <v>685</v>
      </c>
      <c r="E83" s="29">
        <v>142.0</v>
      </c>
      <c r="F83" s="30" t="s">
        <v>686</v>
      </c>
      <c r="G83" s="29" t="s">
        <v>611</v>
      </c>
      <c r="H83" s="31">
        <v>1.38</v>
      </c>
      <c r="I83" s="29" t="s">
        <v>616</v>
      </c>
      <c r="J83" s="32" t="s">
        <v>598</v>
      </c>
      <c r="K83" s="29" t="s">
        <v>599</v>
      </c>
      <c r="L83" s="29" t="s">
        <v>600</v>
      </c>
      <c r="M83" s="33">
        <v>-60.356</v>
      </c>
      <c r="N83" s="33">
        <v>1.29</v>
      </c>
      <c r="O83" s="34" t="s">
        <v>641</v>
      </c>
      <c r="P83" s="32" t="s">
        <v>602</v>
      </c>
      <c r="Q83" s="35">
        <v>31.0</v>
      </c>
      <c r="R83" s="35">
        <v>28.0</v>
      </c>
      <c r="S83" s="36">
        <v>1.43</v>
      </c>
      <c r="T83" s="36">
        <v>0.49</v>
      </c>
      <c r="U83" s="36">
        <v>1.1958</v>
      </c>
      <c r="V83" s="36">
        <v>0.7</v>
      </c>
      <c r="W83" s="37" t="s">
        <v>603</v>
      </c>
      <c r="X83" s="31">
        <v>2.7</v>
      </c>
      <c r="Y83" s="36">
        <v>1.0711127331289654</v>
      </c>
      <c r="Z83" s="36">
        <v>0.09544340072841433</v>
      </c>
      <c r="AA83" s="29" t="s">
        <v>666</v>
      </c>
      <c r="AB83" s="31">
        <v>0.312480866909</v>
      </c>
      <c r="AC83" s="38">
        <v>580.0</v>
      </c>
    </row>
    <row r="84" ht="14.25" customHeight="1">
      <c r="A84" s="29" t="s">
        <v>189</v>
      </c>
      <c r="B84" s="29">
        <v>74.0</v>
      </c>
      <c r="C84" s="29" t="s">
        <v>608</v>
      </c>
      <c r="D84" s="29" t="s">
        <v>687</v>
      </c>
      <c r="E84" s="29">
        <v>217.0</v>
      </c>
      <c r="F84" s="30" t="s">
        <v>688</v>
      </c>
      <c r="G84" s="29" t="s">
        <v>629</v>
      </c>
      <c r="H84" s="31">
        <v>3.0</v>
      </c>
      <c r="I84" s="29" t="s">
        <v>597</v>
      </c>
      <c r="J84" s="32" t="s">
        <v>598</v>
      </c>
      <c r="K84" s="29" t="s">
        <v>599</v>
      </c>
      <c r="L84" s="29" t="s">
        <v>600</v>
      </c>
      <c r="M84" s="33">
        <v>-60.356</v>
      </c>
      <c r="N84" s="33">
        <v>1.29</v>
      </c>
      <c r="O84" s="34" t="s">
        <v>641</v>
      </c>
      <c r="P84" s="32" t="s">
        <v>602</v>
      </c>
      <c r="Q84" s="35">
        <v>31.0</v>
      </c>
      <c r="R84" s="35">
        <v>28.0</v>
      </c>
      <c r="S84" s="36">
        <v>0.0</v>
      </c>
      <c r="T84" s="36">
        <v>0.08</v>
      </c>
      <c r="U84" s="36">
        <v>0.0</v>
      </c>
      <c r="V84" s="36">
        <v>0.2828</v>
      </c>
      <c r="W84" s="37" t="s">
        <v>603</v>
      </c>
      <c r="X84" s="31">
        <v>2.7</v>
      </c>
      <c r="Y84" s="36">
        <v>-8.262558973010657</v>
      </c>
      <c r="Z84" s="36">
        <v>0.0973141032455328</v>
      </c>
      <c r="AA84" s="29" t="s">
        <v>666</v>
      </c>
      <c r="AB84" s="31">
        <v>0.312480866909</v>
      </c>
      <c r="AC84" s="38">
        <v>580.0</v>
      </c>
    </row>
    <row r="85" ht="14.25" customHeight="1">
      <c r="A85" s="29" t="s">
        <v>189</v>
      </c>
      <c r="B85" s="29">
        <v>74.0</v>
      </c>
      <c r="C85" s="29" t="s">
        <v>608</v>
      </c>
      <c r="D85" s="29" t="s">
        <v>689</v>
      </c>
      <c r="E85" s="29">
        <v>166.0</v>
      </c>
      <c r="F85" s="30" t="s">
        <v>690</v>
      </c>
      <c r="G85" s="29" t="s">
        <v>611</v>
      </c>
      <c r="H85" s="31">
        <v>0.54</v>
      </c>
      <c r="I85" s="29" t="s">
        <v>616</v>
      </c>
      <c r="J85" s="32" t="s">
        <v>598</v>
      </c>
      <c r="K85" s="29" t="s">
        <v>599</v>
      </c>
      <c r="L85" s="29" t="s">
        <v>600</v>
      </c>
      <c r="M85" s="33">
        <v>-60.356</v>
      </c>
      <c r="N85" s="33">
        <v>1.29</v>
      </c>
      <c r="O85" s="34" t="s">
        <v>641</v>
      </c>
      <c r="P85" s="32" t="s">
        <v>602</v>
      </c>
      <c r="Q85" s="35">
        <v>31.0</v>
      </c>
      <c r="R85" s="35">
        <v>28.0</v>
      </c>
      <c r="S85" s="36">
        <v>4.9</v>
      </c>
      <c r="T85" s="36">
        <v>2.94</v>
      </c>
      <c r="U85" s="36">
        <v>2.2136</v>
      </c>
      <c r="V85" s="36">
        <v>1.7146</v>
      </c>
      <c r="W85" s="37" t="s">
        <v>603</v>
      </c>
      <c r="X85" s="31">
        <v>2.7</v>
      </c>
      <c r="Y85" s="36">
        <v>0.5109804105475086</v>
      </c>
      <c r="Z85" s="36">
        <v>0.018730421511731436</v>
      </c>
      <c r="AA85" s="29" t="s">
        <v>666</v>
      </c>
      <c r="AB85" s="31">
        <v>0.312480866909</v>
      </c>
      <c r="AC85" s="38">
        <v>580.0</v>
      </c>
    </row>
    <row r="86" ht="14.25" customHeight="1">
      <c r="A86" s="29" t="s">
        <v>189</v>
      </c>
      <c r="B86" s="29">
        <v>74.0</v>
      </c>
      <c r="C86" s="29" t="s">
        <v>608</v>
      </c>
      <c r="D86" s="29" t="s">
        <v>691</v>
      </c>
      <c r="E86" s="29">
        <v>170.0</v>
      </c>
      <c r="F86" s="30" t="s">
        <v>692</v>
      </c>
      <c r="G86" s="29" t="s">
        <v>611</v>
      </c>
      <c r="H86" s="31">
        <v>0.74</v>
      </c>
      <c r="I86" s="29" t="s">
        <v>616</v>
      </c>
      <c r="J86" s="32" t="s">
        <v>598</v>
      </c>
      <c r="K86" s="29" t="s">
        <v>599</v>
      </c>
      <c r="L86" s="29" t="s">
        <v>600</v>
      </c>
      <c r="M86" s="33">
        <v>-60.356</v>
      </c>
      <c r="N86" s="33">
        <v>1.29</v>
      </c>
      <c r="O86" s="34" t="s">
        <v>641</v>
      </c>
      <c r="P86" s="32" t="s">
        <v>602</v>
      </c>
      <c r="Q86" s="35">
        <v>31.0</v>
      </c>
      <c r="R86" s="35">
        <v>28.0</v>
      </c>
      <c r="S86" s="36">
        <v>0.7</v>
      </c>
      <c r="T86" s="36">
        <v>8.69</v>
      </c>
      <c r="U86" s="36">
        <v>0.8367</v>
      </c>
      <c r="V86" s="36">
        <v>2.9479</v>
      </c>
      <c r="W86" s="37" t="s">
        <v>603</v>
      </c>
      <c r="X86" s="31">
        <v>2.7</v>
      </c>
      <c r="Y86" s="36">
        <v>-2.5156501413552714</v>
      </c>
      <c r="Z86" s="36">
        <v>0.05019722120873564</v>
      </c>
      <c r="AA86" s="29" t="s">
        <v>666</v>
      </c>
      <c r="AB86" s="31">
        <v>0.312480866909</v>
      </c>
      <c r="AC86" s="38">
        <v>580.0</v>
      </c>
    </row>
    <row r="87" ht="14.25" customHeight="1">
      <c r="A87" s="29" t="s">
        <v>189</v>
      </c>
      <c r="B87" s="29">
        <v>74.0</v>
      </c>
      <c r="C87" s="29" t="s">
        <v>608</v>
      </c>
      <c r="D87" s="29" t="s">
        <v>632</v>
      </c>
      <c r="E87" s="29">
        <v>173.0</v>
      </c>
      <c r="F87" s="30" t="s">
        <v>633</v>
      </c>
      <c r="G87" s="29" t="s">
        <v>611</v>
      </c>
      <c r="H87" s="31">
        <v>2.5</v>
      </c>
      <c r="I87" s="29" t="s">
        <v>616</v>
      </c>
      <c r="J87" s="32" t="s">
        <v>598</v>
      </c>
      <c r="K87" s="29" t="s">
        <v>599</v>
      </c>
      <c r="L87" s="29" t="s">
        <v>600</v>
      </c>
      <c r="M87" s="33">
        <v>-60.356</v>
      </c>
      <c r="N87" s="33">
        <v>1.29</v>
      </c>
      <c r="O87" s="34" t="s">
        <v>641</v>
      </c>
      <c r="P87" s="32" t="s">
        <v>602</v>
      </c>
      <c r="Q87" s="35">
        <v>31.0</v>
      </c>
      <c r="R87" s="35">
        <v>28.0</v>
      </c>
      <c r="S87" s="36">
        <v>8.7</v>
      </c>
      <c r="T87" s="36">
        <v>18.5</v>
      </c>
      <c r="U87" s="36">
        <v>2.9496</v>
      </c>
      <c r="V87" s="36">
        <v>4.3012</v>
      </c>
      <c r="W87" s="37" t="s">
        <v>603</v>
      </c>
      <c r="X87" s="31">
        <v>2.7</v>
      </c>
      <c r="Y87" s="36">
        <v>-0.7538992405579208</v>
      </c>
      <c r="Z87" s="36">
        <v>0.005638418715150159</v>
      </c>
      <c r="AA87" s="29" t="s">
        <v>666</v>
      </c>
      <c r="AB87" s="31">
        <v>0.312480866909</v>
      </c>
      <c r="AC87" s="38">
        <v>580.0</v>
      </c>
    </row>
    <row r="88" ht="14.25" customHeight="1">
      <c r="A88" s="29" t="s">
        <v>189</v>
      </c>
      <c r="B88" s="29">
        <v>74.0</v>
      </c>
      <c r="C88" s="29" t="s">
        <v>608</v>
      </c>
      <c r="D88" s="35" t="s">
        <v>634</v>
      </c>
      <c r="E88" s="29">
        <v>219.0</v>
      </c>
      <c r="F88" s="30" t="s">
        <v>635</v>
      </c>
      <c r="G88" s="29" t="s">
        <v>615</v>
      </c>
      <c r="H88" s="31">
        <v>0.19</v>
      </c>
      <c r="I88" s="29" t="s">
        <v>597</v>
      </c>
      <c r="J88" s="32" t="s">
        <v>598</v>
      </c>
      <c r="K88" s="29" t="s">
        <v>599</v>
      </c>
      <c r="L88" s="29" t="s">
        <v>600</v>
      </c>
      <c r="M88" s="33">
        <v>-60.356</v>
      </c>
      <c r="N88" s="33">
        <v>1.29</v>
      </c>
      <c r="O88" s="34" t="s">
        <v>641</v>
      </c>
      <c r="P88" s="32" t="s">
        <v>602</v>
      </c>
      <c r="Q88" s="35">
        <v>31.0</v>
      </c>
      <c r="R88" s="35">
        <v>28.0</v>
      </c>
      <c r="S88" s="36">
        <v>0.23</v>
      </c>
      <c r="T88" s="36">
        <v>0.28</v>
      </c>
      <c r="U88" s="36">
        <v>0.4796</v>
      </c>
      <c r="V88" s="36">
        <v>0.5292</v>
      </c>
      <c r="W88" s="37" t="s">
        <v>603</v>
      </c>
      <c r="X88" s="31">
        <v>2.7</v>
      </c>
      <c r="Y88" s="36">
        <v>-0.1963962591164015</v>
      </c>
      <c r="Z88" s="36">
        <v>0.26783730867735833</v>
      </c>
      <c r="AA88" s="29" t="s">
        <v>666</v>
      </c>
      <c r="AB88" s="31">
        <v>0.312480866909</v>
      </c>
      <c r="AC88" s="38">
        <v>580.0</v>
      </c>
    </row>
    <row r="89" ht="14.25" customHeight="1">
      <c r="A89" s="29" t="s">
        <v>189</v>
      </c>
      <c r="B89" s="29">
        <v>74.0</v>
      </c>
      <c r="C89" s="29" t="s">
        <v>608</v>
      </c>
      <c r="D89" s="29" t="s">
        <v>693</v>
      </c>
      <c r="E89" s="29">
        <v>209.0</v>
      </c>
      <c r="F89" s="30" t="s">
        <v>694</v>
      </c>
      <c r="G89" s="29" t="s">
        <v>695</v>
      </c>
      <c r="H89" s="31">
        <v>5.52</v>
      </c>
      <c r="I89" s="29" t="s">
        <v>620</v>
      </c>
      <c r="J89" s="32" t="s">
        <v>598</v>
      </c>
      <c r="K89" s="29" t="s">
        <v>599</v>
      </c>
      <c r="L89" s="29" t="s">
        <v>600</v>
      </c>
      <c r="M89" s="33">
        <v>-60.356</v>
      </c>
      <c r="N89" s="33">
        <v>1.29</v>
      </c>
      <c r="O89" s="34" t="s">
        <v>641</v>
      </c>
      <c r="P89" s="32" t="s">
        <v>602</v>
      </c>
      <c r="Q89" s="35">
        <v>31.0</v>
      </c>
      <c r="R89" s="35">
        <v>28.0</v>
      </c>
      <c r="S89" s="36">
        <v>0.0</v>
      </c>
      <c r="T89" s="36">
        <v>0.05</v>
      </c>
      <c r="U89" s="36">
        <v>0.0</v>
      </c>
      <c r="V89" s="36">
        <v>0.2236</v>
      </c>
      <c r="W89" s="37" t="s">
        <v>603</v>
      </c>
      <c r="X89" s="31">
        <v>2.7</v>
      </c>
      <c r="Y89" s="36">
        <v>-8.262558973010657</v>
      </c>
      <c r="Z89" s="36">
        <v>0.09407588742049738</v>
      </c>
      <c r="AA89" s="29" t="s">
        <v>666</v>
      </c>
      <c r="AB89" s="31">
        <v>0.312480866909</v>
      </c>
      <c r="AC89" s="38">
        <v>580.0</v>
      </c>
    </row>
    <row r="90" ht="14.25" customHeight="1">
      <c r="A90" s="29" t="s">
        <v>189</v>
      </c>
      <c r="B90" s="29">
        <v>74.0</v>
      </c>
      <c r="C90" s="29" t="s">
        <v>608</v>
      </c>
      <c r="D90" s="29" t="s">
        <v>663</v>
      </c>
      <c r="E90" s="29">
        <v>189.0</v>
      </c>
      <c r="F90" s="30" t="s">
        <v>637</v>
      </c>
      <c r="G90" s="29" t="s">
        <v>638</v>
      </c>
      <c r="H90" s="31">
        <v>207.5</v>
      </c>
      <c r="I90" s="29" t="s">
        <v>612</v>
      </c>
      <c r="J90" s="32" t="s">
        <v>598</v>
      </c>
      <c r="K90" s="29" t="s">
        <v>599</v>
      </c>
      <c r="L90" s="29" t="s">
        <v>600</v>
      </c>
      <c r="M90" s="33">
        <v>-60.356</v>
      </c>
      <c r="N90" s="33">
        <v>1.29</v>
      </c>
      <c r="O90" s="34" t="s">
        <v>641</v>
      </c>
      <c r="P90" s="32" t="s">
        <v>602</v>
      </c>
      <c r="Q90" s="35">
        <v>31.0</v>
      </c>
      <c r="R90" s="35">
        <v>28.0</v>
      </c>
      <c r="S90" s="36">
        <v>0.17</v>
      </c>
      <c r="T90" s="36">
        <v>0.02</v>
      </c>
      <c r="U90" s="36">
        <v>0.4123</v>
      </c>
      <c r="V90" s="36">
        <v>0.1414</v>
      </c>
      <c r="W90" s="37" t="s">
        <v>603</v>
      </c>
      <c r="X90" s="31">
        <v>2.7</v>
      </c>
      <c r="Y90" s="36">
        <v>2.1400965157339917</v>
      </c>
      <c r="Z90" s="36">
        <v>1.9749185986159168</v>
      </c>
      <c r="AA90" s="29" t="s">
        <v>666</v>
      </c>
      <c r="AB90" s="31">
        <v>0.312480866909</v>
      </c>
      <c r="AC90" s="38">
        <v>580.0</v>
      </c>
    </row>
    <row r="91" ht="14.25" customHeight="1">
      <c r="A91" s="29" t="s">
        <v>189</v>
      </c>
      <c r="B91" s="29">
        <v>74.0</v>
      </c>
      <c r="C91" s="29" t="s">
        <v>608</v>
      </c>
      <c r="D91" s="29" t="s">
        <v>639</v>
      </c>
      <c r="E91" s="29">
        <v>190.0</v>
      </c>
      <c r="F91" s="30" t="s">
        <v>640</v>
      </c>
      <c r="G91" s="29" t="s">
        <v>626</v>
      </c>
      <c r="H91" s="31">
        <v>32.23</v>
      </c>
      <c r="I91" s="29" t="s">
        <v>597</v>
      </c>
      <c r="J91" s="32" t="s">
        <v>598</v>
      </c>
      <c r="K91" s="29" t="s">
        <v>599</v>
      </c>
      <c r="L91" s="29" t="s">
        <v>600</v>
      </c>
      <c r="M91" s="33">
        <v>-60.356</v>
      </c>
      <c r="N91" s="33">
        <v>1.29</v>
      </c>
      <c r="O91" s="34" t="s">
        <v>641</v>
      </c>
      <c r="P91" s="32" t="s">
        <v>602</v>
      </c>
      <c r="Q91" s="35">
        <v>31.0</v>
      </c>
      <c r="R91" s="35">
        <v>28.0</v>
      </c>
      <c r="S91" s="36">
        <v>0.0</v>
      </c>
      <c r="T91" s="36">
        <v>10.69</v>
      </c>
      <c r="U91" s="36">
        <v>0.0</v>
      </c>
      <c r="V91" s="36">
        <v>3.2696</v>
      </c>
      <c r="W91" s="37" t="s">
        <v>603</v>
      </c>
      <c r="X91" s="31">
        <v>2.7</v>
      </c>
      <c r="Y91" s="36">
        <v>-8.262558973010657</v>
      </c>
      <c r="Z91" s="36">
        <v>0.036311024661486876</v>
      </c>
      <c r="AA91" s="29" t="s">
        <v>666</v>
      </c>
      <c r="AB91" s="31">
        <v>0.312480866909</v>
      </c>
      <c r="AC91" s="38">
        <v>580.0</v>
      </c>
    </row>
    <row r="92" ht="14.25" customHeight="1">
      <c r="A92" s="29" t="s">
        <v>324</v>
      </c>
      <c r="B92" s="29">
        <v>75.0</v>
      </c>
      <c r="C92" s="29" t="s">
        <v>608</v>
      </c>
      <c r="D92" s="29" t="s">
        <v>696</v>
      </c>
      <c r="E92" s="29">
        <v>220.0</v>
      </c>
      <c r="F92" s="30" t="s">
        <v>697</v>
      </c>
      <c r="G92" s="29" t="s">
        <v>611</v>
      </c>
      <c r="H92" s="31">
        <v>4.19</v>
      </c>
      <c r="I92" s="29" t="s">
        <v>612</v>
      </c>
      <c r="J92" s="32" t="s">
        <v>598</v>
      </c>
      <c r="K92" s="29" t="s">
        <v>698</v>
      </c>
      <c r="L92" s="29" t="s">
        <v>699</v>
      </c>
      <c r="M92" s="33">
        <v>46.79</v>
      </c>
      <c r="N92" s="33">
        <v>-16.34</v>
      </c>
      <c r="O92" s="34" t="s">
        <v>601</v>
      </c>
      <c r="P92" s="32" t="s">
        <v>700</v>
      </c>
      <c r="Q92" s="35">
        <v>3.0</v>
      </c>
      <c r="R92" s="35">
        <v>3.0</v>
      </c>
      <c r="S92" s="36">
        <v>19.0</v>
      </c>
      <c r="T92" s="36">
        <v>157.1</v>
      </c>
      <c r="U92" s="36">
        <v>4.3589</v>
      </c>
      <c r="V92" s="36">
        <v>97.402</v>
      </c>
      <c r="W92" s="37" t="s">
        <v>623</v>
      </c>
      <c r="X92" s="31">
        <v>3.51</v>
      </c>
      <c r="Y92" s="36">
        <v>-2.1103126026456978</v>
      </c>
      <c r="Z92" s="36">
        <v>0.14567720148661129</v>
      </c>
      <c r="AA92" s="29" t="s">
        <v>701</v>
      </c>
      <c r="AB92" s="31">
        <v>16.5998306274</v>
      </c>
      <c r="AC92" s="38">
        <v>261.0</v>
      </c>
    </row>
    <row r="93" ht="14.25" customHeight="1">
      <c r="A93" s="29" t="s">
        <v>324</v>
      </c>
      <c r="B93" s="29">
        <v>75.0</v>
      </c>
      <c r="C93" s="29" t="s">
        <v>608</v>
      </c>
      <c r="D93" s="29" t="s">
        <v>696</v>
      </c>
      <c r="E93" s="29">
        <v>220.0</v>
      </c>
      <c r="F93" s="30" t="s">
        <v>697</v>
      </c>
      <c r="G93" s="29" t="s">
        <v>611</v>
      </c>
      <c r="H93" s="31">
        <v>4.19</v>
      </c>
      <c r="I93" s="29" t="s">
        <v>612</v>
      </c>
      <c r="J93" s="32" t="s">
        <v>598</v>
      </c>
      <c r="K93" s="29" t="s">
        <v>698</v>
      </c>
      <c r="L93" s="29" t="s">
        <v>699</v>
      </c>
      <c r="M93" s="33">
        <v>46.65</v>
      </c>
      <c r="N93" s="33">
        <v>-16.37</v>
      </c>
      <c r="O93" s="34" t="s">
        <v>601</v>
      </c>
      <c r="P93" s="32" t="s">
        <v>700</v>
      </c>
      <c r="Q93" s="35">
        <v>3.0</v>
      </c>
      <c r="R93" s="35">
        <v>3.0</v>
      </c>
      <c r="S93" s="36">
        <v>164.9</v>
      </c>
      <c r="T93" s="36">
        <v>157.1</v>
      </c>
      <c r="U93" s="36">
        <v>159.953</v>
      </c>
      <c r="V93" s="36">
        <v>97.402</v>
      </c>
      <c r="W93" s="37" t="s">
        <v>623</v>
      </c>
      <c r="X93" s="31">
        <v>18.6</v>
      </c>
      <c r="Y93" s="36">
        <v>0.04870244837530583</v>
      </c>
      <c r="Z93" s="36">
        <v>0.44176666666666675</v>
      </c>
      <c r="AA93" s="29" t="s">
        <v>701</v>
      </c>
      <c r="AB93" s="31">
        <v>16.5998306274</v>
      </c>
      <c r="AC93" s="38">
        <v>209.0</v>
      </c>
    </row>
    <row r="94" ht="14.25" customHeight="1">
      <c r="A94" s="29" t="s">
        <v>324</v>
      </c>
      <c r="B94" s="29">
        <v>75.0</v>
      </c>
      <c r="C94" s="29" t="s">
        <v>608</v>
      </c>
      <c r="D94" s="29" t="s">
        <v>696</v>
      </c>
      <c r="E94" s="29">
        <v>220.0</v>
      </c>
      <c r="F94" s="30" t="s">
        <v>697</v>
      </c>
      <c r="G94" s="29" t="s">
        <v>611</v>
      </c>
      <c r="H94" s="31">
        <v>4.19</v>
      </c>
      <c r="I94" s="29" t="s">
        <v>612</v>
      </c>
      <c r="J94" s="32" t="s">
        <v>598</v>
      </c>
      <c r="K94" s="29" t="s">
        <v>698</v>
      </c>
      <c r="L94" s="29" t="s">
        <v>699</v>
      </c>
      <c r="M94" s="33">
        <v>47.14</v>
      </c>
      <c r="N94" s="33">
        <v>-16.23</v>
      </c>
      <c r="O94" s="34" t="s">
        <v>601</v>
      </c>
      <c r="P94" s="32" t="s">
        <v>700</v>
      </c>
      <c r="Q94" s="35">
        <v>3.0</v>
      </c>
      <c r="R94" s="35">
        <v>3.0</v>
      </c>
      <c r="S94" s="36">
        <v>23.0</v>
      </c>
      <c r="T94" s="36">
        <v>157.1</v>
      </c>
      <c r="U94" s="36">
        <v>4.7958</v>
      </c>
      <c r="V94" s="36">
        <v>97.402</v>
      </c>
      <c r="W94" s="37" t="s">
        <v>623</v>
      </c>
      <c r="X94" s="31">
        <v>17.62</v>
      </c>
      <c r="Y94" s="36">
        <v>-1.919627642176143</v>
      </c>
      <c r="Z94" s="36">
        <v>0.1426258964335224</v>
      </c>
      <c r="AA94" s="29" t="s">
        <v>701</v>
      </c>
      <c r="AB94" s="31">
        <v>25.1628284454</v>
      </c>
      <c r="AC94" s="38">
        <v>117.0</v>
      </c>
    </row>
    <row r="95" ht="14.25" customHeight="1">
      <c r="A95" s="29" t="s">
        <v>324</v>
      </c>
      <c r="B95" s="29">
        <v>75.0</v>
      </c>
      <c r="C95" s="29" t="s">
        <v>608</v>
      </c>
      <c r="D95" s="29" t="s">
        <v>696</v>
      </c>
      <c r="E95" s="29">
        <v>220.0</v>
      </c>
      <c r="F95" s="30" t="s">
        <v>697</v>
      </c>
      <c r="G95" s="29" t="s">
        <v>611</v>
      </c>
      <c r="H95" s="31">
        <v>4.19</v>
      </c>
      <c r="I95" s="29" t="s">
        <v>612</v>
      </c>
      <c r="J95" s="32" t="s">
        <v>598</v>
      </c>
      <c r="K95" s="29" t="s">
        <v>698</v>
      </c>
      <c r="L95" s="29" t="s">
        <v>699</v>
      </c>
      <c r="M95" s="33">
        <v>46.82</v>
      </c>
      <c r="N95" s="33">
        <v>-16.3</v>
      </c>
      <c r="O95" s="34" t="s">
        <v>601</v>
      </c>
      <c r="P95" s="32" t="s">
        <v>700</v>
      </c>
      <c r="Q95" s="35">
        <v>6.0</v>
      </c>
      <c r="R95" s="35">
        <v>3.0</v>
      </c>
      <c r="S95" s="36">
        <v>5.2</v>
      </c>
      <c r="T95" s="36">
        <v>157.1</v>
      </c>
      <c r="U95" s="36">
        <v>0.104</v>
      </c>
      <c r="V95" s="36">
        <v>97.402</v>
      </c>
      <c r="W95" s="37" t="s">
        <v>623</v>
      </c>
      <c r="X95" s="31">
        <v>1.29</v>
      </c>
      <c r="Y95" s="36">
        <v>-3.4004596254024584</v>
      </c>
      <c r="Z95" s="36">
        <v>0.1282</v>
      </c>
      <c r="AA95" s="29" t="s">
        <v>701</v>
      </c>
      <c r="AB95" s="31">
        <v>27.8205165863</v>
      </c>
      <c r="AC95" s="38">
        <v>128.0</v>
      </c>
    </row>
    <row r="96" ht="14.25" customHeight="1">
      <c r="A96" s="29" t="s">
        <v>324</v>
      </c>
      <c r="B96" s="29">
        <v>75.0</v>
      </c>
      <c r="C96" s="29" t="s">
        <v>608</v>
      </c>
      <c r="D96" s="29" t="s">
        <v>696</v>
      </c>
      <c r="E96" s="29">
        <v>220.0</v>
      </c>
      <c r="F96" s="30" t="s">
        <v>697</v>
      </c>
      <c r="G96" s="29" t="s">
        <v>611</v>
      </c>
      <c r="H96" s="31">
        <v>4.19</v>
      </c>
      <c r="I96" s="29" t="s">
        <v>612</v>
      </c>
      <c r="J96" s="32" t="s">
        <v>598</v>
      </c>
      <c r="K96" s="29" t="s">
        <v>698</v>
      </c>
      <c r="L96" s="29" t="s">
        <v>699</v>
      </c>
      <c r="M96" s="33">
        <v>46.91</v>
      </c>
      <c r="N96" s="33">
        <v>-16.28</v>
      </c>
      <c r="O96" s="34" t="s">
        <v>601</v>
      </c>
      <c r="P96" s="32" t="s">
        <v>700</v>
      </c>
      <c r="Q96" s="35">
        <v>4.0</v>
      </c>
      <c r="R96" s="35">
        <v>3.0</v>
      </c>
      <c r="S96" s="36">
        <v>19.1</v>
      </c>
      <c r="T96" s="36">
        <v>157.1</v>
      </c>
      <c r="U96" s="36">
        <v>13.561</v>
      </c>
      <c r="V96" s="36">
        <v>97.402</v>
      </c>
      <c r="W96" s="37" t="s">
        <v>623</v>
      </c>
      <c r="X96" s="31">
        <v>7.5</v>
      </c>
      <c r="Y96" s="36">
        <v>-2.1050743918193495</v>
      </c>
      <c r="Z96" s="36">
        <v>0.2541583333333333</v>
      </c>
      <c r="AA96" s="29" t="s">
        <v>701</v>
      </c>
      <c r="AB96" s="31">
        <v>39.4040794373</v>
      </c>
      <c r="AC96" s="38">
        <v>271.0</v>
      </c>
    </row>
    <row r="97" ht="14.25" customHeight="1">
      <c r="A97" s="29" t="s">
        <v>324</v>
      </c>
      <c r="B97" s="29">
        <v>75.0</v>
      </c>
      <c r="C97" s="29" t="s">
        <v>608</v>
      </c>
      <c r="D97" s="29" t="s">
        <v>696</v>
      </c>
      <c r="E97" s="29">
        <v>220.0</v>
      </c>
      <c r="F97" s="30" t="s">
        <v>697</v>
      </c>
      <c r="G97" s="29" t="s">
        <v>611</v>
      </c>
      <c r="H97" s="31">
        <v>4.19</v>
      </c>
      <c r="I97" s="29" t="s">
        <v>612</v>
      </c>
      <c r="J97" s="32" t="s">
        <v>598</v>
      </c>
      <c r="K97" s="29" t="s">
        <v>698</v>
      </c>
      <c r="L97" s="29" t="s">
        <v>699</v>
      </c>
      <c r="M97" s="33">
        <v>46.96</v>
      </c>
      <c r="N97" s="33">
        <v>-16.23</v>
      </c>
      <c r="O97" s="34" t="s">
        <v>601</v>
      </c>
      <c r="P97" s="32" t="s">
        <v>700</v>
      </c>
      <c r="Q97" s="35">
        <v>2.0</v>
      </c>
      <c r="R97" s="35">
        <v>3.0</v>
      </c>
      <c r="S97" s="36">
        <v>56.0</v>
      </c>
      <c r="T97" s="36">
        <v>157.1</v>
      </c>
      <c r="U97" s="36">
        <v>7.4833</v>
      </c>
      <c r="V97" s="36">
        <v>97.402</v>
      </c>
      <c r="W97" s="37" t="s">
        <v>623</v>
      </c>
      <c r="X97" s="31">
        <v>14.65</v>
      </c>
      <c r="Y97" s="36">
        <v>-1.0308073399735689</v>
      </c>
      <c r="Z97" s="36">
        <v>0.13706186950839713</v>
      </c>
      <c r="AA97" s="29" t="s">
        <v>701</v>
      </c>
      <c r="AB97" s="31">
        <v>39.4040794373</v>
      </c>
      <c r="AC97" s="38">
        <v>264.0</v>
      </c>
    </row>
    <row r="98" ht="14.25" customHeight="1">
      <c r="A98" s="35" t="s">
        <v>183</v>
      </c>
      <c r="B98" s="35">
        <v>148.0</v>
      </c>
      <c r="C98" s="29" t="s">
        <v>608</v>
      </c>
      <c r="D98" s="35" t="s">
        <v>702</v>
      </c>
      <c r="E98" s="35">
        <v>327.0</v>
      </c>
      <c r="F98" s="39" t="s">
        <v>703</v>
      </c>
      <c r="G98" s="29" t="s">
        <v>611</v>
      </c>
      <c r="H98" s="31">
        <v>4.09996</v>
      </c>
      <c r="I98" s="29" t="s">
        <v>597</v>
      </c>
      <c r="J98" s="35" t="s">
        <v>642</v>
      </c>
      <c r="K98" s="29" t="s">
        <v>698</v>
      </c>
      <c r="L98" s="29" t="s">
        <v>704</v>
      </c>
      <c r="M98" s="35">
        <v>-10.96</v>
      </c>
      <c r="N98" s="35">
        <v>7.681</v>
      </c>
      <c r="O98" s="34" t="s">
        <v>641</v>
      </c>
      <c r="P98" s="32" t="s">
        <v>602</v>
      </c>
      <c r="Q98" s="29">
        <v>1.0</v>
      </c>
      <c r="R98" s="29">
        <v>1.0</v>
      </c>
      <c r="S98" s="36">
        <v>35.0</v>
      </c>
      <c r="T98" s="36">
        <v>67.2</v>
      </c>
      <c r="U98" s="36">
        <f t="shared" ref="U98:V98" si="16">SQRT(S98)</f>
        <v>5.916079783</v>
      </c>
      <c r="V98" s="36">
        <f t="shared" si="16"/>
        <v>8.197560613</v>
      </c>
      <c r="W98" s="37" t="s">
        <v>623</v>
      </c>
      <c r="X98" s="31">
        <v>1.99144071741</v>
      </c>
      <c r="Y98" s="36">
        <v>-0.651829952650839</v>
      </c>
      <c r="Z98" s="36">
        <v>0.04345238095238095</v>
      </c>
      <c r="AA98" s="29" t="s">
        <v>705</v>
      </c>
      <c r="AB98" s="31">
        <v>39.5225</v>
      </c>
      <c r="AC98" s="29">
        <v>267.0</v>
      </c>
    </row>
    <row r="99" ht="14.25" customHeight="1">
      <c r="A99" s="35" t="s">
        <v>183</v>
      </c>
      <c r="B99" s="35">
        <v>148.0</v>
      </c>
      <c r="C99" s="29" t="s">
        <v>608</v>
      </c>
      <c r="D99" s="35" t="s">
        <v>706</v>
      </c>
      <c r="E99" s="35">
        <v>328.0</v>
      </c>
      <c r="F99" s="39" t="s">
        <v>707</v>
      </c>
      <c r="G99" s="29" t="s">
        <v>611</v>
      </c>
      <c r="H99" s="31">
        <v>4.17503</v>
      </c>
      <c r="I99" s="29" t="s">
        <v>616</v>
      </c>
      <c r="J99" s="35" t="s">
        <v>642</v>
      </c>
      <c r="K99" s="29" t="s">
        <v>698</v>
      </c>
      <c r="L99" s="29" t="s">
        <v>704</v>
      </c>
      <c r="M99" s="35">
        <v>-10.96</v>
      </c>
      <c r="N99" s="35">
        <v>7.681</v>
      </c>
      <c r="O99" s="34" t="s">
        <v>641</v>
      </c>
      <c r="P99" s="32" t="s">
        <v>602</v>
      </c>
      <c r="Q99" s="29">
        <v>1.0</v>
      </c>
      <c r="R99" s="29">
        <v>1.0</v>
      </c>
      <c r="S99" s="36">
        <v>40.0</v>
      </c>
      <c r="T99" s="36">
        <v>14.0</v>
      </c>
      <c r="U99" s="36">
        <f t="shared" ref="U99:V99" si="17">SQRT(S99)</f>
        <v>6.32455532</v>
      </c>
      <c r="V99" s="36">
        <f t="shared" si="17"/>
        <v>3.741657387</v>
      </c>
      <c r="W99" s="37" t="s">
        <v>623</v>
      </c>
      <c r="X99" s="31">
        <v>1.99144071741</v>
      </c>
      <c r="Y99" s="36">
        <v>1.049912419699549</v>
      </c>
      <c r="Z99" s="36">
        <v>0.09642857142857143</v>
      </c>
      <c r="AA99" s="29" t="s">
        <v>705</v>
      </c>
      <c r="AB99" s="31">
        <v>39.5225</v>
      </c>
      <c r="AC99" s="29">
        <v>267.0</v>
      </c>
    </row>
    <row r="100" ht="14.25" customHeight="1">
      <c r="A100" s="35" t="s">
        <v>183</v>
      </c>
      <c r="B100" s="35">
        <v>148.0</v>
      </c>
      <c r="C100" s="29" t="s">
        <v>608</v>
      </c>
      <c r="D100" s="35" t="s">
        <v>708</v>
      </c>
      <c r="E100" s="35">
        <v>329.0</v>
      </c>
      <c r="F100" s="39" t="s">
        <v>709</v>
      </c>
      <c r="G100" s="29" t="s">
        <v>611</v>
      </c>
      <c r="H100" s="31">
        <v>2.7749800000000002</v>
      </c>
      <c r="I100" s="29" t="s">
        <v>616</v>
      </c>
      <c r="J100" s="35" t="s">
        <v>642</v>
      </c>
      <c r="K100" s="29" t="s">
        <v>698</v>
      </c>
      <c r="L100" s="29" t="s">
        <v>704</v>
      </c>
      <c r="M100" s="35">
        <v>-10.96</v>
      </c>
      <c r="N100" s="35">
        <v>7.681</v>
      </c>
      <c r="O100" s="34" t="s">
        <v>641</v>
      </c>
      <c r="P100" s="32" t="s">
        <v>602</v>
      </c>
      <c r="Q100" s="29">
        <v>1.0</v>
      </c>
      <c r="R100" s="29">
        <v>1.0</v>
      </c>
      <c r="S100" s="36">
        <v>43.4</v>
      </c>
      <c r="T100" s="36">
        <v>30.8</v>
      </c>
      <c r="U100" s="36">
        <f t="shared" ref="U100:V100" si="18">SQRT(S100)</f>
        <v>6.587867637</v>
      </c>
      <c r="V100" s="36">
        <f t="shared" si="18"/>
        <v>5.54977477</v>
      </c>
      <c r="W100" s="37" t="s">
        <v>623</v>
      </c>
      <c r="X100" s="31">
        <v>1.99144071741</v>
      </c>
      <c r="Y100" s="36">
        <v>0.3431278296763609</v>
      </c>
      <c r="Z100" s="36">
        <v>0.05550900712191034</v>
      </c>
      <c r="AA100" s="29" t="s">
        <v>705</v>
      </c>
      <c r="AB100" s="31">
        <v>39.5225</v>
      </c>
      <c r="AC100" s="29">
        <v>267.0</v>
      </c>
    </row>
    <row r="101" ht="14.25" customHeight="1">
      <c r="A101" s="35" t="s">
        <v>183</v>
      </c>
      <c r="B101" s="35">
        <v>148.0</v>
      </c>
      <c r="C101" s="29" t="s">
        <v>608</v>
      </c>
      <c r="D101" s="35" t="s">
        <v>710</v>
      </c>
      <c r="E101" s="35">
        <v>326.0</v>
      </c>
      <c r="F101" s="39" t="s">
        <v>711</v>
      </c>
      <c r="G101" s="29" t="s">
        <v>611</v>
      </c>
      <c r="H101" s="31">
        <v>6.94124</v>
      </c>
      <c r="I101" s="29" t="s">
        <v>597</v>
      </c>
      <c r="J101" s="35" t="s">
        <v>642</v>
      </c>
      <c r="K101" s="29" t="s">
        <v>698</v>
      </c>
      <c r="L101" s="29" t="s">
        <v>704</v>
      </c>
      <c r="M101" s="35">
        <v>-11.165</v>
      </c>
      <c r="N101" s="35">
        <v>7.905</v>
      </c>
      <c r="O101" s="34" t="s">
        <v>641</v>
      </c>
      <c r="P101" s="32" t="s">
        <v>602</v>
      </c>
      <c r="Q101" s="29">
        <v>1.0</v>
      </c>
      <c r="R101" s="29">
        <v>1.0</v>
      </c>
      <c r="S101" s="36">
        <v>0.0</v>
      </c>
      <c r="T101" s="36">
        <v>73.5</v>
      </c>
      <c r="U101" s="36">
        <f t="shared" ref="U101:V101" si="19">SQRT(S101)</f>
        <v>0</v>
      </c>
      <c r="V101" s="36">
        <f t="shared" si="19"/>
        <v>8.5732141</v>
      </c>
      <c r="W101" s="37" t="s">
        <v>623</v>
      </c>
      <c r="X101" s="31">
        <v>1.74455084556</v>
      </c>
      <c r="Y101" s="36">
        <v>-8.262558973010657</v>
      </c>
      <c r="Z101" s="36">
        <v>1.0150334576515232</v>
      </c>
      <c r="AA101" s="29" t="s">
        <v>705</v>
      </c>
      <c r="AB101" s="31">
        <v>249.063</v>
      </c>
      <c r="AC101" s="29">
        <v>5.0</v>
      </c>
    </row>
    <row r="102" ht="14.25" customHeight="1">
      <c r="A102" s="35" t="s">
        <v>183</v>
      </c>
      <c r="B102" s="35">
        <v>148.0</v>
      </c>
      <c r="C102" s="29" t="s">
        <v>608</v>
      </c>
      <c r="D102" s="35" t="s">
        <v>702</v>
      </c>
      <c r="E102" s="35">
        <v>327.0</v>
      </c>
      <c r="F102" s="39" t="s">
        <v>703</v>
      </c>
      <c r="G102" s="29" t="s">
        <v>611</v>
      </c>
      <c r="H102" s="31">
        <v>4.09996</v>
      </c>
      <c r="I102" s="29" t="s">
        <v>597</v>
      </c>
      <c r="J102" s="35" t="s">
        <v>642</v>
      </c>
      <c r="K102" s="29" t="s">
        <v>698</v>
      </c>
      <c r="L102" s="29" t="s">
        <v>704</v>
      </c>
      <c r="M102" s="35">
        <v>-11.165</v>
      </c>
      <c r="N102" s="35">
        <v>7.905</v>
      </c>
      <c r="O102" s="34" t="s">
        <v>641</v>
      </c>
      <c r="P102" s="32" t="s">
        <v>602</v>
      </c>
      <c r="Q102" s="29">
        <v>1.0</v>
      </c>
      <c r="R102" s="29">
        <v>1.0</v>
      </c>
      <c r="S102" s="36">
        <v>7.0</v>
      </c>
      <c r="T102" s="36">
        <v>67.2</v>
      </c>
      <c r="U102" s="36">
        <f t="shared" ref="U102:V102" si="20">SQRT(S102)</f>
        <v>2.645751311</v>
      </c>
      <c r="V102" s="36">
        <f t="shared" si="20"/>
        <v>8.197560613</v>
      </c>
      <c r="W102" s="37" t="s">
        <v>623</v>
      </c>
      <c r="X102" s="31">
        <v>1.74455084556</v>
      </c>
      <c r="Y102" s="36">
        <v>-2.2592893804529126</v>
      </c>
      <c r="Z102" s="36">
        <v>0.15773809523809526</v>
      </c>
      <c r="AA102" s="29" t="s">
        <v>705</v>
      </c>
      <c r="AB102" s="31">
        <v>249.063</v>
      </c>
      <c r="AC102" s="29">
        <v>5.0</v>
      </c>
    </row>
    <row r="103" ht="14.25" customHeight="1">
      <c r="A103" s="35" t="s">
        <v>183</v>
      </c>
      <c r="B103" s="35">
        <v>148.0</v>
      </c>
      <c r="C103" s="29" t="s">
        <v>608</v>
      </c>
      <c r="D103" s="35" t="s">
        <v>706</v>
      </c>
      <c r="E103" s="35">
        <v>328.0</v>
      </c>
      <c r="F103" s="39" t="s">
        <v>707</v>
      </c>
      <c r="G103" s="29" t="s">
        <v>611</v>
      </c>
      <c r="H103" s="31">
        <v>4.17503</v>
      </c>
      <c r="I103" s="29" t="s">
        <v>616</v>
      </c>
      <c r="J103" s="35" t="s">
        <v>642</v>
      </c>
      <c r="K103" s="29" t="s">
        <v>698</v>
      </c>
      <c r="L103" s="29" t="s">
        <v>704</v>
      </c>
      <c r="M103" s="35">
        <v>-11.165</v>
      </c>
      <c r="N103" s="35">
        <v>7.905</v>
      </c>
      <c r="O103" s="34" t="s">
        <v>641</v>
      </c>
      <c r="P103" s="32" t="s">
        <v>602</v>
      </c>
      <c r="Q103" s="29">
        <v>1.0</v>
      </c>
      <c r="R103" s="29">
        <v>1.0</v>
      </c>
      <c r="S103" s="36">
        <v>0.0</v>
      </c>
      <c r="T103" s="36">
        <v>14.0</v>
      </c>
      <c r="U103" s="36">
        <f t="shared" ref="U103:V103" si="21">SQRT(S103)</f>
        <v>0</v>
      </c>
      <c r="V103" s="36">
        <f t="shared" si="21"/>
        <v>3.741657387</v>
      </c>
      <c r="W103" s="37" t="s">
        <v>623</v>
      </c>
      <c r="X103" s="31">
        <v>1.74455084556</v>
      </c>
      <c r="Y103" s="36">
        <v>-8.262558973010657</v>
      </c>
      <c r="Z103" s="36">
        <v>1.0855726867385205</v>
      </c>
      <c r="AA103" s="29" t="s">
        <v>705</v>
      </c>
      <c r="AB103" s="31">
        <v>249.063</v>
      </c>
      <c r="AC103" s="29">
        <v>5.0</v>
      </c>
    </row>
    <row r="104" ht="14.25" customHeight="1">
      <c r="A104" s="35" t="s">
        <v>183</v>
      </c>
      <c r="B104" s="35">
        <v>148.0</v>
      </c>
      <c r="C104" s="29" t="s">
        <v>608</v>
      </c>
      <c r="D104" s="35" t="s">
        <v>708</v>
      </c>
      <c r="E104" s="35">
        <v>329.0</v>
      </c>
      <c r="F104" s="39" t="s">
        <v>709</v>
      </c>
      <c r="G104" s="29" t="s">
        <v>611</v>
      </c>
      <c r="H104" s="31">
        <v>2.7749800000000002</v>
      </c>
      <c r="I104" s="29" t="s">
        <v>616</v>
      </c>
      <c r="J104" s="35" t="s">
        <v>642</v>
      </c>
      <c r="K104" s="29" t="s">
        <v>698</v>
      </c>
      <c r="L104" s="29" t="s">
        <v>704</v>
      </c>
      <c r="M104" s="35">
        <v>-11.165</v>
      </c>
      <c r="N104" s="35">
        <v>7.905</v>
      </c>
      <c r="O104" s="34" t="s">
        <v>641</v>
      </c>
      <c r="P104" s="32" t="s">
        <v>602</v>
      </c>
      <c r="Q104" s="29">
        <v>1.0</v>
      </c>
      <c r="R104" s="29">
        <v>1.0</v>
      </c>
      <c r="S104" s="36">
        <v>28.0</v>
      </c>
      <c r="T104" s="36">
        <v>30.8</v>
      </c>
      <c r="U104" s="36">
        <f t="shared" ref="U104:V104" si="22">SQRT(S104)</f>
        <v>5.291502622</v>
      </c>
      <c r="V104" s="36">
        <f t="shared" si="22"/>
        <v>5.54977477</v>
      </c>
      <c r="W104" s="37" t="s">
        <v>623</v>
      </c>
      <c r="X104" s="31">
        <v>1.74455084556</v>
      </c>
      <c r="Y104" s="36">
        <v>-0.09502642233766484</v>
      </c>
      <c r="Z104" s="36">
        <v>0.06818181818181818</v>
      </c>
      <c r="AA104" s="29" t="s">
        <v>705</v>
      </c>
      <c r="AB104" s="31">
        <v>249.063</v>
      </c>
      <c r="AC104" s="29">
        <v>5.0</v>
      </c>
    </row>
    <row r="105" ht="14.25" customHeight="1">
      <c r="A105" s="29" t="s">
        <v>106</v>
      </c>
      <c r="B105" s="29">
        <v>27.0</v>
      </c>
      <c r="C105" s="29" t="s">
        <v>608</v>
      </c>
      <c r="D105" s="29" t="s">
        <v>712</v>
      </c>
      <c r="E105" s="29">
        <v>196.0</v>
      </c>
      <c r="F105" s="30" t="s">
        <v>713</v>
      </c>
      <c r="G105" s="29" t="s">
        <v>626</v>
      </c>
      <c r="H105" s="31">
        <v>215.0</v>
      </c>
      <c r="I105" s="29" t="s">
        <v>612</v>
      </c>
      <c r="J105" s="32" t="s">
        <v>714</v>
      </c>
      <c r="K105" s="29" t="s">
        <v>698</v>
      </c>
      <c r="L105" s="29" t="s">
        <v>715</v>
      </c>
      <c r="M105" s="33">
        <v>40.306</v>
      </c>
      <c r="N105" s="33">
        <v>6.879</v>
      </c>
      <c r="O105" s="34" t="s">
        <v>641</v>
      </c>
      <c r="P105" s="32" t="s">
        <v>602</v>
      </c>
      <c r="Q105" s="35">
        <v>144.0</v>
      </c>
      <c r="R105" s="35">
        <v>285.0</v>
      </c>
      <c r="S105" s="36">
        <v>986.0</v>
      </c>
      <c r="T105" s="36">
        <v>1025.0</v>
      </c>
      <c r="U105" s="36">
        <v>4248.9796</v>
      </c>
      <c r="V105" s="36">
        <v>6373.7948</v>
      </c>
      <c r="W105" s="37" t="s">
        <v>716</v>
      </c>
      <c r="X105" s="31">
        <v>4.9</v>
      </c>
      <c r="Y105" s="36">
        <v>-0.03852337020726138</v>
      </c>
      <c r="Z105" s="36">
        <v>0.2646355564760928</v>
      </c>
      <c r="AA105" s="29" t="s">
        <v>717</v>
      </c>
      <c r="AB105" s="31">
        <v>36.7739715576</v>
      </c>
      <c r="AC105" s="38">
        <v>225.0</v>
      </c>
    </row>
    <row r="106" ht="14.25" customHeight="1">
      <c r="A106" s="29" t="s">
        <v>106</v>
      </c>
      <c r="B106" s="29">
        <v>27.0</v>
      </c>
      <c r="C106" s="29" t="s">
        <v>608</v>
      </c>
      <c r="D106" s="29" t="s">
        <v>712</v>
      </c>
      <c r="E106" s="29">
        <v>196.0</v>
      </c>
      <c r="F106" s="30" t="s">
        <v>713</v>
      </c>
      <c r="G106" s="29" t="s">
        <v>626</v>
      </c>
      <c r="H106" s="31">
        <v>215.0</v>
      </c>
      <c r="I106" s="29" t="s">
        <v>612</v>
      </c>
      <c r="J106" s="32" t="s">
        <v>714</v>
      </c>
      <c r="K106" s="29" t="s">
        <v>698</v>
      </c>
      <c r="L106" s="29" t="s">
        <v>715</v>
      </c>
      <c r="M106" s="33">
        <v>39.743</v>
      </c>
      <c r="N106" s="33">
        <v>7.1</v>
      </c>
      <c r="O106" s="34" t="s">
        <v>641</v>
      </c>
      <c r="P106" s="32" t="s">
        <v>602</v>
      </c>
      <c r="Q106" s="35">
        <v>130.0</v>
      </c>
      <c r="R106" s="35">
        <v>285.0</v>
      </c>
      <c r="S106" s="36">
        <v>776.0</v>
      </c>
      <c r="T106" s="36">
        <v>1025.0</v>
      </c>
      <c r="U106" s="36">
        <v>2216.3614</v>
      </c>
      <c r="V106" s="36">
        <v>6373.7948</v>
      </c>
      <c r="W106" s="37" t="s">
        <v>716</v>
      </c>
      <c r="X106" s="31">
        <v>4.5</v>
      </c>
      <c r="Y106" s="36">
        <v>-0.2779546460865416</v>
      </c>
      <c r="Z106" s="36">
        <v>0.1984262576831935</v>
      </c>
      <c r="AA106" s="29" t="s">
        <v>717</v>
      </c>
      <c r="AB106" s="31">
        <v>95.0813293457</v>
      </c>
      <c r="AC106" s="38">
        <v>184.0</v>
      </c>
    </row>
    <row r="107" ht="14.25" customHeight="1">
      <c r="A107" s="29" t="s">
        <v>106</v>
      </c>
      <c r="B107" s="29">
        <v>28.0</v>
      </c>
      <c r="C107" s="29" t="s">
        <v>608</v>
      </c>
      <c r="D107" s="29" t="s">
        <v>712</v>
      </c>
      <c r="E107" s="29">
        <v>196.0</v>
      </c>
      <c r="F107" s="30" t="s">
        <v>713</v>
      </c>
      <c r="G107" s="29" t="s">
        <v>626</v>
      </c>
      <c r="H107" s="31">
        <v>215.0</v>
      </c>
      <c r="I107" s="29" t="s">
        <v>612</v>
      </c>
      <c r="J107" s="32" t="s">
        <v>714</v>
      </c>
      <c r="K107" s="29" t="s">
        <v>698</v>
      </c>
      <c r="L107" s="29" t="s">
        <v>715</v>
      </c>
      <c r="M107" s="33">
        <v>39.859</v>
      </c>
      <c r="N107" s="33">
        <v>6.827</v>
      </c>
      <c r="O107" s="34" t="s">
        <v>641</v>
      </c>
      <c r="P107" s="32" t="s">
        <v>602</v>
      </c>
      <c r="Q107" s="35">
        <v>110.0</v>
      </c>
      <c r="R107" s="35">
        <v>291.0</v>
      </c>
      <c r="S107" s="36">
        <v>24.0</v>
      </c>
      <c r="T107" s="36">
        <v>152.0</v>
      </c>
      <c r="U107" s="36">
        <v>66.8883</v>
      </c>
      <c r="V107" s="36">
        <v>974.7841</v>
      </c>
      <c r="W107" s="37" t="s">
        <v>716</v>
      </c>
      <c r="X107" s="31">
        <v>14.4</v>
      </c>
      <c r="Y107" s="36">
        <v>-1.8441940370744454</v>
      </c>
      <c r="Z107" s="36">
        <v>0.21194384344797518</v>
      </c>
      <c r="AA107" s="29" t="s">
        <v>717</v>
      </c>
      <c r="AB107" s="31">
        <v>45.8347473145</v>
      </c>
      <c r="AC107" s="38">
        <v>2123.0</v>
      </c>
    </row>
    <row r="108" ht="14.25" customHeight="1">
      <c r="A108" s="29" t="s">
        <v>106</v>
      </c>
      <c r="B108" s="29">
        <v>28.0</v>
      </c>
      <c r="C108" s="29" t="s">
        <v>608</v>
      </c>
      <c r="D108" s="29" t="s">
        <v>712</v>
      </c>
      <c r="E108" s="29">
        <v>196.0</v>
      </c>
      <c r="F108" s="30" t="s">
        <v>713</v>
      </c>
      <c r="G108" s="29" t="s">
        <v>626</v>
      </c>
      <c r="H108" s="31">
        <v>215.0</v>
      </c>
      <c r="I108" s="29" t="s">
        <v>612</v>
      </c>
      <c r="J108" s="32" t="s">
        <v>714</v>
      </c>
      <c r="K108" s="29" t="s">
        <v>698</v>
      </c>
      <c r="L108" s="29" t="s">
        <v>715</v>
      </c>
      <c r="M108" s="33">
        <v>39.986</v>
      </c>
      <c r="N108" s="33">
        <v>6.81</v>
      </c>
      <c r="O108" s="34" t="s">
        <v>641</v>
      </c>
      <c r="P108" s="32" t="s">
        <v>602</v>
      </c>
      <c r="Q108" s="35">
        <v>109.0</v>
      </c>
      <c r="R108" s="35">
        <v>291.0</v>
      </c>
      <c r="S108" s="36">
        <v>129.0</v>
      </c>
      <c r="T108" s="36">
        <v>152.0</v>
      </c>
      <c r="U108" s="36">
        <v>404.8282</v>
      </c>
      <c r="V108" s="36">
        <v>974.7841</v>
      </c>
      <c r="W108" s="37" t="s">
        <v>716</v>
      </c>
      <c r="X108" s="31">
        <v>13.5</v>
      </c>
      <c r="Y108" s="36">
        <v>-0.16376416511448308</v>
      </c>
      <c r="Z108" s="36">
        <v>0.2316823123050747</v>
      </c>
      <c r="AA108" s="29" t="s">
        <v>717</v>
      </c>
      <c r="AB108" s="31">
        <v>45.8347511292</v>
      </c>
      <c r="AC108" s="38">
        <v>1453.0</v>
      </c>
    </row>
    <row r="109" ht="14.25" customHeight="1">
      <c r="A109" s="29" t="s">
        <v>106</v>
      </c>
      <c r="B109" s="29">
        <v>28.0</v>
      </c>
      <c r="C109" s="29" t="s">
        <v>608</v>
      </c>
      <c r="D109" s="29" t="s">
        <v>712</v>
      </c>
      <c r="E109" s="29">
        <v>196.0</v>
      </c>
      <c r="F109" s="30" t="s">
        <v>713</v>
      </c>
      <c r="G109" s="29" t="s">
        <v>626</v>
      </c>
      <c r="H109" s="31">
        <v>215.0</v>
      </c>
      <c r="I109" s="29" t="s">
        <v>612</v>
      </c>
      <c r="J109" s="32" t="s">
        <v>714</v>
      </c>
      <c r="K109" s="29" t="s">
        <v>698</v>
      </c>
      <c r="L109" s="29" t="s">
        <v>715</v>
      </c>
      <c r="M109" s="33">
        <v>39.648</v>
      </c>
      <c r="N109" s="33">
        <v>7.156</v>
      </c>
      <c r="O109" s="34" t="s">
        <v>641</v>
      </c>
      <c r="P109" s="32" t="s">
        <v>602</v>
      </c>
      <c r="Q109" s="35">
        <v>115.0</v>
      </c>
      <c r="R109" s="35">
        <v>291.0</v>
      </c>
      <c r="S109" s="36">
        <v>97.0</v>
      </c>
      <c r="T109" s="36">
        <v>152.0</v>
      </c>
      <c r="U109" s="36">
        <v>341.9581</v>
      </c>
      <c r="V109" s="36">
        <v>974.7841</v>
      </c>
      <c r="W109" s="37" t="s">
        <v>716</v>
      </c>
      <c r="X109" s="31">
        <v>10.5</v>
      </c>
      <c r="Y109" s="36">
        <v>-0.44876533861871615</v>
      </c>
      <c r="Z109" s="36">
        <v>0.24940059795763359</v>
      </c>
      <c r="AA109" s="29" t="s">
        <v>717</v>
      </c>
      <c r="AB109" s="31">
        <v>50.7021484375</v>
      </c>
      <c r="AC109" s="38">
        <v>532.0</v>
      </c>
    </row>
    <row r="110" ht="14.25" customHeight="1">
      <c r="A110" s="29" t="s">
        <v>106</v>
      </c>
      <c r="B110" s="29">
        <v>28.0</v>
      </c>
      <c r="C110" s="29" t="s">
        <v>608</v>
      </c>
      <c r="D110" s="29" t="s">
        <v>712</v>
      </c>
      <c r="E110" s="29">
        <v>196.0</v>
      </c>
      <c r="F110" s="30" t="s">
        <v>713</v>
      </c>
      <c r="G110" s="29" t="s">
        <v>626</v>
      </c>
      <c r="H110" s="31">
        <v>215.0</v>
      </c>
      <c r="I110" s="29" t="s">
        <v>612</v>
      </c>
      <c r="J110" s="32" t="s">
        <v>714</v>
      </c>
      <c r="K110" s="29" t="s">
        <v>698</v>
      </c>
      <c r="L110" s="29" t="s">
        <v>715</v>
      </c>
      <c r="M110" s="33">
        <v>39.7</v>
      </c>
      <c r="N110" s="33">
        <v>6.991</v>
      </c>
      <c r="O110" s="34" t="s">
        <v>641</v>
      </c>
      <c r="P110" s="32" t="s">
        <v>602</v>
      </c>
      <c r="Q110" s="35">
        <v>120.0</v>
      </c>
      <c r="R110" s="35">
        <v>291.0</v>
      </c>
      <c r="S110" s="36">
        <v>29.0</v>
      </c>
      <c r="T110" s="36">
        <v>152.0</v>
      </c>
      <c r="U110" s="36">
        <v>86.6296</v>
      </c>
      <c r="V110" s="36">
        <v>974.7841</v>
      </c>
      <c r="W110" s="37" t="s">
        <v>716</v>
      </c>
      <c r="X110" s="31">
        <v>12.2</v>
      </c>
      <c r="Y110" s="36">
        <v>-1.6552333393028034</v>
      </c>
      <c r="Z110" s="36">
        <v>0.21569350334788068</v>
      </c>
      <c r="AA110" s="29" t="s">
        <v>717</v>
      </c>
      <c r="AB110" s="31">
        <v>50.7021484375</v>
      </c>
      <c r="AC110" s="38">
        <v>778.0</v>
      </c>
    </row>
    <row r="111" ht="14.25" customHeight="1">
      <c r="A111" s="29" t="s">
        <v>106</v>
      </c>
      <c r="B111" s="29">
        <v>28.0</v>
      </c>
      <c r="C111" s="29" t="s">
        <v>608</v>
      </c>
      <c r="D111" s="29" t="s">
        <v>712</v>
      </c>
      <c r="E111" s="29">
        <v>196.0</v>
      </c>
      <c r="F111" s="30" t="s">
        <v>713</v>
      </c>
      <c r="G111" s="29" t="s">
        <v>626</v>
      </c>
      <c r="H111" s="31">
        <v>215.0</v>
      </c>
      <c r="I111" s="29" t="s">
        <v>612</v>
      </c>
      <c r="J111" s="32" t="s">
        <v>714</v>
      </c>
      <c r="K111" s="29" t="s">
        <v>698</v>
      </c>
      <c r="L111" s="29" t="s">
        <v>715</v>
      </c>
      <c r="M111" s="33">
        <v>39.7</v>
      </c>
      <c r="N111" s="33">
        <v>7.224</v>
      </c>
      <c r="O111" s="34" t="s">
        <v>641</v>
      </c>
      <c r="P111" s="32" t="s">
        <v>602</v>
      </c>
      <c r="Q111" s="35">
        <v>113.0</v>
      </c>
      <c r="R111" s="35">
        <v>291.0</v>
      </c>
      <c r="S111" s="36">
        <v>87.0</v>
      </c>
      <c r="T111" s="36">
        <v>152.0</v>
      </c>
      <c r="U111" s="36">
        <v>344.395</v>
      </c>
      <c r="V111" s="36">
        <v>974.7841</v>
      </c>
      <c r="W111" s="37" t="s">
        <v>716</v>
      </c>
      <c r="X111" s="31">
        <v>9.6</v>
      </c>
      <c r="Y111" s="36">
        <v>-0.5575217487365669</v>
      </c>
      <c r="Z111" s="36">
        <v>0.28000530222890563</v>
      </c>
      <c r="AA111" s="29" t="s">
        <v>717</v>
      </c>
      <c r="AB111" s="31">
        <v>64.97996521</v>
      </c>
      <c r="AC111" s="38">
        <v>752.0</v>
      </c>
    </row>
    <row r="112" ht="14.25" customHeight="1">
      <c r="A112" s="29" t="s">
        <v>106</v>
      </c>
      <c r="B112" s="29">
        <v>28.0</v>
      </c>
      <c r="C112" s="29" t="s">
        <v>608</v>
      </c>
      <c r="D112" s="29" t="s">
        <v>712</v>
      </c>
      <c r="E112" s="29">
        <v>196.0</v>
      </c>
      <c r="F112" s="30" t="s">
        <v>713</v>
      </c>
      <c r="G112" s="29" t="s">
        <v>626</v>
      </c>
      <c r="H112" s="31">
        <v>215.0</v>
      </c>
      <c r="I112" s="29" t="s">
        <v>612</v>
      </c>
      <c r="J112" s="32" t="s">
        <v>714</v>
      </c>
      <c r="K112" s="29" t="s">
        <v>698</v>
      </c>
      <c r="L112" s="29" t="s">
        <v>715</v>
      </c>
      <c r="M112" s="33">
        <v>39.16</v>
      </c>
      <c r="N112" s="33">
        <v>6.853</v>
      </c>
      <c r="O112" s="34" t="s">
        <v>641</v>
      </c>
      <c r="P112" s="32" t="s">
        <v>602</v>
      </c>
      <c r="Q112" s="35">
        <v>98.0</v>
      </c>
      <c r="R112" s="35">
        <v>291.0</v>
      </c>
      <c r="S112" s="36">
        <v>245.0</v>
      </c>
      <c r="T112" s="36">
        <v>152.0</v>
      </c>
      <c r="U112" s="36">
        <v>85.2041</v>
      </c>
      <c r="V112" s="36">
        <v>974.7841</v>
      </c>
      <c r="W112" s="37" t="s">
        <v>716</v>
      </c>
      <c r="X112" s="31">
        <v>12.1</v>
      </c>
      <c r="Y112" s="36">
        <v>0.4775377409151815</v>
      </c>
      <c r="Z112" s="36">
        <v>0.14256489979134512</v>
      </c>
      <c r="AA112" s="29" t="s">
        <v>717</v>
      </c>
      <c r="AB112" s="31">
        <v>91.1926727295</v>
      </c>
      <c r="AC112" s="38">
        <v>288.0</v>
      </c>
    </row>
    <row r="113" ht="14.25" customHeight="1">
      <c r="A113" s="29" t="s">
        <v>718</v>
      </c>
      <c r="B113" s="29">
        <v>86.0</v>
      </c>
      <c r="C113" s="29" t="s">
        <v>608</v>
      </c>
      <c r="D113" s="29" t="s">
        <v>719</v>
      </c>
      <c r="E113" s="29">
        <v>245.0</v>
      </c>
      <c r="F113" s="30" t="s">
        <v>720</v>
      </c>
      <c r="G113" s="29" t="s">
        <v>629</v>
      </c>
      <c r="H113" s="31">
        <v>8.62</v>
      </c>
      <c r="I113" s="29" t="s">
        <v>657</v>
      </c>
      <c r="J113" s="32" t="s">
        <v>598</v>
      </c>
      <c r="K113" s="29" t="s">
        <v>599</v>
      </c>
      <c r="L113" s="29" t="s">
        <v>721</v>
      </c>
      <c r="M113" s="33">
        <v>-64.833</v>
      </c>
      <c r="N113" s="33">
        <v>-31.566</v>
      </c>
      <c r="O113" s="34" t="s">
        <v>641</v>
      </c>
      <c r="P113" s="32" t="s">
        <v>602</v>
      </c>
      <c r="Q113" s="35">
        <v>4.0</v>
      </c>
      <c r="R113" s="35">
        <v>4.0</v>
      </c>
      <c r="S113" s="36">
        <v>27.8578</v>
      </c>
      <c r="T113" s="36">
        <v>120.0365</v>
      </c>
      <c r="U113" s="36">
        <v>4.492</v>
      </c>
      <c r="V113" s="36">
        <v>88.1108</v>
      </c>
      <c r="W113" s="37" t="s">
        <v>722</v>
      </c>
      <c r="X113" s="31">
        <v>0.3</v>
      </c>
      <c r="Y113" s="36">
        <v>-1.4595717941492357</v>
      </c>
      <c r="Z113" s="36">
        <v>0.14120144472065682</v>
      </c>
      <c r="AA113" s="29" t="s">
        <v>717</v>
      </c>
      <c r="AB113" s="31">
        <v>3.93214321136</v>
      </c>
      <c r="AC113" s="38">
        <v>83.0</v>
      </c>
    </row>
    <row r="114" ht="14.25" customHeight="1">
      <c r="A114" s="29" t="s">
        <v>718</v>
      </c>
      <c r="B114" s="29">
        <v>86.0</v>
      </c>
      <c r="C114" s="29" t="s">
        <v>608</v>
      </c>
      <c r="D114" s="29" t="s">
        <v>719</v>
      </c>
      <c r="E114" s="29">
        <v>245.0</v>
      </c>
      <c r="F114" s="30" t="s">
        <v>720</v>
      </c>
      <c r="G114" s="29" t="s">
        <v>629</v>
      </c>
      <c r="H114" s="31">
        <v>8.62</v>
      </c>
      <c r="I114" s="29" t="s">
        <v>657</v>
      </c>
      <c r="J114" s="32" t="s">
        <v>598</v>
      </c>
      <c r="K114" s="29" t="s">
        <v>599</v>
      </c>
      <c r="L114" s="29" t="s">
        <v>721</v>
      </c>
      <c r="M114" s="33">
        <v>-64.833</v>
      </c>
      <c r="N114" s="33">
        <v>-31.566</v>
      </c>
      <c r="O114" s="34" t="s">
        <v>641</v>
      </c>
      <c r="P114" s="32" t="s">
        <v>602</v>
      </c>
      <c r="Q114" s="35">
        <v>5.0</v>
      </c>
      <c r="R114" s="35">
        <v>4.0</v>
      </c>
      <c r="S114" s="36">
        <v>28.5423</v>
      </c>
      <c r="T114" s="36">
        <v>120.0365</v>
      </c>
      <c r="U114" s="36">
        <v>5.2463</v>
      </c>
      <c r="V114" s="36">
        <v>88.1108</v>
      </c>
      <c r="W114" s="37" t="s">
        <v>722</v>
      </c>
      <c r="X114" s="31">
        <v>1.115</v>
      </c>
      <c r="Y114" s="36">
        <v>-1.4353242268579929</v>
      </c>
      <c r="Z114" s="36">
        <v>0.1414583256520167</v>
      </c>
      <c r="AA114" s="29" t="s">
        <v>717</v>
      </c>
      <c r="AB114" s="31">
        <v>3.93214321136</v>
      </c>
      <c r="AC114" s="38">
        <v>83.0</v>
      </c>
    </row>
    <row r="115" ht="14.25" customHeight="1">
      <c r="A115" s="29" t="s">
        <v>718</v>
      </c>
      <c r="B115" s="29">
        <v>86.0</v>
      </c>
      <c r="C115" s="29" t="s">
        <v>608</v>
      </c>
      <c r="D115" s="29" t="s">
        <v>723</v>
      </c>
      <c r="E115" s="29">
        <v>158.0</v>
      </c>
      <c r="F115" s="30" t="s">
        <v>724</v>
      </c>
      <c r="G115" s="29" t="s">
        <v>629</v>
      </c>
      <c r="H115" s="31">
        <v>51.6</v>
      </c>
      <c r="I115" s="29" t="s">
        <v>657</v>
      </c>
      <c r="J115" s="32" t="s">
        <v>598</v>
      </c>
      <c r="K115" s="29" t="s">
        <v>599</v>
      </c>
      <c r="L115" s="29" t="s">
        <v>721</v>
      </c>
      <c r="M115" s="33">
        <v>-64.833</v>
      </c>
      <c r="N115" s="33">
        <v>-31.566</v>
      </c>
      <c r="O115" s="34" t="s">
        <v>641</v>
      </c>
      <c r="P115" s="32" t="s">
        <v>602</v>
      </c>
      <c r="Q115" s="35">
        <v>4.0</v>
      </c>
      <c r="R115" s="35">
        <v>4.0</v>
      </c>
      <c r="S115" s="36">
        <v>18.7198</v>
      </c>
      <c r="T115" s="36">
        <v>34.4212</v>
      </c>
      <c r="U115" s="36">
        <v>1.2078</v>
      </c>
      <c r="V115" s="36">
        <v>27.5662</v>
      </c>
      <c r="W115" s="37" t="s">
        <v>722</v>
      </c>
      <c r="X115" s="31">
        <v>0.3</v>
      </c>
      <c r="Y115" s="36">
        <v>-0.6086165828688883</v>
      </c>
      <c r="Z115" s="36">
        <v>0.16138067601867484</v>
      </c>
      <c r="AA115" s="29" t="s">
        <v>717</v>
      </c>
      <c r="AB115" s="31">
        <v>3.93214321136</v>
      </c>
      <c r="AC115" s="38">
        <v>83.0</v>
      </c>
    </row>
    <row r="116" ht="14.25" customHeight="1">
      <c r="A116" s="29" t="s">
        <v>718</v>
      </c>
      <c r="B116" s="29">
        <v>86.0</v>
      </c>
      <c r="C116" s="29" t="s">
        <v>608</v>
      </c>
      <c r="D116" s="29" t="s">
        <v>723</v>
      </c>
      <c r="E116" s="29">
        <v>158.0</v>
      </c>
      <c r="F116" s="30" t="s">
        <v>724</v>
      </c>
      <c r="G116" s="29" t="s">
        <v>629</v>
      </c>
      <c r="H116" s="31">
        <v>51.6</v>
      </c>
      <c r="I116" s="29" t="s">
        <v>657</v>
      </c>
      <c r="J116" s="32" t="s">
        <v>598</v>
      </c>
      <c r="K116" s="29" t="s">
        <v>599</v>
      </c>
      <c r="L116" s="29" t="s">
        <v>721</v>
      </c>
      <c r="M116" s="33">
        <v>-64.833</v>
      </c>
      <c r="N116" s="33">
        <v>-31.566</v>
      </c>
      <c r="O116" s="34" t="s">
        <v>641</v>
      </c>
      <c r="P116" s="32" t="s">
        <v>602</v>
      </c>
      <c r="Q116" s="35">
        <v>5.0</v>
      </c>
      <c r="R116" s="35">
        <v>4.0</v>
      </c>
      <c r="S116" s="36">
        <v>19.8067</v>
      </c>
      <c r="T116" s="36">
        <v>34.4212</v>
      </c>
      <c r="U116" s="36">
        <v>2.6461</v>
      </c>
      <c r="V116" s="36">
        <v>27.5662</v>
      </c>
      <c r="W116" s="37" t="s">
        <v>722</v>
      </c>
      <c r="X116" s="31">
        <v>1.115</v>
      </c>
      <c r="Y116" s="36">
        <v>-0.5522041264523696</v>
      </c>
      <c r="Z116" s="36">
        <v>0.16390956032008264</v>
      </c>
      <c r="AA116" s="29" t="s">
        <v>717</v>
      </c>
      <c r="AB116" s="31">
        <v>3.93214321136</v>
      </c>
      <c r="AC116" s="38">
        <v>83.0</v>
      </c>
    </row>
    <row r="117" ht="14.25" customHeight="1">
      <c r="A117" s="29" t="s">
        <v>718</v>
      </c>
      <c r="B117" s="29">
        <v>87.0</v>
      </c>
      <c r="C117" s="29" t="s">
        <v>608</v>
      </c>
      <c r="D117" s="29" t="s">
        <v>719</v>
      </c>
      <c r="E117" s="29">
        <v>245.0</v>
      </c>
      <c r="F117" s="30" t="s">
        <v>720</v>
      </c>
      <c r="G117" s="29" t="s">
        <v>629</v>
      </c>
      <c r="H117" s="31">
        <v>8.62</v>
      </c>
      <c r="I117" s="29" t="s">
        <v>657</v>
      </c>
      <c r="J117" s="32" t="s">
        <v>598</v>
      </c>
      <c r="K117" s="29" t="s">
        <v>599</v>
      </c>
      <c r="L117" s="29" t="s">
        <v>721</v>
      </c>
      <c r="M117" s="33">
        <v>-64.813</v>
      </c>
      <c r="N117" s="33">
        <v>-31.675</v>
      </c>
      <c r="O117" s="34" t="s">
        <v>601</v>
      </c>
      <c r="P117" s="32" t="s">
        <v>602</v>
      </c>
      <c r="Q117" s="35">
        <v>4.0</v>
      </c>
      <c r="R117" s="35">
        <v>6.0</v>
      </c>
      <c r="S117" s="36">
        <v>375.429</v>
      </c>
      <c r="T117" s="36">
        <v>667.8582</v>
      </c>
      <c r="U117" s="36">
        <v>301.0437</v>
      </c>
      <c r="V117" s="36">
        <v>524.7749</v>
      </c>
      <c r="W117" s="37" t="s">
        <v>722</v>
      </c>
      <c r="X117" s="31">
        <v>1.265</v>
      </c>
      <c r="Y117" s="36">
        <v>-0.5755476510236452</v>
      </c>
      <c r="Z117" s="36">
        <v>0.2636498130818039</v>
      </c>
      <c r="AA117" s="29" t="s">
        <v>717</v>
      </c>
      <c r="AB117" s="31">
        <v>3.93214321136</v>
      </c>
      <c r="AC117" s="38">
        <v>235.0</v>
      </c>
    </row>
    <row r="118" ht="14.25" customHeight="1">
      <c r="A118" s="29" t="s">
        <v>718</v>
      </c>
      <c r="B118" s="29">
        <v>87.0</v>
      </c>
      <c r="C118" s="29" t="s">
        <v>608</v>
      </c>
      <c r="D118" s="29" t="s">
        <v>719</v>
      </c>
      <c r="E118" s="29">
        <v>245.0</v>
      </c>
      <c r="F118" s="30" t="s">
        <v>720</v>
      </c>
      <c r="G118" s="29" t="s">
        <v>629</v>
      </c>
      <c r="H118" s="31">
        <v>8.62</v>
      </c>
      <c r="I118" s="29" t="s">
        <v>657</v>
      </c>
      <c r="J118" s="32" t="s">
        <v>598</v>
      </c>
      <c r="K118" s="29" t="s">
        <v>599</v>
      </c>
      <c r="L118" s="29" t="s">
        <v>721</v>
      </c>
      <c r="M118" s="33">
        <v>-64.813</v>
      </c>
      <c r="N118" s="33">
        <v>-31.675</v>
      </c>
      <c r="O118" s="34" t="s">
        <v>601</v>
      </c>
      <c r="P118" s="32" t="s">
        <v>602</v>
      </c>
      <c r="Q118" s="35">
        <v>4.0</v>
      </c>
      <c r="R118" s="35">
        <v>6.0</v>
      </c>
      <c r="S118" s="36">
        <v>964.3616</v>
      </c>
      <c r="T118" s="36">
        <v>667.8582</v>
      </c>
      <c r="U118" s="36">
        <v>877.9369</v>
      </c>
      <c r="V118" s="36">
        <v>524.7749</v>
      </c>
      <c r="W118" s="37" t="s">
        <v>722</v>
      </c>
      <c r="X118" s="31">
        <v>2.75</v>
      </c>
      <c r="Y118" s="36">
        <v>0.36756911017827876</v>
      </c>
      <c r="Z118" s="36">
        <v>0.3101011871265885</v>
      </c>
      <c r="AA118" s="29" t="s">
        <v>717</v>
      </c>
      <c r="AB118" s="31">
        <v>3.93214321136</v>
      </c>
      <c r="AC118" s="38">
        <v>235.0</v>
      </c>
    </row>
    <row r="119" ht="14.25" customHeight="1">
      <c r="A119" s="29" t="s">
        <v>718</v>
      </c>
      <c r="B119" s="29">
        <v>87.0</v>
      </c>
      <c r="C119" s="29" t="s">
        <v>608</v>
      </c>
      <c r="D119" s="29" t="s">
        <v>723</v>
      </c>
      <c r="E119" s="29">
        <v>158.0</v>
      </c>
      <c r="F119" s="30" t="s">
        <v>724</v>
      </c>
      <c r="G119" s="29" t="s">
        <v>629</v>
      </c>
      <c r="H119" s="31">
        <v>51.6</v>
      </c>
      <c r="I119" s="29" t="s">
        <v>657</v>
      </c>
      <c r="J119" s="32" t="s">
        <v>598</v>
      </c>
      <c r="K119" s="29" t="s">
        <v>599</v>
      </c>
      <c r="L119" s="29" t="s">
        <v>721</v>
      </c>
      <c r="M119" s="33">
        <v>-64.813</v>
      </c>
      <c r="N119" s="33">
        <v>-31.675</v>
      </c>
      <c r="O119" s="34" t="s">
        <v>601</v>
      </c>
      <c r="P119" s="32" t="s">
        <v>602</v>
      </c>
      <c r="Q119" s="35">
        <v>4.0</v>
      </c>
      <c r="R119" s="35">
        <v>6.0</v>
      </c>
      <c r="S119" s="36">
        <v>79.7102</v>
      </c>
      <c r="T119" s="36">
        <v>318.8405</v>
      </c>
      <c r="U119" s="36">
        <v>85.5361</v>
      </c>
      <c r="V119" s="36">
        <v>257.7963</v>
      </c>
      <c r="W119" s="37" t="s">
        <v>722</v>
      </c>
      <c r="X119" s="31">
        <v>1.265</v>
      </c>
      <c r="Y119" s="36">
        <v>-1.3852619615743538</v>
      </c>
      <c r="Z119" s="36">
        <v>0.3968367416184492</v>
      </c>
      <c r="AA119" s="29" t="s">
        <v>717</v>
      </c>
      <c r="AB119" s="31">
        <v>3.93214321136</v>
      </c>
      <c r="AC119" s="38">
        <v>235.0</v>
      </c>
    </row>
    <row r="120" ht="14.25" customHeight="1">
      <c r="A120" s="29" t="s">
        <v>718</v>
      </c>
      <c r="B120" s="29">
        <v>87.0</v>
      </c>
      <c r="C120" s="29" t="s">
        <v>608</v>
      </c>
      <c r="D120" s="29" t="s">
        <v>723</v>
      </c>
      <c r="E120" s="29">
        <v>158.0</v>
      </c>
      <c r="F120" s="30" t="s">
        <v>724</v>
      </c>
      <c r="G120" s="29" t="s">
        <v>629</v>
      </c>
      <c r="H120" s="31">
        <v>51.6</v>
      </c>
      <c r="I120" s="29" t="s">
        <v>657</v>
      </c>
      <c r="J120" s="32" t="s">
        <v>598</v>
      </c>
      <c r="K120" s="29" t="s">
        <v>599</v>
      </c>
      <c r="L120" s="29" t="s">
        <v>721</v>
      </c>
      <c r="M120" s="33">
        <v>-64.813</v>
      </c>
      <c r="N120" s="33">
        <v>-31.675</v>
      </c>
      <c r="O120" s="34" t="s">
        <v>601</v>
      </c>
      <c r="P120" s="32" t="s">
        <v>602</v>
      </c>
      <c r="Q120" s="35">
        <v>4.0</v>
      </c>
      <c r="R120" s="35">
        <v>6.0</v>
      </c>
      <c r="S120" s="36">
        <v>182.9709</v>
      </c>
      <c r="T120" s="36">
        <v>318.8405</v>
      </c>
      <c r="U120" s="36">
        <v>108.0473</v>
      </c>
      <c r="V120" s="36">
        <v>257.7963</v>
      </c>
      <c r="W120" s="37" t="s">
        <v>722</v>
      </c>
      <c r="X120" s="31">
        <v>2.75</v>
      </c>
      <c r="Y120" s="36">
        <v>-0.5549143742400698</v>
      </c>
      <c r="Z120" s="36">
        <v>0.1961343793165562</v>
      </c>
      <c r="AA120" s="29" t="s">
        <v>717</v>
      </c>
      <c r="AB120" s="31">
        <v>3.93214321136</v>
      </c>
      <c r="AC120" s="38">
        <v>235.0</v>
      </c>
    </row>
    <row r="121" ht="14.25" customHeight="1">
      <c r="A121" s="29" t="s">
        <v>61</v>
      </c>
      <c r="B121" s="29">
        <v>33.0</v>
      </c>
      <c r="C121" s="29" t="s">
        <v>608</v>
      </c>
      <c r="D121" s="29" t="s">
        <v>725</v>
      </c>
      <c r="E121" s="29">
        <v>38.0</v>
      </c>
      <c r="F121" s="30" t="s">
        <v>726</v>
      </c>
      <c r="G121" s="29" t="s">
        <v>626</v>
      </c>
      <c r="H121" s="31">
        <v>14.5</v>
      </c>
      <c r="I121" s="29" t="s">
        <v>612</v>
      </c>
      <c r="J121" s="32" t="s">
        <v>642</v>
      </c>
      <c r="K121" s="29" t="s">
        <v>698</v>
      </c>
      <c r="L121" s="29" t="s">
        <v>727</v>
      </c>
      <c r="M121" s="33">
        <v>36.873</v>
      </c>
      <c r="N121" s="33">
        <v>-7.796</v>
      </c>
      <c r="O121" s="34" t="s">
        <v>601</v>
      </c>
      <c r="P121" s="32" t="s">
        <v>643</v>
      </c>
      <c r="Q121" s="35">
        <v>6.0</v>
      </c>
      <c r="R121" s="35">
        <v>4.0</v>
      </c>
      <c r="S121" s="36">
        <v>0.1774</v>
      </c>
      <c r="T121" s="36">
        <v>0.1365</v>
      </c>
      <c r="U121" s="36">
        <v>0.1725</v>
      </c>
      <c r="V121" s="36">
        <v>0.1453</v>
      </c>
      <c r="W121" s="37" t="s">
        <v>728</v>
      </c>
      <c r="X121" s="31">
        <v>1.95</v>
      </c>
      <c r="Y121" s="36">
        <v>0.2622809514352998</v>
      </c>
      <c r="Z121" s="36">
        <v>0.4408602475786567</v>
      </c>
      <c r="AA121" s="29" t="s">
        <v>729</v>
      </c>
      <c r="AB121" s="31">
        <v>16.9693088531</v>
      </c>
      <c r="AC121" s="38">
        <v>270.0</v>
      </c>
    </row>
    <row r="122" ht="14.25" customHeight="1">
      <c r="A122" s="29" t="s">
        <v>61</v>
      </c>
      <c r="B122" s="29">
        <v>33.0</v>
      </c>
      <c r="C122" s="29" t="s">
        <v>608</v>
      </c>
      <c r="D122" s="29" t="s">
        <v>730</v>
      </c>
      <c r="E122" s="29">
        <v>42.0</v>
      </c>
      <c r="F122" s="30" t="s">
        <v>731</v>
      </c>
      <c r="G122" s="29" t="s">
        <v>626</v>
      </c>
      <c r="H122" s="31">
        <v>56.0</v>
      </c>
      <c r="I122" s="29" t="s">
        <v>612</v>
      </c>
      <c r="J122" s="32" t="s">
        <v>642</v>
      </c>
      <c r="K122" s="29" t="s">
        <v>698</v>
      </c>
      <c r="L122" s="29" t="s">
        <v>727</v>
      </c>
      <c r="M122" s="33">
        <v>36.873</v>
      </c>
      <c r="N122" s="33">
        <v>-7.796</v>
      </c>
      <c r="O122" s="34" t="s">
        <v>601</v>
      </c>
      <c r="P122" s="32" t="s">
        <v>643</v>
      </c>
      <c r="Q122" s="35">
        <v>6.0</v>
      </c>
      <c r="R122" s="35">
        <v>4.0</v>
      </c>
      <c r="S122" s="36">
        <v>0.006</v>
      </c>
      <c r="T122" s="36">
        <v>0.0032</v>
      </c>
      <c r="U122" s="36">
        <v>0.0097</v>
      </c>
      <c r="V122" s="36">
        <v>0.0063</v>
      </c>
      <c r="W122" s="37" t="s">
        <v>728</v>
      </c>
      <c r="X122" s="31">
        <v>1.95</v>
      </c>
      <c r="Y122" s="36">
        <v>0.6287462488557227</v>
      </c>
      <c r="Z122" s="36">
        <v>1.4045959924768519</v>
      </c>
      <c r="AA122" s="29" t="s">
        <v>729</v>
      </c>
      <c r="AB122" s="31">
        <v>16.9693088531</v>
      </c>
      <c r="AC122" s="38">
        <v>270.0</v>
      </c>
    </row>
    <row r="123" ht="14.25" customHeight="1">
      <c r="A123" s="29" t="s">
        <v>61</v>
      </c>
      <c r="B123" s="29">
        <v>33.0</v>
      </c>
      <c r="C123" s="29" t="s">
        <v>608</v>
      </c>
      <c r="D123" s="29" t="s">
        <v>732</v>
      </c>
      <c r="E123" s="29">
        <v>113.0</v>
      </c>
      <c r="F123" s="30" t="s">
        <v>733</v>
      </c>
      <c r="G123" s="29" t="s">
        <v>626</v>
      </c>
      <c r="H123" s="31">
        <v>6.5</v>
      </c>
      <c r="I123" s="29" t="s">
        <v>612</v>
      </c>
      <c r="J123" s="32" t="s">
        <v>642</v>
      </c>
      <c r="K123" s="29" t="s">
        <v>698</v>
      </c>
      <c r="L123" s="29" t="s">
        <v>727</v>
      </c>
      <c r="M123" s="33">
        <v>36.873</v>
      </c>
      <c r="N123" s="33">
        <v>-7.796</v>
      </c>
      <c r="O123" s="34" t="s">
        <v>601</v>
      </c>
      <c r="P123" s="32" t="s">
        <v>643</v>
      </c>
      <c r="Q123" s="35">
        <v>6.0</v>
      </c>
      <c r="R123" s="35">
        <v>4.0</v>
      </c>
      <c r="S123" s="36">
        <v>0.0739</v>
      </c>
      <c r="T123" s="36">
        <v>0.0587</v>
      </c>
      <c r="U123" s="36">
        <v>0.0868</v>
      </c>
      <c r="V123" s="36">
        <v>0.078</v>
      </c>
      <c r="W123" s="37" t="s">
        <v>728</v>
      </c>
      <c r="X123" s="31">
        <v>1.95</v>
      </c>
      <c r="Y123" s="36">
        <v>0.23047801217912486</v>
      </c>
      <c r="Z123" s="36">
        <v>0.6713529719916475</v>
      </c>
      <c r="AA123" s="29" t="s">
        <v>729</v>
      </c>
      <c r="AB123" s="31">
        <v>16.9693088531</v>
      </c>
      <c r="AC123" s="38">
        <v>270.0</v>
      </c>
    </row>
    <row r="124" ht="14.25" customHeight="1">
      <c r="A124" s="29" t="s">
        <v>61</v>
      </c>
      <c r="B124" s="29">
        <v>130.0</v>
      </c>
      <c r="C124" s="29" t="s">
        <v>608</v>
      </c>
      <c r="D124" s="29" t="s">
        <v>725</v>
      </c>
      <c r="E124" s="29">
        <v>38.0</v>
      </c>
      <c r="F124" s="30" t="s">
        <v>726</v>
      </c>
      <c r="G124" s="29" t="s">
        <v>626</v>
      </c>
      <c r="H124" s="31">
        <v>14.5</v>
      </c>
      <c r="I124" s="29" t="s">
        <v>612</v>
      </c>
      <c r="J124" s="32" t="s">
        <v>642</v>
      </c>
      <c r="K124" s="29" t="s">
        <v>698</v>
      </c>
      <c r="L124" s="29" t="s">
        <v>727</v>
      </c>
      <c r="M124" s="33">
        <v>36.491</v>
      </c>
      <c r="N124" s="33">
        <v>-7.991</v>
      </c>
      <c r="O124" s="34" t="s">
        <v>601</v>
      </c>
      <c r="P124" s="32" t="s">
        <v>643</v>
      </c>
      <c r="Q124" s="35">
        <v>3.0</v>
      </c>
      <c r="R124" s="35">
        <v>2.0</v>
      </c>
      <c r="S124" s="36">
        <v>0.2653</v>
      </c>
      <c r="T124" s="36">
        <v>0.2254</v>
      </c>
      <c r="U124" s="36">
        <v>0.0225</v>
      </c>
      <c r="V124" s="36">
        <v>0.0735</v>
      </c>
      <c r="W124" s="37" t="s">
        <v>728</v>
      </c>
      <c r="X124" s="31">
        <v>5.2</v>
      </c>
      <c r="Y124" s="36">
        <v>0.16320383165366806</v>
      </c>
      <c r="Z124" s="36">
        <v>0.05556391048694425</v>
      </c>
      <c r="AA124" s="29" t="s">
        <v>729</v>
      </c>
      <c r="AB124" s="31">
        <v>16.9693107605</v>
      </c>
      <c r="AC124" s="38">
        <v>685.0</v>
      </c>
    </row>
    <row r="125" ht="14.25" customHeight="1">
      <c r="A125" s="29" t="s">
        <v>61</v>
      </c>
      <c r="B125" s="29">
        <v>130.0</v>
      </c>
      <c r="C125" s="29" t="s">
        <v>608</v>
      </c>
      <c r="D125" s="29" t="s">
        <v>725</v>
      </c>
      <c r="E125" s="29">
        <v>38.0</v>
      </c>
      <c r="F125" s="30" t="s">
        <v>726</v>
      </c>
      <c r="G125" s="29" t="s">
        <v>626</v>
      </c>
      <c r="H125" s="31">
        <v>14.5</v>
      </c>
      <c r="I125" s="29" t="s">
        <v>612</v>
      </c>
      <c r="J125" s="32" t="s">
        <v>642</v>
      </c>
      <c r="K125" s="29" t="s">
        <v>698</v>
      </c>
      <c r="L125" s="29" t="s">
        <v>727</v>
      </c>
      <c r="M125" s="33">
        <v>36.491</v>
      </c>
      <c r="N125" s="33">
        <v>-7.991</v>
      </c>
      <c r="O125" s="34" t="s">
        <v>601</v>
      </c>
      <c r="P125" s="32" t="s">
        <v>643</v>
      </c>
      <c r="Q125" s="35">
        <v>3.0</v>
      </c>
      <c r="R125" s="35">
        <v>2.0</v>
      </c>
      <c r="S125" s="36">
        <v>0.2702</v>
      </c>
      <c r="T125" s="36">
        <v>0.2254</v>
      </c>
      <c r="U125" s="36">
        <v>0.181</v>
      </c>
      <c r="V125" s="36">
        <v>0.0735</v>
      </c>
      <c r="W125" s="37" t="s">
        <v>728</v>
      </c>
      <c r="X125" s="31">
        <v>6.6</v>
      </c>
      <c r="Y125" s="36">
        <v>0.18150102183984795</v>
      </c>
      <c r="Z125" s="36">
        <v>0.20274348493805666</v>
      </c>
      <c r="AA125" s="29" t="s">
        <v>729</v>
      </c>
      <c r="AB125" s="31">
        <v>16.9693107605</v>
      </c>
      <c r="AC125" s="38">
        <v>685.0</v>
      </c>
    </row>
    <row r="126" ht="14.25" customHeight="1">
      <c r="A126" s="29" t="s">
        <v>61</v>
      </c>
      <c r="B126" s="29">
        <v>130.0</v>
      </c>
      <c r="C126" s="29" t="s">
        <v>608</v>
      </c>
      <c r="D126" s="29" t="s">
        <v>725</v>
      </c>
      <c r="E126" s="29">
        <v>38.0</v>
      </c>
      <c r="F126" s="30" t="s">
        <v>726</v>
      </c>
      <c r="G126" s="29" t="s">
        <v>626</v>
      </c>
      <c r="H126" s="31">
        <v>14.5</v>
      </c>
      <c r="I126" s="29" t="s">
        <v>612</v>
      </c>
      <c r="J126" s="32" t="s">
        <v>642</v>
      </c>
      <c r="K126" s="29" t="s">
        <v>698</v>
      </c>
      <c r="L126" s="29" t="s">
        <v>727</v>
      </c>
      <c r="M126" s="33">
        <v>36.491</v>
      </c>
      <c r="N126" s="33">
        <v>-7.991</v>
      </c>
      <c r="O126" s="34" t="s">
        <v>601</v>
      </c>
      <c r="P126" s="32" t="s">
        <v>643</v>
      </c>
      <c r="Q126" s="35">
        <v>5.0</v>
      </c>
      <c r="R126" s="35">
        <v>2.0</v>
      </c>
      <c r="S126" s="36">
        <v>0.2154</v>
      </c>
      <c r="T126" s="36">
        <v>0.2254</v>
      </c>
      <c r="U126" s="36">
        <v>0.0842</v>
      </c>
      <c r="V126" s="36">
        <v>0.0735</v>
      </c>
      <c r="W126" s="37" t="s">
        <v>728</v>
      </c>
      <c r="X126" s="31">
        <v>7.37</v>
      </c>
      <c r="Y126" s="36">
        <v>-0.04510989776415716</v>
      </c>
      <c r="Z126" s="36">
        <v>0.08372701523363071</v>
      </c>
      <c r="AA126" s="29" t="s">
        <v>729</v>
      </c>
      <c r="AB126" s="31">
        <v>16.9693107605</v>
      </c>
      <c r="AC126" s="38">
        <v>685.0</v>
      </c>
    </row>
    <row r="127" ht="14.25" customHeight="1">
      <c r="A127" s="29" t="s">
        <v>61</v>
      </c>
      <c r="B127" s="29">
        <v>130.0</v>
      </c>
      <c r="C127" s="29" t="s">
        <v>608</v>
      </c>
      <c r="D127" s="29" t="s">
        <v>725</v>
      </c>
      <c r="E127" s="29">
        <v>38.0</v>
      </c>
      <c r="F127" s="30" t="s">
        <v>726</v>
      </c>
      <c r="G127" s="29" t="s">
        <v>626</v>
      </c>
      <c r="H127" s="31">
        <v>14.5</v>
      </c>
      <c r="I127" s="29" t="s">
        <v>612</v>
      </c>
      <c r="J127" s="32" t="s">
        <v>642</v>
      </c>
      <c r="K127" s="29" t="s">
        <v>698</v>
      </c>
      <c r="L127" s="29" t="s">
        <v>727</v>
      </c>
      <c r="M127" s="33">
        <v>36.491</v>
      </c>
      <c r="N127" s="33">
        <v>-7.991</v>
      </c>
      <c r="O127" s="34" t="s">
        <v>601</v>
      </c>
      <c r="P127" s="32" t="s">
        <v>643</v>
      </c>
      <c r="Q127" s="35">
        <v>2.0</v>
      </c>
      <c r="R127" s="35">
        <v>2.0</v>
      </c>
      <c r="S127" s="36">
        <v>0.259</v>
      </c>
      <c r="T127" s="36">
        <v>0.2254</v>
      </c>
      <c r="U127" s="36">
        <v>0.0296</v>
      </c>
      <c r="V127" s="36">
        <v>0.0735</v>
      </c>
      <c r="W127" s="37" t="s">
        <v>728</v>
      </c>
      <c r="X127" s="31">
        <v>8.445</v>
      </c>
      <c r="Y127" s="36">
        <v>0.139175962824744</v>
      </c>
      <c r="Z127" s="36">
        <v>0.05969696385170325</v>
      </c>
      <c r="AA127" s="29" t="s">
        <v>729</v>
      </c>
      <c r="AB127" s="31">
        <v>16.9693107605</v>
      </c>
      <c r="AC127" s="38">
        <v>685.0</v>
      </c>
    </row>
    <row r="128" ht="14.25" customHeight="1">
      <c r="A128" s="29" t="s">
        <v>61</v>
      </c>
      <c r="B128" s="29">
        <v>130.0</v>
      </c>
      <c r="C128" s="29" t="s">
        <v>608</v>
      </c>
      <c r="D128" s="29" t="s">
        <v>730</v>
      </c>
      <c r="E128" s="29">
        <v>42.0</v>
      </c>
      <c r="F128" s="30" t="s">
        <v>731</v>
      </c>
      <c r="G128" s="29" t="s">
        <v>626</v>
      </c>
      <c r="H128" s="31">
        <v>56.0</v>
      </c>
      <c r="I128" s="29" t="s">
        <v>612</v>
      </c>
      <c r="J128" s="32" t="s">
        <v>642</v>
      </c>
      <c r="K128" s="29" t="s">
        <v>698</v>
      </c>
      <c r="L128" s="29" t="s">
        <v>727</v>
      </c>
      <c r="M128" s="33">
        <v>36.491</v>
      </c>
      <c r="N128" s="33">
        <v>-7.991</v>
      </c>
      <c r="O128" s="34" t="s">
        <v>601</v>
      </c>
      <c r="P128" s="32" t="s">
        <v>643</v>
      </c>
      <c r="Q128" s="35">
        <v>3.0</v>
      </c>
      <c r="R128" s="35">
        <v>2.0</v>
      </c>
      <c r="S128" s="36">
        <v>0.2137</v>
      </c>
      <c r="T128" s="36">
        <v>0.0478</v>
      </c>
      <c r="U128" s="36">
        <v>0.3701</v>
      </c>
      <c r="V128" s="36">
        <v>0.0469</v>
      </c>
      <c r="W128" s="37" t="s">
        <v>728</v>
      </c>
      <c r="X128" s="31">
        <v>5.2</v>
      </c>
      <c r="Y128" s="36">
        <v>1.4976052296387168</v>
      </c>
      <c r="Z128" s="36">
        <v>1.481136691382153</v>
      </c>
      <c r="AA128" s="29" t="s">
        <v>729</v>
      </c>
      <c r="AB128" s="31">
        <v>16.9693107605</v>
      </c>
      <c r="AC128" s="38">
        <v>685.0</v>
      </c>
    </row>
    <row r="129" ht="14.25" customHeight="1">
      <c r="A129" s="29" t="s">
        <v>61</v>
      </c>
      <c r="B129" s="29">
        <v>130.0</v>
      </c>
      <c r="C129" s="29" t="s">
        <v>608</v>
      </c>
      <c r="D129" s="29" t="s">
        <v>730</v>
      </c>
      <c r="E129" s="29">
        <v>42.0</v>
      </c>
      <c r="F129" s="30" t="s">
        <v>731</v>
      </c>
      <c r="G129" s="29" t="s">
        <v>626</v>
      </c>
      <c r="H129" s="31">
        <v>56.0</v>
      </c>
      <c r="I129" s="29" t="s">
        <v>612</v>
      </c>
      <c r="J129" s="32" t="s">
        <v>642</v>
      </c>
      <c r="K129" s="29" t="s">
        <v>698</v>
      </c>
      <c r="L129" s="29" t="s">
        <v>727</v>
      </c>
      <c r="M129" s="33">
        <v>36.491</v>
      </c>
      <c r="N129" s="33">
        <v>-7.991</v>
      </c>
      <c r="O129" s="34" t="s">
        <v>601</v>
      </c>
      <c r="P129" s="32" t="s">
        <v>643</v>
      </c>
      <c r="Q129" s="35">
        <v>3.0</v>
      </c>
      <c r="R129" s="35">
        <v>2.0</v>
      </c>
      <c r="S129" s="36">
        <v>0.2165</v>
      </c>
      <c r="T129" s="36">
        <v>0.0478</v>
      </c>
      <c r="U129" s="36">
        <v>0.3749</v>
      </c>
      <c r="V129" s="36">
        <v>0.0469</v>
      </c>
      <c r="W129" s="37" t="s">
        <v>728</v>
      </c>
      <c r="X129" s="31">
        <v>6.6</v>
      </c>
      <c r="Y129" s="36">
        <v>1.5106218684537618</v>
      </c>
      <c r="Z129" s="36">
        <v>1.4808741800171787</v>
      </c>
      <c r="AA129" s="29" t="s">
        <v>729</v>
      </c>
      <c r="AB129" s="31">
        <v>16.9693107605</v>
      </c>
      <c r="AC129" s="38">
        <v>685.0</v>
      </c>
    </row>
    <row r="130" ht="14.25" customHeight="1">
      <c r="A130" s="29" t="s">
        <v>61</v>
      </c>
      <c r="B130" s="29">
        <v>130.0</v>
      </c>
      <c r="C130" s="29" t="s">
        <v>608</v>
      </c>
      <c r="D130" s="29" t="s">
        <v>730</v>
      </c>
      <c r="E130" s="29">
        <v>42.0</v>
      </c>
      <c r="F130" s="30" t="s">
        <v>731</v>
      </c>
      <c r="G130" s="29" t="s">
        <v>626</v>
      </c>
      <c r="H130" s="31">
        <v>56.0</v>
      </c>
      <c r="I130" s="29" t="s">
        <v>612</v>
      </c>
      <c r="J130" s="32" t="s">
        <v>642</v>
      </c>
      <c r="K130" s="29" t="s">
        <v>698</v>
      </c>
      <c r="L130" s="29" t="s">
        <v>727</v>
      </c>
      <c r="M130" s="33">
        <v>36.491</v>
      </c>
      <c r="N130" s="33">
        <v>-7.991</v>
      </c>
      <c r="O130" s="34" t="s">
        <v>601</v>
      </c>
      <c r="P130" s="32" t="s">
        <v>643</v>
      </c>
      <c r="Q130" s="35">
        <v>5.0</v>
      </c>
      <c r="R130" s="35">
        <v>2.0</v>
      </c>
      <c r="S130" s="36">
        <v>0.002</v>
      </c>
      <c r="T130" s="36">
        <v>0.0478</v>
      </c>
      <c r="U130" s="36">
        <v>0.0044</v>
      </c>
      <c r="V130" s="36">
        <v>0.0469</v>
      </c>
      <c r="W130" s="37" t="s">
        <v>728</v>
      </c>
      <c r="X130" s="31">
        <v>7.37</v>
      </c>
      <c r="Y130" s="36">
        <v>-3.167731241184762</v>
      </c>
      <c r="Z130" s="36">
        <v>1.449348803417307</v>
      </c>
      <c r="AA130" s="29" t="s">
        <v>729</v>
      </c>
      <c r="AB130" s="31">
        <v>16.9693107605</v>
      </c>
      <c r="AC130" s="38">
        <v>685.0</v>
      </c>
    </row>
    <row r="131" ht="14.25" customHeight="1">
      <c r="A131" s="29" t="s">
        <v>61</v>
      </c>
      <c r="B131" s="29">
        <v>130.0</v>
      </c>
      <c r="C131" s="29" t="s">
        <v>608</v>
      </c>
      <c r="D131" s="29" t="s">
        <v>730</v>
      </c>
      <c r="E131" s="29">
        <v>42.0</v>
      </c>
      <c r="F131" s="30" t="s">
        <v>731</v>
      </c>
      <c r="G131" s="29" t="s">
        <v>626</v>
      </c>
      <c r="H131" s="31">
        <v>56.0</v>
      </c>
      <c r="I131" s="29" t="s">
        <v>612</v>
      </c>
      <c r="J131" s="32" t="s">
        <v>642</v>
      </c>
      <c r="K131" s="29" t="s">
        <v>698</v>
      </c>
      <c r="L131" s="29" t="s">
        <v>727</v>
      </c>
      <c r="M131" s="33">
        <v>36.491</v>
      </c>
      <c r="N131" s="33">
        <v>-7.991</v>
      </c>
      <c r="O131" s="34" t="s">
        <v>601</v>
      </c>
      <c r="P131" s="32" t="s">
        <v>643</v>
      </c>
      <c r="Q131" s="35">
        <v>2.0</v>
      </c>
      <c r="R131" s="35">
        <v>2.0</v>
      </c>
      <c r="S131" s="36">
        <v>0.0079</v>
      </c>
      <c r="T131" s="36">
        <v>0.0478</v>
      </c>
      <c r="U131" s="36">
        <v>0.0112</v>
      </c>
      <c r="V131" s="36">
        <v>0.0469</v>
      </c>
      <c r="W131" s="37" t="s">
        <v>728</v>
      </c>
      <c r="X131" s="31">
        <v>8.445</v>
      </c>
      <c r="Y131" s="36">
        <v>-1.7986030463949576</v>
      </c>
      <c r="Z131" s="36">
        <v>1.4863159561171946</v>
      </c>
      <c r="AA131" s="29" t="s">
        <v>729</v>
      </c>
      <c r="AB131" s="31">
        <v>16.9693107605</v>
      </c>
      <c r="AC131" s="38">
        <v>685.0</v>
      </c>
    </row>
    <row r="132" ht="14.25" customHeight="1">
      <c r="A132" s="29" t="s">
        <v>61</v>
      </c>
      <c r="B132" s="29">
        <v>130.0</v>
      </c>
      <c r="C132" s="29" t="s">
        <v>608</v>
      </c>
      <c r="D132" s="29" t="s">
        <v>732</v>
      </c>
      <c r="E132" s="29">
        <v>113.0</v>
      </c>
      <c r="F132" s="30" t="s">
        <v>733</v>
      </c>
      <c r="G132" s="29" t="s">
        <v>626</v>
      </c>
      <c r="H132" s="31">
        <v>6.5</v>
      </c>
      <c r="I132" s="29" t="s">
        <v>612</v>
      </c>
      <c r="J132" s="32" t="s">
        <v>642</v>
      </c>
      <c r="K132" s="29" t="s">
        <v>698</v>
      </c>
      <c r="L132" s="29" t="s">
        <v>727</v>
      </c>
      <c r="M132" s="33">
        <v>36.491</v>
      </c>
      <c r="N132" s="33">
        <v>-7.991</v>
      </c>
      <c r="O132" s="34" t="s">
        <v>601</v>
      </c>
      <c r="P132" s="32" t="s">
        <v>643</v>
      </c>
      <c r="Q132" s="35">
        <v>3.0</v>
      </c>
      <c r="R132" s="35">
        <v>2.0</v>
      </c>
      <c r="S132" s="36">
        <v>4.1386</v>
      </c>
      <c r="T132" s="36">
        <v>0.035</v>
      </c>
      <c r="U132" s="36">
        <v>1.3785</v>
      </c>
      <c r="V132" s="36">
        <v>0.0331</v>
      </c>
      <c r="W132" s="37" t="s">
        <v>728</v>
      </c>
      <c r="X132" s="31">
        <v>5.2</v>
      </c>
      <c r="Y132" s="36">
        <v>4.772766965765739</v>
      </c>
      <c r="Z132" s="36">
        <v>0.4841693280623124</v>
      </c>
      <c r="AA132" s="29" t="s">
        <v>729</v>
      </c>
      <c r="AB132" s="31">
        <v>16.9693107605</v>
      </c>
      <c r="AC132" s="38">
        <v>685.0</v>
      </c>
    </row>
    <row r="133" ht="14.25" customHeight="1">
      <c r="A133" s="29" t="s">
        <v>61</v>
      </c>
      <c r="B133" s="29">
        <v>130.0</v>
      </c>
      <c r="C133" s="29" t="s">
        <v>608</v>
      </c>
      <c r="D133" s="29" t="s">
        <v>732</v>
      </c>
      <c r="E133" s="29">
        <v>113.0</v>
      </c>
      <c r="F133" s="30" t="s">
        <v>733</v>
      </c>
      <c r="G133" s="29" t="s">
        <v>626</v>
      </c>
      <c r="H133" s="31">
        <v>6.5</v>
      </c>
      <c r="I133" s="29" t="s">
        <v>612</v>
      </c>
      <c r="J133" s="32" t="s">
        <v>642</v>
      </c>
      <c r="K133" s="29" t="s">
        <v>698</v>
      </c>
      <c r="L133" s="29" t="s">
        <v>727</v>
      </c>
      <c r="M133" s="33">
        <v>36.491</v>
      </c>
      <c r="N133" s="33">
        <v>-7.991</v>
      </c>
      <c r="O133" s="34" t="s">
        <v>601</v>
      </c>
      <c r="P133" s="32" t="s">
        <v>643</v>
      </c>
      <c r="Q133" s="35">
        <v>3.0</v>
      </c>
      <c r="R133" s="35">
        <v>2.0</v>
      </c>
      <c r="S133" s="36">
        <v>2.6954</v>
      </c>
      <c r="T133" s="36">
        <v>0.035</v>
      </c>
      <c r="U133" s="36">
        <v>2.6399</v>
      </c>
      <c r="V133" s="36">
        <v>0.0331</v>
      </c>
      <c r="W133" s="37" t="s">
        <v>728</v>
      </c>
      <c r="X133" s="31">
        <v>6.6</v>
      </c>
      <c r="Y133" s="36">
        <v>4.343957183965343</v>
      </c>
      <c r="Z133" s="36">
        <v>0.7669353225988068</v>
      </c>
      <c r="AA133" s="29" t="s">
        <v>729</v>
      </c>
      <c r="AB133" s="31">
        <v>16.9693107605</v>
      </c>
      <c r="AC133" s="38">
        <v>685.0</v>
      </c>
    </row>
    <row r="134" ht="14.25" customHeight="1">
      <c r="A134" s="29" t="s">
        <v>61</v>
      </c>
      <c r="B134" s="29">
        <v>130.0</v>
      </c>
      <c r="C134" s="29" t="s">
        <v>608</v>
      </c>
      <c r="D134" s="29" t="s">
        <v>732</v>
      </c>
      <c r="E134" s="29">
        <v>113.0</v>
      </c>
      <c r="F134" s="30" t="s">
        <v>733</v>
      </c>
      <c r="G134" s="29" t="s">
        <v>626</v>
      </c>
      <c r="H134" s="31">
        <v>6.5</v>
      </c>
      <c r="I134" s="29" t="s">
        <v>612</v>
      </c>
      <c r="J134" s="32" t="s">
        <v>642</v>
      </c>
      <c r="K134" s="29" t="s">
        <v>698</v>
      </c>
      <c r="L134" s="29" t="s">
        <v>727</v>
      </c>
      <c r="M134" s="33">
        <v>36.491</v>
      </c>
      <c r="N134" s="33">
        <v>-7.991</v>
      </c>
      <c r="O134" s="34" t="s">
        <v>601</v>
      </c>
      <c r="P134" s="32" t="s">
        <v>643</v>
      </c>
      <c r="Q134" s="35">
        <v>5.0</v>
      </c>
      <c r="R134" s="35">
        <v>2.0</v>
      </c>
      <c r="S134" s="36">
        <v>1.6672</v>
      </c>
      <c r="T134" s="36">
        <v>0.035</v>
      </c>
      <c r="U134" s="36">
        <v>1.5995</v>
      </c>
      <c r="V134" s="36">
        <v>0.0331</v>
      </c>
      <c r="W134" s="37" t="s">
        <v>728</v>
      </c>
      <c r="X134" s="31">
        <v>7.37</v>
      </c>
      <c r="Y134" s="36">
        <v>3.863558206278431</v>
      </c>
      <c r="Z134" s="36">
        <v>0.6312747385821064</v>
      </c>
      <c r="AA134" s="29" t="s">
        <v>729</v>
      </c>
      <c r="AB134" s="31">
        <v>16.9693107605</v>
      </c>
      <c r="AC134" s="38">
        <v>685.0</v>
      </c>
    </row>
    <row r="135" ht="14.25" customHeight="1">
      <c r="A135" s="29" t="s">
        <v>61</v>
      </c>
      <c r="B135" s="29">
        <v>130.0</v>
      </c>
      <c r="C135" s="29" t="s">
        <v>608</v>
      </c>
      <c r="D135" s="29" t="s">
        <v>732</v>
      </c>
      <c r="E135" s="29">
        <v>113.0</v>
      </c>
      <c r="F135" s="30" t="s">
        <v>733</v>
      </c>
      <c r="G135" s="29" t="s">
        <v>626</v>
      </c>
      <c r="H135" s="31">
        <v>6.5</v>
      </c>
      <c r="I135" s="29" t="s">
        <v>612</v>
      </c>
      <c r="J135" s="32" t="s">
        <v>642</v>
      </c>
      <c r="K135" s="29" t="s">
        <v>698</v>
      </c>
      <c r="L135" s="29" t="s">
        <v>727</v>
      </c>
      <c r="M135" s="33">
        <v>36.491</v>
      </c>
      <c r="N135" s="33">
        <v>-7.991</v>
      </c>
      <c r="O135" s="34" t="s">
        <v>601</v>
      </c>
      <c r="P135" s="32" t="s">
        <v>643</v>
      </c>
      <c r="Q135" s="35">
        <v>2.0</v>
      </c>
      <c r="R135" s="35">
        <v>2.0</v>
      </c>
      <c r="S135" s="36">
        <v>0.0579</v>
      </c>
      <c r="T135" s="36">
        <v>0.035</v>
      </c>
      <c r="U135" s="36">
        <v>0.0595</v>
      </c>
      <c r="V135" s="36">
        <v>0.0331</v>
      </c>
      <c r="W135" s="37" t="s">
        <v>728</v>
      </c>
      <c r="X135" s="31">
        <v>8.445</v>
      </c>
      <c r="Y135" s="36">
        <v>0.5035252682310245</v>
      </c>
      <c r="Z135" s="36">
        <v>0.9752034214435681</v>
      </c>
      <c r="AA135" s="29" t="s">
        <v>729</v>
      </c>
      <c r="AB135" s="31">
        <v>16.9693107605</v>
      </c>
      <c r="AC135" s="38">
        <v>685.0</v>
      </c>
    </row>
    <row r="136" ht="14.25" customHeight="1">
      <c r="A136" s="29" t="s">
        <v>277</v>
      </c>
      <c r="B136" s="29">
        <v>145.0</v>
      </c>
      <c r="C136" s="29" t="s">
        <v>608</v>
      </c>
      <c r="D136" s="29" t="s">
        <v>734</v>
      </c>
      <c r="E136" s="29">
        <v>19.0</v>
      </c>
      <c r="F136" s="30" t="s">
        <v>735</v>
      </c>
      <c r="G136" s="29" t="s">
        <v>629</v>
      </c>
      <c r="H136" s="31">
        <v>3.3</v>
      </c>
      <c r="I136" s="29" t="s">
        <v>657</v>
      </c>
      <c r="J136" s="32" t="s">
        <v>642</v>
      </c>
      <c r="K136" s="29" t="s">
        <v>698</v>
      </c>
      <c r="L136" s="29" t="s">
        <v>727</v>
      </c>
      <c r="M136" s="36">
        <v>35.888</v>
      </c>
      <c r="N136" s="36">
        <v>-8.528</v>
      </c>
      <c r="O136" s="34" t="s">
        <v>601</v>
      </c>
      <c r="P136" s="32" t="s">
        <v>602</v>
      </c>
      <c r="Q136" s="29">
        <v>1.0</v>
      </c>
      <c r="R136" s="29">
        <v>1.0</v>
      </c>
      <c r="S136" s="36">
        <v>0.0</v>
      </c>
      <c r="T136" s="36">
        <v>0.44</v>
      </c>
      <c r="U136" s="36">
        <f t="shared" ref="U136:V136" si="23">SQRT(S136)</f>
        <v>0</v>
      </c>
      <c r="V136" s="36">
        <f t="shared" si="23"/>
        <v>0.6633249581</v>
      </c>
      <c r="W136" s="37" t="s">
        <v>736</v>
      </c>
      <c r="X136" s="31">
        <v>5.955</v>
      </c>
      <c r="Y136" s="36">
        <v>-8.262558973010657</v>
      </c>
      <c r="Z136" s="36">
        <v>2.531603619365188</v>
      </c>
      <c r="AA136" s="29" t="s">
        <v>729</v>
      </c>
      <c r="AB136" s="31">
        <v>16.9693</v>
      </c>
      <c r="AC136" s="38">
        <v>541.0</v>
      </c>
    </row>
    <row r="137" ht="14.25" customHeight="1">
      <c r="A137" s="29" t="s">
        <v>277</v>
      </c>
      <c r="B137" s="29">
        <v>145.0</v>
      </c>
      <c r="C137" s="29" t="s">
        <v>608</v>
      </c>
      <c r="D137" s="29" t="s">
        <v>737</v>
      </c>
      <c r="E137" s="29">
        <v>314.0</v>
      </c>
      <c r="F137" s="30" t="s">
        <v>738</v>
      </c>
      <c r="G137" s="29" t="s">
        <v>629</v>
      </c>
      <c r="H137" s="31">
        <v>1.54999</v>
      </c>
      <c r="I137" s="29" t="s">
        <v>620</v>
      </c>
      <c r="J137" s="32" t="s">
        <v>642</v>
      </c>
      <c r="K137" s="29" t="s">
        <v>698</v>
      </c>
      <c r="L137" s="29" t="s">
        <v>727</v>
      </c>
      <c r="M137" s="36">
        <v>35.888</v>
      </c>
      <c r="N137" s="36">
        <v>-8.528</v>
      </c>
      <c r="O137" s="34" t="s">
        <v>601</v>
      </c>
      <c r="P137" s="32" t="s">
        <v>602</v>
      </c>
      <c r="Q137" s="29">
        <v>1.0</v>
      </c>
      <c r="R137" s="29">
        <v>1.0</v>
      </c>
      <c r="S137" s="36">
        <v>5.76</v>
      </c>
      <c r="T137" s="36">
        <v>18.43</v>
      </c>
      <c r="U137" s="36">
        <f t="shared" ref="U137:V137" si="24">SQRT(S137)</f>
        <v>2.4</v>
      </c>
      <c r="V137" s="36">
        <f t="shared" si="24"/>
        <v>4.293017587</v>
      </c>
      <c r="W137" s="37" t="s">
        <v>736</v>
      </c>
      <c r="X137" s="31">
        <v>5.955</v>
      </c>
      <c r="Y137" s="36">
        <v>-1.1622171337021694</v>
      </c>
      <c r="Z137" s="36">
        <v>0.22787047085066617</v>
      </c>
      <c r="AA137" s="29" t="s">
        <v>729</v>
      </c>
      <c r="AB137" s="31">
        <v>16.9693</v>
      </c>
      <c r="AC137" s="38">
        <v>541.0</v>
      </c>
    </row>
    <row r="138" ht="14.25" customHeight="1">
      <c r="A138" s="29" t="s">
        <v>277</v>
      </c>
      <c r="B138" s="29">
        <v>145.0</v>
      </c>
      <c r="C138" s="29" t="s">
        <v>608</v>
      </c>
      <c r="D138" s="29" t="s">
        <v>739</v>
      </c>
      <c r="E138" s="29">
        <v>38.0</v>
      </c>
      <c r="F138" s="30" t="s">
        <v>726</v>
      </c>
      <c r="G138" s="29" t="s">
        <v>626</v>
      </c>
      <c r="H138" s="31">
        <v>14.5</v>
      </c>
      <c r="I138" s="29" t="s">
        <v>612</v>
      </c>
      <c r="J138" s="32" t="s">
        <v>642</v>
      </c>
      <c r="K138" s="29" t="s">
        <v>698</v>
      </c>
      <c r="L138" s="29" t="s">
        <v>727</v>
      </c>
      <c r="M138" s="36">
        <v>35.888</v>
      </c>
      <c r="N138" s="36">
        <v>-8.528</v>
      </c>
      <c r="O138" s="34" t="s">
        <v>601</v>
      </c>
      <c r="P138" s="32" t="s">
        <v>602</v>
      </c>
      <c r="Q138" s="29">
        <v>1.0</v>
      </c>
      <c r="R138" s="29">
        <v>1.0</v>
      </c>
      <c r="S138" s="36">
        <v>2.71</v>
      </c>
      <c r="T138" s="36">
        <v>20.5</v>
      </c>
      <c r="U138" s="36">
        <f t="shared" ref="U138:V138" si="25">SQRT(S138)</f>
        <v>1.646207763</v>
      </c>
      <c r="V138" s="36">
        <f t="shared" si="25"/>
        <v>4.527692569</v>
      </c>
      <c r="W138" s="37" t="s">
        <v>736</v>
      </c>
      <c r="X138" s="31">
        <v>5.955</v>
      </c>
      <c r="Y138" s="36">
        <v>-2.0215265083339578</v>
      </c>
      <c r="Z138" s="36">
        <v>0.4177841778417784</v>
      </c>
      <c r="AA138" s="29" t="s">
        <v>729</v>
      </c>
      <c r="AB138" s="31">
        <v>16.9693</v>
      </c>
      <c r="AC138" s="38">
        <v>541.0</v>
      </c>
    </row>
    <row r="139" ht="14.25" customHeight="1">
      <c r="A139" s="29" t="s">
        <v>277</v>
      </c>
      <c r="B139" s="29">
        <v>145.0</v>
      </c>
      <c r="C139" s="29" t="s">
        <v>608</v>
      </c>
      <c r="D139" s="29" t="s">
        <v>730</v>
      </c>
      <c r="E139" s="29">
        <v>42.0</v>
      </c>
      <c r="F139" s="30" t="s">
        <v>731</v>
      </c>
      <c r="G139" s="29" t="s">
        <v>626</v>
      </c>
      <c r="H139" s="31">
        <v>56.0</v>
      </c>
      <c r="I139" s="29" t="s">
        <v>612</v>
      </c>
      <c r="J139" s="32" t="s">
        <v>642</v>
      </c>
      <c r="K139" s="29" t="s">
        <v>698</v>
      </c>
      <c r="L139" s="29" t="s">
        <v>727</v>
      </c>
      <c r="M139" s="36">
        <v>35.888</v>
      </c>
      <c r="N139" s="36">
        <v>-8.528</v>
      </c>
      <c r="O139" s="34" t="s">
        <v>601</v>
      </c>
      <c r="P139" s="32" t="s">
        <v>602</v>
      </c>
      <c r="Q139" s="29">
        <v>1.0</v>
      </c>
      <c r="R139" s="29">
        <v>1.0</v>
      </c>
      <c r="S139" s="36">
        <v>1.18</v>
      </c>
      <c r="T139" s="36">
        <v>3.49</v>
      </c>
      <c r="U139" s="36">
        <f t="shared" ref="U139:V139" si="26">SQRT(S139)</f>
        <v>1.086278049</v>
      </c>
      <c r="V139" s="36">
        <f t="shared" si="26"/>
        <v>1.868154169</v>
      </c>
      <c r="W139" s="37" t="s">
        <v>736</v>
      </c>
      <c r="X139" s="31">
        <v>5.955</v>
      </c>
      <c r="Y139" s="36">
        <v>-1.0836245270282026</v>
      </c>
      <c r="Z139" s="36">
        <v>1.1339905784080422</v>
      </c>
      <c r="AA139" s="29" t="s">
        <v>729</v>
      </c>
      <c r="AB139" s="31">
        <v>16.9693</v>
      </c>
      <c r="AC139" s="38">
        <v>541.0</v>
      </c>
    </row>
    <row r="140" ht="14.25" customHeight="1">
      <c r="A140" s="29" t="s">
        <v>277</v>
      </c>
      <c r="B140" s="29">
        <v>145.0</v>
      </c>
      <c r="C140" s="29" t="s">
        <v>608</v>
      </c>
      <c r="D140" s="40" t="s">
        <v>740</v>
      </c>
      <c r="E140" s="29">
        <v>274.0</v>
      </c>
      <c r="F140" s="30" t="s">
        <v>741</v>
      </c>
      <c r="G140" s="29" t="s">
        <v>611</v>
      </c>
      <c r="H140" s="31">
        <v>8.0</v>
      </c>
      <c r="I140" s="29" t="s">
        <v>597</v>
      </c>
      <c r="J140" s="32" t="s">
        <v>642</v>
      </c>
      <c r="K140" s="29" t="s">
        <v>698</v>
      </c>
      <c r="L140" s="29" t="s">
        <v>727</v>
      </c>
      <c r="M140" s="36">
        <v>35.888</v>
      </c>
      <c r="N140" s="36">
        <v>-8.528</v>
      </c>
      <c r="O140" s="34" t="s">
        <v>601</v>
      </c>
      <c r="P140" s="32" t="s">
        <v>602</v>
      </c>
      <c r="Q140" s="29">
        <v>1.0</v>
      </c>
      <c r="R140" s="29">
        <v>1.0</v>
      </c>
      <c r="S140" s="36">
        <v>2.71</v>
      </c>
      <c r="T140" s="36">
        <v>8.83</v>
      </c>
      <c r="U140" s="36">
        <f t="shared" ref="U140:V140" si="27">SQRT(S140)</f>
        <v>1.646207763</v>
      </c>
      <c r="V140" s="36">
        <f t="shared" si="27"/>
        <v>2.971531592</v>
      </c>
      <c r="W140" s="37" t="s">
        <v>736</v>
      </c>
      <c r="X140" s="31">
        <v>5.955</v>
      </c>
      <c r="Y140" s="36">
        <v>-1.1803660975189179</v>
      </c>
      <c r="Z140" s="36">
        <v>0.48225397316260815</v>
      </c>
      <c r="AA140" s="29" t="s">
        <v>729</v>
      </c>
      <c r="AB140" s="31">
        <v>16.9693</v>
      </c>
      <c r="AC140" s="38">
        <v>541.0</v>
      </c>
    </row>
    <row r="141" ht="14.25" customHeight="1">
      <c r="A141" s="29" t="s">
        <v>277</v>
      </c>
      <c r="B141" s="29">
        <v>145.0</v>
      </c>
      <c r="C141" s="29" t="s">
        <v>608</v>
      </c>
      <c r="D141" s="29" t="s">
        <v>742</v>
      </c>
      <c r="E141" s="29">
        <v>275.0</v>
      </c>
      <c r="F141" s="30" t="s">
        <v>743</v>
      </c>
      <c r="G141" s="29" t="s">
        <v>611</v>
      </c>
      <c r="H141" s="31">
        <v>5.0</v>
      </c>
      <c r="I141" s="29" t="s">
        <v>597</v>
      </c>
      <c r="J141" s="32" t="s">
        <v>642</v>
      </c>
      <c r="K141" s="29" t="s">
        <v>698</v>
      </c>
      <c r="L141" s="29" t="s">
        <v>727</v>
      </c>
      <c r="M141" s="36">
        <v>35.888</v>
      </c>
      <c r="N141" s="36">
        <v>-8.528</v>
      </c>
      <c r="O141" s="34" t="s">
        <v>601</v>
      </c>
      <c r="P141" s="32" t="s">
        <v>602</v>
      </c>
      <c r="Q141" s="29">
        <v>1.0</v>
      </c>
      <c r="R141" s="29">
        <v>1.0</v>
      </c>
      <c r="S141" s="36">
        <v>0.94</v>
      </c>
      <c r="T141" s="36">
        <v>0.55</v>
      </c>
      <c r="U141" s="36">
        <f t="shared" ref="U141:V141" si="28">SQRT(S141)</f>
        <v>0.9695359715</v>
      </c>
      <c r="V141" s="36">
        <f t="shared" si="28"/>
        <v>0.7416198487</v>
      </c>
      <c r="W141" s="37" t="s">
        <v>736</v>
      </c>
      <c r="X141" s="31">
        <v>5.955</v>
      </c>
      <c r="Y141" s="36">
        <v>0.5361125418839447</v>
      </c>
      <c r="Z141" s="36">
        <v>2.882011605415861</v>
      </c>
      <c r="AA141" s="29" t="s">
        <v>729</v>
      </c>
      <c r="AB141" s="31">
        <v>16.9693</v>
      </c>
      <c r="AC141" s="38">
        <v>541.0</v>
      </c>
    </row>
    <row r="142" ht="14.25" customHeight="1">
      <c r="A142" s="29" t="s">
        <v>277</v>
      </c>
      <c r="B142" s="29">
        <v>145.0</v>
      </c>
      <c r="C142" s="29" t="s">
        <v>608</v>
      </c>
      <c r="D142" s="29" t="s">
        <v>744</v>
      </c>
      <c r="E142" s="29">
        <v>237.0</v>
      </c>
      <c r="F142" s="30" t="s">
        <v>745</v>
      </c>
      <c r="G142" s="29" t="s">
        <v>615</v>
      </c>
      <c r="H142" s="31">
        <v>1.27</v>
      </c>
      <c r="I142" s="29" t="s">
        <v>616</v>
      </c>
      <c r="J142" s="32" t="s">
        <v>642</v>
      </c>
      <c r="K142" s="29" t="s">
        <v>698</v>
      </c>
      <c r="L142" s="29" t="s">
        <v>727</v>
      </c>
      <c r="M142" s="36">
        <v>35.888</v>
      </c>
      <c r="N142" s="36">
        <v>-8.528</v>
      </c>
      <c r="O142" s="34" t="s">
        <v>601</v>
      </c>
      <c r="P142" s="32" t="s">
        <v>602</v>
      </c>
      <c r="Q142" s="29">
        <v>1.0</v>
      </c>
      <c r="R142" s="29">
        <v>1.0</v>
      </c>
      <c r="S142" s="36">
        <v>45.18</v>
      </c>
      <c r="T142" s="36">
        <v>26.94</v>
      </c>
      <c r="U142" s="36">
        <f t="shared" ref="U142:V142" si="29">SQRT(S142)</f>
        <v>6.721606951</v>
      </c>
      <c r="V142" s="36">
        <f t="shared" si="29"/>
        <v>5.190375709</v>
      </c>
      <c r="W142" s="37" t="s">
        <v>736</v>
      </c>
      <c r="X142" s="31">
        <v>5.955</v>
      </c>
      <c r="Y142" s="36">
        <v>0.5171961676323061</v>
      </c>
      <c r="Z142" s="36">
        <v>0.059253212342414555</v>
      </c>
      <c r="AA142" s="29" t="s">
        <v>729</v>
      </c>
      <c r="AB142" s="31">
        <v>16.9693</v>
      </c>
      <c r="AC142" s="38">
        <v>541.0</v>
      </c>
    </row>
    <row r="143" ht="14.25" customHeight="1">
      <c r="A143" s="29" t="s">
        <v>277</v>
      </c>
      <c r="B143" s="29">
        <v>145.0</v>
      </c>
      <c r="C143" s="29" t="s">
        <v>608</v>
      </c>
      <c r="D143" s="29" t="s">
        <v>746</v>
      </c>
      <c r="E143" s="29">
        <v>315.0</v>
      </c>
      <c r="F143" s="30" t="s">
        <v>747</v>
      </c>
      <c r="G143" s="41" t="s">
        <v>748</v>
      </c>
      <c r="H143" s="31">
        <v>2.95</v>
      </c>
      <c r="I143" s="29" t="s">
        <v>612</v>
      </c>
      <c r="J143" s="32" t="s">
        <v>642</v>
      </c>
      <c r="K143" s="29" t="s">
        <v>698</v>
      </c>
      <c r="L143" s="29" t="s">
        <v>727</v>
      </c>
      <c r="M143" s="36">
        <v>35.888</v>
      </c>
      <c r="N143" s="36">
        <v>-8.528</v>
      </c>
      <c r="O143" s="34" t="s">
        <v>601</v>
      </c>
      <c r="P143" s="32" t="s">
        <v>602</v>
      </c>
      <c r="Q143" s="29">
        <v>1.0</v>
      </c>
      <c r="R143" s="29">
        <v>1.0</v>
      </c>
      <c r="S143" s="36">
        <v>0.35</v>
      </c>
      <c r="T143" s="36">
        <v>4.47</v>
      </c>
      <c r="U143" s="36">
        <f t="shared" ref="U143:V143" si="30">SQRT(S143)</f>
        <v>0.5916079783</v>
      </c>
      <c r="V143" s="36">
        <f t="shared" si="30"/>
        <v>2.114237451</v>
      </c>
      <c r="W143" s="37" t="s">
        <v>736</v>
      </c>
      <c r="X143" s="31">
        <v>5.955</v>
      </c>
      <c r="Y143" s="36">
        <v>-2.543920947537266</v>
      </c>
      <c r="Z143" s="36">
        <v>3.080856503675296</v>
      </c>
      <c r="AA143" s="29" t="s">
        <v>729</v>
      </c>
      <c r="AB143" s="31">
        <v>16.9693</v>
      </c>
      <c r="AC143" s="38">
        <v>541.0</v>
      </c>
    </row>
    <row r="144" ht="14.25" customHeight="1">
      <c r="A144" s="29" t="s">
        <v>277</v>
      </c>
      <c r="B144" s="29">
        <v>145.0</v>
      </c>
      <c r="C144" s="29" t="s">
        <v>608</v>
      </c>
      <c r="D144" s="29" t="s">
        <v>749</v>
      </c>
      <c r="E144" s="29">
        <v>316.0</v>
      </c>
      <c r="F144" s="30" t="s">
        <v>750</v>
      </c>
      <c r="G144" s="29" t="s">
        <v>629</v>
      </c>
      <c r="H144" s="31">
        <v>1.05499</v>
      </c>
      <c r="I144" s="29" t="s">
        <v>657</v>
      </c>
      <c r="J144" s="32" t="s">
        <v>642</v>
      </c>
      <c r="K144" s="29" t="s">
        <v>698</v>
      </c>
      <c r="L144" s="29" t="s">
        <v>727</v>
      </c>
      <c r="M144" s="36">
        <v>35.888</v>
      </c>
      <c r="N144" s="36">
        <v>-8.528</v>
      </c>
      <c r="O144" s="34" t="s">
        <v>601</v>
      </c>
      <c r="P144" s="32" t="s">
        <v>602</v>
      </c>
      <c r="Q144" s="29">
        <v>1.0</v>
      </c>
      <c r="R144" s="29">
        <v>1.0</v>
      </c>
      <c r="S144" s="36">
        <v>4.35</v>
      </c>
      <c r="T144" s="36">
        <v>1.85</v>
      </c>
      <c r="U144" s="36">
        <f t="shared" ref="U144:V144" si="31">SQRT(S144)</f>
        <v>2.085665361</v>
      </c>
      <c r="V144" s="36">
        <f t="shared" si="31"/>
        <v>1.360147051</v>
      </c>
      <c r="W144" s="37" t="s">
        <v>736</v>
      </c>
      <c r="X144" s="31">
        <v>5.955</v>
      </c>
      <c r="Y144" s="36">
        <v>0.8550999232513474</v>
      </c>
      <c r="Z144" s="36">
        <v>0.7704255980118049</v>
      </c>
      <c r="AA144" s="29" t="s">
        <v>729</v>
      </c>
      <c r="AB144" s="31">
        <v>16.9693</v>
      </c>
      <c r="AC144" s="38">
        <v>541.0</v>
      </c>
    </row>
    <row r="145" ht="14.25" customHeight="1">
      <c r="A145" s="29" t="s">
        <v>277</v>
      </c>
      <c r="B145" s="29">
        <v>145.0</v>
      </c>
      <c r="C145" s="29" t="s">
        <v>608</v>
      </c>
      <c r="D145" s="29" t="s">
        <v>751</v>
      </c>
      <c r="E145" s="29">
        <v>97.0</v>
      </c>
      <c r="F145" s="30" t="s">
        <v>752</v>
      </c>
      <c r="G145" s="29" t="s">
        <v>753</v>
      </c>
      <c r="H145" s="31">
        <v>3940.03</v>
      </c>
      <c r="I145" s="29" t="s">
        <v>612</v>
      </c>
      <c r="J145" s="32" t="s">
        <v>642</v>
      </c>
      <c r="K145" s="29" t="s">
        <v>698</v>
      </c>
      <c r="L145" s="29" t="s">
        <v>727</v>
      </c>
      <c r="M145" s="36">
        <v>35.888</v>
      </c>
      <c r="N145" s="36">
        <v>-8.528</v>
      </c>
      <c r="O145" s="34" t="s">
        <v>601</v>
      </c>
      <c r="P145" s="32" t="s">
        <v>602</v>
      </c>
      <c r="Q145" s="29">
        <v>1.0</v>
      </c>
      <c r="R145" s="29">
        <v>1.0</v>
      </c>
      <c r="S145" s="36">
        <v>0.0</v>
      </c>
      <c r="T145" s="36">
        <v>0.55</v>
      </c>
      <c r="U145" s="36">
        <f t="shared" ref="U145:V145" si="32">SQRT(S145)</f>
        <v>0</v>
      </c>
      <c r="V145" s="36">
        <f t="shared" si="32"/>
        <v>0.7416198487</v>
      </c>
      <c r="W145" s="37" t="s">
        <v>736</v>
      </c>
      <c r="X145" s="31">
        <v>5.955</v>
      </c>
      <c r="Y145" s="36">
        <v>-8.262558973010657</v>
      </c>
      <c r="Z145" s="36">
        <v>2.3982946473556153</v>
      </c>
      <c r="AA145" s="29" t="s">
        <v>729</v>
      </c>
      <c r="AB145" s="31">
        <v>16.9693</v>
      </c>
      <c r="AC145" s="38">
        <v>541.0</v>
      </c>
    </row>
    <row r="146" ht="14.25" customHeight="1">
      <c r="A146" s="29" t="s">
        <v>277</v>
      </c>
      <c r="B146" s="29">
        <v>145.0</v>
      </c>
      <c r="C146" s="29" t="s">
        <v>608</v>
      </c>
      <c r="D146" s="29" t="s">
        <v>754</v>
      </c>
      <c r="E146" s="29">
        <v>317.0</v>
      </c>
      <c r="F146" s="30" t="s">
        <v>755</v>
      </c>
      <c r="G146" s="29" t="s">
        <v>629</v>
      </c>
      <c r="H146" s="31">
        <v>8.5</v>
      </c>
      <c r="I146" s="29" t="s">
        <v>657</v>
      </c>
      <c r="J146" s="32" t="s">
        <v>642</v>
      </c>
      <c r="K146" s="29" t="s">
        <v>698</v>
      </c>
      <c r="L146" s="29" t="s">
        <v>727</v>
      </c>
      <c r="M146" s="36">
        <v>35.888</v>
      </c>
      <c r="N146" s="36">
        <v>-8.528</v>
      </c>
      <c r="O146" s="34" t="s">
        <v>601</v>
      </c>
      <c r="P146" s="32" t="s">
        <v>602</v>
      </c>
      <c r="Q146" s="29">
        <v>1.0</v>
      </c>
      <c r="R146" s="29">
        <v>1.0</v>
      </c>
      <c r="S146" s="36">
        <v>0.12</v>
      </c>
      <c r="T146" s="36">
        <v>0.87</v>
      </c>
      <c r="U146" s="36">
        <f t="shared" ref="U146:V146" si="33">SQRT(S146)</f>
        <v>0.3464101615</v>
      </c>
      <c r="V146" s="36">
        <f t="shared" si="33"/>
        <v>0.9327379053</v>
      </c>
      <c r="W146" s="37" t="s">
        <v>736</v>
      </c>
      <c r="X146" s="31">
        <v>5.955</v>
      </c>
      <c r="Y146" s="36">
        <v>-1.9791327310092235</v>
      </c>
      <c r="Z146" s="36">
        <v>9.482758620689655</v>
      </c>
      <c r="AA146" s="29" t="s">
        <v>729</v>
      </c>
      <c r="AB146" s="31">
        <v>16.9693</v>
      </c>
      <c r="AC146" s="38">
        <v>541.0</v>
      </c>
    </row>
    <row r="147" ht="14.25" customHeight="1">
      <c r="A147" s="29" t="s">
        <v>277</v>
      </c>
      <c r="B147" s="29">
        <v>145.0</v>
      </c>
      <c r="C147" s="29" t="s">
        <v>608</v>
      </c>
      <c r="D147" s="29" t="s">
        <v>756</v>
      </c>
      <c r="E147" s="29">
        <v>322.0</v>
      </c>
      <c r="F147" s="30" t="s">
        <v>757</v>
      </c>
      <c r="G147" s="29" t="s">
        <v>629</v>
      </c>
      <c r="H147" s="31">
        <v>2.0</v>
      </c>
      <c r="I147" s="29" t="s">
        <v>597</v>
      </c>
      <c r="J147" s="32" t="s">
        <v>642</v>
      </c>
      <c r="K147" s="29" t="s">
        <v>698</v>
      </c>
      <c r="L147" s="29" t="s">
        <v>727</v>
      </c>
      <c r="M147" s="36">
        <v>35.888</v>
      </c>
      <c r="N147" s="36">
        <v>-8.528</v>
      </c>
      <c r="O147" s="34" t="s">
        <v>601</v>
      </c>
      <c r="P147" s="32" t="s">
        <v>602</v>
      </c>
      <c r="Q147" s="29">
        <v>1.0</v>
      </c>
      <c r="R147" s="29">
        <v>1.0</v>
      </c>
      <c r="S147" s="36">
        <v>2.0</v>
      </c>
      <c r="T147" s="36">
        <v>0.76</v>
      </c>
      <c r="U147" s="36">
        <f t="shared" ref="U147:V147" si="34">SQRT(S147)</f>
        <v>1.414213562</v>
      </c>
      <c r="V147" s="36">
        <f t="shared" si="34"/>
        <v>0.8717797887</v>
      </c>
      <c r="W147" s="37" t="s">
        <v>736</v>
      </c>
      <c r="X147" s="31">
        <v>5.955</v>
      </c>
      <c r="Y147" s="36">
        <v>0.9676820606718621</v>
      </c>
      <c r="Z147" s="36">
        <v>1.8157894736842106</v>
      </c>
      <c r="AA147" s="29" t="s">
        <v>729</v>
      </c>
      <c r="AB147" s="31">
        <v>16.9693</v>
      </c>
      <c r="AC147" s="38">
        <v>541.0</v>
      </c>
    </row>
    <row r="148" ht="14.25" customHeight="1">
      <c r="A148" s="29" t="s">
        <v>277</v>
      </c>
      <c r="B148" s="29">
        <v>145.0</v>
      </c>
      <c r="C148" s="29" t="s">
        <v>608</v>
      </c>
      <c r="D148" s="29" t="s">
        <v>732</v>
      </c>
      <c r="E148" s="29">
        <v>113.0</v>
      </c>
      <c r="F148" s="30" t="s">
        <v>733</v>
      </c>
      <c r="G148" s="29" t="s">
        <v>626</v>
      </c>
      <c r="H148" s="31">
        <v>6.5</v>
      </c>
      <c r="I148" s="29" t="s">
        <v>612</v>
      </c>
      <c r="J148" s="32" t="s">
        <v>642</v>
      </c>
      <c r="K148" s="29" t="s">
        <v>698</v>
      </c>
      <c r="L148" s="29" t="s">
        <v>727</v>
      </c>
      <c r="M148" s="36">
        <v>35.888</v>
      </c>
      <c r="N148" s="36">
        <v>-8.528</v>
      </c>
      <c r="O148" s="34" t="s">
        <v>601</v>
      </c>
      <c r="P148" s="32" t="s">
        <v>602</v>
      </c>
      <c r="Q148" s="29">
        <v>1.0</v>
      </c>
      <c r="R148" s="29">
        <v>1.0</v>
      </c>
      <c r="S148" s="36">
        <v>1.88</v>
      </c>
      <c r="T148" s="36">
        <v>9.6</v>
      </c>
      <c r="U148" s="36">
        <f t="shared" ref="U148:V148" si="35">SQRT(S148)</f>
        <v>1.37113092</v>
      </c>
      <c r="V148" s="36">
        <f t="shared" si="35"/>
        <v>3.098386677</v>
      </c>
      <c r="W148" s="37" t="s">
        <v>736</v>
      </c>
      <c r="X148" s="31">
        <v>5.955</v>
      </c>
      <c r="Y148" s="36">
        <v>-1.6291747524206284</v>
      </c>
      <c r="Z148" s="36">
        <v>0.636081560283688</v>
      </c>
      <c r="AA148" s="29" t="s">
        <v>729</v>
      </c>
      <c r="AB148" s="31">
        <v>16.9693</v>
      </c>
      <c r="AC148" s="38">
        <v>541.0</v>
      </c>
    </row>
    <row r="149" ht="14.25" customHeight="1">
      <c r="A149" s="29" t="s">
        <v>277</v>
      </c>
      <c r="B149" s="29">
        <v>145.0</v>
      </c>
      <c r="C149" s="29" t="s">
        <v>608</v>
      </c>
      <c r="D149" s="29" t="s">
        <v>758</v>
      </c>
      <c r="E149" s="29">
        <v>123.0</v>
      </c>
      <c r="F149" s="30" t="s">
        <v>759</v>
      </c>
      <c r="G149" s="29" t="s">
        <v>629</v>
      </c>
      <c r="H149" s="31">
        <v>52.04</v>
      </c>
      <c r="I149" s="29" t="s">
        <v>657</v>
      </c>
      <c r="J149" s="32" t="s">
        <v>642</v>
      </c>
      <c r="K149" s="29" t="s">
        <v>698</v>
      </c>
      <c r="L149" s="29" t="s">
        <v>727</v>
      </c>
      <c r="M149" s="36">
        <v>35.888</v>
      </c>
      <c r="N149" s="36">
        <v>-8.528</v>
      </c>
      <c r="O149" s="34" t="s">
        <v>601</v>
      </c>
      <c r="P149" s="32" t="s">
        <v>602</v>
      </c>
      <c r="Q149" s="29">
        <v>1.0</v>
      </c>
      <c r="R149" s="29">
        <v>1.0</v>
      </c>
      <c r="S149" s="36">
        <v>0.0</v>
      </c>
      <c r="T149" s="36">
        <v>0.33</v>
      </c>
      <c r="U149" s="36">
        <f t="shared" ref="U149:V149" si="36">SQRT(S149)</f>
        <v>0</v>
      </c>
      <c r="V149" s="36">
        <f t="shared" si="36"/>
        <v>0.5744562647</v>
      </c>
      <c r="W149" s="37" t="s">
        <v>736</v>
      </c>
      <c r="X149" s="31">
        <v>5.955</v>
      </c>
      <c r="Y149" s="36">
        <v>-8.262558973010657</v>
      </c>
      <c r="Z149" s="36">
        <v>2.6757965810042137</v>
      </c>
      <c r="AA149" s="29" t="s">
        <v>729</v>
      </c>
      <c r="AB149" s="31">
        <v>16.9693</v>
      </c>
      <c r="AC149" s="38">
        <v>541.0</v>
      </c>
    </row>
    <row r="150" ht="14.25" customHeight="1">
      <c r="A150" s="29" t="s">
        <v>277</v>
      </c>
      <c r="B150" s="29">
        <v>145.0</v>
      </c>
      <c r="C150" s="29" t="s">
        <v>608</v>
      </c>
      <c r="D150" s="42" t="s">
        <v>760</v>
      </c>
      <c r="E150" s="29">
        <v>321.0</v>
      </c>
      <c r="F150" s="30" t="s">
        <v>761</v>
      </c>
      <c r="G150" s="29" t="s">
        <v>615</v>
      </c>
      <c r="H150" s="31">
        <v>0.675</v>
      </c>
      <c r="I150" s="29" t="s">
        <v>597</v>
      </c>
      <c r="J150" s="32" t="s">
        <v>642</v>
      </c>
      <c r="K150" s="29" t="s">
        <v>698</v>
      </c>
      <c r="L150" s="29" t="s">
        <v>727</v>
      </c>
      <c r="M150" s="36">
        <v>35.888</v>
      </c>
      <c r="N150" s="36">
        <v>-8.528</v>
      </c>
      <c r="O150" s="34" t="s">
        <v>601</v>
      </c>
      <c r="P150" s="32" t="s">
        <v>602</v>
      </c>
      <c r="Q150" s="29">
        <v>1.0</v>
      </c>
      <c r="R150" s="29">
        <v>1.0</v>
      </c>
      <c r="S150" s="36">
        <v>6.71</v>
      </c>
      <c r="T150" s="36">
        <v>2.94</v>
      </c>
      <c r="U150" s="36">
        <f t="shared" ref="U150:V150" si="37">SQRT(S150)</f>
        <v>2.590366769</v>
      </c>
      <c r="V150" s="36">
        <f t="shared" si="37"/>
        <v>1.71464282</v>
      </c>
      <c r="W150" s="37" t="s">
        <v>736</v>
      </c>
      <c r="X150" s="31">
        <v>5.955</v>
      </c>
      <c r="Y150" s="36">
        <v>0.8253024055589367</v>
      </c>
      <c r="Z150" s="36">
        <v>0.48916735099404896</v>
      </c>
      <c r="AA150" s="29" t="s">
        <v>729</v>
      </c>
      <c r="AB150" s="31">
        <v>16.9693</v>
      </c>
      <c r="AC150" s="38">
        <v>541.0</v>
      </c>
    </row>
    <row r="151" ht="14.25" customHeight="1">
      <c r="A151" s="29" t="s">
        <v>277</v>
      </c>
      <c r="B151" s="29">
        <v>145.0</v>
      </c>
      <c r="C151" s="29" t="s">
        <v>608</v>
      </c>
      <c r="D151" s="42" t="s">
        <v>762</v>
      </c>
      <c r="E151" s="29">
        <v>319.0</v>
      </c>
      <c r="F151" s="39" t="s">
        <v>763</v>
      </c>
      <c r="G151" s="29" t="s">
        <v>764</v>
      </c>
      <c r="H151" s="31">
        <v>0.1875</v>
      </c>
      <c r="I151" s="29" t="s">
        <v>620</v>
      </c>
      <c r="J151" s="32" t="s">
        <v>642</v>
      </c>
      <c r="K151" s="29" t="s">
        <v>698</v>
      </c>
      <c r="L151" s="29" t="s">
        <v>727</v>
      </c>
      <c r="M151" s="36">
        <v>35.888</v>
      </c>
      <c r="N151" s="36">
        <v>-8.528</v>
      </c>
      <c r="O151" s="34" t="s">
        <v>601</v>
      </c>
      <c r="P151" s="32" t="s">
        <v>602</v>
      </c>
      <c r="Q151" s="29">
        <v>1.0</v>
      </c>
      <c r="R151" s="29">
        <v>1.0</v>
      </c>
      <c r="S151" s="36">
        <v>0.0</v>
      </c>
      <c r="T151" s="36">
        <v>0.11</v>
      </c>
      <c r="U151" s="36">
        <f t="shared" ref="U151:V151" si="38">SQRT(S151)</f>
        <v>0</v>
      </c>
      <c r="V151" s="36">
        <f t="shared" si="38"/>
        <v>0.331662479</v>
      </c>
      <c r="W151" s="37" t="s">
        <v>736</v>
      </c>
      <c r="X151" s="31">
        <v>5.955</v>
      </c>
      <c r="Y151" s="36">
        <v>-8.262558973010657</v>
      </c>
      <c r="Z151" s="36">
        <v>2.8588080597568934</v>
      </c>
      <c r="AA151" s="29" t="s">
        <v>729</v>
      </c>
      <c r="AB151" s="31">
        <v>16.9693</v>
      </c>
      <c r="AC151" s="38">
        <v>541.0</v>
      </c>
    </row>
    <row r="152" ht="14.25" customHeight="1">
      <c r="A152" s="29" t="s">
        <v>277</v>
      </c>
      <c r="B152" s="29">
        <v>145.0</v>
      </c>
      <c r="C152" s="29" t="s">
        <v>608</v>
      </c>
      <c r="D152" s="29" t="s">
        <v>765</v>
      </c>
      <c r="E152" s="29">
        <v>147.0</v>
      </c>
      <c r="F152" s="30" t="s">
        <v>766</v>
      </c>
      <c r="G152" s="29" t="s">
        <v>626</v>
      </c>
      <c r="H152" s="31">
        <v>48.78</v>
      </c>
      <c r="I152" s="29" t="s">
        <v>616</v>
      </c>
      <c r="J152" s="32" t="s">
        <v>642</v>
      </c>
      <c r="K152" s="29" t="s">
        <v>698</v>
      </c>
      <c r="L152" s="29" t="s">
        <v>727</v>
      </c>
      <c r="M152" s="36">
        <v>35.888</v>
      </c>
      <c r="N152" s="36">
        <v>-8.528</v>
      </c>
      <c r="O152" s="34" t="s">
        <v>601</v>
      </c>
      <c r="P152" s="32" t="s">
        <v>602</v>
      </c>
      <c r="Q152" s="29">
        <v>1.0</v>
      </c>
      <c r="R152" s="29">
        <v>1.0</v>
      </c>
      <c r="S152" s="36">
        <v>0.47</v>
      </c>
      <c r="T152" s="36">
        <v>0.87</v>
      </c>
      <c r="U152" s="36">
        <f t="shared" ref="U152:V152" si="39">SQRT(S152)</f>
        <v>0.68556546</v>
      </c>
      <c r="V152" s="36">
        <f t="shared" si="39"/>
        <v>0.9327379053</v>
      </c>
      <c r="W152" s="37" t="s">
        <v>736</v>
      </c>
      <c r="X152" s="31">
        <v>5.955</v>
      </c>
      <c r="Y152" s="36">
        <v>-0.6152830602975727</v>
      </c>
      <c r="Z152" s="36">
        <v>3.2770848618244073</v>
      </c>
      <c r="AA152" s="29" t="s">
        <v>729</v>
      </c>
      <c r="AB152" s="31">
        <v>16.9693</v>
      </c>
      <c r="AC152" s="38">
        <v>541.0</v>
      </c>
    </row>
    <row r="153" ht="14.25" customHeight="1">
      <c r="A153" s="29" t="s">
        <v>277</v>
      </c>
      <c r="B153" s="29">
        <v>145.0</v>
      </c>
      <c r="C153" s="29" t="s">
        <v>608</v>
      </c>
      <c r="D153" s="42" t="s">
        <v>767</v>
      </c>
      <c r="E153" s="29">
        <v>283.0</v>
      </c>
      <c r="F153" s="30" t="s">
        <v>768</v>
      </c>
      <c r="G153" s="29" t="s">
        <v>611</v>
      </c>
      <c r="H153" s="31">
        <v>8.591</v>
      </c>
      <c r="I153" s="29" t="s">
        <v>612</v>
      </c>
      <c r="J153" s="32" t="s">
        <v>642</v>
      </c>
      <c r="K153" s="29" t="s">
        <v>698</v>
      </c>
      <c r="L153" s="29" t="s">
        <v>727</v>
      </c>
      <c r="M153" s="36">
        <v>35.888</v>
      </c>
      <c r="N153" s="36">
        <v>-8.528</v>
      </c>
      <c r="O153" s="34" t="s">
        <v>601</v>
      </c>
      <c r="P153" s="32" t="s">
        <v>602</v>
      </c>
      <c r="Q153" s="29">
        <v>1.0</v>
      </c>
      <c r="R153" s="29">
        <v>1.0</v>
      </c>
      <c r="S153" s="36">
        <v>0.0</v>
      </c>
      <c r="T153" s="36">
        <v>0.22</v>
      </c>
      <c r="U153" s="36">
        <f t="shared" ref="U153:V153" si="40">SQRT(S153)</f>
        <v>0</v>
      </c>
      <c r="V153" s="36">
        <f t="shared" si="40"/>
        <v>0.469041576</v>
      </c>
      <c r="W153" s="37" t="s">
        <v>736</v>
      </c>
      <c r="X153" s="31">
        <v>5.955</v>
      </c>
      <c r="Y153" s="36">
        <v>-8.262558973010657</v>
      </c>
      <c r="Z153" s="36">
        <v>2.811422793175816</v>
      </c>
      <c r="AA153" s="29" t="s">
        <v>729</v>
      </c>
      <c r="AB153" s="31">
        <v>16.9693</v>
      </c>
      <c r="AC153" s="38">
        <v>541.0</v>
      </c>
    </row>
    <row r="154" ht="14.25" customHeight="1">
      <c r="A154" s="29" t="s">
        <v>277</v>
      </c>
      <c r="B154" s="29">
        <v>145.0</v>
      </c>
      <c r="C154" s="29" t="s">
        <v>608</v>
      </c>
      <c r="D154" s="42" t="s">
        <v>769</v>
      </c>
      <c r="E154" s="29">
        <v>318.0</v>
      </c>
      <c r="F154" s="30" t="s">
        <v>770</v>
      </c>
      <c r="G154" s="29" t="s">
        <v>764</v>
      </c>
      <c r="H154" s="31">
        <v>0.71</v>
      </c>
      <c r="I154" s="29" t="s">
        <v>620</v>
      </c>
      <c r="J154" s="32" t="s">
        <v>642</v>
      </c>
      <c r="K154" s="29" t="s">
        <v>698</v>
      </c>
      <c r="L154" s="29" t="s">
        <v>727</v>
      </c>
      <c r="M154" s="36">
        <v>35.888</v>
      </c>
      <c r="N154" s="36">
        <v>-8.528</v>
      </c>
      <c r="O154" s="34" t="s">
        <v>601</v>
      </c>
      <c r="P154" s="32" t="s">
        <v>602</v>
      </c>
      <c r="Q154" s="29">
        <v>1.0</v>
      </c>
      <c r="R154" s="29">
        <v>1.0</v>
      </c>
      <c r="S154" s="36">
        <v>0.0</v>
      </c>
      <c r="T154" s="36">
        <v>4.58</v>
      </c>
      <c r="U154" s="36">
        <f t="shared" ref="U154:V154" si="41">SQRT(S154)</f>
        <v>0</v>
      </c>
      <c r="V154" s="36">
        <f t="shared" si="41"/>
        <v>2.140093456</v>
      </c>
      <c r="W154" s="37" t="s">
        <v>736</v>
      </c>
      <c r="X154" s="31">
        <v>5.955</v>
      </c>
      <c r="Y154" s="36">
        <v>-8.262558973010657</v>
      </c>
      <c r="Z154" s="36">
        <v>1.270091661599575</v>
      </c>
      <c r="AA154" s="29" t="s">
        <v>729</v>
      </c>
      <c r="AB154" s="31">
        <v>16.9693</v>
      </c>
      <c r="AC154" s="38">
        <v>541.0</v>
      </c>
    </row>
    <row r="155" ht="14.25" customHeight="1">
      <c r="A155" s="29" t="s">
        <v>277</v>
      </c>
      <c r="B155" s="29">
        <v>145.0</v>
      </c>
      <c r="C155" s="29" t="s">
        <v>608</v>
      </c>
      <c r="D155" s="29" t="s">
        <v>771</v>
      </c>
      <c r="E155" s="29">
        <v>184.0</v>
      </c>
      <c r="F155" s="30" t="s">
        <v>772</v>
      </c>
      <c r="G155" s="29" t="s">
        <v>626</v>
      </c>
      <c r="H155" s="31">
        <v>580.0</v>
      </c>
      <c r="I155" s="29" t="s">
        <v>612</v>
      </c>
      <c r="J155" s="32" t="s">
        <v>642</v>
      </c>
      <c r="K155" s="29" t="s">
        <v>698</v>
      </c>
      <c r="L155" s="29" t="s">
        <v>727</v>
      </c>
      <c r="M155" s="36">
        <v>35.888</v>
      </c>
      <c r="N155" s="36">
        <v>-8.528</v>
      </c>
      <c r="O155" s="34" t="s">
        <v>601</v>
      </c>
      <c r="P155" s="32" t="s">
        <v>602</v>
      </c>
      <c r="Q155" s="29">
        <v>1.0</v>
      </c>
      <c r="R155" s="29">
        <v>1.0</v>
      </c>
      <c r="S155" s="36">
        <v>0.0</v>
      </c>
      <c r="T155" s="36">
        <v>0.55</v>
      </c>
      <c r="U155" s="36">
        <f t="shared" ref="U155:V155" si="42">SQRT(S155)</f>
        <v>0</v>
      </c>
      <c r="V155" s="36">
        <f t="shared" si="42"/>
        <v>0.7416198487</v>
      </c>
      <c r="W155" s="37" t="s">
        <v>736</v>
      </c>
      <c r="X155" s="31">
        <v>5.955</v>
      </c>
      <c r="Y155" s="36">
        <v>-8.262558973010657</v>
      </c>
      <c r="Z155" s="36">
        <v>2.3982946473556153</v>
      </c>
      <c r="AA155" s="29" t="s">
        <v>729</v>
      </c>
      <c r="AB155" s="31">
        <v>16.9693</v>
      </c>
      <c r="AC155" s="38">
        <v>541.0</v>
      </c>
    </row>
    <row r="156" ht="14.25" customHeight="1">
      <c r="A156" s="29" t="s">
        <v>277</v>
      </c>
      <c r="B156" s="29">
        <v>145.0</v>
      </c>
      <c r="C156" s="29" t="s">
        <v>608</v>
      </c>
      <c r="D156" s="29" t="s">
        <v>773</v>
      </c>
      <c r="E156" s="29">
        <v>191.0</v>
      </c>
      <c r="F156" s="30" t="s">
        <v>774</v>
      </c>
      <c r="G156" s="29" t="s">
        <v>615</v>
      </c>
      <c r="H156" s="31">
        <v>3.18</v>
      </c>
      <c r="I156" s="29" t="s">
        <v>612</v>
      </c>
      <c r="J156" s="32" t="s">
        <v>642</v>
      </c>
      <c r="K156" s="29" t="s">
        <v>698</v>
      </c>
      <c r="L156" s="29" t="s">
        <v>727</v>
      </c>
      <c r="M156" s="36">
        <v>35.888</v>
      </c>
      <c r="N156" s="36">
        <v>-8.528</v>
      </c>
      <c r="O156" s="34" t="s">
        <v>601</v>
      </c>
      <c r="P156" s="32" t="s">
        <v>602</v>
      </c>
      <c r="Q156" s="29">
        <v>1.0</v>
      </c>
      <c r="R156" s="29">
        <v>1.0</v>
      </c>
      <c r="S156" s="36">
        <v>0.0</v>
      </c>
      <c r="T156" s="36">
        <v>0.11</v>
      </c>
      <c r="U156" s="36">
        <f t="shared" ref="U156:V156" si="43">SQRT(S156)</f>
        <v>0</v>
      </c>
      <c r="V156" s="36">
        <f t="shared" si="43"/>
        <v>0.331662479</v>
      </c>
      <c r="W156" s="37" t="s">
        <v>736</v>
      </c>
      <c r="X156" s="31">
        <v>5.955</v>
      </c>
      <c r="Y156" s="36">
        <v>-8.262558973010657</v>
      </c>
      <c r="Z156" s="36">
        <v>2.8588080597568934</v>
      </c>
      <c r="AA156" s="29" t="s">
        <v>729</v>
      </c>
      <c r="AB156" s="31">
        <v>16.9693</v>
      </c>
      <c r="AC156" s="38">
        <v>541.0</v>
      </c>
    </row>
    <row r="157" ht="14.25" customHeight="1">
      <c r="A157" s="29" t="s">
        <v>277</v>
      </c>
      <c r="B157" s="29">
        <v>145.0</v>
      </c>
      <c r="C157" s="29" t="s">
        <v>608</v>
      </c>
      <c r="D157" s="29" t="s">
        <v>775</v>
      </c>
      <c r="E157" s="29">
        <v>198.0</v>
      </c>
      <c r="F157" s="30" t="s">
        <v>776</v>
      </c>
      <c r="G157" s="29" t="s">
        <v>626</v>
      </c>
      <c r="H157" s="31">
        <v>43.25</v>
      </c>
      <c r="I157" s="29" t="s">
        <v>612</v>
      </c>
      <c r="J157" s="32" t="s">
        <v>642</v>
      </c>
      <c r="K157" s="29" t="s">
        <v>698</v>
      </c>
      <c r="L157" s="29" t="s">
        <v>727</v>
      </c>
      <c r="M157" s="36">
        <v>35.888</v>
      </c>
      <c r="N157" s="36">
        <v>-8.528</v>
      </c>
      <c r="O157" s="34" t="s">
        <v>601</v>
      </c>
      <c r="P157" s="32" t="s">
        <v>602</v>
      </c>
      <c r="Q157" s="29">
        <v>1.0</v>
      </c>
      <c r="R157" s="29">
        <v>1.0</v>
      </c>
      <c r="S157" s="36">
        <v>0.0</v>
      </c>
      <c r="T157" s="36">
        <v>10.11</v>
      </c>
      <c r="U157" s="36">
        <f t="shared" ref="U157:V157" si="44">SQRT(S157)</f>
        <v>0</v>
      </c>
      <c r="V157" s="36">
        <f t="shared" si="44"/>
        <v>3.179622619</v>
      </c>
      <c r="W157" s="37" t="s">
        <v>736</v>
      </c>
      <c r="X157" s="31">
        <v>5.955</v>
      </c>
      <c r="Y157" s="36">
        <v>-8.262558973010657</v>
      </c>
      <c r="Z157" s="36">
        <v>1.120275118072035</v>
      </c>
      <c r="AA157" s="29" t="s">
        <v>729</v>
      </c>
      <c r="AB157" s="31">
        <v>16.9693</v>
      </c>
      <c r="AC157" s="38">
        <v>541.0</v>
      </c>
    </row>
    <row r="158" ht="14.25" customHeight="1">
      <c r="A158" s="29" t="s">
        <v>358</v>
      </c>
      <c r="B158" s="29">
        <v>99.0</v>
      </c>
      <c r="C158" s="29" t="s">
        <v>608</v>
      </c>
      <c r="D158" s="29" t="s">
        <v>742</v>
      </c>
      <c r="E158" s="29">
        <v>275.0</v>
      </c>
      <c r="F158" s="30" t="s">
        <v>743</v>
      </c>
      <c r="G158" s="29" t="s">
        <v>611</v>
      </c>
      <c r="H158" s="31">
        <v>5.0</v>
      </c>
      <c r="I158" s="29" t="s">
        <v>597</v>
      </c>
      <c r="J158" s="32" t="s">
        <v>598</v>
      </c>
      <c r="K158" s="29" t="s">
        <v>698</v>
      </c>
      <c r="L158" s="29" t="s">
        <v>727</v>
      </c>
      <c r="M158" s="33">
        <v>36.457</v>
      </c>
      <c r="N158" s="33">
        <v>-7.742</v>
      </c>
      <c r="O158" s="34" t="s">
        <v>601</v>
      </c>
      <c r="P158" s="32" t="s">
        <v>602</v>
      </c>
      <c r="Q158" s="35">
        <v>11.0</v>
      </c>
      <c r="R158" s="35">
        <v>9.0</v>
      </c>
      <c r="S158" s="36">
        <v>0.29</v>
      </c>
      <c r="T158" s="36">
        <v>0.37</v>
      </c>
      <c r="U158" s="36">
        <v>0.08</v>
      </c>
      <c r="V158" s="36">
        <v>0.06</v>
      </c>
      <c r="W158" s="37" t="s">
        <v>777</v>
      </c>
      <c r="X158" s="31">
        <v>9.0</v>
      </c>
      <c r="Y158" s="36">
        <v>-0.24329296704180195</v>
      </c>
      <c r="Z158" s="36">
        <v>0.009840011768218216</v>
      </c>
      <c r="AA158" s="29" t="s">
        <v>729</v>
      </c>
      <c r="AB158" s="31">
        <v>15.7667388916</v>
      </c>
      <c r="AC158" s="38">
        <v>1189.0</v>
      </c>
    </row>
    <row r="159" ht="14.25" customHeight="1">
      <c r="A159" s="29" t="s">
        <v>358</v>
      </c>
      <c r="B159" s="29">
        <v>99.0</v>
      </c>
      <c r="C159" s="29" t="s">
        <v>608</v>
      </c>
      <c r="D159" s="29" t="s">
        <v>778</v>
      </c>
      <c r="E159" s="29">
        <v>276.0</v>
      </c>
      <c r="F159" s="30" t="s">
        <v>779</v>
      </c>
      <c r="G159" s="29" t="s">
        <v>611</v>
      </c>
      <c r="H159" s="31">
        <v>9.85</v>
      </c>
      <c r="I159" s="29" t="s">
        <v>612</v>
      </c>
      <c r="J159" s="32" t="s">
        <v>598</v>
      </c>
      <c r="K159" s="29" t="s">
        <v>698</v>
      </c>
      <c r="L159" s="29" t="s">
        <v>727</v>
      </c>
      <c r="M159" s="33">
        <v>36.457</v>
      </c>
      <c r="N159" s="33">
        <v>-7.742</v>
      </c>
      <c r="O159" s="34" t="s">
        <v>601</v>
      </c>
      <c r="P159" s="32" t="s">
        <v>602</v>
      </c>
      <c r="Q159" s="35">
        <v>11.0</v>
      </c>
      <c r="R159" s="35">
        <v>9.0</v>
      </c>
      <c r="S159" s="36">
        <v>8.17</v>
      </c>
      <c r="T159" s="36">
        <v>2.68</v>
      </c>
      <c r="U159" s="36">
        <v>5.5387634</v>
      </c>
      <c r="V159" s="36">
        <v>2.28</v>
      </c>
      <c r="W159" s="37" t="s">
        <v>780</v>
      </c>
      <c r="X159" s="31">
        <v>9.0</v>
      </c>
      <c r="Y159" s="36">
        <v>1.1147367416700535</v>
      </c>
      <c r="Z159" s="36">
        <v>0.12220076346635524</v>
      </c>
      <c r="AA159" s="29" t="s">
        <v>729</v>
      </c>
      <c r="AB159" s="31">
        <v>15.7667388916</v>
      </c>
      <c r="AC159" s="38">
        <v>1189.0</v>
      </c>
    </row>
    <row r="160" ht="14.25" customHeight="1">
      <c r="A160" s="29" t="s">
        <v>358</v>
      </c>
      <c r="B160" s="29">
        <v>99.0</v>
      </c>
      <c r="C160" s="29" t="s">
        <v>608</v>
      </c>
      <c r="D160" s="42" t="s">
        <v>767</v>
      </c>
      <c r="E160" s="29">
        <v>283.0</v>
      </c>
      <c r="F160" s="30" t="s">
        <v>768</v>
      </c>
      <c r="G160" s="29" t="s">
        <v>611</v>
      </c>
      <c r="H160" s="31">
        <v>8.591</v>
      </c>
      <c r="I160" s="29" t="s">
        <v>612</v>
      </c>
      <c r="J160" s="32" t="s">
        <v>598</v>
      </c>
      <c r="K160" s="29" t="s">
        <v>698</v>
      </c>
      <c r="L160" s="29" t="s">
        <v>727</v>
      </c>
      <c r="M160" s="33">
        <v>36.457</v>
      </c>
      <c r="N160" s="33">
        <v>-7.742</v>
      </c>
      <c r="O160" s="34" t="s">
        <v>601</v>
      </c>
      <c r="P160" s="32" t="s">
        <v>602</v>
      </c>
      <c r="Q160" s="35">
        <v>11.0</v>
      </c>
      <c r="R160" s="35">
        <v>9.0</v>
      </c>
      <c r="S160" s="36">
        <v>15.64</v>
      </c>
      <c r="T160" s="36">
        <v>4.39</v>
      </c>
      <c r="U160" s="36">
        <v>8.158896984</v>
      </c>
      <c r="V160" s="36">
        <v>5.55</v>
      </c>
      <c r="W160" s="37" t="s">
        <v>780</v>
      </c>
      <c r="X160" s="31">
        <v>9.0</v>
      </c>
      <c r="Y160" s="36">
        <v>1.270574922987286</v>
      </c>
      <c r="Z160" s="36">
        <v>0.20232815749113608</v>
      </c>
      <c r="AA160" s="29" t="s">
        <v>729</v>
      </c>
      <c r="AB160" s="31">
        <v>15.7667388916</v>
      </c>
      <c r="AC160" s="38">
        <v>1189.0</v>
      </c>
    </row>
    <row r="161" ht="14.25" customHeight="1">
      <c r="A161" s="29" t="s">
        <v>358</v>
      </c>
      <c r="B161" s="29">
        <v>99.0</v>
      </c>
      <c r="C161" s="29" t="s">
        <v>608</v>
      </c>
      <c r="D161" s="29" t="s">
        <v>742</v>
      </c>
      <c r="E161" s="29">
        <v>275.0</v>
      </c>
      <c r="F161" s="30" t="s">
        <v>743</v>
      </c>
      <c r="G161" s="29" t="s">
        <v>611</v>
      </c>
      <c r="H161" s="31">
        <v>5.0</v>
      </c>
      <c r="I161" s="29" t="s">
        <v>597</v>
      </c>
      <c r="J161" s="32" t="s">
        <v>598</v>
      </c>
      <c r="K161" s="29" t="s">
        <v>698</v>
      </c>
      <c r="L161" s="29" t="s">
        <v>727</v>
      </c>
      <c r="M161" s="33">
        <v>35.916</v>
      </c>
      <c r="N161" s="33">
        <v>-8.059</v>
      </c>
      <c r="O161" s="34" t="s">
        <v>601</v>
      </c>
      <c r="P161" s="32" t="s">
        <v>602</v>
      </c>
      <c r="Q161" s="35">
        <v>10.0</v>
      </c>
      <c r="R161" s="35">
        <v>9.0</v>
      </c>
      <c r="S161" s="36">
        <v>0.19</v>
      </c>
      <c r="T161" s="36">
        <v>0.37</v>
      </c>
      <c r="U161" s="36">
        <v>0.07</v>
      </c>
      <c r="V161" s="36">
        <v>0.06</v>
      </c>
      <c r="W161" s="37" t="s">
        <v>777</v>
      </c>
      <c r="X161" s="31">
        <v>3.0</v>
      </c>
      <c r="Y161" s="36">
        <v>-0.6659766426136684</v>
      </c>
      <c r="Z161" s="36">
        <v>0.016495247961894666</v>
      </c>
      <c r="AA161" s="29" t="s">
        <v>729</v>
      </c>
      <c r="AB161" s="31">
        <v>15.7667398453</v>
      </c>
      <c r="AC161" s="38">
        <v>148.0</v>
      </c>
    </row>
    <row r="162" ht="14.25" customHeight="1">
      <c r="A162" s="29" t="s">
        <v>358</v>
      </c>
      <c r="B162" s="29">
        <v>99.0</v>
      </c>
      <c r="C162" s="29" t="s">
        <v>608</v>
      </c>
      <c r="D162" s="29" t="s">
        <v>778</v>
      </c>
      <c r="E162" s="29">
        <v>276.0</v>
      </c>
      <c r="F162" s="30" t="s">
        <v>779</v>
      </c>
      <c r="G162" s="29" t="s">
        <v>611</v>
      </c>
      <c r="H162" s="31">
        <v>9.85</v>
      </c>
      <c r="I162" s="29" t="s">
        <v>612</v>
      </c>
      <c r="J162" s="32" t="s">
        <v>598</v>
      </c>
      <c r="K162" s="29" t="s">
        <v>698</v>
      </c>
      <c r="L162" s="29" t="s">
        <v>727</v>
      </c>
      <c r="M162" s="33">
        <v>35.916</v>
      </c>
      <c r="N162" s="33">
        <v>-8.059</v>
      </c>
      <c r="O162" s="34" t="s">
        <v>601</v>
      </c>
      <c r="P162" s="32" t="s">
        <v>602</v>
      </c>
      <c r="Q162" s="35">
        <v>10.0</v>
      </c>
      <c r="R162" s="35">
        <v>9.0</v>
      </c>
      <c r="S162" s="36">
        <v>1.63</v>
      </c>
      <c r="T162" s="36">
        <v>2.68</v>
      </c>
      <c r="U162" s="36">
        <v>1.612761607</v>
      </c>
      <c r="V162" s="36">
        <v>2.28</v>
      </c>
      <c r="W162" s="37" t="s">
        <v>780</v>
      </c>
      <c r="X162" s="31">
        <v>3.0</v>
      </c>
      <c r="Y162" s="36">
        <v>-0.49681267672300367</v>
      </c>
      <c r="Z162" s="36">
        <v>0.17831484581505946</v>
      </c>
      <c r="AA162" s="29" t="s">
        <v>729</v>
      </c>
      <c r="AB162" s="31">
        <v>15.7667398453</v>
      </c>
      <c r="AC162" s="38">
        <v>148.0</v>
      </c>
    </row>
    <row r="163" ht="14.25" customHeight="1">
      <c r="A163" s="29" t="s">
        <v>358</v>
      </c>
      <c r="B163" s="29">
        <v>99.0</v>
      </c>
      <c r="C163" s="29" t="s">
        <v>608</v>
      </c>
      <c r="D163" s="42" t="s">
        <v>767</v>
      </c>
      <c r="E163" s="29">
        <v>283.0</v>
      </c>
      <c r="F163" s="30" t="s">
        <v>768</v>
      </c>
      <c r="G163" s="29" t="s">
        <v>611</v>
      </c>
      <c r="H163" s="31">
        <v>8.591</v>
      </c>
      <c r="I163" s="29" t="s">
        <v>612</v>
      </c>
      <c r="J163" s="32" t="s">
        <v>598</v>
      </c>
      <c r="K163" s="29" t="s">
        <v>698</v>
      </c>
      <c r="L163" s="29" t="s">
        <v>727</v>
      </c>
      <c r="M163" s="33">
        <v>35.916</v>
      </c>
      <c r="N163" s="33">
        <v>-8.059</v>
      </c>
      <c r="O163" s="34" t="s">
        <v>601</v>
      </c>
      <c r="P163" s="32" t="s">
        <v>602</v>
      </c>
      <c r="Q163" s="35">
        <v>10.0</v>
      </c>
      <c r="R163" s="35">
        <v>9.0</v>
      </c>
      <c r="S163" s="36">
        <v>4.54</v>
      </c>
      <c r="T163" s="36">
        <v>4.39</v>
      </c>
      <c r="U163" s="36">
        <v>2.909295447</v>
      </c>
      <c r="V163" s="36">
        <v>5.55</v>
      </c>
      <c r="W163" s="37" t="s">
        <v>780</v>
      </c>
      <c r="X163" s="31">
        <v>3.0</v>
      </c>
      <c r="Y163" s="36">
        <v>0.033847227627903854</v>
      </c>
      <c r="Z163" s="36">
        <v>0.21865258223689704</v>
      </c>
      <c r="AA163" s="29" t="s">
        <v>729</v>
      </c>
      <c r="AB163" s="31">
        <v>15.7667398453</v>
      </c>
      <c r="AC163" s="38">
        <v>148.0</v>
      </c>
    </row>
    <row r="164" ht="14.25" customHeight="1">
      <c r="A164" s="29" t="s">
        <v>358</v>
      </c>
      <c r="B164" s="29">
        <v>99.0</v>
      </c>
      <c r="C164" s="29" t="s">
        <v>608</v>
      </c>
      <c r="D164" s="29" t="s">
        <v>742</v>
      </c>
      <c r="E164" s="29">
        <v>275.0</v>
      </c>
      <c r="F164" s="30" t="s">
        <v>743</v>
      </c>
      <c r="G164" s="29" t="s">
        <v>611</v>
      </c>
      <c r="H164" s="31">
        <v>5.0</v>
      </c>
      <c r="I164" s="29" t="s">
        <v>597</v>
      </c>
      <c r="J164" s="32" t="s">
        <v>598</v>
      </c>
      <c r="K164" s="29" t="s">
        <v>698</v>
      </c>
      <c r="L164" s="29" t="s">
        <v>727</v>
      </c>
      <c r="M164" s="33">
        <v>35.922</v>
      </c>
      <c r="N164" s="33">
        <v>-8.098</v>
      </c>
      <c r="O164" s="34" t="s">
        <v>601</v>
      </c>
      <c r="P164" s="32" t="s">
        <v>602</v>
      </c>
      <c r="Q164" s="35">
        <v>11.0</v>
      </c>
      <c r="R164" s="35">
        <v>9.0</v>
      </c>
      <c r="S164" s="36">
        <v>0.15</v>
      </c>
      <c r="T164" s="36">
        <v>0.37</v>
      </c>
      <c r="U164" s="36">
        <v>0.05</v>
      </c>
      <c r="V164" s="36">
        <v>0.06</v>
      </c>
      <c r="W164" s="37" t="s">
        <v>777</v>
      </c>
      <c r="X164" s="31">
        <v>2.5</v>
      </c>
      <c r="Y164" s="36">
        <v>-0.9022315190465418</v>
      </c>
      <c r="Z164" s="36">
        <v>0.013022850860688702</v>
      </c>
      <c r="AA164" s="29" t="s">
        <v>729</v>
      </c>
      <c r="AB164" s="31">
        <v>15.766740799</v>
      </c>
      <c r="AC164" s="38">
        <v>139.0</v>
      </c>
    </row>
    <row r="165" ht="14.25" customHeight="1">
      <c r="A165" s="29" t="s">
        <v>358</v>
      </c>
      <c r="B165" s="29">
        <v>99.0</v>
      </c>
      <c r="C165" s="29" t="s">
        <v>608</v>
      </c>
      <c r="D165" s="29" t="s">
        <v>778</v>
      </c>
      <c r="E165" s="29">
        <v>276.0</v>
      </c>
      <c r="F165" s="30" t="s">
        <v>779</v>
      </c>
      <c r="G165" s="29" t="s">
        <v>611</v>
      </c>
      <c r="H165" s="31">
        <v>9.85</v>
      </c>
      <c r="I165" s="29" t="s">
        <v>612</v>
      </c>
      <c r="J165" s="32" t="s">
        <v>598</v>
      </c>
      <c r="K165" s="29" t="s">
        <v>698</v>
      </c>
      <c r="L165" s="29" t="s">
        <v>727</v>
      </c>
      <c r="M165" s="33">
        <v>35.922</v>
      </c>
      <c r="N165" s="33">
        <v>-8.098</v>
      </c>
      <c r="O165" s="34" t="s">
        <v>601</v>
      </c>
      <c r="P165" s="32" t="s">
        <v>602</v>
      </c>
      <c r="Q165" s="35">
        <v>11.0</v>
      </c>
      <c r="R165" s="35">
        <v>9.0</v>
      </c>
      <c r="S165" s="36">
        <v>0.4</v>
      </c>
      <c r="T165" s="36">
        <v>2.68</v>
      </c>
      <c r="U165" s="36">
        <v>0.895488693</v>
      </c>
      <c r="V165" s="36">
        <v>2.28</v>
      </c>
      <c r="W165" s="37" t="s">
        <v>780</v>
      </c>
      <c r="X165" s="31">
        <v>2.5</v>
      </c>
      <c r="Y165" s="36">
        <v>-1.9003804325112368</v>
      </c>
      <c r="Z165" s="36">
        <v>0.5360438011118868</v>
      </c>
      <c r="AA165" s="29" t="s">
        <v>729</v>
      </c>
      <c r="AB165" s="31">
        <v>15.766740799</v>
      </c>
      <c r="AC165" s="38">
        <v>139.0</v>
      </c>
    </row>
    <row r="166" ht="14.25" customHeight="1">
      <c r="A166" s="29" t="s">
        <v>358</v>
      </c>
      <c r="B166" s="29">
        <v>99.0</v>
      </c>
      <c r="C166" s="29" t="s">
        <v>608</v>
      </c>
      <c r="D166" s="42" t="s">
        <v>767</v>
      </c>
      <c r="E166" s="29">
        <v>283.0</v>
      </c>
      <c r="F166" s="30" t="s">
        <v>768</v>
      </c>
      <c r="G166" s="29" t="s">
        <v>611</v>
      </c>
      <c r="H166" s="31">
        <v>8.591</v>
      </c>
      <c r="I166" s="29" t="s">
        <v>612</v>
      </c>
      <c r="J166" s="32" t="s">
        <v>598</v>
      </c>
      <c r="K166" s="29" t="s">
        <v>698</v>
      </c>
      <c r="L166" s="29" t="s">
        <v>727</v>
      </c>
      <c r="M166" s="33">
        <v>35.922</v>
      </c>
      <c r="N166" s="33">
        <v>-8.098</v>
      </c>
      <c r="O166" s="34" t="s">
        <v>601</v>
      </c>
      <c r="P166" s="32" t="s">
        <v>602</v>
      </c>
      <c r="Q166" s="35">
        <v>11.0</v>
      </c>
      <c r="R166" s="35">
        <v>9.0</v>
      </c>
      <c r="S166" s="36">
        <v>1.02</v>
      </c>
      <c r="T166" s="36">
        <v>4.39</v>
      </c>
      <c r="U166" s="36">
        <v>3.48245603</v>
      </c>
      <c r="V166" s="36">
        <v>5.55</v>
      </c>
      <c r="W166" s="37" t="s">
        <v>780</v>
      </c>
      <c r="X166" s="31">
        <v>2.5</v>
      </c>
      <c r="Y166" s="36">
        <v>-1.4584168129507031</v>
      </c>
      <c r="Z166" s="36">
        <v>1.237276908559318</v>
      </c>
      <c r="AA166" s="29" t="s">
        <v>729</v>
      </c>
      <c r="AB166" s="31">
        <v>15.766740799</v>
      </c>
      <c r="AC166" s="38">
        <v>139.0</v>
      </c>
    </row>
    <row r="167" ht="14.25" customHeight="1">
      <c r="A167" s="29" t="s">
        <v>383</v>
      </c>
      <c r="B167" s="29">
        <v>83.0</v>
      </c>
      <c r="C167" s="29" t="s">
        <v>608</v>
      </c>
      <c r="D167" s="29" t="s">
        <v>739</v>
      </c>
      <c r="E167" s="29">
        <v>38.0</v>
      </c>
      <c r="F167" s="30" t="s">
        <v>726</v>
      </c>
      <c r="G167" s="29" t="s">
        <v>626</v>
      </c>
      <c r="H167" s="31">
        <v>14.5</v>
      </c>
      <c r="I167" s="29" t="s">
        <v>612</v>
      </c>
      <c r="J167" s="32" t="s">
        <v>642</v>
      </c>
      <c r="K167" s="29" t="s">
        <v>698</v>
      </c>
      <c r="L167" s="29" t="s">
        <v>727</v>
      </c>
      <c r="M167" s="33">
        <v>35.914</v>
      </c>
      <c r="N167" s="33">
        <v>-8.068</v>
      </c>
      <c r="O167" s="34" t="s">
        <v>601</v>
      </c>
      <c r="P167" s="32" t="s">
        <v>602</v>
      </c>
      <c r="Q167" s="35">
        <v>5.0</v>
      </c>
      <c r="R167" s="35">
        <v>4.0</v>
      </c>
      <c r="S167" s="36">
        <v>522.0</v>
      </c>
      <c r="T167" s="36">
        <v>7624.0</v>
      </c>
      <c r="U167" s="36">
        <v>371.0</v>
      </c>
      <c r="V167" s="36">
        <v>5984.0</v>
      </c>
      <c r="W167" s="37" t="s">
        <v>623</v>
      </c>
      <c r="X167" s="31">
        <v>7.9</v>
      </c>
      <c r="Y167" s="36">
        <v>-2.677627785395575</v>
      </c>
      <c r="Z167" s="36">
        <v>0.255039857301973</v>
      </c>
      <c r="AA167" s="29" t="s">
        <v>729</v>
      </c>
      <c r="AB167" s="31">
        <v>15.7667398453</v>
      </c>
      <c r="AC167" s="38">
        <v>135.0</v>
      </c>
    </row>
    <row r="168" ht="14.25" customHeight="1">
      <c r="A168" s="29" t="s">
        <v>383</v>
      </c>
      <c r="B168" s="29">
        <v>83.0</v>
      </c>
      <c r="C168" s="29" t="s">
        <v>608</v>
      </c>
      <c r="D168" s="29" t="s">
        <v>744</v>
      </c>
      <c r="E168" s="29">
        <v>237.0</v>
      </c>
      <c r="F168" s="30" t="s">
        <v>745</v>
      </c>
      <c r="G168" s="29" t="s">
        <v>615</v>
      </c>
      <c r="H168" s="31">
        <v>1.27</v>
      </c>
      <c r="I168" s="29" t="s">
        <v>616</v>
      </c>
      <c r="J168" s="32" t="s">
        <v>642</v>
      </c>
      <c r="K168" s="29" t="s">
        <v>698</v>
      </c>
      <c r="L168" s="29" t="s">
        <v>727</v>
      </c>
      <c r="M168" s="33">
        <v>35.914</v>
      </c>
      <c r="N168" s="33">
        <v>-8.068</v>
      </c>
      <c r="O168" s="34" t="s">
        <v>601</v>
      </c>
      <c r="P168" s="32" t="s">
        <v>602</v>
      </c>
      <c r="Q168" s="35">
        <v>5.0</v>
      </c>
      <c r="R168" s="35">
        <v>4.0</v>
      </c>
      <c r="S168" s="36">
        <v>500.0</v>
      </c>
      <c r="T168" s="36">
        <v>209.0</v>
      </c>
      <c r="U168" s="36">
        <v>154.0</v>
      </c>
      <c r="V168" s="36">
        <v>160.0</v>
      </c>
      <c r="W168" s="37" t="s">
        <v>623</v>
      </c>
      <c r="X168" s="31">
        <v>7.9</v>
      </c>
      <c r="Y168" s="36">
        <v>0.8723816837799826</v>
      </c>
      <c r="Z168" s="36">
        <v>0.16548959219798082</v>
      </c>
      <c r="AA168" s="29" t="s">
        <v>729</v>
      </c>
      <c r="AB168" s="31">
        <v>15.7667398453</v>
      </c>
      <c r="AC168" s="38">
        <v>135.0</v>
      </c>
    </row>
    <row r="169" ht="14.25" customHeight="1">
      <c r="A169" s="29" t="s">
        <v>383</v>
      </c>
      <c r="B169" s="29">
        <v>83.0</v>
      </c>
      <c r="C169" s="29" t="s">
        <v>608</v>
      </c>
      <c r="D169" s="29" t="s">
        <v>781</v>
      </c>
      <c r="E169" s="29">
        <v>136.0</v>
      </c>
      <c r="F169" s="30" t="s">
        <v>782</v>
      </c>
      <c r="G169" s="29" t="s">
        <v>626</v>
      </c>
      <c r="H169" s="31">
        <v>4.9</v>
      </c>
      <c r="I169" s="29" t="s">
        <v>597</v>
      </c>
      <c r="J169" s="32" t="s">
        <v>642</v>
      </c>
      <c r="K169" s="29" t="s">
        <v>698</v>
      </c>
      <c r="L169" s="29" t="s">
        <v>727</v>
      </c>
      <c r="M169" s="33">
        <v>35.914</v>
      </c>
      <c r="N169" s="33">
        <v>-8.068</v>
      </c>
      <c r="O169" s="34" t="s">
        <v>601</v>
      </c>
      <c r="P169" s="32" t="s">
        <v>602</v>
      </c>
      <c r="Q169" s="35">
        <v>5.0</v>
      </c>
      <c r="R169" s="35">
        <v>4.0</v>
      </c>
      <c r="S169" s="36">
        <v>764.0</v>
      </c>
      <c r="T169" s="36">
        <v>8719.0</v>
      </c>
      <c r="U169" s="36">
        <v>531.0</v>
      </c>
      <c r="V169" s="36">
        <v>6099.0</v>
      </c>
      <c r="W169" s="37" t="s">
        <v>623</v>
      </c>
      <c r="X169" s="31">
        <v>7.9</v>
      </c>
      <c r="Y169" s="36">
        <v>-2.4317520175816947</v>
      </c>
      <c r="Z169" s="36">
        <v>0.21893972689154628</v>
      </c>
      <c r="AA169" s="29" t="s">
        <v>729</v>
      </c>
      <c r="AB169" s="31">
        <v>15.7667398453</v>
      </c>
      <c r="AC169" s="38">
        <v>135.0</v>
      </c>
    </row>
    <row r="170" ht="14.25" customHeight="1">
      <c r="A170" s="29" t="s">
        <v>461</v>
      </c>
      <c r="B170" s="29">
        <v>94.0</v>
      </c>
      <c r="C170" s="29" t="s">
        <v>608</v>
      </c>
      <c r="D170" s="40" t="s">
        <v>740</v>
      </c>
      <c r="E170" s="29">
        <v>274.0</v>
      </c>
      <c r="F170" s="30" t="s">
        <v>741</v>
      </c>
      <c r="G170" s="29" t="s">
        <v>611</v>
      </c>
      <c r="H170" s="31">
        <v>8.0</v>
      </c>
      <c r="I170" s="29" t="s">
        <v>597</v>
      </c>
      <c r="J170" s="32" t="s">
        <v>642</v>
      </c>
      <c r="K170" s="29" t="s">
        <v>698</v>
      </c>
      <c r="L170" s="29" t="s">
        <v>727</v>
      </c>
      <c r="M170" s="33">
        <v>35.92</v>
      </c>
      <c r="N170" s="33">
        <v>-8.454</v>
      </c>
      <c r="O170" s="34" t="s">
        <v>601</v>
      </c>
      <c r="P170" s="32" t="s">
        <v>602</v>
      </c>
      <c r="Q170" s="35">
        <v>134.0</v>
      </c>
      <c r="R170" s="35">
        <v>180.0</v>
      </c>
      <c r="S170" s="36">
        <v>0.155</v>
      </c>
      <c r="T170" s="36">
        <v>0.058</v>
      </c>
      <c r="U170" s="36">
        <v>0.223</v>
      </c>
      <c r="V170" s="36">
        <v>0.125</v>
      </c>
      <c r="W170" s="37" t="s">
        <v>777</v>
      </c>
      <c r="X170" s="31">
        <v>3.75</v>
      </c>
      <c r="Y170" s="36">
        <v>0.9830786428761835</v>
      </c>
      <c r="Z170" s="36">
        <v>0.04125117439085575</v>
      </c>
      <c r="AA170" s="29" t="s">
        <v>729</v>
      </c>
      <c r="AB170" s="31">
        <v>16.9693088531</v>
      </c>
      <c r="AC170" s="38">
        <v>594.0</v>
      </c>
    </row>
    <row r="171" ht="14.25" customHeight="1">
      <c r="A171" s="29" t="s">
        <v>461</v>
      </c>
      <c r="B171" s="29">
        <v>94.0</v>
      </c>
      <c r="C171" s="29" t="s">
        <v>608</v>
      </c>
      <c r="D171" s="29" t="s">
        <v>742</v>
      </c>
      <c r="E171" s="29">
        <v>275.0</v>
      </c>
      <c r="F171" s="30" t="s">
        <v>743</v>
      </c>
      <c r="G171" s="29" t="s">
        <v>611</v>
      </c>
      <c r="H171" s="31">
        <v>5.0</v>
      </c>
      <c r="I171" s="29" t="s">
        <v>597</v>
      </c>
      <c r="J171" s="32" t="s">
        <v>642</v>
      </c>
      <c r="K171" s="29" t="s">
        <v>698</v>
      </c>
      <c r="L171" s="29" t="s">
        <v>727</v>
      </c>
      <c r="M171" s="33">
        <v>35.92</v>
      </c>
      <c r="N171" s="33">
        <v>-8.454</v>
      </c>
      <c r="O171" s="34" t="s">
        <v>601</v>
      </c>
      <c r="P171" s="32" t="s">
        <v>602</v>
      </c>
      <c r="Q171" s="35">
        <v>134.0</v>
      </c>
      <c r="R171" s="35">
        <v>180.0</v>
      </c>
      <c r="S171" s="36">
        <v>0.56</v>
      </c>
      <c r="T171" s="36">
        <v>0.301</v>
      </c>
      <c r="U171" s="36">
        <v>0.365</v>
      </c>
      <c r="V171" s="36">
        <v>0.257</v>
      </c>
      <c r="W171" s="37" t="s">
        <v>777</v>
      </c>
      <c r="X171" s="31">
        <v>3.75</v>
      </c>
      <c r="Y171" s="36">
        <v>0.6209651832565931</v>
      </c>
      <c r="Z171" s="36">
        <v>0.0072203863740557955</v>
      </c>
      <c r="AA171" s="29" t="s">
        <v>729</v>
      </c>
      <c r="AB171" s="31">
        <v>16.9693088531</v>
      </c>
      <c r="AC171" s="38">
        <v>594.0</v>
      </c>
    </row>
    <row r="172" ht="14.25" customHeight="1">
      <c r="A172" s="29" t="s">
        <v>461</v>
      </c>
      <c r="B172" s="29">
        <v>94.0</v>
      </c>
      <c r="C172" s="29" t="s">
        <v>608</v>
      </c>
      <c r="D172" s="29" t="s">
        <v>778</v>
      </c>
      <c r="E172" s="29">
        <v>276.0</v>
      </c>
      <c r="F172" s="30" t="s">
        <v>779</v>
      </c>
      <c r="G172" s="29" t="s">
        <v>611</v>
      </c>
      <c r="H172" s="31">
        <v>9.85</v>
      </c>
      <c r="I172" s="29" t="s">
        <v>612</v>
      </c>
      <c r="J172" s="32" t="s">
        <v>642</v>
      </c>
      <c r="K172" s="29" t="s">
        <v>698</v>
      </c>
      <c r="L172" s="29" t="s">
        <v>727</v>
      </c>
      <c r="M172" s="33">
        <v>35.92</v>
      </c>
      <c r="N172" s="33">
        <v>-8.454</v>
      </c>
      <c r="O172" s="34" t="s">
        <v>601</v>
      </c>
      <c r="P172" s="32" t="s">
        <v>602</v>
      </c>
      <c r="Q172" s="35">
        <v>134.0</v>
      </c>
      <c r="R172" s="35">
        <v>180.0</v>
      </c>
      <c r="S172" s="36">
        <v>0.05</v>
      </c>
      <c r="T172" s="36">
        <v>0.401</v>
      </c>
      <c r="U172" s="36">
        <v>0.127</v>
      </c>
      <c r="V172" s="36">
        <v>0.292</v>
      </c>
      <c r="W172" s="37" t="s">
        <v>777</v>
      </c>
      <c r="X172" s="31">
        <v>3.75</v>
      </c>
      <c r="Y172" s="36">
        <v>-2.079871416160535</v>
      </c>
      <c r="Z172" s="36">
        <v>0.05109207676045263</v>
      </c>
      <c r="AA172" s="29" t="s">
        <v>729</v>
      </c>
      <c r="AB172" s="31">
        <v>16.9693088531</v>
      </c>
      <c r="AC172" s="38">
        <v>594.0</v>
      </c>
    </row>
    <row r="173" ht="14.25" customHeight="1">
      <c r="A173" s="29" t="s">
        <v>461</v>
      </c>
      <c r="B173" s="29">
        <v>94.0</v>
      </c>
      <c r="C173" s="29" t="s">
        <v>608</v>
      </c>
      <c r="D173" s="29" t="s">
        <v>783</v>
      </c>
      <c r="E173" s="29">
        <v>281.0</v>
      </c>
      <c r="F173" s="30" t="s">
        <v>784</v>
      </c>
      <c r="G173" s="29" t="s">
        <v>611</v>
      </c>
      <c r="H173" s="31">
        <v>15.822</v>
      </c>
      <c r="I173" s="29" t="s">
        <v>612</v>
      </c>
      <c r="J173" s="32" t="s">
        <v>642</v>
      </c>
      <c r="K173" s="29" t="s">
        <v>698</v>
      </c>
      <c r="L173" s="29" t="s">
        <v>727</v>
      </c>
      <c r="M173" s="33">
        <v>35.92</v>
      </c>
      <c r="N173" s="33">
        <v>-8.454</v>
      </c>
      <c r="O173" s="34" t="s">
        <v>601</v>
      </c>
      <c r="P173" s="32" t="s">
        <v>602</v>
      </c>
      <c r="Q173" s="35">
        <v>134.0</v>
      </c>
      <c r="R173" s="35">
        <v>180.0</v>
      </c>
      <c r="S173" s="36">
        <v>0.023</v>
      </c>
      <c r="T173" s="36">
        <v>0.065</v>
      </c>
      <c r="U173" s="36">
        <v>0.086</v>
      </c>
      <c r="V173" s="36">
        <v>0.117</v>
      </c>
      <c r="W173" s="37" t="s">
        <v>777</v>
      </c>
      <c r="X173" s="31">
        <v>3.75</v>
      </c>
      <c r="Y173" s="36">
        <v>-1.0381641950469085</v>
      </c>
      <c r="Z173" s="36">
        <v>0.12233654036057896</v>
      </c>
      <c r="AA173" s="29" t="s">
        <v>729</v>
      </c>
      <c r="AB173" s="31">
        <v>16.9693088531</v>
      </c>
      <c r="AC173" s="38">
        <v>594.0</v>
      </c>
    </row>
    <row r="174" ht="14.25" customHeight="1">
      <c r="A174" s="29" t="s">
        <v>461</v>
      </c>
      <c r="B174" s="29">
        <v>94.0</v>
      </c>
      <c r="C174" s="29" t="s">
        <v>608</v>
      </c>
      <c r="D174" s="42" t="s">
        <v>767</v>
      </c>
      <c r="E174" s="29">
        <v>283.0</v>
      </c>
      <c r="F174" s="30" t="s">
        <v>768</v>
      </c>
      <c r="G174" s="29" t="s">
        <v>611</v>
      </c>
      <c r="H174" s="31">
        <v>8.591</v>
      </c>
      <c r="I174" s="29" t="s">
        <v>612</v>
      </c>
      <c r="J174" s="32" t="s">
        <v>642</v>
      </c>
      <c r="K174" s="29" t="s">
        <v>698</v>
      </c>
      <c r="L174" s="29" t="s">
        <v>727</v>
      </c>
      <c r="M174" s="33">
        <v>35.92</v>
      </c>
      <c r="N174" s="33">
        <v>-8.454</v>
      </c>
      <c r="O174" s="34" t="s">
        <v>601</v>
      </c>
      <c r="P174" s="32" t="s">
        <v>602</v>
      </c>
      <c r="Q174" s="35">
        <v>134.0</v>
      </c>
      <c r="R174" s="35">
        <v>180.0</v>
      </c>
      <c r="S174" s="36">
        <v>0.114</v>
      </c>
      <c r="T174" s="36">
        <v>0.463</v>
      </c>
      <c r="U174" s="36">
        <v>0.208</v>
      </c>
      <c r="V174" s="36">
        <v>0.258</v>
      </c>
      <c r="W174" s="37" t="s">
        <v>777</v>
      </c>
      <c r="X174" s="31">
        <v>3.75</v>
      </c>
      <c r="Y174" s="36">
        <v>-1.4004813205637099</v>
      </c>
      <c r="Z174" s="36">
        <v>0.026568527897513364</v>
      </c>
      <c r="AA174" s="29" t="s">
        <v>729</v>
      </c>
      <c r="AB174" s="31">
        <v>16.9693088531</v>
      </c>
      <c r="AC174" s="38">
        <v>594.0</v>
      </c>
    </row>
    <row r="175" ht="14.25" customHeight="1">
      <c r="A175" s="29" t="s">
        <v>490</v>
      </c>
      <c r="B175" s="29">
        <v>144.0</v>
      </c>
      <c r="C175" s="29" t="s">
        <v>608</v>
      </c>
      <c r="D175" s="29" t="s">
        <v>739</v>
      </c>
      <c r="E175" s="29">
        <v>38.0</v>
      </c>
      <c r="F175" s="30" t="s">
        <v>726</v>
      </c>
      <c r="G175" s="29" t="s">
        <v>626</v>
      </c>
      <c r="H175" s="31">
        <v>14.5</v>
      </c>
      <c r="I175" s="29" t="s">
        <v>612</v>
      </c>
      <c r="J175" s="32" t="s">
        <v>598</v>
      </c>
      <c r="K175" s="29" t="s">
        <v>698</v>
      </c>
      <c r="L175" s="29" t="s">
        <v>727</v>
      </c>
      <c r="M175" s="36">
        <v>35.916502</v>
      </c>
      <c r="N175" s="36">
        <v>-8.06691</v>
      </c>
      <c r="O175" s="34" t="s">
        <v>601</v>
      </c>
      <c r="P175" s="32" t="s">
        <v>602</v>
      </c>
      <c r="Q175" s="29">
        <v>1.0</v>
      </c>
      <c r="R175" s="29">
        <v>1.0</v>
      </c>
      <c r="S175" s="36">
        <v>5.4</v>
      </c>
      <c r="T175" s="36">
        <v>22.8</v>
      </c>
      <c r="U175" s="36">
        <f t="shared" ref="U175:V175" si="45">SQRT(S175)</f>
        <v>2.323790008</v>
      </c>
      <c r="V175" s="36">
        <f t="shared" si="45"/>
        <v>4.774934555</v>
      </c>
      <c r="W175" s="37" t="s">
        <v>785</v>
      </c>
      <c r="X175" s="31">
        <v>3.758</v>
      </c>
      <c r="Y175" s="36">
        <v>-1.43927285065497</v>
      </c>
      <c r="Z175" s="36">
        <v>0.2290448343079922</v>
      </c>
      <c r="AA175" s="29" t="s">
        <v>729</v>
      </c>
      <c r="AB175" s="31">
        <v>15.7667</v>
      </c>
      <c r="AC175" s="29">
        <v>135.0</v>
      </c>
    </row>
    <row r="176" ht="14.25" customHeight="1">
      <c r="A176" s="29" t="s">
        <v>490</v>
      </c>
      <c r="B176" s="29">
        <v>144.0</v>
      </c>
      <c r="C176" s="29" t="s">
        <v>608</v>
      </c>
      <c r="D176" s="29" t="s">
        <v>730</v>
      </c>
      <c r="E176" s="29">
        <v>42.0</v>
      </c>
      <c r="F176" s="30" t="s">
        <v>731</v>
      </c>
      <c r="G176" s="29" t="s">
        <v>626</v>
      </c>
      <c r="H176" s="31">
        <v>56.0</v>
      </c>
      <c r="I176" s="29" t="s">
        <v>612</v>
      </c>
      <c r="J176" s="32" t="s">
        <v>598</v>
      </c>
      <c r="K176" s="29" t="s">
        <v>698</v>
      </c>
      <c r="L176" s="29" t="s">
        <v>727</v>
      </c>
      <c r="M176" s="36">
        <v>35.916502</v>
      </c>
      <c r="N176" s="36">
        <v>-8.06691</v>
      </c>
      <c r="O176" s="34" t="s">
        <v>601</v>
      </c>
      <c r="P176" s="32" t="s">
        <v>602</v>
      </c>
      <c r="Q176" s="29">
        <v>1.0</v>
      </c>
      <c r="R176" s="29">
        <v>1.0</v>
      </c>
      <c r="S176" s="36">
        <v>0.0</v>
      </c>
      <c r="T176" s="36">
        <v>16.9</v>
      </c>
      <c r="U176" s="36">
        <f t="shared" ref="U176:V176" si="46">SQRT(S176)</f>
        <v>0</v>
      </c>
      <c r="V176" s="36">
        <f t="shared" si="46"/>
        <v>4.110960958</v>
      </c>
      <c r="W176" s="37" t="s">
        <v>785</v>
      </c>
      <c r="X176" s="31">
        <v>3.758</v>
      </c>
      <c r="Y176" s="36">
        <v>-8.262558973010657</v>
      </c>
      <c r="Z176" s="36">
        <v>1.070223810801357</v>
      </c>
      <c r="AA176" s="29" t="s">
        <v>729</v>
      </c>
      <c r="AB176" s="31">
        <v>15.7667</v>
      </c>
      <c r="AC176" s="29">
        <v>135.0</v>
      </c>
    </row>
    <row r="177" ht="14.25" customHeight="1">
      <c r="A177" s="29" t="s">
        <v>490</v>
      </c>
      <c r="B177" s="29">
        <v>144.0</v>
      </c>
      <c r="C177" s="29" t="s">
        <v>608</v>
      </c>
      <c r="D177" s="29" t="s">
        <v>742</v>
      </c>
      <c r="E177" s="29">
        <v>275.0</v>
      </c>
      <c r="F177" s="30" t="s">
        <v>743</v>
      </c>
      <c r="G177" s="29" t="s">
        <v>611</v>
      </c>
      <c r="H177" s="31">
        <v>5.0</v>
      </c>
      <c r="I177" s="29" t="s">
        <v>597</v>
      </c>
      <c r="J177" s="32" t="s">
        <v>598</v>
      </c>
      <c r="K177" s="29" t="s">
        <v>698</v>
      </c>
      <c r="L177" s="29" t="s">
        <v>727</v>
      </c>
      <c r="M177" s="36">
        <v>35.916502</v>
      </c>
      <c r="N177" s="36">
        <v>-8.06691</v>
      </c>
      <c r="O177" s="34" t="s">
        <v>601</v>
      </c>
      <c r="P177" s="32" t="s">
        <v>602</v>
      </c>
      <c r="Q177" s="29">
        <v>10.0</v>
      </c>
      <c r="R177" s="29">
        <v>22.0</v>
      </c>
      <c r="S177" s="36">
        <v>0.18</v>
      </c>
      <c r="T177" s="36">
        <v>0.64</v>
      </c>
      <c r="U177" s="36">
        <v>0.12907255755789304</v>
      </c>
      <c r="V177" s="36">
        <v>0.35896038978240535</v>
      </c>
      <c r="W177" s="37" t="s">
        <v>777</v>
      </c>
      <c r="X177" s="31">
        <v>3.758</v>
      </c>
      <c r="Y177" s="36">
        <v>-1.267594419955143</v>
      </c>
      <c r="Z177" s="36">
        <v>0.06571806143860134</v>
      </c>
      <c r="AA177" s="29" t="s">
        <v>729</v>
      </c>
      <c r="AB177" s="31">
        <v>15.7667</v>
      </c>
      <c r="AC177" s="29">
        <v>135.0</v>
      </c>
    </row>
    <row r="178" ht="14.25" customHeight="1">
      <c r="A178" s="29" t="s">
        <v>490</v>
      </c>
      <c r="B178" s="29">
        <v>144.0</v>
      </c>
      <c r="C178" s="29" t="s">
        <v>608</v>
      </c>
      <c r="D178" s="29" t="s">
        <v>778</v>
      </c>
      <c r="E178" s="29">
        <v>276.0</v>
      </c>
      <c r="F178" s="30" t="s">
        <v>779</v>
      </c>
      <c r="G178" s="29" t="s">
        <v>611</v>
      </c>
      <c r="H178" s="31">
        <v>9.85</v>
      </c>
      <c r="I178" s="29" t="s">
        <v>612</v>
      </c>
      <c r="J178" s="32" t="s">
        <v>598</v>
      </c>
      <c r="K178" s="29" t="s">
        <v>698</v>
      </c>
      <c r="L178" s="29" t="s">
        <v>727</v>
      </c>
      <c r="M178" s="36">
        <v>35.916502</v>
      </c>
      <c r="N178" s="36">
        <v>-8.06691</v>
      </c>
      <c r="O178" s="34" t="s">
        <v>601</v>
      </c>
      <c r="P178" s="32" t="s">
        <v>602</v>
      </c>
      <c r="Q178" s="29">
        <v>10.0</v>
      </c>
      <c r="R178" s="29">
        <v>22.0</v>
      </c>
      <c r="S178" s="36">
        <v>0.15</v>
      </c>
      <c r="T178" s="36">
        <v>0.57</v>
      </c>
      <c r="U178" s="36">
        <v>0.1613406969473663</v>
      </c>
      <c r="V178" s="36">
        <v>0.35896038978240535</v>
      </c>
      <c r="W178" s="37" t="s">
        <v>777</v>
      </c>
      <c r="X178" s="31">
        <v>3.758</v>
      </c>
      <c r="Y178" s="36">
        <v>-1.3340211548459913</v>
      </c>
      <c r="Z178" s="36">
        <v>0.1337194195144657</v>
      </c>
      <c r="AA178" s="29" t="s">
        <v>729</v>
      </c>
      <c r="AB178" s="31">
        <v>15.7667</v>
      </c>
      <c r="AC178" s="29">
        <v>135.0</v>
      </c>
    </row>
    <row r="179" ht="14.25" customHeight="1">
      <c r="A179" s="29" t="s">
        <v>490</v>
      </c>
      <c r="B179" s="29">
        <v>144.0</v>
      </c>
      <c r="C179" s="29" t="s">
        <v>608</v>
      </c>
      <c r="D179" s="29" t="s">
        <v>744</v>
      </c>
      <c r="E179" s="29">
        <v>237.0</v>
      </c>
      <c r="F179" s="30" t="s">
        <v>745</v>
      </c>
      <c r="G179" s="29" t="s">
        <v>615</v>
      </c>
      <c r="H179" s="31">
        <v>1.27</v>
      </c>
      <c r="I179" s="29" t="s">
        <v>616</v>
      </c>
      <c r="J179" s="32" t="s">
        <v>598</v>
      </c>
      <c r="K179" s="29" t="s">
        <v>698</v>
      </c>
      <c r="L179" s="29" t="s">
        <v>727</v>
      </c>
      <c r="M179" s="36">
        <v>35.916502</v>
      </c>
      <c r="N179" s="36">
        <v>-8.06691</v>
      </c>
      <c r="O179" s="34" t="s">
        <v>601</v>
      </c>
      <c r="P179" s="32" t="s">
        <v>602</v>
      </c>
      <c r="Q179" s="29">
        <v>1.0</v>
      </c>
      <c r="R179" s="29">
        <v>1.0</v>
      </c>
      <c r="S179" s="36">
        <v>1.29</v>
      </c>
      <c r="T179" s="36">
        <v>2.11</v>
      </c>
      <c r="U179" s="36">
        <f t="shared" ref="U179:V179" si="47">SQRT(S179)</f>
        <v>1.135781669</v>
      </c>
      <c r="V179" s="36">
        <f t="shared" si="47"/>
        <v>1.452583905</v>
      </c>
      <c r="W179" s="37" t="s">
        <v>786</v>
      </c>
      <c r="X179" s="31">
        <v>3.758</v>
      </c>
      <c r="Y179" s="36">
        <v>-0.49162382150590056</v>
      </c>
      <c r="Z179" s="36">
        <v>1.2491274477387118</v>
      </c>
      <c r="AA179" s="29" t="s">
        <v>729</v>
      </c>
      <c r="AB179" s="31">
        <v>15.7667</v>
      </c>
      <c r="AC179" s="29">
        <v>135.0</v>
      </c>
    </row>
    <row r="180" ht="14.25" customHeight="1">
      <c r="A180" s="29" t="s">
        <v>490</v>
      </c>
      <c r="B180" s="29">
        <v>144.0</v>
      </c>
      <c r="C180" s="29" t="s">
        <v>608</v>
      </c>
      <c r="D180" s="29" t="s">
        <v>751</v>
      </c>
      <c r="E180" s="29">
        <v>97.0</v>
      </c>
      <c r="F180" s="30" t="s">
        <v>752</v>
      </c>
      <c r="G180" s="29" t="s">
        <v>753</v>
      </c>
      <c r="H180" s="31">
        <v>3940.03</v>
      </c>
      <c r="I180" s="29" t="s">
        <v>612</v>
      </c>
      <c r="J180" s="32" t="s">
        <v>598</v>
      </c>
      <c r="K180" s="29" t="s">
        <v>698</v>
      </c>
      <c r="L180" s="29" t="s">
        <v>727</v>
      </c>
      <c r="M180" s="36">
        <v>35.916502</v>
      </c>
      <c r="N180" s="36">
        <v>-8.06691</v>
      </c>
      <c r="O180" s="34" t="s">
        <v>601</v>
      </c>
      <c r="P180" s="32" t="s">
        <v>602</v>
      </c>
      <c r="Q180" s="29">
        <v>1.0</v>
      </c>
      <c r="R180" s="29">
        <v>1.0</v>
      </c>
      <c r="S180" s="36">
        <v>0.0</v>
      </c>
      <c r="T180" s="36">
        <v>1.2</v>
      </c>
      <c r="U180" s="36">
        <f t="shared" ref="U180:V180" si="48">SQRT(S180)</f>
        <v>0</v>
      </c>
      <c r="V180" s="36">
        <f t="shared" si="48"/>
        <v>1.095445115</v>
      </c>
      <c r="W180" s="37" t="s">
        <v>785</v>
      </c>
      <c r="X180" s="31">
        <v>3.758</v>
      </c>
      <c r="Y180" s="36">
        <v>-8.262558973010657</v>
      </c>
      <c r="Z180" s="36">
        <v>1.8807768564049592</v>
      </c>
      <c r="AA180" s="29" t="s">
        <v>729</v>
      </c>
      <c r="AB180" s="31">
        <v>15.7667</v>
      </c>
      <c r="AC180" s="29">
        <v>135.0</v>
      </c>
    </row>
    <row r="181" ht="14.25" customHeight="1">
      <c r="A181" s="29" t="s">
        <v>490</v>
      </c>
      <c r="B181" s="29">
        <v>144.0</v>
      </c>
      <c r="C181" s="29" t="s">
        <v>608</v>
      </c>
      <c r="D181" s="29" t="s">
        <v>787</v>
      </c>
      <c r="E181" s="29">
        <v>323.0</v>
      </c>
      <c r="F181" s="39" t="s">
        <v>788</v>
      </c>
      <c r="G181" s="42" t="s">
        <v>789</v>
      </c>
      <c r="H181" s="31">
        <v>52.3504</v>
      </c>
      <c r="I181" s="29" t="s">
        <v>620</v>
      </c>
      <c r="J181" s="32" t="s">
        <v>598</v>
      </c>
      <c r="K181" s="29" t="s">
        <v>698</v>
      </c>
      <c r="L181" s="29" t="s">
        <v>727</v>
      </c>
      <c r="M181" s="36">
        <v>35.916502</v>
      </c>
      <c r="N181" s="36">
        <v>-8.06691</v>
      </c>
      <c r="O181" s="34" t="s">
        <v>601</v>
      </c>
      <c r="P181" s="32" t="s">
        <v>602</v>
      </c>
      <c r="Q181" s="29">
        <v>1.0</v>
      </c>
      <c r="R181" s="29">
        <v>1.0</v>
      </c>
      <c r="S181" s="36">
        <v>0.0</v>
      </c>
      <c r="T181" s="36">
        <v>1.41</v>
      </c>
      <c r="U181" s="36">
        <f t="shared" ref="U181:V181" si="49">SQRT(S181)</f>
        <v>0</v>
      </c>
      <c r="V181" s="36">
        <f t="shared" si="49"/>
        <v>1.187434209</v>
      </c>
      <c r="W181" s="37" t="s">
        <v>786</v>
      </c>
      <c r="X181" s="31">
        <v>3.758</v>
      </c>
      <c r="Y181" s="36">
        <v>-8.262558973010657</v>
      </c>
      <c r="Z181" s="36">
        <v>1.7805252621100824</v>
      </c>
      <c r="AA181" s="29" t="s">
        <v>729</v>
      </c>
      <c r="AB181" s="31">
        <v>15.7667</v>
      </c>
      <c r="AC181" s="29">
        <v>135.0</v>
      </c>
    </row>
    <row r="182" ht="14.25" customHeight="1">
      <c r="A182" s="29" t="s">
        <v>490</v>
      </c>
      <c r="B182" s="29">
        <v>144.0</v>
      </c>
      <c r="C182" s="29" t="s">
        <v>608</v>
      </c>
      <c r="D182" s="35" t="s">
        <v>790</v>
      </c>
      <c r="E182" s="29">
        <v>325.0</v>
      </c>
      <c r="F182" s="39" t="s">
        <v>791</v>
      </c>
      <c r="G182" s="29" t="s">
        <v>626</v>
      </c>
      <c r="H182" s="31">
        <f>AVERAGE(4.9,6.499)</f>
        <v>5.6995</v>
      </c>
      <c r="I182" s="29" t="s">
        <v>597</v>
      </c>
      <c r="J182" s="32" t="s">
        <v>598</v>
      </c>
      <c r="K182" s="29" t="s">
        <v>698</v>
      </c>
      <c r="L182" s="29" t="s">
        <v>727</v>
      </c>
      <c r="M182" s="36">
        <v>35.916502</v>
      </c>
      <c r="N182" s="36">
        <v>-8.06691</v>
      </c>
      <c r="O182" s="34" t="s">
        <v>601</v>
      </c>
      <c r="P182" s="32" t="s">
        <v>602</v>
      </c>
      <c r="Q182" s="29">
        <v>1.0</v>
      </c>
      <c r="R182" s="29">
        <v>1.0</v>
      </c>
      <c r="S182" s="36">
        <v>3.0</v>
      </c>
      <c r="T182" s="36">
        <v>45.3</v>
      </c>
      <c r="U182" s="36">
        <f t="shared" ref="U182:V182" si="50">SQRT(S182)</f>
        <v>1.732050808</v>
      </c>
      <c r="V182" s="36">
        <f t="shared" si="50"/>
        <v>6.730527468</v>
      </c>
      <c r="W182" s="37" t="s">
        <v>785</v>
      </c>
      <c r="X182" s="31">
        <v>3.758</v>
      </c>
      <c r="Y182" s="36">
        <v>-2.7108065438431255</v>
      </c>
      <c r="Z182" s="36">
        <v>0.35540838852097123</v>
      </c>
      <c r="AA182" s="29" t="s">
        <v>729</v>
      </c>
      <c r="AB182" s="31">
        <v>15.7667</v>
      </c>
      <c r="AC182" s="29">
        <v>135.0</v>
      </c>
    </row>
    <row r="183" ht="14.25" customHeight="1">
      <c r="A183" s="29" t="s">
        <v>490</v>
      </c>
      <c r="B183" s="29">
        <v>144.0</v>
      </c>
      <c r="C183" s="29" t="s">
        <v>608</v>
      </c>
      <c r="D183" s="29" t="s">
        <v>765</v>
      </c>
      <c r="E183" s="29">
        <v>147.0</v>
      </c>
      <c r="F183" s="30" t="s">
        <v>766</v>
      </c>
      <c r="G183" s="29" t="s">
        <v>626</v>
      </c>
      <c r="H183" s="31">
        <v>48.78</v>
      </c>
      <c r="I183" s="29" t="s">
        <v>616</v>
      </c>
      <c r="J183" s="32" t="s">
        <v>598</v>
      </c>
      <c r="K183" s="29" t="s">
        <v>698</v>
      </c>
      <c r="L183" s="29" t="s">
        <v>727</v>
      </c>
      <c r="M183" s="36">
        <v>35.916502</v>
      </c>
      <c r="N183" s="36">
        <v>-8.06691</v>
      </c>
      <c r="O183" s="34" t="s">
        <v>601</v>
      </c>
      <c r="P183" s="32" t="s">
        <v>602</v>
      </c>
      <c r="Q183" s="29">
        <v>1.0</v>
      </c>
      <c r="R183" s="29">
        <v>1.0</v>
      </c>
      <c r="S183" s="36">
        <v>1.5</v>
      </c>
      <c r="T183" s="36">
        <v>11.0</v>
      </c>
      <c r="U183" s="36">
        <f t="shared" ref="U183:V183" si="51">SQRT(S183)</f>
        <v>1.224744871</v>
      </c>
      <c r="V183" s="36">
        <f t="shared" si="51"/>
        <v>3.31662479</v>
      </c>
      <c r="W183" s="37" t="s">
        <v>785</v>
      </c>
      <c r="X183" s="31">
        <v>3.758</v>
      </c>
      <c r="Y183" s="36">
        <v>-1.990539967375126</v>
      </c>
      <c r="Z183" s="36">
        <v>0.7575757575757575</v>
      </c>
      <c r="AA183" s="29" t="s">
        <v>729</v>
      </c>
      <c r="AB183" s="31">
        <v>15.7667</v>
      </c>
      <c r="AC183" s="29">
        <v>135.0</v>
      </c>
    </row>
    <row r="184" ht="14.25" customHeight="1">
      <c r="A184" s="29" t="s">
        <v>490</v>
      </c>
      <c r="B184" s="29">
        <v>144.0</v>
      </c>
      <c r="C184" s="29" t="s">
        <v>608</v>
      </c>
      <c r="D184" s="42" t="s">
        <v>767</v>
      </c>
      <c r="E184" s="29">
        <v>283.0</v>
      </c>
      <c r="F184" s="30" t="s">
        <v>768</v>
      </c>
      <c r="G184" s="29" t="s">
        <v>611</v>
      </c>
      <c r="H184" s="31">
        <v>8.591</v>
      </c>
      <c r="I184" s="29" t="s">
        <v>612</v>
      </c>
      <c r="J184" s="32" t="s">
        <v>598</v>
      </c>
      <c r="K184" s="29" t="s">
        <v>698</v>
      </c>
      <c r="L184" s="29" t="s">
        <v>727</v>
      </c>
      <c r="M184" s="36">
        <v>35.916502</v>
      </c>
      <c r="N184" s="36">
        <v>-8.06691</v>
      </c>
      <c r="O184" s="34" t="s">
        <v>601</v>
      </c>
      <c r="P184" s="32" t="s">
        <v>602</v>
      </c>
      <c r="Q184" s="29">
        <v>10.0</v>
      </c>
      <c r="R184" s="29">
        <v>22.0</v>
      </c>
      <c r="S184" s="36">
        <v>0.24</v>
      </c>
      <c r="T184" s="36">
        <v>0.52</v>
      </c>
      <c r="U184" s="36">
        <v>0.19360883633683956</v>
      </c>
      <c r="V184" s="36">
        <v>0.33502969713024505</v>
      </c>
      <c r="W184" s="37" t="s">
        <v>777</v>
      </c>
      <c r="X184" s="31">
        <v>3.758</v>
      </c>
      <c r="Y184" s="36">
        <v>-0.7726310488852463</v>
      </c>
      <c r="Z184" s="36">
        <v>0.08394554537187415</v>
      </c>
      <c r="AA184" s="29" t="s">
        <v>729</v>
      </c>
      <c r="AB184" s="31">
        <v>15.7667</v>
      </c>
      <c r="AC184" s="29">
        <v>135.0</v>
      </c>
    </row>
    <row r="185" ht="14.25" customHeight="1">
      <c r="A185" s="29" t="s">
        <v>490</v>
      </c>
      <c r="B185" s="29">
        <v>144.0</v>
      </c>
      <c r="C185" s="29" t="s">
        <v>608</v>
      </c>
      <c r="D185" s="29" t="s">
        <v>771</v>
      </c>
      <c r="E185" s="29">
        <v>184.0</v>
      </c>
      <c r="F185" s="30" t="s">
        <v>772</v>
      </c>
      <c r="G185" s="29" t="s">
        <v>626</v>
      </c>
      <c r="H185" s="31">
        <v>580.0</v>
      </c>
      <c r="I185" s="29" t="s">
        <v>612</v>
      </c>
      <c r="J185" s="32" t="s">
        <v>598</v>
      </c>
      <c r="K185" s="29" t="s">
        <v>698</v>
      </c>
      <c r="L185" s="29" t="s">
        <v>727</v>
      </c>
      <c r="M185" s="36">
        <v>35.916502</v>
      </c>
      <c r="N185" s="36">
        <v>-8.06691</v>
      </c>
      <c r="O185" s="34" t="s">
        <v>601</v>
      </c>
      <c r="P185" s="32" t="s">
        <v>602</v>
      </c>
      <c r="Q185" s="29">
        <v>1.0</v>
      </c>
      <c r="R185" s="29">
        <v>1.0</v>
      </c>
      <c r="S185" s="36">
        <v>0.0</v>
      </c>
      <c r="T185" s="36">
        <v>11.7</v>
      </c>
      <c r="U185" s="36">
        <f t="shared" ref="U185:V185" si="52">SQRT(S185)</f>
        <v>0</v>
      </c>
      <c r="V185" s="36">
        <f t="shared" si="52"/>
        <v>3.420526275</v>
      </c>
      <c r="W185" s="37" t="s">
        <v>785</v>
      </c>
      <c r="X185" s="31">
        <v>3.758</v>
      </c>
      <c r="Y185" s="36">
        <v>-8.262558973010657</v>
      </c>
      <c r="Z185" s="36">
        <v>1.103268787122396</v>
      </c>
      <c r="AA185" s="29" t="s">
        <v>729</v>
      </c>
      <c r="AB185" s="31">
        <v>15.7667</v>
      </c>
      <c r="AC185" s="29">
        <v>135.0</v>
      </c>
    </row>
    <row r="186" ht="14.25" customHeight="1">
      <c r="A186" s="29" t="s">
        <v>490</v>
      </c>
      <c r="B186" s="29">
        <v>144.0</v>
      </c>
      <c r="C186" s="29" t="s">
        <v>608</v>
      </c>
      <c r="D186" s="29" t="s">
        <v>739</v>
      </c>
      <c r="E186" s="29">
        <v>38.0</v>
      </c>
      <c r="F186" s="30" t="s">
        <v>726</v>
      </c>
      <c r="G186" s="29" t="s">
        <v>626</v>
      </c>
      <c r="H186" s="31">
        <v>14.5</v>
      </c>
      <c r="I186" s="29" t="s">
        <v>612</v>
      </c>
      <c r="J186" s="32" t="s">
        <v>598</v>
      </c>
      <c r="K186" s="29" t="s">
        <v>698</v>
      </c>
      <c r="L186" s="29" t="s">
        <v>727</v>
      </c>
      <c r="M186" s="36">
        <v>35.966597</v>
      </c>
      <c r="N186" s="36">
        <v>-8.366524</v>
      </c>
      <c r="O186" s="34" t="s">
        <v>601</v>
      </c>
      <c r="P186" s="32" t="s">
        <v>602</v>
      </c>
      <c r="Q186" s="29">
        <v>1.0</v>
      </c>
      <c r="R186" s="29">
        <v>1.0</v>
      </c>
      <c r="S186" s="36">
        <v>11.9</v>
      </c>
      <c r="T186" s="36">
        <v>22.8</v>
      </c>
      <c r="U186" s="36">
        <f t="shared" ref="U186:V186" si="53">SQRT(S186)</f>
        <v>3.449637662</v>
      </c>
      <c r="V186" s="36">
        <f t="shared" si="53"/>
        <v>4.774934555</v>
      </c>
      <c r="W186" s="37" t="s">
        <v>785</v>
      </c>
      <c r="X186" s="31">
        <v>7.38906540535</v>
      </c>
      <c r="Y186" s="36">
        <v>-0.6497279426033009</v>
      </c>
      <c r="Z186" s="36">
        <v>0.12789326256818515</v>
      </c>
      <c r="AA186" s="29" t="s">
        <v>729</v>
      </c>
      <c r="AB186" s="31">
        <v>16.9693</v>
      </c>
      <c r="AC186" s="38">
        <v>627.0</v>
      </c>
    </row>
    <row r="187" ht="14.25" customHeight="1">
      <c r="A187" s="29" t="s">
        <v>490</v>
      </c>
      <c r="B187" s="29">
        <v>144.0</v>
      </c>
      <c r="C187" s="29" t="s">
        <v>608</v>
      </c>
      <c r="D187" s="29" t="s">
        <v>730</v>
      </c>
      <c r="E187" s="29">
        <v>42.0</v>
      </c>
      <c r="F187" s="30" t="s">
        <v>731</v>
      </c>
      <c r="G187" s="29" t="s">
        <v>626</v>
      </c>
      <c r="H187" s="31">
        <v>56.0</v>
      </c>
      <c r="I187" s="29" t="s">
        <v>612</v>
      </c>
      <c r="J187" s="32" t="s">
        <v>598</v>
      </c>
      <c r="K187" s="29" t="s">
        <v>698</v>
      </c>
      <c r="L187" s="29" t="s">
        <v>727</v>
      </c>
      <c r="M187" s="36">
        <v>35.966597</v>
      </c>
      <c r="N187" s="36">
        <v>-8.366524</v>
      </c>
      <c r="O187" s="34" t="s">
        <v>601</v>
      </c>
      <c r="P187" s="32" t="s">
        <v>602</v>
      </c>
      <c r="Q187" s="29">
        <v>1.0</v>
      </c>
      <c r="R187" s="29">
        <v>1.0</v>
      </c>
      <c r="S187" s="36">
        <v>0.2</v>
      </c>
      <c r="T187" s="36">
        <v>16.9</v>
      </c>
      <c r="U187" s="36">
        <f t="shared" ref="U187:V187" si="54">SQRT(S187)</f>
        <v>0.4472135955</v>
      </c>
      <c r="V187" s="36">
        <f t="shared" si="54"/>
        <v>4.110960958</v>
      </c>
      <c r="W187" s="37" t="s">
        <v>785</v>
      </c>
      <c r="X187" s="31">
        <v>7.38906540535</v>
      </c>
      <c r="Y187" s="36">
        <v>-4.4151849484694505</v>
      </c>
      <c r="Z187" s="36">
        <v>5.059171597633134</v>
      </c>
      <c r="AA187" s="29" t="s">
        <v>729</v>
      </c>
      <c r="AB187" s="31">
        <v>16.9693</v>
      </c>
      <c r="AC187" s="38">
        <v>627.0</v>
      </c>
    </row>
    <row r="188" ht="14.25" customHeight="1">
      <c r="A188" s="29" t="s">
        <v>490</v>
      </c>
      <c r="B188" s="29">
        <v>144.0</v>
      </c>
      <c r="C188" s="29" t="s">
        <v>608</v>
      </c>
      <c r="D188" s="29" t="s">
        <v>742</v>
      </c>
      <c r="E188" s="29">
        <v>275.0</v>
      </c>
      <c r="F188" s="30" t="s">
        <v>743</v>
      </c>
      <c r="G188" s="29" t="s">
        <v>611</v>
      </c>
      <c r="H188" s="31">
        <v>5.0</v>
      </c>
      <c r="I188" s="29" t="s">
        <v>597</v>
      </c>
      <c r="J188" s="32" t="s">
        <v>598</v>
      </c>
      <c r="K188" s="29" t="s">
        <v>698</v>
      </c>
      <c r="L188" s="29" t="s">
        <v>727</v>
      </c>
      <c r="M188" s="36">
        <v>35.966597</v>
      </c>
      <c r="N188" s="36">
        <v>-8.366524</v>
      </c>
      <c r="O188" s="34" t="s">
        <v>601</v>
      </c>
      <c r="P188" s="32" t="s">
        <v>602</v>
      </c>
      <c r="Q188" s="29">
        <v>19.0</v>
      </c>
      <c r="R188" s="29">
        <v>22.0</v>
      </c>
      <c r="S188" s="36">
        <v>0.28</v>
      </c>
      <c r="T188" s="36">
        <v>0.64</v>
      </c>
      <c r="U188" s="36">
        <v>0.26687136389024535</v>
      </c>
      <c r="V188" s="36">
        <v>0.35896038978240535</v>
      </c>
      <c r="W188" s="37" t="s">
        <v>777</v>
      </c>
      <c r="X188" s="31">
        <v>7.38906540535</v>
      </c>
      <c r="Y188" s="36">
        <v>-0.8260890374267891</v>
      </c>
      <c r="Z188" s="36">
        <v>0.06211086787087545</v>
      </c>
      <c r="AA188" s="29" t="s">
        <v>729</v>
      </c>
      <c r="AB188" s="31">
        <v>16.9693</v>
      </c>
      <c r="AC188" s="38">
        <v>627.0</v>
      </c>
    </row>
    <row r="189" ht="14.25" customHeight="1">
      <c r="A189" s="29" t="s">
        <v>490</v>
      </c>
      <c r="B189" s="29">
        <v>144.0</v>
      </c>
      <c r="C189" s="29" t="s">
        <v>608</v>
      </c>
      <c r="D189" s="29" t="s">
        <v>778</v>
      </c>
      <c r="E189" s="29">
        <v>276.0</v>
      </c>
      <c r="F189" s="30" t="s">
        <v>779</v>
      </c>
      <c r="G189" s="29" t="s">
        <v>611</v>
      </c>
      <c r="H189" s="31">
        <v>9.85</v>
      </c>
      <c r="I189" s="29" t="s">
        <v>612</v>
      </c>
      <c r="J189" s="32" t="s">
        <v>598</v>
      </c>
      <c r="K189" s="29" t="s">
        <v>698</v>
      </c>
      <c r="L189" s="29" t="s">
        <v>727</v>
      </c>
      <c r="M189" s="36">
        <v>35.966597</v>
      </c>
      <c r="N189" s="36">
        <v>-8.366524</v>
      </c>
      <c r="O189" s="34" t="s">
        <v>601</v>
      </c>
      <c r="P189" s="32" t="s">
        <v>602</v>
      </c>
      <c r="Q189" s="29">
        <v>19.0</v>
      </c>
      <c r="R189" s="29">
        <v>22.0</v>
      </c>
      <c r="S189" s="36">
        <v>0.46</v>
      </c>
      <c r="T189" s="36">
        <v>0.57</v>
      </c>
      <c r="U189" s="36">
        <v>0.3113499245386196</v>
      </c>
      <c r="V189" s="36">
        <v>0.35896038978240535</v>
      </c>
      <c r="W189" s="37" t="s">
        <v>777</v>
      </c>
      <c r="X189" s="31">
        <v>7.38906540535</v>
      </c>
      <c r="Y189" s="36">
        <v>-0.21409022934177457</v>
      </c>
      <c r="Z189" s="36">
        <v>0.04213860808157623</v>
      </c>
      <c r="AA189" s="29" t="s">
        <v>729</v>
      </c>
      <c r="AB189" s="31">
        <v>16.9693</v>
      </c>
      <c r="AC189" s="38">
        <v>627.0</v>
      </c>
    </row>
    <row r="190" ht="14.25" customHeight="1">
      <c r="A190" s="29" t="s">
        <v>490</v>
      </c>
      <c r="B190" s="29">
        <v>144.0</v>
      </c>
      <c r="C190" s="29" t="s">
        <v>608</v>
      </c>
      <c r="D190" s="29" t="s">
        <v>744</v>
      </c>
      <c r="E190" s="29">
        <v>237.0</v>
      </c>
      <c r="F190" s="30" t="s">
        <v>745</v>
      </c>
      <c r="G190" s="29" t="s">
        <v>615</v>
      </c>
      <c r="H190" s="31">
        <v>1.27</v>
      </c>
      <c r="I190" s="29" t="s">
        <v>616</v>
      </c>
      <c r="J190" s="32" t="s">
        <v>598</v>
      </c>
      <c r="K190" s="29" t="s">
        <v>698</v>
      </c>
      <c r="L190" s="29" t="s">
        <v>727</v>
      </c>
      <c r="M190" s="36">
        <v>35.966597</v>
      </c>
      <c r="N190" s="36">
        <v>-8.366524</v>
      </c>
      <c r="O190" s="34" t="s">
        <v>601</v>
      </c>
      <c r="P190" s="32" t="s">
        <v>602</v>
      </c>
      <c r="Q190" s="29">
        <v>1.0</v>
      </c>
      <c r="R190" s="29">
        <v>1.0</v>
      </c>
      <c r="S190" s="36">
        <v>2.45</v>
      </c>
      <c r="T190" s="36">
        <v>2.11</v>
      </c>
      <c r="U190" s="36">
        <f t="shared" ref="U190:V190" si="55">SQRT(S190)</f>
        <v>1.565247584</v>
      </c>
      <c r="V190" s="36">
        <f t="shared" si="55"/>
        <v>1.452583905</v>
      </c>
      <c r="W190" s="37" t="s">
        <v>786</v>
      </c>
      <c r="X190" s="31">
        <v>7.38906540535</v>
      </c>
      <c r="Y190" s="36">
        <v>0.14962224652801281</v>
      </c>
      <c r="Z190" s="36">
        <v>0.882096914595222</v>
      </c>
      <c r="AA190" s="29" t="s">
        <v>729</v>
      </c>
      <c r="AB190" s="31">
        <v>16.9693</v>
      </c>
      <c r="AC190" s="38">
        <v>627.0</v>
      </c>
    </row>
    <row r="191" ht="14.25" customHeight="1">
      <c r="A191" s="29" t="s">
        <v>490</v>
      </c>
      <c r="B191" s="29">
        <v>144.0</v>
      </c>
      <c r="C191" s="29" t="s">
        <v>608</v>
      </c>
      <c r="D191" s="29" t="s">
        <v>751</v>
      </c>
      <c r="E191" s="29">
        <v>97.0</v>
      </c>
      <c r="F191" s="30" t="s">
        <v>752</v>
      </c>
      <c r="G191" s="29" t="s">
        <v>753</v>
      </c>
      <c r="H191" s="31">
        <v>3940.03</v>
      </c>
      <c r="I191" s="29" t="s">
        <v>612</v>
      </c>
      <c r="J191" s="32" t="s">
        <v>598</v>
      </c>
      <c r="K191" s="29" t="s">
        <v>698</v>
      </c>
      <c r="L191" s="29" t="s">
        <v>727</v>
      </c>
      <c r="M191" s="36">
        <v>35.966597</v>
      </c>
      <c r="N191" s="36">
        <v>-8.366524</v>
      </c>
      <c r="O191" s="34" t="s">
        <v>601</v>
      </c>
      <c r="P191" s="32" t="s">
        <v>602</v>
      </c>
      <c r="Q191" s="29">
        <v>1.0</v>
      </c>
      <c r="R191" s="29">
        <v>1.0</v>
      </c>
      <c r="S191" s="36">
        <v>0.0</v>
      </c>
      <c r="T191" s="36">
        <v>1.2</v>
      </c>
      <c r="U191" s="36">
        <f t="shared" ref="U191:V191" si="56">SQRT(S191)</f>
        <v>0</v>
      </c>
      <c r="V191" s="36">
        <f t="shared" si="56"/>
        <v>1.095445115</v>
      </c>
      <c r="W191" s="37" t="s">
        <v>785</v>
      </c>
      <c r="X191" s="31">
        <v>7.38906540535</v>
      </c>
      <c r="Y191" s="36">
        <v>-8.262558973010657</v>
      </c>
      <c r="Z191" s="36">
        <v>1.8807768564049592</v>
      </c>
      <c r="AA191" s="29" t="s">
        <v>729</v>
      </c>
      <c r="AB191" s="31">
        <v>16.9693</v>
      </c>
      <c r="AC191" s="38">
        <v>627.0</v>
      </c>
    </row>
    <row r="192" ht="14.25" customHeight="1">
      <c r="A192" s="29" t="s">
        <v>490</v>
      </c>
      <c r="B192" s="29">
        <v>144.0</v>
      </c>
      <c r="C192" s="29" t="s">
        <v>608</v>
      </c>
      <c r="D192" s="29" t="s">
        <v>787</v>
      </c>
      <c r="E192" s="29">
        <v>323.0</v>
      </c>
      <c r="F192" s="39" t="s">
        <v>788</v>
      </c>
      <c r="G192" s="42" t="s">
        <v>789</v>
      </c>
      <c r="H192" s="31">
        <v>52.3504</v>
      </c>
      <c r="I192" s="29" t="s">
        <v>620</v>
      </c>
      <c r="J192" s="32" t="s">
        <v>598</v>
      </c>
      <c r="K192" s="29" t="s">
        <v>698</v>
      </c>
      <c r="L192" s="29" t="s">
        <v>727</v>
      </c>
      <c r="M192" s="36">
        <v>35.966597</v>
      </c>
      <c r="N192" s="36">
        <v>-8.366524</v>
      </c>
      <c r="O192" s="34" t="s">
        <v>601</v>
      </c>
      <c r="P192" s="32" t="s">
        <v>602</v>
      </c>
      <c r="Q192" s="29">
        <v>1.0</v>
      </c>
      <c r="R192" s="29">
        <v>1.0</v>
      </c>
      <c r="S192" s="36">
        <v>0.49</v>
      </c>
      <c r="T192" s="36">
        <v>1.41</v>
      </c>
      <c r="U192" s="36">
        <f t="shared" ref="U192:V192" si="57">SQRT(S192)</f>
        <v>0.7</v>
      </c>
      <c r="V192" s="36">
        <f t="shared" si="57"/>
        <v>1.187434209</v>
      </c>
      <c r="W192" s="37" t="s">
        <v>786</v>
      </c>
      <c r="X192" s="31">
        <v>7.38906540535</v>
      </c>
      <c r="Y192" s="36">
        <v>-1.0561974654877069</v>
      </c>
      <c r="Z192" s="36">
        <v>2.750036184686641</v>
      </c>
      <c r="AA192" s="29" t="s">
        <v>729</v>
      </c>
      <c r="AB192" s="31">
        <v>16.9693</v>
      </c>
      <c r="AC192" s="38">
        <v>627.0</v>
      </c>
    </row>
    <row r="193" ht="14.25" customHeight="1">
      <c r="A193" s="29" t="s">
        <v>490</v>
      </c>
      <c r="B193" s="29">
        <v>144.0</v>
      </c>
      <c r="C193" s="29" t="s">
        <v>608</v>
      </c>
      <c r="D193" s="35" t="s">
        <v>790</v>
      </c>
      <c r="E193" s="29">
        <v>325.0</v>
      </c>
      <c r="F193" s="39" t="s">
        <v>791</v>
      </c>
      <c r="G193" s="29" t="s">
        <v>626</v>
      </c>
      <c r="H193" s="31">
        <f>AVERAGE(4.9,6.499)</f>
        <v>5.6995</v>
      </c>
      <c r="I193" s="29" t="s">
        <v>597</v>
      </c>
      <c r="J193" s="32" t="s">
        <v>598</v>
      </c>
      <c r="K193" s="29" t="s">
        <v>698</v>
      </c>
      <c r="L193" s="29" t="s">
        <v>727</v>
      </c>
      <c r="M193" s="36">
        <v>35.966597</v>
      </c>
      <c r="N193" s="36">
        <v>-8.366524</v>
      </c>
      <c r="O193" s="34" t="s">
        <v>601</v>
      </c>
      <c r="P193" s="32" t="s">
        <v>602</v>
      </c>
      <c r="Q193" s="29">
        <v>1.0</v>
      </c>
      <c r="R193" s="29">
        <v>1.0</v>
      </c>
      <c r="S193" s="36">
        <v>19.0</v>
      </c>
      <c r="T193" s="36">
        <v>45.3</v>
      </c>
      <c r="U193" s="36">
        <f t="shared" ref="U193:V193" si="58">SQRT(S193)</f>
        <v>4.358898944</v>
      </c>
      <c r="V193" s="36">
        <f t="shared" si="58"/>
        <v>6.730527468</v>
      </c>
      <c r="W193" s="37" t="s">
        <v>785</v>
      </c>
      <c r="X193" s="31">
        <v>7.38906540535</v>
      </c>
      <c r="Y193" s="36">
        <v>-0.8682531210373483</v>
      </c>
      <c r="Z193" s="36">
        <v>0.0747066341350064</v>
      </c>
      <c r="AA193" s="29" t="s">
        <v>729</v>
      </c>
      <c r="AB193" s="31">
        <v>16.9693</v>
      </c>
      <c r="AC193" s="38">
        <v>627.0</v>
      </c>
    </row>
    <row r="194" ht="14.25" customHeight="1">
      <c r="A194" s="29" t="s">
        <v>490</v>
      </c>
      <c r="B194" s="29">
        <v>144.0</v>
      </c>
      <c r="C194" s="29" t="s">
        <v>608</v>
      </c>
      <c r="D194" s="29" t="s">
        <v>765</v>
      </c>
      <c r="E194" s="29">
        <v>147.0</v>
      </c>
      <c r="F194" s="30" t="s">
        <v>766</v>
      </c>
      <c r="G194" s="29" t="s">
        <v>626</v>
      </c>
      <c r="H194" s="31">
        <v>48.78</v>
      </c>
      <c r="I194" s="29" t="s">
        <v>616</v>
      </c>
      <c r="J194" s="32" t="s">
        <v>598</v>
      </c>
      <c r="K194" s="29" t="s">
        <v>698</v>
      </c>
      <c r="L194" s="29" t="s">
        <v>727</v>
      </c>
      <c r="M194" s="36">
        <v>35.966597</v>
      </c>
      <c r="N194" s="36">
        <v>-8.366524</v>
      </c>
      <c r="O194" s="34" t="s">
        <v>601</v>
      </c>
      <c r="P194" s="32" t="s">
        <v>602</v>
      </c>
      <c r="Q194" s="29">
        <v>1.0</v>
      </c>
      <c r="R194" s="29">
        <v>1.0</v>
      </c>
      <c r="S194" s="36">
        <v>1.2</v>
      </c>
      <c r="T194" s="36">
        <v>11.0</v>
      </c>
      <c r="U194" s="36">
        <f t="shared" ref="U194:V194" si="59">SQRT(S194)</f>
        <v>1.095445115</v>
      </c>
      <c r="V194" s="36">
        <f t="shared" si="59"/>
        <v>3.31662479</v>
      </c>
      <c r="W194" s="37" t="s">
        <v>785</v>
      </c>
      <c r="X194" s="31">
        <v>7.38906540535</v>
      </c>
      <c r="Y194" s="36">
        <v>-2.2132115270906056</v>
      </c>
      <c r="Z194" s="36">
        <v>0.9242424242424241</v>
      </c>
      <c r="AA194" s="29" t="s">
        <v>729</v>
      </c>
      <c r="AB194" s="31">
        <v>16.9693</v>
      </c>
      <c r="AC194" s="38">
        <v>627.0</v>
      </c>
    </row>
    <row r="195" ht="14.25" customHeight="1">
      <c r="A195" s="29" t="s">
        <v>490</v>
      </c>
      <c r="B195" s="29">
        <v>144.0</v>
      </c>
      <c r="C195" s="29" t="s">
        <v>608</v>
      </c>
      <c r="D195" s="42" t="s">
        <v>767</v>
      </c>
      <c r="E195" s="29">
        <v>283.0</v>
      </c>
      <c r="F195" s="30" t="s">
        <v>768</v>
      </c>
      <c r="G195" s="29" t="s">
        <v>611</v>
      </c>
      <c r="H195" s="31">
        <v>8.591</v>
      </c>
      <c r="I195" s="29" t="s">
        <v>612</v>
      </c>
      <c r="J195" s="32" t="s">
        <v>598</v>
      </c>
      <c r="K195" s="29" t="s">
        <v>698</v>
      </c>
      <c r="L195" s="29" t="s">
        <v>727</v>
      </c>
      <c r="M195" s="36">
        <v>35.966597</v>
      </c>
      <c r="N195" s="36">
        <v>-8.366524</v>
      </c>
      <c r="O195" s="34" t="s">
        <v>601</v>
      </c>
      <c r="P195" s="32" t="s">
        <v>602</v>
      </c>
      <c r="Q195" s="29">
        <v>19.0</v>
      </c>
      <c r="R195" s="29">
        <v>22.0</v>
      </c>
      <c r="S195" s="36">
        <v>0.23</v>
      </c>
      <c r="T195" s="36">
        <v>0.52</v>
      </c>
      <c r="U195" s="36">
        <v>0.24463208356605823</v>
      </c>
      <c r="V195" s="36">
        <v>0.33502969713024505</v>
      </c>
      <c r="W195" s="37" t="s">
        <v>777</v>
      </c>
      <c r="X195" s="31">
        <v>7.38906540535</v>
      </c>
      <c r="Y195" s="36">
        <v>-0.8151663730239835</v>
      </c>
      <c r="Z195" s="36">
        <v>0.07840969035242337</v>
      </c>
      <c r="AA195" s="29" t="s">
        <v>729</v>
      </c>
      <c r="AB195" s="31">
        <v>16.9693</v>
      </c>
      <c r="AC195" s="38">
        <v>627.0</v>
      </c>
    </row>
    <row r="196" ht="14.25" customHeight="1">
      <c r="A196" s="29" t="s">
        <v>490</v>
      </c>
      <c r="B196" s="29">
        <v>144.0</v>
      </c>
      <c r="C196" s="29" t="s">
        <v>608</v>
      </c>
      <c r="D196" s="29" t="s">
        <v>771</v>
      </c>
      <c r="E196" s="29">
        <v>184.0</v>
      </c>
      <c r="F196" s="30" t="s">
        <v>772</v>
      </c>
      <c r="G196" s="29" t="s">
        <v>626</v>
      </c>
      <c r="H196" s="31">
        <v>580.0</v>
      </c>
      <c r="I196" s="29" t="s">
        <v>612</v>
      </c>
      <c r="J196" s="32" t="s">
        <v>598</v>
      </c>
      <c r="K196" s="29" t="s">
        <v>698</v>
      </c>
      <c r="L196" s="29" t="s">
        <v>727</v>
      </c>
      <c r="M196" s="36">
        <v>35.966597</v>
      </c>
      <c r="N196" s="36">
        <v>-8.366524</v>
      </c>
      <c r="O196" s="34" t="s">
        <v>601</v>
      </c>
      <c r="P196" s="32" t="s">
        <v>602</v>
      </c>
      <c r="Q196" s="29">
        <v>1.0</v>
      </c>
      <c r="R196" s="29">
        <v>1.0</v>
      </c>
      <c r="S196" s="36">
        <v>0.0</v>
      </c>
      <c r="T196" s="36">
        <v>11.7</v>
      </c>
      <c r="U196" s="36">
        <f t="shared" ref="U196:V196" si="60">SQRT(S196)</f>
        <v>0</v>
      </c>
      <c r="V196" s="36">
        <f t="shared" si="60"/>
        <v>3.420526275</v>
      </c>
      <c r="W196" s="37" t="s">
        <v>785</v>
      </c>
      <c r="X196" s="31">
        <v>7.38906540535</v>
      </c>
      <c r="Y196" s="36">
        <v>-8.262558973010657</v>
      </c>
      <c r="Z196" s="36">
        <v>1.103268787122396</v>
      </c>
      <c r="AA196" s="29" t="s">
        <v>729</v>
      </c>
      <c r="AB196" s="31">
        <v>16.9693</v>
      </c>
      <c r="AC196" s="38">
        <v>627.0</v>
      </c>
    </row>
    <row r="197" ht="14.25" customHeight="1">
      <c r="A197" s="29" t="s">
        <v>283</v>
      </c>
      <c r="B197" s="29">
        <v>78.0</v>
      </c>
      <c r="C197" s="29" t="s">
        <v>608</v>
      </c>
      <c r="D197" s="29" t="s">
        <v>751</v>
      </c>
      <c r="E197" s="29">
        <v>97.0</v>
      </c>
      <c r="F197" s="30" t="s">
        <v>752</v>
      </c>
      <c r="G197" s="29" t="s">
        <v>753</v>
      </c>
      <c r="H197" s="31">
        <v>3940.03</v>
      </c>
      <c r="I197" s="29" t="s">
        <v>612</v>
      </c>
      <c r="J197" s="32" t="s">
        <v>714</v>
      </c>
      <c r="K197" s="29" t="s">
        <v>698</v>
      </c>
      <c r="L197" s="29" t="s">
        <v>792</v>
      </c>
      <c r="M197" s="33">
        <v>11.12</v>
      </c>
      <c r="N197" s="33">
        <v>-1.47</v>
      </c>
      <c r="O197" s="34" t="s">
        <v>601</v>
      </c>
      <c r="P197" s="32" t="s">
        <v>602</v>
      </c>
      <c r="Q197" s="35">
        <v>6.0</v>
      </c>
      <c r="R197" s="35">
        <v>8.0</v>
      </c>
      <c r="S197" s="36">
        <v>11.6389</v>
      </c>
      <c r="T197" s="36">
        <v>5.2737</v>
      </c>
      <c r="U197" s="36">
        <v>15.5275</v>
      </c>
      <c r="V197" s="36">
        <v>5.4724</v>
      </c>
      <c r="W197" s="37" t="s">
        <v>793</v>
      </c>
      <c r="X197" s="31">
        <v>2.5</v>
      </c>
      <c r="Y197" s="36">
        <v>0.7917376271961759</v>
      </c>
      <c r="Z197" s="36">
        <v>0.43123562996299925</v>
      </c>
      <c r="AA197" s="29" t="s">
        <v>794</v>
      </c>
      <c r="AB197" s="31">
        <v>0.602780520916</v>
      </c>
      <c r="AC197" s="38">
        <v>943.0</v>
      </c>
    </row>
    <row r="198" ht="14.25" customHeight="1">
      <c r="A198" s="29" t="s">
        <v>283</v>
      </c>
      <c r="B198" s="29">
        <v>78.0</v>
      </c>
      <c r="C198" s="29" t="s">
        <v>608</v>
      </c>
      <c r="D198" s="29" t="s">
        <v>751</v>
      </c>
      <c r="E198" s="29">
        <v>97.0</v>
      </c>
      <c r="F198" s="30" t="s">
        <v>752</v>
      </c>
      <c r="G198" s="29" t="s">
        <v>753</v>
      </c>
      <c r="H198" s="31">
        <v>3940.03</v>
      </c>
      <c r="I198" s="29" t="s">
        <v>612</v>
      </c>
      <c r="J198" s="32" t="s">
        <v>714</v>
      </c>
      <c r="K198" s="29" t="s">
        <v>698</v>
      </c>
      <c r="L198" s="29" t="s">
        <v>792</v>
      </c>
      <c r="M198" s="33">
        <v>11.12</v>
      </c>
      <c r="N198" s="33">
        <v>-1.47</v>
      </c>
      <c r="O198" s="34" t="s">
        <v>601</v>
      </c>
      <c r="P198" s="32" t="s">
        <v>602</v>
      </c>
      <c r="Q198" s="35">
        <v>25.0</v>
      </c>
      <c r="R198" s="35">
        <v>8.0</v>
      </c>
      <c r="S198" s="36">
        <v>8.672</v>
      </c>
      <c r="T198" s="36">
        <v>5.2737</v>
      </c>
      <c r="U198" s="36">
        <v>6.8879</v>
      </c>
      <c r="V198" s="36">
        <v>5.4724</v>
      </c>
      <c r="W198" s="37" t="s">
        <v>793</v>
      </c>
      <c r="X198" s="31">
        <v>7.5</v>
      </c>
      <c r="Y198" s="36">
        <v>0.49752412508342075</v>
      </c>
      <c r="Z198" s="36">
        <v>0.15983135667433965</v>
      </c>
      <c r="AA198" s="29" t="s">
        <v>794</v>
      </c>
      <c r="AB198" s="31">
        <v>0.602780520916</v>
      </c>
      <c r="AC198" s="38">
        <v>943.0</v>
      </c>
    </row>
    <row r="199" ht="14.25" customHeight="1">
      <c r="A199" s="29" t="s">
        <v>283</v>
      </c>
      <c r="B199" s="29">
        <v>78.0</v>
      </c>
      <c r="C199" s="29" t="s">
        <v>608</v>
      </c>
      <c r="D199" s="29" t="s">
        <v>751</v>
      </c>
      <c r="E199" s="29">
        <v>97.0</v>
      </c>
      <c r="F199" s="30" t="s">
        <v>752</v>
      </c>
      <c r="G199" s="29" t="s">
        <v>753</v>
      </c>
      <c r="H199" s="31">
        <v>3940.03</v>
      </c>
      <c r="I199" s="29" t="s">
        <v>612</v>
      </c>
      <c r="J199" s="32" t="s">
        <v>714</v>
      </c>
      <c r="K199" s="29" t="s">
        <v>698</v>
      </c>
      <c r="L199" s="29" t="s">
        <v>792</v>
      </c>
      <c r="M199" s="33">
        <v>11.12</v>
      </c>
      <c r="N199" s="33">
        <v>-1.47</v>
      </c>
      <c r="O199" s="34" t="s">
        <v>601</v>
      </c>
      <c r="P199" s="32" t="s">
        <v>602</v>
      </c>
      <c r="Q199" s="35">
        <v>14.0</v>
      </c>
      <c r="R199" s="35">
        <v>8.0</v>
      </c>
      <c r="S199" s="36">
        <v>7.266</v>
      </c>
      <c r="T199" s="36">
        <v>5.2737</v>
      </c>
      <c r="U199" s="36">
        <v>5.9139</v>
      </c>
      <c r="V199" s="36">
        <v>5.4724</v>
      </c>
      <c r="W199" s="37" t="s">
        <v>793</v>
      </c>
      <c r="X199" s="31">
        <v>12.5</v>
      </c>
      <c r="Y199" s="36">
        <v>0.3206609689997762</v>
      </c>
      <c r="Z199" s="36">
        <v>0.18191513221643774</v>
      </c>
      <c r="AA199" s="29" t="s">
        <v>794</v>
      </c>
      <c r="AB199" s="31">
        <v>0.602780520916</v>
      </c>
      <c r="AC199" s="38">
        <v>943.0</v>
      </c>
    </row>
    <row r="200" ht="14.25" customHeight="1">
      <c r="A200" s="29" t="s">
        <v>283</v>
      </c>
      <c r="B200" s="29">
        <v>79.0</v>
      </c>
      <c r="C200" s="29" t="s">
        <v>608</v>
      </c>
      <c r="D200" s="29" t="s">
        <v>751</v>
      </c>
      <c r="E200" s="29">
        <v>97.0</v>
      </c>
      <c r="F200" s="30" t="s">
        <v>752</v>
      </c>
      <c r="G200" s="29" t="s">
        <v>753</v>
      </c>
      <c r="H200" s="31">
        <v>3940.03</v>
      </c>
      <c r="I200" s="29" t="s">
        <v>612</v>
      </c>
      <c r="J200" s="32" t="s">
        <v>714</v>
      </c>
      <c r="K200" s="29" t="s">
        <v>698</v>
      </c>
      <c r="L200" s="29" t="s">
        <v>792</v>
      </c>
      <c r="M200" s="33">
        <v>11.12</v>
      </c>
      <c r="N200" s="33">
        <v>-1.47</v>
      </c>
      <c r="O200" s="34" t="s">
        <v>601</v>
      </c>
      <c r="P200" s="32" t="s">
        <v>602</v>
      </c>
      <c r="Q200" s="35">
        <v>6.0</v>
      </c>
      <c r="R200" s="35">
        <v>8.0</v>
      </c>
      <c r="S200" s="36">
        <v>39.1303</v>
      </c>
      <c r="T200" s="36">
        <v>36.7328</v>
      </c>
      <c r="U200" s="36">
        <v>19.0999</v>
      </c>
      <c r="V200" s="36">
        <v>35.7237</v>
      </c>
      <c r="W200" s="37" t="s">
        <v>793</v>
      </c>
      <c r="X200" s="31">
        <v>2.5</v>
      </c>
      <c r="Y200" s="36">
        <v>0.06346917522372249</v>
      </c>
      <c r="Z200" s="36">
        <v>0.15793509481997975</v>
      </c>
      <c r="AA200" s="29" t="s">
        <v>794</v>
      </c>
      <c r="AB200" s="31">
        <v>0.602780520916</v>
      </c>
      <c r="AC200" s="38">
        <v>943.0</v>
      </c>
    </row>
    <row r="201" ht="14.25" customHeight="1">
      <c r="A201" s="29" t="s">
        <v>283</v>
      </c>
      <c r="B201" s="29">
        <v>79.0</v>
      </c>
      <c r="C201" s="29" t="s">
        <v>608</v>
      </c>
      <c r="D201" s="29" t="s">
        <v>751</v>
      </c>
      <c r="E201" s="29">
        <v>97.0</v>
      </c>
      <c r="F201" s="30" t="s">
        <v>752</v>
      </c>
      <c r="G201" s="29" t="s">
        <v>753</v>
      </c>
      <c r="H201" s="31">
        <v>3940.03</v>
      </c>
      <c r="I201" s="29" t="s">
        <v>612</v>
      </c>
      <c r="J201" s="32" t="s">
        <v>714</v>
      </c>
      <c r="K201" s="29" t="s">
        <v>698</v>
      </c>
      <c r="L201" s="29" t="s">
        <v>792</v>
      </c>
      <c r="M201" s="33">
        <v>11.12</v>
      </c>
      <c r="N201" s="33">
        <v>-1.47</v>
      </c>
      <c r="O201" s="34" t="s">
        <v>601</v>
      </c>
      <c r="P201" s="32" t="s">
        <v>602</v>
      </c>
      <c r="Q201" s="35">
        <v>25.0</v>
      </c>
      <c r="R201" s="35">
        <v>8.0</v>
      </c>
      <c r="S201" s="36">
        <v>51.3027</v>
      </c>
      <c r="T201" s="36">
        <v>36.7328</v>
      </c>
      <c r="U201" s="36">
        <v>47.5701</v>
      </c>
      <c r="V201" s="36">
        <v>35.7237</v>
      </c>
      <c r="W201" s="37" t="s">
        <v>793</v>
      </c>
      <c r="X201" s="31">
        <v>7.5</v>
      </c>
      <c r="Y201" s="36">
        <v>0.3342580032798532</v>
      </c>
      <c r="Z201" s="36">
        <v>0.15261772167714005</v>
      </c>
      <c r="AA201" s="29" t="s">
        <v>794</v>
      </c>
      <c r="AB201" s="31">
        <v>0.602780520916</v>
      </c>
      <c r="AC201" s="38">
        <v>943.0</v>
      </c>
    </row>
    <row r="202" ht="14.25" customHeight="1">
      <c r="A202" s="29" t="s">
        <v>283</v>
      </c>
      <c r="B202" s="29">
        <v>79.0</v>
      </c>
      <c r="C202" s="29" t="s">
        <v>608</v>
      </c>
      <c r="D202" s="29" t="s">
        <v>751</v>
      </c>
      <c r="E202" s="29">
        <v>97.0</v>
      </c>
      <c r="F202" s="30" t="s">
        <v>752</v>
      </c>
      <c r="G202" s="29" t="s">
        <v>753</v>
      </c>
      <c r="H202" s="31">
        <v>3940.03</v>
      </c>
      <c r="I202" s="29" t="s">
        <v>612</v>
      </c>
      <c r="J202" s="32" t="s">
        <v>714</v>
      </c>
      <c r="K202" s="29" t="s">
        <v>698</v>
      </c>
      <c r="L202" s="29" t="s">
        <v>792</v>
      </c>
      <c r="M202" s="33">
        <v>11.12</v>
      </c>
      <c r="N202" s="33">
        <v>-1.47</v>
      </c>
      <c r="O202" s="34" t="s">
        <v>601</v>
      </c>
      <c r="P202" s="32" t="s">
        <v>602</v>
      </c>
      <c r="Q202" s="35">
        <v>14.0</v>
      </c>
      <c r="R202" s="35">
        <v>8.0</v>
      </c>
      <c r="S202" s="36">
        <v>64.6858</v>
      </c>
      <c r="T202" s="36">
        <v>36.7328</v>
      </c>
      <c r="U202" s="36">
        <v>65.9203</v>
      </c>
      <c r="V202" s="36">
        <v>35.7237</v>
      </c>
      <c r="W202" s="37" t="s">
        <v>793</v>
      </c>
      <c r="X202" s="31">
        <v>12.5</v>
      </c>
      <c r="Y202" s="36">
        <v>0.566018111291522</v>
      </c>
      <c r="Z202" s="36">
        <v>0.19240744708878296</v>
      </c>
      <c r="AA202" s="29" t="s">
        <v>794</v>
      </c>
      <c r="AB202" s="31">
        <v>0.602780520916</v>
      </c>
      <c r="AC202" s="38">
        <v>943.0</v>
      </c>
    </row>
    <row r="203" ht="14.25" customHeight="1">
      <c r="A203" s="29" t="s">
        <v>283</v>
      </c>
      <c r="B203" s="29">
        <v>80.0</v>
      </c>
      <c r="C203" s="29" t="s">
        <v>608</v>
      </c>
      <c r="D203" s="29" t="s">
        <v>751</v>
      </c>
      <c r="E203" s="29">
        <v>97.0</v>
      </c>
      <c r="F203" s="30" t="s">
        <v>752</v>
      </c>
      <c r="G203" s="29" t="s">
        <v>753</v>
      </c>
      <c r="H203" s="31">
        <v>3940.03</v>
      </c>
      <c r="I203" s="29" t="s">
        <v>612</v>
      </c>
      <c r="J203" s="32" t="s">
        <v>714</v>
      </c>
      <c r="K203" s="29" t="s">
        <v>698</v>
      </c>
      <c r="L203" s="29" t="s">
        <v>792</v>
      </c>
      <c r="M203" s="33">
        <v>11.12</v>
      </c>
      <c r="N203" s="33">
        <v>-1.47</v>
      </c>
      <c r="O203" s="34" t="s">
        <v>601</v>
      </c>
      <c r="P203" s="32" t="s">
        <v>602</v>
      </c>
      <c r="Q203" s="35">
        <v>6.0</v>
      </c>
      <c r="R203" s="35">
        <v>8.0</v>
      </c>
      <c r="S203" s="36">
        <v>54.8974</v>
      </c>
      <c r="T203" s="36">
        <v>44.9264</v>
      </c>
      <c r="U203" s="36">
        <v>18.3432</v>
      </c>
      <c r="V203" s="36">
        <v>50.1081</v>
      </c>
      <c r="W203" s="37" t="s">
        <v>793</v>
      </c>
      <c r="X203" s="31">
        <v>2.5</v>
      </c>
      <c r="Y203" s="36">
        <v>0.20065150888000094</v>
      </c>
      <c r="Z203" s="36">
        <v>0.17410504153772338</v>
      </c>
      <c r="AA203" s="29" t="s">
        <v>794</v>
      </c>
      <c r="AB203" s="31">
        <v>0.602780520916</v>
      </c>
      <c r="AC203" s="38">
        <v>943.0</v>
      </c>
    </row>
    <row r="204" ht="14.25" customHeight="1">
      <c r="A204" s="29" t="s">
        <v>283</v>
      </c>
      <c r="B204" s="29">
        <v>80.0</v>
      </c>
      <c r="C204" s="29" t="s">
        <v>608</v>
      </c>
      <c r="D204" s="29" t="s">
        <v>751</v>
      </c>
      <c r="E204" s="29">
        <v>97.0</v>
      </c>
      <c r="F204" s="30" t="s">
        <v>752</v>
      </c>
      <c r="G204" s="29" t="s">
        <v>753</v>
      </c>
      <c r="H204" s="31">
        <v>3940.03</v>
      </c>
      <c r="I204" s="29" t="s">
        <v>612</v>
      </c>
      <c r="J204" s="32" t="s">
        <v>714</v>
      </c>
      <c r="K204" s="29" t="s">
        <v>698</v>
      </c>
      <c r="L204" s="29" t="s">
        <v>792</v>
      </c>
      <c r="M204" s="33">
        <v>11.12</v>
      </c>
      <c r="N204" s="33">
        <v>-1.47</v>
      </c>
      <c r="O204" s="34" t="s">
        <v>601</v>
      </c>
      <c r="P204" s="32" t="s">
        <v>602</v>
      </c>
      <c r="Q204" s="35">
        <v>25.0</v>
      </c>
      <c r="R204" s="35">
        <v>8.0</v>
      </c>
      <c r="S204" s="36">
        <v>88.2072</v>
      </c>
      <c r="T204" s="36">
        <v>44.9264</v>
      </c>
      <c r="U204" s="36">
        <v>125.5309</v>
      </c>
      <c r="V204" s="36">
        <v>50.1081</v>
      </c>
      <c r="W204" s="37" t="s">
        <v>793</v>
      </c>
      <c r="X204" s="31">
        <v>7.5</v>
      </c>
      <c r="Y204" s="36">
        <v>0.6747943940497213</v>
      </c>
      <c r="Z204" s="36">
        <v>0.23650994380661483</v>
      </c>
      <c r="AA204" s="29" t="s">
        <v>794</v>
      </c>
      <c r="AB204" s="31">
        <v>0.602780520916</v>
      </c>
      <c r="AC204" s="38">
        <v>943.0</v>
      </c>
    </row>
    <row r="205" ht="14.25" customHeight="1">
      <c r="A205" s="29" t="s">
        <v>283</v>
      </c>
      <c r="B205" s="29">
        <v>80.0</v>
      </c>
      <c r="C205" s="29" t="s">
        <v>608</v>
      </c>
      <c r="D205" s="29" t="s">
        <v>751</v>
      </c>
      <c r="E205" s="29">
        <v>97.0</v>
      </c>
      <c r="F205" s="30" t="s">
        <v>752</v>
      </c>
      <c r="G205" s="29" t="s">
        <v>753</v>
      </c>
      <c r="H205" s="31">
        <v>3940.03</v>
      </c>
      <c r="I205" s="29" t="s">
        <v>612</v>
      </c>
      <c r="J205" s="32" t="s">
        <v>714</v>
      </c>
      <c r="K205" s="29" t="s">
        <v>698</v>
      </c>
      <c r="L205" s="29" t="s">
        <v>792</v>
      </c>
      <c r="M205" s="33">
        <v>11.12</v>
      </c>
      <c r="N205" s="33">
        <v>-1.47</v>
      </c>
      <c r="O205" s="34" t="s">
        <v>601</v>
      </c>
      <c r="P205" s="32" t="s">
        <v>602</v>
      </c>
      <c r="Q205" s="35">
        <v>14.0</v>
      </c>
      <c r="R205" s="35">
        <v>8.0</v>
      </c>
      <c r="S205" s="36">
        <v>71.1799</v>
      </c>
      <c r="T205" s="36">
        <v>44.9264</v>
      </c>
      <c r="U205" s="36">
        <v>68.5368</v>
      </c>
      <c r="V205" s="36">
        <v>50.1081</v>
      </c>
      <c r="W205" s="37" t="s">
        <v>793</v>
      </c>
      <c r="X205" s="31">
        <v>12.5</v>
      </c>
      <c r="Y205" s="36">
        <v>0.46034770647048684</v>
      </c>
      <c r="Z205" s="36">
        <v>0.22171961768530976</v>
      </c>
      <c r="AA205" s="29" t="s">
        <v>794</v>
      </c>
      <c r="AB205" s="31">
        <v>0.602780520916</v>
      </c>
      <c r="AC205" s="38">
        <v>943.0</v>
      </c>
    </row>
    <row r="206" ht="14.25" customHeight="1">
      <c r="A206" s="29" t="s">
        <v>352</v>
      </c>
      <c r="B206" s="29">
        <v>54.0</v>
      </c>
      <c r="C206" s="29" t="s">
        <v>593</v>
      </c>
      <c r="D206" s="29" t="s">
        <v>795</v>
      </c>
      <c r="E206" s="29">
        <v>181.0</v>
      </c>
      <c r="F206" s="30" t="s">
        <v>796</v>
      </c>
      <c r="G206" s="29" t="s">
        <v>797</v>
      </c>
      <c r="H206" s="31">
        <v>111.0</v>
      </c>
      <c r="I206" s="29" t="s">
        <v>616</v>
      </c>
      <c r="J206" s="32" t="s">
        <v>642</v>
      </c>
      <c r="K206" s="29" t="s">
        <v>698</v>
      </c>
      <c r="L206" s="29" t="s">
        <v>727</v>
      </c>
      <c r="M206" s="33">
        <v>34.606</v>
      </c>
      <c r="N206" s="33">
        <v>-2.1</v>
      </c>
      <c r="O206" s="34" t="s">
        <v>601</v>
      </c>
      <c r="P206" s="32" t="s">
        <v>602</v>
      </c>
      <c r="Q206" s="35">
        <v>52.0</v>
      </c>
      <c r="R206" s="35">
        <v>155.0</v>
      </c>
      <c r="S206" s="36">
        <v>0.25</v>
      </c>
      <c r="T206" s="36">
        <v>0.15</v>
      </c>
      <c r="U206" s="36">
        <v>0.649</v>
      </c>
      <c r="V206" s="36">
        <v>0.3735</v>
      </c>
      <c r="W206" s="37" t="s">
        <v>623</v>
      </c>
      <c r="X206" s="31">
        <v>3.25</v>
      </c>
      <c r="Y206" s="36">
        <v>0.5116065687490621</v>
      </c>
      <c r="Z206" s="36">
        <v>0.16960095285359802</v>
      </c>
      <c r="AA206" s="29" t="s">
        <v>794</v>
      </c>
      <c r="AB206" s="31">
        <v>15.0339708328</v>
      </c>
      <c r="AC206" s="38">
        <v>317.0</v>
      </c>
    </row>
    <row r="207" ht="14.25" customHeight="1">
      <c r="A207" s="29" t="s">
        <v>270</v>
      </c>
      <c r="B207" s="29">
        <v>40.0</v>
      </c>
      <c r="C207" s="29" t="s">
        <v>608</v>
      </c>
      <c r="D207" s="29" t="s">
        <v>734</v>
      </c>
      <c r="E207" s="29">
        <v>19.0</v>
      </c>
      <c r="F207" s="30" t="s">
        <v>735</v>
      </c>
      <c r="G207" s="29" t="s">
        <v>629</v>
      </c>
      <c r="H207" s="31">
        <v>3.3</v>
      </c>
      <c r="I207" s="29" t="s">
        <v>657</v>
      </c>
      <c r="J207" s="32" t="s">
        <v>642</v>
      </c>
      <c r="K207" s="29" t="s">
        <v>698</v>
      </c>
      <c r="L207" s="29" t="s">
        <v>798</v>
      </c>
      <c r="M207" s="33">
        <v>28.914</v>
      </c>
      <c r="N207" s="33">
        <v>-32.22</v>
      </c>
      <c r="O207" s="34" t="s">
        <v>601</v>
      </c>
      <c r="P207" s="32" t="s">
        <v>602</v>
      </c>
      <c r="Q207" s="35">
        <v>4.0</v>
      </c>
      <c r="R207" s="35">
        <v>9.0</v>
      </c>
      <c r="S207" s="36">
        <v>0.0</v>
      </c>
      <c r="T207" s="36">
        <v>0.0201</v>
      </c>
      <c r="U207" s="36">
        <v>0.0</v>
      </c>
      <c r="V207" s="36">
        <v>0.0435</v>
      </c>
      <c r="W207" s="37" t="s">
        <v>799</v>
      </c>
      <c r="X207" s="31">
        <v>0.25</v>
      </c>
      <c r="Y207" s="36">
        <v>-8.262558973010657</v>
      </c>
      <c r="Z207" s="36">
        <v>0.3713341018904345</v>
      </c>
      <c r="AA207" s="29" t="s">
        <v>800</v>
      </c>
      <c r="AB207" s="31">
        <v>0.0</v>
      </c>
      <c r="AC207" s="38">
        <v>228.0</v>
      </c>
    </row>
    <row r="208" ht="14.25" customHeight="1">
      <c r="A208" s="29" t="s">
        <v>270</v>
      </c>
      <c r="B208" s="29">
        <v>40.0</v>
      </c>
      <c r="C208" s="29" t="s">
        <v>608</v>
      </c>
      <c r="D208" s="29" t="s">
        <v>734</v>
      </c>
      <c r="E208" s="29">
        <v>19.0</v>
      </c>
      <c r="F208" s="30" t="s">
        <v>735</v>
      </c>
      <c r="G208" s="29" t="s">
        <v>629</v>
      </c>
      <c r="H208" s="31">
        <v>3.3</v>
      </c>
      <c r="I208" s="29" t="s">
        <v>657</v>
      </c>
      <c r="J208" s="32" t="s">
        <v>642</v>
      </c>
      <c r="K208" s="29" t="s">
        <v>698</v>
      </c>
      <c r="L208" s="29" t="s">
        <v>798</v>
      </c>
      <c r="M208" s="33">
        <v>28.914</v>
      </c>
      <c r="N208" s="33">
        <v>-32.22</v>
      </c>
      <c r="O208" s="34" t="s">
        <v>601</v>
      </c>
      <c r="P208" s="32" t="s">
        <v>602</v>
      </c>
      <c r="Q208" s="35">
        <v>10.0</v>
      </c>
      <c r="R208" s="35">
        <v>9.0</v>
      </c>
      <c r="S208" s="36">
        <v>0.0</v>
      </c>
      <c r="T208" s="36">
        <v>0.0201</v>
      </c>
      <c r="U208" s="36">
        <v>0.0</v>
      </c>
      <c r="V208" s="36">
        <v>0.0435</v>
      </c>
      <c r="W208" s="37" t="s">
        <v>799</v>
      </c>
      <c r="X208" s="31">
        <v>0.75</v>
      </c>
      <c r="Y208" s="36">
        <v>-8.262558973010657</v>
      </c>
      <c r="Z208" s="36">
        <v>0.2213341018904345</v>
      </c>
      <c r="AA208" s="29" t="s">
        <v>800</v>
      </c>
      <c r="AB208" s="31">
        <v>0.0</v>
      </c>
      <c r="AC208" s="38">
        <v>228.0</v>
      </c>
    </row>
    <row r="209" ht="14.25" customHeight="1">
      <c r="A209" s="29" t="s">
        <v>270</v>
      </c>
      <c r="B209" s="29">
        <v>40.0</v>
      </c>
      <c r="C209" s="29" t="s">
        <v>608</v>
      </c>
      <c r="D209" s="29" t="s">
        <v>734</v>
      </c>
      <c r="E209" s="29">
        <v>19.0</v>
      </c>
      <c r="F209" s="30" t="s">
        <v>735</v>
      </c>
      <c r="G209" s="29" t="s">
        <v>629</v>
      </c>
      <c r="H209" s="31">
        <v>3.3</v>
      </c>
      <c r="I209" s="29" t="s">
        <v>657</v>
      </c>
      <c r="J209" s="32" t="s">
        <v>642</v>
      </c>
      <c r="K209" s="29" t="s">
        <v>698</v>
      </c>
      <c r="L209" s="29" t="s">
        <v>798</v>
      </c>
      <c r="M209" s="33">
        <v>28.914</v>
      </c>
      <c r="N209" s="33">
        <v>-32.22</v>
      </c>
      <c r="O209" s="34" t="s">
        <v>601</v>
      </c>
      <c r="P209" s="32" t="s">
        <v>602</v>
      </c>
      <c r="Q209" s="35">
        <v>4.0</v>
      </c>
      <c r="R209" s="35">
        <v>9.0</v>
      </c>
      <c r="S209" s="36">
        <v>0.0714</v>
      </c>
      <c r="T209" s="36">
        <v>0.0201</v>
      </c>
      <c r="U209" s="36">
        <v>0.1429</v>
      </c>
      <c r="V209" s="36">
        <v>0.0435</v>
      </c>
      <c r="W209" s="37" t="s">
        <v>799</v>
      </c>
      <c r="X209" s="31">
        <v>1.25</v>
      </c>
      <c r="Y209" s="36">
        <v>1.2676506813141655</v>
      </c>
      <c r="Z209" s="36">
        <v>1.5218089613116046</v>
      </c>
      <c r="AA209" s="29" t="s">
        <v>800</v>
      </c>
      <c r="AB209" s="31">
        <v>0.0</v>
      </c>
      <c r="AC209" s="38">
        <v>228.0</v>
      </c>
    </row>
    <row r="210" ht="14.25" customHeight="1">
      <c r="A210" s="29" t="s">
        <v>270</v>
      </c>
      <c r="B210" s="29">
        <v>40.0</v>
      </c>
      <c r="C210" s="29" t="s">
        <v>608</v>
      </c>
      <c r="D210" s="29" t="s">
        <v>734</v>
      </c>
      <c r="E210" s="29">
        <v>19.0</v>
      </c>
      <c r="F210" s="30" t="s">
        <v>735</v>
      </c>
      <c r="G210" s="29" t="s">
        <v>629</v>
      </c>
      <c r="H210" s="31">
        <v>3.3</v>
      </c>
      <c r="I210" s="29" t="s">
        <v>657</v>
      </c>
      <c r="J210" s="32" t="s">
        <v>642</v>
      </c>
      <c r="K210" s="29" t="s">
        <v>698</v>
      </c>
      <c r="L210" s="29" t="s">
        <v>798</v>
      </c>
      <c r="M210" s="33">
        <v>28.914</v>
      </c>
      <c r="N210" s="33">
        <v>-32.22</v>
      </c>
      <c r="O210" s="34" t="s">
        <v>601</v>
      </c>
      <c r="P210" s="32" t="s">
        <v>602</v>
      </c>
      <c r="Q210" s="35">
        <v>10.0</v>
      </c>
      <c r="R210" s="35">
        <v>9.0</v>
      </c>
      <c r="S210" s="36">
        <v>0.0</v>
      </c>
      <c r="T210" s="36">
        <v>0.0201</v>
      </c>
      <c r="U210" s="36">
        <v>0.0</v>
      </c>
      <c r="V210" s="36">
        <v>0.0435</v>
      </c>
      <c r="W210" s="37" t="s">
        <v>799</v>
      </c>
      <c r="X210" s="31">
        <v>1.75</v>
      </c>
      <c r="Y210" s="36">
        <v>-8.262558973010657</v>
      </c>
      <c r="Z210" s="36">
        <v>0.2213341018904345</v>
      </c>
      <c r="AA210" s="29" t="s">
        <v>800</v>
      </c>
      <c r="AB210" s="31">
        <v>0.0</v>
      </c>
      <c r="AC210" s="38">
        <v>228.0</v>
      </c>
    </row>
    <row r="211" ht="14.25" customHeight="1">
      <c r="A211" s="29" t="s">
        <v>270</v>
      </c>
      <c r="B211" s="29">
        <v>40.0</v>
      </c>
      <c r="C211" s="29" t="s">
        <v>608</v>
      </c>
      <c r="D211" s="29" t="s">
        <v>801</v>
      </c>
      <c r="E211" s="29">
        <v>53.0</v>
      </c>
      <c r="F211" s="30" t="s">
        <v>802</v>
      </c>
      <c r="G211" s="29" t="s">
        <v>611</v>
      </c>
      <c r="H211" s="31">
        <v>4.16</v>
      </c>
      <c r="I211" s="29" t="s">
        <v>616</v>
      </c>
      <c r="J211" s="32" t="s">
        <v>642</v>
      </c>
      <c r="K211" s="29" t="s">
        <v>698</v>
      </c>
      <c r="L211" s="29" t="s">
        <v>798</v>
      </c>
      <c r="M211" s="33">
        <v>28.914</v>
      </c>
      <c r="N211" s="33">
        <v>-32.22</v>
      </c>
      <c r="O211" s="34" t="s">
        <v>601</v>
      </c>
      <c r="P211" s="32" t="s">
        <v>602</v>
      </c>
      <c r="Q211" s="35">
        <v>4.0</v>
      </c>
      <c r="R211" s="35">
        <v>9.0</v>
      </c>
      <c r="S211" s="36">
        <v>0.0</v>
      </c>
      <c r="T211" s="36">
        <v>0.0163</v>
      </c>
      <c r="U211" s="36">
        <v>0.0</v>
      </c>
      <c r="V211" s="36">
        <v>0.049</v>
      </c>
      <c r="W211" s="37" t="s">
        <v>799</v>
      </c>
      <c r="X211" s="31">
        <v>0.25</v>
      </c>
      <c r="Y211" s="36">
        <v>-8.262558973010657</v>
      </c>
      <c r="Z211" s="36">
        <v>0.3756313218704178</v>
      </c>
      <c r="AA211" s="29" t="s">
        <v>800</v>
      </c>
      <c r="AB211" s="31">
        <v>0.0</v>
      </c>
      <c r="AC211" s="38">
        <v>228.0</v>
      </c>
    </row>
    <row r="212" ht="14.25" customHeight="1">
      <c r="A212" s="29" t="s">
        <v>270</v>
      </c>
      <c r="B212" s="29">
        <v>40.0</v>
      </c>
      <c r="C212" s="29" t="s">
        <v>608</v>
      </c>
      <c r="D212" s="29" t="s">
        <v>801</v>
      </c>
      <c r="E212" s="29">
        <v>53.0</v>
      </c>
      <c r="F212" s="30" t="s">
        <v>802</v>
      </c>
      <c r="G212" s="29" t="s">
        <v>611</v>
      </c>
      <c r="H212" s="31">
        <v>4.16</v>
      </c>
      <c r="I212" s="29" t="s">
        <v>616</v>
      </c>
      <c r="J212" s="32" t="s">
        <v>642</v>
      </c>
      <c r="K212" s="29" t="s">
        <v>698</v>
      </c>
      <c r="L212" s="29" t="s">
        <v>798</v>
      </c>
      <c r="M212" s="33">
        <v>28.914</v>
      </c>
      <c r="N212" s="33">
        <v>-32.22</v>
      </c>
      <c r="O212" s="34" t="s">
        <v>601</v>
      </c>
      <c r="P212" s="32" t="s">
        <v>602</v>
      </c>
      <c r="Q212" s="35">
        <v>10.0</v>
      </c>
      <c r="R212" s="35">
        <v>9.0</v>
      </c>
      <c r="S212" s="36">
        <v>0.0912</v>
      </c>
      <c r="T212" s="36">
        <v>0.0163</v>
      </c>
      <c r="U212" s="36">
        <v>0.1969</v>
      </c>
      <c r="V212" s="36">
        <v>0.049</v>
      </c>
      <c r="W212" s="37" t="s">
        <v>799</v>
      </c>
      <c r="X212" s="31">
        <v>0.75</v>
      </c>
      <c r="Y212" s="36">
        <v>1.7219358996776812</v>
      </c>
      <c r="Z212" s="36">
        <v>1.4702184738216788</v>
      </c>
      <c r="AA212" s="29" t="s">
        <v>800</v>
      </c>
      <c r="AB212" s="31">
        <v>0.0</v>
      </c>
      <c r="AC212" s="38">
        <v>228.0</v>
      </c>
    </row>
    <row r="213" ht="14.25" customHeight="1">
      <c r="A213" s="29" t="s">
        <v>270</v>
      </c>
      <c r="B213" s="29">
        <v>40.0</v>
      </c>
      <c r="C213" s="29" t="s">
        <v>608</v>
      </c>
      <c r="D213" s="29" t="s">
        <v>801</v>
      </c>
      <c r="E213" s="29">
        <v>53.0</v>
      </c>
      <c r="F213" s="30" t="s">
        <v>802</v>
      </c>
      <c r="G213" s="29" t="s">
        <v>611</v>
      </c>
      <c r="H213" s="31">
        <v>4.16</v>
      </c>
      <c r="I213" s="29" t="s">
        <v>616</v>
      </c>
      <c r="J213" s="32" t="s">
        <v>642</v>
      </c>
      <c r="K213" s="29" t="s">
        <v>698</v>
      </c>
      <c r="L213" s="29" t="s">
        <v>798</v>
      </c>
      <c r="M213" s="33">
        <v>28.914</v>
      </c>
      <c r="N213" s="33">
        <v>-32.22</v>
      </c>
      <c r="O213" s="34" t="s">
        <v>601</v>
      </c>
      <c r="P213" s="32" t="s">
        <v>602</v>
      </c>
      <c r="Q213" s="35">
        <v>4.0</v>
      </c>
      <c r="R213" s="35">
        <v>9.0</v>
      </c>
      <c r="S213" s="36">
        <v>0.0</v>
      </c>
      <c r="T213" s="36">
        <v>0.0163</v>
      </c>
      <c r="U213" s="36">
        <v>0.0</v>
      </c>
      <c r="V213" s="36">
        <v>0.049</v>
      </c>
      <c r="W213" s="37" t="s">
        <v>799</v>
      </c>
      <c r="X213" s="31">
        <v>1.25</v>
      </c>
      <c r="Y213" s="36">
        <v>-8.262558973010657</v>
      </c>
      <c r="Z213" s="36">
        <v>0.3756313218704178</v>
      </c>
      <c r="AA213" s="29" t="s">
        <v>800</v>
      </c>
      <c r="AB213" s="31">
        <v>0.0</v>
      </c>
      <c r="AC213" s="38">
        <v>228.0</v>
      </c>
    </row>
    <row r="214" ht="14.25" customHeight="1">
      <c r="A214" s="29" t="s">
        <v>270</v>
      </c>
      <c r="B214" s="29">
        <v>40.0</v>
      </c>
      <c r="C214" s="29" t="s">
        <v>608</v>
      </c>
      <c r="D214" s="29" t="s">
        <v>801</v>
      </c>
      <c r="E214" s="29">
        <v>53.0</v>
      </c>
      <c r="F214" s="30" t="s">
        <v>802</v>
      </c>
      <c r="G214" s="29" t="s">
        <v>611</v>
      </c>
      <c r="H214" s="31">
        <v>4.16</v>
      </c>
      <c r="I214" s="29" t="s">
        <v>616</v>
      </c>
      <c r="J214" s="32" t="s">
        <v>642</v>
      </c>
      <c r="K214" s="29" t="s">
        <v>698</v>
      </c>
      <c r="L214" s="29" t="s">
        <v>798</v>
      </c>
      <c r="M214" s="33">
        <v>28.914</v>
      </c>
      <c r="N214" s="33">
        <v>-32.22</v>
      </c>
      <c r="O214" s="34" t="s">
        <v>601</v>
      </c>
      <c r="P214" s="32" t="s">
        <v>602</v>
      </c>
      <c r="Q214" s="35">
        <v>10.0</v>
      </c>
      <c r="R214" s="35">
        <v>9.0</v>
      </c>
      <c r="S214" s="36">
        <v>0.0</v>
      </c>
      <c r="T214" s="36">
        <v>0.0163</v>
      </c>
      <c r="U214" s="36">
        <v>0.0</v>
      </c>
      <c r="V214" s="36">
        <v>0.049</v>
      </c>
      <c r="W214" s="37" t="s">
        <v>799</v>
      </c>
      <c r="X214" s="31">
        <v>1.75</v>
      </c>
      <c r="Y214" s="36">
        <v>-8.262558973010657</v>
      </c>
      <c r="Z214" s="36">
        <v>0.2256313218704178</v>
      </c>
      <c r="AA214" s="29" t="s">
        <v>800</v>
      </c>
      <c r="AB214" s="31">
        <v>0.0</v>
      </c>
      <c r="AC214" s="38">
        <v>228.0</v>
      </c>
    </row>
    <row r="215" ht="14.25" customHeight="1">
      <c r="A215" s="29" t="s">
        <v>270</v>
      </c>
      <c r="B215" s="29">
        <v>40.0</v>
      </c>
      <c r="C215" s="29" t="s">
        <v>608</v>
      </c>
      <c r="D215" s="29" t="s">
        <v>803</v>
      </c>
      <c r="E215" s="29">
        <v>60.0</v>
      </c>
      <c r="F215" s="30" t="s">
        <v>804</v>
      </c>
      <c r="G215" s="29" t="s">
        <v>626</v>
      </c>
      <c r="H215" s="31">
        <v>180.0</v>
      </c>
      <c r="I215" s="29" t="s">
        <v>612</v>
      </c>
      <c r="J215" s="32" t="s">
        <v>642</v>
      </c>
      <c r="K215" s="29" t="s">
        <v>698</v>
      </c>
      <c r="L215" s="29" t="s">
        <v>798</v>
      </c>
      <c r="M215" s="33">
        <v>28.914</v>
      </c>
      <c r="N215" s="33">
        <v>-32.22</v>
      </c>
      <c r="O215" s="34" t="s">
        <v>601</v>
      </c>
      <c r="P215" s="32" t="s">
        <v>602</v>
      </c>
      <c r="Q215" s="35">
        <v>4.0</v>
      </c>
      <c r="R215" s="35">
        <v>9.0</v>
      </c>
      <c r="S215" s="36">
        <v>0.0</v>
      </c>
      <c r="T215" s="36">
        <v>0.0062</v>
      </c>
      <c r="U215" s="36">
        <v>0.0</v>
      </c>
      <c r="V215" s="36">
        <v>0.0187</v>
      </c>
      <c r="W215" s="37" t="s">
        <v>799</v>
      </c>
      <c r="X215" s="31">
        <v>0.25</v>
      </c>
      <c r="Y215" s="36">
        <v>-8.262558973010657</v>
      </c>
      <c r="Z215" s="36">
        <v>0.36666637527140744</v>
      </c>
      <c r="AA215" s="29" t="s">
        <v>800</v>
      </c>
      <c r="AB215" s="31">
        <v>0.0</v>
      </c>
      <c r="AC215" s="38">
        <v>228.0</v>
      </c>
    </row>
    <row r="216" ht="14.25" customHeight="1">
      <c r="A216" s="29" t="s">
        <v>270</v>
      </c>
      <c r="B216" s="29">
        <v>40.0</v>
      </c>
      <c r="C216" s="29" t="s">
        <v>608</v>
      </c>
      <c r="D216" s="29" t="s">
        <v>803</v>
      </c>
      <c r="E216" s="29">
        <v>60.0</v>
      </c>
      <c r="F216" s="30" t="s">
        <v>804</v>
      </c>
      <c r="G216" s="29" t="s">
        <v>626</v>
      </c>
      <c r="H216" s="31">
        <v>180.0</v>
      </c>
      <c r="I216" s="29" t="s">
        <v>612</v>
      </c>
      <c r="J216" s="32" t="s">
        <v>642</v>
      </c>
      <c r="K216" s="29" t="s">
        <v>698</v>
      </c>
      <c r="L216" s="29" t="s">
        <v>798</v>
      </c>
      <c r="M216" s="33">
        <v>28.914</v>
      </c>
      <c r="N216" s="33">
        <v>-32.22</v>
      </c>
      <c r="O216" s="34" t="s">
        <v>601</v>
      </c>
      <c r="P216" s="32" t="s">
        <v>602</v>
      </c>
      <c r="Q216" s="35">
        <v>10.0</v>
      </c>
      <c r="R216" s="35">
        <v>9.0</v>
      </c>
      <c r="S216" s="36">
        <v>0.0</v>
      </c>
      <c r="T216" s="36">
        <v>0.0062</v>
      </c>
      <c r="U216" s="36">
        <v>0.0</v>
      </c>
      <c r="V216" s="36">
        <v>0.0187</v>
      </c>
      <c r="W216" s="37" t="s">
        <v>799</v>
      </c>
      <c r="X216" s="31">
        <v>0.75</v>
      </c>
      <c r="Y216" s="36">
        <v>-8.262558973010657</v>
      </c>
      <c r="Z216" s="36">
        <v>0.21666637527140742</v>
      </c>
      <c r="AA216" s="29" t="s">
        <v>800</v>
      </c>
      <c r="AB216" s="31">
        <v>0.0</v>
      </c>
      <c r="AC216" s="38">
        <v>228.0</v>
      </c>
    </row>
    <row r="217" ht="14.25" customHeight="1">
      <c r="A217" s="29" t="s">
        <v>270</v>
      </c>
      <c r="B217" s="29">
        <v>40.0</v>
      </c>
      <c r="C217" s="29" t="s">
        <v>608</v>
      </c>
      <c r="D217" s="29" t="s">
        <v>803</v>
      </c>
      <c r="E217" s="29">
        <v>60.0</v>
      </c>
      <c r="F217" s="30" t="s">
        <v>804</v>
      </c>
      <c r="G217" s="29" t="s">
        <v>626</v>
      </c>
      <c r="H217" s="31">
        <v>180.0</v>
      </c>
      <c r="I217" s="29" t="s">
        <v>612</v>
      </c>
      <c r="J217" s="32" t="s">
        <v>642</v>
      </c>
      <c r="K217" s="29" t="s">
        <v>698</v>
      </c>
      <c r="L217" s="29" t="s">
        <v>798</v>
      </c>
      <c r="M217" s="33">
        <v>28.914</v>
      </c>
      <c r="N217" s="33">
        <v>-32.22</v>
      </c>
      <c r="O217" s="34" t="s">
        <v>601</v>
      </c>
      <c r="P217" s="32" t="s">
        <v>602</v>
      </c>
      <c r="Q217" s="35">
        <v>4.0</v>
      </c>
      <c r="R217" s="35">
        <v>9.0</v>
      </c>
      <c r="S217" s="36">
        <v>0.0</v>
      </c>
      <c r="T217" s="36">
        <v>0.0062</v>
      </c>
      <c r="U217" s="36">
        <v>0.0</v>
      </c>
      <c r="V217" s="36">
        <v>0.0187</v>
      </c>
      <c r="W217" s="37" t="s">
        <v>799</v>
      </c>
      <c r="X217" s="31">
        <v>1.25</v>
      </c>
      <c r="Y217" s="36">
        <v>-8.262558973010657</v>
      </c>
      <c r="Z217" s="36">
        <v>0.36666637527140744</v>
      </c>
      <c r="AA217" s="29" t="s">
        <v>800</v>
      </c>
      <c r="AB217" s="31">
        <v>0.0</v>
      </c>
      <c r="AC217" s="38">
        <v>228.0</v>
      </c>
    </row>
    <row r="218" ht="14.25" customHeight="1">
      <c r="A218" s="29" t="s">
        <v>270</v>
      </c>
      <c r="B218" s="29">
        <v>40.0</v>
      </c>
      <c r="C218" s="29" t="s">
        <v>608</v>
      </c>
      <c r="D218" s="29" t="s">
        <v>803</v>
      </c>
      <c r="E218" s="29">
        <v>60.0</v>
      </c>
      <c r="F218" s="30" t="s">
        <v>804</v>
      </c>
      <c r="G218" s="29" t="s">
        <v>626</v>
      </c>
      <c r="H218" s="31">
        <v>180.0</v>
      </c>
      <c r="I218" s="29" t="s">
        <v>612</v>
      </c>
      <c r="J218" s="32" t="s">
        <v>642</v>
      </c>
      <c r="K218" s="29" t="s">
        <v>698</v>
      </c>
      <c r="L218" s="29" t="s">
        <v>798</v>
      </c>
      <c r="M218" s="33">
        <v>28.914</v>
      </c>
      <c r="N218" s="33">
        <v>-32.22</v>
      </c>
      <c r="O218" s="34" t="s">
        <v>601</v>
      </c>
      <c r="P218" s="32" t="s">
        <v>602</v>
      </c>
      <c r="Q218" s="35">
        <v>10.0</v>
      </c>
      <c r="R218" s="35">
        <v>9.0</v>
      </c>
      <c r="S218" s="36">
        <v>0.0</v>
      </c>
      <c r="T218" s="36">
        <v>0.0062</v>
      </c>
      <c r="U218" s="36">
        <v>0.0</v>
      </c>
      <c r="V218" s="36">
        <v>0.0187</v>
      </c>
      <c r="W218" s="37" t="s">
        <v>799</v>
      </c>
      <c r="X218" s="31">
        <v>1.75</v>
      </c>
      <c r="Y218" s="36">
        <v>-8.262558973010657</v>
      </c>
      <c r="Z218" s="36">
        <v>0.21666637527140742</v>
      </c>
      <c r="AA218" s="29" t="s">
        <v>800</v>
      </c>
      <c r="AB218" s="31">
        <v>0.0</v>
      </c>
      <c r="AC218" s="38">
        <v>228.0</v>
      </c>
    </row>
    <row r="219" ht="14.25" customHeight="1">
      <c r="A219" s="29" t="s">
        <v>270</v>
      </c>
      <c r="B219" s="29">
        <v>40.0</v>
      </c>
      <c r="C219" s="29" t="s">
        <v>608</v>
      </c>
      <c r="D219" s="29" t="s">
        <v>805</v>
      </c>
      <c r="E219" s="29">
        <v>64.0</v>
      </c>
      <c r="F219" s="30" t="s">
        <v>806</v>
      </c>
      <c r="G219" s="29" t="s">
        <v>615</v>
      </c>
      <c r="H219" s="31">
        <v>0.07</v>
      </c>
      <c r="I219" s="29" t="s">
        <v>616</v>
      </c>
      <c r="J219" s="32" t="s">
        <v>642</v>
      </c>
      <c r="K219" s="29" t="s">
        <v>698</v>
      </c>
      <c r="L219" s="29" t="s">
        <v>798</v>
      </c>
      <c r="M219" s="33">
        <v>28.914</v>
      </c>
      <c r="N219" s="33">
        <v>-32.22</v>
      </c>
      <c r="O219" s="34" t="s">
        <v>601</v>
      </c>
      <c r="P219" s="32" t="s">
        <v>602</v>
      </c>
      <c r="Q219" s="35">
        <v>4.0</v>
      </c>
      <c r="R219" s="35">
        <v>9.0</v>
      </c>
      <c r="S219" s="36">
        <v>0.3706</v>
      </c>
      <c r="T219" s="36">
        <v>0.2358</v>
      </c>
      <c r="U219" s="36">
        <v>0.6516</v>
      </c>
      <c r="V219" s="36">
        <v>0.6541</v>
      </c>
      <c r="W219" s="37" t="s">
        <v>799</v>
      </c>
      <c r="X219" s="31">
        <v>0.25</v>
      </c>
      <c r="Y219" s="36">
        <v>0.4523034674657265</v>
      </c>
      <c r="Z219" s="36">
        <v>1.6278274864297226</v>
      </c>
      <c r="AA219" s="29" t="s">
        <v>800</v>
      </c>
      <c r="AB219" s="31">
        <v>0.0</v>
      </c>
      <c r="AC219" s="38">
        <v>228.0</v>
      </c>
    </row>
    <row r="220" ht="14.25" customHeight="1">
      <c r="A220" s="29" t="s">
        <v>270</v>
      </c>
      <c r="B220" s="29">
        <v>40.0</v>
      </c>
      <c r="C220" s="29" t="s">
        <v>608</v>
      </c>
      <c r="D220" s="29" t="s">
        <v>805</v>
      </c>
      <c r="E220" s="29">
        <v>64.0</v>
      </c>
      <c r="F220" s="30" t="s">
        <v>806</v>
      </c>
      <c r="G220" s="29" t="s">
        <v>615</v>
      </c>
      <c r="H220" s="31">
        <v>0.07</v>
      </c>
      <c r="I220" s="29" t="s">
        <v>616</v>
      </c>
      <c r="J220" s="32" t="s">
        <v>642</v>
      </c>
      <c r="K220" s="29" t="s">
        <v>698</v>
      </c>
      <c r="L220" s="29" t="s">
        <v>798</v>
      </c>
      <c r="M220" s="33">
        <v>28.914</v>
      </c>
      <c r="N220" s="33">
        <v>-32.22</v>
      </c>
      <c r="O220" s="34" t="s">
        <v>601</v>
      </c>
      <c r="P220" s="32" t="s">
        <v>602</v>
      </c>
      <c r="Q220" s="35">
        <v>10.0</v>
      </c>
      <c r="R220" s="35">
        <v>9.0</v>
      </c>
      <c r="S220" s="36">
        <v>1.1019</v>
      </c>
      <c r="T220" s="36">
        <v>0.2358</v>
      </c>
      <c r="U220" s="36">
        <v>0.9087</v>
      </c>
      <c r="V220" s="36">
        <v>0.6541</v>
      </c>
      <c r="W220" s="37" t="s">
        <v>799</v>
      </c>
      <c r="X220" s="31">
        <v>0.75</v>
      </c>
      <c r="Y220" s="36">
        <v>1.5418624618794332</v>
      </c>
      <c r="Z220" s="36">
        <v>0.922991874520975</v>
      </c>
      <c r="AA220" s="29" t="s">
        <v>800</v>
      </c>
      <c r="AB220" s="31">
        <v>0.0</v>
      </c>
      <c r="AC220" s="38">
        <v>228.0</v>
      </c>
    </row>
    <row r="221" ht="14.25" customHeight="1">
      <c r="A221" s="29" t="s">
        <v>270</v>
      </c>
      <c r="B221" s="29">
        <v>40.0</v>
      </c>
      <c r="C221" s="29" t="s">
        <v>608</v>
      </c>
      <c r="D221" s="29" t="s">
        <v>805</v>
      </c>
      <c r="E221" s="29">
        <v>64.0</v>
      </c>
      <c r="F221" s="30" t="s">
        <v>806</v>
      </c>
      <c r="G221" s="29" t="s">
        <v>615</v>
      </c>
      <c r="H221" s="31">
        <v>0.07</v>
      </c>
      <c r="I221" s="29" t="s">
        <v>616</v>
      </c>
      <c r="J221" s="32" t="s">
        <v>642</v>
      </c>
      <c r="K221" s="29" t="s">
        <v>698</v>
      </c>
      <c r="L221" s="29" t="s">
        <v>798</v>
      </c>
      <c r="M221" s="33">
        <v>28.914</v>
      </c>
      <c r="N221" s="33">
        <v>-32.22</v>
      </c>
      <c r="O221" s="34" t="s">
        <v>601</v>
      </c>
      <c r="P221" s="32" t="s">
        <v>602</v>
      </c>
      <c r="Q221" s="35">
        <v>4.0</v>
      </c>
      <c r="R221" s="35">
        <v>9.0</v>
      </c>
      <c r="S221" s="36">
        <v>2.5969</v>
      </c>
      <c r="T221" s="36">
        <v>0.2358</v>
      </c>
      <c r="U221" s="36">
        <v>2.0542</v>
      </c>
      <c r="V221" s="36">
        <v>0.6541</v>
      </c>
      <c r="W221" s="37" t="s">
        <v>799</v>
      </c>
      <c r="X221" s="31">
        <v>1.25</v>
      </c>
      <c r="Y221" s="36">
        <v>2.399113142934912</v>
      </c>
      <c r="Z221" s="36">
        <v>1.0114125781187653</v>
      </c>
      <c r="AA221" s="29" t="s">
        <v>800</v>
      </c>
      <c r="AB221" s="31">
        <v>0.0</v>
      </c>
      <c r="AC221" s="38">
        <v>228.0</v>
      </c>
    </row>
    <row r="222" ht="14.25" customHeight="1">
      <c r="A222" s="29" t="s">
        <v>270</v>
      </c>
      <c r="B222" s="29">
        <v>40.0</v>
      </c>
      <c r="C222" s="29" t="s">
        <v>608</v>
      </c>
      <c r="D222" s="29" t="s">
        <v>805</v>
      </c>
      <c r="E222" s="29">
        <v>64.0</v>
      </c>
      <c r="F222" s="30" t="s">
        <v>806</v>
      </c>
      <c r="G222" s="29" t="s">
        <v>615</v>
      </c>
      <c r="H222" s="31">
        <v>0.07</v>
      </c>
      <c r="I222" s="29" t="s">
        <v>616</v>
      </c>
      <c r="J222" s="32" t="s">
        <v>642</v>
      </c>
      <c r="K222" s="29" t="s">
        <v>698</v>
      </c>
      <c r="L222" s="29" t="s">
        <v>798</v>
      </c>
      <c r="M222" s="33">
        <v>28.914</v>
      </c>
      <c r="N222" s="33">
        <v>-32.22</v>
      </c>
      <c r="O222" s="34" t="s">
        <v>601</v>
      </c>
      <c r="P222" s="32" t="s">
        <v>602</v>
      </c>
      <c r="Q222" s="35">
        <v>10.0</v>
      </c>
      <c r="R222" s="35">
        <v>9.0</v>
      </c>
      <c r="S222" s="36">
        <v>0.6003</v>
      </c>
      <c r="T222" s="36">
        <v>0.2358</v>
      </c>
      <c r="U222" s="36">
        <v>0.4284</v>
      </c>
      <c r="V222" s="36">
        <v>0.6541</v>
      </c>
      <c r="W222" s="37" t="s">
        <v>799</v>
      </c>
      <c r="X222" s="31">
        <v>1.75</v>
      </c>
      <c r="Y222" s="36">
        <v>0.9345468795373164</v>
      </c>
      <c r="Z222" s="36">
        <v>0.9059130519552576</v>
      </c>
      <c r="AA222" s="29" t="s">
        <v>800</v>
      </c>
      <c r="AB222" s="31">
        <v>0.0</v>
      </c>
      <c r="AC222" s="38">
        <v>228.0</v>
      </c>
    </row>
    <row r="223" ht="14.25" customHeight="1">
      <c r="A223" s="29" t="s">
        <v>270</v>
      </c>
      <c r="B223" s="29">
        <v>40.0</v>
      </c>
      <c r="C223" s="29" t="s">
        <v>608</v>
      </c>
      <c r="D223" s="29" t="s">
        <v>807</v>
      </c>
      <c r="E223" s="29">
        <v>78.0</v>
      </c>
      <c r="F223" s="30" t="s">
        <v>808</v>
      </c>
      <c r="G223" s="29" t="s">
        <v>626</v>
      </c>
      <c r="H223" s="31">
        <v>400.0</v>
      </c>
      <c r="I223" s="29" t="s">
        <v>612</v>
      </c>
      <c r="J223" s="32" t="s">
        <v>642</v>
      </c>
      <c r="K223" s="29" t="s">
        <v>698</v>
      </c>
      <c r="L223" s="29" t="s">
        <v>798</v>
      </c>
      <c r="M223" s="33">
        <v>28.914</v>
      </c>
      <c r="N223" s="33">
        <v>-32.22</v>
      </c>
      <c r="O223" s="34" t="s">
        <v>601</v>
      </c>
      <c r="P223" s="32" t="s">
        <v>602</v>
      </c>
      <c r="Q223" s="35">
        <v>4.0</v>
      </c>
      <c r="R223" s="35">
        <v>9.0</v>
      </c>
      <c r="S223" s="36">
        <v>0.0073</v>
      </c>
      <c r="T223" s="36">
        <v>0.7692</v>
      </c>
      <c r="U223" s="36">
        <v>0.0146</v>
      </c>
      <c r="V223" s="36">
        <v>1.151</v>
      </c>
      <c r="W223" s="37" t="s">
        <v>799</v>
      </c>
      <c r="X223" s="31">
        <v>0.25</v>
      </c>
      <c r="Y223" s="36">
        <v>-4.630654412824244</v>
      </c>
      <c r="Z223" s="36">
        <v>1.248788090426951</v>
      </c>
      <c r="AA223" s="29" t="s">
        <v>800</v>
      </c>
      <c r="AB223" s="31">
        <v>0.0</v>
      </c>
      <c r="AC223" s="38">
        <v>228.0</v>
      </c>
    </row>
    <row r="224" ht="14.25" customHeight="1">
      <c r="A224" s="29" t="s">
        <v>270</v>
      </c>
      <c r="B224" s="29">
        <v>40.0</v>
      </c>
      <c r="C224" s="29" t="s">
        <v>608</v>
      </c>
      <c r="D224" s="29" t="s">
        <v>807</v>
      </c>
      <c r="E224" s="29">
        <v>78.0</v>
      </c>
      <c r="F224" s="30" t="s">
        <v>808</v>
      </c>
      <c r="G224" s="29" t="s">
        <v>626</v>
      </c>
      <c r="H224" s="31">
        <v>400.0</v>
      </c>
      <c r="I224" s="29" t="s">
        <v>612</v>
      </c>
      <c r="J224" s="32" t="s">
        <v>642</v>
      </c>
      <c r="K224" s="29" t="s">
        <v>698</v>
      </c>
      <c r="L224" s="29" t="s">
        <v>798</v>
      </c>
      <c r="M224" s="33">
        <v>28.914</v>
      </c>
      <c r="N224" s="33">
        <v>-32.22</v>
      </c>
      <c r="O224" s="34" t="s">
        <v>601</v>
      </c>
      <c r="P224" s="32" t="s">
        <v>602</v>
      </c>
      <c r="Q224" s="35">
        <v>10.0</v>
      </c>
      <c r="R224" s="35">
        <v>9.0</v>
      </c>
      <c r="S224" s="36">
        <v>0.915</v>
      </c>
      <c r="T224" s="36">
        <v>0.7692</v>
      </c>
      <c r="U224" s="36">
        <v>2.0552</v>
      </c>
      <c r="V224" s="36">
        <v>1.151</v>
      </c>
      <c r="W224" s="37" t="s">
        <v>799</v>
      </c>
      <c r="X224" s="31">
        <v>0.75</v>
      </c>
      <c r="Y224" s="36">
        <v>0.1737899154894432</v>
      </c>
      <c r="Z224" s="36">
        <v>0.7532936940579941</v>
      </c>
      <c r="AA224" s="29" t="s">
        <v>800</v>
      </c>
      <c r="AB224" s="31">
        <v>0.0</v>
      </c>
      <c r="AC224" s="38">
        <v>228.0</v>
      </c>
    </row>
    <row r="225" ht="14.25" customHeight="1">
      <c r="A225" s="29" t="s">
        <v>270</v>
      </c>
      <c r="B225" s="29">
        <v>40.0</v>
      </c>
      <c r="C225" s="29" t="s">
        <v>608</v>
      </c>
      <c r="D225" s="29" t="s">
        <v>807</v>
      </c>
      <c r="E225" s="29">
        <v>78.0</v>
      </c>
      <c r="F225" s="30" t="s">
        <v>808</v>
      </c>
      <c r="G225" s="29" t="s">
        <v>626</v>
      </c>
      <c r="H225" s="31">
        <v>400.0</v>
      </c>
      <c r="I225" s="29" t="s">
        <v>612</v>
      </c>
      <c r="J225" s="32" t="s">
        <v>642</v>
      </c>
      <c r="K225" s="29" t="s">
        <v>698</v>
      </c>
      <c r="L225" s="29" t="s">
        <v>798</v>
      </c>
      <c r="M225" s="33">
        <v>28.914</v>
      </c>
      <c r="N225" s="33">
        <v>-32.22</v>
      </c>
      <c r="O225" s="34" t="s">
        <v>601</v>
      </c>
      <c r="P225" s="32" t="s">
        <v>602</v>
      </c>
      <c r="Q225" s="35">
        <v>4.0</v>
      </c>
      <c r="R225" s="35">
        <v>9.0</v>
      </c>
      <c r="S225" s="36">
        <v>0.5166</v>
      </c>
      <c r="T225" s="36">
        <v>0.7692</v>
      </c>
      <c r="U225" s="36">
        <v>0.482</v>
      </c>
      <c r="V225" s="36">
        <v>1.151</v>
      </c>
      <c r="W225" s="37" t="s">
        <v>799</v>
      </c>
      <c r="X225" s="31">
        <v>1.25</v>
      </c>
      <c r="Y225" s="36">
        <v>-0.39769805658279306</v>
      </c>
      <c r="Z225" s="36">
        <v>0.466421357407262</v>
      </c>
      <c r="AA225" s="29" t="s">
        <v>800</v>
      </c>
      <c r="AB225" s="31">
        <v>0.0</v>
      </c>
      <c r="AC225" s="38">
        <v>228.0</v>
      </c>
    </row>
    <row r="226" ht="14.25" customHeight="1">
      <c r="A226" s="29" t="s">
        <v>270</v>
      </c>
      <c r="B226" s="29">
        <v>40.0</v>
      </c>
      <c r="C226" s="29" t="s">
        <v>608</v>
      </c>
      <c r="D226" s="29" t="s">
        <v>807</v>
      </c>
      <c r="E226" s="29">
        <v>78.0</v>
      </c>
      <c r="F226" s="30" t="s">
        <v>808</v>
      </c>
      <c r="G226" s="29" t="s">
        <v>626</v>
      </c>
      <c r="H226" s="31">
        <v>400.0</v>
      </c>
      <c r="I226" s="29" t="s">
        <v>612</v>
      </c>
      <c r="J226" s="32" t="s">
        <v>642</v>
      </c>
      <c r="K226" s="29" t="s">
        <v>698</v>
      </c>
      <c r="L226" s="29" t="s">
        <v>798</v>
      </c>
      <c r="M226" s="33">
        <v>28.914</v>
      </c>
      <c r="N226" s="33">
        <v>-32.22</v>
      </c>
      <c r="O226" s="34" t="s">
        <v>601</v>
      </c>
      <c r="P226" s="32" t="s">
        <v>602</v>
      </c>
      <c r="Q226" s="35">
        <v>10.0</v>
      </c>
      <c r="R226" s="35">
        <v>9.0</v>
      </c>
      <c r="S226" s="36">
        <v>0.5681</v>
      </c>
      <c r="T226" s="36">
        <v>0.7692</v>
      </c>
      <c r="U226" s="36">
        <v>0.7199</v>
      </c>
      <c r="V226" s="36">
        <v>1.151</v>
      </c>
      <c r="W226" s="37" t="s">
        <v>799</v>
      </c>
      <c r="X226" s="31">
        <v>1.75</v>
      </c>
      <c r="Y226" s="36">
        <v>-0.3027042893068934</v>
      </c>
      <c r="Z226" s="36">
        <v>0.4093693161477463</v>
      </c>
      <c r="AA226" s="29" t="s">
        <v>800</v>
      </c>
      <c r="AB226" s="31">
        <v>0.0</v>
      </c>
      <c r="AC226" s="38">
        <v>228.0</v>
      </c>
    </row>
    <row r="227" ht="14.25" customHeight="1">
      <c r="A227" s="29" t="s">
        <v>270</v>
      </c>
      <c r="B227" s="29">
        <v>40.0</v>
      </c>
      <c r="C227" s="29" t="s">
        <v>608</v>
      </c>
      <c r="D227" s="29" t="s">
        <v>809</v>
      </c>
      <c r="E227" s="29">
        <v>81.0</v>
      </c>
      <c r="F227" s="30" t="s">
        <v>810</v>
      </c>
      <c r="G227" s="29" t="s">
        <v>629</v>
      </c>
      <c r="H227" s="31">
        <v>2.23</v>
      </c>
      <c r="I227" s="29" t="s">
        <v>657</v>
      </c>
      <c r="J227" s="32" t="s">
        <v>642</v>
      </c>
      <c r="K227" s="29" t="s">
        <v>698</v>
      </c>
      <c r="L227" s="29" t="s">
        <v>798</v>
      </c>
      <c r="M227" s="33">
        <v>28.914</v>
      </c>
      <c r="N227" s="33">
        <v>-32.22</v>
      </c>
      <c r="O227" s="34" t="s">
        <v>601</v>
      </c>
      <c r="P227" s="32" t="s">
        <v>602</v>
      </c>
      <c r="Q227" s="35">
        <v>4.0</v>
      </c>
      <c r="R227" s="35">
        <v>9.0</v>
      </c>
      <c r="S227" s="36">
        <v>0.0269</v>
      </c>
      <c r="T227" s="36">
        <v>0.0139</v>
      </c>
      <c r="U227" s="36">
        <v>0.0538</v>
      </c>
      <c r="V227" s="36">
        <v>0.0417</v>
      </c>
      <c r="W227" s="37" t="s">
        <v>799</v>
      </c>
      <c r="X227" s="31">
        <v>0.25</v>
      </c>
      <c r="Y227" s="36">
        <v>0.6603707525041141</v>
      </c>
      <c r="Z227" s="36">
        <v>2.0</v>
      </c>
      <c r="AA227" s="29" t="s">
        <v>800</v>
      </c>
      <c r="AB227" s="31">
        <v>0.0</v>
      </c>
      <c r="AC227" s="38">
        <v>228.0</v>
      </c>
    </row>
    <row r="228" ht="14.25" customHeight="1">
      <c r="A228" s="29" t="s">
        <v>270</v>
      </c>
      <c r="B228" s="29">
        <v>40.0</v>
      </c>
      <c r="C228" s="29" t="s">
        <v>608</v>
      </c>
      <c r="D228" s="29" t="s">
        <v>809</v>
      </c>
      <c r="E228" s="29">
        <v>81.0</v>
      </c>
      <c r="F228" s="30" t="s">
        <v>810</v>
      </c>
      <c r="G228" s="29" t="s">
        <v>629</v>
      </c>
      <c r="H228" s="31">
        <v>2.23</v>
      </c>
      <c r="I228" s="29" t="s">
        <v>657</v>
      </c>
      <c r="J228" s="32" t="s">
        <v>642</v>
      </c>
      <c r="K228" s="29" t="s">
        <v>698</v>
      </c>
      <c r="L228" s="29" t="s">
        <v>798</v>
      </c>
      <c r="M228" s="33">
        <v>28.914</v>
      </c>
      <c r="N228" s="33">
        <v>-32.22</v>
      </c>
      <c r="O228" s="34" t="s">
        <v>601</v>
      </c>
      <c r="P228" s="32" t="s">
        <v>602</v>
      </c>
      <c r="Q228" s="35">
        <v>10.0</v>
      </c>
      <c r="R228" s="35">
        <v>9.0</v>
      </c>
      <c r="S228" s="36">
        <v>0.0</v>
      </c>
      <c r="T228" s="36">
        <v>0.0139</v>
      </c>
      <c r="U228" s="36">
        <v>0.0</v>
      </c>
      <c r="V228" s="36">
        <v>0.0417</v>
      </c>
      <c r="W228" s="37" t="s">
        <v>799</v>
      </c>
      <c r="X228" s="31">
        <v>0.75</v>
      </c>
      <c r="Y228" s="36">
        <v>-8.262558973010657</v>
      </c>
      <c r="Z228" s="36">
        <v>0.2234576273699392</v>
      </c>
      <c r="AA228" s="29" t="s">
        <v>800</v>
      </c>
      <c r="AB228" s="31">
        <v>0.0</v>
      </c>
      <c r="AC228" s="38">
        <v>228.0</v>
      </c>
    </row>
    <row r="229" ht="14.25" customHeight="1">
      <c r="A229" s="29" t="s">
        <v>270</v>
      </c>
      <c r="B229" s="29">
        <v>40.0</v>
      </c>
      <c r="C229" s="29" t="s">
        <v>608</v>
      </c>
      <c r="D229" s="29" t="s">
        <v>809</v>
      </c>
      <c r="E229" s="29">
        <v>81.0</v>
      </c>
      <c r="F229" s="30" t="s">
        <v>810</v>
      </c>
      <c r="G229" s="29" t="s">
        <v>629</v>
      </c>
      <c r="H229" s="31">
        <v>2.23</v>
      </c>
      <c r="I229" s="29" t="s">
        <v>657</v>
      </c>
      <c r="J229" s="32" t="s">
        <v>642</v>
      </c>
      <c r="K229" s="29" t="s">
        <v>698</v>
      </c>
      <c r="L229" s="29" t="s">
        <v>798</v>
      </c>
      <c r="M229" s="33">
        <v>28.914</v>
      </c>
      <c r="N229" s="33">
        <v>-32.22</v>
      </c>
      <c r="O229" s="34" t="s">
        <v>601</v>
      </c>
      <c r="P229" s="32" t="s">
        <v>602</v>
      </c>
      <c r="Q229" s="35">
        <v>4.0</v>
      </c>
      <c r="R229" s="35">
        <v>9.0</v>
      </c>
      <c r="S229" s="36">
        <v>0.0</v>
      </c>
      <c r="T229" s="36">
        <v>0.0139</v>
      </c>
      <c r="U229" s="36">
        <v>0.0</v>
      </c>
      <c r="V229" s="36">
        <v>0.0417</v>
      </c>
      <c r="W229" s="37" t="s">
        <v>799</v>
      </c>
      <c r="X229" s="31">
        <v>1.25</v>
      </c>
      <c r="Y229" s="36">
        <v>-8.262558973010657</v>
      </c>
      <c r="Z229" s="36">
        <v>0.3734576273699392</v>
      </c>
      <c r="AA229" s="29" t="s">
        <v>800</v>
      </c>
      <c r="AB229" s="31">
        <v>0.0</v>
      </c>
      <c r="AC229" s="38">
        <v>228.0</v>
      </c>
    </row>
    <row r="230" ht="14.25" customHeight="1">
      <c r="A230" s="29" t="s">
        <v>270</v>
      </c>
      <c r="B230" s="29">
        <v>40.0</v>
      </c>
      <c r="C230" s="29" t="s">
        <v>608</v>
      </c>
      <c r="D230" s="29" t="s">
        <v>809</v>
      </c>
      <c r="E230" s="29">
        <v>81.0</v>
      </c>
      <c r="F230" s="30" t="s">
        <v>810</v>
      </c>
      <c r="G230" s="29" t="s">
        <v>629</v>
      </c>
      <c r="H230" s="31">
        <v>2.23</v>
      </c>
      <c r="I230" s="29" t="s">
        <v>657</v>
      </c>
      <c r="J230" s="32" t="s">
        <v>642</v>
      </c>
      <c r="K230" s="29" t="s">
        <v>698</v>
      </c>
      <c r="L230" s="29" t="s">
        <v>798</v>
      </c>
      <c r="M230" s="33">
        <v>28.914</v>
      </c>
      <c r="N230" s="33">
        <v>-32.22</v>
      </c>
      <c r="O230" s="34" t="s">
        <v>601</v>
      </c>
      <c r="P230" s="32" t="s">
        <v>602</v>
      </c>
      <c r="Q230" s="35">
        <v>10.0</v>
      </c>
      <c r="R230" s="35">
        <v>9.0</v>
      </c>
      <c r="S230" s="36">
        <v>0.0287</v>
      </c>
      <c r="T230" s="36">
        <v>0.0139</v>
      </c>
      <c r="U230" s="36">
        <v>0.0608</v>
      </c>
      <c r="V230" s="36">
        <v>0.0417</v>
      </c>
      <c r="W230" s="37" t="s">
        <v>799</v>
      </c>
      <c r="X230" s="31">
        <v>1.75</v>
      </c>
      <c r="Y230" s="36">
        <v>0.7251332285270686</v>
      </c>
      <c r="Z230" s="36">
        <v>1.4487902001966761</v>
      </c>
      <c r="AA230" s="29" t="s">
        <v>800</v>
      </c>
      <c r="AB230" s="31">
        <v>0.0</v>
      </c>
      <c r="AC230" s="38">
        <v>228.0</v>
      </c>
    </row>
    <row r="231" ht="14.25" customHeight="1">
      <c r="A231" s="29" t="s">
        <v>270</v>
      </c>
      <c r="B231" s="29">
        <v>40.0</v>
      </c>
      <c r="C231" s="29" t="s">
        <v>608</v>
      </c>
      <c r="D231" s="29" t="s">
        <v>781</v>
      </c>
      <c r="E231" s="29">
        <v>136.0</v>
      </c>
      <c r="F231" s="30" t="s">
        <v>782</v>
      </c>
      <c r="G231" s="29" t="s">
        <v>626</v>
      </c>
      <c r="H231" s="31">
        <v>4.9</v>
      </c>
      <c r="I231" s="29" t="s">
        <v>597</v>
      </c>
      <c r="J231" s="32" t="s">
        <v>642</v>
      </c>
      <c r="K231" s="29" t="s">
        <v>698</v>
      </c>
      <c r="L231" s="29" t="s">
        <v>798</v>
      </c>
      <c r="M231" s="33">
        <v>28.914</v>
      </c>
      <c r="N231" s="33">
        <v>-32.22</v>
      </c>
      <c r="O231" s="34" t="s">
        <v>601</v>
      </c>
      <c r="P231" s="32" t="s">
        <v>602</v>
      </c>
      <c r="Q231" s="35">
        <v>4.0</v>
      </c>
      <c r="R231" s="35">
        <v>9.0</v>
      </c>
      <c r="S231" s="36">
        <v>0.0904</v>
      </c>
      <c r="T231" s="36">
        <v>0.6484</v>
      </c>
      <c r="U231" s="36">
        <v>0.1559</v>
      </c>
      <c r="V231" s="36">
        <v>0.6771</v>
      </c>
      <c r="W231" s="37" t="s">
        <v>799</v>
      </c>
      <c r="X231" s="31">
        <v>0.25</v>
      </c>
      <c r="Y231" s="36">
        <v>-1.968414725222874</v>
      </c>
      <c r="Z231" s="36">
        <v>0.8646896392240754</v>
      </c>
      <c r="AA231" s="29" t="s">
        <v>800</v>
      </c>
      <c r="AB231" s="31">
        <v>0.0</v>
      </c>
      <c r="AC231" s="38">
        <v>228.0</v>
      </c>
    </row>
    <row r="232" ht="14.25" customHeight="1">
      <c r="A232" s="29" t="s">
        <v>270</v>
      </c>
      <c r="B232" s="29">
        <v>40.0</v>
      </c>
      <c r="C232" s="29" t="s">
        <v>608</v>
      </c>
      <c r="D232" s="29" t="s">
        <v>781</v>
      </c>
      <c r="E232" s="29">
        <v>136.0</v>
      </c>
      <c r="F232" s="30" t="s">
        <v>782</v>
      </c>
      <c r="G232" s="29" t="s">
        <v>626</v>
      </c>
      <c r="H232" s="31">
        <v>4.9</v>
      </c>
      <c r="I232" s="29" t="s">
        <v>597</v>
      </c>
      <c r="J232" s="32" t="s">
        <v>642</v>
      </c>
      <c r="K232" s="29" t="s">
        <v>698</v>
      </c>
      <c r="L232" s="29" t="s">
        <v>798</v>
      </c>
      <c r="M232" s="33">
        <v>28.914</v>
      </c>
      <c r="N232" s="33">
        <v>-32.22</v>
      </c>
      <c r="O232" s="34" t="s">
        <v>601</v>
      </c>
      <c r="P232" s="32" t="s">
        <v>602</v>
      </c>
      <c r="Q232" s="35">
        <v>10.0</v>
      </c>
      <c r="R232" s="35">
        <v>9.0</v>
      </c>
      <c r="S232" s="36">
        <v>0.3161</v>
      </c>
      <c r="T232" s="36">
        <v>0.6484</v>
      </c>
      <c r="U232" s="36">
        <v>0.344</v>
      </c>
      <c r="V232" s="36">
        <v>0.6771</v>
      </c>
      <c r="W232" s="37" t="s">
        <v>799</v>
      </c>
      <c r="X232" s="31">
        <v>0.75</v>
      </c>
      <c r="Y232" s="36">
        <v>-0.717920092462265</v>
      </c>
      <c r="Z232" s="36">
        <v>0.23959665840059266</v>
      </c>
      <c r="AA232" s="29" t="s">
        <v>800</v>
      </c>
      <c r="AB232" s="31">
        <v>0.0</v>
      </c>
      <c r="AC232" s="38">
        <v>228.0</v>
      </c>
    </row>
    <row r="233" ht="14.25" customHeight="1">
      <c r="A233" s="29" t="s">
        <v>270</v>
      </c>
      <c r="B233" s="29">
        <v>40.0</v>
      </c>
      <c r="C233" s="29" t="s">
        <v>608</v>
      </c>
      <c r="D233" s="29" t="s">
        <v>781</v>
      </c>
      <c r="E233" s="29">
        <v>136.0</v>
      </c>
      <c r="F233" s="30" t="s">
        <v>782</v>
      </c>
      <c r="G233" s="29" t="s">
        <v>626</v>
      </c>
      <c r="H233" s="31">
        <v>4.9</v>
      </c>
      <c r="I233" s="29" t="s">
        <v>597</v>
      </c>
      <c r="J233" s="32" t="s">
        <v>642</v>
      </c>
      <c r="K233" s="29" t="s">
        <v>698</v>
      </c>
      <c r="L233" s="29" t="s">
        <v>798</v>
      </c>
      <c r="M233" s="33">
        <v>28.914</v>
      </c>
      <c r="N233" s="33">
        <v>-32.22</v>
      </c>
      <c r="O233" s="34" t="s">
        <v>601</v>
      </c>
      <c r="P233" s="32" t="s">
        <v>602</v>
      </c>
      <c r="Q233" s="35">
        <v>4.0</v>
      </c>
      <c r="R233" s="35">
        <v>9.0</v>
      </c>
      <c r="S233" s="36">
        <v>0.7012</v>
      </c>
      <c r="T233" s="36">
        <v>0.6484</v>
      </c>
      <c r="U233" s="36">
        <v>0.4266</v>
      </c>
      <c r="V233" s="36">
        <v>0.6771</v>
      </c>
      <c r="W233" s="37" t="s">
        <v>799</v>
      </c>
      <c r="X233" s="31">
        <v>1.25</v>
      </c>
      <c r="Y233" s="36">
        <v>0.07852390555595676</v>
      </c>
      <c r="Z233" s="36">
        <v>0.21369824451375485</v>
      </c>
      <c r="AA233" s="29" t="s">
        <v>800</v>
      </c>
      <c r="AB233" s="31">
        <v>0.0</v>
      </c>
      <c r="AC233" s="38">
        <v>228.0</v>
      </c>
    </row>
    <row r="234" ht="14.25" customHeight="1">
      <c r="A234" s="29" t="s">
        <v>270</v>
      </c>
      <c r="B234" s="29">
        <v>40.0</v>
      </c>
      <c r="C234" s="29" t="s">
        <v>608</v>
      </c>
      <c r="D234" s="29" t="s">
        <v>781</v>
      </c>
      <c r="E234" s="29">
        <v>136.0</v>
      </c>
      <c r="F234" s="30" t="s">
        <v>782</v>
      </c>
      <c r="G234" s="29" t="s">
        <v>626</v>
      </c>
      <c r="H234" s="31">
        <v>4.9</v>
      </c>
      <c r="I234" s="29" t="s">
        <v>597</v>
      </c>
      <c r="J234" s="32" t="s">
        <v>642</v>
      </c>
      <c r="K234" s="29" t="s">
        <v>698</v>
      </c>
      <c r="L234" s="29" t="s">
        <v>798</v>
      </c>
      <c r="M234" s="33">
        <v>28.914</v>
      </c>
      <c r="N234" s="33">
        <v>-32.22</v>
      </c>
      <c r="O234" s="34" t="s">
        <v>601</v>
      </c>
      <c r="P234" s="32" t="s">
        <v>602</v>
      </c>
      <c r="Q234" s="35">
        <v>10.0</v>
      </c>
      <c r="R234" s="35">
        <v>9.0</v>
      </c>
      <c r="S234" s="36">
        <v>0.6146</v>
      </c>
      <c r="T234" s="36">
        <v>0.6484</v>
      </c>
      <c r="U234" s="36">
        <v>0.3098</v>
      </c>
      <c r="V234" s="36">
        <v>0.6771</v>
      </c>
      <c r="W234" s="37" t="s">
        <v>799</v>
      </c>
      <c r="X234" s="31">
        <v>1.75</v>
      </c>
      <c r="Y234" s="36">
        <v>-0.053263990638027094</v>
      </c>
      <c r="Z234" s="36">
        <v>0.1465734006827359</v>
      </c>
      <c r="AA234" s="29" t="s">
        <v>800</v>
      </c>
      <c r="AB234" s="31">
        <v>0.0</v>
      </c>
      <c r="AC234" s="38">
        <v>228.0</v>
      </c>
    </row>
    <row r="235" ht="14.25" customHeight="1">
      <c r="A235" s="29" t="s">
        <v>270</v>
      </c>
      <c r="B235" s="29">
        <v>40.0</v>
      </c>
      <c r="C235" s="29" t="s">
        <v>608</v>
      </c>
      <c r="D235" s="29" t="s">
        <v>765</v>
      </c>
      <c r="E235" s="29">
        <v>147.0</v>
      </c>
      <c r="F235" s="30" t="s">
        <v>766</v>
      </c>
      <c r="G235" s="29" t="s">
        <v>626</v>
      </c>
      <c r="H235" s="31">
        <v>48.78</v>
      </c>
      <c r="I235" s="29" t="s">
        <v>616</v>
      </c>
      <c r="J235" s="32" t="s">
        <v>642</v>
      </c>
      <c r="K235" s="29" t="s">
        <v>698</v>
      </c>
      <c r="L235" s="29" t="s">
        <v>798</v>
      </c>
      <c r="M235" s="33">
        <v>28.914</v>
      </c>
      <c r="N235" s="33">
        <v>-32.22</v>
      </c>
      <c r="O235" s="34" t="s">
        <v>601</v>
      </c>
      <c r="P235" s="32" t="s">
        <v>602</v>
      </c>
      <c r="Q235" s="35">
        <v>4.0</v>
      </c>
      <c r="R235" s="35">
        <v>9.0</v>
      </c>
      <c r="S235" s="36">
        <v>0.0521</v>
      </c>
      <c r="T235" s="36">
        <v>0.6126</v>
      </c>
      <c r="U235" s="36">
        <v>0.0603</v>
      </c>
      <c r="V235" s="36">
        <v>0.7721</v>
      </c>
      <c r="W235" s="37" t="s">
        <v>799</v>
      </c>
      <c r="X235" s="31">
        <v>0.25</v>
      </c>
      <c r="Y235" s="36">
        <v>-2.461518257321806</v>
      </c>
      <c r="Z235" s="36">
        <v>0.5113900901249115</v>
      </c>
      <c r="AA235" s="29" t="s">
        <v>800</v>
      </c>
      <c r="AB235" s="31">
        <v>0.0</v>
      </c>
      <c r="AC235" s="38">
        <v>228.0</v>
      </c>
    </row>
    <row r="236" ht="14.25" customHeight="1">
      <c r="A236" s="29" t="s">
        <v>270</v>
      </c>
      <c r="B236" s="29">
        <v>40.0</v>
      </c>
      <c r="C236" s="29" t="s">
        <v>608</v>
      </c>
      <c r="D236" s="29" t="s">
        <v>765</v>
      </c>
      <c r="E236" s="29">
        <v>147.0</v>
      </c>
      <c r="F236" s="30" t="s">
        <v>766</v>
      </c>
      <c r="G236" s="29" t="s">
        <v>626</v>
      </c>
      <c r="H236" s="31">
        <v>48.78</v>
      </c>
      <c r="I236" s="29" t="s">
        <v>616</v>
      </c>
      <c r="J236" s="32" t="s">
        <v>642</v>
      </c>
      <c r="K236" s="29" t="s">
        <v>698</v>
      </c>
      <c r="L236" s="29" t="s">
        <v>798</v>
      </c>
      <c r="M236" s="33">
        <v>28.914</v>
      </c>
      <c r="N236" s="33">
        <v>-32.22</v>
      </c>
      <c r="O236" s="34" t="s">
        <v>601</v>
      </c>
      <c r="P236" s="32" t="s">
        <v>602</v>
      </c>
      <c r="Q236" s="35">
        <v>10.0</v>
      </c>
      <c r="R236" s="35">
        <v>9.0</v>
      </c>
      <c r="S236" s="36">
        <v>0.4683</v>
      </c>
      <c r="T236" s="36">
        <v>0.6126</v>
      </c>
      <c r="U236" s="36">
        <v>0.4126</v>
      </c>
      <c r="V236" s="36">
        <v>0.7721</v>
      </c>
      <c r="W236" s="37" t="s">
        <v>799</v>
      </c>
      <c r="X236" s="31">
        <v>0.75</v>
      </c>
      <c r="Y236" s="36">
        <v>-0.2682656388091506</v>
      </c>
      <c r="Z236" s="36">
        <v>0.25412892074084903</v>
      </c>
      <c r="AA236" s="29" t="s">
        <v>800</v>
      </c>
      <c r="AB236" s="31">
        <v>0.0</v>
      </c>
      <c r="AC236" s="38">
        <v>228.0</v>
      </c>
    </row>
    <row r="237" ht="14.25" customHeight="1">
      <c r="A237" s="29" t="s">
        <v>270</v>
      </c>
      <c r="B237" s="29">
        <v>40.0</v>
      </c>
      <c r="C237" s="29" t="s">
        <v>608</v>
      </c>
      <c r="D237" s="29" t="s">
        <v>765</v>
      </c>
      <c r="E237" s="29">
        <v>147.0</v>
      </c>
      <c r="F237" s="30" t="s">
        <v>766</v>
      </c>
      <c r="G237" s="29" t="s">
        <v>626</v>
      </c>
      <c r="H237" s="31">
        <v>48.78</v>
      </c>
      <c r="I237" s="29" t="s">
        <v>616</v>
      </c>
      <c r="J237" s="32" t="s">
        <v>642</v>
      </c>
      <c r="K237" s="29" t="s">
        <v>698</v>
      </c>
      <c r="L237" s="29" t="s">
        <v>798</v>
      </c>
      <c r="M237" s="33">
        <v>28.914</v>
      </c>
      <c r="N237" s="33">
        <v>-32.22</v>
      </c>
      <c r="O237" s="34" t="s">
        <v>601</v>
      </c>
      <c r="P237" s="32" t="s">
        <v>602</v>
      </c>
      <c r="Q237" s="35">
        <v>4.0</v>
      </c>
      <c r="R237" s="35">
        <v>9.0</v>
      </c>
      <c r="S237" s="36">
        <v>0.3949</v>
      </c>
      <c r="T237" s="36">
        <v>0.6126</v>
      </c>
      <c r="U237" s="36">
        <v>0.6142</v>
      </c>
      <c r="V237" s="36">
        <v>0.7721</v>
      </c>
      <c r="W237" s="37" t="s">
        <v>799</v>
      </c>
      <c r="X237" s="31">
        <v>1.25</v>
      </c>
      <c r="Y237" s="36">
        <v>-0.43867947944561114</v>
      </c>
      <c r="Z237" s="36">
        <v>0.7812656107418734</v>
      </c>
      <c r="AA237" s="29" t="s">
        <v>800</v>
      </c>
      <c r="AB237" s="31">
        <v>0.0</v>
      </c>
      <c r="AC237" s="38">
        <v>228.0</v>
      </c>
    </row>
    <row r="238" ht="14.25" customHeight="1">
      <c r="A238" s="29" t="s">
        <v>270</v>
      </c>
      <c r="B238" s="29">
        <v>40.0</v>
      </c>
      <c r="C238" s="29" t="s">
        <v>608</v>
      </c>
      <c r="D238" s="29" t="s">
        <v>765</v>
      </c>
      <c r="E238" s="29">
        <v>147.0</v>
      </c>
      <c r="F238" s="30" t="s">
        <v>766</v>
      </c>
      <c r="G238" s="29" t="s">
        <v>626</v>
      </c>
      <c r="H238" s="31">
        <v>48.78</v>
      </c>
      <c r="I238" s="29" t="s">
        <v>616</v>
      </c>
      <c r="J238" s="32" t="s">
        <v>642</v>
      </c>
      <c r="K238" s="29" t="s">
        <v>698</v>
      </c>
      <c r="L238" s="29" t="s">
        <v>798</v>
      </c>
      <c r="M238" s="33">
        <v>28.914</v>
      </c>
      <c r="N238" s="33">
        <v>-32.22</v>
      </c>
      <c r="O238" s="34" t="s">
        <v>601</v>
      </c>
      <c r="P238" s="32" t="s">
        <v>602</v>
      </c>
      <c r="Q238" s="35">
        <v>10.0</v>
      </c>
      <c r="R238" s="35">
        <v>9.0</v>
      </c>
      <c r="S238" s="36">
        <v>0.8363</v>
      </c>
      <c r="T238" s="36">
        <v>0.6126</v>
      </c>
      <c r="U238" s="36">
        <v>0.6568</v>
      </c>
      <c r="V238" s="36">
        <v>0.7721</v>
      </c>
      <c r="W238" s="37" t="s">
        <v>799</v>
      </c>
      <c r="X238" s="31">
        <v>1.75</v>
      </c>
      <c r="Y238" s="36">
        <v>0.31146417478332733</v>
      </c>
      <c r="Z238" s="36">
        <v>0.23818207569254782</v>
      </c>
      <c r="AA238" s="29" t="s">
        <v>800</v>
      </c>
      <c r="AB238" s="31">
        <v>0.0</v>
      </c>
      <c r="AC238" s="38">
        <v>228.0</v>
      </c>
    </row>
    <row r="239" ht="14.25" customHeight="1">
      <c r="A239" s="29" t="s">
        <v>270</v>
      </c>
      <c r="B239" s="29">
        <v>40.0</v>
      </c>
      <c r="C239" s="29" t="s">
        <v>608</v>
      </c>
      <c r="D239" s="29" t="s">
        <v>811</v>
      </c>
      <c r="E239" s="29">
        <v>183.0</v>
      </c>
      <c r="F239" s="30" t="s">
        <v>812</v>
      </c>
      <c r="G239" s="29" t="s">
        <v>626</v>
      </c>
      <c r="H239" s="31">
        <v>19.5</v>
      </c>
      <c r="I239" s="29" t="s">
        <v>612</v>
      </c>
      <c r="J239" s="32" t="s">
        <v>642</v>
      </c>
      <c r="K239" s="29" t="s">
        <v>698</v>
      </c>
      <c r="L239" s="29" t="s">
        <v>798</v>
      </c>
      <c r="M239" s="33">
        <v>28.914</v>
      </c>
      <c r="N239" s="33">
        <v>-32.22</v>
      </c>
      <c r="O239" s="34" t="s">
        <v>601</v>
      </c>
      <c r="P239" s="32" t="s">
        <v>602</v>
      </c>
      <c r="Q239" s="35">
        <v>4.0</v>
      </c>
      <c r="R239" s="35">
        <v>9.0</v>
      </c>
      <c r="S239" s="36">
        <v>0.0269</v>
      </c>
      <c r="T239" s="36">
        <v>0.2369</v>
      </c>
      <c r="U239" s="36">
        <v>0.0538</v>
      </c>
      <c r="V239" s="36">
        <v>0.3803</v>
      </c>
      <c r="W239" s="37" t="s">
        <v>799</v>
      </c>
      <c r="X239" s="31">
        <v>0.25</v>
      </c>
      <c r="Y239" s="36">
        <v>-2.173242293674385</v>
      </c>
      <c r="Z239" s="36">
        <v>1.286338680907012</v>
      </c>
      <c r="AA239" s="29" t="s">
        <v>800</v>
      </c>
      <c r="AB239" s="31">
        <v>0.0</v>
      </c>
      <c r="AC239" s="38">
        <v>228.0</v>
      </c>
    </row>
    <row r="240" ht="14.25" customHeight="1">
      <c r="A240" s="29" t="s">
        <v>270</v>
      </c>
      <c r="B240" s="29">
        <v>40.0</v>
      </c>
      <c r="C240" s="29" t="s">
        <v>608</v>
      </c>
      <c r="D240" s="29" t="s">
        <v>811</v>
      </c>
      <c r="E240" s="29">
        <v>183.0</v>
      </c>
      <c r="F240" s="30" t="s">
        <v>812</v>
      </c>
      <c r="G240" s="29" t="s">
        <v>626</v>
      </c>
      <c r="H240" s="31">
        <v>19.5</v>
      </c>
      <c r="I240" s="29" t="s">
        <v>612</v>
      </c>
      <c r="J240" s="32" t="s">
        <v>642</v>
      </c>
      <c r="K240" s="29" t="s">
        <v>698</v>
      </c>
      <c r="L240" s="29" t="s">
        <v>798</v>
      </c>
      <c r="M240" s="33">
        <v>28.914</v>
      </c>
      <c r="N240" s="33">
        <v>-32.22</v>
      </c>
      <c r="O240" s="34" t="s">
        <v>601</v>
      </c>
      <c r="P240" s="32" t="s">
        <v>602</v>
      </c>
      <c r="Q240" s="35">
        <v>10.0</v>
      </c>
      <c r="R240" s="35">
        <v>9.0</v>
      </c>
      <c r="S240" s="36">
        <v>0.0835</v>
      </c>
      <c r="T240" s="36">
        <v>0.2369</v>
      </c>
      <c r="U240" s="36">
        <v>0.1784</v>
      </c>
      <c r="V240" s="36">
        <v>0.3803</v>
      </c>
      <c r="W240" s="37" t="s">
        <v>799</v>
      </c>
      <c r="X240" s="31">
        <v>0.75</v>
      </c>
      <c r="Y240" s="36">
        <v>-1.0420597744818765</v>
      </c>
      <c r="Z240" s="36">
        <v>0.7428134200514777</v>
      </c>
      <c r="AA240" s="29" t="s">
        <v>800</v>
      </c>
      <c r="AB240" s="31">
        <v>0.0</v>
      </c>
      <c r="AC240" s="38">
        <v>228.0</v>
      </c>
    </row>
    <row r="241" ht="14.25" customHeight="1">
      <c r="A241" s="29" t="s">
        <v>270</v>
      </c>
      <c r="B241" s="29">
        <v>40.0</v>
      </c>
      <c r="C241" s="29" t="s">
        <v>608</v>
      </c>
      <c r="D241" s="29" t="s">
        <v>811</v>
      </c>
      <c r="E241" s="29">
        <v>183.0</v>
      </c>
      <c r="F241" s="30" t="s">
        <v>812</v>
      </c>
      <c r="G241" s="29" t="s">
        <v>626</v>
      </c>
      <c r="H241" s="31">
        <v>19.5</v>
      </c>
      <c r="I241" s="29" t="s">
        <v>612</v>
      </c>
      <c r="J241" s="32" t="s">
        <v>642</v>
      </c>
      <c r="K241" s="29" t="s">
        <v>698</v>
      </c>
      <c r="L241" s="29" t="s">
        <v>798</v>
      </c>
      <c r="M241" s="33">
        <v>28.914</v>
      </c>
      <c r="N241" s="33">
        <v>-32.22</v>
      </c>
      <c r="O241" s="34" t="s">
        <v>601</v>
      </c>
      <c r="P241" s="32" t="s">
        <v>602</v>
      </c>
      <c r="Q241" s="35">
        <v>4.0</v>
      </c>
      <c r="R241" s="35">
        <v>9.0</v>
      </c>
      <c r="S241" s="36">
        <v>0.7775</v>
      </c>
      <c r="T241" s="36">
        <v>0.2369</v>
      </c>
      <c r="U241" s="36">
        <v>0.3765</v>
      </c>
      <c r="V241" s="36">
        <v>0.3803</v>
      </c>
      <c r="W241" s="37" t="s">
        <v>799</v>
      </c>
      <c r="X241" s="31">
        <v>1.25</v>
      </c>
      <c r="Y241" s="36">
        <v>1.1885241403598272</v>
      </c>
      <c r="Z241" s="36">
        <v>0.3449618341002173</v>
      </c>
      <c r="AA241" s="29" t="s">
        <v>800</v>
      </c>
      <c r="AB241" s="31">
        <v>0.0</v>
      </c>
      <c r="AC241" s="38">
        <v>228.0</v>
      </c>
    </row>
    <row r="242" ht="14.25" customHeight="1">
      <c r="A242" s="29" t="s">
        <v>270</v>
      </c>
      <c r="B242" s="29">
        <v>40.0</v>
      </c>
      <c r="C242" s="29" t="s">
        <v>608</v>
      </c>
      <c r="D242" s="29" t="s">
        <v>811</v>
      </c>
      <c r="E242" s="29">
        <v>183.0</v>
      </c>
      <c r="F242" s="30" t="s">
        <v>812</v>
      </c>
      <c r="G242" s="29" t="s">
        <v>626</v>
      </c>
      <c r="H242" s="31">
        <v>19.5</v>
      </c>
      <c r="I242" s="29" t="s">
        <v>612</v>
      </c>
      <c r="J242" s="32" t="s">
        <v>642</v>
      </c>
      <c r="K242" s="29" t="s">
        <v>698</v>
      </c>
      <c r="L242" s="29" t="s">
        <v>798</v>
      </c>
      <c r="M242" s="33">
        <v>28.914</v>
      </c>
      <c r="N242" s="33">
        <v>-32.22</v>
      </c>
      <c r="O242" s="34" t="s">
        <v>601</v>
      </c>
      <c r="P242" s="32" t="s">
        <v>602</v>
      </c>
      <c r="Q242" s="35">
        <v>10.0</v>
      </c>
      <c r="R242" s="35">
        <v>9.0</v>
      </c>
      <c r="S242" s="36">
        <v>0.1869</v>
      </c>
      <c r="T242" s="36">
        <v>0.2369</v>
      </c>
      <c r="U242" s="36">
        <v>0.2014</v>
      </c>
      <c r="V242" s="36">
        <v>0.3803</v>
      </c>
      <c r="W242" s="37" t="s">
        <v>799</v>
      </c>
      <c r="X242" s="31">
        <v>1.75</v>
      </c>
      <c r="Y242" s="36">
        <v>-0.2367374319114087</v>
      </c>
      <c r="Z242" s="36">
        <v>0.40245689017363334</v>
      </c>
      <c r="AA242" s="29" t="s">
        <v>800</v>
      </c>
      <c r="AB242" s="31">
        <v>0.0</v>
      </c>
      <c r="AC242" s="38">
        <v>228.0</v>
      </c>
    </row>
    <row r="243" ht="14.25" customHeight="1">
      <c r="A243" s="29" t="s">
        <v>270</v>
      </c>
      <c r="B243" s="29">
        <v>40.0</v>
      </c>
      <c r="C243" s="29" t="s">
        <v>608</v>
      </c>
      <c r="D243" s="29" t="s">
        <v>775</v>
      </c>
      <c r="E243" s="29">
        <v>198.0</v>
      </c>
      <c r="F243" s="30" t="s">
        <v>776</v>
      </c>
      <c r="G243" s="29" t="s">
        <v>626</v>
      </c>
      <c r="H243" s="31">
        <v>43.25</v>
      </c>
      <c r="I243" s="29" t="s">
        <v>612</v>
      </c>
      <c r="J243" s="32" t="s">
        <v>642</v>
      </c>
      <c r="K243" s="29" t="s">
        <v>698</v>
      </c>
      <c r="L243" s="29" t="s">
        <v>798</v>
      </c>
      <c r="M243" s="33">
        <v>28.914</v>
      </c>
      <c r="N243" s="33">
        <v>-32.22</v>
      </c>
      <c r="O243" s="34" t="s">
        <v>601</v>
      </c>
      <c r="P243" s="32" t="s">
        <v>602</v>
      </c>
      <c r="Q243" s="35">
        <v>4.0</v>
      </c>
      <c r="R243" s="35">
        <v>9.0</v>
      </c>
      <c r="S243" s="36">
        <v>0.8997</v>
      </c>
      <c r="T243" s="36">
        <v>0.9727</v>
      </c>
      <c r="U243" s="36">
        <v>1.3796</v>
      </c>
      <c r="V243" s="36">
        <v>0.6896</v>
      </c>
      <c r="W243" s="37" t="s">
        <v>799</v>
      </c>
      <c r="X243" s="31">
        <v>0.25</v>
      </c>
      <c r="Y243" s="36">
        <v>-0.07773544293335878</v>
      </c>
      <c r="Z243" s="36">
        <v>0.6436751761132383</v>
      </c>
      <c r="AA243" s="29" t="s">
        <v>800</v>
      </c>
      <c r="AB243" s="31">
        <v>0.0</v>
      </c>
      <c r="AC243" s="38">
        <v>228.0</v>
      </c>
    </row>
    <row r="244" ht="14.25" customHeight="1">
      <c r="A244" s="29" t="s">
        <v>270</v>
      </c>
      <c r="B244" s="29">
        <v>40.0</v>
      </c>
      <c r="C244" s="29" t="s">
        <v>608</v>
      </c>
      <c r="D244" s="29" t="s">
        <v>775</v>
      </c>
      <c r="E244" s="29">
        <v>198.0</v>
      </c>
      <c r="F244" s="30" t="s">
        <v>776</v>
      </c>
      <c r="G244" s="29" t="s">
        <v>626</v>
      </c>
      <c r="H244" s="31">
        <v>43.25</v>
      </c>
      <c r="I244" s="29" t="s">
        <v>612</v>
      </c>
      <c r="J244" s="32" t="s">
        <v>642</v>
      </c>
      <c r="K244" s="29" t="s">
        <v>698</v>
      </c>
      <c r="L244" s="29" t="s">
        <v>798</v>
      </c>
      <c r="M244" s="33">
        <v>28.914</v>
      </c>
      <c r="N244" s="33">
        <v>-32.22</v>
      </c>
      <c r="O244" s="34" t="s">
        <v>601</v>
      </c>
      <c r="P244" s="32" t="s">
        <v>602</v>
      </c>
      <c r="Q244" s="35">
        <v>10.0</v>
      </c>
      <c r="R244" s="35">
        <v>9.0</v>
      </c>
      <c r="S244" s="36">
        <v>1.5349</v>
      </c>
      <c r="T244" s="36">
        <v>0.9727</v>
      </c>
      <c r="U244" s="36">
        <v>2.8328</v>
      </c>
      <c r="V244" s="36">
        <v>0.6896</v>
      </c>
      <c r="W244" s="37" t="s">
        <v>799</v>
      </c>
      <c r="X244" s="31">
        <v>0.75</v>
      </c>
      <c r="Y244" s="36">
        <v>0.45630828706465204</v>
      </c>
      <c r="Z244" s="36">
        <v>0.3964674539301134</v>
      </c>
      <c r="AA244" s="29" t="s">
        <v>800</v>
      </c>
      <c r="AB244" s="31">
        <v>0.0</v>
      </c>
      <c r="AC244" s="38">
        <v>228.0</v>
      </c>
    </row>
    <row r="245" ht="14.25" customHeight="1">
      <c r="A245" s="29" t="s">
        <v>270</v>
      </c>
      <c r="B245" s="29">
        <v>40.0</v>
      </c>
      <c r="C245" s="29" t="s">
        <v>608</v>
      </c>
      <c r="D245" s="29" t="s">
        <v>775</v>
      </c>
      <c r="E245" s="29">
        <v>198.0</v>
      </c>
      <c r="F245" s="30" t="s">
        <v>776</v>
      </c>
      <c r="G245" s="29" t="s">
        <v>626</v>
      </c>
      <c r="H245" s="31">
        <v>43.25</v>
      </c>
      <c r="I245" s="29" t="s">
        <v>612</v>
      </c>
      <c r="J245" s="32" t="s">
        <v>642</v>
      </c>
      <c r="K245" s="29" t="s">
        <v>698</v>
      </c>
      <c r="L245" s="29" t="s">
        <v>798</v>
      </c>
      <c r="M245" s="33">
        <v>28.914</v>
      </c>
      <c r="N245" s="33">
        <v>-32.22</v>
      </c>
      <c r="O245" s="34" t="s">
        <v>601</v>
      </c>
      <c r="P245" s="32" t="s">
        <v>602</v>
      </c>
      <c r="Q245" s="35">
        <v>4.0</v>
      </c>
      <c r="R245" s="35">
        <v>9.0</v>
      </c>
      <c r="S245" s="36">
        <v>1.222</v>
      </c>
      <c r="T245" s="36">
        <v>0.9727</v>
      </c>
      <c r="U245" s="36">
        <v>0.7359</v>
      </c>
      <c r="V245" s="36">
        <v>0.6896</v>
      </c>
      <c r="W245" s="37" t="s">
        <v>799</v>
      </c>
      <c r="X245" s="31">
        <v>1.25</v>
      </c>
      <c r="Y245" s="36">
        <v>0.22837377259542058</v>
      </c>
      <c r="Z245" s="36">
        <v>0.1465103373247128</v>
      </c>
      <c r="AA245" s="29" t="s">
        <v>800</v>
      </c>
      <c r="AB245" s="31">
        <v>0.0</v>
      </c>
      <c r="AC245" s="38">
        <v>228.0</v>
      </c>
    </row>
    <row r="246" ht="14.25" customHeight="1">
      <c r="A246" s="29" t="s">
        <v>270</v>
      </c>
      <c r="B246" s="29">
        <v>40.0</v>
      </c>
      <c r="C246" s="29" t="s">
        <v>608</v>
      </c>
      <c r="D246" s="29" t="s">
        <v>775</v>
      </c>
      <c r="E246" s="29">
        <v>198.0</v>
      </c>
      <c r="F246" s="30" t="s">
        <v>776</v>
      </c>
      <c r="G246" s="29" t="s">
        <v>626</v>
      </c>
      <c r="H246" s="31">
        <v>43.25</v>
      </c>
      <c r="I246" s="29" t="s">
        <v>612</v>
      </c>
      <c r="J246" s="32" t="s">
        <v>642</v>
      </c>
      <c r="K246" s="29" t="s">
        <v>698</v>
      </c>
      <c r="L246" s="29" t="s">
        <v>798</v>
      </c>
      <c r="M246" s="33">
        <v>28.914</v>
      </c>
      <c r="N246" s="33">
        <v>-32.22</v>
      </c>
      <c r="O246" s="34" t="s">
        <v>601</v>
      </c>
      <c r="P246" s="32" t="s">
        <v>602</v>
      </c>
      <c r="Q246" s="35">
        <v>10.0</v>
      </c>
      <c r="R246" s="35">
        <v>9.0</v>
      </c>
      <c r="S246" s="36">
        <v>0.9358</v>
      </c>
      <c r="T246" s="36">
        <v>0.9727</v>
      </c>
      <c r="U246" s="36">
        <v>1.0003</v>
      </c>
      <c r="V246" s="36">
        <v>0.6896</v>
      </c>
      <c r="W246" s="37" t="s">
        <v>799</v>
      </c>
      <c r="X246" s="31">
        <v>1.75</v>
      </c>
      <c r="Y246" s="36">
        <v>-0.03840579621247835</v>
      </c>
      <c r="Z246" s="36">
        <v>0.1701063312055055</v>
      </c>
      <c r="AA246" s="29" t="s">
        <v>800</v>
      </c>
      <c r="AB246" s="31">
        <v>0.0</v>
      </c>
      <c r="AC246" s="38">
        <v>228.0</v>
      </c>
    </row>
    <row r="247" ht="14.25" customHeight="1">
      <c r="A247" s="29" t="s">
        <v>270</v>
      </c>
      <c r="B247" s="29">
        <v>41.0</v>
      </c>
      <c r="C247" s="29" t="s">
        <v>608</v>
      </c>
      <c r="D247" s="29" t="s">
        <v>813</v>
      </c>
      <c r="E247" s="29">
        <v>43.0</v>
      </c>
      <c r="F247" s="30" t="s">
        <v>814</v>
      </c>
      <c r="G247" s="29" t="s">
        <v>638</v>
      </c>
      <c r="H247" s="31">
        <v>2949.99</v>
      </c>
      <c r="I247" s="29" t="s">
        <v>612</v>
      </c>
      <c r="J247" s="32" t="s">
        <v>642</v>
      </c>
      <c r="K247" s="29" t="s">
        <v>698</v>
      </c>
      <c r="L247" s="29" t="s">
        <v>798</v>
      </c>
      <c r="M247" s="33">
        <v>28.848</v>
      </c>
      <c r="N247" s="33">
        <v>-32.272</v>
      </c>
      <c r="O247" s="34" t="s">
        <v>601</v>
      </c>
      <c r="P247" s="32" t="s">
        <v>602</v>
      </c>
      <c r="Q247" s="35">
        <v>8.0</v>
      </c>
      <c r="R247" s="35">
        <v>4.0</v>
      </c>
      <c r="S247" s="36">
        <v>0.0</v>
      </c>
      <c r="T247" s="36">
        <v>0.2629</v>
      </c>
      <c r="U247" s="36">
        <v>0.0</v>
      </c>
      <c r="V247" s="36">
        <v>0.3779</v>
      </c>
      <c r="W247" s="37" t="s">
        <v>799</v>
      </c>
      <c r="X247" s="31">
        <v>0.25</v>
      </c>
      <c r="Y247" s="36">
        <v>-8.262558973010657</v>
      </c>
      <c r="Z247" s="36">
        <v>0.4560509793014255</v>
      </c>
      <c r="AA247" s="29" t="s">
        <v>800</v>
      </c>
      <c r="AB247" s="31">
        <v>7.71007919312</v>
      </c>
      <c r="AC247" s="38">
        <v>315.0</v>
      </c>
    </row>
    <row r="248" ht="14.25" customHeight="1">
      <c r="A248" s="29" t="s">
        <v>270</v>
      </c>
      <c r="B248" s="29">
        <v>41.0</v>
      </c>
      <c r="C248" s="29" t="s">
        <v>608</v>
      </c>
      <c r="D248" s="29" t="s">
        <v>813</v>
      </c>
      <c r="E248" s="29">
        <v>43.0</v>
      </c>
      <c r="F248" s="30" t="s">
        <v>814</v>
      </c>
      <c r="G248" s="29" t="s">
        <v>638</v>
      </c>
      <c r="H248" s="31">
        <v>2949.99</v>
      </c>
      <c r="I248" s="29" t="s">
        <v>612</v>
      </c>
      <c r="J248" s="32" t="s">
        <v>642</v>
      </c>
      <c r="K248" s="29" t="s">
        <v>698</v>
      </c>
      <c r="L248" s="29" t="s">
        <v>798</v>
      </c>
      <c r="M248" s="33">
        <v>28.848</v>
      </c>
      <c r="N248" s="33">
        <v>-32.272</v>
      </c>
      <c r="O248" s="34" t="s">
        <v>601</v>
      </c>
      <c r="P248" s="32" t="s">
        <v>602</v>
      </c>
      <c r="Q248" s="35">
        <v>12.0</v>
      </c>
      <c r="R248" s="35">
        <v>4.0</v>
      </c>
      <c r="S248" s="36">
        <v>0.0033</v>
      </c>
      <c r="T248" s="36">
        <v>0.2629</v>
      </c>
      <c r="U248" s="36">
        <v>0.0115</v>
      </c>
      <c r="V248" s="36">
        <v>0.3779</v>
      </c>
      <c r="W248" s="37" t="s">
        <v>799</v>
      </c>
      <c r="X248" s="31">
        <v>0.75</v>
      </c>
      <c r="Y248" s="36">
        <v>-4.357505807277029</v>
      </c>
      <c r="Z248" s="36">
        <v>1.52856438279408</v>
      </c>
      <c r="AA248" s="29" t="s">
        <v>800</v>
      </c>
      <c r="AB248" s="31">
        <v>7.71007919312</v>
      </c>
      <c r="AC248" s="38">
        <v>315.0</v>
      </c>
    </row>
    <row r="249" ht="14.25" customHeight="1">
      <c r="A249" s="29" t="s">
        <v>270</v>
      </c>
      <c r="B249" s="29">
        <v>41.0</v>
      </c>
      <c r="C249" s="29" t="s">
        <v>608</v>
      </c>
      <c r="D249" s="29" t="s">
        <v>813</v>
      </c>
      <c r="E249" s="29">
        <v>43.0</v>
      </c>
      <c r="F249" s="30" t="s">
        <v>814</v>
      </c>
      <c r="G249" s="29" t="s">
        <v>638</v>
      </c>
      <c r="H249" s="31">
        <v>2949.99</v>
      </c>
      <c r="I249" s="29" t="s">
        <v>612</v>
      </c>
      <c r="J249" s="32" t="s">
        <v>642</v>
      </c>
      <c r="K249" s="29" t="s">
        <v>698</v>
      </c>
      <c r="L249" s="29" t="s">
        <v>798</v>
      </c>
      <c r="M249" s="33">
        <v>28.848</v>
      </c>
      <c r="N249" s="33">
        <v>-32.272</v>
      </c>
      <c r="O249" s="34" t="s">
        <v>601</v>
      </c>
      <c r="P249" s="32" t="s">
        <v>602</v>
      </c>
      <c r="Q249" s="35">
        <v>15.0</v>
      </c>
      <c r="R249" s="35">
        <v>4.0</v>
      </c>
      <c r="S249" s="36">
        <v>0.0</v>
      </c>
      <c r="T249" s="36">
        <v>0.2629</v>
      </c>
      <c r="U249" s="36">
        <v>0.0</v>
      </c>
      <c r="V249" s="36">
        <v>0.3779</v>
      </c>
      <c r="W249" s="37" t="s">
        <v>799</v>
      </c>
      <c r="X249" s="31">
        <v>1.25</v>
      </c>
      <c r="Y249" s="36">
        <v>-8.262558973010657</v>
      </c>
      <c r="Z249" s="36">
        <v>0.39771764596809217</v>
      </c>
      <c r="AA249" s="29" t="s">
        <v>800</v>
      </c>
      <c r="AB249" s="31">
        <v>7.71007919312</v>
      </c>
      <c r="AC249" s="38">
        <v>315.0</v>
      </c>
    </row>
    <row r="250" ht="14.25" customHeight="1">
      <c r="A250" s="29" t="s">
        <v>270</v>
      </c>
      <c r="B250" s="29">
        <v>41.0</v>
      </c>
      <c r="C250" s="29" t="s">
        <v>608</v>
      </c>
      <c r="D250" s="29" t="s">
        <v>813</v>
      </c>
      <c r="E250" s="29">
        <v>43.0</v>
      </c>
      <c r="F250" s="30" t="s">
        <v>814</v>
      </c>
      <c r="G250" s="29" t="s">
        <v>638</v>
      </c>
      <c r="H250" s="31">
        <v>2949.99</v>
      </c>
      <c r="I250" s="29" t="s">
        <v>612</v>
      </c>
      <c r="J250" s="32" t="s">
        <v>642</v>
      </c>
      <c r="K250" s="29" t="s">
        <v>698</v>
      </c>
      <c r="L250" s="29" t="s">
        <v>798</v>
      </c>
      <c r="M250" s="33">
        <v>28.848</v>
      </c>
      <c r="N250" s="33">
        <v>-32.272</v>
      </c>
      <c r="O250" s="34" t="s">
        <v>601</v>
      </c>
      <c r="P250" s="32" t="s">
        <v>602</v>
      </c>
      <c r="Q250" s="35">
        <v>4.0</v>
      </c>
      <c r="R250" s="35">
        <v>4.0</v>
      </c>
      <c r="S250" s="36">
        <v>0.1168</v>
      </c>
      <c r="T250" s="36">
        <v>0.2629</v>
      </c>
      <c r="U250" s="36">
        <v>0.173</v>
      </c>
      <c r="V250" s="36">
        <v>0.3779</v>
      </c>
      <c r="W250" s="37" t="s">
        <v>799</v>
      </c>
      <c r="X250" s="31">
        <v>1.75</v>
      </c>
      <c r="Y250" s="36">
        <v>-0.8107301136474562</v>
      </c>
      <c r="Z250" s="36">
        <v>1.0650122853810677</v>
      </c>
      <c r="AA250" s="29" t="s">
        <v>800</v>
      </c>
      <c r="AB250" s="31">
        <v>7.71007919312</v>
      </c>
      <c r="AC250" s="38">
        <v>315.0</v>
      </c>
    </row>
    <row r="251" ht="14.25" customHeight="1">
      <c r="A251" s="29" t="s">
        <v>270</v>
      </c>
      <c r="B251" s="29">
        <v>41.0</v>
      </c>
      <c r="C251" s="29" t="s">
        <v>608</v>
      </c>
      <c r="D251" s="29" t="s">
        <v>813</v>
      </c>
      <c r="E251" s="29">
        <v>43.0</v>
      </c>
      <c r="F251" s="30" t="s">
        <v>814</v>
      </c>
      <c r="G251" s="29" t="s">
        <v>638</v>
      </c>
      <c r="H251" s="31">
        <v>2949.99</v>
      </c>
      <c r="I251" s="29" t="s">
        <v>612</v>
      </c>
      <c r="J251" s="32" t="s">
        <v>642</v>
      </c>
      <c r="K251" s="29" t="s">
        <v>698</v>
      </c>
      <c r="L251" s="29" t="s">
        <v>798</v>
      </c>
      <c r="M251" s="33">
        <v>28.848</v>
      </c>
      <c r="N251" s="33">
        <v>-32.272</v>
      </c>
      <c r="O251" s="34" t="s">
        <v>601</v>
      </c>
      <c r="P251" s="32" t="s">
        <v>602</v>
      </c>
      <c r="Q251" s="35">
        <v>3.0</v>
      </c>
      <c r="R251" s="35">
        <v>4.0</v>
      </c>
      <c r="S251" s="36">
        <v>1.1111</v>
      </c>
      <c r="T251" s="36">
        <v>0.2629</v>
      </c>
      <c r="U251" s="36">
        <v>1.9245</v>
      </c>
      <c r="V251" s="36">
        <v>0.3779</v>
      </c>
      <c r="W251" s="37" t="s">
        <v>799</v>
      </c>
      <c r="X251" s="31">
        <v>2.25</v>
      </c>
      <c r="Y251" s="36">
        <v>1.4413931064930225</v>
      </c>
      <c r="Z251" s="36">
        <v>1.5165693703795355</v>
      </c>
      <c r="AA251" s="29" t="s">
        <v>800</v>
      </c>
      <c r="AB251" s="31">
        <v>7.71007919312</v>
      </c>
      <c r="AC251" s="38">
        <v>315.0</v>
      </c>
    </row>
    <row r="252" ht="14.25" customHeight="1">
      <c r="A252" s="29" t="s">
        <v>270</v>
      </c>
      <c r="B252" s="29">
        <v>41.0</v>
      </c>
      <c r="C252" s="29" t="s">
        <v>608</v>
      </c>
      <c r="D252" s="29" t="s">
        <v>801</v>
      </c>
      <c r="E252" s="29">
        <v>53.0</v>
      </c>
      <c r="F252" s="30" t="s">
        <v>802</v>
      </c>
      <c r="G252" s="29" t="s">
        <v>611</v>
      </c>
      <c r="H252" s="31">
        <v>4.16</v>
      </c>
      <c r="I252" s="29" t="s">
        <v>616</v>
      </c>
      <c r="J252" s="32" t="s">
        <v>642</v>
      </c>
      <c r="K252" s="29" t="s">
        <v>698</v>
      </c>
      <c r="L252" s="29" t="s">
        <v>798</v>
      </c>
      <c r="M252" s="33">
        <v>28.848</v>
      </c>
      <c r="N252" s="33">
        <v>-32.272</v>
      </c>
      <c r="O252" s="34" t="s">
        <v>601</v>
      </c>
      <c r="P252" s="32" t="s">
        <v>602</v>
      </c>
      <c r="Q252" s="35">
        <v>8.0</v>
      </c>
      <c r="R252" s="35">
        <v>4.0</v>
      </c>
      <c r="S252" s="36">
        <v>0.0208</v>
      </c>
      <c r="T252" s="36">
        <v>0.0185</v>
      </c>
      <c r="U252" s="36">
        <v>0.0589</v>
      </c>
      <c r="V252" s="36">
        <v>0.037</v>
      </c>
      <c r="W252" s="37" t="s">
        <v>799</v>
      </c>
      <c r="X252" s="31">
        <v>0.25</v>
      </c>
      <c r="Y252" s="36">
        <v>0.11741169761702774</v>
      </c>
      <c r="Z252" s="36">
        <v>2.0023373936760356</v>
      </c>
      <c r="AA252" s="29" t="s">
        <v>800</v>
      </c>
      <c r="AB252" s="31">
        <v>7.71007919312</v>
      </c>
      <c r="AC252" s="38">
        <v>315.0</v>
      </c>
    </row>
    <row r="253" ht="14.25" customHeight="1">
      <c r="A253" s="29" t="s">
        <v>270</v>
      </c>
      <c r="B253" s="29">
        <v>41.0</v>
      </c>
      <c r="C253" s="29" t="s">
        <v>608</v>
      </c>
      <c r="D253" s="29" t="s">
        <v>801</v>
      </c>
      <c r="E253" s="29">
        <v>53.0</v>
      </c>
      <c r="F253" s="30" t="s">
        <v>802</v>
      </c>
      <c r="G253" s="29" t="s">
        <v>611</v>
      </c>
      <c r="H253" s="31">
        <v>4.16</v>
      </c>
      <c r="I253" s="29" t="s">
        <v>616</v>
      </c>
      <c r="J253" s="32" t="s">
        <v>642</v>
      </c>
      <c r="K253" s="29" t="s">
        <v>698</v>
      </c>
      <c r="L253" s="29" t="s">
        <v>798</v>
      </c>
      <c r="M253" s="33">
        <v>28.848</v>
      </c>
      <c r="N253" s="33">
        <v>-32.272</v>
      </c>
      <c r="O253" s="34" t="s">
        <v>601</v>
      </c>
      <c r="P253" s="32" t="s">
        <v>602</v>
      </c>
      <c r="Q253" s="35">
        <v>12.0</v>
      </c>
      <c r="R253" s="35">
        <v>4.0</v>
      </c>
      <c r="S253" s="36">
        <v>0.0085</v>
      </c>
      <c r="T253" s="36">
        <v>0.0185</v>
      </c>
      <c r="U253" s="36">
        <v>0.0296</v>
      </c>
      <c r="V253" s="36">
        <v>0.037</v>
      </c>
      <c r="W253" s="37" t="s">
        <v>799</v>
      </c>
      <c r="X253" s="31">
        <v>0.75</v>
      </c>
      <c r="Y253" s="36">
        <v>-0.777143201264567</v>
      </c>
      <c r="Z253" s="36">
        <v>2.0105651672433678</v>
      </c>
      <c r="AA253" s="29" t="s">
        <v>800</v>
      </c>
      <c r="AB253" s="31">
        <v>7.71007919312</v>
      </c>
      <c r="AC253" s="38">
        <v>315.0</v>
      </c>
    </row>
    <row r="254" ht="14.25" customHeight="1">
      <c r="A254" s="29" t="s">
        <v>270</v>
      </c>
      <c r="B254" s="29">
        <v>41.0</v>
      </c>
      <c r="C254" s="29" t="s">
        <v>608</v>
      </c>
      <c r="D254" s="29" t="s">
        <v>801</v>
      </c>
      <c r="E254" s="29">
        <v>53.0</v>
      </c>
      <c r="F254" s="30" t="s">
        <v>802</v>
      </c>
      <c r="G254" s="29" t="s">
        <v>611</v>
      </c>
      <c r="H254" s="31">
        <v>4.16</v>
      </c>
      <c r="I254" s="29" t="s">
        <v>616</v>
      </c>
      <c r="J254" s="32" t="s">
        <v>642</v>
      </c>
      <c r="K254" s="29" t="s">
        <v>698</v>
      </c>
      <c r="L254" s="29" t="s">
        <v>798</v>
      </c>
      <c r="M254" s="33">
        <v>28.848</v>
      </c>
      <c r="N254" s="33">
        <v>-32.272</v>
      </c>
      <c r="O254" s="34" t="s">
        <v>601</v>
      </c>
      <c r="P254" s="32" t="s">
        <v>602</v>
      </c>
      <c r="Q254" s="35">
        <v>15.0</v>
      </c>
      <c r="R254" s="35">
        <v>4.0</v>
      </c>
      <c r="S254" s="36">
        <v>0.0096</v>
      </c>
      <c r="T254" s="36">
        <v>0.0185</v>
      </c>
      <c r="U254" s="36">
        <v>0.0373</v>
      </c>
      <c r="V254" s="36">
        <v>0.037</v>
      </c>
      <c r="W254" s="37" t="s">
        <v>799</v>
      </c>
      <c r="X254" s="31">
        <v>1.25</v>
      </c>
      <c r="Y254" s="36">
        <v>-0.6555105736427329</v>
      </c>
      <c r="Z254" s="36">
        <v>2.0064308449074075</v>
      </c>
      <c r="AA254" s="29" t="s">
        <v>800</v>
      </c>
      <c r="AB254" s="31">
        <v>7.71007919312</v>
      </c>
      <c r="AC254" s="38">
        <v>315.0</v>
      </c>
    </row>
    <row r="255" ht="14.25" customHeight="1">
      <c r="A255" s="29" t="s">
        <v>270</v>
      </c>
      <c r="B255" s="29">
        <v>41.0</v>
      </c>
      <c r="C255" s="29" t="s">
        <v>608</v>
      </c>
      <c r="D255" s="29" t="s">
        <v>801</v>
      </c>
      <c r="E255" s="29">
        <v>53.0</v>
      </c>
      <c r="F255" s="30" t="s">
        <v>802</v>
      </c>
      <c r="G255" s="29" t="s">
        <v>611</v>
      </c>
      <c r="H255" s="31">
        <v>4.16</v>
      </c>
      <c r="I255" s="29" t="s">
        <v>616</v>
      </c>
      <c r="J255" s="32" t="s">
        <v>642</v>
      </c>
      <c r="K255" s="29" t="s">
        <v>698</v>
      </c>
      <c r="L255" s="29" t="s">
        <v>798</v>
      </c>
      <c r="M255" s="33">
        <v>28.848</v>
      </c>
      <c r="N255" s="33">
        <v>-32.272</v>
      </c>
      <c r="O255" s="34" t="s">
        <v>601</v>
      </c>
      <c r="P255" s="32" t="s">
        <v>602</v>
      </c>
      <c r="Q255" s="35">
        <v>4.0</v>
      </c>
      <c r="R255" s="35">
        <v>4.0</v>
      </c>
      <c r="S255" s="36">
        <v>0.0</v>
      </c>
      <c r="T255" s="36">
        <v>0.0185</v>
      </c>
      <c r="U255" s="36">
        <v>0.0</v>
      </c>
      <c r="V255" s="36">
        <v>0.037</v>
      </c>
      <c r="W255" s="37" t="s">
        <v>799</v>
      </c>
      <c r="X255" s="31">
        <v>1.75</v>
      </c>
      <c r="Y255" s="36">
        <v>-8.262558973010657</v>
      </c>
      <c r="Z255" s="36">
        <v>0.5181581857018382</v>
      </c>
      <c r="AA255" s="29" t="s">
        <v>800</v>
      </c>
      <c r="AB255" s="31">
        <v>7.71007919312</v>
      </c>
      <c r="AC255" s="38">
        <v>315.0</v>
      </c>
    </row>
    <row r="256" ht="14.25" customHeight="1">
      <c r="A256" s="29" t="s">
        <v>270</v>
      </c>
      <c r="B256" s="29">
        <v>41.0</v>
      </c>
      <c r="C256" s="29" t="s">
        <v>608</v>
      </c>
      <c r="D256" s="29" t="s">
        <v>801</v>
      </c>
      <c r="E256" s="29">
        <v>53.0</v>
      </c>
      <c r="F256" s="30" t="s">
        <v>802</v>
      </c>
      <c r="G256" s="29" t="s">
        <v>611</v>
      </c>
      <c r="H256" s="31">
        <v>4.16</v>
      </c>
      <c r="I256" s="29" t="s">
        <v>616</v>
      </c>
      <c r="J256" s="32" t="s">
        <v>642</v>
      </c>
      <c r="K256" s="29" t="s">
        <v>698</v>
      </c>
      <c r="L256" s="29" t="s">
        <v>798</v>
      </c>
      <c r="M256" s="33">
        <v>28.848</v>
      </c>
      <c r="N256" s="33">
        <v>-32.272</v>
      </c>
      <c r="O256" s="34" t="s">
        <v>601</v>
      </c>
      <c r="P256" s="32" t="s">
        <v>602</v>
      </c>
      <c r="Q256" s="35">
        <v>3.0</v>
      </c>
      <c r="R256" s="35">
        <v>4.0</v>
      </c>
      <c r="S256" s="36">
        <v>0.0</v>
      </c>
      <c r="T256" s="36">
        <v>0.0185</v>
      </c>
      <c r="U256" s="36">
        <v>0.0</v>
      </c>
      <c r="V256" s="36">
        <v>0.037</v>
      </c>
      <c r="W256" s="37" t="s">
        <v>799</v>
      </c>
      <c r="X256" s="31">
        <v>2.25</v>
      </c>
      <c r="Y256" s="36">
        <v>-8.262558973010657</v>
      </c>
      <c r="Z256" s="36">
        <v>0.6014915190351715</v>
      </c>
      <c r="AA256" s="29" t="s">
        <v>800</v>
      </c>
      <c r="AB256" s="31">
        <v>7.71007919312</v>
      </c>
      <c r="AC256" s="38">
        <v>315.0</v>
      </c>
    </row>
    <row r="257" ht="14.25" customHeight="1">
      <c r="A257" s="29" t="s">
        <v>270</v>
      </c>
      <c r="B257" s="29">
        <v>41.0</v>
      </c>
      <c r="C257" s="29" t="s">
        <v>608</v>
      </c>
      <c r="D257" s="29" t="s">
        <v>803</v>
      </c>
      <c r="E257" s="29">
        <v>60.0</v>
      </c>
      <c r="F257" s="30" t="s">
        <v>804</v>
      </c>
      <c r="G257" s="29" t="s">
        <v>626</v>
      </c>
      <c r="H257" s="31">
        <v>180.0</v>
      </c>
      <c r="I257" s="29" t="s">
        <v>612</v>
      </c>
      <c r="J257" s="32" t="s">
        <v>642</v>
      </c>
      <c r="K257" s="29" t="s">
        <v>698</v>
      </c>
      <c r="L257" s="29" t="s">
        <v>798</v>
      </c>
      <c r="M257" s="33">
        <v>28.848</v>
      </c>
      <c r="N257" s="33">
        <v>-32.272</v>
      </c>
      <c r="O257" s="34" t="s">
        <v>601</v>
      </c>
      <c r="P257" s="32" t="s">
        <v>602</v>
      </c>
      <c r="Q257" s="35">
        <v>8.0</v>
      </c>
      <c r="R257" s="35">
        <v>4.0</v>
      </c>
      <c r="S257" s="36">
        <v>0.017</v>
      </c>
      <c r="T257" s="36">
        <v>1.1875</v>
      </c>
      <c r="U257" s="36">
        <v>0.0481</v>
      </c>
      <c r="V257" s="36">
        <v>2.375</v>
      </c>
      <c r="W257" s="37" t="s">
        <v>799</v>
      </c>
      <c r="X257" s="31">
        <v>0.25</v>
      </c>
      <c r="Y257" s="36">
        <v>-4.228530746796611</v>
      </c>
      <c r="Z257" s="36">
        <v>2.000696366782007</v>
      </c>
      <c r="AA257" s="29" t="s">
        <v>800</v>
      </c>
      <c r="AB257" s="31">
        <v>7.71007919312</v>
      </c>
      <c r="AC257" s="38">
        <v>315.0</v>
      </c>
    </row>
    <row r="258" ht="14.25" customHeight="1">
      <c r="A258" s="29" t="s">
        <v>270</v>
      </c>
      <c r="B258" s="29">
        <v>41.0</v>
      </c>
      <c r="C258" s="29" t="s">
        <v>608</v>
      </c>
      <c r="D258" s="29" t="s">
        <v>803</v>
      </c>
      <c r="E258" s="29">
        <v>60.0</v>
      </c>
      <c r="F258" s="30" t="s">
        <v>804</v>
      </c>
      <c r="G258" s="29" t="s">
        <v>626</v>
      </c>
      <c r="H258" s="31">
        <v>180.0</v>
      </c>
      <c r="I258" s="29" t="s">
        <v>612</v>
      </c>
      <c r="J258" s="32" t="s">
        <v>642</v>
      </c>
      <c r="K258" s="29" t="s">
        <v>698</v>
      </c>
      <c r="L258" s="29" t="s">
        <v>798</v>
      </c>
      <c r="M258" s="33">
        <v>28.848</v>
      </c>
      <c r="N258" s="33">
        <v>-32.272</v>
      </c>
      <c r="O258" s="34" t="s">
        <v>601</v>
      </c>
      <c r="P258" s="32" t="s">
        <v>602</v>
      </c>
      <c r="Q258" s="35">
        <v>12.0</v>
      </c>
      <c r="R258" s="35">
        <v>4.0</v>
      </c>
      <c r="S258" s="36">
        <v>0.0594</v>
      </c>
      <c r="T258" s="36">
        <v>1.1875</v>
      </c>
      <c r="U258" s="36">
        <v>0.2058</v>
      </c>
      <c r="V258" s="36">
        <v>2.375</v>
      </c>
      <c r="W258" s="37" t="s">
        <v>799</v>
      </c>
      <c r="X258" s="31">
        <v>0.75</v>
      </c>
      <c r="Y258" s="36">
        <v>-2.990166778342204</v>
      </c>
      <c r="Z258" s="36">
        <v>2.0003145937489375</v>
      </c>
      <c r="AA258" s="29" t="s">
        <v>800</v>
      </c>
      <c r="AB258" s="31">
        <v>7.71007919312</v>
      </c>
      <c r="AC258" s="38">
        <v>315.0</v>
      </c>
    </row>
    <row r="259" ht="14.25" customHeight="1">
      <c r="A259" s="29" t="s">
        <v>270</v>
      </c>
      <c r="B259" s="29">
        <v>41.0</v>
      </c>
      <c r="C259" s="29" t="s">
        <v>608</v>
      </c>
      <c r="D259" s="29" t="s">
        <v>803</v>
      </c>
      <c r="E259" s="29">
        <v>60.0</v>
      </c>
      <c r="F259" s="30" t="s">
        <v>804</v>
      </c>
      <c r="G259" s="29" t="s">
        <v>626</v>
      </c>
      <c r="H259" s="31">
        <v>180.0</v>
      </c>
      <c r="I259" s="29" t="s">
        <v>612</v>
      </c>
      <c r="J259" s="32" t="s">
        <v>642</v>
      </c>
      <c r="K259" s="29" t="s">
        <v>698</v>
      </c>
      <c r="L259" s="29" t="s">
        <v>798</v>
      </c>
      <c r="M259" s="33">
        <v>28.848</v>
      </c>
      <c r="N259" s="33">
        <v>-32.272</v>
      </c>
      <c r="O259" s="34" t="s">
        <v>601</v>
      </c>
      <c r="P259" s="32" t="s">
        <v>602</v>
      </c>
      <c r="Q259" s="35">
        <v>15.0</v>
      </c>
      <c r="R259" s="35">
        <v>4.0</v>
      </c>
      <c r="S259" s="36">
        <v>0.0529</v>
      </c>
      <c r="T259" s="36">
        <v>1.1875</v>
      </c>
      <c r="U259" s="36">
        <v>0.2049</v>
      </c>
      <c r="V259" s="36">
        <v>2.375</v>
      </c>
      <c r="W259" s="37" t="s">
        <v>799</v>
      </c>
      <c r="X259" s="31">
        <v>1.25</v>
      </c>
      <c r="Y259" s="36">
        <v>-3.105427361978811</v>
      </c>
      <c r="Z259" s="36">
        <v>2.000187249187932</v>
      </c>
      <c r="AA259" s="29" t="s">
        <v>800</v>
      </c>
      <c r="AB259" s="31">
        <v>7.71007919312</v>
      </c>
      <c r="AC259" s="38">
        <v>315.0</v>
      </c>
    </row>
    <row r="260" ht="14.25" customHeight="1">
      <c r="A260" s="29" t="s">
        <v>270</v>
      </c>
      <c r="B260" s="29">
        <v>41.0</v>
      </c>
      <c r="C260" s="29" t="s">
        <v>608</v>
      </c>
      <c r="D260" s="29" t="s">
        <v>803</v>
      </c>
      <c r="E260" s="29">
        <v>60.0</v>
      </c>
      <c r="F260" s="30" t="s">
        <v>804</v>
      </c>
      <c r="G260" s="29" t="s">
        <v>626</v>
      </c>
      <c r="H260" s="31">
        <v>180.0</v>
      </c>
      <c r="I260" s="29" t="s">
        <v>612</v>
      </c>
      <c r="J260" s="32" t="s">
        <v>642</v>
      </c>
      <c r="K260" s="29" t="s">
        <v>698</v>
      </c>
      <c r="L260" s="29" t="s">
        <v>798</v>
      </c>
      <c r="M260" s="33">
        <v>28.848</v>
      </c>
      <c r="N260" s="33">
        <v>-32.272</v>
      </c>
      <c r="O260" s="34" t="s">
        <v>601</v>
      </c>
      <c r="P260" s="32" t="s">
        <v>602</v>
      </c>
      <c r="Q260" s="35">
        <v>4.0</v>
      </c>
      <c r="R260" s="35">
        <v>4.0</v>
      </c>
      <c r="S260" s="36">
        <v>0.2413</v>
      </c>
      <c r="T260" s="36">
        <v>1.1875</v>
      </c>
      <c r="U260" s="36">
        <v>0.4826</v>
      </c>
      <c r="V260" s="36">
        <v>2.375</v>
      </c>
      <c r="W260" s="37" t="s">
        <v>799</v>
      </c>
      <c r="X260" s="31">
        <v>1.75</v>
      </c>
      <c r="Y260" s="36">
        <v>-1.592295693751371</v>
      </c>
      <c r="Z260" s="36">
        <v>2.0</v>
      </c>
      <c r="AA260" s="29" t="s">
        <v>800</v>
      </c>
      <c r="AB260" s="31">
        <v>7.71007919312</v>
      </c>
      <c r="AC260" s="38">
        <v>315.0</v>
      </c>
    </row>
    <row r="261" ht="14.25" customHeight="1">
      <c r="A261" s="29" t="s">
        <v>270</v>
      </c>
      <c r="B261" s="29">
        <v>41.0</v>
      </c>
      <c r="C261" s="29" t="s">
        <v>608</v>
      </c>
      <c r="D261" s="29" t="s">
        <v>803</v>
      </c>
      <c r="E261" s="29">
        <v>60.0</v>
      </c>
      <c r="F261" s="30" t="s">
        <v>804</v>
      </c>
      <c r="G261" s="29" t="s">
        <v>626</v>
      </c>
      <c r="H261" s="31">
        <v>180.0</v>
      </c>
      <c r="I261" s="29" t="s">
        <v>612</v>
      </c>
      <c r="J261" s="32" t="s">
        <v>642</v>
      </c>
      <c r="K261" s="29" t="s">
        <v>698</v>
      </c>
      <c r="L261" s="29" t="s">
        <v>798</v>
      </c>
      <c r="M261" s="33">
        <v>28.848</v>
      </c>
      <c r="N261" s="33">
        <v>-32.272</v>
      </c>
      <c r="O261" s="34" t="s">
        <v>601</v>
      </c>
      <c r="P261" s="32" t="s">
        <v>602</v>
      </c>
      <c r="Q261" s="35">
        <v>3.0</v>
      </c>
      <c r="R261" s="35">
        <v>4.0</v>
      </c>
      <c r="S261" s="36">
        <v>0.0</v>
      </c>
      <c r="T261" s="36">
        <v>1.1875</v>
      </c>
      <c r="U261" s="36">
        <v>0.0</v>
      </c>
      <c r="V261" s="36">
        <v>2.375</v>
      </c>
      <c r="W261" s="37" t="s">
        <v>799</v>
      </c>
      <c r="X261" s="31">
        <v>2.25</v>
      </c>
      <c r="Y261" s="36">
        <v>-8.262558973010657</v>
      </c>
      <c r="Z261" s="36">
        <v>1.0589849108367626</v>
      </c>
      <c r="AA261" s="29" t="s">
        <v>800</v>
      </c>
      <c r="AB261" s="31">
        <v>7.71007919312</v>
      </c>
      <c r="AC261" s="38">
        <v>315.0</v>
      </c>
    </row>
    <row r="262" ht="14.25" customHeight="1">
      <c r="A262" s="29" t="s">
        <v>270</v>
      </c>
      <c r="B262" s="29">
        <v>41.0</v>
      </c>
      <c r="C262" s="29" t="s">
        <v>608</v>
      </c>
      <c r="D262" s="29" t="s">
        <v>805</v>
      </c>
      <c r="E262" s="29">
        <v>64.0</v>
      </c>
      <c r="F262" s="30" t="s">
        <v>806</v>
      </c>
      <c r="G262" s="29" t="s">
        <v>615</v>
      </c>
      <c r="H262" s="31">
        <v>0.07</v>
      </c>
      <c r="I262" s="29" t="s">
        <v>616</v>
      </c>
      <c r="J262" s="32" t="s">
        <v>642</v>
      </c>
      <c r="K262" s="29" t="s">
        <v>698</v>
      </c>
      <c r="L262" s="29" t="s">
        <v>798</v>
      </c>
      <c r="M262" s="33">
        <v>28.848</v>
      </c>
      <c r="N262" s="33">
        <v>-32.272</v>
      </c>
      <c r="O262" s="34" t="s">
        <v>601</v>
      </c>
      <c r="P262" s="32" t="s">
        <v>602</v>
      </c>
      <c r="Q262" s="35">
        <v>8.0</v>
      </c>
      <c r="R262" s="35">
        <v>4.0</v>
      </c>
      <c r="S262" s="36">
        <v>1.3079</v>
      </c>
      <c r="T262" s="36">
        <v>0.1676</v>
      </c>
      <c r="U262" s="36">
        <v>0.9513</v>
      </c>
      <c r="V262" s="36">
        <v>0.2057</v>
      </c>
      <c r="W262" s="37" t="s">
        <v>799</v>
      </c>
      <c r="X262" s="31">
        <v>0.25</v>
      </c>
      <c r="Y262" s="36">
        <v>2.0546309488793484</v>
      </c>
      <c r="Z262" s="36">
        <v>0.44271247693807136</v>
      </c>
      <c r="AA262" s="29" t="s">
        <v>800</v>
      </c>
      <c r="AB262" s="31">
        <v>7.71007919312</v>
      </c>
      <c r="AC262" s="38">
        <v>315.0</v>
      </c>
    </row>
    <row r="263" ht="14.25" customHeight="1">
      <c r="A263" s="29" t="s">
        <v>270</v>
      </c>
      <c r="B263" s="29">
        <v>41.0</v>
      </c>
      <c r="C263" s="29" t="s">
        <v>608</v>
      </c>
      <c r="D263" s="29" t="s">
        <v>805</v>
      </c>
      <c r="E263" s="29">
        <v>64.0</v>
      </c>
      <c r="F263" s="30" t="s">
        <v>806</v>
      </c>
      <c r="G263" s="29" t="s">
        <v>615</v>
      </c>
      <c r="H263" s="31">
        <v>0.07</v>
      </c>
      <c r="I263" s="29" t="s">
        <v>616</v>
      </c>
      <c r="J263" s="32" t="s">
        <v>642</v>
      </c>
      <c r="K263" s="29" t="s">
        <v>698</v>
      </c>
      <c r="L263" s="29" t="s">
        <v>798</v>
      </c>
      <c r="M263" s="33">
        <v>28.848</v>
      </c>
      <c r="N263" s="33">
        <v>-32.272</v>
      </c>
      <c r="O263" s="34" t="s">
        <v>601</v>
      </c>
      <c r="P263" s="32" t="s">
        <v>602</v>
      </c>
      <c r="Q263" s="35">
        <v>12.0</v>
      </c>
      <c r="R263" s="35">
        <v>4.0</v>
      </c>
      <c r="S263" s="36">
        <v>1.739</v>
      </c>
      <c r="T263" s="36">
        <v>0.1676</v>
      </c>
      <c r="U263" s="36">
        <v>2.6915</v>
      </c>
      <c r="V263" s="36">
        <v>0.2057</v>
      </c>
      <c r="W263" s="37" t="s">
        <v>799</v>
      </c>
      <c r="X263" s="31">
        <v>0.75</v>
      </c>
      <c r="Y263" s="36">
        <v>2.339510191123147</v>
      </c>
      <c r="Z263" s="36">
        <v>0.5762048518796714</v>
      </c>
      <c r="AA263" s="29" t="s">
        <v>800</v>
      </c>
      <c r="AB263" s="31">
        <v>7.71007919312</v>
      </c>
      <c r="AC263" s="38">
        <v>315.0</v>
      </c>
    </row>
    <row r="264" ht="14.25" customHeight="1">
      <c r="A264" s="29" t="s">
        <v>270</v>
      </c>
      <c r="B264" s="29">
        <v>41.0</v>
      </c>
      <c r="C264" s="29" t="s">
        <v>608</v>
      </c>
      <c r="D264" s="29" t="s">
        <v>805</v>
      </c>
      <c r="E264" s="29">
        <v>64.0</v>
      </c>
      <c r="F264" s="30" t="s">
        <v>806</v>
      </c>
      <c r="G264" s="29" t="s">
        <v>615</v>
      </c>
      <c r="H264" s="31">
        <v>0.07</v>
      </c>
      <c r="I264" s="29" t="s">
        <v>616</v>
      </c>
      <c r="J264" s="32" t="s">
        <v>642</v>
      </c>
      <c r="K264" s="29" t="s">
        <v>698</v>
      </c>
      <c r="L264" s="29" t="s">
        <v>798</v>
      </c>
      <c r="M264" s="33">
        <v>28.848</v>
      </c>
      <c r="N264" s="33">
        <v>-32.272</v>
      </c>
      <c r="O264" s="34" t="s">
        <v>601</v>
      </c>
      <c r="P264" s="32" t="s">
        <v>602</v>
      </c>
      <c r="Q264" s="35">
        <v>15.0</v>
      </c>
      <c r="R264" s="35">
        <v>4.0</v>
      </c>
      <c r="S264" s="36">
        <v>1.4926</v>
      </c>
      <c r="T264" s="36">
        <v>0.1676</v>
      </c>
      <c r="U264" s="36">
        <v>2.4068</v>
      </c>
      <c r="V264" s="36">
        <v>0.2057</v>
      </c>
      <c r="W264" s="37" t="s">
        <v>799</v>
      </c>
      <c r="X264" s="31">
        <v>1.25</v>
      </c>
      <c r="Y264" s="36">
        <v>2.1867236261171814</v>
      </c>
      <c r="Z264" s="36">
        <v>0.5499241014326078</v>
      </c>
      <c r="AA264" s="29" t="s">
        <v>800</v>
      </c>
      <c r="AB264" s="31">
        <v>7.71007919312</v>
      </c>
      <c r="AC264" s="38">
        <v>315.0</v>
      </c>
    </row>
    <row r="265" ht="14.25" customHeight="1">
      <c r="A265" s="29" t="s">
        <v>270</v>
      </c>
      <c r="B265" s="29">
        <v>41.0</v>
      </c>
      <c r="C265" s="29" t="s">
        <v>608</v>
      </c>
      <c r="D265" s="29" t="s">
        <v>805</v>
      </c>
      <c r="E265" s="29">
        <v>64.0</v>
      </c>
      <c r="F265" s="30" t="s">
        <v>806</v>
      </c>
      <c r="G265" s="29" t="s">
        <v>615</v>
      </c>
      <c r="H265" s="31">
        <v>0.07</v>
      </c>
      <c r="I265" s="29" t="s">
        <v>616</v>
      </c>
      <c r="J265" s="32" t="s">
        <v>642</v>
      </c>
      <c r="K265" s="29" t="s">
        <v>698</v>
      </c>
      <c r="L265" s="29" t="s">
        <v>798</v>
      </c>
      <c r="M265" s="33">
        <v>28.848</v>
      </c>
      <c r="N265" s="33">
        <v>-32.272</v>
      </c>
      <c r="O265" s="34" t="s">
        <v>601</v>
      </c>
      <c r="P265" s="32" t="s">
        <v>602</v>
      </c>
      <c r="Q265" s="35">
        <v>4.0</v>
      </c>
      <c r="R265" s="35">
        <v>4.0</v>
      </c>
      <c r="S265" s="36">
        <v>0.5436</v>
      </c>
      <c r="T265" s="36">
        <v>0.1676</v>
      </c>
      <c r="U265" s="36">
        <v>0.6488</v>
      </c>
      <c r="V265" s="36">
        <v>0.2057</v>
      </c>
      <c r="W265" s="37" t="s">
        <v>799</v>
      </c>
      <c r="X265" s="31">
        <v>1.75</v>
      </c>
      <c r="Y265" s="36">
        <v>1.176713035683007</v>
      </c>
      <c r="Z265" s="36">
        <v>0.732708145017404</v>
      </c>
      <c r="AA265" s="29" t="s">
        <v>800</v>
      </c>
      <c r="AB265" s="31">
        <v>7.71007919312</v>
      </c>
      <c r="AC265" s="38">
        <v>315.0</v>
      </c>
    </row>
    <row r="266" ht="14.25" customHeight="1">
      <c r="A266" s="29" t="s">
        <v>270</v>
      </c>
      <c r="B266" s="29">
        <v>41.0</v>
      </c>
      <c r="C266" s="29" t="s">
        <v>608</v>
      </c>
      <c r="D266" s="29" t="s">
        <v>805</v>
      </c>
      <c r="E266" s="29">
        <v>64.0</v>
      </c>
      <c r="F266" s="30" t="s">
        <v>806</v>
      </c>
      <c r="G266" s="29" t="s">
        <v>615</v>
      </c>
      <c r="H266" s="31">
        <v>0.07</v>
      </c>
      <c r="I266" s="29" t="s">
        <v>616</v>
      </c>
      <c r="J266" s="32" t="s">
        <v>642</v>
      </c>
      <c r="K266" s="29" t="s">
        <v>698</v>
      </c>
      <c r="L266" s="29" t="s">
        <v>798</v>
      </c>
      <c r="M266" s="33">
        <v>28.848</v>
      </c>
      <c r="N266" s="33">
        <v>-32.272</v>
      </c>
      <c r="O266" s="34" t="s">
        <v>601</v>
      </c>
      <c r="P266" s="32" t="s">
        <v>602</v>
      </c>
      <c r="Q266" s="35">
        <v>3.0</v>
      </c>
      <c r="R266" s="35">
        <v>4.0</v>
      </c>
      <c r="S266" s="36">
        <v>1.029</v>
      </c>
      <c r="T266" s="36">
        <v>0.1676</v>
      </c>
      <c r="U266" s="36">
        <v>0.9508</v>
      </c>
      <c r="V266" s="36">
        <v>0.2057</v>
      </c>
      <c r="W266" s="37" t="s">
        <v>799</v>
      </c>
      <c r="X266" s="31">
        <v>2.25</v>
      </c>
      <c r="Y266" s="36">
        <v>1.8148045687244347</v>
      </c>
      <c r="Z266" s="36">
        <v>0.6611772667554313</v>
      </c>
      <c r="AA266" s="29" t="s">
        <v>800</v>
      </c>
      <c r="AB266" s="31">
        <v>7.71007919312</v>
      </c>
      <c r="AC266" s="38">
        <v>315.0</v>
      </c>
    </row>
    <row r="267" ht="14.25" customHeight="1">
      <c r="A267" s="29" t="s">
        <v>270</v>
      </c>
      <c r="B267" s="29">
        <v>41.0</v>
      </c>
      <c r="C267" s="29" t="s">
        <v>608</v>
      </c>
      <c r="D267" s="29" t="s">
        <v>807</v>
      </c>
      <c r="E267" s="29">
        <v>78.0</v>
      </c>
      <c r="F267" s="30" t="s">
        <v>808</v>
      </c>
      <c r="G267" s="29" t="s">
        <v>626</v>
      </c>
      <c r="H267" s="31">
        <v>400.0</v>
      </c>
      <c r="I267" s="29" t="s">
        <v>612</v>
      </c>
      <c r="J267" s="32" t="s">
        <v>642</v>
      </c>
      <c r="K267" s="29" t="s">
        <v>698</v>
      </c>
      <c r="L267" s="29" t="s">
        <v>798</v>
      </c>
      <c r="M267" s="33">
        <v>28.848</v>
      </c>
      <c r="N267" s="33">
        <v>-32.272</v>
      </c>
      <c r="O267" s="34" t="s">
        <v>601</v>
      </c>
      <c r="P267" s="32" t="s">
        <v>602</v>
      </c>
      <c r="Q267" s="35">
        <v>8.0</v>
      </c>
      <c r="R267" s="35">
        <v>4.0</v>
      </c>
      <c r="S267" s="36">
        <v>0.4895</v>
      </c>
      <c r="T267" s="36">
        <v>0.6875</v>
      </c>
      <c r="U267" s="36">
        <v>0.5023</v>
      </c>
      <c r="V267" s="36">
        <v>1.375</v>
      </c>
      <c r="W267" s="37" t="s">
        <v>799</v>
      </c>
      <c r="X267" s="31">
        <v>0.25</v>
      </c>
      <c r="Y267" s="36">
        <v>-0.3393150765537691</v>
      </c>
      <c r="Z267" s="36">
        <v>1.1316227550782991</v>
      </c>
      <c r="AA267" s="29" t="s">
        <v>800</v>
      </c>
      <c r="AB267" s="31">
        <v>7.71007919312</v>
      </c>
      <c r="AC267" s="38">
        <v>315.0</v>
      </c>
    </row>
    <row r="268" ht="14.25" customHeight="1">
      <c r="A268" s="29" t="s">
        <v>270</v>
      </c>
      <c r="B268" s="29">
        <v>41.0</v>
      </c>
      <c r="C268" s="29" t="s">
        <v>608</v>
      </c>
      <c r="D268" s="29" t="s">
        <v>807</v>
      </c>
      <c r="E268" s="29">
        <v>78.0</v>
      </c>
      <c r="F268" s="30" t="s">
        <v>808</v>
      </c>
      <c r="G268" s="29" t="s">
        <v>626</v>
      </c>
      <c r="H268" s="31">
        <v>400.0</v>
      </c>
      <c r="I268" s="29" t="s">
        <v>612</v>
      </c>
      <c r="J268" s="32" t="s">
        <v>642</v>
      </c>
      <c r="K268" s="29" t="s">
        <v>698</v>
      </c>
      <c r="L268" s="29" t="s">
        <v>798</v>
      </c>
      <c r="M268" s="33">
        <v>28.848</v>
      </c>
      <c r="N268" s="33">
        <v>-32.272</v>
      </c>
      <c r="O268" s="34" t="s">
        <v>601</v>
      </c>
      <c r="P268" s="32" t="s">
        <v>602</v>
      </c>
      <c r="Q268" s="35">
        <v>12.0</v>
      </c>
      <c r="R268" s="35">
        <v>4.0</v>
      </c>
      <c r="S268" s="36">
        <v>0.7269</v>
      </c>
      <c r="T268" s="36">
        <v>0.6875</v>
      </c>
      <c r="U268" s="36">
        <v>1.4915</v>
      </c>
      <c r="V268" s="36">
        <v>1.375</v>
      </c>
      <c r="W268" s="37" t="s">
        <v>799</v>
      </c>
      <c r="X268" s="31">
        <v>0.75</v>
      </c>
      <c r="Y268" s="36">
        <v>0.05597107091428284</v>
      </c>
      <c r="Z268" s="36">
        <v>1.3508455170161946</v>
      </c>
      <c r="AA268" s="29" t="s">
        <v>800</v>
      </c>
      <c r="AB268" s="31">
        <v>7.71007919312</v>
      </c>
      <c r="AC268" s="38">
        <v>315.0</v>
      </c>
    </row>
    <row r="269" ht="14.25" customHeight="1">
      <c r="A269" s="29" t="s">
        <v>270</v>
      </c>
      <c r="B269" s="29">
        <v>41.0</v>
      </c>
      <c r="C269" s="29" t="s">
        <v>608</v>
      </c>
      <c r="D269" s="29" t="s">
        <v>807</v>
      </c>
      <c r="E269" s="29">
        <v>78.0</v>
      </c>
      <c r="F269" s="30" t="s">
        <v>808</v>
      </c>
      <c r="G269" s="29" t="s">
        <v>626</v>
      </c>
      <c r="H269" s="31">
        <v>400.0</v>
      </c>
      <c r="I269" s="29" t="s">
        <v>612</v>
      </c>
      <c r="J269" s="32" t="s">
        <v>642</v>
      </c>
      <c r="K269" s="29" t="s">
        <v>698</v>
      </c>
      <c r="L269" s="29" t="s">
        <v>798</v>
      </c>
      <c r="M269" s="33">
        <v>28.848</v>
      </c>
      <c r="N269" s="33">
        <v>-32.272</v>
      </c>
      <c r="O269" s="34" t="s">
        <v>601</v>
      </c>
      <c r="P269" s="32" t="s">
        <v>602</v>
      </c>
      <c r="Q269" s="35">
        <v>15.0</v>
      </c>
      <c r="R269" s="35">
        <v>4.0</v>
      </c>
      <c r="S269" s="36">
        <v>0.7131</v>
      </c>
      <c r="T269" s="36">
        <v>0.6875</v>
      </c>
      <c r="U269" s="36">
        <v>2.0413</v>
      </c>
      <c r="V269" s="36">
        <v>1.375</v>
      </c>
      <c r="W269" s="37" t="s">
        <v>799</v>
      </c>
      <c r="X269" s="31">
        <v>1.25</v>
      </c>
      <c r="Y269" s="36">
        <v>0.03680853847891729</v>
      </c>
      <c r="Z269" s="36">
        <v>1.5462878471283412</v>
      </c>
      <c r="AA269" s="29" t="s">
        <v>800</v>
      </c>
      <c r="AB269" s="31">
        <v>7.71007919312</v>
      </c>
      <c r="AC269" s="38">
        <v>315.0</v>
      </c>
    </row>
    <row r="270" ht="14.25" customHeight="1">
      <c r="A270" s="29" t="s">
        <v>270</v>
      </c>
      <c r="B270" s="29">
        <v>41.0</v>
      </c>
      <c r="C270" s="29" t="s">
        <v>608</v>
      </c>
      <c r="D270" s="29" t="s">
        <v>807</v>
      </c>
      <c r="E270" s="29">
        <v>78.0</v>
      </c>
      <c r="F270" s="30" t="s">
        <v>808</v>
      </c>
      <c r="G270" s="29" t="s">
        <v>626</v>
      </c>
      <c r="H270" s="31">
        <v>400.0</v>
      </c>
      <c r="I270" s="29" t="s">
        <v>612</v>
      </c>
      <c r="J270" s="32" t="s">
        <v>642</v>
      </c>
      <c r="K270" s="29" t="s">
        <v>698</v>
      </c>
      <c r="L270" s="29" t="s">
        <v>798</v>
      </c>
      <c r="M270" s="33">
        <v>28.848</v>
      </c>
      <c r="N270" s="33">
        <v>-32.272</v>
      </c>
      <c r="O270" s="34" t="s">
        <v>601</v>
      </c>
      <c r="P270" s="32" t="s">
        <v>602</v>
      </c>
      <c r="Q270" s="35">
        <v>4.0</v>
      </c>
      <c r="R270" s="35">
        <v>4.0</v>
      </c>
      <c r="S270" s="36">
        <v>1.6902</v>
      </c>
      <c r="T270" s="36">
        <v>0.6875</v>
      </c>
      <c r="U270" s="36">
        <v>3.3804</v>
      </c>
      <c r="V270" s="36">
        <v>1.375</v>
      </c>
      <c r="W270" s="37" t="s">
        <v>799</v>
      </c>
      <c r="X270" s="31">
        <v>1.75</v>
      </c>
      <c r="Y270" s="36">
        <v>0.8996452514260401</v>
      </c>
      <c r="Z270" s="36">
        <v>2.0</v>
      </c>
      <c r="AA270" s="29" t="s">
        <v>800</v>
      </c>
      <c r="AB270" s="31">
        <v>7.71007919312</v>
      </c>
      <c r="AC270" s="38">
        <v>315.0</v>
      </c>
    </row>
    <row r="271" ht="14.25" customHeight="1">
      <c r="A271" s="29" t="s">
        <v>270</v>
      </c>
      <c r="B271" s="29">
        <v>41.0</v>
      </c>
      <c r="C271" s="29" t="s">
        <v>608</v>
      </c>
      <c r="D271" s="29" t="s">
        <v>807</v>
      </c>
      <c r="E271" s="29">
        <v>78.0</v>
      </c>
      <c r="F271" s="30" t="s">
        <v>808</v>
      </c>
      <c r="G271" s="29" t="s">
        <v>626</v>
      </c>
      <c r="H271" s="31">
        <v>400.0</v>
      </c>
      <c r="I271" s="29" t="s">
        <v>612</v>
      </c>
      <c r="J271" s="32" t="s">
        <v>642</v>
      </c>
      <c r="K271" s="29" t="s">
        <v>698</v>
      </c>
      <c r="L271" s="29" t="s">
        <v>798</v>
      </c>
      <c r="M271" s="33">
        <v>28.848</v>
      </c>
      <c r="N271" s="33">
        <v>-32.272</v>
      </c>
      <c r="O271" s="34" t="s">
        <v>601</v>
      </c>
      <c r="P271" s="32" t="s">
        <v>602</v>
      </c>
      <c r="Q271" s="35">
        <v>3.0</v>
      </c>
      <c r="R271" s="35">
        <v>4.0</v>
      </c>
      <c r="S271" s="36">
        <v>0.1</v>
      </c>
      <c r="T271" s="36">
        <v>0.6875</v>
      </c>
      <c r="U271" s="36">
        <v>0.1732</v>
      </c>
      <c r="V271" s="36">
        <v>1.375</v>
      </c>
      <c r="W271" s="37" t="s">
        <v>799</v>
      </c>
      <c r="X271" s="31">
        <v>2.25</v>
      </c>
      <c r="Y271" s="36">
        <v>-1.9261194789542146</v>
      </c>
      <c r="Z271" s="36">
        <v>1.9999413333333331</v>
      </c>
      <c r="AA271" s="29" t="s">
        <v>800</v>
      </c>
      <c r="AB271" s="31">
        <v>7.71007919312</v>
      </c>
      <c r="AC271" s="38">
        <v>315.0</v>
      </c>
    </row>
    <row r="272" ht="14.25" customHeight="1">
      <c r="A272" s="29" t="s">
        <v>270</v>
      </c>
      <c r="B272" s="29">
        <v>41.0</v>
      </c>
      <c r="C272" s="29" t="s">
        <v>608</v>
      </c>
      <c r="D272" s="29" t="s">
        <v>809</v>
      </c>
      <c r="E272" s="29">
        <v>81.0</v>
      </c>
      <c r="F272" s="30" t="s">
        <v>810</v>
      </c>
      <c r="G272" s="29" t="s">
        <v>629</v>
      </c>
      <c r="H272" s="31">
        <v>2.23</v>
      </c>
      <c r="I272" s="29" t="s">
        <v>657</v>
      </c>
      <c r="J272" s="32" t="s">
        <v>642</v>
      </c>
      <c r="K272" s="29" t="s">
        <v>698</v>
      </c>
      <c r="L272" s="29" t="s">
        <v>798</v>
      </c>
      <c r="M272" s="33">
        <v>28.848</v>
      </c>
      <c r="N272" s="33">
        <v>-32.272</v>
      </c>
      <c r="O272" s="34" t="s">
        <v>601</v>
      </c>
      <c r="P272" s="32" t="s">
        <v>602</v>
      </c>
      <c r="Q272" s="35">
        <v>8.0</v>
      </c>
      <c r="R272" s="35">
        <v>4.0</v>
      </c>
      <c r="S272" s="36">
        <v>0.0721</v>
      </c>
      <c r="T272" s="36">
        <v>0.1051</v>
      </c>
      <c r="U272" s="36">
        <v>0.1164</v>
      </c>
      <c r="V272" s="36">
        <v>0.2103</v>
      </c>
      <c r="W272" s="37" t="s">
        <v>799</v>
      </c>
      <c r="X272" s="31">
        <v>0.25</v>
      </c>
      <c r="Y272" s="36">
        <v>-0.3764822213104669</v>
      </c>
      <c r="Z272" s="36">
        <v>1.326747473280783</v>
      </c>
      <c r="AA272" s="29" t="s">
        <v>800</v>
      </c>
      <c r="AB272" s="31">
        <v>7.71007919312</v>
      </c>
      <c r="AC272" s="38">
        <v>315.0</v>
      </c>
    </row>
    <row r="273" ht="14.25" customHeight="1">
      <c r="A273" s="29" t="s">
        <v>270</v>
      </c>
      <c r="B273" s="29">
        <v>41.0</v>
      </c>
      <c r="C273" s="29" t="s">
        <v>608</v>
      </c>
      <c r="D273" s="29" t="s">
        <v>809</v>
      </c>
      <c r="E273" s="29">
        <v>81.0</v>
      </c>
      <c r="F273" s="30" t="s">
        <v>810</v>
      </c>
      <c r="G273" s="29" t="s">
        <v>629</v>
      </c>
      <c r="H273" s="31">
        <v>2.23</v>
      </c>
      <c r="I273" s="29" t="s">
        <v>657</v>
      </c>
      <c r="J273" s="32" t="s">
        <v>642</v>
      </c>
      <c r="K273" s="29" t="s">
        <v>698</v>
      </c>
      <c r="L273" s="29" t="s">
        <v>798</v>
      </c>
      <c r="M273" s="33">
        <v>28.848</v>
      </c>
      <c r="N273" s="33">
        <v>-32.272</v>
      </c>
      <c r="O273" s="34" t="s">
        <v>601</v>
      </c>
      <c r="P273" s="32" t="s">
        <v>602</v>
      </c>
      <c r="Q273" s="35">
        <v>12.0</v>
      </c>
      <c r="R273" s="35">
        <v>4.0</v>
      </c>
      <c r="S273" s="36">
        <v>0.0033</v>
      </c>
      <c r="T273" s="36">
        <v>0.1051</v>
      </c>
      <c r="U273" s="36">
        <v>0.0115</v>
      </c>
      <c r="V273" s="36">
        <v>0.2103</v>
      </c>
      <c r="W273" s="37" t="s">
        <v>799</v>
      </c>
      <c r="X273" s="31">
        <v>0.75</v>
      </c>
      <c r="Y273" s="36">
        <v>-3.4528065405196497</v>
      </c>
      <c r="Z273" s="36">
        <v>2.0129657813078836</v>
      </c>
      <c r="AA273" s="29" t="s">
        <v>800</v>
      </c>
      <c r="AB273" s="31">
        <v>7.71007919312</v>
      </c>
      <c r="AC273" s="38">
        <v>315.0</v>
      </c>
    </row>
    <row r="274" ht="14.25" customHeight="1">
      <c r="A274" s="29" t="s">
        <v>270</v>
      </c>
      <c r="B274" s="29">
        <v>41.0</v>
      </c>
      <c r="C274" s="29" t="s">
        <v>608</v>
      </c>
      <c r="D274" s="29" t="s">
        <v>809</v>
      </c>
      <c r="E274" s="29">
        <v>81.0</v>
      </c>
      <c r="F274" s="30" t="s">
        <v>810</v>
      </c>
      <c r="G274" s="29" t="s">
        <v>629</v>
      </c>
      <c r="H274" s="31">
        <v>2.23</v>
      </c>
      <c r="I274" s="29" t="s">
        <v>657</v>
      </c>
      <c r="J274" s="32" t="s">
        <v>642</v>
      </c>
      <c r="K274" s="29" t="s">
        <v>698</v>
      </c>
      <c r="L274" s="29" t="s">
        <v>798</v>
      </c>
      <c r="M274" s="33">
        <v>28.848</v>
      </c>
      <c r="N274" s="33">
        <v>-32.272</v>
      </c>
      <c r="O274" s="34" t="s">
        <v>601</v>
      </c>
      <c r="P274" s="32" t="s">
        <v>602</v>
      </c>
      <c r="Q274" s="35">
        <v>15.0</v>
      </c>
      <c r="R274" s="35">
        <v>4.0</v>
      </c>
      <c r="S274" s="36">
        <v>0.0</v>
      </c>
      <c r="T274" s="36">
        <v>0.1051</v>
      </c>
      <c r="U274" s="36">
        <v>0.0</v>
      </c>
      <c r="V274" s="36">
        <v>0.2103</v>
      </c>
      <c r="W274" s="37" t="s">
        <v>799</v>
      </c>
      <c r="X274" s="31">
        <v>1.25</v>
      </c>
      <c r="Y274" s="36">
        <v>-8.262558973010657</v>
      </c>
      <c r="Z274" s="36">
        <v>0.4111508862270546</v>
      </c>
      <c r="AA274" s="29" t="s">
        <v>800</v>
      </c>
      <c r="AB274" s="31">
        <v>7.71007919312</v>
      </c>
      <c r="AC274" s="38">
        <v>315.0</v>
      </c>
    </row>
    <row r="275" ht="14.25" customHeight="1">
      <c r="A275" s="29" t="s">
        <v>270</v>
      </c>
      <c r="B275" s="29">
        <v>41.0</v>
      </c>
      <c r="C275" s="29" t="s">
        <v>608</v>
      </c>
      <c r="D275" s="29" t="s">
        <v>809</v>
      </c>
      <c r="E275" s="29">
        <v>81.0</v>
      </c>
      <c r="F275" s="30" t="s">
        <v>810</v>
      </c>
      <c r="G275" s="29" t="s">
        <v>629</v>
      </c>
      <c r="H275" s="31">
        <v>2.23</v>
      </c>
      <c r="I275" s="29" t="s">
        <v>657</v>
      </c>
      <c r="J275" s="32" t="s">
        <v>642</v>
      </c>
      <c r="K275" s="29" t="s">
        <v>698</v>
      </c>
      <c r="L275" s="29" t="s">
        <v>798</v>
      </c>
      <c r="M275" s="33">
        <v>28.848</v>
      </c>
      <c r="N275" s="33">
        <v>-32.272</v>
      </c>
      <c r="O275" s="34" t="s">
        <v>601</v>
      </c>
      <c r="P275" s="32" t="s">
        <v>602</v>
      </c>
      <c r="Q275" s="35">
        <v>4.0</v>
      </c>
      <c r="R275" s="35">
        <v>4.0</v>
      </c>
      <c r="S275" s="36">
        <v>0.0253</v>
      </c>
      <c r="T275" s="36">
        <v>0.1051</v>
      </c>
      <c r="U275" s="36">
        <v>0.0505</v>
      </c>
      <c r="V275" s="36">
        <v>0.2103</v>
      </c>
      <c r="W275" s="37" t="s">
        <v>799</v>
      </c>
      <c r="X275" s="31">
        <v>1.75</v>
      </c>
      <c r="Y275" s="36">
        <v>-1.423036693899583</v>
      </c>
      <c r="Z275" s="36">
        <v>1.9970030376427856</v>
      </c>
      <c r="AA275" s="29" t="s">
        <v>800</v>
      </c>
      <c r="AB275" s="31">
        <v>7.71007919312</v>
      </c>
      <c r="AC275" s="38">
        <v>315.0</v>
      </c>
    </row>
    <row r="276" ht="14.25" customHeight="1">
      <c r="A276" s="29" t="s">
        <v>270</v>
      </c>
      <c r="B276" s="29">
        <v>41.0</v>
      </c>
      <c r="C276" s="29" t="s">
        <v>608</v>
      </c>
      <c r="D276" s="29" t="s">
        <v>809</v>
      </c>
      <c r="E276" s="29">
        <v>81.0</v>
      </c>
      <c r="F276" s="30" t="s">
        <v>810</v>
      </c>
      <c r="G276" s="29" t="s">
        <v>629</v>
      </c>
      <c r="H276" s="31">
        <v>2.23</v>
      </c>
      <c r="I276" s="29" t="s">
        <v>657</v>
      </c>
      <c r="J276" s="32" t="s">
        <v>642</v>
      </c>
      <c r="K276" s="29" t="s">
        <v>698</v>
      </c>
      <c r="L276" s="29" t="s">
        <v>798</v>
      </c>
      <c r="M276" s="33">
        <v>28.848</v>
      </c>
      <c r="N276" s="33">
        <v>-32.272</v>
      </c>
      <c r="O276" s="34" t="s">
        <v>601</v>
      </c>
      <c r="P276" s="32" t="s">
        <v>602</v>
      </c>
      <c r="Q276" s="35">
        <v>3.0</v>
      </c>
      <c r="R276" s="35">
        <v>4.0</v>
      </c>
      <c r="S276" s="36">
        <v>0.101</v>
      </c>
      <c r="T276" s="36">
        <v>0.1051</v>
      </c>
      <c r="U276" s="36">
        <v>0.175</v>
      </c>
      <c r="V276" s="36">
        <v>0.2103</v>
      </c>
      <c r="W276" s="37" t="s">
        <v>799</v>
      </c>
      <c r="X276" s="31">
        <v>2.25</v>
      </c>
      <c r="Y276" s="36">
        <v>-0.03952332595401025</v>
      </c>
      <c r="Z276" s="36">
        <v>2.00167058488155</v>
      </c>
      <c r="AA276" s="29" t="s">
        <v>800</v>
      </c>
      <c r="AB276" s="31">
        <v>7.71007919312</v>
      </c>
      <c r="AC276" s="38">
        <v>315.0</v>
      </c>
    </row>
    <row r="277" ht="14.25" customHeight="1">
      <c r="A277" s="29" t="s">
        <v>270</v>
      </c>
      <c r="B277" s="29">
        <v>41.0</v>
      </c>
      <c r="C277" s="29" t="s">
        <v>608</v>
      </c>
      <c r="D277" s="29" t="s">
        <v>815</v>
      </c>
      <c r="E277" s="29">
        <v>87.0</v>
      </c>
      <c r="F277" s="30" t="s">
        <v>816</v>
      </c>
      <c r="G277" s="29" t="s">
        <v>615</v>
      </c>
      <c r="H277" s="31">
        <v>14.94</v>
      </c>
      <c r="I277" s="29" t="s">
        <v>612</v>
      </c>
      <c r="J277" s="32" t="s">
        <v>642</v>
      </c>
      <c r="K277" s="29" t="s">
        <v>698</v>
      </c>
      <c r="L277" s="29" t="s">
        <v>798</v>
      </c>
      <c r="M277" s="33">
        <v>28.848</v>
      </c>
      <c r="N277" s="33">
        <v>-32.272</v>
      </c>
      <c r="O277" s="34" t="s">
        <v>601</v>
      </c>
      <c r="P277" s="32" t="s">
        <v>602</v>
      </c>
      <c r="Q277" s="35">
        <v>8.0</v>
      </c>
      <c r="R277" s="35">
        <v>4.0</v>
      </c>
      <c r="S277" s="36">
        <v>0.5693</v>
      </c>
      <c r="T277" s="36">
        <v>0.3184</v>
      </c>
      <c r="U277" s="36">
        <v>0.5955</v>
      </c>
      <c r="V277" s="36">
        <v>0.341</v>
      </c>
      <c r="W277" s="37" t="s">
        <v>799</v>
      </c>
      <c r="X277" s="31">
        <v>0.25</v>
      </c>
      <c r="Y277" s="36">
        <v>0.5812433655223314</v>
      </c>
      <c r="Z277" s="36">
        <v>0.42351959023884256</v>
      </c>
      <c r="AA277" s="29" t="s">
        <v>800</v>
      </c>
      <c r="AB277" s="31">
        <v>7.71007919312</v>
      </c>
      <c r="AC277" s="38">
        <v>315.0</v>
      </c>
    </row>
    <row r="278" ht="14.25" customHeight="1">
      <c r="A278" s="29" t="s">
        <v>270</v>
      </c>
      <c r="B278" s="29">
        <v>41.0</v>
      </c>
      <c r="C278" s="29" t="s">
        <v>608</v>
      </c>
      <c r="D278" s="29" t="s">
        <v>815</v>
      </c>
      <c r="E278" s="29">
        <v>87.0</v>
      </c>
      <c r="F278" s="30" t="s">
        <v>816</v>
      </c>
      <c r="G278" s="29" t="s">
        <v>615</v>
      </c>
      <c r="H278" s="31">
        <v>14.94</v>
      </c>
      <c r="I278" s="29" t="s">
        <v>612</v>
      </c>
      <c r="J278" s="32" t="s">
        <v>642</v>
      </c>
      <c r="K278" s="29" t="s">
        <v>698</v>
      </c>
      <c r="L278" s="29" t="s">
        <v>798</v>
      </c>
      <c r="M278" s="33">
        <v>28.848</v>
      </c>
      <c r="N278" s="33">
        <v>-32.272</v>
      </c>
      <c r="O278" s="34" t="s">
        <v>601</v>
      </c>
      <c r="P278" s="32" t="s">
        <v>602</v>
      </c>
      <c r="Q278" s="35">
        <v>12.0</v>
      </c>
      <c r="R278" s="35">
        <v>4.0</v>
      </c>
      <c r="S278" s="36">
        <v>0.5401</v>
      </c>
      <c r="T278" s="36">
        <v>0.3184</v>
      </c>
      <c r="U278" s="36">
        <v>0.5578</v>
      </c>
      <c r="V278" s="36">
        <v>0.341</v>
      </c>
      <c r="W278" s="37" t="s">
        <v>799</v>
      </c>
      <c r="X278" s="31">
        <v>0.75</v>
      </c>
      <c r="Y278" s="36">
        <v>0.5285979371250427</v>
      </c>
      <c r="Z278" s="36">
        <v>0.3756342698479627</v>
      </c>
      <c r="AA278" s="29" t="s">
        <v>800</v>
      </c>
      <c r="AB278" s="31">
        <v>7.71007919312</v>
      </c>
      <c r="AC278" s="38">
        <v>315.0</v>
      </c>
    </row>
    <row r="279" ht="14.25" customHeight="1">
      <c r="A279" s="29" t="s">
        <v>270</v>
      </c>
      <c r="B279" s="29">
        <v>41.0</v>
      </c>
      <c r="C279" s="29" t="s">
        <v>608</v>
      </c>
      <c r="D279" s="29" t="s">
        <v>815</v>
      </c>
      <c r="E279" s="29">
        <v>87.0</v>
      </c>
      <c r="F279" s="30" t="s">
        <v>816</v>
      </c>
      <c r="G279" s="29" t="s">
        <v>615</v>
      </c>
      <c r="H279" s="31">
        <v>14.94</v>
      </c>
      <c r="I279" s="29" t="s">
        <v>612</v>
      </c>
      <c r="J279" s="32" t="s">
        <v>642</v>
      </c>
      <c r="K279" s="29" t="s">
        <v>698</v>
      </c>
      <c r="L279" s="29" t="s">
        <v>798</v>
      </c>
      <c r="M279" s="33">
        <v>28.848</v>
      </c>
      <c r="N279" s="33">
        <v>-32.272</v>
      </c>
      <c r="O279" s="34" t="s">
        <v>601</v>
      </c>
      <c r="P279" s="32" t="s">
        <v>602</v>
      </c>
      <c r="Q279" s="35">
        <v>15.0</v>
      </c>
      <c r="R279" s="35">
        <v>4.0</v>
      </c>
      <c r="S279" s="36">
        <v>1.3464</v>
      </c>
      <c r="T279" s="36">
        <v>0.3184</v>
      </c>
      <c r="U279" s="36">
        <v>1.9233</v>
      </c>
      <c r="V279" s="36">
        <v>0.341</v>
      </c>
      <c r="W279" s="37" t="s">
        <v>799</v>
      </c>
      <c r="X279" s="31">
        <v>1.25</v>
      </c>
      <c r="Y279" s="36">
        <v>1.4419421990348347</v>
      </c>
      <c r="Z279" s="36">
        <v>0.4227857195647245</v>
      </c>
      <c r="AA279" s="29" t="s">
        <v>800</v>
      </c>
      <c r="AB279" s="31">
        <v>7.71007919312</v>
      </c>
      <c r="AC279" s="38">
        <v>315.0</v>
      </c>
    </row>
    <row r="280" ht="14.25" customHeight="1">
      <c r="A280" s="29" t="s">
        <v>270</v>
      </c>
      <c r="B280" s="29">
        <v>41.0</v>
      </c>
      <c r="C280" s="29" t="s">
        <v>608</v>
      </c>
      <c r="D280" s="29" t="s">
        <v>815</v>
      </c>
      <c r="E280" s="29">
        <v>87.0</v>
      </c>
      <c r="F280" s="30" t="s">
        <v>816</v>
      </c>
      <c r="G280" s="29" t="s">
        <v>615</v>
      </c>
      <c r="H280" s="31">
        <v>14.94</v>
      </c>
      <c r="I280" s="29" t="s">
        <v>612</v>
      </c>
      <c r="J280" s="32" t="s">
        <v>642</v>
      </c>
      <c r="K280" s="29" t="s">
        <v>698</v>
      </c>
      <c r="L280" s="29" t="s">
        <v>798</v>
      </c>
      <c r="M280" s="33">
        <v>28.848</v>
      </c>
      <c r="N280" s="33">
        <v>-32.272</v>
      </c>
      <c r="O280" s="34" t="s">
        <v>601</v>
      </c>
      <c r="P280" s="32" t="s">
        <v>602</v>
      </c>
      <c r="Q280" s="35">
        <v>4.0</v>
      </c>
      <c r="R280" s="35">
        <v>4.0</v>
      </c>
      <c r="S280" s="36">
        <v>0.1592</v>
      </c>
      <c r="T280" s="36">
        <v>0.3184</v>
      </c>
      <c r="U280" s="36">
        <v>0.2069</v>
      </c>
      <c r="V280" s="36">
        <v>0.341</v>
      </c>
      <c r="W280" s="37" t="s">
        <v>799</v>
      </c>
      <c r="X280" s="31">
        <v>1.75</v>
      </c>
      <c r="Y280" s="36">
        <v>-0.692631317768005</v>
      </c>
      <c r="Z280" s="36">
        <v>0.7090045469180071</v>
      </c>
      <c r="AA280" s="29" t="s">
        <v>800</v>
      </c>
      <c r="AB280" s="31">
        <v>7.71007919312</v>
      </c>
      <c r="AC280" s="38">
        <v>315.0</v>
      </c>
    </row>
    <row r="281" ht="14.25" customHeight="1">
      <c r="A281" s="29" t="s">
        <v>270</v>
      </c>
      <c r="B281" s="29">
        <v>41.0</v>
      </c>
      <c r="C281" s="29" t="s">
        <v>608</v>
      </c>
      <c r="D281" s="29" t="s">
        <v>815</v>
      </c>
      <c r="E281" s="29">
        <v>87.0</v>
      </c>
      <c r="F281" s="30" t="s">
        <v>816</v>
      </c>
      <c r="G281" s="29" t="s">
        <v>615</v>
      </c>
      <c r="H281" s="31">
        <v>14.94</v>
      </c>
      <c r="I281" s="29" t="s">
        <v>612</v>
      </c>
      <c r="J281" s="32" t="s">
        <v>642</v>
      </c>
      <c r="K281" s="29" t="s">
        <v>698</v>
      </c>
      <c r="L281" s="29" t="s">
        <v>798</v>
      </c>
      <c r="M281" s="33">
        <v>28.848</v>
      </c>
      <c r="N281" s="33">
        <v>-32.272</v>
      </c>
      <c r="O281" s="34" t="s">
        <v>601</v>
      </c>
      <c r="P281" s="32" t="s">
        <v>602</v>
      </c>
      <c r="Q281" s="35">
        <v>3.0</v>
      </c>
      <c r="R281" s="35">
        <v>4.0</v>
      </c>
      <c r="S281" s="36">
        <v>0.1389</v>
      </c>
      <c r="T281" s="36">
        <v>0.3184</v>
      </c>
      <c r="U281" s="36">
        <v>0.2406</v>
      </c>
      <c r="V281" s="36">
        <v>0.341</v>
      </c>
      <c r="W281" s="37" t="s">
        <v>799</v>
      </c>
      <c r="X281" s="31">
        <v>2.25</v>
      </c>
      <c r="Y281" s="36">
        <v>-0.8289629712268645</v>
      </c>
      <c r="Z281" s="36">
        <v>1.2869003165481043</v>
      </c>
      <c r="AA281" s="29" t="s">
        <v>800</v>
      </c>
      <c r="AB281" s="31">
        <v>7.71007919312</v>
      </c>
      <c r="AC281" s="38">
        <v>315.0</v>
      </c>
    </row>
    <row r="282" ht="14.25" customHeight="1">
      <c r="A282" s="29" t="s">
        <v>270</v>
      </c>
      <c r="B282" s="29">
        <v>41.0</v>
      </c>
      <c r="C282" s="29" t="s">
        <v>608</v>
      </c>
      <c r="D282" s="29" t="s">
        <v>765</v>
      </c>
      <c r="E282" s="29">
        <v>147.0</v>
      </c>
      <c r="F282" s="30" t="s">
        <v>766</v>
      </c>
      <c r="G282" s="29" t="s">
        <v>626</v>
      </c>
      <c r="H282" s="31">
        <v>48.78</v>
      </c>
      <c r="I282" s="29" t="s">
        <v>616</v>
      </c>
      <c r="J282" s="32" t="s">
        <v>642</v>
      </c>
      <c r="K282" s="29" t="s">
        <v>698</v>
      </c>
      <c r="L282" s="29" t="s">
        <v>798</v>
      </c>
      <c r="M282" s="33">
        <v>28.848</v>
      </c>
      <c r="N282" s="33">
        <v>-32.272</v>
      </c>
      <c r="O282" s="34" t="s">
        <v>601</v>
      </c>
      <c r="P282" s="32" t="s">
        <v>602</v>
      </c>
      <c r="Q282" s="35">
        <v>8.0</v>
      </c>
      <c r="R282" s="35">
        <v>4.0</v>
      </c>
      <c r="S282" s="36">
        <v>0.713</v>
      </c>
      <c r="T282" s="36">
        <v>0.3339</v>
      </c>
      <c r="U282" s="36">
        <v>0.8633</v>
      </c>
      <c r="V282" s="36">
        <v>0.6195</v>
      </c>
      <c r="W282" s="37" t="s">
        <v>799</v>
      </c>
      <c r="X282" s="31">
        <v>0.25</v>
      </c>
      <c r="Y282" s="36">
        <v>0.7587606873597128</v>
      </c>
      <c r="Z282" s="36">
        <v>1.0438315234294704</v>
      </c>
      <c r="AA282" s="29" t="s">
        <v>800</v>
      </c>
      <c r="AB282" s="31">
        <v>7.71007919312</v>
      </c>
      <c r="AC282" s="38">
        <v>315.0</v>
      </c>
    </row>
    <row r="283" ht="14.25" customHeight="1">
      <c r="A283" s="29" t="s">
        <v>270</v>
      </c>
      <c r="B283" s="29">
        <v>41.0</v>
      </c>
      <c r="C283" s="29" t="s">
        <v>608</v>
      </c>
      <c r="D283" s="29" t="s">
        <v>765</v>
      </c>
      <c r="E283" s="29">
        <v>147.0</v>
      </c>
      <c r="F283" s="30" t="s">
        <v>766</v>
      </c>
      <c r="G283" s="29" t="s">
        <v>626</v>
      </c>
      <c r="H283" s="31">
        <v>48.78</v>
      </c>
      <c r="I283" s="29" t="s">
        <v>616</v>
      </c>
      <c r="J283" s="32" t="s">
        <v>642</v>
      </c>
      <c r="K283" s="29" t="s">
        <v>698</v>
      </c>
      <c r="L283" s="29" t="s">
        <v>798</v>
      </c>
      <c r="M283" s="33">
        <v>28.848</v>
      </c>
      <c r="N283" s="33">
        <v>-32.272</v>
      </c>
      <c r="O283" s="34" t="s">
        <v>601</v>
      </c>
      <c r="P283" s="32" t="s">
        <v>602</v>
      </c>
      <c r="Q283" s="35">
        <v>12.0</v>
      </c>
      <c r="R283" s="35">
        <v>4.0</v>
      </c>
      <c r="S283" s="36">
        <v>1.3615</v>
      </c>
      <c r="T283" s="36">
        <v>0.3339</v>
      </c>
      <c r="U283" s="36">
        <v>1.9797</v>
      </c>
      <c r="V283" s="36">
        <v>0.6195</v>
      </c>
      <c r="W283" s="37" t="s">
        <v>799</v>
      </c>
      <c r="X283" s="31">
        <v>0.75</v>
      </c>
      <c r="Y283" s="36">
        <v>1.4055640356641173</v>
      </c>
      <c r="Z283" s="36">
        <v>1.0367675080680059</v>
      </c>
      <c r="AA283" s="29" t="s">
        <v>800</v>
      </c>
      <c r="AB283" s="31">
        <v>7.71007919312</v>
      </c>
      <c r="AC283" s="38">
        <v>315.0</v>
      </c>
    </row>
    <row r="284" ht="14.25" customHeight="1">
      <c r="A284" s="29" t="s">
        <v>270</v>
      </c>
      <c r="B284" s="29">
        <v>41.0</v>
      </c>
      <c r="C284" s="29" t="s">
        <v>608</v>
      </c>
      <c r="D284" s="29" t="s">
        <v>765</v>
      </c>
      <c r="E284" s="29">
        <v>147.0</v>
      </c>
      <c r="F284" s="30" t="s">
        <v>766</v>
      </c>
      <c r="G284" s="29" t="s">
        <v>626</v>
      </c>
      <c r="H284" s="31">
        <v>48.78</v>
      </c>
      <c r="I284" s="29" t="s">
        <v>616</v>
      </c>
      <c r="J284" s="32" t="s">
        <v>642</v>
      </c>
      <c r="K284" s="29" t="s">
        <v>698</v>
      </c>
      <c r="L284" s="29" t="s">
        <v>798</v>
      </c>
      <c r="M284" s="33">
        <v>28.848</v>
      </c>
      <c r="N284" s="33">
        <v>-32.272</v>
      </c>
      <c r="O284" s="34" t="s">
        <v>601</v>
      </c>
      <c r="P284" s="32" t="s">
        <v>602</v>
      </c>
      <c r="Q284" s="35">
        <v>15.0</v>
      </c>
      <c r="R284" s="35">
        <v>4.0</v>
      </c>
      <c r="S284" s="36">
        <v>1.6291</v>
      </c>
      <c r="T284" s="36">
        <v>0.3339</v>
      </c>
      <c r="U284" s="36">
        <v>1.6059</v>
      </c>
      <c r="V284" s="36">
        <v>0.6195</v>
      </c>
      <c r="W284" s="37" t="s">
        <v>799</v>
      </c>
      <c r="X284" s="31">
        <v>1.25</v>
      </c>
      <c r="Y284" s="36">
        <v>1.584994324928213</v>
      </c>
      <c r="Z284" s="36">
        <v>0.9253585013760675</v>
      </c>
      <c r="AA284" s="29" t="s">
        <v>800</v>
      </c>
      <c r="AB284" s="31">
        <v>7.71007919312</v>
      </c>
      <c r="AC284" s="38">
        <v>315.0</v>
      </c>
    </row>
    <row r="285" ht="14.25" customHeight="1">
      <c r="A285" s="29" t="s">
        <v>270</v>
      </c>
      <c r="B285" s="29">
        <v>41.0</v>
      </c>
      <c r="C285" s="29" t="s">
        <v>608</v>
      </c>
      <c r="D285" s="29" t="s">
        <v>765</v>
      </c>
      <c r="E285" s="29">
        <v>147.0</v>
      </c>
      <c r="F285" s="30" t="s">
        <v>766</v>
      </c>
      <c r="G285" s="29" t="s">
        <v>626</v>
      </c>
      <c r="H285" s="31">
        <v>48.78</v>
      </c>
      <c r="I285" s="29" t="s">
        <v>616</v>
      </c>
      <c r="J285" s="32" t="s">
        <v>642</v>
      </c>
      <c r="K285" s="29" t="s">
        <v>698</v>
      </c>
      <c r="L285" s="29" t="s">
        <v>798</v>
      </c>
      <c r="M285" s="33">
        <v>28.848</v>
      </c>
      <c r="N285" s="33">
        <v>-32.272</v>
      </c>
      <c r="O285" s="34" t="s">
        <v>601</v>
      </c>
      <c r="P285" s="32" t="s">
        <v>602</v>
      </c>
      <c r="Q285" s="35">
        <v>4.0</v>
      </c>
      <c r="R285" s="35">
        <v>4.0</v>
      </c>
      <c r="S285" s="36">
        <v>0.6028</v>
      </c>
      <c r="T285" s="36">
        <v>0.3339</v>
      </c>
      <c r="U285" s="36">
        <v>0.4992</v>
      </c>
      <c r="V285" s="36">
        <v>0.6195</v>
      </c>
      <c r="W285" s="37" t="s">
        <v>799</v>
      </c>
      <c r="X285" s="31">
        <v>1.75</v>
      </c>
      <c r="Y285" s="36">
        <v>0.5908868185352141</v>
      </c>
      <c r="Z285" s="36">
        <v>1.0320291602967262</v>
      </c>
      <c r="AA285" s="29" t="s">
        <v>800</v>
      </c>
      <c r="AB285" s="31">
        <v>7.71007919312</v>
      </c>
      <c r="AC285" s="38">
        <v>315.0</v>
      </c>
    </row>
    <row r="286" ht="14.25" customHeight="1">
      <c r="A286" s="29" t="s">
        <v>270</v>
      </c>
      <c r="B286" s="29">
        <v>41.0</v>
      </c>
      <c r="C286" s="29" t="s">
        <v>608</v>
      </c>
      <c r="D286" s="29" t="s">
        <v>765</v>
      </c>
      <c r="E286" s="29">
        <v>147.0</v>
      </c>
      <c r="F286" s="30" t="s">
        <v>766</v>
      </c>
      <c r="G286" s="29" t="s">
        <v>626</v>
      </c>
      <c r="H286" s="31">
        <v>48.78</v>
      </c>
      <c r="I286" s="29" t="s">
        <v>616</v>
      </c>
      <c r="J286" s="32" t="s">
        <v>642</v>
      </c>
      <c r="K286" s="29" t="s">
        <v>698</v>
      </c>
      <c r="L286" s="29" t="s">
        <v>798</v>
      </c>
      <c r="M286" s="33">
        <v>28.848</v>
      </c>
      <c r="N286" s="33">
        <v>-32.272</v>
      </c>
      <c r="O286" s="34" t="s">
        <v>601</v>
      </c>
      <c r="P286" s="32" t="s">
        <v>602</v>
      </c>
      <c r="Q286" s="35">
        <v>3.0</v>
      </c>
      <c r="R286" s="35">
        <v>4.0</v>
      </c>
      <c r="S286" s="36">
        <v>0.8092</v>
      </c>
      <c r="T286" s="36">
        <v>0.3339</v>
      </c>
      <c r="U286" s="36">
        <v>0.3533</v>
      </c>
      <c r="V286" s="36">
        <v>0.6195</v>
      </c>
      <c r="W286" s="37" t="s">
        <v>799</v>
      </c>
      <c r="X286" s="31">
        <v>2.25</v>
      </c>
      <c r="Y286" s="36">
        <v>0.8853110103036185</v>
      </c>
      <c r="Z286" s="36">
        <v>0.9241181463914822</v>
      </c>
      <c r="AA286" s="29" t="s">
        <v>800</v>
      </c>
      <c r="AB286" s="31">
        <v>7.71007919312</v>
      </c>
      <c r="AC286" s="38">
        <v>315.0</v>
      </c>
    </row>
    <row r="287" ht="14.25" customHeight="1">
      <c r="A287" s="29" t="s">
        <v>270</v>
      </c>
      <c r="B287" s="29">
        <v>41.0</v>
      </c>
      <c r="C287" s="29" t="s">
        <v>608</v>
      </c>
      <c r="D287" s="29" t="s">
        <v>817</v>
      </c>
      <c r="E287" s="29">
        <v>197.0</v>
      </c>
      <c r="F287" s="30" t="s">
        <v>818</v>
      </c>
      <c r="G287" s="29" t="s">
        <v>626</v>
      </c>
      <c r="H287" s="31">
        <v>569.99</v>
      </c>
      <c r="I287" s="29" t="s">
        <v>612</v>
      </c>
      <c r="J287" s="32" t="s">
        <v>642</v>
      </c>
      <c r="K287" s="29" t="s">
        <v>698</v>
      </c>
      <c r="L287" s="29" t="s">
        <v>798</v>
      </c>
      <c r="M287" s="33">
        <v>28.848</v>
      </c>
      <c r="N287" s="33">
        <v>-32.272</v>
      </c>
      <c r="O287" s="34" t="s">
        <v>601</v>
      </c>
      <c r="P287" s="32" t="s">
        <v>602</v>
      </c>
      <c r="Q287" s="35">
        <v>8.0</v>
      </c>
      <c r="R287" s="35">
        <v>4.0</v>
      </c>
      <c r="S287" s="36">
        <v>0.1551</v>
      </c>
      <c r="T287" s="36">
        <v>0.0625</v>
      </c>
      <c r="U287" s="36">
        <v>0.2481</v>
      </c>
      <c r="V287" s="36">
        <v>0.125</v>
      </c>
      <c r="W287" s="37" t="s">
        <v>799</v>
      </c>
      <c r="X287" s="31">
        <v>0.25</v>
      </c>
      <c r="Y287" s="36">
        <v>0.9090074723882563</v>
      </c>
      <c r="Z287" s="36">
        <v>1.319845279828201</v>
      </c>
      <c r="AA287" s="29" t="s">
        <v>800</v>
      </c>
      <c r="AB287" s="31">
        <v>7.71007919312</v>
      </c>
      <c r="AC287" s="38">
        <v>315.0</v>
      </c>
    </row>
    <row r="288" ht="14.25" customHeight="1">
      <c r="A288" s="29" t="s">
        <v>270</v>
      </c>
      <c r="B288" s="29">
        <v>41.0</v>
      </c>
      <c r="C288" s="29" t="s">
        <v>608</v>
      </c>
      <c r="D288" s="29" t="s">
        <v>817</v>
      </c>
      <c r="E288" s="29">
        <v>197.0</v>
      </c>
      <c r="F288" s="30" t="s">
        <v>818</v>
      </c>
      <c r="G288" s="29" t="s">
        <v>626</v>
      </c>
      <c r="H288" s="31">
        <v>569.99</v>
      </c>
      <c r="I288" s="29" t="s">
        <v>612</v>
      </c>
      <c r="J288" s="32" t="s">
        <v>642</v>
      </c>
      <c r="K288" s="29" t="s">
        <v>698</v>
      </c>
      <c r="L288" s="29" t="s">
        <v>798</v>
      </c>
      <c r="M288" s="33">
        <v>28.848</v>
      </c>
      <c r="N288" s="33">
        <v>-32.272</v>
      </c>
      <c r="O288" s="34" t="s">
        <v>601</v>
      </c>
      <c r="P288" s="32" t="s">
        <v>602</v>
      </c>
      <c r="Q288" s="35">
        <v>12.0</v>
      </c>
      <c r="R288" s="35">
        <v>4.0</v>
      </c>
      <c r="S288" s="36">
        <v>0.0057</v>
      </c>
      <c r="T288" s="36">
        <v>0.0625</v>
      </c>
      <c r="U288" s="36">
        <v>0.0197</v>
      </c>
      <c r="V288" s="36">
        <v>0.125</v>
      </c>
      <c r="W288" s="37" t="s">
        <v>799</v>
      </c>
      <c r="X288" s="31">
        <v>0.75</v>
      </c>
      <c r="Y288" s="36">
        <v>-2.3918754510419333</v>
      </c>
      <c r="Z288" s="36">
        <v>1.9954088437467936</v>
      </c>
      <c r="AA288" s="29" t="s">
        <v>800</v>
      </c>
      <c r="AB288" s="31">
        <v>7.71007919312</v>
      </c>
      <c r="AC288" s="38">
        <v>315.0</v>
      </c>
    </row>
    <row r="289" ht="14.25" customHeight="1">
      <c r="A289" s="29" t="s">
        <v>270</v>
      </c>
      <c r="B289" s="29">
        <v>41.0</v>
      </c>
      <c r="C289" s="29" t="s">
        <v>608</v>
      </c>
      <c r="D289" s="29" t="s">
        <v>817</v>
      </c>
      <c r="E289" s="29">
        <v>197.0</v>
      </c>
      <c r="F289" s="30" t="s">
        <v>818</v>
      </c>
      <c r="G289" s="29" t="s">
        <v>626</v>
      </c>
      <c r="H289" s="31">
        <v>569.99</v>
      </c>
      <c r="I289" s="29" t="s">
        <v>612</v>
      </c>
      <c r="J289" s="32" t="s">
        <v>642</v>
      </c>
      <c r="K289" s="29" t="s">
        <v>698</v>
      </c>
      <c r="L289" s="29" t="s">
        <v>798</v>
      </c>
      <c r="M289" s="33">
        <v>28.848</v>
      </c>
      <c r="N289" s="33">
        <v>-32.272</v>
      </c>
      <c r="O289" s="34" t="s">
        <v>601</v>
      </c>
      <c r="P289" s="32" t="s">
        <v>602</v>
      </c>
      <c r="Q289" s="35">
        <v>15.0</v>
      </c>
      <c r="R289" s="35">
        <v>4.0</v>
      </c>
      <c r="S289" s="36">
        <v>0.1333</v>
      </c>
      <c r="T289" s="36">
        <v>0.0625</v>
      </c>
      <c r="U289" s="36">
        <v>0.5164</v>
      </c>
      <c r="V289" s="36">
        <v>0.125</v>
      </c>
      <c r="W289" s="37" t="s">
        <v>799</v>
      </c>
      <c r="X289" s="31">
        <v>1.25</v>
      </c>
      <c r="Y289" s="36">
        <v>0.7575566299006182</v>
      </c>
      <c r="Z289" s="36">
        <v>2.0005087918641324</v>
      </c>
      <c r="AA289" s="29" t="s">
        <v>800</v>
      </c>
      <c r="AB289" s="31">
        <v>7.71007919312</v>
      </c>
      <c r="AC289" s="38">
        <v>315.0</v>
      </c>
    </row>
    <row r="290" ht="14.25" customHeight="1">
      <c r="A290" s="29" t="s">
        <v>270</v>
      </c>
      <c r="B290" s="29">
        <v>41.0</v>
      </c>
      <c r="C290" s="29" t="s">
        <v>608</v>
      </c>
      <c r="D290" s="29" t="s">
        <v>817</v>
      </c>
      <c r="E290" s="29">
        <v>197.0</v>
      </c>
      <c r="F290" s="30" t="s">
        <v>818</v>
      </c>
      <c r="G290" s="29" t="s">
        <v>626</v>
      </c>
      <c r="H290" s="31">
        <v>569.99</v>
      </c>
      <c r="I290" s="29" t="s">
        <v>612</v>
      </c>
      <c r="J290" s="32" t="s">
        <v>642</v>
      </c>
      <c r="K290" s="29" t="s">
        <v>698</v>
      </c>
      <c r="L290" s="29" t="s">
        <v>798</v>
      </c>
      <c r="M290" s="33">
        <v>28.848</v>
      </c>
      <c r="N290" s="33">
        <v>-32.272</v>
      </c>
      <c r="O290" s="34" t="s">
        <v>601</v>
      </c>
      <c r="P290" s="32" t="s">
        <v>602</v>
      </c>
      <c r="Q290" s="35">
        <v>4.0</v>
      </c>
      <c r="R290" s="35">
        <v>4.0</v>
      </c>
      <c r="S290" s="36">
        <v>0.0</v>
      </c>
      <c r="T290" s="36">
        <v>0.0625</v>
      </c>
      <c r="U290" s="36">
        <v>0.0</v>
      </c>
      <c r="V290" s="36">
        <v>0.125</v>
      </c>
      <c r="W290" s="37" t="s">
        <v>799</v>
      </c>
      <c r="X290" s="31">
        <v>1.75</v>
      </c>
      <c r="Y290" s="36">
        <v>-8.262558973010657</v>
      </c>
      <c r="Z290" s="36">
        <v>0.558641975308642</v>
      </c>
      <c r="AA290" s="29" t="s">
        <v>800</v>
      </c>
      <c r="AB290" s="31">
        <v>7.71007919312</v>
      </c>
      <c r="AC290" s="38">
        <v>315.0</v>
      </c>
    </row>
    <row r="291" ht="14.25" customHeight="1">
      <c r="A291" s="29" t="s">
        <v>270</v>
      </c>
      <c r="B291" s="29">
        <v>41.0</v>
      </c>
      <c r="C291" s="29" t="s">
        <v>608</v>
      </c>
      <c r="D291" s="29" t="s">
        <v>817</v>
      </c>
      <c r="E291" s="29">
        <v>197.0</v>
      </c>
      <c r="F291" s="30" t="s">
        <v>818</v>
      </c>
      <c r="G291" s="29" t="s">
        <v>626</v>
      </c>
      <c r="H291" s="31">
        <v>569.99</v>
      </c>
      <c r="I291" s="29" t="s">
        <v>612</v>
      </c>
      <c r="J291" s="32" t="s">
        <v>642</v>
      </c>
      <c r="K291" s="29" t="s">
        <v>698</v>
      </c>
      <c r="L291" s="29" t="s">
        <v>798</v>
      </c>
      <c r="M291" s="33">
        <v>28.848</v>
      </c>
      <c r="N291" s="33">
        <v>-32.272</v>
      </c>
      <c r="O291" s="34" t="s">
        <v>601</v>
      </c>
      <c r="P291" s="32" t="s">
        <v>602</v>
      </c>
      <c r="Q291" s="35">
        <v>3.0</v>
      </c>
      <c r="R291" s="35">
        <v>4.0</v>
      </c>
      <c r="S291" s="36">
        <v>0.0</v>
      </c>
      <c r="T291" s="36">
        <v>0.0625</v>
      </c>
      <c r="U291" s="36">
        <v>0.0</v>
      </c>
      <c r="V291" s="36">
        <v>0.125</v>
      </c>
      <c r="W291" s="37" t="s">
        <v>799</v>
      </c>
      <c r="X291" s="31">
        <v>2.25</v>
      </c>
      <c r="Y291" s="36">
        <v>-8.262558973010657</v>
      </c>
      <c r="Z291" s="36">
        <v>0.6419753086419753</v>
      </c>
      <c r="AA291" s="29" t="s">
        <v>800</v>
      </c>
      <c r="AB291" s="31">
        <v>7.71007919312</v>
      </c>
      <c r="AC291" s="38">
        <v>315.0</v>
      </c>
    </row>
    <row r="292" ht="14.25" customHeight="1">
      <c r="A292" s="29" t="s">
        <v>270</v>
      </c>
      <c r="B292" s="29">
        <v>41.0</v>
      </c>
      <c r="C292" s="29" t="s">
        <v>608</v>
      </c>
      <c r="D292" s="29" t="s">
        <v>775</v>
      </c>
      <c r="E292" s="29">
        <v>198.0</v>
      </c>
      <c r="F292" s="30" t="s">
        <v>776</v>
      </c>
      <c r="G292" s="29" t="s">
        <v>626</v>
      </c>
      <c r="H292" s="31">
        <v>43.25</v>
      </c>
      <c r="I292" s="29" t="s">
        <v>612</v>
      </c>
      <c r="J292" s="32" t="s">
        <v>642</v>
      </c>
      <c r="K292" s="29" t="s">
        <v>698</v>
      </c>
      <c r="L292" s="29" t="s">
        <v>798</v>
      </c>
      <c r="M292" s="33">
        <v>28.848</v>
      </c>
      <c r="N292" s="33">
        <v>-32.272</v>
      </c>
      <c r="O292" s="34" t="s">
        <v>601</v>
      </c>
      <c r="P292" s="32" t="s">
        <v>602</v>
      </c>
      <c r="Q292" s="35">
        <v>8.0</v>
      </c>
      <c r="R292" s="35">
        <v>4.0</v>
      </c>
      <c r="S292" s="36">
        <v>2.0157</v>
      </c>
      <c r="T292" s="36">
        <v>1.4091</v>
      </c>
      <c r="U292" s="36">
        <v>1.5041</v>
      </c>
      <c r="V292" s="36">
        <v>1.262</v>
      </c>
      <c r="W292" s="37" t="s">
        <v>799</v>
      </c>
      <c r="X292" s="31">
        <v>0.25</v>
      </c>
      <c r="Y292" s="36">
        <v>0.3581956672769985</v>
      </c>
      <c r="Z292" s="36">
        <v>0.27012841595266956</v>
      </c>
      <c r="AA292" s="29" t="s">
        <v>800</v>
      </c>
      <c r="AB292" s="31">
        <v>7.71007919312</v>
      </c>
      <c r="AC292" s="38">
        <v>315.0</v>
      </c>
    </row>
    <row r="293" ht="14.25" customHeight="1">
      <c r="A293" s="29" t="s">
        <v>270</v>
      </c>
      <c r="B293" s="29">
        <v>41.0</v>
      </c>
      <c r="C293" s="29" t="s">
        <v>608</v>
      </c>
      <c r="D293" s="29" t="s">
        <v>775</v>
      </c>
      <c r="E293" s="29">
        <v>198.0</v>
      </c>
      <c r="F293" s="30" t="s">
        <v>776</v>
      </c>
      <c r="G293" s="29" t="s">
        <v>626</v>
      </c>
      <c r="H293" s="31">
        <v>43.25</v>
      </c>
      <c r="I293" s="29" t="s">
        <v>612</v>
      </c>
      <c r="J293" s="32" t="s">
        <v>642</v>
      </c>
      <c r="K293" s="29" t="s">
        <v>698</v>
      </c>
      <c r="L293" s="29" t="s">
        <v>798</v>
      </c>
      <c r="M293" s="33">
        <v>28.848</v>
      </c>
      <c r="N293" s="33">
        <v>-32.272</v>
      </c>
      <c r="O293" s="34" t="s">
        <v>601</v>
      </c>
      <c r="P293" s="32" t="s">
        <v>602</v>
      </c>
      <c r="Q293" s="35">
        <v>12.0</v>
      </c>
      <c r="R293" s="35">
        <v>4.0</v>
      </c>
      <c r="S293" s="36">
        <v>1.9469</v>
      </c>
      <c r="T293" s="36">
        <v>1.4091</v>
      </c>
      <c r="U293" s="36">
        <v>2.6371</v>
      </c>
      <c r="V293" s="36">
        <v>1.262</v>
      </c>
      <c r="W293" s="37" t="s">
        <v>799</v>
      </c>
      <c r="X293" s="31">
        <v>0.75</v>
      </c>
      <c r="Y293" s="36">
        <v>0.3234738739826976</v>
      </c>
      <c r="Z293" s="36">
        <v>0.35341999523987844</v>
      </c>
      <c r="AA293" s="29" t="s">
        <v>800</v>
      </c>
      <c r="AB293" s="31">
        <v>7.71007919312</v>
      </c>
      <c r="AC293" s="38">
        <v>315.0</v>
      </c>
    </row>
    <row r="294" ht="14.25" customHeight="1">
      <c r="A294" s="29" t="s">
        <v>270</v>
      </c>
      <c r="B294" s="29">
        <v>41.0</v>
      </c>
      <c r="C294" s="29" t="s">
        <v>608</v>
      </c>
      <c r="D294" s="29" t="s">
        <v>775</v>
      </c>
      <c r="E294" s="29">
        <v>198.0</v>
      </c>
      <c r="F294" s="30" t="s">
        <v>776</v>
      </c>
      <c r="G294" s="29" t="s">
        <v>626</v>
      </c>
      <c r="H294" s="31">
        <v>43.25</v>
      </c>
      <c r="I294" s="29" t="s">
        <v>612</v>
      </c>
      <c r="J294" s="32" t="s">
        <v>642</v>
      </c>
      <c r="K294" s="29" t="s">
        <v>698</v>
      </c>
      <c r="L294" s="29" t="s">
        <v>798</v>
      </c>
      <c r="M294" s="33">
        <v>28.848</v>
      </c>
      <c r="N294" s="33">
        <v>-32.272</v>
      </c>
      <c r="O294" s="34" t="s">
        <v>601</v>
      </c>
      <c r="P294" s="32" t="s">
        <v>602</v>
      </c>
      <c r="Q294" s="35">
        <v>15.0</v>
      </c>
      <c r="R294" s="35">
        <v>4.0</v>
      </c>
      <c r="S294" s="36">
        <v>1.5776</v>
      </c>
      <c r="T294" s="36">
        <v>1.4091</v>
      </c>
      <c r="U294" s="36">
        <v>2.7178</v>
      </c>
      <c r="V294" s="36">
        <v>1.262</v>
      </c>
      <c r="W294" s="37" t="s">
        <v>799</v>
      </c>
      <c r="X294" s="31">
        <v>1.25</v>
      </c>
      <c r="Y294" s="36">
        <v>0.11318391734135076</v>
      </c>
      <c r="Z294" s="36">
        <v>0.3983843538927373</v>
      </c>
      <c r="AA294" s="29" t="s">
        <v>800</v>
      </c>
      <c r="AB294" s="31">
        <v>7.71007919312</v>
      </c>
      <c r="AC294" s="38">
        <v>315.0</v>
      </c>
    </row>
    <row r="295" ht="14.25" customHeight="1">
      <c r="A295" s="29" t="s">
        <v>270</v>
      </c>
      <c r="B295" s="29">
        <v>41.0</v>
      </c>
      <c r="C295" s="29" t="s">
        <v>608</v>
      </c>
      <c r="D295" s="29" t="s">
        <v>775</v>
      </c>
      <c r="E295" s="29">
        <v>198.0</v>
      </c>
      <c r="F295" s="30" t="s">
        <v>776</v>
      </c>
      <c r="G295" s="29" t="s">
        <v>626</v>
      </c>
      <c r="H295" s="31">
        <v>43.25</v>
      </c>
      <c r="I295" s="29" t="s">
        <v>612</v>
      </c>
      <c r="J295" s="32" t="s">
        <v>642</v>
      </c>
      <c r="K295" s="29" t="s">
        <v>698</v>
      </c>
      <c r="L295" s="29" t="s">
        <v>798</v>
      </c>
      <c r="M295" s="33">
        <v>28.848</v>
      </c>
      <c r="N295" s="33">
        <v>-32.272</v>
      </c>
      <c r="O295" s="34" t="s">
        <v>601</v>
      </c>
      <c r="P295" s="32" t="s">
        <v>602</v>
      </c>
      <c r="Q295" s="35">
        <v>4.0</v>
      </c>
      <c r="R295" s="35">
        <v>4.0</v>
      </c>
      <c r="S295" s="36">
        <v>1.8111</v>
      </c>
      <c r="T295" s="36">
        <v>1.4091</v>
      </c>
      <c r="U295" s="36">
        <v>2.6851</v>
      </c>
      <c r="V295" s="36">
        <v>1.262</v>
      </c>
      <c r="W295" s="37" t="s">
        <v>799</v>
      </c>
      <c r="X295" s="31">
        <v>1.75</v>
      </c>
      <c r="Y295" s="36">
        <v>0.25118390416530084</v>
      </c>
      <c r="Z295" s="36">
        <v>0.7500386336035789</v>
      </c>
      <c r="AA295" s="29" t="s">
        <v>800</v>
      </c>
      <c r="AB295" s="31">
        <v>7.71007919312</v>
      </c>
      <c r="AC295" s="38">
        <v>315.0</v>
      </c>
    </row>
    <row r="296" ht="14.25" customHeight="1">
      <c r="A296" s="29" t="s">
        <v>270</v>
      </c>
      <c r="B296" s="29">
        <v>41.0</v>
      </c>
      <c r="C296" s="29" t="s">
        <v>608</v>
      </c>
      <c r="D296" s="29" t="s">
        <v>775</v>
      </c>
      <c r="E296" s="29">
        <v>198.0</v>
      </c>
      <c r="F296" s="30" t="s">
        <v>776</v>
      </c>
      <c r="G296" s="29" t="s">
        <v>626</v>
      </c>
      <c r="H296" s="31">
        <v>43.25</v>
      </c>
      <c r="I296" s="29" t="s">
        <v>612</v>
      </c>
      <c r="J296" s="32" t="s">
        <v>642</v>
      </c>
      <c r="K296" s="29" t="s">
        <v>698</v>
      </c>
      <c r="L296" s="29" t="s">
        <v>798</v>
      </c>
      <c r="M296" s="33">
        <v>28.848</v>
      </c>
      <c r="N296" s="33">
        <v>-32.272</v>
      </c>
      <c r="O296" s="34" t="s">
        <v>601</v>
      </c>
      <c r="P296" s="32" t="s">
        <v>602</v>
      </c>
      <c r="Q296" s="35">
        <v>3.0</v>
      </c>
      <c r="R296" s="35">
        <v>4.0</v>
      </c>
      <c r="S296" s="36">
        <v>0.8175</v>
      </c>
      <c r="T296" s="36">
        <v>1.4091</v>
      </c>
      <c r="U296" s="36">
        <v>0.2814</v>
      </c>
      <c r="V296" s="36">
        <v>1.262</v>
      </c>
      <c r="W296" s="37" t="s">
        <v>799</v>
      </c>
      <c r="X296" s="31">
        <v>2.25</v>
      </c>
      <c r="Y296" s="36">
        <v>-0.5440109745494623</v>
      </c>
      <c r="Z296" s="36">
        <v>0.24002387554576615</v>
      </c>
      <c r="AA296" s="29" t="s">
        <v>800</v>
      </c>
      <c r="AB296" s="31">
        <v>7.71007919312</v>
      </c>
      <c r="AC296" s="38">
        <v>315.0</v>
      </c>
    </row>
    <row r="297" ht="14.25" customHeight="1">
      <c r="A297" s="29" t="s">
        <v>98</v>
      </c>
      <c r="B297" s="29">
        <v>143.0</v>
      </c>
      <c r="C297" s="29" t="s">
        <v>608</v>
      </c>
      <c r="D297" s="29" t="s">
        <v>677</v>
      </c>
      <c r="E297" s="29">
        <v>100.0</v>
      </c>
      <c r="F297" s="30" t="s">
        <v>678</v>
      </c>
      <c r="G297" s="29" t="s">
        <v>626</v>
      </c>
      <c r="H297" s="31">
        <v>22.8</v>
      </c>
      <c r="I297" s="29" t="s">
        <v>612</v>
      </c>
      <c r="J297" s="32" t="s">
        <v>642</v>
      </c>
      <c r="K297" s="29" t="s">
        <v>599</v>
      </c>
      <c r="L297" s="29" t="s">
        <v>819</v>
      </c>
      <c r="M297" s="36">
        <v>-73.957758</v>
      </c>
      <c r="N297" s="36">
        <v>-4.15513</v>
      </c>
      <c r="O297" s="34" t="s">
        <v>641</v>
      </c>
      <c r="P297" s="32" t="s">
        <v>602</v>
      </c>
      <c r="Q297" s="29">
        <v>20.0</v>
      </c>
      <c r="R297" s="29">
        <v>15.0</v>
      </c>
      <c r="S297" s="36">
        <v>0.49</v>
      </c>
      <c r="T297" s="36">
        <v>2.7</v>
      </c>
      <c r="U297" s="36">
        <f t="shared" ref="U297:V297" si="61">SQRT(S297)</f>
        <v>0.7</v>
      </c>
      <c r="V297" s="36">
        <f t="shared" si="61"/>
        <v>1.643167673</v>
      </c>
      <c r="W297" s="37" t="s">
        <v>623</v>
      </c>
      <c r="X297" s="31">
        <v>18.0</v>
      </c>
      <c r="Y297" s="36">
        <v>-1.705181049154507</v>
      </c>
      <c r="Z297" s="36">
        <v>0.12673217435122197</v>
      </c>
      <c r="AA297" s="29" t="s">
        <v>820</v>
      </c>
      <c r="AB297" s="31">
        <v>4.43</v>
      </c>
      <c r="AC297" s="38">
        <v>2385.0</v>
      </c>
    </row>
    <row r="298" ht="14.25" customHeight="1">
      <c r="A298" s="29" t="s">
        <v>98</v>
      </c>
      <c r="B298" s="29">
        <v>143.0</v>
      </c>
      <c r="C298" s="29" t="s">
        <v>608</v>
      </c>
      <c r="D298" s="29" t="s">
        <v>677</v>
      </c>
      <c r="E298" s="29">
        <v>100.0</v>
      </c>
      <c r="F298" s="30" t="s">
        <v>678</v>
      </c>
      <c r="G298" s="29" t="s">
        <v>626</v>
      </c>
      <c r="H298" s="31">
        <v>22.8</v>
      </c>
      <c r="I298" s="29" t="s">
        <v>612</v>
      </c>
      <c r="J298" s="32" t="s">
        <v>642</v>
      </c>
      <c r="K298" s="29" t="s">
        <v>599</v>
      </c>
      <c r="L298" s="29" t="s">
        <v>819</v>
      </c>
      <c r="M298" s="36">
        <v>-75.218185</v>
      </c>
      <c r="N298" s="36">
        <v>-1.618693</v>
      </c>
      <c r="O298" s="34" t="s">
        <v>641</v>
      </c>
      <c r="P298" s="32" t="s">
        <v>602</v>
      </c>
      <c r="Q298" s="29">
        <v>15.0</v>
      </c>
      <c r="R298" s="29">
        <v>15.0</v>
      </c>
      <c r="S298" s="36">
        <v>2.7</v>
      </c>
      <c r="T298" s="36">
        <v>2.7</v>
      </c>
      <c r="U298" s="36">
        <f t="shared" ref="U298:V298" si="62">SQRT(S298)</f>
        <v>1.643167673</v>
      </c>
      <c r="V298" s="36">
        <f t="shared" si="62"/>
        <v>1.643167673</v>
      </c>
      <c r="W298" s="37" t="s">
        <v>623</v>
      </c>
      <c r="X298" s="31">
        <v>18.0</v>
      </c>
      <c r="Y298" s="36">
        <v>2.5796466027220563E-4</v>
      </c>
      <c r="Z298" s="36">
        <v>0.04938271604938271</v>
      </c>
      <c r="AA298" s="29" t="s">
        <v>820</v>
      </c>
      <c r="AB298" s="31">
        <v>4.43</v>
      </c>
      <c r="AC298" s="38">
        <v>2385.0</v>
      </c>
    </row>
    <row r="299" ht="14.25" customHeight="1">
      <c r="A299" s="29" t="s">
        <v>98</v>
      </c>
      <c r="B299" s="29">
        <v>143.0</v>
      </c>
      <c r="C299" s="29" t="s">
        <v>608</v>
      </c>
      <c r="D299" s="29" t="s">
        <v>821</v>
      </c>
      <c r="E299" s="29">
        <v>103.0</v>
      </c>
      <c r="F299" s="30" t="s">
        <v>822</v>
      </c>
      <c r="G299" s="29" t="s">
        <v>626</v>
      </c>
      <c r="H299" s="31">
        <v>16.63</v>
      </c>
      <c r="I299" s="29" t="s">
        <v>616</v>
      </c>
      <c r="J299" s="32" t="s">
        <v>642</v>
      </c>
      <c r="K299" s="29" t="s">
        <v>599</v>
      </c>
      <c r="L299" s="29" t="s">
        <v>819</v>
      </c>
      <c r="M299" s="36">
        <v>-73.957758</v>
      </c>
      <c r="N299" s="36">
        <v>-4.15513</v>
      </c>
      <c r="O299" s="34" t="s">
        <v>641</v>
      </c>
      <c r="P299" s="32" t="s">
        <v>602</v>
      </c>
      <c r="Q299" s="29">
        <v>20.0</v>
      </c>
      <c r="R299" s="29">
        <v>15.0</v>
      </c>
      <c r="S299" s="36">
        <v>0.27</v>
      </c>
      <c r="T299" s="36">
        <v>1.4</v>
      </c>
      <c r="U299" s="36">
        <f t="shared" ref="U299:V299" si="63">SQRT(S299)</f>
        <v>0.5196152423</v>
      </c>
      <c r="V299" s="36">
        <f t="shared" si="63"/>
        <v>1.183215957</v>
      </c>
      <c r="W299" s="37" t="s">
        <v>623</v>
      </c>
      <c r="X299" s="31">
        <v>18.0</v>
      </c>
      <c r="Y299" s="36">
        <v>-1.6444686835424762</v>
      </c>
      <c r="Z299" s="36">
        <v>0.23280423280423282</v>
      </c>
      <c r="AA299" s="29" t="s">
        <v>820</v>
      </c>
      <c r="AB299" s="31">
        <v>4.43</v>
      </c>
      <c r="AC299" s="38">
        <v>2385.0</v>
      </c>
    </row>
    <row r="300" ht="14.25" customHeight="1">
      <c r="A300" s="29" t="s">
        <v>98</v>
      </c>
      <c r="B300" s="29">
        <v>143.0</v>
      </c>
      <c r="C300" s="29" t="s">
        <v>608</v>
      </c>
      <c r="D300" s="29" t="s">
        <v>821</v>
      </c>
      <c r="E300" s="29">
        <v>103.0</v>
      </c>
      <c r="F300" s="30" t="s">
        <v>822</v>
      </c>
      <c r="G300" s="29" t="s">
        <v>626</v>
      </c>
      <c r="H300" s="31">
        <v>16.63</v>
      </c>
      <c r="I300" s="29" t="s">
        <v>616</v>
      </c>
      <c r="J300" s="32" t="s">
        <v>642</v>
      </c>
      <c r="K300" s="29" t="s">
        <v>599</v>
      </c>
      <c r="L300" s="29" t="s">
        <v>819</v>
      </c>
      <c r="M300" s="36">
        <v>-75.218185</v>
      </c>
      <c r="N300" s="36">
        <v>-1.618693</v>
      </c>
      <c r="O300" s="34" t="s">
        <v>641</v>
      </c>
      <c r="P300" s="32" t="s">
        <v>602</v>
      </c>
      <c r="Q300" s="29">
        <v>15.0</v>
      </c>
      <c r="R300" s="29">
        <v>15.0</v>
      </c>
      <c r="S300" s="36">
        <v>1.4</v>
      </c>
      <c r="T300" s="36">
        <v>1.4</v>
      </c>
      <c r="U300" s="36">
        <f t="shared" ref="U300:V300" si="64">SQRT(S300)</f>
        <v>1.183215957</v>
      </c>
      <c r="V300" s="36">
        <f t="shared" si="64"/>
        <v>1.183215957</v>
      </c>
      <c r="W300" s="37" t="s">
        <v>623</v>
      </c>
      <c r="X300" s="31">
        <v>18.0</v>
      </c>
      <c r="Y300" s="36">
        <v>2.5796466027220563E-4</v>
      </c>
      <c r="Z300" s="36">
        <v>0.09523809523809525</v>
      </c>
      <c r="AA300" s="29" t="s">
        <v>820</v>
      </c>
      <c r="AB300" s="31">
        <v>4.43</v>
      </c>
      <c r="AC300" s="38">
        <v>2385.0</v>
      </c>
    </row>
    <row r="301" ht="14.25" customHeight="1">
      <c r="A301" s="29" t="s">
        <v>98</v>
      </c>
      <c r="B301" s="29">
        <v>143.0</v>
      </c>
      <c r="C301" s="29" t="s">
        <v>608</v>
      </c>
      <c r="D301" s="29" t="s">
        <v>630</v>
      </c>
      <c r="E301" s="29">
        <v>129.0</v>
      </c>
      <c r="F301" s="30" t="s">
        <v>631</v>
      </c>
      <c r="G301" s="29" t="s">
        <v>626</v>
      </c>
      <c r="H301" s="31">
        <v>21.27</v>
      </c>
      <c r="I301" s="29" t="s">
        <v>612</v>
      </c>
      <c r="J301" s="32" t="s">
        <v>642</v>
      </c>
      <c r="K301" s="29" t="s">
        <v>599</v>
      </c>
      <c r="L301" s="29" t="s">
        <v>819</v>
      </c>
      <c r="M301" s="36">
        <v>-73.957758</v>
      </c>
      <c r="N301" s="36">
        <v>-4.15513</v>
      </c>
      <c r="O301" s="34" t="s">
        <v>641</v>
      </c>
      <c r="P301" s="32" t="s">
        <v>602</v>
      </c>
      <c r="Q301" s="29">
        <v>20.0</v>
      </c>
      <c r="R301" s="29">
        <v>15.0</v>
      </c>
      <c r="S301" s="36">
        <v>6.1</v>
      </c>
      <c r="T301" s="36">
        <v>14.4</v>
      </c>
      <c r="U301" s="36">
        <f t="shared" ref="U301:V301" si="65">SQRT(S301)</f>
        <v>2.469817807</v>
      </c>
      <c r="V301" s="36">
        <f t="shared" si="65"/>
        <v>3.794733192</v>
      </c>
      <c r="W301" s="37" t="s">
        <v>623</v>
      </c>
      <c r="X301" s="31">
        <v>18.0</v>
      </c>
      <c r="Y301" s="36">
        <v>-0.8583305764869297</v>
      </c>
      <c r="Z301" s="36">
        <v>0.012826350941105041</v>
      </c>
      <c r="AA301" s="29" t="s">
        <v>820</v>
      </c>
      <c r="AB301" s="31">
        <v>4.43</v>
      </c>
      <c r="AC301" s="38">
        <v>2385.0</v>
      </c>
    </row>
    <row r="302" ht="14.25" customHeight="1">
      <c r="A302" s="29" t="s">
        <v>98</v>
      </c>
      <c r="B302" s="29">
        <v>143.0</v>
      </c>
      <c r="C302" s="29" t="s">
        <v>608</v>
      </c>
      <c r="D302" s="29" t="s">
        <v>630</v>
      </c>
      <c r="E302" s="29">
        <v>129.0</v>
      </c>
      <c r="F302" s="30" t="s">
        <v>631</v>
      </c>
      <c r="G302" s="29" t="s">
        <v>626</v>
      </c>
      <c r="H302" s="31">
        <v>21.27</v>
      </c>
      <c r="I302" s="29" t="s">
        <v>612</v>
      </c>
      <c r="J302" s="32" t="s">
        <v>642</v>
      </c>
      <c r="K302" s="29" t="s">
        <v>599</v>
      </c>
      <c r="L302" s="29" t="s">
        <v>819</v>
      </c>
      <c r="M302" s="36">
        <v>-75.218185</v>
      </c>
      <c r="N302" s="36">
        <v>-1.618693</v>
      </c>
      <c r="O302" s="34" t="s">
        <v>641</v>
      </c>
      <c r="P302" s="32" t="s">
        <v>602</v>
      </c>
      <c r="Q302" s="29">
        <v>15.0</v>
      </c>
      <c r="R302" s="29">
        <v>15.0</v>
      </c>
      <c r="S302" s="36">
        <v>14.4</v>
      </c>
      <c r="T302" s="36">
        <v>14.4</v>
      </c>
      <c r="U302" s="36">
        <f t="shared" ref="U302:V302" si="66">SQRT(S302)</f>
        <v>3.794733192</v>
      </c>
      <c r="V302" s="36">
        <f t="shared" si="66"/>
        <v>3.794733192</v>
      </c>
      <c r="W302" s="37" t="s">
        <v>623</v>
      </c>
      <c r="X302" s="31">
        <v>18.0</v>
      </c>
      <c r="Y302" s="36">
        <v>2.5796466027220563E-4</v>
      </c>
      <c r="Z302" s="36">
        <v>0.009259259259259259</v>
      </c>
      <c r="AA302" s="29" t="s">
        <v>820</v>
      </c>
      <c r="AB302" s="31">
        <v>4.43</v>
      </c>
      <c r="AC302" s="38">
        <v>2385.0</v>
      </c>
    </row>
    <row r="303" ht="14.25" customHeight="1">
      <c r="A303" s="29" t="s">
        <v>98</v>
      </c>
      <c r="B303" s="29">
        <v>143.0</v>
      </c>
      <c r="C303" s="29" t="s">
        <v>608</v>
      </c>
      <c r="D303" s="29" t="s">
        <v>663</v>
      </c>
      <c r="E303" s="29">
        <v>189.0</v>
      </c>
      <c r="F303" s="30" t="s">
        <v>637</v>
      </c>
      <c r="G303" s="29" t="s">
        <v>638</v>
      </c>
      <c r="H303" s="31">
        <v>207.5</v>
      </c>
      <c r="I303" s="29" t="s">
        <v>612</v>
      </c>
      <c r="J303" s="32" t="s">
        <v>642</v>
      </c>
      <c r="K303" s="29" t="s">
        <v>599</v>
      </c>
      <c r="L303" s="29" t="s">
        <v>819</v>
      </c>
      <c r="M303" s="36">
        <v>-73.957758</v>
      </c>
      <c r="N303" s="36">
        <v>-4.15513</v>
      </c>
      <c r="O303" s="34" t="s">
        <v>641</v>
      </c>
      <c r="P303" s="32" t="s">
        <v>602</v>
      </c>
      <c r="Q303" s="29">
        <v>20.0</v>
      </c>
      <c r="R303" s="29">
        <v>15.0</v>
      </c>
      <c r="S303" s="36">
        <v>0.08</v>
      </c>
      <c r="T303" s="36">
        <v>1.5</v>
      </c>
      <c r="U303" s="36">
        <f t="shared" ref="U303:V303" si="67">SQRT(S303)</f>
        <v>0.2828427125</v>
      </c>
      <c r="V303" s="36">
        <f t="shared" si="67"/>
        <v>1.224744871</v>
      </c>
      <c r="W303" s="37" t="s">
        <v>623</v>
      </c>
      <c r="X303" s="31">
        <v>18.0</v>
      </c>
      <c r="Y303" s="36">
        <v>-2.9263679540345384</v>
      </c>
      <c r="Z303" s="36">
        <v>0.6694444444444444</v>
      </c>
      <c r="AA303" s="29" t="s">
        <v>820</v>
      </c>
      <c r="AB303" s="31">
        <v>4.43</v>
      </c>
      <c r="AC303" s="38">
        <v>2385.0</v>
      </c>
    </row>
    <row r="304" ht="14.25" customHeight="1">
      <c r="A304" s="29" t="s">
        <v>98</v>
      </c>
      <c r="B304" s="29">
        <v>143.0</v>
      </c>
      <c r="C304" s="29" t="s">
        <v>608</v>
      </c>
      <c r="D304" s="29" t="s">
        <v>663</v>
      </c>
      <c r="E304" s="29">
        <v>189.0</v>
      </c>
      <c r="F304" s="30" t="s">
        <v>637</v>
      </c>
      <c r="G304" s="29" t="s">
        <v>638</v>
      </c>
      <c r="H304" s="31">
        <v>207.5</v>
      </c>
      <c r="I304" s="29" t="s">
        <v>612</v>
      </c>
      <c r="J304" s="32" t="s">
        <v>642</v>
      </c>
      <c r="K304" s="29" t="s">
        <v>599</v>
      </c>
      <c r="L304" s="29" t="s">
        <v>819</v>
      </c>
      <c r="M304" s="36">
        <v>-75.218185</v>
      </c>
      <c r="N304" s="36">
        <v>-1.618693</v>
      </c>
      <c r="O304" s="34" t="s">
        <v>641</v>
      </c>
      <c r="P304" s="32" t="s">
        <v>602</v>
      </c>
      <c r="Q304" s="29">
        <v>15.0</v>
      </c>
      <c r="R304" s="29">
        <v>15.0</v>
      </c>
      <c r="S304" s="36">
        <v>1.5</v>
      </c>
      <c r="T304" s="36">
        <v>1.5</v>
      </c>
      <c r="U304" s="36">
        <f t="shared" ref="U304:V304" si="68">SQRT(S304)</f>
        <v>1.224744871</v>
      </c>
      <c r="V304" s="36">
        <f t="shared" si="68"/>
        <v>1.224744871</v>
      </c>
      <c r="W304" s="37" t="s">
        <v>623</v>
      </c>
      <c r="X304" s="31">
        <v>18.0</v>
      </c>
      <c r="Y304" s="36">
        <v>2.5796466027220563E-4</v>
      </c>
      <c r="Z304" s="36">
        <v>0.08888888888888888</v>
      </c>
      <c r="AA304" s="29" t="s">
        <v>820</v>
      </c>
      <c r="AB304" s="31">
        <v>4.43</v>
      </c>
      <c r="AC304" s="38">
        <v>2385.0</v>
      </c>
    </row>
    <row r="305" ht="14.25" customHeight="1">
      <c r="A305" s="29" t="s">
        <v>98</v>
      </c>
      <c r="B305" s="29">
        <v>143.0</v>
      </c>
      <c r="C305" s="29" t="s">
        <v>608</v>
      </c>
      <c r="D305" s="29" t="s">
        <v>639</v>
      </c>
      <c r="E305" s="29">
        <v>190.0</v>
      </c>
      <c r="F305" s="30" t="s">
        <v>640</v>
      </c>
      <c r="G305" s="29" t="s">
        <v>626</v>
      </c>
      <c r="H305" s="31">
        <v>32.23</v>
      </c>
      <c r="I305" s="29" t="s">
        <v>597</v>
      </c>
      <c r="J305" s="32" t="s">
        <v>642</v>
      </c>
      <c r="K305" s="29" t="s">
        <v>599</v>
      </c>
      <c r="L305" s="29" t="s">
        <v>819</v>
      </c>
      <c r="M305" s="36">
        <v>-73.957758</v>
      </c>
      <c r="N305" s="36">
        <v>-4.15513</v>
      </c>
      <c r="O305" s="34" t="s">
        <v>641</v>
      </c>
      <c r="P305" s="32" t="s">
        <v>602</v>
      </c>
      <c r="Q305" s="29">
        <v>20.0</v>
      </c>
      <c r="R305" s="29">
        <v>15.0</v>
      </c>
      <c r="S305" s="36">
        <v>0.0</v>
      </c>
      <c r="T305" s="36">
        <v>23.8</v>
      </c>
      <c r="U305" s="36">
        <f t="shared" ref="U305:V305" si="69">SQRT(S305)</f>
        <v>0</v>
      </c>
      <c r="V305" s="36">
        <f t="shared" si="69"/>
        <v>4.878524367</v>
      </c>
      <c r="W305" s="37" t="s">
        <v>623</v>
      </c>
      <c r="X305" s="31">
        <v>18.0</v>
      </c>
      <c r="Y305" s="36">
        <v>-8.262558973010657</v>
      </c>
      <c r="Z305" s="36">
        <v>0.05326604733549653</v>
      </c>
      <c r="AA305" s="29" t="s">
        <v>820</v>
      </c>
      <c r="AB305" s="31">
        <v>4.43</v>
      </c>
      <c r="AC305" s="38">
        <v>2385.0</v>
      </c>
    </row>
    <row r="306" ht="14.25" customHeight="1">
      <c r="A306" s="29" t="s">
        <v>98</v>
      </c>
      <c r="B306" s="29">
        <v>143.0</v>
      </c>
      <c r="C306" s="29" t="s">
        <v>608</v>
      </c>
      <c r="D306" s="29" t="s">
        <v>639</v>
      </c>
      <c r="E306" s="29">
        <v>190.0</v>
      </c>
      <c r="F306" s="30" t="s">
        <v>640</v>
      </c>
      <c r="G306" s="29" t="s">
        <v>626</v>
      </c>
      <c r="H306" s="31">
        <v>32.23</v>
      </c>
      <c r="I306" s="29" t="s">
        <v>597</v>
      </c>
      <c r="J306" s="32" t="s">
        <v>642</v>
      </c>
      <c r="K306" s="29" t="s">
        <v>599</v>
      </c>
      <c r="L306" s="29" t="s">
        <v>819</v>
      </c>
      <c r="M306" s="36">
        <v>-75.218185</v>
      </c>
      <c r="N306" s="36">
        <v>-1.618693</v>
      </c>
      <c r="O306" s="34" t="s">
        <v>641</v>
      </c>
      <c r="P306" s="32" t="s">
        <v>602</v>
      </c>
      <c r="Q306" s="29">
        <v>15.0</v>
      </c>
      <c r="R306" s="29">
        <v>15.0</v>
      </c>
      <c r="S306" s="36">
        <v>23.8</v>
      </c>
      <c r="T306" s="36">
        <v>23.8</v>
      </c>
      <c r="U306" s="36">
        <f t="shared" ref="U306:V306" si="70">SQRT(S306)</f>
        <v>4.878524367</v>
      </c>
      <c r="V306" s="36">
        <f t="shared" si="70"/>
        <v>4.878524367</v>
      </c>
      <c r="W306" s="37" t="s">
        <v>623</v>
      </c>
      <c r="X306" s="31">
        <v>18.0</v>
      </c>
      <c r="Y306" s="36">
        <v>2.5796466027220563E-4</v>
      </c>
      <c r="Z306" s="36">
        <v>0.0056022408963585435</v>
      </c>
      <c r="AA306" s="29" t="s">
        <v>820</v>
      </c>
      <c r="AB306" s="31">
        <v>4.43</v>
      </c>
      <c r="AC306" s="38">
        <v>2385.0</v>
      </c>
    </row>
    <row r="307" ht="14.25" customHeight="1">
      <c r="A307" s="29" t="s">
        <v>112</v>
      </c>
      <c r="B307" s="29">
        <v>4.0</v>
      </c>
      <c r="C307" s="29" t="s">
        <v>608</v>
      </c>
      <c r="D307" s="29" t="s">
        <v>751</v>
      </c>
      <c r="E307" s="29">
        <v>97.0</v>
      </c>
      <c r="F307" s="30" t="s">
        <v>752</v>
      </c>
      <c r="G307" s="29" t="s">
        <v>753</v>
      </c>
      <c r="H307" s="31">
        <v>3940.03</v>
      </c>
      <c r="I307" s="29" t="s">
        <v>612</v>
      </c>
      <c r="J307" s="32" t="s">
        <v>714</v>
      </c>
      <c r="K307" s="29" t="s">
        <v>698</v>
      </c>
      <c r="L307" s="29" t="s">
        <v>823</v>
      </c>
      <c r="M307" s="33">
        <v>13.21</v>
      </c>
      <c r="N307" s="33">
        <v>0.619</v>
      </c>
      <c r="O307" s="34" t="s">
        <v>641</v>
      </c>
      <c r="P307" s="32" t="s">
        <v>700</v>
      </c>
      <c r="Q307" s="35">
        <v>6.0</v>
      </c>
      <c r="R307" s="35">
        <v>6.0</v>
      </c>
      <c r="S307" s="36">
        <v>0.8</v>
      </c>
      <c r="T307" s="36">
        <v>7.0</v>
      </c>
      <c r="U307" s="36">
        <v>0.3742</v>
      </c>
      <c r="V307" s="36">
        <v>1.3416</v>
      </c>
      <c r="W307" s="37" t="s">
        <v>824</v>
      </c>
      <c r="X307" s="31">
        <v>2.5</v>
      </c>
      <c r="Y307" s="36">
        <v>-2.1667987627133365</v>
      </c>
      <c r="Z307" s="36">
        <v>0.04258708715136053</v>
      </c>
      <c r="AA307" s="29" t="s">
        <v>820</v>
      </c>
      <c r="AB307" s="31">
        <v>0.874164044857</v>
      </c>
      <c r="AC307" s="38">
        <v>1291.0</v>
      </c>
    </row>
    <row r="308" ht="14.25" customHeight="1">
      <c r="A308" s="29" t="s">
        <v>112</v>
      </c>
      <c r="B308" s="29">
        <v>4.0</v>
      </c>
      <c r="C308" s="29" t="s">
        <v>608</v>
      </c>
      <c r="D308" s="29" t="s">
        <v>751</v>
      </c>
      <c r="E308" s="29">
        <v>97.0</v>
      </c>
      <c r="F308" s="30" t="s">
        <v>752</v>
      </c>
      <c r="G308" s="29" t="s">
        <v>753</v>
      </c>
      <c r="H308" s="31">
        <v>3940.03</v>
      </c>
      <c r="I308" s="29" t="s">
        <v>612</v>
      </c>
      <c r="J308" s="32" t="s">
        <v>714</v>
      </c>
      <c r="K308" s="29" t="s">
        <v>698</v>
      </c>
      <c r="L308" s="29" t="s">
        <v>823</v>
      </c>
      <c r="M308" s="33">
        <v>13.21</v>
      </c>
      <c r="N308" s="33">
        <v>0.619</v>
      </c>
      <c r="O308" s="34" t="s">
        <v>641</v>
      </c>
      <c r="P308" s="32" t="s">
        <v>700</v>
      </c>
      <c r="Q308" s="35">
        <v>6.0</v>
      </c>
      <c r="R308" s="35">
        <v>6.0</v>
      </c>
      <c r="S308" s="36">
        <v>4.2</v>
      </c>
      <c r="T308" s="36">
        <v>7.0</v>
      </c>
      <c r="U308" s="36">
        <v>2.1307</v>
      </c>
      <c r="V308" s="36">
        <v>1.3416</v>
      </c>
      <c r="W308" s="37" t="s">
        <v>824</v>
      </c>
      <c r="X308" s="31">
        <v>7.5</v>
      </c>
      <c r="Y308" s="36">
        <v>-0.5103957196279908</v>
      </c>
      <c r="Z308" s="36">
        <v>0.049015902226001516</v>
      </c>
      <c r="AA308" s="29" t="s">
        <v>820</v>
      </c>
      <c r="AB308" s="31">
        <v>0.874164044857</v>
      </c>
      <c r="AC308" s="38">
        <v>1291.0</v>
      </c>
    </row>
    <row r="309" ht="14.25" customHeight="1">
      <c r="A309" s="29" t="s">
        <v>112</v>
      </c>
      <c r="B309" s="29">
        <v>4.0</v>
      </c>
      <c r="C309" s="29" t="s">
        <v>608</v>
      </c>
      <c r="D309" s="29" t="s">
        <v>751</v>
      </c>
      <c r="E309" s="29">
        <v>97.0</v>
      </c>
      <c r="F309" s="30" t="s">
        <v>752</v>
      </c>
      <c r="G309" s="29" t="s">
        <v>753</v>
      </c>
      <c r="H309" s="31">
        <v>3940.03</v>
      </c>
      <c r="I309" s="29" t="s">
        <v>612</v>
      </c>
      <c r="J309" s="32" t="s">
        <v>714</v>
      </c>
      <c r="K309" s="29" t="s">
        <v>698</v>
      </c>
      <c r="L309" s="29" t="s">
        <v>823</v>
      </c>
      <c r="M309" s="33">
        <v>13.21</v>
      </c>
      <c r="N309" s="33">
        <v>0.619</v>
      </c>
      <c r="O309" s="34" t="s">
        <v>641</v>
      </c>
      <c r="P309" s="32" t="s">
        <v>700</v>
      </c>
      <c r="Q309" s="35">
        <v>6.0</v>
      </c>
      <c r="R309" s="35">
        <v>6.0</v>
      </c>
      <c r="S309" s="36">
        <v>6.4</v>
      </c>
      <c r="T309" s="36">
        <v>7.0</v>
      </c>
      <c r="U309" s="36">
        <v>1.7493</v>
      </c>
      <c r="V309" s="36">
        <v>1.3416</v>
      </c>
      <c r="W309" s="37" t="s">
        <v>824</v>
      </c>
      <c r="X309" s="31">
        <v>12.5</v>
      </c>
      <c r="Y309" s="36">
        <v>-0.08933001325393619</v>
      </c>
      <c r="Z309" s="36">
        <v>0.01857345405402981</v>
      </c>
      <c r="AA309" s="29" t="s">
        <v>820</v>
      </c>
      <c r="AB309" s="31">
        <v>0.874164044857</v>
      </c>
      <c r="AC309" s="38">
        <v>1291.0</v>
      </c>
    </row>
    <row r="310" ht="14.25" customHeight="1">
      <c r="A310" s="29" t="s">
        <v>112</v>
      </c>
      <c r="B310" s="29">
        <v>5.0</v>
      </c>
      <c r="C310" s="29" t="s">
        <v>608</v>
      </c>
      <c r="D310" s="29" t="s">
        <v>751</v>
      </c>
      <c r="E310" s="29">
        <v>97.0</v>
      </c>
      <c r="F310" s="30" t="s">
        <v>752</v>
      </c>
      <c r="G310" s="29" t="s">
        <v>753</v>
      </c>
      <c r="H310" s="31">
        <v>3940.03</v>
      </c>
      <c r="I310" s="29" t="s">
        <v>612</v>
      </c>
      <c r="J310" s="32" t="s">
        <v>714</v>
      </c>
      <c r="K310" s="29" t="s">
        <v>698</v>
      </c>
      <c r="L310" s="29" t="s">
        <v>823</v>
      </c>
      <c r="M310" s="33">
        <v>13.21</v>
      </c>
      <c r="N310" s="33">
        <v>0.619</v>
      </c>
      <c r="O310" s="34" t="s">
        <v>641</v>
      </c>
      <c r="P310" s="32" t="s">
        <v>602</v>
      </c>
      <c r="Q310" s="35">
        <v>8.0</v>
      </c>
      <c r="R310" s="35">
        <v>5.0</v>
      </c>
      <c r="S310" s="36">
        <v>245.9815</v>
      </c>
      <c r="T310" s="36">
        <v>950.2516</v>
      </c>
      <c r="U310" s="36">
        <v>187.5833</v>
      </c>
      <c r="V310" s="36">
        <v>468.5609</v>
      </c>
      <c r="W310" s="37" t="s">
        <v>824</v>
      </c>
      <c r="X310" s="31">
        <v>12.0</v>
      </c>
      <c r="Y310" s="36">
        <v>-1.3504742858142238</v>
      </c>
      <c r="Z310" s="36">
        <v>0.12132097361325093</v>
      </c>
      <c r="AA310" s="29" t="s">
        <v>820</v>
      </c>
      <c r="AB310" s="31">
        <v>0.874164044857</v>
      </c>
      <c r="AC310" s="38">
        <v>1291.0</v>
      </c>
    </row>
    <row r="311" ht="14.25" customHeight="1">
      <c r="A311" s="29" t="s">
        <v>112</v>
      </c>
      <c r="B311" s="29">
        <v>5.0</v>
      </c>
      <c r="C311" s="29" t="s">
        <v>608</v>
      </c>
      <c r="D311" s="29" t="s">
        <v>751</v>
      </c>
      <c r="E311" s="29">
        <v>97.0</v>
      </c>
      <c r="F311" s="30" t="s">
        <v>752</v>
      </c>
      <c r="G311" s="29" t="s">
        <v>753</v>
      </c>
      <c r="H311" s="31">
        <v>3940.03</v>
      </c>
      <c r="I311" s="29" t="s">
        <v>612</v>
      </c>
      <c r="J311" s="32" t="s">
        <v>714</v>
      </c>
      <c r="K311" s="29" t="s">
        <v>698</v>
      </c>
      <c r="L311" s="29" t="s">
        <v>823</v>
      </c>
      <c r="M311" s="33">
        <v>13.21</v>
      </c>
      <c r="N311" s="33">
        <v>0.619</v>
      </c>
      <c r="O311" s="34" t="s">
        <v>641</v>
      </c>
      <c r="P311" s="32" t="s">
        <v>602</v>
      </c>
      <c r="Q311" s="35">
        <v>7.0</v>
      </c>
      <c r="R311" s="35">
        <v>5.0</v>
      </c>
      <c r="S311" s="36">
        <v>207.2904</v>
      </c>
      <c r="T311" s="36">
        <v>950.2516</v>
      </c>
      <c r="U311" s="36">
        <v>153.0525</v>
      </c>
      <c r="V311" s="36">
        <v>468.5609</v>
      </c>
      <c r="W311" s="37" t="s">
        <v>824</v>
      </c>
      <c r="X311" s="31">
        <v>13.75</v>
      </c>
      <c r="Y311" s="36">
        <v>-1.5214240789317595</v>
      </c>
      <c r="Z311" s="36">
        <v>0.12650755733931512</v>
      </c>
      <c r="AA311" s="29" t="s">
        <v>820</v>
      </c>
      <c r="AB311" s="31">
        <v>0.874164044857</v>
      </c>
      <c r="AC311" s="38">
        <v>1291.0</v>
      </c>
    </row>
    <row r="312" ht="14.25" customHeight="1">
      <c r="A312" s="29" t="s">
        <v>46</v>
      </c>
      <c r="B312" s="29">
        <v>73.0</v>
      </c>
      <c r="C312" s="29" t="s">
        <v>608</v>
      </c>
      <c r="D312" s="29" t="s">
        <v>825</v>
      </c>
      <c r="E312" s="29">
        <v>5.0</v>
      </c>
      <c r="F312" s="30" t="s">
        <v>826</v>
      </c>
      <c r="G312" s="29" t="s">
        <v>611</v>
      </c>
      <c r="H312" s="31">
        <v>6.15</v>
      </c>
      <c r="I312" s="29" t="s">
        <v>612</v>
      </c>
      <c r="J312" s="32" t="s">
        <v>598</v>
      </c>
      <c r="K312" s="29" t="s">
        <v>599</v>
      </c>
      <c r="L312" s="29" t="s">
        <v>827</v>
      </c>
      <c r="M312" s="33">
        <v>-70.226</v>
      </c>
      <c r="N312" s="33">
        <v>-3.842</v>
      </c>
      <c r="O312" s="34" t="s">
        <v>601</v>
      </c>
      <c r="P312" s="32" t="s">
        <v>602</v>
      </c>
      <c r="Q312" s="35">
        <v>24.0</v>
      </c>
      <c r="R312" s="35">
        <v>45.0</v>
      </c>
      <c r="S312" s="36">
        <v>0.0</v>
      </c>
      <c r="T312" s="36">
        <v>2.02</v>
      </c>
      <c r="U312" s="36">
        <v>0.0</v>
      </c>
      <c r="V312" s="36">
        <v>4.74</v>
      </c>
      <c r="W312" s="29" t="s">
        <v>623</v>
      </c>
      <c r="X312" s="31">
        <v>1.0</v>
      </c>
      <c r="Y312" s="36">
        <v>-8.262558973010657</v>
      </c>
      <c r="Z312" s="36">
        <v>0.13775020296184318</v>
      </c>
      <c r="AA312" s="29" t="s">
        <v>820</v>
      </c>
      <c r="AB312" s="31">
        <v>4.01363801956</v>
      </c>
      <c r="AC312" s="38">
        <v>1456.0</v>
      </c>
    </row>
    <row r="313" ht="14.25" customHeight="1">
      <c r="A313" s="29" t="s">
        <v>46</v>
      </c>
      <c r="B313" s="29">
        <v>73.0</v>
      </c>
      <c r="C313" s="29" t="s">
        <v>608</v>
      </c>
      <c r="D313" s="29" t="s">
        <v>828</v>
      </c>
      <c r="E313" s="29">
        <v>26.0</v>
      </c>
      <c r="F313" s="30" t="s">
        <v>829</v>
      </c>
      <c r="G313" s="29" t="s">
        <v>611</v>
      </c>
      <c r="H313" s="31">
        <v>1.05</v>
      </c>
      <c r="I313" s="29" t="s">
        <v>616</v>
      </c>
      <c r="J313" s="32" t="s">
        <v>598</v>
      </c>
      <c r="K313" s="29" t="s">
        <v>599</v>
      </c>
      <c r="L313" s="29" t="s">
        <v>827</v>
      </c>
      <c r="M313" s="33">
        <v>-70.226</v>
      </c>
      <c r="N313" s="33">
        <v>-3.842</v>
      </c>
      <c r="O313" s="34" t="s">
        <v>601</v>
      </c>
      <c r="P313" s="32" t="s">
        <v>602</v>
      </c>
      <c r="Q313" s="35">
        <v>24.0</v>
      </c>
      <c r="R313" s="35">
        <v>45.0</v>
      </c>
      <c r="S313" s="36">
        <v>2.87</v>
      </c>
      <c r="T313" s="36">
        <v>3.08</v>
      </c>
      <c r="U313" s="36">
        <v>2.19</v>
      </c>
      <c r="V313" s="36">
        <v>5.57</v>
      </c>
      <c r="W313" s="29" t="s">
        <v>623</v>
      </c>
      <c r="X313" s="31">
        <v>1.0</v>
      </c>
      <c r="Y313" s="36">
        <v>-0.07034072970321945</v>
      </c>
      <c r="Z313" s="36">
        <v>0.09693815942772965</v>
      </c>
      <c r="AA313" s="29" t="s">
        <v>820</v>
      </c>
      <c r="AB313" s="31">
        <v>4.01363801956</v>
      </c>
      <c r="AC313" s="38">
        <v>1456.0</v>
      </c>
    </row>
    <row r="314" ht="14.25" customHeight="1">
      <c r="A314" s="29" t="s">
        <v>46</v>
      </c>
      <c r="B314" s="29">
        <v>73.0</v>
      </c>
      <c r="C314" s="29" t="s">
        <v>608</v>
      </c>
      <c r="D314" s="29" t="s">
        <v>830</v>
      </c>
      <c r="E314" s="29">
        <v>30.0</v>
      </c>
      <c r="F314" s="30" t="s">
        <v>831</v>
      </c>
      <c r="G314" s="29" t="s">
        <v>611</v>
      </c>
      <c r="H314" s="31">
        <v>2.63</v>
      </c>
      <c r="I314" s="29" t="s">
        <v>616</v>
      </c>
      <c r="J314" s="32" t="s">
        <v>598</v>
      </c>
      <c r="K314" s="29" t="s">
        <v>599</v>
      </c>
      <c r="L314" s="29" t="s">
        <v>827</v>
      </c>
      <c r="M314" s="33">
        <v>-70.226</v>
      </c>
      <c r="N314" s="33">
        <v>-3.842</v>
      </c>
      <c r="O314" s="34" t="s">
        <v>601</v>
      </c>
      <c r="P314" s="32" t="s">
        <v>602</v>
      </c>
      <c r="Q314" s="35">
        <v>24.0</v>
      </c>
      <c r="R314" s="35">
        <v>45.0</v>
      </c>
      <c r="S314" s="36">
        <v>0.0</v>
      </c>
      <c r="T314" s="36">
        <v>1.1</v>
      </c>
      <c r="U314" s="36">
        <v>0.0</v>
      </c>
      <c r="V314" s="36">
        <v>3.19</v>
      </c>
      <c r="W314" s="29" t="s">
        <v>623</v>
      </c>
      <c r="X314" s="31">
        <v>1.0</v>
      </c>
      <c r="Y314" s="36">
        <v>-8.262558973010657</v>
      </c>
      <c r="Z314" s="36">
        <v>0.15986197916666664</v>
      </c>
      <c r="AA314" s="29" t="s">
        <v>820</v>
      </c>
      <c r="AB314" s="31">
        <v>4.01363801956</v>
      </c>
      <c r="AC314" s="38">
        <v>1456.0</v>
      </c>
    </row>
    <row r="315" ht="14.25" customHeight="1">
      <c r="A315" s="29" t="s">
        <v>46</v>
      </c>
      <c r="B315" s="29">
        <v>73.0</v>
      </c>
      <c r="C315" s="29" t="s">
        <v>608</v>
      </c>
      <c r="D315" s="29" t="s">
        <v>832</v>
      </c>
      <c r="E315" s="29">
        <v>90.0</v>
      </c>
      <c r="F315" s="30" t="s">
        <v>833</v>
      </c>
      <c r="G315" s="29" t="s">
        <v>611</v>
      </c>
      <c r="H315" s="31">
        <v>6.3</v>
      </c>
      <c r="I315" s="29" t="s">
        <v>597</v>
      </c>
      <c r="J315" s="32" t="s">
        <v>598</v>
      </c>
      <c r="K315" s="29" t="s">
        <v>599</v>
      </c>
      <c r="L315" s="29" t="s">
        <v>827</v>
      </c>
      <c r="M315" s="33">
        <v>-70.226</v>
      </c>
      <c r="N315" s="33">
        <v>-3.842</v>
      </c>
      <c r="O315" s="34" t="s">
        <v>601</v>
      </c>
      <c r="P315" s="32" t="s">
        <v>602</v>
      </c>
      <c r="Q315" s="35">
        <v>24.0</v>
      </c>
      <c r="R315" s="35">
        <v>45.0</v>
      </c>
      <c r="S315" s="36">
        <v>0.0</v>
      </c>
      <c r="T315" s="36">
        <v>4.3</v>
      </c>
      <c r="U315" s="36">
        <v>0.0</v>
      </c>
      <c r="V315" s="36">
        <v>5.33</v>
      </c>
      <c r="W315" s="29" t="s">
        <v>623</v>
      </c>
      <c r="X315" s="31">
        <v>1.0</v>
      </c>
      <c r="Y315" s="36">
        <v>-8.262558973010657</v>
      </c>
      <c r="Z315" s="36">
        <v>0.07444917052469135</v>
      </c>
      <c r="AA315" s="29" t="s">
        <v>820</v>
      </c>
      <c r="AB315" s="31">
        <v>4.01363801956</v>
      </c>
      <c r="AC315" s="38">
        <v>1456.0</v>
      </c>
    </row>
    <row r="316" ht="14.25" customHeight="1">
      <c r="A316" s="29" t="s">
        <v>46</v>
      </c>
      <c r="B316" s="29">
        <v>73.0</v>
      </c>
      <c r="C316" s="29" t="s">
        <v>608</v>
      </c>
      <c r="D316" s="29" t="s">
        <v>834</v>
      </c>
      <c r="E316" s="29">
        <v>141.0</v>
      </c>
      <c r="F316" s="30" t="s">
        <v>835</v>
      </c>
      <c r="G316" s="29" t="s">
        <v>611</v>
      </c>
      <c r="H316" s="31">
        <v>1.54</v>
      </c>
      <c r="I316" s="29" t="s">
        <v>616</v>
      </c>
      <c r="J316" s="32" t="s">
        <v>598</v>
      </c>
      <c r="K316" s="29" t="s">
        <v>599</v>
      </c>
      <c r="L316" s="29" t="s">
        <v>827</v>
      </c>
      <c r="M316" s="33">
        <v>-70.226</v>
      </c>
      <c r="N316" s="33">
        <v>-3.842</v>
      </c>
      <c r="O316" s="34" t="s">
        <v>601</v>
      </c>
      <c r="P316" s="32" t="s">
        <v>602</v>
      </c>
      <c r="Q316" s="35">
        <v>24.0</v>
      </c>
      <c r="R316" s="35">
        <v>45.0</v>
      </c>
      <c r="S316" s="36">
        <v>5.51</v>
      </c>
      <c r="T316" s="36">
        <v>0.93</v>
      </c>
      <c r="U316" s="36">
        <v>6.35</v>
      </c>
      <c r="V316" s="36">
        <v>3.68</v>
      </c>
      <c r="W316" s="29" t="s">
        <v>623</v>
      </c>
      <c r="X316" s="31">
        <v>1.0</v>
      </c>
      <c r="Y316" s="36">
        <v>1.7791788609826862</v>
      </c>
      <c r="Z316" s="36">
        <v>0.4032895261154798</v>
      </c>
      <c r="AA316" s="29" t="s">
        <v>820</v>
      </c>
      <c r="AB316" s="31">
        <v>4.01363801956</v>
      </c>
      <c r="AC316" s="38">
        <v>1456.0</v>
      </c>
    </row>
    <row r="317" ht="14.25" customHeight="1">
      <c r="A317" s="29" t="s">
        <v>46</v>
      </c>
      <c r="B317" s="29">
        <v>73.0</v>
      </c>
      <c r="C317" s="29" t="s">
        <v>608</v>
      </c>
      <c r="D317" s="35" t="s">
        <v>836</v>
      </c>
      <c r="E317" s="29">
        <v>218.0</v>
      </c>
      <c r="F317" s="30" t="s">
        <v>837</v>
      </c>
      <c r="G317" s="29" t="s">
        <v>611</v>
      </c>
      <c r="H317" s="31">
        <v>0.47</v>
      </c>
      <c r="I317" s="29" t="s">
        <v>616</v>
      </c>
      <c r="J317" s="32" t="s">
        <v>598</v>
      </c>
      <c r="K317" s="29" t="s">
        <v>599</v>
      </c>
      <c r="L317" s="29" t="s">
        <v>827</v>
      </c>
      <c r="M317" s="33">
        <v>-70.226</v>
      </c>
      <c r="N317" s="33">
        <v>-3.842</v>
      </c>
      <c r="O317" s="34" t="s">
        <v>601</v>
      </c>
      <c r="P317" s="32" t="s">
        <v>602</v>
      </c>
      <c r="Q317" s="35">
        <v>24.0</v>
      </c>
      <c r="R317" s="35">
        <v>45.0</v>
      </c>
      <c r="S317" s="36">
        <v>35.05</v>
      </c>
      <c r="T317" s="36">
        <v>22.16</v>
      </c>
      <c r="U317" s="36">
        <v>8.39</v>
      </c>
      <c r="V317" s="36">
        <v>19.16</v>
      </c>
      <c r="W317" s="29" t="s">
        <v>623</v>
      </c>
      <c r="X317" s="31">
        <v>1.0</v>
      </c>
      <c r="Y317" s="36">
        <v>0.4586498548261986</v>
      </c>
      <c r="Z317" s="36">
        <v>0.019000115532070063</v>
      </c>
      <c r="AA317" s="29" t="s">
        <v>820</v>
      </c>
      <c r="AB317" s="31">
        <v>4.01363801956</v>
      </c>
      <c r="AC317" s="38">
        <v>1456.0</v>
      </c>
    </row>
    <row r="318" ht="14.25" customHeight="1">
      <c r="A318" s="29" t="s">
        <v>46</v>
      </c>
      <c r="B318" s="29">
        <v>73.0</v>
      </c>
      <c r="C318" s="29" t="s">
        <v>608</v>
      </c>
      <c r="D318" s="29" t="s">
        <v>691</v>
      </c>
      <c r="E318" s="29">
        <v>170.0</v>
      </c>
      <c r="F318" s="30" t="s">
        <v>692</v>
      </c>
      <c r="G318" s="29" t="s">
        <v>611</v>
      </c>
      <c r="H318" s="31">
        <v>0.74</v>
      </c>
      <c r="I318" s="29" t="s">
        <v>616</v>
      </c>
      <c r="J318" s="32" t="s">
        <v>598</v>
      </c>
      <c r="K318" s="29" t="s">
        <v>599</v>
      </c>
      <c r="L318" s="29" t="s">
        <v>827</v>
      </c>
      <c r="M318" s="33">
        <v>-70.226</v>
      </c>
      <c r="N318" s="33">
        <v>-3.842</v>
      </c>
      <c r="O318" s="34" t="s">
        <v>601</v>
      </c>
      <c r="P318" s="32" t="s">
        <v>602</v>
      </c>
      <c r="Q318" s="35">
        <v>24.0</v>
      </c>
      <c r="R318" s="35">
        <v>45.0</v>
      </c>
      <c r="S318" s="36">
        <v>30.17</v>
      </c>
      <c r="T318" s="36">
        <v>9.91</v>
      </c>
      <c r="U318" s="36">
        <v>6.9</v>
      </c>
      <c r="V318" s="36">
        <v>10.99</v>
      </c>
      <c r="W318" s="29" t="s">
        <v>623</v>
      </c>
      <c r="X318" s="31">
        <v>1.0</v>
      </c>
      <c r="Y318" s="36">
        <v>1.1133884463343973</v>
      </c>
      <c r="Z318" s="36">
        <v>0.029509140756037715</v>
      </c>
      <c r="AA318" s="29" t="s">
        <v>820</v>
      </c>
      <c r="AB318" s="31">
        <v>4.01363801956</v>
      </c>
      <c r="AC318" s="38">
        <v>1456.0</v>
      </c>
    </row>
    <row r="319" ht="14.25" customHeight="1">
      <c r="A319" s="29" t="s">
        <v>116</v>
      </c>
      <c r="B319" s="29">
        <v>95.0</v>
      </c>
      <c r="C319" s="29" t="s">
        <v>593</v>
      </c>
      <c r="D319" s="29" t="s">
        <v>838</v>
      </c>
      <c r="E319" s="29">
        <v>62.0</v>
      </c>
      <c r="F319" s="30" t="s">
        <v>839</v>
      </c>
      <c r="G319" s="29" t="s">
        <v>607</v>
      </c>
      <c r="H319" s="31">
        <v>4.13</v>
      </c>
      <c r="I319" s="29" t="s">
        <v>597</v>
      </c>
      <c r="J319" s="32" t="s">
        <v>642</v>
      </c>
      <c r="K319" s="29" t="s">
        <v>840</v>
      </c>
      <c r="L319" s="29" t="s">
        <v>841</v>
      </c>
      <c r="M319" s="33">
        <v>-90.055</v>
      </c>
      <c r="N319" s="33">
        <v>17.461</v>
      </c>
      <c r="O319" s="34" t="s">
        <v>601</v>
      </c>
      <c r="P319" s="32" t="s">
        <v>602</v>
      </c>
      <c r="Q319" s="35">
        <v>111.0</v>
      </c>
      <c r="R319" s="35">
        <v>111.0</v>
      </c>
      <c r="S319" s="36">
        <v>0.08</v>
      </c>
      <c r="T319" s="36">
        <v>0.37</v>
      </c>
      <c r="U319" s="36">
        <v>0.282842712</v>
      </c>
      <c r="V319" s="36">
        <v>0.608276253</v>
      </c>
      <c r="W319" s="37" t="s">
        <v>780</v>
      </c>
      <c r="X319" s="31">
        <v>6.0</v>
      </c>
      <c r="Y319" s="36">
        <v>-1.5254722961326233</v>
      </c>
      <c r="Z319" s="36">
        <v>0.13696128522961173</v>
      </c>
      <c r="AA319" s="29" t="s">
        <v>820</v>
      </c>
      <c r="AB319" s="31">
        <v>2.39345192909</v>
      </c>
      <c r="AC319" s="38">
        <v>777.0</v>
      </c>
    </row>
    <row r="320" ht="14.25" customHeight="1">
      <c r="A320" s="29" t="s">
        <v>116</v>
      </c>
      <c r="B320" s="29">
        <v>95.0</v>
      </c>
      <c r="C320" s="29" t="s">
        <v>593</v>
      </c>
      <c r="D320" s="29" t="s">
        <v>838</v>
      </c>
      <c r="E320" s="29">
        <v>62.0</v>
      </c>
      <c r="F320" s="30" t="s">
        <v>839</v>
      </c>
      <c r="G320" s="29" t="s">
        <v>607</v>
      </c>
      <c r="H320" s="31">
        <v>4.13</v>
      </c>
      <c r="I320" s="29" t="s">
        <v>597</v>
      </c>
      <c r="J320" s="32" t="s">
        <v>642</v>
      </c>
      <c r="K320" s="29" t="s">
        <v>840</v>
      </c>
      <c r="L320" s="29" t="s">
        <v>841</v>
      </c>
      <c r="M320" s="33">
        <v>-90.055</v>
      </c>
      <c r="N320" s="33">
        <v>17.461</v>
      </c>
      <c r="O320" s="34" t="s">
        <v>601</v>
      </c>
      <c r="P320" s="32" t="s">
        <v>602</v>
      </c>
      <c r="Q320" s="35">
        <v>74.0</v>
      </c>
      <c r="R320" s="35">
        <v>111.0</v>
      </c>
      <c r="S320" s="36">
        <v>0.04</v>
      </c>
      <c r="T320" s="36">
        <v>0.37</v>
      </c>
      <c r="U320" s="36">
        <v>0.2</v>
      </c>
      <c r="V320" s="36">
        <v>0.608276253</v>
      </c>
      <c r="W320" s="37" t="s">
        <v>780</v>
      </c>
      <c r="X320" s="31">
        <v>10.0</v>
      </c>
      <c r="Y320" s="36">
        <v>-2.212651235733143</v>
      </c>
      <c r="Z320" s="36">
        <v>0.36218651083277204</v>
      </c>
      <c r="AA320" s="29" t="s">
        <v>820</v>
      </c>
      <c r="AB320" s="31">
        <v>2.39345192909</v>
      </c>
      <c r="AC320" s="38">
        <v>777.0</v>
      </c>
    </row>
    <row r="321" ht="14.25" customHeight="1">
      <c r="A321" s="29" t="s">
        <v>116</v>
      </c>
      <c r="B321" s="29">
        <v>95.0</v>
      </c>
      <c r="C321" s="29" t="s">
        <v>593</v>
      </c>
      <c r="D321" s="29" t="s">
        <v>838</v>
      </c>
      <c r="E321" s="29">
        <v>62.0</v>
      </c>
      <c r="F321" s="30" t="s">
        <v>839</v>
      </c>
      <c r="G321" s="29" t="s">
        <v>607</v>
      </c>
      <c r="H321" s="31">
        <v>4.13</v>
      </c>
      <c r="I321" s="29" t="s">
        <v>597</v>
      </c>
      <c r="J321" s="32" t="s">
        <v>642</v>
      </c>
      <c r="K321" s="29" t="s">
        <v>840</v>
      </c>
      <c r="L321" s="29" t="s">
        <v>841</v>
      </c>
      <c r="M321" s="33">
        <v>-90.055</v>
      </c>
      <c r="N321" s="33">
        <v>17.461</v>
      </c>
      <c r="O321" s="34" t="s">
        <v>601</v>
      </c>
      <c r="P321" s="32" t="s">
        <v>602</v>
      </c>
      <c r="Q321" s="35">
        <v>74.0</v>
      </c>
      <c r="R321" s="35">
        <v>111.0</v>
      </c>
      <c r="S321" s="36">
        <v>0.15</v>
      </c>
      <c r="T321" s="36">
        <v>0.37</v>
      </c>
      <c r="U321" s="36">
        <v>0.387298335</v>
      </c>
      <c r="V321" s="36">
        <v>0.608276253</v>
      </c>
      <c r="W321" s="37" t="s">
        <v>780</v>
      </c>
      <c r="X321" s="31">
        <v>14.0</v>
      </c>
      <c r="Y321" s="36">
        <v>-0.8996610528164553</v>
      </c>
      <c r="Z321" s="36">
        <v>0.11443876326146403</v>
      </c>
      <c r="AA321" s="29" t="s">
        <v>820</v>
      </c>
      <c r="AB321" s="31">
        <v>2.39345192909</v>
      </c>
      <c r="AC321" s="38">
        <v>777.0</v>
      </c>
    </row>
    <row r="322" ht="14.25" customHeight="1">
      <c r="A322" s="29" t="s">
        <v>116</v>
      </c>
      <c r="B322" s="29">
        <v>95.0</v>
      </c>
      <c r="C322" s="29" t="s">
        <v>593</v>
      </c>
      <c r="D322" s="29" t="s">
        <v>842</v>
      </c>
      <c r="E322" s="29">
        <v>269.0</v>
      </c>
      <c r="F322" s="30" t="s">
        <v>843</v>
      </c>
      <c r="G322" s="29" t="s">
        <v>607</v>
      </c>
      <c r="H322" s="31">
        <v>5.525</v>
      </c>
      <c r="I322" s="29" t="s">
        <v>616</v>
      </c>
      <c r="J322" s="32" t="s">
        <v>642</v>
      </c>
      <c r="K322" s="29" t="s">
        <v>840</v>
      </c>
      <c r="L322" s="29" t="s">
        <v>841</v>
      </c>
      <c r="M322" s="33">
        <v>-90.055</v>
      </c>
      <c r="N322" s="33">
        <v>17.461</v>
      </c>
      <c r="O322" s="34" t="s">
        <v>601</v>
      </c>
      <c r="P322" s="32" t="s">
        <v>602</v>
      </c>
      <c r="Q322" s="35">
        <v>111.0</v>
      </c>
      <c r="R322" s="35">
        <v>111.0</v>
      </c>
      <c r="S322" s="36">
        <v>0.01</v>
      </c>
      <c r="T322" s="36">
        <v>0.1</v>
      </c>
      <c r="U322" s="36">
        <v>0.1</v>
      </c>
      <c r="V322" s="36">
        <v>0.316227766</v>
      </c>
      <c r="W322" s="37" t="s">
        <v>780</v>
      </c>
      <c r="X322" s="31">
        <v>6.0</v>
      </c>
      <c r="Y322" s="36">
        <v>-2.289648301963326</v>
      </c>
      <c r="Z322" s="36">
        <v>0.9909909909813972</v>
      </c>
      <c r="AA322" s="29" t="s">
        <v>820</v>
      </c>
      <c r="AB322" s="31">
        <v>2.39345192909</v>
      </c>
      <c r="AC322" s="38">
        <v>777.0</v>
      </c>
    </row>
    <row r="323" ht="14.25" customHeight="1">
      <c r="A323" s="29" t="s">
        <v>116</v>
      </c>
      <c r="B323" s="29">
        <v>95.0</v>
      </c>
      <c r="C323" s="29" t="s">
        <v>593</v>
      </c>
      <c r="D323" s="29" t="s">
        <v>842</v>
      </c>
      <c r="E323" s="29">
        <v>269.0</v>
      </c>
      <c r="F323" s="30" t="s">
        <v>843</v>
      </c>
      <c r="G323" s="29" t="s">
        <v>607</v>
      </c>
      <c r="H323" s="31">
        <v>5.525</v>
      </c>
      <c r="I323" s="29" t="s">
        <v>616</v>
      </c>
      <c r="J323" s="32" t="s">
        <v>642</v>
      </c>
      <c r="K323" s="29" t="s">
        <v>840</v>
      </c>
      <c r="L323" s="29" t="s">
        <v>841</v>
      </c>
      <c r="M323" s="33">
        <v>-90.055</v>
      </c>
      <c r="N323" s="33">
        <v>17.461</v>
      </c>
      <c r="O323" s="34" t="s">
        <v>601</v>
      </c>
      <c r="P323" s="32" t="s">
        <v>602</v>
      </c>
      <c r="Q323" s="35">
        <v>74.0</v>
      </c>
      <c r="R323" s="35">
        <v>111.0</v>
      </c>
      <c r="S323" s="36">
        <v>0.04</v>
      </c>
      <c r="T323" s="36">
        <v>0.1</v>
      </c>
      <c r="U323" s="36">
        <v>0.2</v>
      </c>
      <c r="V323" s="36">
        <v>0.316227766</v>
      </c>
      <c r="W323" s="37" t="s">
        <v>780</v>
      </c>
      <c r="X323" s="31">
        <v>10.0</v>
      </c>
      <c r="Y323" s="36">
        <v>-0.9130408102616567</v>
      </c>
      <c r="Z323" s="36">
        <v>0.42792792791833406</v>
      </c>
      <c r="AA323" s="29" t="s">
        <v>820</v>
      </c>
      <c r="AB323" s="31">
        <v>2.39345192909</v>
      </c>
      <c r="AC323" s="38">
        <v>777.0</v>
      </c>
    </row>
    <row r="324" ht="14.25" customHeight="1">
      <c r="A324" s="29" t="s">
        <v>116</v>
      </c>
      <c r="B324" s="29">
        <v>95.0</v>
      </c>
      <c r="C324" s="29" t="s">
        <v>593</v>
      </c>
      <c r="D324" s="29" t="s">
        <v>842</v>
      </c>
      <c r="E324" s="29">
        <v>269.0</v>
      </c>
      <c r="F324" s="30" t="s">
        <v>843</v>
      </c>
      <c r="G324" s="29" t="s">
        <v>607</v>
      </c>
      <c r="H324" s="31">
        <v>5.525</v>
      </c>
      <c r="I324" s="29" t="s">
        <v>616</v>
      </c>
      <c r="J324" s="32" t="s">
        <v>642</v>
      </c>
      <c r="K324" s="29" t="s">
        <v>840</v>
      </c>
      <c r="L324" s="29" t="s">
        <v>841</v>
      </c>
      <c r="M324" s="33">
        <v>-90.055</v>
      </c>
      <c r="N324" s="33">
        <v>17.461</v>
      </c>
      <c r="O324" s="34" t="s">
        <v>601</v>
      </c>
      <c r="P324" s="32" t="s">
        <v>602</v>
      </c>
      <c r="Q324" s="35">
        <v>74.0</v>
      </c>
      <c r="R324" s="35">
        <v>111.0</v>
      </c>
      <c r="S324" s="36">
        <v>0.08</v>
      </c>
      <c r="T324" s="36">
        <v>0.1</v>
      </c>
      <c r="U324" s="36">
        <v>0.282842712</v>
      </c>
      <c r="V324" s="36">
        <v>0.316227766</v>
      </c>
      <c r="W324" s="37" t="s">
        <v>780</v>
      </c>
      <c r="X324" s="31">
        <v>14.0</v>
      </c>
      <c r="Y324" s="36">
        <v>-0.22151727025973075</v>
      </c>
      <c r="Z324" s="36">
        <v>0.2590090084325125</v>
      </c>
      <c r="AA324" s="29" t="s">
        <v>820</v>
      </c>
      <c r="AB324" s="31">
        <v>2.39345192909</v>
      </c>
      <c r="AC324" s="38">
        <v>777.0</v>
      </c>
    </row>
    <row r="325" ht="14.25" customHeight="1">
      <c r="A325" s="29" t="s">
        <v>116</v>
      </c>
      <c r="B325" s="29">
        <v>95.0</v>
      </c>
      <c r="C325" s="29" t="s">
        <v>593</v>
      </c>
      <c r="D325" s="29" t="s">
        <v>844</v>
      </c>
      <c r="E325" s="29">
        <v>120.0</v>
      </c>
      <c r="F325" s="30" t="s">
        <v>845</v>
      </c>
      <c r="G325" s="29" t="s">
        <v>607</v>
      </c>
      <c r="H325" s="31">
        <v>0.56</v>
      </c>
      <c r="I325" s="29" t="s">
        <v>597</v>
      </c>
      <c r="J325" s="32" t="s">
        <v>642</v>
      </c>
      <c r="K325" s="29" t="s">
        <v>840</v>
      </c>
      <c r="L325" s="29" t="s">
        <v>841</v>
      </c>
      <c r="M325" s="33">
        <v>-90.055</v>
      </c>
      <c r="N325" s="33">
        <v>17.461</v>
      </c>
      <c r="O325" s="34" t="s">
        <v>601</v>
      </c>
      <c r="P325" s="32" t="s">
        <v>602</v>
      </c>
      <c r="Q325" s="35">
        <v>111.0</v>
      </c>
      <c r="R325" s="35">
        <v>111.0</v>
      </c>
      <c r="S325" s="36">
        <v>0.025</v>
      </c>
      <c r="T325" s="36">
        <v>0.01</v>
      </c>
      <c r="U325" s="36">
        <v>0.158113883</v>
      </c>
      <c r="V325" s="36">
        <v>0.1</v>
      </c>
      <c r="W325" s="37" t="s">
        <v>846</v>
      </c>
      <c r="X325" s="31">
        <v>6.0</v>
      </c>
      <c r="Y325" s="36">
        <v>0.9168114296208846</v>
      </c>
      <c r="Z325" s="36">
        <v>1.2612612612228857</v>
      </c>
      <c r="AA325" s="29" t="s">
        <v>820</v>
      </c>
      <c r="AB325" s="31">
        <v>2.39345192909</v>
      </c>
      <c r="AC325" s="38">
        <v>777.0</v>
      </c>
    </row>
    <row r="326" ht="14.25" customHeight="1">
      <c r="A326" s="29" t="s">
        <v>116</v>
      </c>
      <c r="B326" s="29">
        <v>95.0</v>
      </c>
      <c r="C326" s="29" t="s">
        <v>593</v>
      </c>
      <c r="D326" s="29" t="s">
        <v>844</v>
      </c>
      <c r="E326" s="29">
        <v>120.0</v>
      </c>
      <c r="F326" s="30" t="s">
        <v>845</v>
      </c>
      <c r="G326" s="29" t="s">
        <v>607</v>
      </c>
      <c r="H326" s="31">
        <v>0.56</v>
      </c>
      <c r="I326" s="29" t="s">
        <v>597</v>
      </c>
      <c r="J326" s="32" t="s">
        <v>642</v>
      </c>
      <c r="K326" s="29" t="s">
        <v>840</v>
      </c>
      <c r="L326" s="29" t="s">
        <v>841</v>
      </c>
      <c r="M326" s="33">
        <v>-90.055</v>
      </c>
      <c r="N326" s="33">
        <v>17.461</v>
      </c>
      <c r="O326" s="34" t="s">
        <v>601</v>
      </c>
      <c r="P326" s="32" t="s">
        <v>602</v>
      </c>
      <c r="Q326" s="35">
        <v>74.0</v>
      </c>
      <c r="R326" s="35">
        <v>111.0</v>
      </c>
      <c r="S326" s="36">
        <v>0.025</v>
      </c>
      <c r="T326" s="36">
        <v>0.01</v>
      </c>
      <c r="U326" s="36">
        <v>0.158113883</v>
      </c>
      <c r="V326" s="36">
        <v>0.1</v>
      </c>
      <c r="W326" s="37" t="s">
        <v>846</v>
      </c>
      <c r="X326" s="31">
        <v>10.0</v>
      </c>
      <c r="Y326" s="36">
        <v>0.9168114296208846</v>
      </c>
      <c r="Z326" s="36">
        <v>1.441441441383878</v>
      </c>
      <c r="AA326" s="29" t="s">
        <v>820</v>
      </c>
      <c r="AB326" s="31">
        <v>2.39345192909</v>
      </c>
      <c r="AC326" s="38">
        <v>777.0</v>
      </c>
    </row>
    <row r="327" ht="14.25" customHeight="1">
      <c r="A327" s="29" t="s">
        <v>116</v>
      </c>
      <c r="B327" s="29">
        <v>95.0</v>
      </c>
      <c r="C327" s="29" t="s">
        <v>593</v>
      </c>
      <c r="D327" s="29" t="s">
        <v>844</v>
      </c>
      <c r="E327" s="29">
        <v>120.0</v>
      </c>
      <c r="F327" s="30" t="s">
        <v>845</v>
      </c>
      <c r="G327" s="29" t="s">
        <v>607</v>
      </c>
      <c r="H327" s="31">
        <v>0.56</v>
      </c>
      <c r="I327" s="29" t="s">
        <v>597</v>
      </c>
      <c r="J327" s="32" t="s">
        <v>642</v>
      </c>
      <c r="K327" s="29" t="s">
        <v>840</v>
      </c>
      <c r="L327" s="29" t="s">
        <v>841</v>
      </c>
      <c r="M327" s="33">
        <v>-90.055</v>
      </c>
      <c r="N327" s="33">
        <v>17.461</v>
      </c>
      <c r="O327" s="34" t="s">
        <v>601</v>
      </c>
      <c r="P327" s="32" t="s">
        <v>602</v>
      </c>
      <c r="Q327" s="35">
        <v>74.0</v>
      </c>
      <c r="R327" s="35">
        <v>111.0</v>
      </c>
      <c r="S327" s="36">
        <v>0.02</v>
      </c>
      <c r="T327" s="36">
        <v>0.01</v>
      </c>
      <c r="U327" s="36">
        <v>0.141421356</v>
      </c>
      <c r="V327" s="36">
        <v>0.1</v>
      </c>
      <c r="W327" s="37" t="s">
        <v>846</v>
      </c>
      <c r="X327" s="31">
        <v>14.0</v>
      </c>
      <c r="Y327" s="36">
        <v>0.6937980103909238</v>
      </c>
      <c r="Z327" s="36">
        <v>1.5765765743089664</v>
      </c>
      <c r="AA327" s="29" t="s">
        <v>820</v>
      </c>
      <c r="AB327" s="31">
        <v>2.39345192909</v>
      </c>
      <c r="AC327" s="38">
        <v>777.0</v>
      </c>
    </row>
    <row r="328" ht="14.25" customHeight="1">
      <c r="A328" s="29" t="s">
        <v>116</v>
      </c>
      <c r="B328" s="29">
        <v>95.0</v>
      </c>
      <c r="C328" s="29" t="s">
        <v>593</v>
      </c>
      <c r="D328" s="29" t="s">
        <v>847</v>
      </c>
      <c r="E328" s="29">
        <v>132.0</v>
      </c>
      <c r="F328" s="30" t="s">
        <v>848</v>
      </c>
      <c r="G328" s="29" t="s">
        <v>607</v>
      </c>
      <c r="H328" s="31">
        <v>2.06</v>
      </c>
      <c r="I328" s="29" t="s">
        <v>597</v>
      </c>
      <c r="J328" s="32" t="s">
        <v>642</v>
      </c>
      <c r="K328" s="29" t="s">
        <v>840</v>
      </c>
      <c r="L328" s="29" t="s">
        <v>841</v>
      </c>
      <c r="M328" s="33">
        <v>-90.055</v>
      </c>
      <c r="N328" s="33">
        <v>17.461</v>
      </c>
      <c r="O328" s="34" t="s">
        <v>601</v>
      </c>
      <c r="P328" s="32" t="s">
        <v>602</v>
      </c>
      <c r="Q328" s="35">
        <v>111.0</v>
      </c>
      <c r="R328" s="35">
        <v>111.0</v>
      </c>
      <c r="S328" s="36">
        <v>0.125</v>
      </c>
      <c r="T328" s="36">
        <v>0.35</v>
      </c>
      <c r="U328" s="36">
        <v>0.353553391</v>
      </c>
      <c r="V328" s="36">
        <v>0.591607978</v>
      </c>
      <c r="W328" s="37" t="s">
        <v>780</v>
      </c>
      <c r="X328" s="31">
        <v>6.0</v>
      </c>
      <c r="Y328" s="36">
        <v>-1.0259802137886191</v>
      </c>
      <c r="Z328" s="36">
        <v>0.09781209795094861</v>
      </c>
      <c r="AA328" s="29" t="s">
        <v>820</v>
      </c>
      <c r="AB328" s="31">
        <v>2.39345192909</v>
      </c>
      <c r="AC328" s="38">
        <v>777.0</v>
      </c>
    </row>
    <row r="329" ht="14.25" customHeight="1">
      <c r="A329" s="29" t="s">
        <v>116</v>
      </c>
      <c r="B329" s="29">
        <v>95.0</v>
      </c>
      <c r="C329" s="29" t="s">
        <v>593</v>
      </c>
      <c r="D329" s="29" t="s">
        <v>847</v>
      </c>
      <c r="E329" s="29">
        <v>132.0</v>
      </c>
      <c r="F329" s="30" t="s">
        <v>848</v>
      </c>
      <c r="G329" s="29" t="s">
        <v>607</v>
      </c>
      <c r="H329" s="31">
        <v>2.06</v>
      </c>
      <c r="I329" s="29" t="s">
        <v>597</v>
      </c>
      <c r="J329" s="32" t="s">
        <v>642</v>
      </c>
      <c r="K329" s="29" t="s">
        <v>840</v>
      </c>
      <c r="L329" s="29" t="s">
        <v>841</v>
      </c>
      <c r="M329" s="33">
        <v>-90.055</v>
      </c>
      <c r="N329" s="33">
        <v>17.461</v>
      </c>
      <c r="O329" s="34" t="s">
        <v>601</v>
      </c>
      <c r="P329" s="32" t="s">
        <v>602</v>
      </c>
      <c r="Q329" s="35">
        <v>74.0</v>
      </c>
      <c r="R329" s="35">
        <v>111.0</v>
      </c>
      <c r="S329" s="36">
        <v>0.16</v>
      </c>
      <c r="T329" s="36">
        <v>0.35</v>
      </c>
      <c r="U329" s="36">
        <v>0.4</v>
      </c>
      <c r="V329" s="36">
        <v>0.591607978</v>
      </c>
      <c r="W329" s="37" t="s">
        <v>780</v>
      </c>
      <c r="X329" s="31">
        <v>10.0</v>
      </c>
      <c r="Y329" s="36">
        <v>-0.7799150806989626</v>
      </c>
      <c r="Z329" s="36">
        <v>0.11019948517251324</v>
      </c>
      <c r="AA329" s="29" t="s">
        <v>820</v>
      </c>
      <c r="AB329" s="31">
        <v>2.39345192909</v>
      </c>
      <c r="AC329" s="38">
        <v>777.0</v>
      </c>
    </row>
    <row r="330" ht="14.25" customHeight="1">
      <c r="A330" s="29" t="s">
        <v>116</v>
      </c>
      <c r="B330" s="29">
        <v>95.0</v>
      </c>
      <c r="C330" s="29" t="s">
        <v>593</v>
      </c>
      <c r="D330" s="29" t="s">
        <v>847</v>
      </c>
      <c r="E330" s="29">
        <v>132.0</v>
      </c>
      <c r="F330" s="30" t="s">
        <v>848</v>
      </c>
      <c r="G330" s="29" t="s">
        <v>607</v>
      </c>
      <c r="H330" s="31">
        <v>2.06</v>
      </c>
      <c r="I330" s="29" t="s">
        <v>597</v>
      </c>
      <c r="J330" s="32" t="s">
        <v>642</v>
      </c>
      <c r="K330" s="29" t="s">
        <v>840</v>
      </c>
      <c r="L330" s="29" t="s">
        <v>841</v>
      </c>
      <c r="M330" s="33">
        <v>-90.055</v>
      </c>
      <c r="N330" s="33">
        <v>17.461</v>
      </c>
      <c r="O330" s="34" t="s">
        <v>601</v>
      </c>
      <c r="P330" s="32" t="s">
        <v>602</v>
      </c>
      <c r="Q330" s="35">
        <v>74.0</v>
      </c>
      <c r="R330" s="35">
        <v>111.0</v>
      </c>
      <c r="S330" s="36">
        <v>0.375</v>
      </c>
      <c r="T330" s="36">
        <v>0.35</v>
      </c>
      <c r="U330" s="36">
        <v>0.612372436</v>
      </c>
      <c r="V330" s="36">
        <v>0.591607978</v>
      </c>
      <c r="W330" s="37" t="s">
        <v>780</v>
      </c>
      <c r="X330" s="31">
        <v>14.0</v>
      </c>
      <c r="Y330" s="36">
        <v>0.07020741141242726</v>
      </c>
      <c r="Z330" s="36">
        <v>0.06177606178489272</v>
      </c>
      <c r="AA330" s="29" t="s">
        <v>820</v>
      </c>
      <c r="AB330" s="31">
        <v>2.39345192909</v>
      </c>
      <c r="AC330" s="38">
        <v>777.0</v>
      </c>
    </row>
    <row r="331" ht="14.25" customHeight="1">
      <c r="A331" s="29" t="s">
        <v>116</v>
      </c>
      <c r="B331" s="29">
        <v>95.0</v>
      </c>
      <c r="C331" s="29" t="s">
        <v>593</v>
      </c>
      <c r="D331" s="29" t="s">
        <v>849</v>
      </c>
      <c r="E331" s="29">
        <v>193.0</v>
      </c>
      <c r="F331" s="30" t="s">
        <v>850</v>
      </c>
      <c r="G331" s="29" t="s">
        <v>596</v>
      </c>
      <c r="H331" s="31">
        <v>1.03</v>
      </c>
      <c r="I331" s="29" t="s">
        <v>597</v>
      </c>
      <c r="J331" s="32" t="s">
        <v>642</v>
      </c>
      <c r="K331" s="29" t="s">
        <v>840</v>
      </c>
      <c r="L331" s="29" t="s">
        <v>841</v>
      </c>
      <c r="M331" s="33">
        <v>-90.055</v>
      </c>
      <c r="N331" s="33">
        <v>17.461</v>
      </c>
      <c r="O331" s="34" t="s">
        <v>601</v>
      </c>
      <c r="P331" s="32" t="s">
        <v>602</v>
      </c>
      <c r="Q331" s="35">
        <v>111.0</v>
      </c>
      <c r="R331" s="35">
        <v>111.0</v>
      </c>
      <c r="S331" s="36">
        <v>0.05</v>
      </c>
      <c r="T331" s="36">
        <v>0.02</v>
      </c>
      <c r="U331" s="36">
        <v>0.223606798</v>
      </c>
      <c r="V331" s="36">
        <v>0.141421356</v>
      </c>
      <c r="W331" s="37" t="s">
        <v>780</v>
      </c>
      <c r="X331" s="31">
        <v>6.0</v>
      </c>
      <c r="Y331" s="36">
        <v>0.9168114296208846</v>
      </c>
      <c r="Z331" s="36">
        <v>0.6306306295218195</v>
      </c>
      <c r="AA331" s="29" t="s">
        <v>820</v>
      </c>
      <c r="AB331" s="31">
        <v>2.39345192909</v>
      </c>
      <c r="AC331" s="38">
        <v>777.0</v>
      </c>
    </row>
    <row r="332" ht="14.25" customHeight="1">
      <c r="A332" s="29" t="s">
        <v>116</v>
      </c>
      <c r="B332" s="29">
        <v>95.0</v>
      </c>
      <c r="C332" s="29" t="s">
        <v>593</v>
      </c>
      <c r="D332" s="29" t="s">
        <v>849</v>
      </c>
      <c r="E332" s="29">
        <v>193.0</v>
      </c>
      <c r="F332" s="30" t="s">
        <v>850</v>
      </c>
      <c r="G332" s="29" t="s">
        <v>596</v>
      </c>
      <c r="H332" s="31">
        <v>1.03</v>
      </c>
      <c r="I332" s="29" t="s">
        <v>597</v>
      </c>
      <c r="J332" s="32" t="s">
        <v>642</v>
      </c>
      <c r="K332" s="29" t="s">
        <v>840</v>
      </c>
      <c r="L332" s="29" t="s">
        <v>841</v>
      </c>
      <c r="M332" s="33">
        <v>-90.055</v>
      </c>
      <c r="N332" s="33">
        <v>17.461</v>
      </c>
      <c r="O332" s="34" t="s">
        <v>601</v>
      </c>
      <c r="P332" s="32" t="s">
        <v>602</v>
      </c>
      <c r="Q332" s="35">
        <v>74.0</v>
      </c>
      <c r="R332" s="35">
        <v>111.0</v>
      </c>
      <c r="S332" s="36">
        <v>0.02</v>
      </c>
      <c r="T332" s="36">
        <v>0.02</v>
      </c>
      <c r="U332" s="36">
        <v>0.141421356</v>
      </c>
      <c r="V332" s="36">
        <v>0.141421356</v>
      </c>
      <c r="W332" s="37" t="s">
        <v>780</v>
      </c>
      <c r="X332" s="31">
        <v>10.0</v>
      </c>
      <c r="Y332" s="36">
        <v>0.001301236357971734</v>
      </c>
      <c r="Z332" s="36">
        <v>1.1261261223467758</v>
      </c>
      <c r="AA332" s="29" t="s">
        <v>820</v>
      </c>
      <c r="AB332" s="31">
        <v>2.39345192909</v>
      </c>
      <c r="AC332" s="38">
        <v>777.0</v>
      </c>
    </row>
    <row r="333" ht="14.25" customHeight="1">
      <c r="A333" s="29" t="s">
        <v>116</v>
      </c>
      <c r="B333" s="29">
        <v>95.0</v>
      </c>
      <c r="C333" s="29" t="s">
        <v>593</v>
      </c>
      <c r="D333" s="29" t="s">
        <v>849</v>
      </c>
      <c r="E333" s="29">
        <v>193.0</v>
      </c>
      <c r="F333" s="30" t="s">
        <v>850</v>
      </c>
      <c r="G333" s="29" t="s">
        <v>596</v>
      </c>
      <c r="H333" s="31">
        <v>1.03</v>
      </c>
      <c r="I333" s="29" t="s">
        <v>597</v>
      </c>
      <c r="J333" s="32" t="s">
        <v>642</v>
      </c>
      <c r="K333" s="29" t="s">
        <v>840</v>
      </c>
      <c r="L333" s="29" t="s">
        <v>841</v>
      </c>
      <c r="M333" s="33">
        <v>-90.055</v>
      </c>
      <c r="N333" s="33">
        <v>17.461</v>
      </c>
      <c r="O333" s="34" t="s">
        <v>601</v>
      </c>
      <c r="P333" s="32" t="s">
        <v>602</v>
      </c>
      <c r="Q333" s="35">
        <v>74.0</v>
      </c>
      <c r="R333" s="35">
        <v>111.0</v>
      </c>
      <c r="S333" s="36">
        <v>0.4</v>
      </c>
      <c r="T333" s="36">
        <v>0.02</v>
      </c>
      <c r="U333" s="36">
        <v>0.632455532</v>
      </c>
      <c r="V333" s="36">
        <v>0.141421356</v>
      </c>
      <c r="W333" s="37" t="s">
        <v>780</v>
      </c>
      <c r="X333" s="31">
        <v>14.0</v>
      </c>
      <c r="Y333" s="36">
        <v>2.9957973756014735</v>
      </c>
      <c r="Z333" s="36">
        <v>0.4842342327188963</v>
      </c>
      <c r="AA333" s="29" t="s">
        <v>820</v>
      </c>
      <c r="AB333" s="31">
        <v>2.39345192909</v>
      </c>
      <c r="AC333" s="38">
        <v>777.0</v>
      </c>
    </row>
    <row r="334" ht="14.25" customHeight="1">
      <c r="A334" s="29" t="s">
        <v>116</v>
      </c>
      <c r="B334" s="29">
        <v>95.0</v>
      </c>
      <c r="C334" s="29" t="s">
        <v>608</v>
      </c>
      <c r="D334" s="29" t="s">
        <v>851</v>
      </c>
      <c r="E334" s="29">
        <v>102.0</v>
      </c>
      <c r="F334" s="30" t="s">
        <v>852</v>
      </c>
      <c r="G334" s="29" t="s">
        <v>626</v>
      </c>
      <c r="H334" s="31">
        <v>16.5</v>
      </c>
      <c r="I334" s="29" t="s">
        <v>612</v>
      </c>
      <c r="J334" s="32" t="s">
        <v>642</v>
      </c>
      <c r="K334" s="29" t="s">
        <v>840</v>
      </c>
      <c r="L334" s="29" t="s">
        <v>841</v>
      </c>
      <c r="M334" s="33">
        <v>-90.055</v>
      </c>
      <c r="N334" s="33">
        <v>17.461</v>
      </c>
      <c r="O334" s="34" t="s">
        <v>601</v>
      </c>
      <c r="P334" s="32" t="s">
        <v>602</v>
      </c>
      <c r="Q334" s="35">
        <v>111.0</v>
      </c>
      <c r="R334" s="35">
        <v>111.0</v>
      </c>
      <c r="S334" s="36">
        <v>0.01</v>
      </c>
      <c r="T334" s="36">
        <v>0.03</v>
      </c>
      <c r="U334" s="36">
        <v>0.1</v>
      </c>
      <c r="V334" s="36">
        <v>0.173205081</v>
      </c>
      <c r="W334" s="37" t="s">
        <v>780</v>
      </c>
      <c r="X334" s="31">
        <v>6.0</v>
      </c>
      <c r="Y334" s="36">
        <v>-1.0978385942387991</v>
      </c>
      <c r="Z334" s="36">
        <v>1.20120120204421</v>
      </c>
      <c r="AA334" s="29" t="s">
        <v>820</v>
      </c>
      <c r="AB334" s="31">
        <v>2.39345192909</v>
      </c>
      <c r="AC334" s="38">
        <v>777.0</v>
      </c>
    </row>
    <row r="335" ht="14.25" customHeight="1">
      <c r="A335" s="29" t="s">
        <v>116</v>
      </c>
      <c r="B335" s="29">
        <v>95.0</v>
      </c>
      <c r="C335" s="29" t="s">
        <v>608</v>
      </c>
      <c r="D335" s="29" t="s">
        <v>851</v>
      </c>
      <c r="E335" s="29">
        <v>102.0</v>
      </c>
      <c r="F335" s="30" t="s">
        <v>852</v>
      </c>
      <c r="G335" s="29" t="s">
        <v>626</v>
      </c>
      <c r="H335" s="31">
        <v>16.5</v>
      </c>
      <c r="I335" s="29" t="s">
        <v>612</v>
      </c>
      <c r="J335" s="32" t="s">
        <v>642</v>
      </c>
      <c r="K335" s="29" t="s">
        <v>840</v>
      </c>
      <c r="L335" s="29" t="s">
        <v>841</v>
      </c>
      <c r="M335" s="33">
        <v>-90.055</v>
      </c>
      <c r="N335" s="33">
        <v>17.461</v>
      </c>
      <c r="O335" s="34" t="s">
        <v>601</v>
      </c>
      <c r="P335" s="32" t="s">
        <v>602</v>
      </c>
      <c r="Q335" s="35">
        <v>74.0</v>
      </c>
      <c r="R335" s="35">
        <v>111.0</v>
      </c>
      <c r="S335" s="36">
        <v>0.04</v>
      </c>
      <c r="T335" s="36">
        <v>0.03</v>
      </c>
      <c r="U335" s="36">
        <v>0.2</v>
      </c>
      <c r="V335" s="36">
        <v>0.173205081</v>
      </c>
      <c r="W335" s="37" t="s">
        <v>780</v>
      </c>
      <c r="X335" s="31">
        <v>10.0</v>
      </c>
      <c r="Y335" s="36">
        <v>0.2878755521853827</v>
      </c>
      <c r="Z335" s="36">
        <v>0.6381381389811468</v>
      </c>
      <c r="AA335" s="29" t="s">
        <v>820</v>
      </c>
      <c r="AB335" s="31">
        <v>2.39345192909</v>
      </c>
      <c r="AC335" s="38">
        <v>777.0</v>
      </c>
    </row>
    <row r="336" ht="14.25" customHeight="1">
      <c r="A336" s="29" t="s">
        <v>116</v>
      </c>
      <c r="B336" s="29">
        <v>95.0</v>
      </c>
      <c r="C336" s="29" t="s">
        <v>608</v>
      </c>
      <c r="D336" s="29" t="s">
        <v>851</v>
      </c>
      <c r="E336" s="29">
        <v>102.0</v>
      </c>
      <c r="F336" s="30" t="s">
        <v>852</v>
      </c>
      <c r="G336" s="29" t="s">
        <v>626</v>
      </c>
      <c r="H336" s="31">
        <v>16.5</v>
      </c>
      <c r="I336" s="29" t="s">
        <v>612</v>
      </c>
      <c r="J336" s="32" t="s">
        <v>642</v>
      </c>
      <c r="K336" s="29" t="s">
        <v>840</v>
      </c>
      <c r="L336" s="29" t="s">
        <v>841</v>
      </c>
      <c r="M336" s="33">
        <v>-90.055</v>
      </c>
      <c r="N336" s="33">
        <v>17.461</v>
      </c>
      <c r="O336" s="34" t="s">
        <v>601</v>
      </c>
      <c r="P336" s="32" t="s">
        <v>602</v>
      </c>
      <c r="Q336" s="35">
        <v>74.0</v>
      </c>
      <c r="R336" s="35">
        <v>111.0</v>
      </c>
      <c r="S336" s="36">
        <v>0.1</v>
      </c>
      <c r="T336" s="36">
        <v>0.03</v>
      </c>
      <c r="U336" s="36">
        <v>0.316227766</v>
      </c>
      <c r="V336" s="36">
        <v>0.173205081</v>
      </c>
      <c r="W336" s="37" t="s">
        <v>780</v>
      </c>
      <c r="X336" s="31">
        <v>14.0</v>
      </c>
      <c r="Y336" s="36">
        <v>1.2040502007115634</v>
      </c>
      <c r="Z336" s="36">
        <v>0.4354354362640532</v>
      </c>
      <c r="AA336" s="29" t="s">
        <v>820</v>
      </c>
      <c r="AB336" s="31">
        <v>2.39345192909</v>
      </c>
      <c r="AC336" s="38">
        <v>777.0</v>
      </c>
    </row>
    <row r="337" ht="14.25" customHeight="1">
      <c r="A337" s="29" t="s">
        <v>116</v>
      </c>
      <c r="B337" s="29">
        <v>95.0</v>
      </c>
      <c r="C337" s="29" t="s">
        <v>608</v>
      </c>
      <c r="D337" s="29" t="s">
        <v>853</v>
      </c>
      <c r="E337" s="29">
        <v>110.0</v>
      </c>
      <c r="F337" s="30" t="s">
        <v>854</v>
      </c>
      <c r="G337" s="29" t="s">
        <v>629</v>
      </c>
      <c r="H337" s="31">
        <v>4.03</v>
      </c>
      <c r="I337" s="29" t="s">
        <v>597</v>
      </c>
      <c r="J337" s="32" t="s">
        <v>642</v>
      </c>
      <c r="K337" s="29" t="s">
        <v>840</v>
      </c>
      <c r="L337" s="29" t="s">
        <v>841</v>
      </c>
      <c r="M337" s="33">
        <v>-90.055</v>
      </c>
      <c r="N337" s="33">
        <v>17.461</v>
      </c>
      <c r="O337" s="34" t="s">
        <v>601</v>
      </c>
      <c r="P337" s="32" t="s">
        <v>602</v>
      </c>
      <c r="Q337" s="35">
        <v>111.0</v>
      </c>
      <c r="R337" s="35">
        <v>111.0</v>
      </c>
      <c r="S337" s="36">
        <v>0.07</v>
      </c>
      <c r="T337" s="36">
        <v>0.01</v>
      </c>
      <c r="U337" s="36">
        <v>0.264575131</v>
      </c>
      <c r="V337" s="36">
        <v>0.1</v>
      </c>
      <c r="W337" s="37" t="s">
        <v>780</v>
      </c>
      <c r="X337" s="31">
        <v>6.0</v>
      </c>
      <c r="Y337" s="36">
        <v>1.945947005224119</v>
      </c>
      <c r="Z337" s="36">
        <v>1.0296010294974576</v>
      </c>
      <c r="AA337" s="29" t="s">
        <v>820</v>
      </c>
      <c r="AB337" s="31">
        <v>2.39345192909</v>
      </c>
      <c r="AC337" s="38">
        <v>777.0</v>
      </c>
    </row>
    <row r="338" ht="14.25" customHeight="1">
      <c r="A338" s="29" t="s">
        <v>116</v>
      </c>
      <c r="B338" s="29">
        <v>95.0</v>
      </c>
      <c r="C338" s="29" t="s">
        <v>608</v>
      </c>
      <c r="D338" s="29" t="s">
        <v>853</v>
      </c>
      <c r="E338" s="29">
        <v>110.0</v>
      </c>
      <c r="F338" s="30" t="s">
        <v>854</v>
      </c>
      <c r="G338" s="29" t="s">
        <v>629</v>
      </c>
      <c r="H338" s="31">
        <v>4.03</v>
      </c>
      <c r="I338" s="29" t="s">
        <v>597</v>
      </c>
      <c r="J338" s="32" t="s">
        <v>642</v>
      </c>
      <c r="K338" s="29" t="s">
        <v>840</v>
      </c>
      <c r="L338" s="29" t="s">
        <v>841</v>
      </c>
      <c r="M338" s="33">
        <v>-90.055</v>
      </c>
      <c r="N338" s="33">
        <v>17.461</v>
      </c>
      <c r="O338" s="34" t="s">
        <v>601</v>
      </c>
      <c r="P338" s="32" t="s">
        <v>602</v>
      </c>
      <c r="Q338" s="35">
        <v>74.0</v>
      </c>
      <c r="R338" s="35">
        <v>111.0</v>
      </c>
      <c r="S338" s="36">
        <v>0.34</v>
      </c>
      <c r="T338" s="36">
        <v>0.01</v>
      </c>
      <c r="U338" s="36">
        <v>0.583095189</v>
      </c>
      <c r="V338" s="36">
        <v>0.1</v>
      </c>
      <c r="W338" s="37" t="s">
        <v>780</v>
      </c>
      <c r="X338" s="31">
        <v>10.0</v>
      </c>
      <c r="Y338" s="36">
        <v>3.52636811276196</v>
      </c>
      <c r="Z338" s="36">
        <v>0.9406465288157689</v>
      </c>
      <c r="AA338" s="29" t="s">
        <v>820</v>
      </c>
      <c r="AB338" s="31">
        <v>2.39345192909</v>
      </c>
      <c r="AC338" s="38">
        <v>777.0</v>
      </c>
    </row>
    <row r="339" ht="14.25" customHeight="1">
      <c r="A339" s="29" t="s">
        <v>116</v>
      </c>
      <c r="B339" s="29">
        <v>95.0</v>
      </c>
      <c r="C339" s="29" t="s">
        <v>608</v>
      </c>
      <c r="D339" s="29" t="s">
        <v>853</v>
      </c>
      <c r="E339" s="29">
        <v>110.0</v>
      </c>
      <c r="F339" s="30" t="s">
        <v>854</v>
      </c>
      <c r="G339" s="29" t="s">
        <v>629</v>
      </c>
      <c r="H339" s="31">
        <v>4.03</v>
      </c>
      <c r="I339" s="29" t="s">
        <v>597</v>
      </c>
      <c r="J339" s="32" t="s">
        <v>642</v>
      </c>
      <c r="K339" s="29" t="s">
        <v>840</v>
      </c>
      <c r="L339" s="29" t="s">
        <v>841</v>
      </c>
      <c r="M339" s="33">
        <v>-90.055</v>
      </c>
      <c r="N339" s="33">
        <v>17.461</v>
      </c>
      <c r="O339" s="34" t="s">
        <v>601</v>
      </c>
      <c r="P339" s="32" t="s">
        <v>602</v>
      </c>
      <c r="Q339" s="35">
        <v>74.0</v>
      </c>
      <c r="R339" s="35">
        <v>111.0</v>
      </c>
      <c r="S339" s="36">
        <v>0.03</v>
      </c>
      <c r="T339" s="36">
        <v>0.01</v>
      </c>
      <c r="U339" s="36">
        <v>0.173205081</v>
      </c>
      <c r="V339" s="36">
        <v>0.1</v>
      </c>
      <c r="W339" s="37" t="s">
        <v>780</v>
      </c>
      <c r="X339" s="31">
        <v>14.0</v>
      </c>
      <c r="Y339" s="36">
        <v>1.0986982842823863</v>
      </c>
      <c r="Z339" s="36">
        <v>1.3513513526158645</v>
      </c>
      <c r="AA339" s="29" t="s">
        <v>820</v>
      </c>
      <c r="AB339" s="31">
        <v>2.39345192909</v>
      </c>
      <c r="AC339" s="38">
        <v>777.0</v>
      </c>
    </row>
    <row r="340" ht="14.25" customHeight="1">
      <c r="A340" s="29" t="s">
        <v>116</v>
      </c>
      <c r="B340" s="29">
        <v>95.0</v>
      </c>
      <c r="C340" s="29" t="s">
        <v>608</v>
      </c>
      <c r="D340" s="29" t="s">
        <v>855</v>
      </c>
      <c r="E340" s="29">
        <v>114.0</v>
      </c>
      <c r="F340" s="30" t="s">
        <v>856</v>
      </c>
      <c r="G340" s="29" t="s">
        <v>626</v>
      </c>
      <c r="H340" s="31">
        <v>55.51</v>
      </c>
      <c r="I340" s="29" t="s">
        <v>612</v>
      </c>
      <c r="J340" s="32" t="s">
        <v>642</v>
      </c>
      <c r="K340" s="29" t="s">
        <v>840</v>
      </c>
      <c r="L340" s="29" t="s">
        <v>841</v>
      </c>
      <c r="M340" s="33">
        <v>-90.055</v>
      </c>
      <c r="N340" s="33">
        <v>17.461</v>
      </c>
      <c r="O340" s="34" t="s">
        <v>601</v>
      </c>
      <c r="P340" s="32" t="s">
        <v>602</v>
      </c>
      <c r="Q340" s="35">
        <v>111.0</v>
      </c>
      <c r="R340" s="35">
        <v>111.0</v>
      </c>
      <c r="S340" s="36">
        <v>0.01</v>
      </c>
      <c r="T340" s="36">
        <v>0.03</v>
      </c>
      <c r="U340" s="36">
        <v>0.1</v>
      </c>
      <c r="V340" s="36">
        <v>0.173205081</v>
      </c>
      <c r="W340" s="37" t="s">
        <v>780</v>
      </c>
      <c r="X340" s="31">
        <v>6.0</v>
      </c>
      <c r="Y340" s="36">
        <v>-1.0978385942387991</v>
      </c>
      <c r="Z340" s="36">
        <v>1.20120120204421</v>
      </c>
      <c r="AA340" s="29" t="s">
        <v>820</v>
      </c>
      <c r="AB340" s="31">
        <v>2.39345192909</v>
      </c>
      <c r="AC340" s="38">
        <v>777.0</v>
      </c>
    </row>
    <row r="341" ht="14.25" customHeight="1">
      <c r="A341" s="29" t="s">
        <v>116</v>
      </c>
      <c r="B341" s="29">
        <v>95.0</v>
      </c>
      <c r="C341" s="29" t="s">
        <v>608</v>
      </c>
      <c r="D341" s="29" t="s">
        <v>855</v>
      </c>
      <c r="E341" s="29">
        <v>114.0</v>
      </c>
      <c r="F341" s="30" t="s">
        <v>856</v>
      </c>
      <c r="G341" s="29" t="s">
        <v>626</v>
      </c>
      <c r="H341" s="31">
        <v>55.51</v>
      </c>
      <c r="I341" s="29" t="s">
        <v>612</v>
      </c>
      <c r="J341" s="32" t="s">
        <v>642</v>
      </c>
      <c r="K341" s="29" t="s">
        <v>840</v>
      </c>
      <c r="L341" s="29" t="s">
        <v>841</v>
      </c>
      <c r="M341" s="33">
        <v>-90.055</v>
      </c>
      <c r="N341" s="33">
        <v>17.461</v>
      </c>
      <c r="O341" s="34" t="s">
        <v>601</v>
      </c>
      <c r="P341" s="32" t="s">
        <v>602</v>
      </c>
      <c r="Q341" s="35">
        <v>74.0</v>
      </c>
      <c r="R341" s="35">
        <v>111.0</v>
      </c>
      <c r="S341" s="36">
        <v>0.01</v>
      </c>
      <c r="T341" s="36">
        <v>0.03</v>
      </c>
      <c r="U341" s="36">
        <v>0.1</v>
      </c>
      <c r="V341" s="36">
        <v>0.173205081</v>
      </c>
      <c r="W341" s="37" t="s">
        <v>780</v>
      </c>
      <c r="X341" s="31">
        <v>10.0</v>
      </c>
      <c r="Y341" s="36">
        <v>-1.0978385942387991</v>
      </c>
      <c r="Z341" s="36">
        <v>1.6516516524946605</v>
      </c>
      <c r="AA341" s="29" t="s">
        <v>820</v>
      </c>
      <c r="AB341" s="31">
        <v>2.39345192909</v>
      </c>
      <c r="AC341" s="38">
        <v>777.0</v>
      </c>
    </row>
    <row r="342" ht="14.25" customHeight="1">
      <c r="A342" s="29" t="s">
        <v>116</v>
      </c>
      <c r="B342" s="29">
        <v>95.0</v>
      </c>
      <c r="C342" s="29" t="s">
        <v>608</v>
      </c>
      <c r="D342" s="29" t="s">
        <v>855</v>
      </c>
      <c r="E342" s="29">
        <v>114.0</v>
      </c>
      <c r="F342" s="30" t="s">
        <v>856</v>
      </c>
      <c r="G342" s="29" t="s">
        <v>626</v>
      </c>
      <c r="H342" s="31">
        <v>55.51</v>
      </c>
      <c r="I342" s="29" t="s">
        <v>612</v>
      </c>
      <c r="J342" s="32" t="s">
        <v>642</v>
      </c>
      <c r="K342" s="29" t="s">
        <v>840</v>
      </c>
      <c r="L342" s="29" t="s">
        <v>841</v>
      </c>
      <c r="M342" s="33">
        <v>-90.055</v>
      </c>
      <c r="N342" s="33">
        <v>17.461</v>
      </c>
      <c r="O342" s="34" t="s">
        <v>601</v>
      </c>
      <c r="P342" s="32" t="s">
        <v>602</v>
      </c>
      <c r="Q342" s="35">
        <v>74.0</v>
      </c>
      <c r="R342" s="35">
        <v>111.0</v>
      </c>
      <c r="S342" s="36">
        <v>0.02</v>
      </c>
      <c r="T342" s="36">
        <v>0.03</v>
      </c>
      <c r="U342" s="36">
        <v>0.141421356</v>
      </c>
      <c r="V342" s="36">
        <v>0.173205081</v>
      </c>
      <c r="W342" s="37" t="s">
        <v>780</v>
      </c>
      <c r="X342" s="31">
        <v>14.0</v>
      </c>
      <c r="Y342" s="36">
        <v>-0.4050781860681272</v>
      </c>
      <c r="Z342" s="36">
        <v>0.9759759745513743</v>
      </c>
      <c r="AA342" s="29" t="s">
        <v>820</v>
      </c>
      <c r="AB342" s="31">
        <v>2.39345192909</v>
      </c>
      <c r="AC342" s="38">
        <v>777.0</v>
      </c>
    </row>
    <row r="343" ht="14.25" customHeight="1">
      <c r="A343" s="29" t="s">
        <v>116</v>
      </c>
      <c r="B343" s="29">
        <v>95.0</v>
      </c>
      <c r="C343" s="29" t="s">
        <v>608</v>
      </c>
      <c r="D343" s="29" t="s">
        <v>857</v>
      </c>
      <c r="E343" s="29">
        <v>280.0</v>
      </c>
      <c r="F343" s="30" t="s">
        <v>858</v>
      </c>
      <c r="G343" s="29" t="s">
        <v>629</v>
      </c>
      <c r="H343" s="31">
        <f t="shared" ref="H343:H345" si="71">AVERAGE(100,51.6)</f>
        <v>75.8</v>
      </c>
      <c r="I343" s="29" t="s">
        <v>657</v>
      </c>
      <c r="J343" s="32" t="s">
        <v>642</v>
      </c>
      <c r="K343" s="29" t="s">
        <v>840</v>
      </c>
      <c r="L343" s="29" t="s">
        <v>841</v>
      </c>
      <c r="M343" s="33">
        <v>-90.055</v>
      </c>
      <c r="N343" s="33">
        <v>17.461</v>
      </c>
      <c r="O343" s="34" t="s">
        <v>601</v>
      </c>
      <c r="P343" s="32" t="s">
        <v>602</v>
      </c>
      <c r="Q343" s="35">
        <v>111.0</v>
      </c>
      <c r="R343" s="35">
        <v>111.0</v>
      </c>
      <c r="S343" s="36">
        <v>0.18</v>
      </c>
      <c r="T343" s="36">
        <v>0.36</v>
      </c>
      <c r="U343" s="36">
        <v>0.424264069</v>
      </c>
      <c r="V343" s="36">
        <v>0.6</v>
      </c>
      <c r="W343" s="37" t="s">
        <v>859</v>
      </c>
      <c r="X343" s="31">
        <v>6.0</v>
      </c>
      <c r="Y343" s="36">
        <v>-0.692631317768005</v>
      </c>
      <c r="Z343" s="36">
        <v>0.07507507514304215</v>
      </c>
      <c r="AA343" s="29" t="s">
        <v>820</v>
      </c>
      <c r="AB343" s="31">
        <v>2.39345192909</v>
      </c>
      <c r="AC343" s="38">
        <v>777.0</v>
      </c>
    </row>
    <row r="344" ht="14.25" customHeight="1">
      <c r="A344" s="29" t="s">
        <v>116</v>
      </c>
      <c r="B344" s="29">
        <v>95.0</v>
      </c>
      <c r="C344" s="29" t="s">
        <v>608</v>
      </c>
      <c r="D344" s="29" t="s">
        <v>857</v>
      </c>
      <c r="E344" s="29">
        <v>280.0</v>
      </c>
      <c r="F344" s="30" t="s">
        <v>858</v>
      </c>
      <c r="G344" s="29" t="s">
        <v>629</v>
      </c>
      <c r="H344" s="31">
        <f t="shared" si="71"/>
        <v>75.8</v>
      </c>
      <c r="I344" s="29" t="s">
        <v>657</v>
      </c>
      <c r="J344" s="32" t="s">
        <v>642</v>
      </c>
      <c r="K344" s="29" t="s">
        <v>840</v>
      </c>
      <c r="L344" s="29" t="s">
        <v>841</v>
      </c>
      <c r="M344" s="33">
        <v>-90.055</v>
      </c>
      <c r="N344" s="33">
        <v>17.461</v>
      </c>
      <c r="O344" s="34" t="s">
        <v>601</v>
      </c>
      <c r="P344" s="32" t="s">
        <v>602</v>
      </c>
      <c r="Q344" s="35">
        <v>74.0</v>
      </c>
      <c r="R344" s="35">
        <v>111.0</v>
      </c>
      <c r="S344" s="36">
        <v>0.175</v>
      </c>
      <c r="T344" s="36">
        <v>0.36</v>
      </c>
      <c r="U344" s="36">
        <v>0.418330013</v>
      </c>
      <c r="V344" s="36">
        <v>0.6</v>
      </c>
      <c r="W344" s="37" t="s">
        <v>859</v>
      </c>
      <c r="X344" s="31">
        <v>10.0</v>
      </c>
      <c r="Y344" s="36">
        <v>-0.7207874597073307</v>
      </c>
      <c r="Z344" s="36">
        <v>0.10224510214651657</v>
      </c>
      <c r="AA344" s="29" t="s">
        <v>820</v>
      </c>
      <c r="AB344" s="31">
        <v>2.39345192909</v>
      </c>
      <c r="AC344" s="38">
        <v>777.0</v>
      </c>
    </row>
    <row r="345" ht="14.25" customHeight="1">
      <c r="A345" s="29" t="s">
        <v>116</v>
      </c>
      <c r="B345" s="29">
        <v>95.0</v>
      </c>
      <c r="C345" s="29" t="s">
        <v>608</v>
      </c>
      <c r="D345" s="29" t="s">
        <v>857</v>
      </c>
      <c r="E345" s="29">
        <v>280.0</v>
      </c>
      <c r="F345" s="30" t="s">
        <v>858</v>
      </c>
      <c r="G345" s="29" t="s">
        <v>629</v>
      </c>
      <c r="H345" s="31">
        <f t="shared" si="71"/>
        <v>75.8</v>
      </c>
      <c r="I345" s="29" t="s">
        <v>657</v>
      </c>
      <c r="J345" s="32" t="s">
        <v>642</v>
      </c>
      <c r="K345" s="29" t="s">
        <v>840</v>
      </c>
      <c r="L345" s="29" t="s">
        <v>841</v>
      </c>
      <c r="M345" s="33">
        <v>-90.055</v>
      </c>
      <c r="N345" s="33">
        <v>17.461</v>
      </c>
      <c r="O345" s="34" t="s">
        <v>601</v>
      </c>
      <c r="P345" s="32" t="s">
        <v>602</v>
      </c>
      <c r="Q345" s="35">
        <v>74.0</v>
      </c>
      <c r="R345" s="35">
        <v>111.0</v>
      </c>
      <c r="S345" s="36">
        <v>0.29</v>
      </c>
      <c r="T345" s="36">
        <v>0.36</v>
      </c>
      <c r="U345" s="36">
        <v>0.538516481</v>
      </c>
      <c r="V345" s="36">
        <v>0.6</v>
      </c>
      <c r="W345" s="37" t="s">
        <v>859</v>
      </c>
      <c r="X345" s="31">
        <v>14.0</v>
      </c>
      <c r="Y345" s="36">
        <v>-0.2159028864462986</v>
      </c>
      <c r="Z345" s="36">
        <v>0.07162334753500725</v>
      </c>
      <c r="AA345" s="29" t="s">
        <v>820</v>
      </c>
      <c r="AB345" s="31">
        <v>2.39345192909</v>
      </c>
      <c r="AC345" s="38">
        <v>777.0</v>
      </c>
    </row>
    <row r="346" ht="14.25" customHeight="1">
      <c r="A346" s="29" t="s">
        <v>116</v>
      </c>
      <c r="B346" s="29">
        <v>95.0</v>
      </c>
      <c r="C346" s="29" t="s">
        <v>608</v>
      </c>
      <c r="D346" s="29" t="s">
        <v>630</v>
      </c>
      <c r="E346" s="29">
        <v>129.0</v>
      </c>
      <c r="F346" s="30" t="s">
        <v>631</v>
      </c>
      <c r="G346" s="29" t="s">
        <v>626</v>
      </c>
      <c r="H346" s="31">
        <v>21.27</v>
      </c>
      <c r="I346" s="29" t="s">
        <v>612</v>
      </c>
      <c r="J346" s="32" t="s">
        <v>642</v>
      </c>
      <c r="K346" s="29" t="s">
        <v>840</v>
      </c>
      <c r="L346" s="29" t="s">
        <v>841</v>
      </c>
      <c r="M346" s="33">
        <v>-90.055</v>
      </c>
      <c r="N346" s="33">
        <v>17.461</v>
      </c>
      <c r="O346" s="34" t="s">
        <v>601</v>
      </c>
      <c r="P346" s="32" t="s">
        <v>602</v>
      </c>
      <c r="Q346" s="35">
        <v>111.0</v>
      </c>
      <c r="R346" s="35">
        <v>111.0</v>
      </c>
      <c r="S346" s="36">
        <v>0.02</v>
      </c>
      <c r="T346" s="36">
        <v>0.16</v>
      </c>
      <c r="U346" s="36">
        <v>0.141421356</v>
      </c>
      <c r="V346" s="36">
        <v>0.4</v>
      </c>
      <c r="W346" s="37" t="s">
        <v>780</v>
      </c>
      <c r="X346" s="31">
        <v>6.0</v>
      </c>
      <c r="Y346" s="36">
        <v>-2.077379685279277</v>
      </c>
      <c r="Z346" s="36">
        <v>0.5067567552450166</v>
      </c>
      <c r="AA346" s="29" t="s">
        <v>820</v>
      </c>
      <c r="AB346" s="31">
        <v>2.39345192909</v>
      </c>
      <c r="AC346" s="38">
        <v>777.0</v>
      </c>
    </row>
    <row r="347" ht="14.25" customHeight="1">
      <c r="A347" s="29" t="s">
        <v>116</v>
      </c>
      <c r="B347" s="29">
        <v>95.0</v>
      </c>
      <c r="C347" s="29" t="s">
        <v>608</v>
      </c>
      <c r="D347" s="29" t="s">
        <v>630</v>
      </c>
      <c r="E347" s="29">
        <v>129.0</v>
      </c>
      <c r="F347" s="30" t="s">
        <v>631</v>
      </c>
      <c r="G347" s="29" t="s">
        <v>626</v>
      </c>
      <c r="H347" s="31">
        <v>21.27</v>
      </c>
      <c r="I347" s="29" t="s">
        <v>612</v>
      </c>
      <c r="J347" s="32" t="s">
        <v>642</v>
      </c>
      <c r="K347" s="29" t="s">
        <v>840</v>
      </c>
      <c r="L347" s="29" t="s">
        <v>841</v>
      </c>
      <c r="M347" s="33">
        <v>-90.055</v>
      </c>
      <c r="N347" s="33">
        <v>17.461</v>
      </c>
      <c r="O347" s="34" t="s">
        <v>601</v>
      </c>
      <c r="P347" s="32" t="s">
        <v>602</v>
      </c>
      <c r="Q347" s="35">
        <v>74.0</v>
      </c>
      <c r="R347" s="35">
        <v>111.0</v>
      </c>
      <c r="S347" s="36">
        <v>0.05</v>
      </c>
      <c r="T347" s="36">
        <v>0.16</v>
      </c>
      <c r="U347" s="36">
        <v>0.223606798</v>
      </c>
      <c r="V347" s="36">
        <v>0.4</v>
      </c>
      <c r="W347" s="37" t="s">
        <v>780</v>
      </c>
      <c r="X347" s="31">
        <v>10.0</v>
      </c>
      <c r="Y347" s="36">
        <v>-1.1623255570251951</v>
      </c>
      <c r="Z347" s="36">
        <v>0.3265765771809701</v>
      </c>
      <c r="AA347" s="29" t="s">
        <v>820</v>
      </c>
      <c r="AB347" s="31">
        <v>2.39345192909</v>
      </c>
      <c r="AC347" s="38">
        <v>777.0</v>
      </c>
    </row>
    <row r="348" ht="14.25" customHeight="1">
      <c r="A348" s="29" t="s">
        <v>116</v>
      </c>
      <c r="B348" s="29">
        <v>95.0</v>
      </c>
      <c r="C348" s="29" t="s">
        <v>608</v>
      </c>
      <c r="D348" s="29" t="s">
        <v>630</v>
      </c>
      <c r="E348" s="29">
        <v>129.0</v>
      </c>
      <c r="F348" s="30" t="s">
        <v>631</v>
      </c>
      <c r="G348" s="29" t="s">
        <v>626</v>
      </c>
      <c r="H348" s="31">
        <v>21.27</v>
      </c>
      <c r="I348" s="29" t="s">
        <v>612</v>
      </c>
      <c r="J348" s="32" t="s">
        <v>642</v>
      </c>
      <c r="K348" s="29" t="s">
        <v>840</v>
      </c>
      <c r="L348" s="29" t="s">
        <v>841</v>
      </c>
      <c r="M348" s="33">
        <v>-90.055</v>
      </c>
      <c r="N348" s="33">
        <v>17.461</v>
      </c>
      <c r="O348" s="34" t="s">
        <v>601</v>
      </c>
      <c r="P348" s="32" t="s">
        <v>602</v>
      </c>
      <c r="Q348" s="35">
        <v>74.0</v>
      </c>
      <c r="R348" s="35">
        <v>111.0</v>
      </c>
      <c r="S348" s="36">
        <v>0.08</v>
      </c>
      <c r="T348" s="36">
        <v>0.16</v>
      </c>
      <c r="U348" s="36">
        <v>0.282842712</v>
      </c>
      <c r="V348" s="36">
        <v>0.4</v>
      </c>
      <c r="W348" s="37" t="s">
        <v>780</v>
      </c>
      <c r="X348" s="31">
        <v>14.0</v>
      </c>
      <c r="Y348" s="36">
        <v>-0.692631317768005</v>
      </c>
      <c r="Z348" s="36">
        <v>0.22522522465832268</v>
      </c>
      <c r="AA348" s="29" t="s">
        <v>820</v>
      </c>
      <c r="AB348" s="31">
        <v>2.39345192909</v>
      </c>
      <c r="AC348" s="38">
        <v>777.0</v>
      </c>
    </row>
    <row r="349" ht="14.25" customHeight="1">
      <c r="A349" s="29" t="s">
        <v>116</v>
      </c>
      <c r="B349" s="29">
        <v>95.0</v>
      </c>
      <c r="C349" s="29" t="s">
        <v>608</v>
      </c>
      <c r="D349" s="29" t="s">
        <v>860</v>
      </c>
      <c r="E349" s="29">
        <v>187.0</v>
      </c>
      <c r="F349" s="30" t="s">
        <v>861</v>
      </c>
      <c r="G349" s="29" t="s">
        <v>638</v>
      </c>
      <c r="H349" s="31">
        <v>300.0</v>
      </c>
      <c r="I349" s="29" t="s">
        <v>612</v>
      </c>
      <c r="J349" s="32" t="s">
        <v>642</v>
      </c>
      <c r="K349" s="29" t="s">
        <v>840</v>
      </c>
      <c r="L349" s="29" t="s">
        <v>841</v>
      </c>
      <c r="M349" s="33">
        <v>-90.055</v>
      </c>
      <c r="N349" s="33">
        <v>17.461</v>
      </c>
      <c r="O349" s="34" t="s">
        <v>601</v>
      </c>
      <c r="P349" s="32" t="s">
        <v>602</v>
      </c>
      <c r="Q349" s="35">
        <v>111.0</v>
      </c>
      <c r="R349" s="35">
        <v>111.0</v>
      </c>
      <c r="S349" s="36">
        <v>0.07</v>
      </c>
      <c r="T349" s="36">
        <v>0.035</v>
      </c>
      <c r="U349" s="36">
        <v>0.264575131</v>
      </c>
      <c r="V349" s="36">
        <v>0.187082869</v>
      </c>
      <c r="W349" s="37" t="s">
        <v>859</v>
      </c>
      <c r="X349" s="31">
        <v>6.0</v>
      </c>
      <c r="Y349" s="36">
        <v>0.6932761712083021</v>
      </c>
      <c r="Z349" s="36">
        <v>0.38610038506481303</v>
      </c>
      <c r="AA349" s="29" t="s">
        <v>820</v>
      </c>
      <c r="AB349" s="31">
        <v>2.39345192909</v>
      </c>
      <c r="AC349" s="38">
        <v>777.0</v>
      </c>
    </row>
    <row r="350" ht="14.25" customHeight="1">
      <c r="A350" s="29" t="s">
        <v>116</v>
      </c>
      <c r="B350" s="29">
        <v>95.0</v>
      </c>
      <c r="C350" s="29" t="s">
        <v>608</v>
      </c>
      <c r="D350" s="29" t="s">
        <v>860</v>
      </c>
      <c r="E350" s="29">
        <v>187.0</v>
      </c>
      <c r="F350" s="30" t="s">
        <v>861</v>
      </c>
      <c r="G350" s="29" t="s">
        <v>638</v>
      </c>
      <c r="H350" s="31">
        <v>300.0</v>
      </c>
      <c r="I350" s="29" t="s">
        <v>612</v>
      </c>
      <c r="J350" s="32" t="s">
        <v>642</v>
      </c>
      <c r="K350" s="29" t="s">
        <v>840</v>
      </c>
      <c r="L350" s="29" t="s">
        <v>841</v>
      </c>
      <c r="M350" s="33">
        <v>-90.055</v>
      </c>
      <c r="N350" s="33">
        <v>17.461</v>
      </c>
      <c r="O350" s="34" t="s">
        <v>601</v>
      </c>
      <c r="P350" s="32" t="s">
        <v>602</v>
      </c>
      <c r="Q350" s="35">
        <v>74.0</v>
      </c>
      <c r="R350" s="35">
        <v>111.0</v>
      </c>
      <c r="S350" s="36">
        <v>0.08</v>
      </c>
      <c r="T350" s="36">
        <v>0.035</v>
      </c>
      <c r="U350" s="36">
        <v>0.282842712</v>
      </c>
      <c r="V350" s="36">
        <v>0.187082869</v>
      </c>
      <c r="W350" s="37" t="s">
        <v>859</v>
      </c>
      <c r="X350" s="31">
        <v>10.0</v>
      </c>
      <c r="Y350" s="36">
        <v>0.8267914409116734</v>
      </c>
      <c r="Z350" s="36">
        <v>0.4263191748202728</v>
      </c>
      <c r="AA350" s="29" t="s">
        <v>820</v>
      </c>
      <c r="AB350" s="31">
        <v>2.39345192909</v>
      </c>
      <c r="AC350" s="38">
        <v>777.0</v>
      </c>
    </row>
    <row r="351" ht="14.25" customHeight="1">
      <c r="A351" s="29" t="s">
        <v>116</v>
      </c>
      <c r="B351" s="29">
        <v>95.0</v>
      </c>
      <c r="C351" s="29" t="s">
        <v>608</v>
      </c>
      <c r="D351" s="29" t="s">
        <v>860</v>
      </c>
      <c r="E351" s="29">
        <v>187.0</v>
      </c>
      <c r="F351" s="30" t="s">
        <v>861</v>
      </c>
      <c r="G351" s="29" t="s">
        <v>638</v>
      </c>
      <c r="H351" s="31">
        <v>300.0</v>
      </c>
      <c r="I351" s="29" t="s">
        <v>612</v>
      </c>
      <c r="J351" s="32" t="s">
        <v>642</v>
      </c>
      <c r="K351" s="29" t="s">
        <v>840</v>
      </c>
      <c r="L351" s="29" t="s">
        <v>841</v>
      </c>
      <c r="M351" s="33">
        <v>-90.055</v>
      </c>
      <c r="N351" s="33">
        <v>17.461</v>
      </c>
      <c r="O351" s="34" t="s">
        <v>601</v>
      </c>
      <c r="P351" s="32" t="s">
        <v>602</v>
      </c>
      <c r="Q351" s="35">
        <v>74.0</v>
      </c>
      <c r="R351" s="35">
        <v>111.0</v>
      </c>
      <c r="S351" s="36">
        <v>0.1</v>
      </c>
      <c r="T351" s="36">
        <v>0.035</v>
      </c>
      <c r="U351" s="36">
        <v>0.316227766</v>
      </c>
      <c r="V351" s="36">
        <v>0.187082869</v>
      </c>
      <c r="W351" s="37" t="s">
        <v>859</v>
      </c>
      <c r="X351" s="31">
        <v>14.0</v>
      </c>
      <c r="Y351" s="36">
        <v>1.049912419699549</v>
      </c>
      <c r="Z351" s="36">
        <v>0.3925353915890007</v>
      </c>
      <c r="AA351" s="29" t="s">
        <v>820</v>
      </c>
      <c r="AB351" s="31">
        <v>2.39345192909</v>
      </c>
      <c r="AC351" s="38">
        <v>777.0</v>
      </c>
    </row>
    <row r="352" ht="14.25" customHeight="1">
      <c r="A352" s="29" t="s">
        <v>116</v>
      </c>
      <c r="B352" s="29">
        <v>95.0</v>
      </c>
      <c r="C352" s="29" t="s">
        <v>608</v>
      </c>
      <c r="D352" s="29" t="s">
        <v>639</v>
      </c>
      <c r="E352" s="29">
        <v>190.0</v>
      </c>
      <c r="F352" s="30" t="s">
        <v>640</v>
      </c>
      <c r="G352" s="29" t="s">
        <v>626</v>
      </c>
      <c r="H352" s="31">
        <v>32.23</v>
      </c>
      <c r="I352" s="29" t="s">
        <v>597</v>
      </c>
      <c r="J352" s="32" t="s">
        <v>642</v>
      </c>
      <c r="K352" s="29" t="s">
        <v>840</v>
      </c>
      <c r="L352" s="29" t="s">
        <v>841</v>
      </c>
      <c r="M352" s="33">
        <v>-90.055</v>
      </c>
      <c r="N352" s="33">
        <v>17.461</v>
      </c>
      <c r="O352" s="34" t="s">
        <v>601</v>
      </c>
      <c r="P352" s="32" t="s">
        <v>602</v>
      </c>
      <c r="Q352" s="35">
        <v>111.0</v>
      </c>
      <c r="R352" s="35">
        <v>111.0</v>
      </c>
      <c r="S352" s="36">
        <v>0.0</v>
      </c>
      <c r="T352" s="36">
        <v>0.79</v>
      </c>
      <c r="U352" s="36">
        <v>0.0</v>
      </c>
      <c r="V352" s="36">
        <v>0.888819442</v>
      </c>
      <c r="W352" s="37" t="s">
        <v>780</v>
      </c>
      <c r="X352" s="31">
        <v>6.0</v>
      </c>
      <c r="Y352" s="36">
        <v>-8.262558973010657</v>
      </c>
      <c r="Z352" s="36">
        <v>0.01945114093258857</v>
      </c>
      <c r="AA352" s="29" t="s">
        <v>820</v>
      </c>
      <c r="AB352" s="31">
        <v>2.39345192909</v>
      </c>
      <c r="AC352" s="38">
        <v>777.0</v>
      </c>
    </row>
    <row r="353" ht="14.25" customHeight="1">
      <c r="A353" s="29" t="s">
        <v>116</v>
      </c>
      <c r="B353" s="29">
        <v>95.0</v>
      </c>
      <c r="C353" s="29" t="s">
        <v>608</v>
      </c>
      <c r="D353" s="29" t="s">
        <v>639</v>
      </c>
      <c r="E353" s="29">
        <v>190.0</v>
      </c>
      <c r="F353" s="30" t="s">
        <v>640</v>
      </c>
      <c r="G353" s="29" t="s">
        <v>626</v>
      </c>
      <c r="H353" s="31">
        <v>32.23</v>
      </c>
      <c r="I353" s="29" t="s">
        <v>597</v>
      </c>
      <c r="J353" s="32" t="s">
        <v>642</v>
      </c>
      <c r="K353" s="29" t="s">
        <v>840</v>
      </c>
      <c r="L353" s="29" t="s">
        <v>841</v>
      </c>
      <c r="M353" s="33">
        <v>-90.055</v>
      </c>
      <c r="N353" s="33">
        <v>17.461</v>
      </c>
      <c r="O353" s="34" t="s">
        <v>601</v>
      </c>
      <c r="P353" s="32" t="s">
        <v>602</v>
      </c>
      <c r="Q353" s="35">
        <v>74.0</v>
      </c>
      <c r="R353" s="35">
        <v>111.0</v>
      </c>
      <c r="S353" s="36">
        <v>0.0</v>
      </c>
      <c r="T353" s="36">
        <v>0.79</v>
      </c>
      <c r="U353" s="36">
        <v>0.0</v>
      </c>
      <c r="V353" s="36">
        <v>0.888819442</v>
      </c>
      <c r="W353" s="37" t="s">
        <v>780</v>
      </c>
      <c r="X353" s="31">
        <v>10.0</v>
      </c>
      <c r="Y353" s="36">
        <v>-8.262558973010657</v>
      </c>
      <c r="Z353" s="36">
        <v>0.023955645437093075</v>
      </c>
      <c r="AA353" s="29" t="s">
        <v>820</v>
      </c>
      <c r="AB353" s="31">
        <v>2.39345192909</v>
      </c>
      <c r="AC353" s="38">
        <v>777.0</v>
      </c>
    </row>
    <row r="354" ht="14.25" customHeight="1">
      <c r="A354" s="29" t="s">
        <v>116</v>
      </c>
      <c r="B354" s="29">
        <v>95.0</v>
      </c>
      <c r="C354" s="29" t="s">
        <v>608</v>
      </c>
      <c r="D354" s="29" t="s">
        <v>639</v>
      </c>
      <c r="E354" s="29">
        <v>190.0</v>
      </c>
      <c r="F354" s="30" t="s">
        <v>640</v>
      </c>
      <c r="G354" s="29" t="s">
        <v>626</v>
      </c>
      <c r="H354" s="31">
        <v>32.23</v>
      </c>
      <c r="I354" s="29" t="s">
        <v>597</v>
      </c>
      <c r="J354" s="32" t="s">
        <v>642</v>
      </c>
      <c r="K354" s="29" t="s">
        <v>840</v>
      </c>
      <c r="L354" s="29" t="s">
        <v>841</v>
      </c>
      <c r="M354" s="33">
        <v>-90.055</v>
      </c>
      <c r="N354" s="33">
        <v>17.461</v>
      </c>
      <c r="O354" s="34" t="s">
        <v>601</v>
      </c>
      <c r="P354" s="32" t="s">
        <v>602</v>
      </c>
      <c r="Q354" s="35">
        <v>74.0</v>
      </c>
      <c r="R354" s="35">
        <v>111.0</v>
      </c>
      <c r="S354" s="36">
        <v>0.77</v>
      </c>
      <c r="T354" s="36">
        <v>0.79</v>
      </c>
      <c r="U354" s="36">
        <v>0.877496439</v>
      </c>
      <c r="V354" s="36">
        <v>0.888819442</v>
      </c>
      <c r="W354" s="37" t="s">
        <v>780</v>
      </c>
      <c r="X354" s="31">
        <v>14.0</v>
      </c>
      <c r="Y354" s="36">
        <v>-0.02537776645887725</v>
      </c>
      <c r="Z354" s="36">
        <v>0.028953826439500764</v>
      </c>
      <c r="AA354" s="29" t="s">
        <v>820</v>
      </c>
      <c r="AB354" s="31">
        <v>2.39345192909</v>
      </c>
      <c r="AC354" s="38">
        <v>777.0</v>
      </c>
    </row>
    <row r="355" ht="14.25" customHeight="1">
      <c r="A355" s="29" t="s">
        <v>122</v>
      </c>
      <c r="B355" s="29">
        <v>53.0</v>
      </c>
      <c r="C355" s="29" t="s">
        <v>593</v>
      </c>
      <c r="D355" s="29" t="s">
        <v>862</v>
      </c>
      <c r="E355" s="29">
        <v>104.0</v>
      </c>
      <c r="F355" s="30" t="s">
        <v>863</v>
      </c>
      <c r="G355" s="29" t="s">
        <v>607</v>
      </c>
      <c r="H355" s="31">
        <v>2.77</v>
      </c>
      <c r="I355" s="29" t="s">
        <v>597</v>
      </c>
      <c r="J355" s="32" t="s">
        <v>598</v>
      </c>
      <c r="K355" s="29" t="s">
        <v>599</v>
      </c>
      <c r="L355" s="29" t="s">
        <v>819</v>
      </c>
      <c r="M355" s="33">
        <v>-75.166</v>
      </c>
      <c r="N355" s="33">
        <v>-4.825</v>
      </c>
      <c r="O355" s="34" t="s">
        <v>641</v>
      </c>
      <c r="P355" s="32" t="s">
        <v>602</v>
      </c>
      <c r="Q355" s="35">
        <v>76.0</v>
      </c>
      <c r="R355" s="35">
        <v>90.0</v>
      </c>
      <c r="S355" s="36">
        <v>0.02</v>
      </c>
      <c r="T355" s="36">
        <v>1.65</v>
      </c>
      <c r="U355" s="36">
        <f>SQRT(S355)</f>
        <v>0.1414213562</v>
      </c>
      <c r="V355" s="36">
        <v>0.4021</v>
      </c>
      <c r="W355" s="37" t="s">
        <v>623</v>
      </c>
      <c r="X355" s="31">
        <v>2.5</v>
      </c>
      <c r="Y355" s="36">
        <v>-4.310763614652391</v>
      </c>
      <c r="Z355" s="36">
        <v>0.6585546058758773</v>
      </c>
      <c r="AA355" s="29" t="s">
        <v>820</v>
      </c>
      <c r="AB355" s="31">
        <v>0.572647988796</v>
      </c>
      <c r="AC355" s="38">
        <v>939.0</v>
      </c>
    </row>
    <row r="356" ht="14.25" customHeight="1">
      <c r="A356" s="29" t="s">
        <v>122</v>
      </c>
      <c r="B356" s="29">
        <v>53.0</v>
      </c>
      <c r="C356" s="29" t="s">
        <v>593</v>
      </c>
      <c r="D356" s="29" t="s">
        <v>864</v>
      </c>
      <c r="E356" s="29">
        <v>119.0</v>
      </c>
      <c r="F356" s="30" t="s">
        <v>865</v>
      </c>
      <c r="G356" s="29" t="s">
        <v>607</v>
      </c>
      <c r="H356" s="31">
        <v>0.55</v>
      </c>
      <c r="I356" s="29" t="s">
        <v>597</v>
      </c>
      <c r="J356" s="32" t="s">
        <v>598</v>
      </c>
      <c r="K356" s="29" t="s">
        <v>599</v>
      </c>
      <c r="L356" s="29" t="s">
        <v>819</v>
      </c>
      <c r="M356" s="33">
        <v>-75.166</v>
      </c>
      <c r="N356" s="33">
        <v>-4.825</v>
      </c>
      <c r="O356" s="34" t="s">
        <v>641</v>
      </c>
      <c r="P356" s="32" t="s">
        <v>602</v>
      </c>
      <c r="Q356" s="35">
        <v>76.0</v>
      </c>
      <c r="R356" s="35">
        <v>90.0</v>
      </c>
      <c r="S356" s="36">
        <v>5.95</v>
      </c>
      <c r="T356" s="36">
        <v>3.28</v>
      </c>
      <c r="U356" s="36">
        <v>2.6608</v>
      </c>
      <c r="V356" s="36">
        <v>1.9352</v>
      </c>
      <c r="W356" s="37" t="s">
        <v>623</v>
      </c>
      <c r="X356" s="31">
        <v>2.5</v>
      </c>
      <c r="Y356" s="36">
        <v>0.5962653267903669</v>
      </c>
      <c r="Z356" s="36">
        <v>0.0064991176103052165</v>
      </c>
      <c r="AA356" s="29" t="s">
        <v>820</v>
      </c>
      <c r="AB356" s="31">
        <v>0.572647988796</v>
      </c>
      <c r="AC356" s="38">
        <v>939.0</v>
      </c>
    </row>
    <row r="357" ht="14.25" customHeight="1">
      <c r="A357" s="29" t="s">
        <v>122</v>
      </c>
      <c r="B357" s="29">
        <v>53.0</v>
      </c>
      <c r="C357" s="29" t="s">
        <v>593</v>
      </c>
      <c r="D357" s="29" t="s">
        <v>866</v>
      </c>
      <c r="E357" s="29">
        <v>130.0</v>
      </c>
      <c r="F357" s="30" t="s">
        <v>867</v>
      </c>
      <c r="G357" s="29" t="s">
        <v>607</v>
      </c>
      <c r="H357" s="31">
        <v>1.49</v>
      </c>
      <c r="I357" s="29" t="s">
        <v>597</v>
      </c>
      <c r="J357" s="32" t="s">
        <v>598</v>
      </c>
      <c r="K357" s="29" t="s">
        <v>599</v>
      </c>
      <c r="L357" s="29" t="s">
        <v>819</v>
      </c>
      <c r="M357" s="33">
        <v>-75.166</v>
      </c>
      <c r="N357" s="33">
        <v>-4.825</v>
      </c>
      <c r="O357" s="34" t="s">
        <v>641</v>
      </c>
      <c r="P357" s="32" t="s">
        <v>602</v>
      </c>
      <c r="Q357" s="35">
        <v>76.0</v>
      </c>
      <c r="R357" s="35">
        <v>90.0</v>
      </c>
      <c r="S357" s="36">
        <v>0.22</v>
      </c>
      <c r="T357" s="36">
        <v>5.46</v>
      </c>
      <c r="U357" s="36">
        <v>0.1556</v>
      </c>
      <c r="V357" s="36">
        <v>1.4038</v>
      </c>
      <c r="W357" s="37" t="s">
        <v>623</v>
      </c>
      <c r="X357" s="31">
        <v>2.5</v>
      </c>
      <c r="Y357" s="36">
        <v>-3.179772339105646</v>
      </c>
      <c r="Z357" s="36">
        <v>0.007316520245646031</v>
      </c>
      <c r="AA357" s="29" t="s">
        <v>820</v>
      </c>
      <c r="AB357" s="31">
        <v>0.572647988796</v>
      </c>
      <c r="AC357" s="38">
        <v>939.0</v>
      </c>
    </row>
    <row r="358" ht="14.25" customHeight="1">
      <c r="A358" s="29" t="s">
        <v>122</v>
      </c>
      <c r="B358" s="29">
        <v>53.0</v>
      </c>
      <c r="C358" s="29" t="s">
        <v>593</v>
      </c>
      <c r="D358" s="29" t="s">
        <v>868</v>
      </c>
      <c r="E358" s="29">
        <v>139.0</v>
      </c>
      <c r="F358" s="30" t="s">
        <v>869</v>
      </c>
      <c r="G358" s="29" t="s">
        <v>607</v>
      </c>
      <c r="H358" s="31">
        <v>1.24</v>
      </c>
      <c r="I358" s="29" t="s">
        <v>597</v>
      </c>
      <c r="J358" s="32" t="s">
        <v>598</v>
      </c>
      <c r="K358" s="29" t="s">
        <v>599</v>
      </c>
      <c r="L358" s="29" t="s">
        <v>819</v>
      </c>
      <c r="M358" s="33">
        <v>-75.166</v>
      </c>
      <c r="N358" s="33">
        <v>-4.825</v>
      </c>
      <c r="O358" s="34" t="s">
        <v>641</v>
      </c>
      <c r="P358" s="32" t="s">
        <v>602</v>
      </c>
      <c r="Q358" s="35">
        <v>76.0</v>
      </c>
      <c r="R358" s="35">
        <v>90.0</v>
      </c>
      <c r="S358" s="36">
        <v>0.44</v>
      </c>
      <c r="T358" s="36">
        <v>6.79</v>
      </c>
      <c r="U358" s="36">
        <v>0.1796</v>
      </c>
      <c r="V358" s="36">
        <v>2.2468</v>
      </c>
      <c r="W358" s="37" t="s">
        <v>623</v>
      </c>
      <c r="X358" s="31">
        <v>2.5</v>
      </c>
      <c r="Y358" s="36">
        <v>-2.716537190882289</v>
      </c>
      <c r="Z358" s="36">
        <v>0.0034088654649680273</v>
      </c>
      <c r="AA358" s="29" t="s">
        <v>820</v>
      </c>
      <c r="AB358" s="31">
        <v>0.572647988796</v>
      </c>
      <c r="AC358" s="38">
        <v>939.0</v>
      </c>
    </row>
    <row r="359" ht="14.25" customHeight="1">
      <c r="A359" s="29" t="s">
        <v>122</v>
      </c>
      <c r="B359" s="29">
        <v>53.0</v>
      </c>
      <c r="C359" s="29" t="s">
        <v>593</v>
      </c>
      <c r="D359" s="29" t="s">
        <v>862</v>
      </c>
      <c r="E359" s="29">
        <v>104.0</v>
      </c>
      <c r="F359" s="30" t="s">
        <v>863</v>
      </c>
      <c r="G359" s="29" t="s">
        <v>607</v>
      </c>
      <c r="H359" s="31">
        <v>2.77</v>
      </c>
      <c r="I359" s="29" t="s">
        <v>597</v>
      </c>
      <c r="J359" s="32" t="s">
        <v>598</v>
      </c>
      <c r="K359" s="29" t="s">
        <v>599</v>
      </c>
      <c r="L359" s="29" t="s">
        <v>819</v>
      </c>
      <c r="M359" s="33">
        <v>-75.1</v>
      </c>
      <c r="N359" s="33">
        <v>-4.99</v>
      </c>
      <c r="O359" s="34" t="s">
        <v>641</v>
      </c>
      <c r="P359" s="32" t="s">
        <v>602</v>
      </c>
      <c r="Q359" s="35">
        <v>18.0</v>
      </c>
      <c r="R359" s="35">
        <v>90.0</v>
      </c>
      <c r="S359" s="36">
        <v>2.08</v>
      </c>
      <c r="T359" s="36">
        <v>1.65</v>
      </c>
      <c r="U359" s="36">
        <v>1.04</v>
      </c>
      <c r="V359" s="36">
        <v>0.4021</v>
      </c>
      <c r="W359" s="37" t="s">
        <v>623</v>
      </c>
      <c r="X359" s="31">
        <v>12.5</v>
      </c>
      <c r="Y359" s="36">
        <v>0.23262497536807805</v>
      </c>
      <c r="Z359" s="36">
        <v>0.014548757922660954</v>
      </c>
      <c r="AA359" s="29" t="s">
        <v>820</v>
      </c>
      <c r="AB359" s="31">
        <v>0.751732587814</v>
      </c>
      <c r="AC359" s="38">
        <v>2112.0</v>
      </c>
    </row>
    <row r="360" ht="14.25" customHeight="1">
      <c r="A360" s="29" t="s">
        <v>122</v>
      </c>
      <c r="B360" s="29">
        <v>53.0</v>
      </c>
      <c r="C360" s="29" t="s">
        <v>593</v>
      </c>
      <c r="D360" s="29" t="s">
        <v>864</v>
      </c>
      <c r="E360" s="29">
        <v>119.0</v>
      </c>
      <c r="F360" s="30" t="s">
        <v>865</v>
      </c>
      <c r="G360" s="29" t="s">
        <v>607</v>
      </c>
      <c r="H360" s="31">
        <v>0.55</v>
      </c>
      <c r="I360" s="29" t="s">
        <v>597</v>
      </c>
      <c r="J360" s="32" t="s">
        <v>598</v>
      </c>
      <c r="K360" s="29" t="s">
        <v>599</v>
      </c>
      <c r="L360" s="29" t="s">
        <v>819</v>
      </c>
      <c r="M360" s="33">
        <v>-75.1</v>
      </c>
      <c r="N360" s="33">
        <v>-4.99</v>
      </c>
      <c r="O360" s="34" t="s">
        <v>641</v>
      </c>
      <c r="P360" s="32" t="s">
        <v>602</v>
      </c>
      <c r="Q360" s="35">
        <v>18.0</v>
      </c>
      <c r="R360" s="35">
        <v>90.0</v>
      </c>
      <c r="S360" s="36">
        <v>3.6</v>
      </c>
      <c r="T360" s="36">
        <v>3.28</v>
      </c>
      <c r="U360" s="36">
        <v>1.9444</v>
      </c>
      <c r="V360" s="36">
        <v>1.9352</v>
      </c>
      <c r="W360" s="37" t="s">
        <v>623</v>
      </c>
      <c r="X360" s="31">
        <v>12.5</v>
      </c>
      <c r="Y360" s="36">
        <v>0.09427606251029264</v>
      </c>
      <c r="Z360" s="36">
        <v>0.020074445130315498</v>
      </c>
      <c r="AA360" s="29" t="s">
        <v>820</v>
      </c>
      <c r="AB360" s="31">
        <v>0.751732587814</v>
      </c>
      <c r="AC360" s="38">
        <v>2112.0</v>
      </c>
    </row>
    <row r="361" ht="14.25" customHeight="1">
      <c r="A361" s="29" t="s">
        <v>122</v>
      </c>
      <c r="B361" s="29">
        <v>53.0</v>
      </c>
      <c r="C361" s="29" t="s">
        <v>593</v>
      </c>
      <c r="D361" s="29" t="s">
        <v>866</v>
      </c>
      <c r="E361" s="29">
        <v>130.0</v>
      </c>
      <c r="F361" s="30" t="s">
        <v>867</v>
      </c>
      <c r="G361" s="29" t="s">
        <v>607</v>
      </c>
      <c r="H361" s="31">
        <v>1.49</v>
      </c>
      <c r="I361" s="29" t="s">
        <v>597</v>
      </c>
      <c r="J361" s="32" t="s">
        <v>598</v>
      </c>
      <c r="K361" s="29" t="s">
        <v>599</v>
      </c>
      <c r="L361" s="29" t="s">
        <v>819</v>
      </c>
      <c r="M361" s="33">
        <v>-75.1</v>
      </c>
      <c r="N361" s="33">
        <v>-4.99</v>
      </c>
      <c r="O361" s="34" t="s">
        <v>641</v>
      </c>
      <c r="P361" s="32" t="s">
        <v>602</v>
      </c>
      <c r="Q361" s="35">
        <v>18.0</v>
      </c>
      <c r="R361" s="35">
        <v>90.0</v>
      </c>
      <c r="S361" s="36">
        <v>5.46</v>
      </c>
      <c r="T361" s="36">
        <v>5.46</v>
      </c>
      <c r="U361" s="36">
        <v>1.4038</v>
      </c>
      <c r="V361" s="36">
        <v>1.4038</v>
      </c>
      <c r="W361" s="37" t="s">
        <v>623</v>
      </c>
      <c r="X361" s="31">
        <v>12.5</v>
      </c>
      <c r="Y361" s="36">
        <v>0.001301236357971734</v>
      </c>
      <c r="Z361" s="36">
        <v>0.004406907467786589</v>
      </c>
      <c r="AA361" s="29" t="s">
        <v>820</v>
      </c>
      <c r="AB361" s="31">
        <v>0.751732587814</v>
      </c>
      <c r="AC361" s="38">
        <v>2112.0</v>
      </c>
    </row>
    <row r="362" ht="14.25" customHeight="1">
      <c r="A362" s="29" t="s">
        <v>122</v>
      </c>
      <c r="B362" s="29">
        <v>53.0</v>
      </c>
      <c r="C362" s="29" t="s">
        <v>593</v>
      </c>
      <c r="D362" s="29" t="s">
        <v>868</v>
      </c>
      <c r="E362" s="29">
        <v>139.0</v>
      </c>
      <c r="F362" s="30" t="s">
        <v>869</v>
      </c>
      <c r="G362" s="29" t="s">
        <v>607</v>
      </c>
      <c r="H362" s="31">
        <v>1.24</v>
      </c>
      <c r="I362" s="29" t="s">
        <v>597</v>
      </c>
      <c r="J362" s="32" t="s">
        <v>598</v>
      </c>
      <c r="K362" s="29" t="s">
        <v>599</v>
      </c>
      <c r="L362" s="29" t="s">
        <v>819</v>
      </c>
      <c r="M362" s="33">
        <v>-75.1</v>
      </c>
      <c r="N362" s="33">
        <v>-4.99</v>
      </c>
      <c r="O362" s="34" t="s">
        <v>641</v>
      </c>
      <c r="P362" s="32" t="s">
        <v>602</v>
      </c>
      <c r="Q362" s="35">
        <v>18.0</v>
      </c>
      <c r="R362" s="35">
        <v>90.0</v>
      </c>
      <c r="S362" s="36">
        <v>9.37</v>
      </c>
      <c r="T362" s="36">
        <v>6.79</v>
      </c>
      <c r="U362" s="36">
        <v>2.7051</v>
      </c>
      <c r="V362" s="36">
        <v>2.2468</v>
      </c>
      <c r="W362" s="37" t="s">
        <v>623</v>
      </c>
      <c r="X362" s="31">
        <v>12.5</v>
      </c>
      <c r="Y362" s="36">
        <v>0.32300526859486217</v>
      </c>
      <c r="Z362" s="36">
        <v>0.0058469592642092436</v>
      </c>
      <c r="AA362" s="29" t="s">
        <v>820</v>
      </c>
      <c r="AB362" s="31">
        <v>0.751732587814</v>
      </c>
      <c r="AC362" s="38">
        <v>2112.0</v>
      </c>
    </row>
    <row r="363" ht="14.25" customHeight="1">
      <c r="A363" s="29" t="s">
        <v>129</v>
      </c>
      <c r="B363" s="29">
        <v>49.0</v>
      </c>
      <c r="C363" s="29" t="s">
        <v>593</v>
      </c>
      <c r="D363" s="29" t="s">
        <v>870</v>
      </c>
      <c r="E363" s="29">
        <v>66.0</v>
      </c>
      <c r="F363" s="30" t="s">
        <v>871</v>
      </c>
      <c r="G363" s="29" t="s">
        <v>596</v>
      </c>
      <c r="H363" s="31">
        <v>0.51</v>
      </c>
      <c r="I363" s="29" t="s">
        <v>597</v>
      </c>
      <c r="J363" s="32" t="s">
        <v>598</v>
      </c>
      <c r="K363" s="29" t="s">
        <v>599</v>
      </c>
      <c r="L363" s="29" t="s">
        <v>819</v>
      </c>
      <c r="M363" s="33">
        <v>-75.096</v>
      </c>
      <c r="N363" s="33">
        <v>-4.815</v>
      </c>
      <c r="O363" s="34" t="s">
        <v>601</v>
      </c>
      <c r="P363" s="32" t="s">
        <v>602</v>
      </c>
      <c r="Q363" s="35">
        <v>4.0</v>
      </c>
      <c r="R363" s="35">
        <v>8.0</v>
      </c>
      <c r="S363" s="36">
        <v>10.0</v>
      </c>
      <c r="T363" s="36">
        <v>3.0</v>
      </c>
      <c r="U363" s="36">
        <v>3.1623</v>
      </c>
      <c r="V363" s="36">
        <v>1.7321</v>
      </c>
      <c r="W363" s="37" t="s">
        <v>872</v>
      </c>
      <c r="X363" s="31">
        <v>4.5</v>
      </c>
      <c r="Y363" s="36">
        <v>1.204363353051853</v>
      </c>
      <c r="Z363" s="36">
        <v>0.06666938669722222</v>
      </c>
      <c r="AA363" s="29" t="s">
        <v>820</v>
      </c>
      <c r="AB363" s="31">
        <v>0.572647988796</v>
      </c>
      <c r="AC363" s="38">
        <v>1045.0</v>
      </c>
    </row>
    <row r="364" ht="14.25" customHeight="1">
      <c r="A364" s="29" t="s">
        <v>129</v>
      </c>
      <c r="B364" s="29">
        <v>49.0</v>
      </c>
      <c r="C364" s="29" t="s">
        <v>593</v>
      </c>
      <c r="D364" s="29" t="s">
        <v>870</v>
      </c>
      <c r="E364" s="29">
        <v>66.0</v>
      </c>
      <c r="F364" s="30" t="s">
        <v>871</v>
      </c>
      <c r="G364" s="29" t="s">
        <v>596</v>
      </c>
      <c r="H364" s="31">
        <v>0.51</v>
      </c>
      <c r="I364" s="29" t="s">
        <v>597</v>
      </c>
      <c r="J364" s="32" t="s">
        <v>598</v>
      </c>
      <c r="K364" s="29" t="s">
        <v>599</v>
      </c>
      <c r="L364" s="29" t="s">
        <v>819</v>
      </c>
      <c r="M364" s="33">
        <v>-75.049</v>
      </c>
      <c r="N364" s="33">
        <v>-4.858</v>
      </c>
      <c r="O364" s="34" t="s">
        <v>601</v>
      </c>
      <c r="P364" s="32" t="s">
        <v>602</v>
      </c>
      <c r="Q364" s="35">
        <v>5.0</v>
      </c>
      <c r="R364" s="35">
        <v>8.0</v>
      </c>
      <c r="S364" s="36">
        <v>5.0</v>
      </c>
      <c r="T364" s="36">
        <v>3.0</v>
      </c>
      <c r="U364" s="36">
        <v>2.2361</v>
      </c>
      <c r="V364" s="36">
        <v>1.7321</v>
      </c>
      <c r="W364" s="37" t="s">
        <v>872</v>
      </c>
      <c r="X364" s="31">
        <v>9.25</v>
      </c>
      <c r="Y364" s="36">
        <v>0.5116065687490621</v>
      </c>
      <c r="Z364" s="36">
        <v>0.08167017915222222</v>
      </c>
      <c r="AA364" s="29" t="s">
        <v>820</v>
      </c>
      <c r="AB364" s="31">
        <v>0.572647988796</v>
      </c>
      <c r="AC364" s="38">
        <v>1356.0</v>
      </c>
    </row>
    <row r="365" ht="14.25" customHeight="1">
      <c r="A365" s="29" t="s">
        <v>129</v>
      </c>
      <c r="B365" s="29">
        <v>49.0</v>
      </c>
      <c r="C365" s="29" t="s">
        <v>593</v>
      </c>
      <c r="D365" s="29" t="s">
        <v>873</v>
      </c>
      <c r="E365" s="29">
        <v>68.0</v>
      </c>
      <c r="F365" s="30" t="s">
        <v>874</v>
      </c>
      <c r="G365" s="29" t="s">
        <v>596</v>
      </c>
      <c r="H365" s="31">
        <v>0.56</v>
      </c>
      <c r="I365" s="29" t="s">
        <v>597</v>
      </c>
      <c r="J365" s="32" t="s">
        <v>598</v>
      </c>
      <c r="K365" s="29" t="s">
        <v>599</v>
      </c>
      <c r="L365" s="29" t="s">
        <v>819</v>
      </c>
      <c r="M365" s="33">
        <v>-75.096</v>
      </c>
      <c r="N365" s="33">
        <v>-4.815</v>
      </c>
      <c r="O365" s="34" t="s">
        <v>601</v>
      </c>
      <c r="P365" s="32" t="s">
        <v>602</v>
      </c>
      <c r="Q365" s="35">
        <v>4.0</v>
      </c>
      <c r="R365" s="35">
        <v>8.0</v>
      </c>
      <c r="S365" s="36">
        <v>15.0</v>
      </c>
      <c r="T365" s="36">
        <v>8.0</v>
      </c>
      <c r="U365" s="36">
        <v>3.873</v>
      </c>
      <c r="V365" s="36">
        <v>2.8284</v>
      </c>
      <c r="W365" s="37" t="s">
        <v>872</v>
      </c>
      <c r="X365" s="31">
        <v>4.5</v>
      </c>
      <c r="Y365" s="36">
        <v>0.6293028628518499</v>
      </c>
      <c r="Z365" s="36">
        <v>0.0322915103125</v>
      </c>
      <c r="AA365" s="29" t="s">
        <v>820</v>
      </c>
      <c r="AB365" s="31">
        <v>0.572647988796</v>
      </c>
      <c r="AC365" s="38">
        <v>1045.0</v>
      </c>
    </row>
    <row r="366" ht="14.25" customHeight="1">
      <c r="A366" s="29" t="s">
        <v>129</v>
      </c>
      <c r="B366" s="29">
        <v>49.0</v>
      </c>
      <c r="C366" s="29" t="s">
        <v>593</v>
      </c>
      <c r="D366" s="29" t="s">
        <v>873</v>
      </c>
      <c r="E366" s="29">
        <v>68.0</v>
      </c>
      <c r="F366" s="30" t="s">
        <v>874</v>
      </c>
      <c r="G366" s="29" t="s">
        <v>596</v>
      </c>
      <c r="H366" s="31">
        <v>0.56</v>
      </c>
      <c r="I366" s="29" t="s">
        <v>597</v>
      </c>
      <c r="J366" s="32" t="s">
        <v>598</v>
      </c>
      <c r="K366" s="29" t="s">
        <v>599</v>
      </c>
      <c r="L366" s="29" t="s">
        <v>819</v>
      </c>
      <c r="M366" s="33">
        <v>-75.049</v>
      </c>
      <c r="N366" s="33">
        <v>-4.858</v>
      </c>
      <c r="O366" s="34" t="s">
        <v>601</v>
      </c>
      <c r="P366" s="32" t="s">
        <v>602</v>
      </c>
      <c r="Q366" s="35">
        <v>5.0</v>
      </c>
      <c r="R366" s="35">
        <v>8.0</v>
      </c>
      <c r="S366" s="36">
        <v>8.0</v>
      </c>
      <c r="T366" s="36">
        <v>8.0</v>
      </c>
      <c r="U366" s="36">
        <v>2.8284</v>
      </c>
      <c r="V366" s="36">
        <v>2.8284</v>
      </c>
      <c r="W366" s="37" t="s">
        <v>872</v>
      </c>
      <c r="X366" s="31">
        <v>9.25</v>
      </c>
      <c r="Y366" s="36">
        <v>0.001301236357971734</v>
      </c>
      <c r="Z366" s="36">
        <v>0.04062422081249999</v>
      </c>
      <c r="AA366" s="29" t="s">
        <v>820</v>
      </c>
      <c r="AB366" s="31">
        <v>0.572647988796</v>
      </c>
      <c r="AC366" s="38">
        <v>1356.0</v>
      </c>
    </row>
    <row r="367" ht="14.25" customHeight="1">
      <c r="A367" s="29" t="s">
        <v>129</v>
      </c>
      <c r="B367" s="29">
        <v>49.0</v>
      </c>
      <c r="C367" s="29" t="s">
        <v>593</v>
      </c>
      <c r="D367" s="29" t="s">
        <v>862</v>
      </c>
      <c r="E367" s="29">
        <v>104.0</v>
      </c>
      <c r="F367" s="30" t="s">
        <v>863</v>
      </c>
      <c r="G367" s="29" t="s">
        <v>607</v>
      </c>
      <c r="H367" s="31">
        <v>2.77</v>
      </c>
      <c r="I367" s="29" t="s">
        <v>597</v>
      </c>
      <c r="J367" s="32" t="s">
        <v>598</v>
      </c>
      <c r="K367" s="29" t="s">
        <v>599</v>
      </c>
      <c r="L367" s="29" t="s">
        <v>819</v>
      </c>
      <c r="M367" s="33">
        <v>-75.096</v>
      </c>
      <c r="N367" s="33">
        <v>-4.815</v>
      </c>
      <c r="O367" s="34" t="s">
        <v>601</v>
      </c>
      <c r="P367" s="32" t="s">
        <v>602</v>
      </c>
      <c r="Q367" s="35">
        <v>4.0</v>
      </c>
      <c r="R367" s="35">
        <v>8.0</v>
      </c>
      <c r="S367" s="36">
        <v>0.0</v>
      </c>
      <c r="T367" s="36">
        <v>10.0</v>
      </c>
      <c r="U367" s="36">
        <v>0.0</v>
      </c>
      <c r="V367" s="36">
        <v>3.1623</v>
      </c>
      <c r="W367" s="37" t="s">
        <v>872</v>
      </c>
      <c r="X367" s="31">
        <v>4.5</v>
      </c>
      <c r="Y367" s="36">
        <v>-6.643789733147672</v>
      </c>
      <c r="Z367" s="36">
        <v>0.2652068495351474</v>
      </c>
      <c r="AA367" s="29" t="s">
        <v>820</v>
      </c>
      <c r="AB367" s="31">
        <v>0.572647988796</v>
      </c>
      <c r="AC367" s="38">
        <v>1045.0</v>
      </c>
    </row>
    <row r="368" ht="14.25" customHeight="1">
      <c r="A368" s="29" t="s">
        <v>129</v>
      </c>
      <c r="B368" s="29">
        <v>49.0</v>
      </c>
      <c r="C368" s="29" t="s">
        <v>593</v>
      </c>
      <c r="D368" s="29" t="s">
        <v>862</v>
      </c>
      <c r="E368" s="29">
        <v>104.0</v>
      </c>
      <c r="F368" s="30" t="s">
        <v>863</v>
      </c>
      <c r="G368" s="29" t="s">
        <v>607</v>
      </c>
      <c r="H368" s="31">
        <v>2.77</v>
      </c>
      <c r="I368" s="29" t="s">
        <v>597</v>
      </c>
      <c r="J368" s="32" t="s">
        <v>598</v>
      </c>
      <c r="K368" s="29" t="s">
        <v>599</v>
      </c>
      <c r="L368" s="29" t="s">
        <v>819</v>
      </c>
      <c r="M368" s="33">
        <v>-75.049</v>
      </c>
      <c r="N368" s="33">
        <v>-4.858</v>
      </c>
      <c r="O368" s="34" t="s">
        <v>601</v>
      </c>
      <c r="P368" s="32" t="s">
        <v>602</v>
      </c>
      <c r="Q368" s="35">
        <v>5.0</v>
      </c>
      <c r="R368" s="35">
        <v>8.0</v>
      </c>
      <c r="S368" s="36">
        <v>0.0</v>
      </c>
      <c r="T368" s="36">
        <v>10.0</v>
      </c>
      <c r="U368" s="36">
        <v>0.0</v>
      </c>
      <c r="V368" s="36">
        <v>3.1623</v>
      </c>
      <c r="W368" s="37" t="s">
        <v>872</v>
      </c>
      <c r="X368" s="31">
        <v>9.25</v>
      </c>
      <c r="Y368" s="36">
        <v>-6.643789733147672</v>
      </c>
      <c r="Z368" s="36">
        <v>0.2152068495351474</v>
      </c>
      <c r="AA368" s="29" t="s">
        <v>820</v>
      </c>
      <c r="AB368" s="31">
        <v>0.572647988796</v>
      </c>
      <c r="AC368" s="38">
        <v>1356.0</v>
      </c>
    </row>
    <row r="369" ht="14.25" customHeight="1">
      <c r="A369" s="29" t="s">
        <v>129</v>
      </c>
      <c r="B369" s="29">
        <v>49.0</v>
      </c>
      <c r="C369" s="29" t="s">
        <v>593</v>
      </c>
      <c r="D369" s="29" t="s">
        <v>864</v>
      </c>
      <c r="E369" s="29">
        <v>119.0</v>
      </c>
      <c r="F369" s="30" t="s">
        <v>865</v>
      </c>
      <c r="G369" s="29" t="s">
        <v>607</v>
      </c>
      <c r="H369" s="31">
        <v>0.55</v>
      </c>
      <c r="I369" s="29" t="s">
        <v>597</v>
      </c>
      <c r="J369" s="32" t="s">
        <v>598</v>
      </c>
      <c r="K369" s="29" t="s">
        <v>599</v>
      </c>
      <c r="L369" s="29" t="s">
        <v>819</v>
      </c>
      <c r="M369" s="33">
        <v>-75.096</v>
      </c>
      <c r="N369" s="33">
        <v>-4.815</v>
      </c>
      <c r="O369" s="34" t="s">
        <v>641</v>
      </c>
      <c r="P369" s="32" t="s">
        <v>602</v>
      </c>
      <c r="Q369" s="35">
        <v>4.0</v>
      </c>
      <c r="R369" s="35">
        <v>8.0</v>
      </c>
      <c r="S369" s="36">
        <v>26.0</v>
      </c>
      <c r="T369" s="36">
        <v>3.0</v>
      </c>
      <c r="U369" s="36">
        <v>5.099</v>
      </c>
      <c r="V369" s="36">
        <v>1.7321</v>
      </c>
      <c r="W369" s="37" t="s">
        <v>872</v>
      </c>
      <c r="X369" s="31">
        <v>4.5</v>
      </c>
      <c r="Y369" s="36">
        <v>2.1596344784530315</v>
      </c>
      <c r="Z369" s="36">
        <v>0.05128434449293228</v>
      </c>
      <c r="AA369" s="29" t="s">
        <v>820</v>
      </c>
      <c r="AB369" s="31">
        <v>0.572647988796</v>
      </c>
      <c r="AC369" s="38">
        <v>1045.0</v>
      </c>
    </row>
    <row r="370" ht="14.25" customHeight="1">
      <c r="A370" s="29" t="s">
        <v>129</v>
      </c>
      <c r="B370" s="29">
        <v>49.0</v>
      </c>
      <c r="C370" s="29" t="s">
        <v>593</v>
      </c>
      <c r="D370" s="29" t="s">
        <v>864</v>
      </c>
      <c r="E370" s="29">
        <v>119.0</v>
      </c>
      <c r="F370" s="30" t="s">
        <v>865</v>
      </c>
      <c r="G370" s="29" t="s">
        <v>607</v>
      </c>
      <c r="H370" s="31">
        <v>0.55</v>
      </c>
      <c r="I370" s="29" t="s">
        <v>597</v>
      </c>
      <c r="J370" s="32" t="s">
        <v>598</v>
      </c>
      <c r="K370" s="29" t="s">
        <v>599</v>
      </c>
      <c r="L370" s="29" t="s">
        <v>819</v>
      </c>
      <c r="M370" s="33">
        <v>-75.049</v>
      </c>
      <c r="N370" s="33">
        <v>-4.858</v>
      </c>
      <c r="O370" s="34" t="s">
        <v>601</v>
      </c>
      <c r="P370" s="32" t="s">
        <v>602</v>
      </c>
      <c r="Q370" s="35">
        <v>5.0</v>
      </c>
      <c r="R370" s="35">
        <v>8.0</v>
      </c>
      <c r="S370" s="36">
        <v>5.0</v>
      </c>
      <c r="T370" s="36">
        <v>3.0</v>
      </c>
      <c r="U370" s="36">
        <v>2.2361</v>
      </c>
      <c r="V370" s="36">
        <v>1.7321</v>
      </c>
      <c r="W370" s="37" t="s">
        <v>872</v>
      </c>
      <c r="X370" s="31">
        <v>9.25</v>
      </c>
      <c r="Y370" s="36">
        <v>0.5116065687490621</v>
      </c>
      <c r="Z370" s="36">
        <v>0.08167017915222222</v>
      </c>
      <c r="AA370" s="29" t="s">
        <v>820</v>
      </c>
      <c r="AB370" s="31">
        <v>0.572647988796</v>
      </c>
      <c r="AC370" s="38">
        <v>1356.0</v>
      </c>
    </row>
    <row r="371" ht="14.25" customHeight="1">
      <c r="A371" s="29" t="s">
        <v>129</v>
      </c>
      <c r="B371" s="29">
        <v>49.0</v>
      </c>
      <c r="C371" s="29" t="s">
        <v>593</v>
      </c>
      <c r="D371" s="29" t="s">
        <v>866</v>
      </c>
      <c r="E371" s="29">
        <v>130.0</v>
      </c>
      <c r="F371" s="30" t="s">
        <v>867</v>
      </c>
      <c r="G371" s="29" t="s">
        <v>607</v>
      </c>
      <c r="H371" s="31">
        <v>1.49</v>
      </c>
      <c r="I371" s="29" t="s">
        <v>597</v>
      </c>
      <c r="J371" s="32" t="s">
        <v>598</v>
      </c>
      <c r="K371" s="29" t="s">
        <v>599</v>
      </c>
      <c r="L371" s="29" t="s">
        <v>819</v>
      </c>
      <c r="M371" s="33">
        <v>-75.096</v>
      </c>
      <c r="N371" s="33">
        <v>-4.815</v>
      </c>
      <c r="O371" s="34" t="s">
        <v>601</v>
      </c>
      <c r="P371" s="32" t="s">
        <v>602</v>
      </c>
      <c r="Q371" s="35">
        <v>4.0</v>
      </c>
      <c r="R371" s="35">
        <v>8.0</v>
      </c>
      <c r="S371" s="36">
        <v>0.0</v>
      </c>
      <c r="T371" s="36">
        <v>18.0</v>
      </c>
      <c r="U371" s="36">
        <v>0.0</v>
      </c>
      <c r="V371" s="36">
        <v>4.2426</v>
      </c>
      <c r="W371" s="37" t="s">
        <v>872</v>
      </c>
      <c r="X371" s="31">
        <v>4.5</v>
      </c>
      <c r="Y371" s="36">
        <v>-6.643789733147672</v>
      </c>
      <c r="Z371" s="36">
        <v>0.2582148483418554</v>
      </c>
      <c r="AA371" s="29" t="s">
        <v>820</v>
      </c>
      <c r="AB371" s="31">
        <v>0.572647988796</v>
      </c>
      <c r="AC371" s="38">
        <v>1045.0</v>
      </c>
    </row>
    <row r="372" ht="14.25" customHeight="1">
      <c r="A372" s="29" t="s">
        <v>129</v>
      </c>
      <c r="B372" s="29">
        <v>49.0</v>
      </c>
      <c r="C372" s="29" t="s">
        <v>593</v>
      </c>
      <c r="D372" s="29" t="s">
        <v>866</v>
      </c>
      <c r="E372" s="29">
        <v>130.0</v>
      </c>
      <c r="F372" s="30" t="s">
        <v>867</v>
      </c>
      <c r="G372" s="29" t="s">
        <v>607</v>
      </c>
      <c r="H372" s="31">
        <v>1.49</v>
      </c>
      <c r="I372" s="29" t="s">
        <v>597</v>
      </c>
      <c r="J372" s="32" t="s">
        <v>598</v>
      </c>
      <c r="K372" s="29" t="s">
        <v>599</v>
      </c>
      <c r="L372" s="29" t="s">
        <v>819</v>
      </c>
      <c r="M372" s="33">
        <v>-75.049</v>
      </c>
      <c r="N372" s="33">
        <v>-4.858</v>
      </c>
      <c r="O372" s="34" t="s">
        <v>601</v>
      </c>
      <c r="P372" s="32" t="s">
        <v>602</v>
      </c>
      <c r="Q372" s="35">
        <v>5.0</v>
      </c>
      <c r="R372" s="35">
        <v>8.0</v>
      </c>
      <c r="S372" s="36">
        <v>0.0</v>
      </c>
      <c r="T372" s="36">
        <v>18.0</v>
      </c>
      <c r="U372" s="36">
        <v>0.0</v>
      </c>
      <c r="V372" s="36">
        <v>4.2426</v>
      </c>
      <c r="W372" s="37" t="s">
        <v>872</v>
      </c>
      <c r="X372" s="31">
        <v>9.25</v>
      </c>
      <c r="Y372" s="36">
        <v>-6.643789733147672</v>
      </c>
      <c r="Z372" s="36">
        <v>0.20821484834185539</v>
      </c>
      <c r="AA372" s="29" t="s">
        <v>820</v>
      </c>
      <c r="AB372" s="31">
        <v>0.572647988796</v>
      </c>
      <c r="AC372" s="38">
        <v>1356.0</v>
      </c>
    </row>
    <row r="373" ht="14.25" customHeight="1">
      <c r="A373" s="29" t="s">
        <v>129</v>
      </c>
      <c r="B373" s="29">
        <v>49.0</v>
      </c>
      <c r="C373" s="29" t="s">
        <v>593</v>
      </c>
      <c r="D373" s="29" t="s">
        <v>868</v>
      </c>
      <c r="E373" s="29">
        <v>139.0</v>
      </c>
      <c r="F373" s="30" t="s">
        <v>869</v>
      </c>
      <c r="G373" s="29" t="s">
        <v>607</v>
      </c>
      <c r="H373" s="31">
        <v>1.24</v>
      </c>
      <c r="I373" s="29" t="s">
        <v>597</v>
      </c>
      <c r="J373" s="32" t="s">
        <v>598</v>
      </c>
      <c r="K373" s="29" t="s">
        <v>599</v>
      </c>
      <c r="L373" s="29" t="s">
        <v>819</v>
      </c>
      <c r="M373" s="33">
        <v>-75.096</v>
      </c>
      <c r="N373" s="33">
        <v>-4.815</v>
      </c>
      <c r="O373" s="34" t="s">
        <v>601</v>
      </c>
      <c r="P373" s="32" t="s">
        <v>602</v>
      </c>
      <c r="Q373" s="35">
        <v>4.0</v>
      </c>
      <c r="R373" s="35">
        <v>8.0</v>
      </c>
      <c r="S373" s="36">
        <v>5.0</v>
      </c>
      <c r="T373" s="36">
        <v>10.0</v>
      </c>
      <c r="U373" s="36">
        <v>2.2361</v>
      </c>
      <c r="V373" s="36">
        <v>3.1623</v>
      </c>
      <c r="W373" s="37" t="s">
        <v>872</v>
      </c>
      <c r="X373" s="31">
        <v>4.5</v>
      </c>
      <c r="Y373" s="36">
        <v>-0.6905463988598879</v>
      </c>
      <c r="Z373" s="36">
        <v>0.0625016087125</v>
      </c>
      <c r="AA373" s="29" t="s">
        <v>820</v>
      </c>
      <c r="AB373" s="31">
        <v>0.572647988796</v>
      </c>
      <c r="AC373" s="38">
        <v>1045.0</v>
      </c>
    </row>
    <row r="374" ht="14.25" customHeight="1">
      <c r="A374" s="29" t="s">
        <v>129</v>
      </c>
      <c r="B374" s="29">
        <v>49.0</v>
      </c>
      <c r="C374" s="29" t="s">
        <v>593</v>
      </c>
      <c r="D374" s="29" t="s">
        <v>868</v>
      </c>
      <c r="E374" s="29">
        <v>139.0</v>
      </c>
      <c r="F374" s="30" t="s">
        <v>869</v>
      </c>
      <c r="G374" s="29" t="s">
        <v>607</v>
      </c>
      <c r="H374" s="31">
        <v>1.24</v>
      </c>
      <c r="I374" s="29" t="s">
        <v>597</v>
      </c>
      <c r="J374" s="32" t="s">
        <v>598</v>
      </c>
      <c r="K374" s="29" t="s">
        <v>599</v>
      </c>
      <c r="L374" s="29" t="s">
        <v>819</v>
      </c>
      <c r="M374" s="33">
        <v>-75.049</v>
      </c>
      <c r="N374" s="33">
        <v>-4.858</v>
      </c>
      <c r="O374" s="34" t="s">
        <v>601</v>
      </c>
      <c r="P374" s="32" t="s">
        <v>602</v>
      </c>
      <c r="Q374" s="35">
        <v>5.0</v>
      </c>
      <c r="R374" s="35">
        <v>8.0</v>
      </c>
      <c r="S374" s="36">
        <v>0.0</v>
      </c>
      <c r="T374" s="36">
        <v>10.0</v>
      </c>
      <c r="U374" s="36">
        <v>0.0</v>
      </c>
      <c r="V374" s="36">
        <v>3.1623</v>
      </c>
      <c r="W374" s="37" t="s">
        <v>872</v>
      </c>
      <c r="X374" s="31">
        <v>9.25</v>
      </c>
      <c r="Y374" s="36">
        <v>-6.643789733147672</v>
      </c>
      <c r="Z374" s="36">
        <v>0.2152068495351474</v>
      </c>
      <c r="AA374" s="29" t="s">
        <v>820</v>
      </c>
      <c r="AB374" s="31">
        <v>0.572647988796</v>
      </c>
      <c r="AC374" s="38">
        <v>1356.0</v>
      </c>
    </row>
    <row r="375" ht="14.25" customHeight="1">
      <c r="A375" s="29" t="s">
        <v>129</v>
      </c>
      <c r="B375" s="29">
        <v>49.0</v>
      </c>
      <c r="C375" s="29" t="s">
        <v>593</v>
      </c>
      <c r="D375" s="29" t="s">
        <v>875</v>
      </c>
      <c r="E375" s="29">
        <v>154.0</v>
      </c>
      <c r="F375" s="30" t="s">
        <v>876</v>
      </c>
      <c r="G375" s="29" t="s">
        <v>877</v>
      </c>
      <c r="H375" s="31">
        <v>1.32</v>
      </c>
      <c r="I375" s="29" t="s">
        <v>597</v>
      </c>
      <c r="J375" s="32" t="s">
        <v>598</v>
      </c>
      <c r="K375" s="29" t="s">
        <v>599</v>
      </c>
      <c r="L375" s="29" t="s">
        <v>819</v>
      </c>
      <c r="M375" s="33">
        <v>-75.096</v>
      </c>
      <c r="N375" s="33">
        <v>-4.815</v>
      </c>
      <c r="O375" s="34" t="s">
        <v>601</v>
      </c>
      <c r="P375" s="32" t="s">
        <v>602</v>
      </c>
      <c r="Q375" s="35">
        <v>4.0</v>
      </c>
      <c r="R375" s="35">
        <v>8.0</v>
      </c>
      <c r="S375" s="36">
        <v>0.0</v>
      </c>
      <c r="T375" s="36">
        <v>34.0</v>
      </c>
      <c r="U375" s="36">
        <v>0.0</v>
      </c>
      <c r="V375" s="36">
        <v>5.831</v>
      </c>
      <c r="W375" s="37" t="s">
        <v>872</v>
      </c>
      <c r="X375" s="31">
        <v>4.5</v>
      </c>
      <c r="Y375" s="36">
        <v>-6.643789733147672</v>
      </c>
      <c r="Z375" s="36">
        <v>0.25420936368409996</v>
      </c>
      <c r="AA375" s="29" t="s">
        <v>820</v>
      </c>
      <c r="AB375" s="31">
        <v>0.572647988796</v>
      </c>
      <c r="AC375" s="38">
        <v>1045.0</v>
      </c>
    </row>
    <row r="376" ht="14.25" customHeight="1">
      <c r="A376" s="29" t="s">
        <v>129</v>
      </c>
      <c r="B376" s="29">
        <v>49.0</v>
      </c>
      <c r="C376" s="29" t="s">
        <v>593</v>
      </c>
      <c r="D376" s="29" t="s">
        <v>875</v>
      </c>
      <c r="E376" s="29">
        <v>154.0</v>
      </c>
      <c r="F376" s="30" t="s">
        <v>876</v>
      </c>
      <c r="G376" s="29" t="s">
        <v>877</v>
      </c>
      <c r="H376" s="31">
        <v>1.32</v>
      </c>
      <c r="I376" s="29" t="s">
        <v>597</v>
      </c>
      <c r="J376" s="32" t="s">
        <v>598</v>
      </c>
      <c r="K376" s="29" t="s">
        <v>599</v>
      </c>
      <c r="L376" s="29" t="s">
        <v>819</v>
      </c>
      <c r="M376" s="33">
        <v>-75.049</v>
      </c>
      <c r="N376" s="33">
        <v>-4.858</v>
      </c>
      <c r="O376" s="34" t="s">
        <v>601</v>
      </c>
      <c r="P376" s="32" t="s">
        <v>602</v>
      </c>
      <c r="Q376" s="35">
        <v>5.0</v>
      </c>
      <c r="R376" s="35">
        <v>8.0</v>
      </c>
      <c r="S376" s="36">
        <v>0.0</v>
      </c>
      <c r="T376" s="36">
        <v>34.0</v>
      </c>
      <c r="U376" s="36">
        <v>0.0</v>
      </c>
      <c r="V376" s="36">
        <v>5.831</v>
      </c>
      <c r="W376" s="37" t="s">
        <v>872</v>
      </c>
      <c r="X376" s="31">
        <v>9.25</v>
      </c>
      <c r="Y376" s="36">
        <v>-6.643789733147672</v>
      </c>
      <c r="Z376" s="36">
        <v>0.2042093636841</v>
      </c>
      <c r="AA376" s="29" t="s">
        <v>820</v>
      </c>
      <c r="AB376" s="31">
        <v>0.572647988796</v>
      </c>
      <c r="AC376" s="38">
        <v>1356.0</v>
      </c>
    </row>
    <row r="377" ht="14.25" customHeight="1">
      <c r="A377" s="29" t="s">
        <v>129</v>
      </c>
      <c r="B377" s="29">
        <v>49.0</v>
      </c>
      <c r="C377" s="29" t="s">
        <v>593</v>
      </c>
      <c r="D377" s="29" t="s">
        <v>849</v>
      </c>
      <c r="E377" s="29">
        <v>193.0</v>
      </c>
      <c r="F377" s="30" t="s">
        <v>850</v>
      </c>
      <c r="G377" s="29" t="s">
        <v>596</v>
      </c>
      <c r="H377" s="31">
        <v>1.03</v>
      </c>
      <c r="I377" s="29" t="s">
        <v>597</v>
      </c>
      <c r="J377" s="32" t="s">
        <v>598</v>
      </c>
      <c r="K377" s="29" t="s">
        <v>599</v>
      </c>
      <c r="L377" s="29" t="s">
        <v>819</v>
      </c>
      <c r="M377" s="33">
        <v>-75.096</v>
      </c>
      <c r="N377" s="33">
        <v>-4.815</v>
      </c>
      <c r="O377" s="34" t="s">
        <v>601</v>
      </c>
      <c r="P377" s="32" t="s">
        <v>602</v>
      </c>
      <c r="Q377" s="35">
        <v>4.0</v>
      </c>
      <c r="R377" s="35">
        <v>8.0</v>
      </c>
      <c r="S377" s="36">
        <v>8.0</v>
      </c>
      <c r="T377" s="36">
        <v>18.0</v>
      </c>
      <c r="U377" s="36">
        <v>2.8284</v>
      </c>
      <c r="V377" s="36">
        <v>4.2426</v>
      </c>
      <c r="W377" s="37" t="s">
        <v>872</v>
      </c>
      <c r="X377" s="31">
        <v>4.5</v>
      </c>
      <c r="Y377" s="36">
        <v>-0.8080048118872237</v>
      </c>
      <c r="Z377" s="36">
        <v>0.038193711874999994</v>
      </c>
      <c r="AA377" s="29" t="s">
        <v>820</v>
      </c>
      <c r="AB377" s="31">
        <v>0.572647988796</v>
      </c>
      <c r="AC377" s="38">
        <v>1045.0</v>
      </c>
    </row>
    <row r="378" ht="14.25" customHeight="1">
      <c r="A378" s="29" t="s">
        <v>129</v>
      </c>
      <c r="B378" s="29">
        <v>49.0</v>
      </c>
      <c r="C378" s="29" t="s">
        <v>593</v>
      </c>
      <c r="D378" s="29" t="s">
        <v>849</v>
      </c>
      <c r="E378" s="29">
        <v>193.0</v>
      </c>
      <c r="F378" s="30" t="s">
        <v>850</v>
      </c>
      <c r="G378" s="29" t="s">
        <v>596</v>
      </c>
      <c r="H378" s="31">
        <v>1.03</v>
      </c>
      <c r="I378" s="29" t="s">
        <v>597</v>
      </c>
      <c r="J378" s="32" t="s">
        <v>598</v>
      </c>
      <c r="K378" s="29" t="s">
        <v>599</v>
      </c>
      <c r="L378" s="29" t="s">
        <v>819</v>
      </c>
      <c r="M378" s="33">
        <v>-75.049</v>
      </c>
      <c r="N378" s="33">
        <v>-4.858</v>
      </c>
      <c r="O378" s="34" t="s">
        <v>641</v>
      </c>
      <c r="P378" s="32" t="s">
        <v>602</v>
      </c>
      <c r="Q378" s="35">
        <v>5.0</v>
      </c>
      <c r="R378" s="35">
        <v>8.0</v>
      </c>
      <c r="S378" s="36">
        <v>19.0</v>
      </c>
      <c r="T378" s="36">
        <v>18.0</v>
      </c>
      <c r="U378" s="36">
        <v>4.3589</v>
      </c>
      <c r="V378" s="36">
        <v>4.2426</v>
      </c>
      <c r="W378" s="37" t="s">
        <v>872</v>
      </c>
      <c r="X378" s="31">
        <v>9.25</v>
      </c>
      <c r="Y378" s="36">
        <v>0.05530001370090847</v>
      </c>
      <c r="Z378" s="36">
        <v>0.01747063214196676</v>
      </c>
      <c r="AA378" s="29" t="s">
        <v>820</v>
      </c>
      <c r="AB378" s="31">
        <v>0.572647988796</v>
      </c>
      <c r="AC378" s="38">
        <v>1356.0</v>
      </c>
    </row>
    <row r="379" ht="14.25" customHeight="1">
      <c r="A379" s="29" t="s">
        <v>129</v>
      </c>
      <c r="B379" s="29">
        <v>49.0</v>
      </c>
      <c r="C379" s="29" t="s">
        <v>593</v>
      </c>
      <c r="D379" s="29" t="s">
        <v>870</v>
      </c>
      <c r="E379" s="29">
        <v>66.0</v>
      </c>
      <c r="F379" s="30" t="s">
        <v>871</v>
      </c>
      <c r="G379" s="29" t="s">
        <v>596</v>
      </c>
      <c r="H379" s="31">
        <v>0.51</v>
      </c>
      <c r="I379" s="29" t="s">
        <v>597</v>
      </c>
      <c r="J379" s="32" t="s">
        <v>598</v>
      </c>
      <c r="K379" s="29" t="s">
        <v>599</v>
      </c>
      <c r="L379" s="29" t="s">
        <v>819</v>
      </c>
      <c r="M379" s="33">
        <v>-75.013</v>
      </c>
      <c r="N379" s="33">
        <v>-4.992</v>
      </c>
      <c r="O379" s="34" t="s">
        <v>601</v>
      </c>
      <c r="P379" s="32" t="s">
        <v>602</v>
      </c>
      <c r="Q379" s="35">
        <v>7.0</v>
      </c>
      <c r="R379" s="35">
        <v>8.0</v>
      </c>
      <c r="S379" s="36">
        <v>4.0</v>
      </c>
      <c r="T379" s="36">
        <v>3.0</v>
      </c>
      <c r="U379" s="36">
        <v>2.0</v>
      </c>
      <c r="V379" s="36">
        <v>1.7321</v>
      </c>
      <c r="W379" s="37" t="s">
        <v>872</v>
      </c>
      <c r="X379" s="31">
        <v>18.0</v>
      </c>
      <c r="Y379" s="36">
        <v>0.28865815842483644</v>
      </c>
      <c r="Z379" s="36">
        <v>0.07738331918650793</v>
      </c>
      <c r="AA379" s="29" t="s">
        <v>820</v>
      </c>
      <c r="AB379" s="31">
        <v>0.75173252821</v>
      </c>
      <c r="AC379" s="38">
        <v>2256.0</v>
      </c>
    </row>
    <row r="380" ht="14.25" customHeight="1">
      <c r="A380" s="29" t="s">
        <v>129</v>
      </c>
      <c r="B380" s="29">
        <v>49.0</v>
      </c>
      <c r="C380" s="29" t="s">
        <v>593</v>
      </c>
      <c r="D380" s="29" t="s">
        <v>873</v>
      </c>
      <c r="E380" s="29">
        <v>68.0</v>
      </c>
      <c r="F380" s="30" t="s">
        <v>874</v>
      </c>
      <c r="G380" s="29" t="s">
        <v>596</v>
      </c>
      <c r="H380" s="31">
        <v>0.56</v>
      </c>
      <c r="I380" s="29" t="s">
        <v>597</v>
      </c>
      <c r="J380" s="32" t="s">
        <v>598</v>
      </c>
      <c r="K380" s="29" t="s">
        <v>599</v>
      </c>
      <c r="L380" s="29" t="s">
        <v>819</v>
      </c>
      <c r="M380" s="33">
        <v>-75.013</v>
      </c>
      <c r="N380" s="33">
        <v>-4.992</v>
      </c>
      <c r="O380" s="34" t="s">
        <v>601</v>
      </c>
      <c r="P380" s="32" t="s">
        <v>602</v>
      </c>
      <c r="Q380" s="35">
        <v>7.0</v>
      </c>
      <c r="R380" s="35">
        <v>8.0</v>
      </c>
      <c r="S380" s="36">
        <v>3.0</v>
      </c>
      <c r="T380" s="36">
        <v>8.0</v>
      </c>
      <c r="U380" s="36">
        <v>1.7321</v>
      </c>
      <c r="V380" s="36">
        <v>2.8284</v>
      </c>
      <c r="W380" s="37" t="s">
        <v>872</v>
      </c>
      <c r="X380" s="31">
        <v>18.0</v>
      </c>
      <c r="Y380" s="36">
        <v>-0.9773630450352401</v>
      </c>
      <c r="Z380" s="36">
        <v>0.06324645285218254</v>
      </c>
      <c r="AA380" s="29" t="s">
        <v>820</v>
      </c>
      <c r="AB380" s="31">
        <v>0.75173252821</v>
      </c>
      <c r="AC380" s="38">
        <v>2256.0</v>
      </c>
    </row>
    <row r="381" ht="14.25" customHeight="1">
      <c r="A381" s="29" t="s">
        <v>129</v>
      </c>
      <c r="B381" s="29">
        <v>49.0</v>
      </c>
      <c r="C381" s="29" t="s">
        <v>593</v>
      </c>
      <c r="D381" s="29" t="s">
        <v>862</v>
      </c>
      <c r="E381" s="29">
        <v>104.0</v>
      </c>
      <c r="F381" s="30" t="s">
        <v>863</v>
      </c>
      <c r="G381" s="29" t="s">
        <v>607</v>
      </c>
      <c r="H381" s="31">
        <v>2.77</v>
      </c>
      <c r="I381" s="29" t="s">
        <v>597</v>
      </c>
      <c r="J381" s="32" t="s">
        <v>598</v>
      </c>
      <c r="K381" s="29" t="s">
        <v>599</v>
      </c>
      <c r="L381" s="29" t="s">
        <v>819</v>
      </c>
      <c r="M381" s="33">
        <v>-75.013</v>
      </c>
      <c r="N381" s="33">
        <v>-4.992</v>
      </c>
      <c r="O381" s="34" t="s">
        <v>601</v>
      </c>
      <c r="P381" s="32" t="s">
        <v>602</v>
      </c>
      <c r="Q381" s="35">
        <v>7.0</v>
      </c>
      <c r="R381" s="35">
        <v>8.0</v>
      </c>
      <c r="S381" s="36">
        <v>2.0</v>
      </c>
      <c r="T381" s="36">
        <v>10.0</v>
      </c>
      <c r="U381" s="36">
        <v>1.4142</v>
      </c>
      <c r="V381" s="36">
        <v>3.1623</v>
      </c>
      <c r="W381" s="37" t="s">
        <v>872</v>
      </c>
      <c r="X381" s="31">
        <v>18.0</v>
      </c>
      <c r="Y381" s="36">
        <v>-1.6029485969943504</v>
      </c>
      <c r="Z381" s="36">
        <v>0.08392737804107142</v>
      </c>
      <c r="AA381" s="29" t="s">
        <v>820</v>
      </c>
      <c r="AB381" s="31">
        <v>0.75173252821</v>
      </c>
      <c r="AC381" s="38">
        <v>2256.0</v>
      </c>
    </row>
    <row r="382" ht="14.25" customHeight="1">
      <c r="A382" s="29" t="s">
        <v>129</v>
      </c>
      <c r="B382" s="29">
        <v>49.0</v>
      </c>
      <c r="C382" s="29" t="s">
        <v>593</v>
      </c>
      <c r="D382" s="29" t="s">
        <v>864</v>
      </c>
      <c r="E382" s="29">
        <v>119.0</v>
      </c>
      <c r="F382" s="30" t="s">
        <v>865</v>
      </c>
      <c r="G382" s="29" t="s">
        <v>607</v>
      </c>
      <c r="H382" s="31">
        <v>0.55</v>
      </c>
      <c r="I382" s="29" t="s">
        <v>597</v>
      </c>
      <c r="J382" s="32" t="s">
        <v>598</v>
      </c>
      <c r="K382" s="29" t="s">
        <v>599</v>
      </c>
      <c r="L382" s="29" t="s">
        <v>819</v>
      </c>
      <c r="M382" s="33">
        <v>-75.013</v>
      </c>
      <c r="N382" s="33">
        <v>-4.992</v>
      </c>
      <c r="O382" s="34" t="s">
        <v>601</v>
      </c>
      <c r="P382" s="32" t="s">
        <v>602</v>
      </c>
      <c r="Q382" s="35">
        <v>7.0</v>
      </c>
      <c r="R382" s="35">
        <v>8.0</v>
      </c>
      <c r="S382" s="36">
        <v>3.0</v>
      </c>
      <c r="T382" s="36">
        <v>3.0</v>
      </c>
      <c r="U382" s="36">
        <v>1.7321</v>
      </c>
      <c r="V382" s="36">
        <v>1.7321</v>
      </c>
      <c r="W382" s="37" t="s">
        <v>872</v>
      </c>
      <c r="X382" s="31">
        <v>18.0</v>
      </c>
      <c r="Y382" s="36">
        <v>0.001301236357971734</v>
      </c>
      <c r="Z382" s="36">
        <v>0.08929078601190477</v>
      </c>
      <c r="AA382" s="29" t="s">
        <v>820</v>
      </c>
      <c r="AB382" s="31">
        <v>0.75173252821</v>
      </c>
      <c r="AC382" s="38">
        <v>2256.0</v>
      </c>
    </row>
    <row r="383" ht="14.25" customHeight="1">
      <c r="A383" s="29" t="s">
        <v>129</v>
      </c>
      <c r="B383" s="29">
        <v>49.0</v>
      </c>
      <c r="C383" s="29" t="s">
        <v>593</v>
      </c>
      <c r="D383" s="29" t="s">
        <v>866</v>
      </c>
      <c r="E383" s="29">
        <v>130.0</v>
      </c>
      <c r="F383" s="30" t="s">
        <v>867</v>
      </c>
      <c r="G383" s="29" t="s">
        <v>607</v>
      </c>
      <c r="H383" s="31">
        <v>1.49</v>
      </c>
      <c r="I383" s="29" t="s">
        <v>597</v>
      </c>
      <c r="J383" s="32" t="s">
        <v>598</v>
      </c>
      <c r="K383" s="29" t="s">
        <v>599</v>
      </c>
      <c r="L383" s="29" t="s">
        <v>819</v>
      </c>
      <c r="M383" s="33">
        <v>-75.013</v>
      </c>
      <c r="N383" s="33">
        <v>-4.992</v>
      </c>
      <c r="O383" s="34" t="s">
        <v>601</v>
      </c>
      <c r="P383" s="32" t="s">
        <v>602</v>
      </c>
      <c r="Q383" s="35">
        <v>7.0</v>
      </c>
      <c r="R383" s="35">
        <v>8.0</v>
      </c>
      <c r="S383" s="36">
        <v>7.0</v>
      </c>
      <c r="T383" s="36">
        <v>18.0</v>
      </c>
      <c r="U383" s="36">
        <v>2.6458</v>
      </c>
      <c r="V383" s="36">
        <v>4.2426</v>
      </c>
      <c r="W383" s="37" t="s">
        <v>872</v>
      </c>
      <c r="X383" s="31">
        <v>18.0</v>
      </c>
      <c r="Y383" s="36">
        <v>-0.9411189873441614</v>
      </c>
      <c r="Z383" s="36">
        <v>0.027353225652332364</v>
      </c>
      <c r="AA383" s="29" t="s">
        <v>820</v>
      </c>
      <c r="AB383" s="31">
        <v>0.75173252821</v>
      </c>
      <c r="AC383" s="38">
        <v>2256.0</v>
      </c>
    </row>
    <row r="384" ht="14.25" customHeight="1">
      <c r="A384" s="29" t="s">
        <v>129</v>
      </c>
      <c r="B384" s="29">
        <v>49.0</v>
      </c>
      <c r="C384" s="29" t="s">
        <v>593</v>
      </c>
      <c r="D384" s="29" t="s">
        <v>868</v>
      </c>
      <c r="E384" s="29">
        <v>139.0</v>
      </c>
      <c r="F384" s="30" t="s">
        <v>869</v>
      </c>
      <c r="G384" s="29" t="s">
        <v>607</v>
      </c>
      <c r="H384" s="31">
        <v>1.24</v>
      </c>
      <c r="I384" s="29" t="s">
        <v>597</v>
      </c>
      <c r="J384" s="32" t="s">
        <v>598</v>
      </c>
      <c r="K384" s="29" t="s">
        <v>599</v>
      </c>
      <c r="L384" s="29" t="s">
        <v>819</v>
      </c>
      <c r="M384" s="33">
        <v>-75.013</v>
      </c>
      <c r="N384" s="33">
        <v>-4.992</v>
      </c>
      <c r="O384" s="34" t="s">
        <v>601</v>
      </c>
      <c r="P384" s="32" t="s">
        <v>602</v>
      </c>
      <c r="Q384" s="35">
        <v>7.0</v>
      </c>
      <c r="R384" s="35">
        <v>8.0</v>
      </c>
      <c r="S384" s="36">
        <v>11.0</v>
      </c>
      <c r="T384" s="36">
        <v>10.0</v>
      </c>
      <c r="U384" s="36">
        <v>3.3166</v>
      </c>
      <c r="V384" s="36">
        <v>3.1623</v>
      </c>
      <c r="W384" s="37" t="s">
        <v>872</v>
      </c>
      <c r="X384" s="31">
        <v>18.0</v>
      </c>
      <c r="Y384" s="36">
        <v>0.09649319189071605</v>
      </c>
      <c r="Z384" s="36">
        <v>0.025486995455475208</v>
      </c>
      <c r="AA384" s="29" t="s">
        <v>820</v>
      </c>
      <c r="AB384" s="31">
        <v>0.75173252821</v>
      </c>
      <c r="AC384" s="38">
        <v>2256.0</v>
      </c>
    </row>
    <row r="385" ht="14.25" customHeight="1">
      <c r="A385" s="29" t="s">
        <v>129</v>
      </c>
      <c r="B385" s="29">
        <v>49.0</v>
      </c>
      <c r="C385" s="29" t="s">
        <v>593</v>
      </c>
      <c r="D385" s="29" t="s">
        <v>875</v>
      </c>
      <c r="E385" s="29">
        <v>154.0</v>
      </c>
      <c r="F385" s="30" t="s">
        <v>876</v>
      </c>
      <c r="G385" s="29" t="s">
        <v>877</v>
      </c>
      <c r="H385" s="31">
        <v>1.32</v>
      </c>
      <c r="I385" s="29" t="s">
        <v>597</v>
      </c>
      <c r="J385" s="32" t="s">
        <v>598</v>
      </c>
      <c r="K385" s="29" t="s">
        <v>599</v>
      </c>
      <c r="L385" s="29" t="s">
        <v>819</v>
      </c>
      <c r="M385" s="33">
        <v>-75.013</v>
      </c>
      <c r="N385" s="33">
        <v>-4.992</v>
      </c>
      <c r="O385" s="34" t="s">
        <v>601</v>
      </c>
      <c r="P385" s="32" t="s">
        <v>602</v>
      </c>
      <c r="Q385" s="35">
        <v>7.0</v>
      </c>
      <c r="R385" s="35">
        <v>8.0</v>
      </c>
      <c r="S385" s="36">
        <v>2.0</v>
      </c>
      <c r="T385" s="36">
        <v>34.0</v>
      </c>
      <c r="U385" s="36">
        <v>1.4142</v>
      </c>
      <c r="V385" s="36">
        <v>5.831</v>
      </c>
      <c r="W385" s="37" t="s">
        <v>872</v>
      </c>
      <c r="X385" s="31">
        <v>18.0</v>
      </c>
      <c r="Y385" s="36">
        <v>-2.81131935942148</v>
      </c>
      <c r="Z385" s="36">
        <v>0.07510373267857143</v>
      </c>
      <c r="AA385" s="29" t="s">
        <v>820</v>
      </c>
      <c r="AB385" s="31">
        <v>0.75173252821</v>
      </c>
      <c r="AC385" s="38">
        <v>2256.0</v>
      </c>
    </row>
    <row r="386" ht="14.25" customHeight="1">
      <c r="A386" s="29" t="s">
        <v>129</v>
      </c>
      <c r="B386" s="29">
        <v>49.0</v>
      </c>
      <c r="C386" s="29" t="s">
        <v>593</v>
      </c>
      <c r="D386" s="29" t="s">
        <v>849</v>
      </c>
      <c r="E386" s="29">
        <v>193.0</v>
      </c>
      <c r="F386" s="30" t="s">
        <v>850</v>
      </c>
      <c r="G386" s="29" t="s">
        <v>596</v>
      </c>
      <c r="H386" s="31">
        <v>1.03</v>
      </c>
      <c r="I386" s="29" t="s">
        <v>597</v>
      </c>
      <c r="J386" s="32" t="s">
        <v>598</v>
      </c>
      <c r="K386" s="29" t="s">
        <v>599</v>
      </c>
      <c r="L386" s="29" t="s">
        <v>819</v>
      </c>
      <c r="M386" s="33">
        <v>-75.013</v>
      </c>
      <c r="N386" s="33">
        <v>-4.992</v>
      </c>
      <c r="O386" s="34" t="s">
        <v>641</v>
      </c>
      <c r="P386" s="32" t="s">
        <v>602</v>
      </c>
      <c r="Q386" s="35">
        <v>7.0</v>
      </c>
      <c r="R386" s="35">
        <v>8.0</v>
      </c>
      <c r="S386" s="36">
        <v>12.0</v>
      </c>
      <c r="T386" s="36">
        <v>18.0</v>
      </c>
      <c r="U386" s="36">
        <v>3.4641</v>
      </c>
      <c r="V386" s="36">
        <v>4.2426</v>
      </c>
      <c r="W386" s="37" t="s">
        <v>872</v>
      </c>
      <c r="X386" s="31">
        <v>18.0</v>
      </c>
      <c r="Y386" s="36">
        <v>-0.40351388797690263</v>
      </c>
      <c r="Z386" s="36">
        <v>0.018849062053571432</v>
      </c>
      <c r="AA386" s="29" t="s">
        <v>820</v>
      </c>
      <c r="AB386" s="31">
        <v>0.75173252821</v>
      </c>
      <c r="AC386" s="38">
        <v>2256.0</v>
      </c>
    </row>
    <row r="387" ht="14.25" customHeight="1">
      <c r="A387" s="29" t="s">
        <v>129</v>
      </c>
      <c r="B387" s="29">
        <v>50.0</v>
      </c>
      <c r="C387" s="29" t="s">
        <v>593</v>
      </c>
      <c r="D387" s="29" t="s">
        <v>878</v>
      </c>
      <c r="E387" s="29">
        <v>65.0</v>
      </c>
      <c r="F387" s="30" t="s">
        <v>879</v>
      </c>
      <c r="G387" s="29" t="s">
        <v>596</v>
      </c>
      <c r="H387" s="31">
        <v>0.24</v>
      </c>
      <c r="I387" s="29" t="s">
        <v>597</v>
      </c>
      <c r="J387" s="32" t="s">
        <v>598</v>
      </c>
      <c r="K387" s="29" t="s">
        <v>599</v>
      </c>
      <c r="L387" s="29" t="s">
        <v>819</v>
      </c>
      <c r="M387" s="33">
        <v>-73.198</v>
      </c>
      <c r="N387" s="33">
        <v>-4.337</v>
      </c>
      <c r="O387" s="34" t="s">
        <v>601</v>
      </c>
      <c r="P387" s="32" t="s">
        <v>602</v>
      </c>
      <c r="Q387" s="35">
        <v>4.0</v>
      </c>
      <c r="R387" s="35">
        <v>7.0</v>
      </c>
      <c r="S387" s="36">
        <v>5.0</v>
      </c>
      <c r="T387" s="36">
        <v>3.0</v>
      </c>
      <c r="U387" s="36">
        <v>2.2361</v>
      </c>
      <c r="V387" s="36">
        <v>1.7321</v>
      </c>
      <c r="W387" s="37" t="s">
        <v>872</v>
      </c>
      <c r="X387" s="31">
        <v>1.5</v>
      </c>
      <c r="Y387" s="36">
        <v>0.5116065687490621</v>
      </c>
      <c r="Z387" s="36">
        <v>0.09762318463968253</v>
      </c>
      <c r="AA387" s="29" t="s">
        <v>820</v>
      </c>
      <c r="AB387" s="31">
        <v>5.82603502274</v>
      </c>
      <c r="AC387" s="38">
        <v>1114.0</v>
      </c>
    </row>
    <row r="388" ht="14.25" customHeight="1">
      <c r="A388" s="29" t="s">
        <v>129</v>
      </c>
      <c r="B388" s="29">
        <v>50.0</v>
      </c>
      <c r="C388" s="29" t="s">
        <v>593</v>
      </c>
      <c r="D388" s="29" t="s">
        <v>878</v>
      </c>
      <c r="E388" s="29">
        <v>65.0</v>
      </c>
      <c r="F388" s="30" t="s">
        <v>879</v>
      </c>
      <c r="G388" s="29" t="s">
        <v>596</v>
      </c>
      <c r="H388" s="31">
        <v>0.24</v>
      </c>
      <c r="I388" s="29" t="s">
        <v>597</v>
      </c>
      <c r="J388" s="32" t="s">
        <v>598</v>
      </c>
      <c r="K388" s="29" t="s">
        <v>599</v>
      </c>
      <c r="L388" s="29" t="s">
        <v>819</v>
      </c>
      <c r="M388" s="33">
        <v>-73.081</v>
      </c>
      <c r="N388" s="33">
        <v>-4.447</v>
      </c>
      <c r="O388" s="34" t="s">
        <v>601</v>
      </c>
      <c r="P388" s="32" t="s">
        <v>602</v>
      </c>
      <c r="Q388" s="35">
        <v>14.0</v>
      </c>
      <c r="R388" s="35">
        <v>7.0</v>
      </c>
      <c r="S388" s="36">
        <v>2.0</v>
      </c>
      <c r="T388" s="36">
        <v>3.0</v>
      </c>
      <c r="U388" s="36">
        <v>1.4142</v>
      </c>
      <c r="V388" s="36">
        <v>1.7321</v>
      </c>
      <c r="W388" s="37" t="s">
        <v>872</v>
      </c>
      <c r="X388" s="31">
        <v>10.5</v>
      </c>
      <c r="Y388" s="36">
        <v>-0.40351388797690263</v>
      </c>
      <c r="Z388" s="36">
        <v>0.08333535325396825</v>
      </c>
      <c r="AA388" s="29" t="s">
        <v>820</v>
      </c>
      <c r="AB388" s="31">
        <v>5.82603502274</v>
      </c>
      <c r="AC388" s="38">
        <v>2161.0</v>
      </c>
    </row>
    <row r="389" ht="14.25" customHeight="1">
      <c r="A389" s="29" t="s">
        <v>129</v>
      </c>
      <c r="B389" s="29">
        <v>50.0</v>
      </c>
      <c r="C389" s="29" t="s">
        <v>593</v>
      </c>
      <c r="D389" s="29" t="s">
        <v>878</v>
      </c>
      <c r="E389" s="29">
        <v>65.0</v>
      </c>
      <c r="F389" s="30" t="s">
        <v>879</v>
      </c>
      <c r="G389" s="29" t="s">
        <v>596</v>
      </c>
      <c r="H389" s="31">
        <v>0.24</v>
      </c>
      <c r="I389" s="29" t="s">
        <v>597</v>
      </c>
      <c r="J389" s="32" t="s">
        <v>598</v>
      </c>
      <c r="K389" s="29" t="s">
        <v>599</v>
      </c>
      <c r="L389" s="29" t="s">
        <v>819</v>
      </c>
      <c r="M389" s="33">
        <v>-73.007</v>
      </c>
      <c r="N389" s="33">
        <v>-4.473</v>
      </c>
      <c r="O389" s="34" t="s">
        <v>601</v>
      </c>
      <c r="P389" s="32" t="s">
        <v>602</v>
      </c>
      <c r="Q389" s="35">
        <v>3.0</v>
      </c>
      <c r="R389" s="35">
        <v>7.0</v>
      </c>
      <c r="S389" s="36">
        <v>2.0</v>
      </c>
      <c r="T389" s="36">
        <v>3.0</v>
      </c>
      <c r="U389" s="36">
        <v>1.4142</v>
      </c>
      <c r="V389" s="36">
        <v>1.7321</v>
      </c>
      <c r="W389" s="37" t="s">
        <v>872</v>
      </c>
      <c r="X389" s="31">
        <v>22.0</v>
      </c>
      <c r="Y389" s="36">
        <v>-0.40351388797690263</v>
      </c>
      <c r="Z389" s="36">
        <v>0.21428522253968252</v>
      </c>
      <c r="AA389" s="29" t="s">
        <v>820</v>
      </c>
      <c r="AB389" s="31">
        <v>5.82603502274</v>
      </c>
      <c r="AC389" s="38">
        <v>2514.0</v>
      </c>
    </row>
    <row r="390" ht="14.25" customHeight="1">
      <c r="A390" s="29" t="s">
        <v>129</v>
      </c>
      <c r="B390" s="29">
        <v>50.0</v>
      </c>
      <c r="C390" s="29" t="s">
        <v>593</v>
      </c>
      <c r="D390" s="29" t="s">
        <v>880</v>
      </c>
      <c r="E390" s="29">
        <v>69.0</v>
      </c>
      <c r="F390" s="30" t="s">
        <v>881</v>
      </c>
      <c r="G390" s="29" t="s">
        <v>596</v>
      </c>
      <c r="H390" s="31">
        <v>0.38</v>
      </c>
      <c r="I390" s="29" t="s">
        <v>597</v>
      </c>
      <c r="J390" s="32" t="s">
        <v>598</v>
      </c>
      <c r="K390" s="29" t="s">
        <v>599</v>
      </c>
      <c r="L390" s="29" t="s">
        <v>819</v>
      </c>
      <c r="M390" s="33">
        <v>-73.198</v>
      </c>
      <c r="N390" s="33">
        <v>-4.337</v>
      </c>
      <c r="O390" s="34" t="s">
        <v>601</v>
      </c>
      <c r="P390" s="32" t="s">
        <v>602</v>
      </c>
      <c r="Q390" s="35">
        <v>4.0</v>
      </c>
      <c r="R390" s="35">
        <v>7.0</v>
      </c>
      <c r="S390" s="36">
        <v>6.0</v>
      </c>
      <c r="T390" s="36">
        <v>3.0</v>
      </c>
      <c r="U390" s="36">
        <v>2.4495</v>
      </c>
      <c r="V390" s="36">
        <v>1.7321</v>
      </c>
      <c r="W390" s="37" t="s">
        <v>872</v>
      </c>
      <c r="X390" s="31">
        <v>1.5</v>
      </c>
      <c r="Y390" s="36">
        <v>0.6937980103909238</v>
      </c>
      <c r="Z390" s="36">
        <v>0.08928876816468254</v>
      </c>
      <c r="AA390" s="29" t="s">
        <v>820</v>
      </c>
      <c r="AB390" s="31">
        <v>5.82603502274</v>
      </c>
      <c r="AC390" s="38">
        <v>1114.0</v>
      </c>
    </row>
    <row r="391" ht="14.25" customHeight="1">
      <c r="A391" s="29" t="s">
        <v>129</v>
      </c>
      <c r="B391" s="29">
        <v>50.0</v>
      </c>
      <c r="C391" s="29" t="s">
        <v>593</v>
      </c>
      <c r="D391" s="29" t="s">
        <v>880</v>
      </c>
      <c r="E391" s="29">
        <v>69.0</v>
      </c>
      <c r="F391" s="30" t="s">
        <v>881</v>
      </c>
      <c r="G391" s="29" t="s">
        <v>596</v>
      </c>
      <c r="H391" s="31">
        <v>0.38</v>
      </c>
      <c r="I391" s="29" t="s">
        <v>597</v>
      </c>
      <c r="J391" s="32" t="s">
        <v>598</v>
      </c>
      <c r="K391" s="29" t="s">
        <v>599</v>
      </c>
      <c r="L391" s="29" t="s">
        <v>819</v>
      </c>
      <c r="M391" s="33">
        <v>-73.081</v>
      </c>
      <c r="N391" s="33">
        <v>-4.447</v>
      </c>
      <c r="O391" s="34" t="s">
        <v>601</v>
      </c>
      <c r="P391" s="32" t="s">
        <v>602</v>
      </c>
      <c r="Q391" s="35">
        <v>14.0</v>
      </c>
      <c r="R391" s="35">
        <v>7.0</v>
      </c>
      <c r="S391" s="36">
        <v>4.0</v>
      </c>
      <c r="T391" s="36">
        <v>3.0</v>
      </c>
      <c r="U391" s="36">
        <v>2.0</v>
      </c>
      <c r="V391" s="36">
        <v>1.7321</v>
      </c>
      <c r="W391" s="37" t="s">
        <v>872</v>
      </c>
      <c r="X391" s="31">
        <v>10.5</v>
      </c>
      <c r="Y391" s="36">
        <v>0.28865815842483644</v>
      </c>
      <c r="Z391" s="36">
        <v>0.06547889539682539</v>
      </c>
      <c r="AA391" s="29" t="s">
        <v>820</v>
      </c>
      <c r="AB391" s="31">
        <v>5.82603502274</v>
      </c>
      <c r="AC391" s="38">
        <v>2161.0</v>
      </c>
    </row>
    <row r="392" ht="14.25" customHeight="1">
      <c r="A392" s="29" t="s">
        <v>129</v>
      </c>
      <c r="B392" s="29">
        <v>50.0</v>
      </c>
      <c r="C392" s="29" t="s">
        <v>593</v>
      </c>
      <c r="D392" s="29" t="s">
        <v>880</v>
      </c>
      <c r="E392" s="29">
        <v>69.0</v>
      </c>
      <c r="F392" s="30" t="s">
        <v>881</v>
      </c>
      <c r="G392" s="29" t="s">
        <v>596</v>
      </c>
      <c r="H392" s="31">
        <v>0.38</v>
      </c>
      <c r="I392" s="29" t="s">
        <v>597</v>
      </c>
      <c r="J392" s="32" t="s">
        <v>598</v>
      </c>
      <c r="K392" s="29" t="s">
        <v>599</v>
      </c>
      <c r="L392" s="29" t="s">
        <v>819</v>
      </c>
      <c r="M392" s="33">
        <v>-73.007</v>
      </c>
      <c r="N392" s="33">
        <v>-4.473</v>
      </c>
      <c r="O392" s="34" t="s">
        <v>601</v>
      </c>
      <c r="P392" s="32" t="s">
        <v>602</v>
      </c>
      <c r="Q392" s="35">
        <v>3.0</v>
      </c>
      <c r="R392" s="35">
        <v>7.0</v>
      </c>
      <c r="S392" s="36">
        <v>2.0</v>
      </c>
      <c r="T392" s="36">
        <v>3.0</v>
      </c>
      <c r="U392" s="36">
        <v>1.4142</v>
      </c>
      <c r="V392" s="36">
        <v>1.7321</v>
      </c>
      <c r="W392" s="37" t="s">
        <v>872</v>
      </c>
      <c r="X392" s="31">
        <v>22.0</v>
      </c>
      <c r="Y392" s="36">
        <v>-0.40351388797690263</v>
      </c>
      <c r="Z392" s="36">
        <v>0.21428522253968252</v>
      </c>
      <c r="AA392" s="29" t="s">
        <v>820</v>
      </c>
      <c r="AB392" s="31">
        <v>5.82603502274</v>
      </c>
      <c r="AC392" s="38">
        <v>2514.0</v>
      </c>
    </row>
    <row r="393" ht="14.25" customHeight="1">
      <c r="A393" s="29" t="s">
        <v>129</v>
      </c>
      <c r="B393" s="29">
        <v>50.0</v>
      </c>
      <c r="C393" s="29" t="s">
        <v>593</v>
      </c>
      <c r="D393" s="29" t="s">
        <v>862</v>
      </c>
      <c r="E393" s="29">
        <v>104.0</v>
      </c>
      <c r="F393" s="30" t="s">
        <v>863</v>
      </c>
      <c r="G393" s="29" t="s">
        <v>607</v>
      </c>
      <c r="H393" s="31">
        <v>2.77</v>
      </c>
      <c r="I393" s="29" t="s">
        <v>597</v>
      </c>
      <c r="J393" s="32" t="s">
        <v>598</v>
      </c>
      <c r="K393" s="29" t="s">
        <v>599</v>
      </c>
      <c r="L393" s="29" t="s">
        <v>819</v>
      </c>
      <c r="M393" s="33">
        <v>-73.198</v>
      </c>
      <c r="N393" s="33">
        <v>-4.337</v>
      </c>
      <c r="O393" s="34" t="s">
        <v>601</v>
      </c>
      <c r="P393" s="32" t="s">
        <v>602</v>
      </c>
      <c r="Q393" s="35">
        <v>4.0</v>
      </c>
      <c r="R393" s="35">
        <v>7.0</v>
      </c>
      <c r="S393" s="36">
        <v>0.0</v>
      </c>
      <c r="T393" s="36">
        <v>3.0</v>
      </c>
      <c r="U393" s="36">
        <v>0.0</v>
      </c>
      <c r="V393" s="36">
        <v>1.7321</v>
      </c>
      <c r="W393" s="37" t="s">
        <v>872</v>
      </c>
      <c r="X393" s="31">
        <v>1.5</v>
      </c>
      <c r="Y393" s="36">
        <v>-6.643789733147672</v>
      </c>
      <c r="Z393" s="36">
        <v>0.30810227883381924</v>
      </c>
      <c r="AA393" s="29" t="s">
        <v>820</v>
      </c>
      <c r="AB393" s="31">
        <v>5.82603502274</v>
      </c>
      <c r="AC393" s="38">
        <v>1114.0</v>
      </c>
    </row>
    <row r="394" ht="14.25" customHeight="1">
      <c r="A394" s="29" t="s">
        <v>129</v>
      </c>
      <c r="B394" s="29">
        <v>50.0</v>
      </c>
      <c r="C394" s="29" t="s">
        <v>593</v>
      </c>
      <c r="D394" s="29" t="s">
        <v>862</v>
      </c>
      <c r="E394" s="29">
        <v>104.0</v>
      </c>
      <c r="F394" s="30" t="s">
        <v>863</v>
      </c>
      <c r="G394" s="29" t="s">
        <v>607</v>
      </c>
      <c r="H394" s="31">
        <v>2.77</v>
      </c>
      <c r="I394" s="29" t="s">
        <v>597</v>
      </c>
      <c r="J394" s="32" t="s">
        <v>598</v>
      </c>
      <c r="K394" s="29" t="s">
        <v>599</v>
      </c>
      <c r="L394" s="29" t="s">
        <v>819</v>
      </c>
      <c r="M394" s="33">
        <v>-73.081</v>
      </c>
      <c r="N394" s="33">
        <v>-4.447</v>
      </c>
      <c r="O394" s="34" t="s">
        <v>601</v>
      </c>
      <c r="P394" s="32" t="s">
        <v>602</v>
      </c>
      <c r="Q394" s="35">
        <v>14.0</v>
      </c>
      <c r="R394" s="35">
        <v>7.0</v>
      </c>
      <c r="S394" s="36">
        <v>2.0</v>
      </c>
      <c r="T394" s="36">
        <v>3.0</v>
      </c>
      <c r="U394" s="36">
        <v>1.4142</v>
      </c>
      <c r="V394" s="36">
        <v>1.7321</v>
      </c>
      <c r="W394" s="37" t="s">
        <v>872</v>
      </c>
      <c r="X394" s="31">
        <v>10.5</v>
      </c>
      <c r="Y394" s="36">
        <v>-0.40351388797690263</v>
      </c>
      <c r="Z394" s="36">
        <v>0.08333535325396825</v>
      </c>
      <c r="AA394" s="29" t="s">
        <v>820</v>
      </c>
      <c r="AB394" s="31">
        <v>5.82603502274</v>
      </c>
      <c r="AC394" s="38">
        <v>2161.0</v>
      </c>
    </row>
    <row r="395" ht="14.25" customHeight="1">
      <c r="A395" s="29" t="s">
        <v>129</v>
      </c>
      <c r="B395" s="29">
        <v>50.0</v>
      </c>
      <c r="C395" s="29" t="s">
        <v>593</v>
      </c>
      <c r="D395" s="29" t="s">
        <v>862</v>
      </c>
      <c r="E395" s="29">
        <v>104.0</v>
      </c>
      <c r="F395" s="30" t="s">
        <v>863</v>
      </c>
      <c r="G395" s="29" t="s">
        <v>607</v>
      </c>
      <c r="H395" s="31">
        <v>2.77</v>
      </c>
      <c r="I395" s="29" t="s">
        <v>597</v>
      </c>
      <c r="J395" s="32" t="s">
        <v>598</v>
      </c>
      <c r="K395" s="29" t="s">
        <v>599</v>
      </c>
      <c r="L395" s="29" t="s">
        <v>819</v>
      </c>
      <c r="M395" s="33">
        <v>-73.007</v>
      </c>
      <c r="N395" s="33">
        <v>-4.473</v>
      </c>
      <c r="O395" s="34" t="s">
        <v>601</v>
      </c>
      <c r="P395" s="32" t="s">
        <v>602</v>
      </c>
      <c r="Q395" s="35">
        <v>3.0</v>
      </c>
      <c r="R395" s="35">
        <v>7.0</v>
      </c>
      <c r="S395" s="36">
        <v>3.0</v>
      </c>
      <c r="T395" s="36">
        <v>3.0</v>
      </c>
      <c r="U395" s="36">
        <v>1.7321</v>
      </c>
      <c r="V395" s="36">
        <v>1.7321</v>
      </c>
      <c r="W395" s="37" t="s">
        <v>872</v>
      </c>
      <c r="X395" s="31">
        <v>22.0</v>
      </c>
      <c r="Y395" s="36">
        <v>0.001301236357971734</v>
      </c>
      <c r="Z395" s="36">
        <v>0.15873917513227515</v>
      </c>
      <c r="AA395" s="29" t="s">
        <v>820</v>
      </c>
      <c r="AB395" s="31">
        <v>5.82603502274</v>
      </c>
      <c r="AC395" s="38">
        <v>2514.0</v>
      </c>
    </row>
    <row r="396" ht="14.25" customHeight="1">
      <c r="A396" s="29" t="s">
        <v>129</v>
      </c>
      <c r="B396" s="29">
        <v>50.0</v>
      </c>
      <c r="C396" s="29" t="s">
        <v>593</v>
      </c>
      <c r="D396" s="29" t="s">
        <v>864</v>
      </c>
      <c r="E396" s="29">
        <v>119.0</v>
      </c>
      <c r="F396" s="30" t="s">
        <v>865</v>
      </c>
      <c r="G396" s="29" t="s">
        <v>607</v>
      </c>
      <c r="H396" s="31">
        <v>0.55</v>
      </c>
      <c r="I396" s="29" t="s">
        <v>597</v>
      </c>
      <c r="J396" s="32" t="s">
        <v>598</v>
      </c>
      <c r="K396" s="29" t="s">
        <v>599</v>
      </c>
      <c r="L396" s="29" t="s">
        <v>819</v>
      </c>
      <c r="M396" s="33">
        <v>-73.198</v>
      </c>
      <c r="N396" s="33">
        <v>-4.337</v>
      </c>
      <c r="O396" s="34" t="s">
        <v>601</v>
      </c>
      <c r="P396" s="32" t="s">
        <v>602</v>
      </c>
      <c r="Q396" s="35">
        <v>4.0</v>
      </c>
      <c r="R396" s="35">
        <v>7.0</v>
      </c>
      <c r="S396" s="36">
        <v>8.0</v>
      </c>
      <c r="T396" s="36">
        <v>2.0</v>
      </c>
      <c r="U396" s="36">
        <v>2.8284</v>
      </c>
      <c r="V396" s="36">
        <v>1.4142</v>
      </c>
      <c r="W396" s="37" t="s">
        <v>872</v>
      </c>
      <c r="X396" s="31">
        <v>1.5</v>
      </c>
      <c r="Y396" s="36">
        <v>1.3866198289828124</v>
      </c>
      <c r="Z396" s="36">
        <v>0.10267660205357142</v>
      </c>
      <c r="AA396" s="29" t="s">
        <v>820</v>
      </c>
      <c r="AB396" s="31">
        <v>5.82603502274</v>
      </c>
      <c r="AC396" s="38">
        <v>1114.0</v>
      </c>
    </row>
    <row r="397" ht="14.25" customHeight="1">
      <c r="A397" s="29" t="s">
        <v>129</v>
      </c>
      <c r="B397" s="29">
        <v>50.0</v>
      </c>
      <c r="C397" s="29" t="s">
        <v>593</v>
      </c>
      <c r="D397" s="29" t="s">
        <v>864</v>
      </c>
      <c r="E397" s="29">
        <v>119.0</v>
      </c>
      <c r="F397" s="30" t="s">
        <v>865</v>
      </c>
      <c r="G397" s="29" t="s">
        <v>607</v>
      </c>
      <c r="H397" s="31">
        <v>0.55</v>
      </c>
      <c r="I397" s="29" t="s">
        <v>597</v>
      </c>
      <c r="J397" s="32" t="s">
        <v>598</v>
      </c>
      <c r="K397" s="29" t="s">
        <v>599</v>
      </c>
      <c r="L397" s="29" t="s">
        <v>819</v>
      </c>
      <c r="M397" s="33">
        <v>-73.081</v>
      </c>
      <c r="N397" s="33">
        <v>-4.447</v>
      </c>
      <c r="O397" s="34" t="s">
        <v>601</v>
      </c>
      <c r="P397" s="32" t="s">
        <v>602</v>
      </c>
      <c r="Q397" s="35">
        <v>14.0</v>
      </c>
      <c r="R397" s="35">
        <v>7.0</v>
      </c>
      <c r="S397" s="36">
        <v>1.0</v>
      </c>
      <c r="T397" s="36">
        <v>2.0</v>
      </c>
      <c r="U397" s="36">
        <v>1.0</v>
      </c>
      <c r="V397" s="36">
        <v>1.4142</v>
      </c>
      <c r="W397" s="37" t="s">
        <v>872</v>
      </c>
      <c r="X397" s="31">
        <v>10.5</v>
      </c>
      <c r="Y397" s="36">
        <v>-0.6905463988598879</v>
      </c>
      <c r="Z397" s="36">
        <v>0.14285577285714285</v>
      </c>
      <c r="AA397" s="29" t="s">
        <v>820</v>
      </c>
      <c r="AB397" s="31">
        <v>5.82603502274</v>
      </c>
      <c r="AC397" s="38">
        <v>2161.0</v>
      </c>
    </row>
    <row r="398" ht="14.25" customHeight="1">
      <c r="A398" s="29" t="s">
        <v>129</v>
      </c>
      <c r="B398" s="29">
        <v>50.0</v>
      </c>
      <c r="C398" s="29" t="s">
        <v>593</v>
      </c>
      <c r="D398" s="29" t="s">
        <v>864</v>
      </c>
      <c r="E398" s="29">
        <v>119.0</v>
      </c>
      <c r="F398" s="30" t="s">
        <v>865</v>
      </c>
      <c r="G398" s="29" t="s">
        <v>607</v>
      </c>
      <c r="H398" s="31">
        <v>0.55</v>
      </c>
      <c r="I398" s="29" t="s">
        <v>597</v>
      </c>
      <c r="J398" s="32" t="s">
        <v>598</v>
      </c>
      <c r="K398" s="29" t="s">
        <v>599</v>
      </c>
      <c r="L398" s="29" t="s">
        <v>819</v>
      </c>
      <c r="M398" s="33">
        <v>-73.007</v>
      </c>
      <c r="N398" s="33">
        <v>-4.473</v>
      </c>
      <c r="O398" s="34" t="s">
        <v>601</v>
      </c>
      <c r="P398" s="32" t="s">
        <v>602</v>
      </c>
      <c r="Q398" s="35">
        <v>3.0</v>
      </c>
      <c r="R398" s="35">
        <v>7.0</v>
      </c>
      <c r="S398" s="36">
        <v>0.0</v>
      </c>
      <c r="T398" s="36">
        <v>2.0</v>
      </c>
      <c r="U398" s="36">
        <v>0.0</v>
      </c>
      <c r="V398" s="36">
        <v>1.4142</v>
      </c>
      <c r="W398" s="37" t="s">
        <v>872</v>
      </c>
      <c r="X398" s="31">
        <v>22.0</v>
      </c>
      <c r="Y398" s="36">
        <v>-6.643789733147672</v>
      </c>
      <c r="Z398" s="36">
        <v>0.4170855993904762</v>
      </c>
      <c r="AA398" s="29" t="s">
        <v>820</v>
      </c>
      <c r="AB398" s="31">
        <v>5.82603502274</v>
      </c>
      <c r="AC398" s="38">
        <v>2514.0</v>
      </c>
    </row>
    <row r="399" ht="14.25" customHeight="1">
      <c r="A399" s="29" t="s">
        <v>129</v>
      </c>
      <c r="B399" s="29">
        <v>50.0</v>
      </c>
      <c r="C399" s="29" t="s">
        <v>593</v>
      </c>
      <c r="D399" s="29" t="s">
        <v>866</v>
      </c>
      <c r="E399" s="29">
        <v>130.0</v>
      </c>
      <c r="F399" s="30" t="s">
        <v>867</v>
      </c>
      <c r="G399" s="29" t="s">
        <v>607</v>
      </c>
      <c r="H399" s="31">
        <v>1.49</v>
      </c>
      <c r="I399" s="29" t="s">
        <v>597</v>
      </c>
      <c r="J399" s="32" t="s">
        <v>598</v>
      </c>
      <c r="K399" s="29" t="s">
        <v>599</v>
      </c>
      <c r="L399" s="29" t="s">
        <v>819</v>
      </c>
      <c r="M399" s="33">
        <v>-73.198</v>
      </c>
      <c r="N399" s="33">
        <v>-4.337</v>
      </c>
      <c r="O399" s="34" t="s">
        <v>601</v>
      </c>
      <c r="P399" s="32" t="s">
        <v>602</v>
      </c>
      <c r="Q399" s="35">
        <v>4.0</v>
      </c>
      <c r="R399" s="35">
        <v>7.0</v>
      </c>
      <c r="S399" s="36">
        <v>7.0</v>
      </c>
      <c r="T399" s="36">
        <v>34.0</v>
      </c>
      <c r="U399" s="36">
        <v>2.6458</v>
      </c>
      <c r="V399" s="36">
        <v>5.831</v>
      </c>
      <c r="W399" s="37" t="s">
        <v>872</v>
      </c>
      <c r="X399" s="31">
        <v>1.5</v>
      </c>
      <c r="Y399" s="36">
        <v>-1.5741458859233064</v>
      </c>
      <c r="Z399" s="36">
        <v>0.03991735020408163</v>
      </c>
      <c r="AA399" s="29" t="s">
        <v>820</v>
      </c>
      <c r="AB399" s="31">
        <v>5.82603502274</v>
      </c>
      <c r="AC399" s="38">
        <v>1114.0</v>
      </c>
    </row>
    <row r="400" ht="14.25" customHeight="1">
      <c r="A400" s="29" t="s">
        <v>129</v>
      </c>
      <c r="B400" s="29">
        <v>50.0</v>
      </c>
      <c r="C400" s="29" t="s">
        <v>593</v>
      </c>
      <c r="D400" s="29" t="s">
        <v>866</v>
      </c>
      <c r="E400" s="29">
        <v>130.0</v>
      </c>
      <c r="F400" s="30" t="s">
        <v>867</v>
      </c>
      <c r="G400" s="29" t="s">
        <v>607</v>
      </c>
      <c r="H400" s="31">
        <v>1.49</v>
      </c>
      <c r="I400" s="29" t="s">
        <v>597</v>
      </c>
      <c r="J400" s="32" t="s">
        <v>598</v>
      </c>
      <c r="K400" s="29" t="s">
        <v>599</v>
      </c>
      <c r="L400" s="29" t="s">
        <v>819</v>
      </c>
      <c r="M400" s="33">
        <v>-73.081</v>
      </c>
      <c r="N400" s="33">
        <v>-4.447</v>
      </c>
      <c r="O400" s="34" t="s">
        <v>601</v>
      </c>
      <c r="P400" s="32" t="s">
        <v>602</v>
      </c>
      <c r="Q400" s="35">
        <v>14.0</v>
      </c>
      <c r="R400" s="35">
        <v>7.0</v>
      </c>
      <c r="S400" s="36">
        <v>36.0</v>
      </c>
      <c r="T400" s="36">
        <v>34.0</v>
      </c>
      <c r="U400" s="36">
        <v>6.0</v>
      </c>
      <c r="V400" s="36">
        <v>5.831</v>
      </c>
      <c r="W400" s="37" t="s">
        <v>872</v>
      </c>
      <c r="X400" s="31">
        <v>10.5</v>
      </c>
      <c r="Y400" s="36">
        <v>0.05838740369281383</v>
      </c>
      <c r="Z400" s="36">
        <v>0.006185876984126985</v>
      </c>
      <c r="AA400" s="29" t="s">
        <v>820</v>
      </c>
      <c r="AB400" s="31">
        <v>5.82603502274</v>
      </c>
      <c r="AC400" s="38">
        <v>2161.0</v>
      </c>
    </row>
    <row r="401" ht="14.25" customHeight="1">
      <c r="A401" s="29" t="s">
        <v>129</v>
      </c>
      <c r="B401" s="29">
        <v>50.0</v>
      </c>
      <c r="C401" s="29" t="s">
        <v>593</v>
      </c>
      <c r="D401" s="29" t="s">
        <v>866</v>
      </c>
      <c r="E401" s="29">
        <v>130.0</v>
      </c>
      <c r="F401" s="30" t="s">
        <v>867</v>
      </c>
      <c r="G401" s="29" t="s">
        <v>607</v>
      </c>
      <c r="H401" s="31">
        <v>1.49</v>
      </c>
      <c r="I401" s="29" t="s">
        <v>597</v>
      </c>
      <c r="J401" s="32" t="s">
        <v>598</v>
      </c>
      <c r="K401" s="29" t="s">
        <v>599</v>
      </c>
      <c r="L401" s="29" t="s">
        <v>819</v>
      </c>
      <c r="M401" s="33">
        <v>-73.007</v>
      </c>
      <c r="N401" s="33">
        <v>-4.473</v>
      </c>
      <c r="O401" s="34" t="s">
        <v>601</v>
      </c>
      <c r="P401" s="32" t="s">
        <v>602</v>
      </c>
      <c r="Q401" s="35">
        <v>3.0</v>
      </c>
      <c r="R401" s="35">
        <v>7.0</v>
      </c>
      <c r="S401" s="36">
        <v>25.0</v>
      </c>
      <c r="T401" s="36">
        <v>34.0</v>
      </c>
      <c r="U401" s="36">
        <v>5.0</v>
      </c>
      <c r="V401" s="36">
        <v>5.831</v>
      </c>
      <c r="W401" s="37" t="s">
        <v>872</v>
      </c>
      <c r="X401" s="31">
        <v>22.0</v>
      </c>
      <c r="Y401" s="36">
        <v>-0.3057154324914063</v>
      </c>
      <c r="Z401" s="36">
        <v>0.017535083333333333</v>
      </c>
      <c r="AA401" s="29" t="s">
        <v>820</v>
      </c>
      <c r="AB401" s="31">
        <v>5.82603502274</v>
      </c>
      <c r="AC401" s="38">
        <v>2514.0</v>
      </c>
    </row>
    <row r="402" ht="14.25" customHeight="1">
      <c r="A402" s="29" t="s">
        <v>129</v>
      </c>
      <c r="B402" s="29">
        <v>50.0</v>
      </c>
      <c r="C402" s="29" t="s">
        <v>593</v>
      </c>
      <c r="D402" s="29" t="s">
        <v>868</v>
      </c>
      <c r="E402" s="29">
        <v>139.0</v>
      </c>
      <c r="F402" s="30" t="s">
        <v>869</v>
      </c>
      <c r="G402" s="29" t="s">
        <v>607</v>
      </c>
      <c r="H402" s="31">
        <v>1.24</v>
      </c>
      <c r="I402" s="29" t="s">
        <v>597</v>
      </c>
      <c r="J402" s="32" t="s">
        <v>598</v>
      </c>
      <c r="K402" s="29" t="s">
        <v>599</v>
      </c>
      <c r="L402" s="29" t="s">
        <v>819</v>
      </c>
      <c r="M402" s="33">
        <v>-73.198</v>
      </c>
      <c r="N402" s="33">
        <v>-4.337</v>
      </c>
      <c r="O402" s="34" t="s">
        <v>601</v>
      </c>
      <c r="P402" s="32" t="s">
        <v>602</v>
      </c>
      <c r="Q402" s="35">
        <v>4.0</v>
      </c>
      <c r="R402" s="35">
        <v>7.0</v>
      </c>
      <c r="S402" s="36">
        <v>0.0</v>
      </c>
      <c r="T402" s="36">
        <v>6.0</v>
      </c>
      <c r="U402" s="36">
        <v>0.0</v>
      </c>
      <c r="V402" s="36">
        <v>2.4495</v>
      </c>
      <c r="W402" s="37" t="s">
        <v>872</v>
      </c>
      <c r="X402" s="31">
        <v>1.5</v>
      </c>
      <c r="Y402" s="36">
        <v>-6.643789733147672</v>
      </c>
      <c r="Z402" s="36">
        <v>0.27941521639898564</v>
      </c>
      <c r="AA402" s="29" t="s">
        <v>820</v>
      </c>
      <c r="AB402" s="31">
        <v>5.82603502274</v>
      </c>
      <c r="AC402" s="38">
        <v>1114.0</v>
      </c>
    </row>
    <row r="403" ht="14.25" customHeight="1">
      <c r="A403" s="29" t="s">
        <v>129</v>
      </c>
      <c r="B403" s="29">
        <v>50.0</v>
      </c>
      <c r="C403" s="29" t="s">
        <v>593</v>
      </c>
      <c r="D403" s="29" t="s">
        <v>868</v>
      </c>
      <c r="E403" s="29">
        <v>139.0</v>
      </c>
      <c r="F403" s="30" t="s">
        <v>869</v>
      </c>
      <c r="G403" s="29" t="s">
        <v>607</v>
      </c>
      <c r="H403" s="31">
        <v>1.24</v>
      </c>
      <c r="I403" s="29" t="s">
        <v>597</v>
      </c>
      <c r="J403" s="32" t="s">
        <v>598</v>
      </c>
      <c r="K403" s="29" t="s">
        <v>599</v>
      </c>
      <c r="L403" s="29" t="s">
        <v>819</v>
      </c>
      <c r="M403" s="33">
        <v>-73.081</v>
      </c>
      <c r="N403" s="33">
        <v>-4.447</v>
      </c>
      <c r="O403" s="34" t="s">
        <v>601</v>
      </c>
      <c r="P403" s="32" t="s">
        <v>602</v>
      </c>
      <c r="Q403" s="35">
        <v>14.0</v>
      </c>
      <c r="R403" s="35">
        <v>7.0</v>
      </c>
      <c r="S403" s="36">
        <v>2.0</v>
      </c>
      <c r="T403" s="36">
        <v>6.0</v>
      </c>
      <c r="U403" s="36">
        <v>1.4142</v>
      </c>
      <c r="V403" s="36">
        <v>2.4495</v>
      </c>
      <c r="W403" s="37" t="s">
        <v>872</v>
      </c>
      <c r="X403" s="31">
        <v>10.5</v>
      </c>
      <c r="Y403" s="36">
        <v>-1.0947136482524522</v>
      </c>
      <c r="Z403" s="36">
        <v>0.05952332392857143</v>
      </c>
      <c r="AA403" s="29" t="s">
        <v>820</v>
      </c>
      <c r="AB403" s="31">
        <v>5.82603502274</v>
      </c>
      <c r="AC403" s="38">
        <v>2161.0</v>
      </c>
    </row>
    <row r="404" ht="14.25" customHeight="1">
      <c r="A404" s="29" t="s">
        <v>129</v>
      </c>
      <c r="B404" s="29">
        <v>50.0</v>
      </c>
      <c r="C404" s="29" t="s">
        <v>593</v>
      </c>
      <c r="D404" s="29" t="s">
        <v>868</v>
      </c>
      <c r="E404" s="29">
        <v>139.0</v>
      </c>
      <c r="F404" s="30" t="s">
        <v>869</v>
      </c>
      <c r="G404" s="29" t="s">
        <v>607</v>
      </c>
      <c r="H404" s="31">
        <v>1.24</v>
      </c>
      <c r="I404" s="29" t="s">
        <v>597</v>
      </c>
      <c r="J404" s="32" t="s">
        <v>598</v>
      </c>
      <c r="K404" s="29" t="s">
        <v>599</v>
      </c>
      <c r="L404" s="29" t="s">
        <v>819</v>
      </c>
      <c r="M404" s="33">
        <v>-73.007</v>
      </c>
      <c r="N404" s="33">
        <v>-4.473</v>
      </c>
      <c r="O404" s="34" t="s">
        <v>601</v>
      </c>
      <c r="P404" s="32" t="s">
        <v>602</v>
      </c>
      <c r="Q404" s="35">
        <v>3.0</v>
      </c>
      <c r="R404" s="35">
        <v>7.0</v>
      </c>
      <c r="S404" s="36">
        <v>3.0</v>
      </c>
      <c r="T404" s="36">
        <v>6.0</v>
      </c>
      <c r="U404" s="36">
        <v>1.7321</v>
      </c>
      <c r="V404" s="36">
        <v>2.4495</v>
      </c>
      <c r="W404" s="37" t="s">
        <v>872</v>
      </c>
      <c r="X404" s="31">
        <v>22.0</v>
      </c>
      <c r="Y404" s="36">
        <v>-0.6905463988598879</v>
      </c>
      <c r="Z404" s="36">
        <v>0.1349271458068783</v>
      </c>
      <c r="AA404" s="29" t="s">
        <v>820</v>
      </c>
      <c r="AB404" s="31">
        <v>5.82603502274</v>
      </c>
      <c r="AC404" s="38">
        <v>2514.0</v>
      </c>
    </row>
    <row r="405" ht="14.25" customHeight="1">
      <c r="A405" s="29" t="s">
        <v>129</v>
      </c>
      <c r="B405" s="29">
        <v>50.0</v>
      </c>
      <c r="C405" s="29" t="s">
        <v>593</v>
      </c>
      <c r="D405" s="29" t="s">
        <v>875</v>
      </c>
      <c r="E405" s="29">
        <v>154.0</v>
      </c>
      <c r="F405" s="30" t="s">
        <v>876</v>
      </c>
      <c r="G405" s="29" t="s">
        <v>877</v>
      </c>
      <c r="H405" s="31">
        <v>1.32</v>
      </c>
      <c r="I405" s="29" t="s">
        <v>597</v>
      </c>
      <c r="J405" s="32" t="s">
        <v>598</v>
      </c>
      <c r="K405" s="29" t="s">
        <v>599</v>
      </c>
      <c r="L405" s="29" t="s">
        <v>819</v>
      </c>
      <c r="M405" s="33">
        <v>-73.198</v>
      </c>
      <c r="N405" s="33">
        <v>-4.337</v>
      </c>
      <c r="O405" s="34" t="s">
        <v>601</v>
      </c>
      <c r="P405" s="32" t="s">
        <v>602</v>
      </c>
      <c r="Q405" s="35">
        <v>4.0</v>
      </c>
      <c r="R405" s="35">
        <v>7.0</v>
      </c>
      <c r="S405" s="36">
        <v>0.0</v>
      </c>
      <c r="T405" s="36">
        <v>59.0</v>
      </c>
      <c r="U405" s="36">
        <v>0.0</v>
      </c>
      <c r="V405" s="36">
        <v>7.6811</v>
      </c>
      <c r="W405" s="37" t="s">
        <v>872</v>
      </c>
      <c r="X405" s="31">
        <v>1.5</v>
      </c>
      <c r="Y405" s="36">
        <v>-6.643789733147672</v>
      </c>
      <c r="Z405" s="36">
        <v>0.2527007938184349</v>
      </c>
      <c r="AA405" s="29" t="s">
        <v>820</v>
      </c>
      <c r="AB405" s="31">
        <v>5.82603502274</v>
      </c>
      <c r="AC405" s="38">
        <v>1114.0</v>
      </c>
    </row>
    <row r="406" ht="14.25" customHeight="1">
      <c r="A406" s="29" t="s">
        <v>129</v>
      </c>
      <c r="B406" s="29">
        <v>50.0</v>
      </c>
      <c r="C406" s="29" t="s">
        <v>593</v>
      </c>
      <c r="D406" s="29" t="s">
        <v>875</v>
      </c>
      <c r="E406" s="29">
        <v>154.0</v>
      </c>
      <c r="F406" s="30" t="s">
        <v>876</v>
      </c>
      <c r="G406" s="29" t="s">
        <v>877</v>
      </c>
      <c r="H406" s="31">
        <v>1.32</v>
      </c>
      <c r="I406" s="29" t="s">
        <v>597</v>
      </c>
      <c r="J406" s="32" t="s">
        <v>598</v>
      </c>
      <c r="K406" s="29" t="s">
        <v>599</v>
      </c>
      <c r="L406" s="29" t="s">
        <v>819</v>
      </c>
      <c r="M406" s="33">
        <v>-73.081</v>
      </c>
      <c r="N406" s="33">
        <v>-4.447</v>
      </c>
      <c r="O406" s="34" t="s">
        <v>601</v>
      </c>
      <c r="P406" s="32" t="s">
        <v>602</v>
      </c>
      <c r="Q406" s="35">
        <v>14.0</v>
      </c>
      <c r="R406" s="35">
        <v>7.0</v>
      </c>
      <c r="S406" s="36">
        <v>29.0</v>
      </c>
      <c r="T406" s="36">
        <v>59.0</v>
      </c>
      <c r="U406" s="36">
        <v>5.3852</v>
      </c>
      <c r="V406" s="36">
        <v>7.6811</v>
      </c>
      <c r="W406" s="37" t="s">
        <v>872</v>
      </c>
      <c r="X406" s="31">
        <v>10.5</v>
      </c>
      <c r="Y406" s="36">
        <v>-0.7075960504185044</v>
      </c>
      <c r="Z406" s="36">
        <v>0.004884365044336635</v>
      </c>
      <c r="AA406" s="29" t="s">
        <v>820</v>
      </c>
      <c r="AB406" s="31">
        <v>5.82603502274</v>
      </c>
      <c r="AC406" s="38">
        <v>2161.0</v>
      </c>
    </row>
    <row r="407" ht="14.25" customHeight="1">
      <c r="A407" s="29" t="s">
        <v>129</v>
      </c>
      <c r="B407" s="29">
        <v>50.0</v>
      </c>
      <c r="C407" s="29" t="s">
        <v>593</v>
      </c>
      <c r="D407" s="29" t="s">
        <v>875</v>
      </c>
      <c r="E407" s="29">
        <v>154.0</v>
      </c>
      <c r="F407" s="30" t="s">
        <v>876</v>
      </c>
      <c r="G407" s="29" t="s">
        <v>877</v>
      </c>
      <c r="H407" s="31">
        <v>1.32</v>
      </c>
      <c r="I407" s="29" t="s">
        <v>597</v>
      </c>
      <c r="J407" s="32" t="s">
        <v>598</v>
      </c>
      <c r="K407" s="29" t="s">
        <v>599</v>
      </c>
      <c r="L407" s="29" t="s">
        <v>819</v>
      </c>
      <c r="M407" s="33">
        <v>-73.007</v>
      </c>
      <c r="N407" s="33">
        <v>-4.473</v>
      </c>
      <c r="O407" s="34" t="s">
        <v>601</v>
      </c>
      <c r="P407" s="32" t="s">
        <v>602</v>
      </c>
      <c r="Q407" s="35">
        <v>3.0</v>
      </c>
      <c r="R407" s="35">
        <v>7.0</v>
      </c>
      <c r="S407" s="36">
        <v>43.0</v>
      </c>
      <c r="T407" s="36">
        <v>59.0</v>
      </c>
      <c r="U407" s="36">
        <v>6.5574</v>
      </c>
      <c r="V407" s="36">
        <v>7.6811</v>
      </c>
      <c r="W407" s="37" t="s">
        <v>872</v>
      </c>
      <c r="X407" s="31">
        <v>22.0</v>
      </c>
      <c r="Y407" s="36">
        <v>-0.314552342789574</v>
      </c>
      <c r="Z407" s="36">
        <v>0.010173125565204545</v>
      </c>
      <c r="AA407" s="29" t="s">
        <v>820</v>
      </c>
      <c r="AB407" s="31">
        <v>5.82603502274</v>
      </c>
      <c r="AC407" s="38">
        <v>2514.0</v>
      </c>
    </row>
    <row r="408" ht="14.25" customHeight="1">
      <c r="A408" s="29" t="s">
        <v>129</v>
      </c>
      <c r="B408" s="29">
        <v>50.0</v>
      </c>
      <c r="C408" s="29" t="s">
        <v>593</v>
      </c>
      <c r="D408" s="29" t="s">
        <v>882</v>
      </c>
      <c r="E408" s="29">
        <v>192.0</v>
      </c>
      <c r="F408" s="30" t="s">
        <v>883</v>
      </c>
      <c r="G408" s="29" t="s">
        <v>596</v>
      </c>
      <c r="H408" s="31">
        <v>0.69</v>
      </c>
      <c r="I408" s="29" t="s">
        <v>597</v>
      </c>
      <c r="J408" s="32" t="s">
        <v>598</v>
      </c>
      <c r="K408" s="29" t="s">
        <v>599</v>
      </c>
      <c r="L408" s="29" t="s">
        <v>819</v>
      </c>
      <c r="M408" s="33">
        <v>-73.198</v>
      </c>
      <c r="N408" s="33">
        <v>-4.337</v>
      </c>
      <c r="O408" s="34" t="s">
        <v>601</v>
      </c>
      <c r="P408" s="32" t="s">
        <v>602</v>
      </c>
      <c r="Q408" s="35">
        <v>4.0</v>
      </c>
      <c r="R408" s="35">
        <v>7.0</v>
      </c>
      <c r="S408" s="36">
        <v>8.0</v>
      </c>
      <c r="T408" s="36">
        <v>3.0</v>
      </c>
      <c r="U408" s="36">
        <v>2.8284</v>
      </c>
      <c r="V408" s="36">
        <v>1.7321</v>
      </c>
      <c r="W408" s="37" t="s">
        <v>872</v>
      </c>
      <c r="X408" s="31">
        <v>1.5</v>
      </c>
      <c r="Y408" s="36">
        <v>0.9813174150912276</v>
      </c>
      <c r="Z408" s="36">
        <v>0.07887115316468253</v>
      </c>
      <c r="AA408" s="29" t="s">
        <v>820</v>
      </c>
      <c r="AB408" s="31">
        <v>5.82603502274</v>
      </c>
      <c r="AC408" s="38">
        <v>1114.0</v>
      </c>
    </row>
    <row r="409" ht="14.25" customHeight="1">
      <c r="A409" s="29" t="s">
        <v>129</v>
      </c>
      <c r="B409" s="29">
        <v>50.0</v>
      </c>
      <c r="C409" s="29" t="s">
        <v>593</v>
      </c>
      <c r="D409" s="29" t="s">
        <v>882</v>
      </c>
      <c r="E409" s="29">
        <v>192.0</v>
      </c>
      <c r="F409" s="30" t="s">
        <v>883</v>
      </c>
      <c r="G409" s="29" t="s">
        <v>596</v>
      </c>
      <c r="H409" s="31">
        <v>0.69</v>
      </c>
      <c r="I409" s="29" t="s">
        <v>597</v>
      </c>
      <c r="J409" s="32" t="s">
        <v>598</v>
      </c>
      <c r="K409" s="29" t="s">
        <v>599</v>
      </c>
      <c r="L409" s="29" t="s">
        <v>819</v>
      </c>
      <c r="M409" s="33">
        <v>-73.081</v>
      </c>
      <c r="N409" s="33">
        <v>-4.447</v>
      </c>
      <c r="O409" s="34" t="s">
        <v>601</v>
      </c>
      <c r="P409" s="32" t="s">
        <v>602</v>
      </c>
      <c r="Q409" s="35">
        <v>14.0</v>
      </c>
      <c r="R409" s="35">
        <v>7.0</v>
      </c>
      <c r="S409" s="36">
        <v>8.0</v>
      </c>
      <c r="T409" s="36">
        <v>3.0</v>
      </c>
      <c r="U409" s="36">
        <v>2.8284</v>
      </c>
      <c r="V409" s="36">
        <v>1.7321</v>
      </c>
      <c r="W409" s="37" t="s">
        <v>872</v>
      </c>
      <c r="X409" s="31">
        <v>10.5</v>
      </c>
      <c r="Y409" s="36">
        <v>0.9813174150912276</v>
      </c>
      <c r="Z409" s="36">
        <v>0.05655015271825396</v>
      </c>
      <c r="AA409" s="29" t="s">
        <v>820</v>
      </c>
      <c r="AB409" s="31">
        <v>5.82603502274</v>
      </c>
      <c r="AC409" s="38">
        <v>2161.0</v>
      </c>
    </row>
    <row r="410" ht="14.25" customHeight="1">
      <c r="A410" s="29" t="s">
        <v>129</v>
      </c>
      <c r="B410" s="29">
        <v>50.0</v>
      </c>
      <c r="C410" s="29" t="s">
        <v>593</v>
      </c>
      <c r="D410" s="29" t="s">
        <v>882</v>
      </c>
      <c r="E410" s="29">
        <v>192.0</v>
      </c>
      <c r="F410" s="30" t="s">
        <v>883</v>
      </c>
      <c r="G410" s="29" t="s">
        <v>596</v>
      </c>
      <c r="H410" s="31">
        <v>0.69</v>
      </c>
      <c r="I410" s="29" t="s">
        <v>597</v>
      </c>
      <c r="J410" s="32" t="s">
        <v>598</v>
      </c>
      <c r="K410" s="29" t="s">
        <v>599</v>
      </c>
      <c r="L410" s="29" t="s">
        <v>819</v>
      </c>
      <c r="M410" s="33">
        <v>-73.007</v>
      </c>
      <c r="N410" s="33">
        <v>-4.473</v>
      </c>
      <c r="O410" s="34" t="s">
        <v>601</v>
      </c>
      <c r="P410" s="32" t="s">
        <v>602</v>
      </c>
      <c r="Q410" s="35">
        <v>3.0</v>
      </c>
      <c r="R410" s="35">
        <v>7.0</v>
      </c>
      <c r="S410" s="36">
        <v>5.0</v>
      </c>
      <c r="T410" s="36">
        <v>3.0</v>
      </c>
      <c r="U410" s="36">
        <v>2.2361</v>
      </c>
      <c r="V410" s="36">
        <v>1.7321</v>
      </c>
      <c r="W410" s="37" t="s">
        <v>872</v>
      </c>
      <c r="X410" s="31">
        <v>22.0</v>
      </c>
      <c r="Y410" s="36">
        <v>0.5116065687490621</v>
      </c>
      <c r="Z410" s="36">
        <v>0.11429032867301588</v>
      </c>
      <c r="AA410" s="29" t="s">
        <v>820</v>
      </c>
      <c r="AB410" s="31">
        <v>5.82603502274</v>
      </c>
      <c r="AC410" s="38">
        <v>2514.0</v>
      </c>
    </row>
    <row r="411" ht="14.25" customHeight="1">
      <c r="A411" s="29" t="s">
        <v>129</v>
      </c>
      <c r="B411" s="29">
        <v>50.0</v>
      </c>
      <c r="C411" s="29" t="s">
        <v>593</v>
      </c>
      <c r="D411" s="29" t="s">
        <v>849</v>
      </c>
      <c r="E411" s="29">
        <v>193.0</v>
      </c>
      <c r="F411" s="30" t="s">
        <v>850</v>
      </c>
      <c r="G411" s="29" t="s">
        <v>596</v>
      </c>
      <c r="H411" s="31">
        <v>1.03</v>
      </c>
      <c r="I411" s="29" t="s">
        <v>597</v>
      </c>
      <c r="J411" s="32" t="s">
        <v>598</v>
      </c>
      <c r="K411" s="29" t="s">
        <v>599</v>
      </c>
      <c r="L411" s="29" t="s">
        <v>819</v>
      </c>
      <c r="M411" s="33">
        <v>-73.198</v>
      </c>
      <c r="N411" s="33">
        <v>-4.337</v>
      </c>
      <c r="O411" s="34" t="s">
        <v>601</v>
      </c>
      <c r="P411" s="32" t="s">
        <v>602</v>
      </c>
      <c r="Q411" s="35">
        <v>4.0</v>
      </c>
      <c r="R411" s="35">
        <v>7.0</v>
      </c>
      <c r="S411" s="36">
        <v>6.0</v>
      </c>
      <c r="T411" s="36">
        <v>10.0</v>
      </c>
      <c r="U411" s="36">
        <v>2.4495</v>
      </c>
      <c r="V411" s="36">
        <v>3.1623</v>
      </c>
      <c r="W411" s="37" t="s">
        <v>872</v>
      </c>
      <c r="X411" s="31">
        <v>1.5</v>
      </c>
      <c r="Y411" s="36">
        <v>-0.5086578362272773</v>
      </c>
      <c r="Z411" s="36">
        <v>0.055952931753571425</v>
      </c>
      <c r="AA411" s="29" t="s">
        <v>820</v>
      </c>
      <c r="AB411" s="31">
        <v>5.82603502274</v>
      </c>
      <c r="AC411" s="38">
        <v>1114.0</v>
      </c>
    </row>
    <row r="412" ht="14.25" customHeight="1">
      <c r="A412" s="29" t="s">
        <v>129</v>
      </c>
      <c r="B412" s="29">
        <v>50.0</v>
      </c>
      <c r="C412" s="29" t="s">
        <v>593</v>
      </c>
      <c r="D412" s="29" t="s">
        <v>849</v>
      </c>
      <c r="E412" s="29">
        <v>193.0</v>
      </c>
      <c r="F412" s="30" t="s">
        <v>850</v>
      </c>
      <c r="G412" s="29" t="s">
        <v>596</v>
      </c>
      <c r="H412" s="31">
        <v>1.03</v>
      </c>
      <c r="I412" s="29" t="s">
        <v>597</v>
      </c>
      <c r="J412" s="32" t="s">
        <v>598</v>
      </c>
      <c r="K412" s="29" t="s">
        <v>599</v>
      </c>
      <c r="L412" s="29" t="s">
        <v>819</v>
      </c>
      <c r="M412" s="33">
        <v>-73.081</v>
      </c>
      <c r="N412" s="33">
        <v>-4.447</v>
      </c>
      <c r="O412" s="34" t="s">
        <v>601</v>
      </c>
      <c r="P412" s="32" t="s">
        <v>602</v>
      </c>
      <c r="Q412" s="35">
        <v>14.0</v>
      </c>
      <c r="R412" s="35">
        <v>7.0</v>
      </c>
      <c r="S412" s="36">
        <v>10.0</v>
      </c>
      <c r="T412" s="36">
        <v>10.0</v>
      </c>
      <c r="U412" s="36">
        <v>3.1623</v>
      </c>
      <c r="V412" s="36">
        <v>3.1623</v>
      </c>
      <c r="W412" s="37" t="s">
        <v>872</v>
      </c>
      <c r="X412" s="31">
        <v>10.5</v>
      </c>
      <c r="Y412" s="36">
        <v>0.001301236357971734</v>
      </c>
      <c r="Z412" s="36">
        <v>0.021428874192857144</v>
      </c>
      <c r="AA412" s="29" t="s">
        <v>820</v>
      </c>
      <c r="AB412" s="31">
        <v>5.82603502274</v>
      </c>
      <c r="AC412" s="38">
        <v>2161.0</v>
      </c>
    </row>
    <row r="413" ht="14.25" customHeight="1">
      <c r="A413" s="29" t="s">
        <v>129</v>
      </c>
      <c r="B413" s="29">
        <v>50.0</v>
      </c>
      <c r="C413" s="29" t="s">
        <v>593</v>
      </c>
      <c r="D413" s="29" t="s">
        <v>849</v>
      </c>
      <c r="E413" s="29">
        <v>193.0</v>
      </c>
      <c r="F413" s="30" t="s">
        <v>850</v>
      </c>
      <c r="G413" s="29" t="s">
        <v>596</v>
      </c>
      <c r="H413" s="31">
        <v>1.03</v>
      </c>
      <c r="I413" s="29" t="s">
        <v>597</v>
      </c>
      <c r="J413" s="32" t="s">
        <v>598</v>
      </c>
      <c r="K413" s="29" t="s">
        <v>599</v>
      </c>
      <c r="L413" s="29" t="s">
        <v>819</v>
      </c>
      <c r="M413" s="33">
        <v>-73.007</v>
      </c>
      <c r="N413" s="33">
        <v>-4.473</v>
      </c>
      <c r="O413" s="34" t="s">
        <v>601</v>
      </c>
      <c r="P413" s="32" t="s">
        <v>602</v>
      </c>
      <c r="Q413" s="35">
        <v>3.0</v>
      </c>
      <c r="R413" s="35">
        <v>7.0</v>
      </c>
      <c r="S413" s="36">
        <v>14.0</v>
      </c>
      <c r="T413" s="36">
        <v>10.0</v>
      </c>
      <c r="U413" s="36">
        <v>3.7417</v>
      </c>
      <c r="V413" s="36">
        <v>3.1623</v>
      </c>
      <c r="W413" s="37" t="s">
        <v>872</v>
      </c>
      <c r="X413" s="31">
        <v>22.0</v>
      </c>
      <c r="Y413" s="36">
        <v>0.337401863907647</v>
      </c>
      <c r="Z413" s="36">
        <v>0.03809598226802721</v>
      </c>
      <c r="AA413" s="29" t="s">
        <v>820</v>
      </c>
      <c r="AB413" s="31">
        <v>5.82603502274</v>
      </c>
      <c r="AC413" s="38">
        <v>2514.0</v>
      </c>
    </row>
    <row r="414" ht="14.25" customHeight="1">
      <c r="A414" s="29" t="s">
        <v>129</v>
      </c>
      <c r="B414" s="29">
        <v>51.0</v>
      </c>
      <c r="C414" s="29" t="s">
        <v>593</v>
      </c>
      <c r="D414" s="29" t="s">
        <v>884</v>
      </c>
      <c r="E414" s="29">
        <v>7.0</v>
      </c>
      <c r="F414" s="30" t="s">
        <v>885</v>
      </c>
      <c r="G414" s="29" t="s">
        <v>886</v>
      </c>
      <c r="H414" s="31">
        <v>0.49</v>
      </c>
      <c r="I414" s="29" t="s">
        <v>597</v>
      </c>
      <c r="J414" s="32" t="s">
        <v>598</v>
      </c>
      <c r="K414" s="29" t="s">
        <v>599</v>
      </c>
      <c r="L414" s="29" t="s">
        <v>819</v>
      </c>
      <c r="M414" s="33">
        <v>-75.096</v>
      </c>
      <c r="N414" s="33">
        <v>-4.815</v>
      </c>
      <c r="O414" s="34" t="s">
        <v>601</v>
      </c>
      <c r="P414" s="32" t="s">
        <v>602</v>
      </c>
      <c r="Q414" s="35">
        <v>6.0</v>
      </c>
      <c r="R414" s="35">
        <v>4.0</v>
      </c>
      <c r="S414" s="36">
        <v>6.3</v>
      </c>
      <c r="T414" s="36">
        <v>7.1</v>
      </c>
      <c r="U414" s="36">
        <v>2.51</v>
      </c>
      <c r="V414" s="36">
        <v>2.6646</v>
      </c>
      <c r="W414" s="37" t="s">
        <v>872</v>
      </c>
      <c r="X414" s="31">
        <v>2.25</v>
      </c>
      <c r="Y414" s="36">
        <v>-0.1180787990203372</v>
      </c>
      <c r="Z414" s="36">
        <v>0.06166717599322075</v>
      </c>
      <c r="AA414" s="29" t="s">
        <v>820</v>
      </c>
      <c r="AB414" s="31">
        <v>0.572647988796</v>
      </c>
      <c r="AC414" s="38">
        <v>1045.0</v>
      </c>
    </row>
    <row r="415" ht="14.25" customHeight="1">
      <c r="A415" s="29" t="s">
        <v>129</v>
      </c>
      <c r="B415" s="29">
        <v>51.0</v>
      </c>
      <c r="C415" s="29" t="s">
        <v>593</v>
      </c>
      <c r="D415" s="29" t="s">
        <v>887</v>
      </c>
      <c r="E415" s="29">
        <v>8.0</v>
      </c>
      <c r="F415" s="30" t="s">
        <v>888</v>
      </c>
      <c r="G415" s="29" t="s">
        <v>889</v>
      </c>
      <c r="H415" s="31">
        <v>1.24</v>
      </c>
      <c r="I415" s="29" t="s">
        <v>657</v>
      </c>
      <c r="J415" s="32" t="s">
        <v>598</v>
      </c>
      <c r="K415" s="29" t="s">
        <v>599</v>
      </c>
      <c r="L415" s="29" t="s">
        <v>819</v>
      </c>
      <c r="M415" s="33">
        <v>-75.096</v>
      </c>
      <c r="N415" s="33">
        <v>-4.815</v>
      </c>
      <c r="O415" s="34" t="s">
        <v>601</v>
      </c>
      <c r="P415" s="32" t="s">
        <v>602</v>
      </c>
      <c r="Q415" s="35">
        <v>5.0</v>
      </c>
      <c r="R415" s="35">
        <v>4.0</v>
      </c>
      <c r="S415" s="36">
        <v>8.24</v>
      </c>
      <c r="T415" s="36">
        <v>5.7</v>
      </c>
      <c r="U415" s="36">
        <v>2.8705</v>
      </c>
      <c r="V415" s="36">
        <v>2.3875</v>
      </c>
      <c r="W415" s="37" t="s">
        <v>872</v>
      </c>
      <c r="X415" s="31">
        <v>2.25</v>
      </c>
      <c r="Y415" s="36">
        <v>0.3694344766677852</v>
      </c>
      <c r="Z415" s="36">
        <v>0.0681320193216078</v>
      </c>
      <c r="AA415" s="29" t="s">
        <v>820</v>
      </c>
      <c r="AB415" s="31">
        <v>0.572647988796</v>
      </c>
      <c r="AC415" s="38">
        <v>1045.0</v>
      </c>
    </row>
    <row r="416" ht="14.25" customHeight="1">
      <c r="A416" s="29" t="s">
        <v>129</v>
      </c>
      <c r="B416" s="29">
        <v>51.0</v>
      </c>
      <c r="C416" s="29" t="s">
        <v>593</v>
      </c>
      <c r="D416" s="29" t="s">
        <v>890</v>
      </c>
      <c r="E416" s="29">
        <v>12.0</v>
      </c>
      <c r="F416" s="30" t="s">
        <v>891</v>
      </c>
      <c r="G416" s="29" t="s">
        <v>886</v>
      </c>
      <c r="H416" s="31">
        <v>1.13</v>
      </c>
      <c r="I416" s="29" t="s">
        <v>597</v>
      </c>
      <c r="J416" s="32" t="s">
        <v>598</v>
      </c>
      <c r="K416" s="29" t="s">
        <v>599</v>
      </c>
      <c r="L416" s="29" t="s">
        <v>819</v>
      </c>
      <c r="M416" s="33">
        <v>-75.096</v>
      </c>
      <c r="N416" s="33">
        <v>-4.815</v>
      </c>
      <c r="O416" s="34" t="s">
        <v>601</v>
      </c>
      <c r="P416" s="32" t="s">
        <v>602</v>
      </c>
      <c r="Q416" s="35">
        <v>6.0</v>
      </c>
      <c r="R416" s="35">
        <v>4.0</v>
      </c>
      <c r="S416" s="36">
        <v>3.4</v>
      </c>
      <c r="T416" s="36">
        <v>7.7</v>
      </c>
      <c r="U416" s="36">
        <v>1.8439</v>
      </c>
      <c r="V416" s="36">
        <v>2.7749</v>
      </c>
      <c r="W416" s="37" t="s">
        <v>872</v>
      </c>
      <c r="X416" s="31">
        <v>2.25</v>
      </c>
      <c r="Y416" s="36">
        <v>-0.8145004007409784</v>
      </c>
      <c r="Z416" s="36">
        <v>0.08148696276135638</v>
      </c>
      <c r="AA416" s="29" t="s">
        <v>820</v>
      </c>
      <c r="AB416" s="31">
        <v>0.572647988796</v>
      </c>
      <c r="AC416" s="38">
        <v>1045.0</v>
      </c>
    </row>
    <row r="417" ht="14.25" customHeight="1">
      <c r="A417" s="29" t="s">
        <v>129</v>
      </c>
      <c r="B417" s="29">
        <v>51.0</v>
      </c>
      <c r="C417" s="29" t="s">
        <v>593</v>
      </c>
      <c r="D417" s="29" t="s">
        <v>892</v>
      </c>
      <c r="E417" s="29">
        <v>14.0</v>
      </c>
      <c r="F417" s="30" t="s">
        <v>893</v>
      </c>
      <c r="G417" s="29" t="s">
        <v>894</v>
      </c>
      <c r="H417" s="31">
        <v>1.75</v>
      </c>
      <c r="I417" s="29" t="s">
        <v>657</v>
      </c>
      <c r="J417" s="32" t="s">
        <v>598</v>
      </c>
      <c r="K417" s="29" t="s">
        <v>599</v>
      </c>
      <c r="L417" s="29" t="s">
        <v>819</v>
      </c>
      <c r="M417" s="33">
        <v>-75.096</v>
      </c>
      <c r="N417" s="33">
        <v>-4.815</v>
      </c>
      <c r="O417" s="34" t="s">
        <v>641</v>
      </c>
      <c r="P417" s="32" t="s">
        <v>602</v>
      </c>
      <c r="Q417" s="35">
        <v>5.0</v>
      </c>
      <c r="R417" s="35">
        <v>4.0</v>
      </c>
      <c r="S417" s="36">
        <v>18.7</v>
      </c>
      <c r="T417" s="36">
        <v>15.0</v>
      </c>
      <c r="U417" s="36">
        <v>4.3243</v>
      </c>
      <c r="V417" s="36">
        <v>3.873</v>
      </c>
      <c r="W417" s="37" t="s">
        <v>872</v>
      </c>
      <c r="X417" s="31">
        <v>2.25</v>
      </c>
      <c r="Y417" s="36">
        <v>0.2215172295696256</v>
      </c>
      <c r="Z417" s="36">
        <v>0.027361751513912323</v>
      </c>
      <c r="AA417" s="29" t="s">
        <v>820</v>
      </c>
      <c r="AB417" s="31">
        <v>0.572647988796</v>
      </c>
      <c r="AC417" s="38">
        <v>1045.0</v>
      </c>
    </row>
    <row r="418" ht="14.25" customHeight="1">
      <c r="A418" s="29" t="s">
        <v>129</v>
      </c>
      <c r="B418" s="29">
        <v>51.0</v>
      </c>
      <c r="C418" s="29" t="s">
        <v>593</v>
      </c>
      <c r="D418" s="29" t="s">
        <v>895</v>
      </c>
      <c r="E418" s="29">
        <v>22.0</v>
      </c>
      <c r="F418" s="30" t="s">
        <v>896</v>
      </c>
      <c r="G418" s="29" t="s">
        <v>897</v>
      </c>
      <c r="H418" s="31">
        <v>2.42</v>
      </c>
      <c r="I418" s="29" t="s">
        <v>616</v>
      </c>
      <c r="J418" s="32" t="s">
        <v>598</v>
      </c>
      <c r="K418" s="29" t="s">
        <v>599</v>
      </c>
      <c r="L418" s="29" t="s">
        <v>819</v>
      </c>
      <c r="M418" s="33">
        <v>-75.096</v>
      </c>
      <c r="N418" s="33">
        <v>-4.815</v>
      </c>
      <c r="O418" s="34" t="s">
        <v>601</v>
      </c>
      <c r="P418" s="32" t="s">
        <v>602</v>
      </c>
      <c r="Q418" s="35">
        <v>5.0</v>
      </c>
      <c r="R418" s="35">
        <v>4.0</v>
      </c>
      <c r="S418" s="36">
        <v>0.55</v>
      </c>
      <c r="T418" s="36">
        <v>2.5</v>
      </c>
      <c r="U418" s="36">
        <v>0.7416</v>
      </c>
      <c r="V418" s="36">
        <v>1.5811</v>
      </c>
      <c r="W418" s="37" t="s">
        <v>872</v>
      </c>
      <c r="X418" s="31">
        <v>2.25</v>
      </c>
      <c r="Y418" s="36">
        <v>-1.5082266179010613</v>
      </c>
      <c r="Z418" s="36">
        <v>0.4636119875735537</v>
      </c>
      <c r="AA418" s="29" t="s">
        <v>820</v>
      </c>
      <c r="AB418" s="31">
        <v>0.572647988796</v>
      </c>
      <c r="AC418" s="38">
        <v>1045.0</v>
      </c>
    </row>
    <row r="419" ht="14.25" customHeight="1">
      <c r="A419" s="29" t="s">
        <v>129</v>
      </c>
      <c r="B419" s="29">
        <v>51.0</v>
      </c>
      <c r="C419" s="29" t="s">
        <v>593</v>
      </c>
      <c r="D419" s="29" t="s">
        <v>898</v>
      </c>
      <c r="E419" s="29">
        <v>56.0</v>
      </c>
      <c r="F419" s="30" t="s">
        <v>899</v>
      </c>
      <c r="G419" s="29" t="s">
        <v>894</v>
      </c>
      <c r="H419" s="31">
        <v>0.64</v>
      </c>
      <c r="I419" s="29" t="s">
        <v>620</v>
      </c>
      <c r="J419" s="32" t="s">
        <v>598</v>
      </c>
      <c r="K419" s="29" t="s">
        <v>599</v>
      </c>
      <c r="L419" s="29" t="s">
        <v>819</v>
      </c>
      <c r="M419" s="33">
        <v>-75.096</v>
      </c>
      <c r="N419" s="33">
        <v>-4.815</v>
      </c>
      <c r="O419" s="34" t="s">
        <v>601</v>
      </c>
      <c r="P419" s="32" t="s">
        <v>602</v>
      </c>
      <c r="Q419" s="35">
        <v>5.0</v>
      </c>
      <c r="R419" s="35">
        <v>4.0</v>
      </c>
      <c r="S419" s="36">
        <v>5.5</v>
      </c>
      <c r="T419" s="36">
        <v>6.7</v>
      </c>
      <c r="U419" s="36">
        <v>2.3452</v>
      </c>
      <c r="V419" s="36">
        <v>2.5884</v>
      </c>
      <c r="W419" s="37" t="s">
        <v>872</v>
      </c>
      <c r="X419" s="31">
        <v>2.25</v>
      </c>
      <c r="Y419" s="36">
        <v>-0.19577451656177075</v>
      </c>
      <c r="Z419" s="36">
        <v>0.07367579208910671</v>
      </c>
      <c r="AA419" s="29" t="s">
        <v>820</v>
      </c>
      <c r="AB419" s="31">
        <v>0.572647988796</v>
      </c>
      <c r="AC419" s="38">
        <v>1045.0</v>
      </c>
    </row>
    <row r="420" ht="14.25" customHeight="1">
      <c r="A420" s="29" t="s">
        <v>129</v>
      </c>
      <c r="B420" s="29">
        <v>51.0</v>
      </c>
      <c r="C420" s="29" t="s">
        <v>593</v>
      </c>
      <c r="D420" s="29" t="s">
        <v>900</v>
      </c>
      <c r="E420" s="29">
        <v>94.0</v>
      </c>
      <c r="F420" s="30" t="s">
        <v>901</v>
      </c>
      <c r="G420" s="29" t="s">
        <v>902</v>
      </c>
      <c r="H420" s="31">
        <v>0.157</v>
      </c>
      <c r="I420" s="29" t="s">
        <v>597</v>
      </c>
      <c r="J420" s="32" t="s">
        <v>598</v>
      </c>
      <c r="K420" s="29" t="s">
        <v>599</v>
      </c>
      <c r="L420" s="29" t="s">
        <v>819</v>
      </c>
      <c r="M420" s="33">
        <v>-75.096</v>
      </c>
      <c r="N420" s="33">
        <v>-4.815</v>
      </c>
      <c r="O420" s="34" t="s">
        <v>641</v>
      </c>
      <c r="P420" s="32" t="s">
        <v>602</v>
      </c>
      <c r="Q420" s="35">
        <v>5.0</v>
      </c>
      <c r="R420" s="35">
        <v>4.0</v>
      </c>
      <c r="S420" s="36">
        <v>18.8</v>
      </c>
      <c r="T420" s="36">
        <v>15.5</v>
      </c>
      <c r="U420" s="36">
        <v>4.3359</v>
      </c>
      <c r="V420" s="36">
        <v>3.937</v>
      </c>
      <c r="W420" s="37" t="s">
        <v>872</v>
      </c>
      <c r="X420" s="31">
        <v>2.25</v>
      </c>
      <c r="Y420" s="36">
        <v>0.19408979624605108</v>
      </c>
      <c r="Z420" s="36">
        <v>0.026767314174966042</v>
      </c>
      <c r="AA420" s="29" t="s">
        <v>820</v>
      </c>
      <c r="AB420" s="31">
        <v>0.572647988796</v>
      </c>
      <c r="AC420" s="38">
        <v>1045.0</v>
      </c>
    </row>
    <row r="421" ht="14.25" customHeight="1">
      <c r="A421" s="29" t="s">
        <v>129</v>
      </c>
      <c r="B421" s="29">
        <v>51.0</v>
      </c>
      <c r="C421" s="29" t="s">
        <v>593</v>
      </c>
      <c r="D421" s="29" t="s">
        <v>903</v>
      </c>
      <c r="E421" s="29">
        <v>117.0</v>
      </c>
      <c r="F421" s="30" t="s">
        <v>904</v>
      </c>
      <c r="G421" s="29" t="s">
        <v>607</v>
      </c>
      <c r="H421" s="31">
        <v>0.335</v>
      </c>
      <c r="I421" s="29" t="s">
        <v>597</v>
      </c>
      <c r="J421" s="32" t="s">
        <v>598</v>
      </c>
      <c r="K421" s="29" t="s">
        <v>599</v>
      </c>
      <c r="L421" s="29" t="s">
        <v>819</v>
      </c>
      <c r="M421" s="33">
        <v>-75.096</v>
      </c>
      <c r="N421" s="33">
        <v>-4.815</v>
      </c>
      <c r="O421" s="34" t="s">
        <v>601</v>
      </c>
      <c r="P421" s="32" t="s">
        <v>602</v>
      </c>
      <c r="Q421" s="35">
        <v>6.0</v>
      </c>
      <c r="R421" s="35">
        <v>4.0</v>
      </c>
      <c r="S421" s="36">
        <v>4.6</v>
      </c>
      <c r="T421" s="36">
        <v>14.0</v>
      </c>
      <c r="U421" s="36">
        <v>2.1448</v>
      </c>
      <c r="V421" s="36">
        <v>3.7417</v>
      </c>
      <c r="W421" s="37" t="s">
        <v>872</v>
      </c>
      <c r="X421" s="31">
        <v>2.25</v>
      </c>
      <c r="Y421" s="36">
        <v>-1.1090459952570788</v>
      </c>
      <c r="Z421" s="36">
        <v>0.05409074935254395</v>
      </c>
      <c r="AA421" s="29" t="s">
        <v>820</v>
      </c>
      <c r="AB421" s="31">
        <v>0.572647988796</v>
      </c>
      <c r="AC421" s="38">
        <v>1045.0</v>
      </c>
    </row>
    <row r="422" ht="14.25" customHeight="1">
      <c r="A422" s="29" t="s">
        <v>129</v>
      </c>
      <c r="B422" s="29">
        <v>51.0</v>
      </c>
      <c r="C422" s="29" t="s">
        <v>593</v>
      </c>
      <c r="D422" s="29" t="s">
        <v>905</v>
      </c>
      <c r="E422" s="29">
        <v>135.0</v>
      </c>
      <c r="F422" s="30" t="s">
        <v>906</v>
      </c>
      <c r="G422" s="29" t="s">
        <v>889</v>
      </c>
      <c r="H422" s="31">
        <v>1.24</v>
      </c>
      <c r="I422" s="29" t="s">
        <v>657</v>
      </c>
      <c r="J422" s="32" t="s">
        <v>598</v>
      </c>
      <c r="K422" s="29" t="s">
        <v>599</v>
      </c>
      <c r="L422" s="29" t="s">
        <v>819</v>
      </c>
      <c r="M422" s="33">
        <v>-75.096</v>
      </c>
      <c r="N422" s="33">
        <v>-4.815</v>
      </c>
      <c r="O422" s="34" t="s">
        <v>601</v>
      </c>
      <c r="P422" s="32" t="s">
        <v>602</v>
      </c>
      <c r="Q422" s="35">
        <v>5.0</v>
      </c>
      <c r="R422" s="35">
        <v>4.0</v>
      </c>
      <c r="S422" s="36">
        <v>3.3</v>
      </c>
      <c r="T422" s="36">
        <v>7.3</v>
      </c>
      <c r="U422" s="36">
        <v>1.8166</v>
      </c>
      <c r="V422" s="36">
        <v>2.7019</v>
      </c>
      <c r="W422" s="37" t="s">
        <v>872</v>
      </c>
      <c r="X422" s="31">
        <v>2.25</v>
      </c>
      <c r="Y422" s="36">
        <v>-0.7910756538264143</v>
      </c>
      <c r="Z422" s="36">
        <v>0.09485452570141789</v>
      </c>
      <c r="AA422" s="29" t="s">
        <v>820</v>
      </c>
      <c r="AB422" s="31">
        <v>0.572647988796</v>
      </c>
      <c r="AC422" s="38">
        <v>1045.0</v>
      </c>
    </row>
    <row r="423" ht="14.25" customHeight="1">
      <c r="A423" s="29" t="s">
        <v>129</v>
      </c>
      <c r="B423" s="29">
        <v>51.0</v>
      </c>
      <c r="C423" s="29" t="s">
        <v>593</v>
      </c>
      <c r="D423" s="29" t="s">
        <v>907</v>
      </c>
      <c r="E423" s="29">
        <v>160.0</v>
      </c>
      <c r="F423" s="30" t="s">
        <v>908</v>
      </c>
      <c r="G423" s="29" t="s">
        <v>909</v>
      </c>
      <c r="H423" s="31">
        <v>0.4</v>
      </c>
      <c r="I423" s="29" t="s">
        <v>597</v>
      </c>
      <c r="J423" s="32" t="s">
        <v>598</v>
      </c>
      <c r="K423" s="29" t="s">
        <v>599</v>
      </c>
      <c r="L423" s="29" t="s">
        <v>819</v>
      </c>
      <c r="M423" s="33">
        <v>-75.096</v>
      </c>
      <c r="N423" s="33">
        <v>-4.815</v>
      </c>
      <c r="O423" s="34" t="s">
        <v>601</v>
      </c>
      <c r="P423" s="32" t="s">
        <v>602</v>
      </c>
      <c r="Q423" s="35">
        <v>6.0</v>
      </c>
      <c r="R423" s="35">
        <v>4.0</v>
      </c>
      <c r="S423" s="36">
        <v>7.4</v>
      </c>
      <c r="T423" s="36">
        <v>5.1</v>
      </c>
      <c r="U423" s="36">
        <v>2.7203</v>
      </c>
      <c r="V423" s="36">
        <v>2.2583</v>
      </c>
      <c r="W423" s="37" t="s">
        <v>872</v>
      </c>
      <c r="X423" s="31">
        <v>2.25</v>
      </c>
      <c r="Y423" s="36">
        <v>0.3731364398303155</v>
      </c>
      <c r="Z423" s="36">
        <v>0.07154144843027588</v>
      </c>
      <c r="AA423" s="29" t="s">
        <v>820</v>
      </c>
      <c r="AB423" s="31">
        <v>0.572647988796</v>
      </c>
      <c r="AC423" s="38">
        <v>1045.0</v>
      </c>
    </row>
    <row r="424" ht="14.25" customHeight="1">
      <c r="A424" s="29" t="s">
        <v>129</v>
      </c>
      <c r="B424" s="29">
        <v>52.0</v>
      </c>
      <c r="C424" s="29" t="s">
        <v>593</v>
      </c>
      <c r="D424" s="29" t="s">
        <v>884</v>
      </c>
      <c r="E424" s="29">
        <v>7.0</v>
      </c>
      <c r="F424" s="30" t="s">
        <v>885</v>
      </c>
      <c r="G424" s="29" t="s">
        <v>886</v>
      </c>
      <c r="H424" s="31">
        <v>0.49</v>
      </c>
      <c r="I424" s="29" t="s">
        <v>597</v>
      </c>
      <c r="J424" s="32" t="s">
        <v>598</v>
      </c>
      <c r="K424" s="29" t="s">
        <v>599</v>
      </c>
      <c r="L424" s="29" t="s">
        <v>819</v>
      </c>
      <c r="M424" s="33">
        <v>-73.198</v>
      </c>
      <c r="N424" s="33">
        <v>-4.337</v>
      </c>
      <c r="O424" s="34" t="s">
        <v>601</v>
      </c>
      <c r="P424" s="32" t="s">
        <v>602</v>
      </c>
      <c r="Q424" s="35">
        <v>5.0</v>
      </c>
      <c r="R424" s="35">
        <v>6.0</v>
      </c>
      <c r="S424" s="36">
        <v>5.0</v>
      </c>
      <c r="T424" s="36">
        <v>6.4</v>
      </c>
      <c r="U424" s="36">
        <v>2.2361</v>
      </c>
      <c r="V424" s="36">
        <v>2.5298</v>
      </c>
      <c r="W424" s="37" t="s">
        <v>872</v>
      </c>
      <c r="X424" s="31">
        <v>2.5</v>
      </c>
      <c r="Y424" s="36">
        <v>-0.24519479861246454</v>
      </c>
      <c r="Z424" s="36">
        <v>0.06604235678026041</v>
      </c>
      <c r="AA424" s="29" t="s">
        <v>820</v>
      </c>
      <c r="AB424" s="31">
        <v>5.82603502274</v>
      </c>
      <c r="AC424" s="38">
        <v>1114.0</v>
      </c>
    </row>
    <row r="425" ht="14.25" customHeight="1">
      <c r="A425" s="29" t="s">
        <v>129</v>
      </c>
      <c r="B425" s="29">
        <v>52.0</v>
      </c>
      <c r="C425" s="29" t="s">
        <v>593</v>
      </c>
      <c r="D425" s="29" t="s">
        <v>887</v>
      </c>
      <c r="E425" s="29">
        <v>8.0</v>
      </c>
      <c r="F425" s="30" t="s">
        <v>888</v>
      </c>
      <c r="G425" s="29" t="s">
        <v>889</v>
      </c>
      <c r="H425" s="31">
        <v>1.24</v>
      </c>
      <c r="I425" s="29" t="s">
        <v>657</v>
      </c>
      <c r="J425" s="32" t="s">
        <v>598</v>
      </c>
      <c r="K425" s="29" t="s">
        <v>599</v>
      </c>
      <c r="L425" s="29" t="s">
        <v>819</v>
      </c>
      <c r="M425" s="33">
        <v>-73.198</v>
      </c>
      <c r="N425" s="33">
        <v>-4.337</v>
      </c>
      <c r="O425" s="34" t="s">
        <v>601</v>
      </c>
      <c r="P425" s="32" t="s">
        <v>602</v>
      </c>
      <c r="Q425" s="35">
        <v>4.0</v>
      </c>
      <c r="R425" s="35">
        <v>5.0</v>
      </c>
      <c r="S425" s="36">
        <v>1.5</v>
      </c>
      <c r="T425" s="36">
        <v>0.77</v>
      </c>
      <c r="U425" s="36">
        <v>1.2247</v>
      </c>
      <c r="V425" s="36">
        <v>0.8775</v>
      </c>
      <c r="W425" s="37" t="s">
        <v>872</v>
      </c>
      <c r="X425" s="31">
        <v>2.5</v>
      </c>
      <c r="Y425" s="36">
        <v>0.6674980517387022</v>
      </c>
      <c r="Z425" s="36">
        <v>0.42639682246603317</v>
      </c>
      <c r="AA425" s="29" t="s">
        <v>820</v>
      </c>
      <c r="AB425" s="31">
        <v>5.82603502274</v>
      </c>
      <c r="AC425" s="38">
        <v>1114.0</v>
      </c>
    </row>
    <row r="426" ht="14.25" customHeight="1">
      <c r="A426" s="29" t="s">
        <v>129</v>
      </c>
      <c r="B426" s="29">
        <v>52.0</v>
      </c>
      <c r="C426" s="29" t="s">
        <v>593</v>
      </c>
      <c r="D426" s="29" t="s">
        <v>890</v>
      </c>
      <c r="E426" s="29">
        <v>12.0</v>
      </c>
      <c r="F426" s="30" t="s">
        <v>891</v>
      </c>
      <c r="G426" s="29" t="s">
        <v>886</v>
      </c>
      <c r="H426" s="31">
        <v>1.13</v>
      </c>
      <c r="I426" s="29" t="s">
        <v>597</v>
      </c>
      <c r="J426" s="32" t="s">
        <v>598</v>
      </c>
      <c r="K426" s="29" t="s">
        <v>599</v>
      </c>
      <c r="L426" s="29" t="s">
        <v>819</v>
      </c>
      <c r="M426" s="33">
        <v>-73.198</v>
      </c>
      <c r="N426" s="33">
        <v>-4.337</v>
      </c>
      <c r="O426" s="34" t="s">
        <v>601</v>
      </c>
      <c r="P426" s="32" t="s">
        <v>602</v>
      </c>
      <c r="Q426" s="35">
        <v>5.0</v>
      </c>
      <c r="R426" s="35">
        <v>6.0</v>
      </c>
      <c r="S426" s="36">
        <v>5.13</v>
      </c>
      <c r="T426" s="36">
        <v>14.0</v>
      </c>
      <c r="U426" s="36">
        <v>2.265</v>
      </c>
      <c r="V426" s="36">
        <v>3.7417</v>
      </c>
      <c r="W426" s="37" t="s">
        <v>872</v>
      </c>
      <c r="X426" s="31">
        <v>2.5</v>
      </c>
      <c r="Y426" s="36">
        <v>-1.0004045252026557</v>
      </c>
      <c r="Z426" s="36">
        <v>0.0508930977733974</v>
      </c>
      <c r="AA426" s="29" t="s">
        <v>820</v>
      </c>
      <c r="AB426" s="31">
        <v>5.82603502274</v>
      </c>
      <c r="AC426" s="38">
        <v>1114.0</v>
      </c>
    </row>
    <row r="427" ht="14.25" customHeight="1">
      <c r="A427" s="29" t="s">
        <v>129</v>
      </c>
      <c r="B427" s="29">
        <v>52.0</v>
      </c>
      <c r="C427" s="29" t="s">
        <v>593</v>
      </c>
      <c r="D427" s="29" t="s">
        <v>892</v>
      </c>
      <c r="E427" s="29">
        <v>14.0</v>
      </c>
      <c r="F427" s="30" t="s">
        <v>893</v>
      </c>
      <c r="G427" s="29" t="s">
        <v>894</v>
      </c>
      <c r="H427" s="31">
        <v>1.75</v>
      </c>
      <c r="I427" s="29" t="s">
        <v>657</v>
      </c>
      <c r="J427" s="32" t="s">
        <v>598</v>
      </c>
      <c r="K427" s="29" t="s">
        <v>599</v>
      </c>
      <c r="L427" s="29" t="s">
        <v>819</v>
      </c>
      <c r="M427" s="33">
        <v>-73.198</v>
      </c>
      <c r="N427" s="33">
        <v>-4.337</v>
      </c>
      <c r="O427" s="34" t="s">
        <v>601</v>
      </c>
      <c r="P427" s="32" t="s">
        <v>602</v>
      </c>
      <c r="Q427" s="35">
        <v>4.0</v>
      </c>
      <c r="R427" s="35">
        <v>5.0</v>
      </c>
      <c r="S427" s="36">
        <v>5.5</v>
      </c>
      <c r="T427" s="36">
        <v>3.65</v>
      </c>
      <c r="U427" s="36">
        <v>2.3452</v>
      </c>
      <c r="V427" s="36">
        <v>1.9105</v>
      </c>
      <c r="W427" s="37" t="s">
        <v>872</v>
      </c>
      <c r="X427" s="31">
        <v>2.5</v>
      </c>
      <c r="Y427" s="36">
        <v>0.4108846613645285</v>
      </c>
      <c r="Z427" s="36">
        <v>0.10024891442296868</v>
      </c>
      <c r="AA427" s="29" t="s">
        <v>820</v>
      </c>
      <c r="AB427" s="31">
        <v>5.82603502274</v>
      </c>
      <c r="AC427" s="38">
        <v>1114.0</v>
      </c>
    </row>
    <row r="428" ht="14.25" customHeight="1">
      <c r="A428" s="29" t="s">
        <v>129</v>
      </c>
      <c r="B428" s="29">
        <v>52.0</v>
      </c>
      <c r="C428" s="29" t="s">
        <v>593</v>
      </c>
      <c r="D428" s="29" t="s">
        <v>895</v>
      </c>
      <c r="E428" s="29">
        <v>22.0</v>
      </c>
      <c r="F428" s="30" t="s">
        <v>896</v>
      </c>
      <c r="G428" s="29" t="s">
        <v>897</v>
      </c>
      <c r="H428" s="31">
        <v>2.42</v>
      </c>
      <c r="I428" s="29" t="s">
        <v>616</v>
      </c>
      <c r="J428" s="32" t="s">
        <v>598</v>
      </c>
      <c r="K428" s="29" t="s">
        <v>599</v>
      </c>
      <c r="L428" s="29" t="s">
        <v>819</v>
      </c>
      <c r="M428" s="33">
        <v>-73.198</v>
      </c>
      <c r="N428" s="33">
        <v>-4.337</v>
      </c>
      <c r="O428" s="34" t="s">
        <v>601</v>
      </c>
      <c r="P428" s="32" t="s">
        <v>602</v>
      </c>
      <c r="Q428" s="35">
        <v>4.0</v>
      </c>
      <c r="R428" s="35">
        <v>5.0</v>
      </c>
      <c r="S428" s="36">
        <v>0.5</v>
      </c>
      <c r="T428" s="36">
        <v>0.96</v>
      </c>
      <c r="U428" s="36">
        <v>0.7071</v>
      </c>
      <c r="V428" s="36">
        <v>0.9798</v>
      </c>
      <c r="W428" s="37" t="s">
        <v>872</v>
      </c>
      <c r="X428" s="31">
        <v>2.5</v>
      </c>
      <c r="Y428" s="36">
        <v>-0.6498283058411031</v>
      </c>
      <c r="Z428" s="36">
        <v>0.708325488125</v>
      </c>
      <c r="AA428" s="29" t="s">
        <v>820</v>
      </c>
      <c r="AB428" s="31">
        <v>5.82603502274</v>
      </c>
      <c r="AC428" s="38">
        <v>1114.0</v>
      </c>
    </row>
    <row r="429" ht="14.25" customHeight="1">
      <c r="A429" s="29" t="s">
        <v>129</v>
      </c>
      <c r="B429" s="29">
        <v>52.0</v>
      </c>
      <c r="C429" s="29" t="s">
        <v>593</v>
      </c>
      <c r="D429" s="29" t="s">
        <v>898</v>
      </c>
      <c r="E429" s="29">
        <v>56.0</v>
      </c>
      <c r="F429" s="30" t="s">
        <v>899</v>
      </c>
      <c r="G429" s="29" t="s">
        <v>894</v>
      </c>
      <c r="H429" s="31">
        <v>0.64</v>
      </c>
      <c r="I429" s="29" t="s">
        <v>620</v>
      </c>
      <c r="J429" s="32" t="s">
        <v>598</v>
      </c>
      <c r="K429" s="29" t="s">
        <v>599</v>
      </c>
      <c r="L429" s="29" t="s">
        <v>819</v>
      </c>
      <c r="M429" s="33">
        <v>-73.198</v>
      </c>
      <c r="N429" s="33">
        <v>-4.337</v>
      </c>
      <c r="O429" s="34" t="s">
        <v>601</v>
      </c>
      <c r="P429" s="32" t="s">
        <v>602</v>
      </c>
      <c r="Q429" s="35">
        <v>4.0</v>
      </c>
      <c r="R429" s="35">
        <v>5.0</v>
      </c>
      <c r="S429" s="36">
        <v>1.0</v>
      </c>
      <c r="T429" s="36">
        <v>0.6</v>
      </c>
      <c r="U429" s="36">
        <v>1.0</v>
      </c>
      <c r="V429" s="36">
        <v>0.7746</v>
      </c>
      <c r="W429" s="37" t="s">
        <v>872</v>
      </c>
      <c r="X429" s="31">
        <v>2.5</v>
      </c>
      <c r="Y429" s="36">
        <v>0.5116065687490621</v>
      </c>
      <c r="Z429" s="36">
        <v>0.5833362</v>
      </c>
      <c r="AA429" s="29" t="s">
        <v>820</v>
      </c>
      <c r="AB429" s="31">
        <v>5.82603502274</v>
      </c>
      <c r="AC429" s="38">
        <v>1114.0</v>
      </c>
    </row>
    <row r="430" ht="14.25" customHeight="1">
      <c r="A430" s="29" t="s">
        <v>129</v>
      </c>
      <c r="B430" s="29">
        <v>52.0</v>
      </c>
      <c r="C430" s="29" t="s">
        <v>593</v>
      </c>
      <c r="D430" s="29" t="s">
        <v>903</v>
      </c>
      <c r="E430" s="29">
        <v>117.0</v>
      </c>
      <c r="F430" s="30" t="s">
        <v>904</v>
      </c>
      <c r="G430" s="29" t="s">
        <v>607</v>
      </c>
      <c r="H430" s="31">
        <v>0.335</v>
      </c>
      <c r="I430" s="29" t="s">
        <v>597</v>
      </c>
      <c r="J430" s="32" t="s">
        <v>598</v>
      </c>
      <c r="K430" s="29" t="s">
        <v>599</v>
      </c>
      <c r="L430" s="29" t="s">
        <v>819</v>
      </c>
      <c r="M430" s="33">
        <v>-73.198</v>
      </c>
      <c r="N430" s="33">
        <v>-4.337</v>
      </c>
      <c r="O430" s="34" t="s">
        <v>601</v>
      </c>
      <c r="P430" s="32" t="s">
        <v>602</v>
      </c>
      <c r="Q430" s="35">
        <v>4.0</v>
      </c>
      <c r="R430" s="35">
        <v>5.0</v>
      </c>
      <c r="S430" s="36">
        <v>7.6</v>
      </c>
      <c r="T430" s="36">
        <v>7.2</v>
      </c>
      <c r="U430" s="36">
        <v>2.7568</v>
      </c>
      <c r="V430" s="36">
        <v>2.6833</v>
      </c>
      <c r="W430" s="37" t="s">
        <v>872</v>
      </c>
      <c r="X430" s="31">
        <v>2.5</v>
      </c>
      <c r="Y430" s="36">
        <v>0.05530001370090847</v>
      </c>
      <c r="Z430" s="36">
        <v>0.060672663452964154</v>
      </c>
      <c r="AA430" s="29" t="s">
        <v>820</v>
      </c>
      <c r="AB430" s="31">
        <v>5.82603502274</v>
      </c>
      <c r="AC430" s="38">
        <v>1114.0</v>
      </c>
    </row>
    <row r="431" ht="14.25" customHeight="1">
      <c r="A431" s="29" t="s">
        <v>129</v>
      </c>
      <c r="B431" s="29">
        <v>52.0</v>
      </c>
      <c r="C431" s="29" t="s">
        <v>593</v>
      </c>
      <c r="D431" s="29" t="s">
        <v>905</v>
      </c>
      <c r="E431" s="29">
        <v>135.0</v>
      </c>
      <c r="F431" s="30" t="s">
        <v>906</v>
      </c>
      <c r="G431" s="29" t="s">
        <v>889</v>
      </c>
      <c r="H431" s="31">
        <v>1.24</v>
      </c>
      <c r="I431" s="29" t="s">
        <v>657</v>
      </c>
      <c r="J431" s="32" t="s">
        <v>598</v>
      </c>
      <c r="K431" s="29" t="s">
        <v>599</v>
      </c>
      <c r="L431" s="29" t="s">
        <v>819</v>
      </c>
      <c r="M431" s="33">
        <v>-73.198</v>
      </c>
      <c r="N431" s="33">
        <v>-4.337</v>
      </c>
      <c r="O431" s="34" t="s">
        <v>601</v>
      </c>
      <c r="P431" s="32" t="s">
        <v>602</v>
      </c>
      <c r="Q431" s="35">
        <v>4.0</v>
      </c>
      <c r="R431" s="35">
        <v>5.0</v>
      </c>
      <c r="S431" s="36">
        <v>0.0</v>
      </c>
      <c r="T431" s="36">
        <v>0.4</v>
      </c>
      <c r="U431" s="36">
        <v>0.0</v>
      </c>
      <c r="V431" s="36">
        <v>0.6325</v>
      </c>
      <c r="W431" s="37" t="s">
        <v>872</v>
      </c>
      <c r="X431" s="31">
        <v>2.5</v>
      </c>
      <c r="Y431" s="36">
        <v>-6.643789733147672</v>
      </c>
      <c r="Z431" s="36">
        <v>0.5666805555555554</v>
      </c>
      <c r="AA431" s="29" t="s">
        <v>820</v>
      </c>
      <c r="AB431" s="31">
        <v>5.82603502274</v>
      </c>
      <c r="AC431" s="38">
        <v>1114.0</v>
      </c>
    </row>
    <row r="432" ht="14.25" customHeight="1">
      <c r="A432" s="29" t="s">
        <v>129</v>
      </c>
      <c r="B432" s="29">
        <v>52.0</v>
      </c>
      <c r="C432" s="29" t="s">
        <v>593</v>
      </c>
      <c r="D432" s="29" t="s">
        <v>907</v>
      </c>
      <c r="E432" s="29">
        <v>160.0</v>
      </c>
      <c r="F432" s="30" t="s">
        <v>908</v>
      </c>
      <c r="G432" s="29" t="s">
        <v>909</v>
      </c>
      <c r="H432" s="31">
        <v>0.4</v>
      </c>
      <c r="I432" s="29" t="s">
        <v>597</v>
      </c>
      <c r="J432" s="32" t="s">
        <v>598</v>
      </c>
      <c r="K432" s="29" t="s">
        <v>599</v>
      </c>
      <c r="L432" s="29" t="s">
        <v>819</v>
      </c>
      <c r="M432" s="33">
        <v>-73.198</v>
      </c>
      <c r="N432" s="33">
        <v>-4.337</v>
      </c>
      <c r="O432" s="34" t="s">
        <v>601</v>
      </c>
      <c r="P432" s="32" t="s">
        <v>602</v>
      </c>
      <c r="Q432" s="35">
        <v>5.0</v>
      </c>
      <c r="R432" s="35">
        <v>6.0</v>
      </c>
      <c r="S432" s="36">
        <v>13.1</v>
      </c>
      <c r="T432" s="36">
        <v>14.53</v>
      </c>
      <c r="U432" s="36">
        <v>3.6194</v>
      </c>
      <c r="V432" s="36">
        <v>3.8118</v>
      </c>
      <c r="W432" s="37" t="s">
        <v>872</v>
      </c>
      <c r="X432" s="31">
        <v>2.5</v>
      </c>
      <c r="Y432" s="36">
        <v>-0.10216007010895986</v>
      </c>
      <c r="Z432" s="36">
        <v>0.02673761931933318</v>
      </c>
      <c r="AA432" s="29" t="s">
        <v>820</v>
      </c>
      <c r="AB432" s="31">
        <v>5.82603502274</v>
      </c>
      <c r="AC432" s="38">
        <v>1114.0</v>
      </c>
    </row>
    <row r="433" ht="14.25" customHeight="1">
      <c r="A433" s="29" t="s">
        <v>53</v>
      </c>
      <c r="B433" s="29">
        <v>29.0</v>
      </c>
      <c r="C433" s="29" t="s">
        <v>608</v>
      </c>
      <c r="D433" s="29" t="s">
        <v>751</v>
      </c>
      <c r="E433" s="29">
        <v>97.0</v>
      </c>
      <c r="F433" s="30" t="s">
        <v>752</v>
      </c>
      <c r="G433" s="29" t="s">
        <v>753</v>
      </c>
      <c r="H433" s="31">
        <v>3940.03</v>
      </c>
      <c r="I433" s="29" t="s">
        <v>612</v>
      </c>
      <c r="J433" s="32" t="s">
        <v>714</v>
      </c>
      <c r="K433" s="29" t="s">
        <v>698</v>
      </c>
      <c r="L433" s="29" t="s">
        <v>910</v>
      </c>
      <c r="M433" s="33">
        <v>14.97</v>
      </c>
      <c r="N433" s="33">
        <v>2.68</v>
      </c>
      <c r="O433" s="34" t="s">
        <v>601</v>
      </c>
      <c r="P433" s="32" t="s">
        <v>700</v>
      </c>
      <c r="Q433" s="35">
        <v>6.0</v>
      </c>
      <c r="R433" s="35">
        <v>2.0</v>
      </c>
      <c r="S433" s="36">
        <v>0.1455</v>
      </c>
      <c r="T433" s="36">
        <v>6.328</v>
      </c>
      <c r="U433" s="36">
        <v>0.2057</v>
      </c>
      <c r="V433" s="36">
        <v>2.8367</v>
      </c>
      <c r="W433" s="37" t="s">
        <v>623</v>
      </c>
      <c r="X433" s="31">
        <v>12.5</v>
      </c>
      <c r="Y433" s="36">
        <v>-3.76140521409809</v>
      </c>
      <c r="Z433" s="36">
        <v>0.4335891765696346</v>
      </c>
      <c r="AA433" s="29" t="s">
        <v>820</v>
      </c>
      <c r="AB433" s="31">
        <v>2.97233295441</v>
      </c>
      <c r="AC433" s="38">
        <v>1948.0</v>
      </c>
    </row>
    <row r="434" ht="14.25" customHeight="1">
      <c r="A434" s="29" t="s">
        <v>53</v>
      </c>
      <c r="B434" s="29">
        <v>29.0</v>
      </c>
      <c r="C434" s="29" t="s">
        <v>608</v>
      </c>
      <c r="D434" s="29" t="s">
        <v>751</v>
      </c>
      <c r="E434" s="29">
        <v>97.0</v>
      </c>
      <c r="F434" s="30" t="s">
        <v>752</v>
      </c>
      <c r="G434" s="29" t="s">
        <v>753</v>
      </c>
      <c r="H434" s="31">
        <v>3940.03</v>
      </c>
      <c r="I434" s="29" t="s">
        <v>612</v>
      </c>
      <c r="J434" s="32" t="s">
        <v>714</v>
      </c>
      <c r="K434" s="29" t="s">
        <v>698</v>
      </c>
      <c r="L434" s="29" t="s">
        <v>910</v>
      </c>
      <c r="M434" s="33">
        <v>14.97</v>
      </c>
      <c r="N434" s="33">
        <v>2.68</v>
      </c>
      <c r="O434" s="34" t="s">
        <v>601</v>
      </c>
      <c r="P434" s="32" t="s">
        <v>700</v>
      </c>
      <c r="Q434" s="35">
        <v>10.0</v>
      </c>
      <c r="R434" s="35">
        <v>2.0</v>
      </c>
      <c r="S434" s="36">
        <v>0.2182</v>
      </c>
      <c r="T434" s="36">
        <v>6.328</v>
      </c>
      <c r="U434" s="36">
        <v>0.6546</v>
      </c>
      <c r="V434" s="36">
        <v>2.8367</v>
      </c>
      <c r="W434" s="37" t="s">
        <v>623</v>
      </c>
      <c r="X434" s="31">
        <v>17.5</v>
      </c>
      <c r="Y434" s="36">
        <v>-3.3598731120631937</v>
      </c>
      <c r="Z434" s="36">
        <v>1.0004763570863187</v>
      </c>
      <c r="AA434" s="29" t="s">
        <v>820</v>
      </c>
      <c r="AB434" s="31">
        <v>2.97233295441</v>
      </c>
      <c r="AC434" s="38">
        <v>1948.0</v>
      </c>
    </row>
    <row r="435" ht="14.25" customHeight="1">
      <c r="A435" s="29" t="s">
        <v>53</v>
      </c>
      <c r="B435" s="29">
        <v>29.0</v>
      </c>
      <c r="C435" s="29" t="s">
        <v>608</v>
      </c>
      <c r="D435" s="29" t="s">
        <v>751</v>
      </c>
      <c r="E435" s="29">
        <v>97.0</v>
      </c>
      <c r="F435" s="30" t="s">
        <v>752</v>
      </c>
      <c r="G435" s="29" t="s">
        <v>753</v>
      </c>
      <c r="H435" s="31">
        <v>3940.03</v>
      </c>
      <c r="I435" s="29" t="s">
        <v>612</v>
      </c>
      <c r="J435" s="32" t="s">
        <v>714</v>
      </c>
      <c r="K435" s="29" t="s">
        <v>698</v>
      </c>
      <c r="L435" s="29" t="s">
        <v>910</v>
      </c>
      <c r="M435" s="33">
        <v>14.97</v>
      </c>
      <c r="N435" s="33">
        <v>2.68</v>
      </c>
      <c r="O435" s="34" t="s">
        <v>601</v>
      </c>
      <c r="P435" s="32" t="s">
        <v>700</v>
      </c>
      <c r="Q435" s="35">
        <v>7.0</v>
      </c>
      <c r="R435" s="35">
        <v>2.0</v>
      </c>
      <c r="S435" s="36">
        <v>0.6858</v>
      </c>
      <c r="T435" s="36">
        <v>6.328</v>
      </c>
      <c r="U435" s="36">
        <v>0.8684</v>
      </c>
      <c r="V435" s="36">
        <v>2.8367</v>
      </c>
      <c r="W435" s="37" t="s">
        <v>623</v>
      </c>
      <c r="X435" s="31">
        <v>22.5</v>
      </c>
      <c r="Y435" s="36">
        <v>-2.2197757051632823</v>
      </c>
      <c r="Z435" s="36">
        <v>0.32953497079829436</v>
      </c>
      <c r="AA435" s="29" t="s">
        <v>820</v>
      </c>
      <c r="AB435" s="31">
        <v>2.97233295441</v>
      </c>
      <c r="AC435" s="38">
        <v>1948.0</v>
      </c>
    </row>
    <row r="436" ht="14.25" customHeight="1">
      <c r="A436" s="29" t="s">
        <v>53</v>
      </c>
      <c r="B436" s="29">
        <v>29.0</v>
      </c>
      <c r="C436" s="29" t="s">
        <v>608</v>
      </c>
      <c r="D436" s="29" t="s">
        <v>751</v>
      </c>
      <c r="E436" s="29">
        <v>97.0</v>
      </c>
      <c r="F436" s="30" t="s">
        <v>752</v>
      </c>
      <c r="G436" s="29" t="s">
        <v>753</v>
      </c>
      <c r="H436" s="31">
        <v>3940.03</v>
      </c>
      <c r="I436" s="29" t="s">
        <v>612</v>
      </c>
      <c r="J436" s="32" t="s">
        <v>714</v>
      </c>
      <c r="K436" s="29" t="s">
        <v>698</v>
      </c>
      <c r="L436" s="29" t="s">
        <v>910</v>
      </c>
      <c r="M436" s="33">
        <v>14.97</v>
      </c>
      <c r="N436" s="33">
        <v>2.68</v>
      </c>
      <c r="O436" s="34" t="s">
        <v>601</v>
      </c>
      <c r="P436" s="32" t="s">
        <v>700</v>
      </c>
      <c r="Q436" s="35">
        <v>6.0</v>
      </c>
      <c r="R436" s="35">
        <v>2.0</v>
      </c>
      <c r="S436" s="36">
        <v>0.3637</v>
      </c>
      <c r="T436" s="36">
        <v>6.328</v>
      </c>
      <c r="U436" s="36">
        <v>0.4657</v>
      </c>
      <c r="V436" s="36">
        <v>2.8367</v>
      </c>
      <c r="W436" s="37" t="s">
        <v>623</v>
      </c>
      <c r="X436" s="31">
        <v>27.5</v>
      </c>
      <c r="Y436" s="36">
        <v>-2.8519313079660376</v>
      </c>
      <c r="Z436" s="36">
        <v>0.3737354506391822</v>
      </c>
      <c r="AA436" s="29" t="s">
        <v>820</v>
      </c>
      <c r="AB436" s="31">
        <v>2.97233295441</v>
      </c>
      <c r="AC436" s="38">
        <v>1948.0</v>
      </c>
    </row>
    <row r="437" ht="14.25" customHeight="1">
      <c r="A437" s="29" t="s">
        <v>53</v>
      </c>
      <c r="B437" s="29">
        <v>29.0</v>
      </c>
      <c r="C437" s="29" t="s">
        <v>608</v>
      </c>
      <c r="D437" s="29" t="s">
        <v>751</v>
      </c>
      <c r="E437" s="29">
        <v>97.0</v>
      </c>
      <c r="F437" s="30" t="s">
        <v>752</v>
      </c>
      <c r="G437" s="29" t="s">
        <v>753</v>
      </c>
      <c r="H437" s="31">
        <v>3940.03</v>
      </c>
      <c r="I437" s="29" t="s">
        <v>612</v>
      </c>
      <c r="J437" s="32" t="s">
        <v>714</v>
      </c>
      <c r="K437" s="29" t="s">
        <v>698</v>
      </c>
      <c r="L437" s="29" t="s">
        <v>910</v>
      </c>
      <c r="M437" s="33">
        <v>14.97</v>
      </c>
      <c r="N437" s="33">
        <v>2.68</v>
      </c>
      <c r="O437" s="34" t="s">
        <v>601</v>
      </c>
      <c r="P437" s="32" t="s">
        <v>700</v>
      </c>
      <c r="Q437" s="35">
        <v>10.0</v>
      </c>
      <c r="R437" s="35">
        <v>2.0</v>
      </c>
      <c r="S437" s="36">
        <v>1.6147</v>
      </c>
      <c r="T437" s="36">
        <v>6.328</v>
      </c>
      <c r="U437" s="36">
        <v>1.7571</v>
      </c>
      <c r="V437" s="36">
        <v>2.8367</v>
      </c>
      <c r="W437" s="37" t="s">
        <v>623</v>
      </c>
      <c r="X437" s="31">
        <v>32.5</v>
      </c>
      <c r="Y437" s="36">
        <v>-1.3648244679442845</v>
      </c>
      <c r="Z437" s="36">
        <v>0.21889205172565893</v>
      </c>
      <c r="AA437" s="29" t="s">
        <v>820</v>
      </c>
      <c r="AB437" s="31">
        <v>2.97233295441</v>
      </c>
      <c r="AC437" s="38">
        <v>1948.0</v>
      </c>
    </row>
    <row r="438" ht="14.25" customHeight="1">
      <c r="A438" s="29" t="s">
        <v>53</v>
      </c>
      <c r="B438" s="29">
        <v>29.0</v>
      </c>
      <c r="C438" s="29" t="s">
        <v>608</v>
      </c>
      <c r="D438" s="29" t="s">
        <v>751</v>
      </c>
      <c r="E438" s="29">
        <v>97.0</v>
      </c>
      <c r="F438" s="30" t="s">
        <v>752</v>
      </c>
      <c r="G438" s="29" t="s">
        <v>753</v>
      </c>
      <c r="H438" s="31">
        <v>3940.03</v>
      </c>
      <c r="I438" s="29" t="s">
        <v>612</v>
      </c>
      <c r="J438" s="32" t="s">
        <v>714</v>
      </c>
      <c r="K438" s="29" t="s">
        <v>698</v>
      </c>
      <c r="L438" s="29" t="s">
        <v>910</v>
      </c>
      <c r="M438" s="33">
        <v>14.97</v>
      </c>
      <c r="N438" s="33">
        <v>2.68</v>
      </c>
      <c r="O438" s="34" t="s">
        <v>601</v>
      </c>
      <c r="P438" s="32" t="s">
        <v>700</v>
      </c>
      <c r="Q438" s="35">
        <v>4.0</v>
      </c>
      <c r="R438" s="35">
        <v>2.0</v>
      </c>
      <c r="S438" s="36">
        <v>2.2912</v>
      </c>
      <c r="T438" s="36">
        <v>6.328</v>
      </c>
      <c r="U438" s="36">
        <v>1.5235</v>
      </c>
      <c r="V438" s="36">
        <v>2.8367</v>
      </c>
      <c r="W438" s="37" t="s">
        <v>623</v>
      </c>
      <c r="X438" s="31">
        <v>37.5</v>
      </c>
      <c r="Y438" s="36">
        <v>-1.0151962292807708</v>
      </c>
      <c r="Z438" s="36">
        <v>0.21101113030123408</v>
      </c>
      <c r="AA438" s="29" t="s">
        <v>820</v>
      </c>
      <c r="AB438" s="31">
        <v>2.97233295441</v>
      </c>
      <c r="AC438" s="38">
        <v>1948.0</v>
      </c>
    </row>
    <row r="439" ht="14.25" customHeight="1">
      <c r="A439" s="29" t="s">
        <v>53</v>
      </c>
      <c r="B439" s="29">
        <v>29.0</v>
      </c>
      <c r="C439" s="29" t="s">
        <v>608</v>
      </c>
      <c r="D439" s="29" t="s">
        <v>751</v>
      </c>
      <c r="E439" s="29">
        <v>97.0</v>
      </c>
      <c r="F439" s="30" t="s">
        <v>752</v>
      </c>
      <c r="G439" s="29" t="s">
        <v>753</v>
      </c>
      <c r="H439" s="31">
        <v>3940.03</v>
      </c>
      <c r="I439" s="29" t="s">
        <v>612</v>
      </c>
      <c r="J439" s="32" t="s">
        <v>714</v>
      </c>
      <c r="K439" s="29" t="s">
        <v>698</v>
      </c>
      <c r="L439" s="29" t="s">
        <v>910</v>
      </c>
      <c r="M439" s="33">
        <v>14.97</v>
      </c>
      <c r="N439" s="33">
        <v>2.68</v>
      </c>
      <c r="O439" s="34" t="s">
        <v>601</v>
      </c>
      <c r="P439" s="32" t="s">
        <v>700</v>
      </c>
      <c r="Q439" s="35">
        <v>2.0</v>
      </c>
      <c r="R439" s="35">
        <v>2.0</v>
      </c>
      <c r="S439" s="36">
        <v>1.3092</v>
      </c>
      <c r="T439" s="36">
        <v>6.328</v>
      </c>
      <c r="U439" s="36">
        <v>0.8728</v>
      </c>
      <c r="V439" s="36">
        <v>2.8367</v>
      </c>
      <c r="W439" s="37" t="s">
        <v>623</v>
      </c>
      <c r="X439" s="31">
        <v>42.5</v>
      </c>
      <c r="Y439" s="36">
        <v>-1.5743217142787191</v>
      </c>
      <c r="Z439" s="36">
        <v>0.32269857930854096</v>
      </c>
      <c r="AA439" s="29" t="s">
        <v>820</v>
      </c>
      <c r="AB439" s="31">
        <v>2.97233295441</v>
      </c>
      <c r="AC439" s="38">
        <v>1948.0</v>
      </c>
    </row>
    <row r="440" ht="14.25" customHeight="1">
      <c r="A440" s="29" t="s">
        <v>53</v>
      </c>
      <c r="B440" s="29">
        <v>30.0</v>
      </c>
      <c r="C440" s="29" t="s">
        <v>608</v>
      </c>
      <c r="D440" s="29" t="s">
        <v>751</v>
      </c>
      <c r="E440" s="29">
        <v>97.0</v>
      </c>
      <c r="F440" s="30" t="s">
        <v>752</v>
      </c>
      <c r="G440" s="29" t="s">
        <v>753</v>
      </c>
      <c r="H440" s="31">
        <v>3940.03</v>
      </c>
      <c r="I440" s="29" t="s">
        <v>612</v>
      </c>
      <c r="J440" s="32" t="s">
        <v>714</v>
      </c>
      <c r="K440" s="29" t="s">
        <v>698</v>
      </c>
      <c r="L440" s="29" t="s">
        <v>823</v>
      </c>
      <c r="M440" s="33">
        <v>12.827</v>
      </c>
      <c r="N440" s="33">
        <v>1.877</v>
      </c>
      <c r="O440" s="34" t="s">
        <v>601</v>
      </c>
      <c r="P440" s="32" t="s">
        <v>700</v>
      </c>
      <c r="Q440" s="35">
        <v>1.0</v>
      </c>
      <c r="R440" s="35">
        <v>5.0</v>
      </c>
      <c r="S440" s="36">
        <v>3.9636</v>
      </c>
      <c r="T440" s="36">
        <v>3.2105</v>
      </c>
      <c r="U440" s="36">
        <f>SQRT(S440)</f>
        <v>1.990879203</v>
      </c>
      <c r="V440" s="36">
        <v>0.9245</v>
      </c>
      <c r="W440" s="37" t="s">
        <v>623</v>
      </c>
      <c r="X440" s="31">
        <v>7.5</v>
      </c>
      <c r="Y440" s="36">
        <v>0.21093497040463383</v>
      </c>
      <c r="Z440" s="36">
        <v>0.2688802435208145</v>
      </c>
      <c r="AA440" s="29" t="s">
        <v>820</v>
      </c>
      <c r="AB440" s="31">
        <v>0.794329226017</v>
      </c>
      <c r="AC440" s="38">
        <v>3399.0</v>
      </c>
    </row>
    <row r="441" ht="14.25" customHeight="1">
      <c r="A441" s="29" t="s">
        <v>53</v>
      </c>
      <c r="B441" s="29">
        <v>30.0</v>
      </c>
      <c r="C441" s="29" t="s">
        <v>608</v>
      </c>
      <c r="D441" s="29" t="s">
        <v>751</v>
      </c>
      <c r="E441" s="29">
        <v>97.0</v>
      </c>
      <c r="F441" s="30" t="s">
        <v>752</v>
      </c>
      <c r="G441" s="29" t="s">
        <v>753</v>
      </c>
      <c r="H441" s="31">
        <v>3940.03</v>
      </c>
      <c r="I441" s="29" t="s">
        <v>612</v>
      </c>
      <c r="J441" s="32" t="s">
        <v>714</v>
      </c>
      <c r="K441" s="29" t="s">
        <v>698</v>
      </c>
      <c r="L441" s="29" t="s">
        <v>823</v>
      </c>
      <c r="M441" s="33">
        <v>12.827</v>
      </c>
      <c r="N441" s="33">
        <v>1.877</v>
      </c>
      <c r="O441" s="34" t="s">
        <v>601</v>
      </c>
      <c r="P441" s="32" t="s">
        <v>700</v>
      </c>
      <c r="Q441" s="35">
        <v>3.0</v>
      </c>
      <c r="R441" s="35">
        <v>5.0</v>
      </c>
      <c r="S441" s="36">
        <v>7.5309</v>
      </c>
      <c r="T441" s="36">
        <v>3.2105</v>
      </c>
      <c r="U441" s="36">
        <v>3.5043</v>
      </c>
      <c r="V441" s="36">
        <v>0.9245</v>
      </c>
      <c r="W441" s="37" t="s">
        <v>623</v>
      </c>
      <c r="X441" s="31">
        <v>12.5</v>
      </c>
      <c r="Y441" s="36">
        <v>0.8526978494512066</v>
      </c>
      <c r="Z441" s="36">
        <v>0.08875947527696541</v>
      </c>
      <c r="AA441" s="29" t="s">
        <v>820</v>
      </c>
      <c r="AB441" s="31">
        <v>0.794329226017</v>
      </c>
      <c r="AC441" s="38">
        <v>3399.0</v>
      </c>
    </row>
    <row r="442" ht="14.25" customHeight="1">
      <c r="A442" s="29" t="s">
        <v>53</v>
      </c>
      <c r="B442" s="29">
        <v>30.0</v>
      </c>
      <c r="C442" s="29" t="s">
        <v>608</v>
      </c>
      <c r="D442" s="29" t="s">
        <v>751</v>
      </c>
      <c r="E442" s="29">
        <v>97.0</v>
      </c>
      <c r="F442" s="30" t="s">
        <v>752</v>
      </c>
      <c r="G442" s="29" t="s">
        <v>753</v>
      </c>
      <c r="H442" s="31">
        <v>3940.03</v>
      </c>
      <c r="I442" s="29" t="s">
        <v>612</v>
      </c>
      <c r="J442" s="32" t="s">
        <v>714</v>
      </c>
      <c r="K442" s="29" t="s">
        <v>698</v>
      </c>
      <c r="L442" s="29" t="s">
        <v>823</v>
      </c>
      <c r="M442" s="33">
        <v>12.827</v>
      </c>
      <c r="N442" s="33">
        <v>1.877</v>
      </c>
      <c r="O442" s="34" t="s">
        <v>601</v>
      </c>
      <c r="P442" s="32" t="s">
        <v>700</v>
      </c>
      <c r="Q442" s="35">
        <v>2.0</v>
      </c>
      <c r="R442" s="35">
        <v>5.0</v>
      </c>
      <c r="S442" s="36">
        <v>2.3782</v>
      </c>
      <c r="T442" s="36">
        <v>3.2105</v>
      </c>
      <c r="U442" s="36">
        <v>0.7927</v>
      </c>
      <c r="V442" s="36">
        <v>0.9245</v>
      </c>
      <c r="W442" s="37" t="s">
        <v>623</v>
      </c>
      <c r="X442" s="31">
        <v>17.5</v>
      </c>
      <c r="Y442" s="36">
        <v>-0.2997345602496702</v>
      </c>
      <c r="Z442" s="36">
        <v>0.07213523448415217</v>
      </c>
      <c r="AA442" s="29" t="s">
        <v>820</v>
      </c>
      <c r="AB442" s="31">
        <v>0.794329226017</v>
      </c>
      <c r="AC442" s="38">
        <v>3399.0</v>
      </c>
    </row>
    <row r="443" ht="14.25" customHeight="1">
      <c r="A443" s="29" t="s">
        <v>53</v>
      </c>
      <c r="B443" s="29">
        <v>30.0</v>
      </c>
      <c r="C443" s="29" t="s">
        <v>608</v>
      </c>
      <c r="D443" s="29" t="s">
        <v>751</v>
      </c>
      <c r="E443" s="29">
        <v>97.0</v>
      </c>
      <c r="F443" s="30" t="s">
        <v>752</v>
      </c>
      <c r="G443" s="29" t="s">
        <v>753</v>
      </c>
      <c r="H443" s="31">
        <v>3940.03</v>
      </c>
      <c r="I443" s="29" t="s">
        <v>612</v>
      </c>
      <c r="J443" s="32" t="s">
        <v>714</v>
      </c>
      <c r="K443" s="29" t="s">
        <v>698</v>
      </c>
      <c r="L443" s="29" t="s">
        <v>823</v>
      </c>
      <c r="M443" s="33">
        <v>12.827</v>
      </c>
      <c r="N443" s="33">
        <v>1.877</v>
      </c>
      <c r="O443" s="34" t="s">
        <v>601</v>
      </c>
      <c r="P443" s="32" t="s">
        <v>700</v>
      </c>
      <c r="Q443" s="35">
        <v>3.0</v>
      </c>
      <c r="R443" s="35">
        <v>5.0</v>
      </c>
      <c r="S443" s="36">
        <v>0.8588</v>
      </c>
      <c r="T443" s="36">
        <v>3.2105</v>
      </c>
      <c r="U443" s="36">
        <v>0.5683</v>
      </c>
      <c r="V443" s="36">
        <v>0.9245</v>
      </c>
      <c r="W443" s="37" t="s">
        <v>623</v>
      </c>
      <c r="X443" s="31">
        <v>22.5</v>
      </c>
      <c r="Y443" s="36">
        <v>-1.3176818779570663</v>
      </c>
      <c r="Z443" s="36">
        <v>0.16254977244093052</v>
      </c>
      <c r="AA443" s="29" t="s">
        <v>820</v>
      </c>
      <c r="AB443" s="31">
        <v>0.794329226017</v>
      </c>
      <c r="AC443" s="38">
        <v>3399.0</v>
      </c>
    </row>
    <row r="444" ht="14.25" customHeight="1">
      <c r="A444" s="29" t="s">
        <v>53</v>
      </c>
      <c r="B444" s="29">
        <v>30.0</v>
      </c>
      <c r="C444" s="29" t="s">
        <v>608</v>
      </c>
      <c r="D444" s="29" t="s">
        <v>751</v>
      </c>
      <c r="E444" s="29">
        <v>97.0</v>
      </c>
      <c r="F444" s="30" t="s">
        <v>752</v>
      </c>
      <c r="G444" s="29" t="s">
        <v>753</v>
      </c>
      <c r="H444" s="31">
        <v>3940.03</v>
      </c>
      <c r="I444" s="29" t="s">
        <v>612</v>
      </c>
      <c r="J444" s="32" t="s">
        <v>714</v>
      </c>
      <c r="K444" s="29" t="s">
        <v>698</v>
      </c>
      <c r="L444" s="29" t="s">
        <v>823</v>
      </c>
      <c r="M444" s="33">
        <v>12.827</v>
      </c>
      <c r="N444" s="33">
        <v>1.877</v>
      </c>
      <c r="O444" s="34" t="s">
        <v>601</v>
      </c>
      <c r="P444" s="32" t="s">
        <v>700</v>
      </c>
      <c r="Q444" s="35">
        <v>7.0</v>
      </c>
      <c r="R444" s="35">
        <v>5.0</v>
      </c>
      <c r="S444" s="36">
        <v>2.0668</v>
      </c>
      <c r="T444" s="36">
        <v>3.2105</v>
      </c>
      <c r="U444" s="36">
        <v>1.7044</v>
      </c>
      <c r="V444" s="36">
        <v>0.9245</v>
      </c>
      <c r="W444" s="37" t="s">
        <v>623</v>
      </c>
      <c r="X444" s="31">
        <v>27.5</v>
      </c>
      <c r="Y444" s="36">
        <v>-0.4400244854909216</v>
      </c>
      <c r="Z444" s="36">
        <v>0.1137355365751575</v>
      </c>
      <c r="AA444" s="29" t="s">
        <v>820</v>
      </c>
      <c r="AB444" s="31">
        <v>0.794329226017</v>
      </c>
      <c r="AC444" s="38">
        <v>3399.0</v>
      </c>
    </row>
    <row r="445" ht="14.25" customHeight="1">
      <c r="A445" s="29" t="s">
        <v>53</v>
      </c>
      <c r="B445" s="29">
        <v>30.0</v>
      </c>
      <c r="C445" s="29" t="s">
        <v>608</v>
      </c>
      <c r="D445" s="29" t="s">
        <v>751</v>
      </c>
      <c r="E445" s="29">
        <v>97.0</v>
      </c>
      <c r="F445" s="30" t="s">
        <v>752</v>
      </c>
      <c r="G445" s="29" t="s">
        <v>753</v>
      </c>
      <c r="H445" s="31">
        <v>3940.03</v>
      </c>
      <c r="I445" s="29" t="s">
        <v>612</v>
      </c>
      <c r="J445" s="32" t="s">
        <v>714</v>
      </c>
      <c r="K445" s="29" t="s">
        <v>698</v>
      </c>
      <c r="L445" s="29" t="s">
        <v>823</v>
      </c>
      <c r="M445" s="33">
        <v>12.827</v>
      </c>
      <c r="N445" s="33">
        <v>1.877</v>
      </c>
      <c r="O445" s="34" t="s">
        <v>601</v>
      </c>
      <c r="P445" s="32" t="s">
        <v>700</v>
      </c>
      <c r="Q445" s="35">
        <v>7.0</v>
      </c>
      <c r="R445" s="35">
        <v>5.0</v>
      </c>
      <c r="S445" s="36">
        <v>1.6421</v>
      </c>
      <c r="T445" s="36">
        <v>3.2105</v>
      </c>
      <c r="U445" s="36">
        <v>0.8456</v>
      </c>
      <c r="V445" s="36">
        <v>0.9245</v>
      </c>
      <c r="W445" s="37" t="s">
        <v>623</v>
      </c>
      <c r="X445" s="31">
        <v>32.5</v>
      </c>
      <c r="Y445" s="36">
        <v>-0.6699464883878538</v>
      </c>
      <c r="Z445" s="36">
        <v>0.054466334033215116</v>
      </c>
      <c r="AA445" s="29" t="s">
        <v>820</v>
      </c>
      <c r="AB445" s="31">
        <v>0.794329226017</v>
      </c>
      <c r="AC445" s="38">
        <v>3399.0</v>
      </c>
    </row>
    <row r="446" ht="14.25" customHeight="1">
      <c r="A446" s="29" t="s">
        <v>53</v>
      </c>
      <c r="B446" s="29">
        <v>30.0</v>
      </c>
      <c r="C446" s="29" t="s">
        <v>608</v>
      </c>
      <c r="D446" s="29" t="s">
        <v>751</v>
      </c>
      <c r="E446" s="29">
        <v>97.0</v>
      </c>
      <c r="F446" s="30" t="s">
        <v>752</v>
      </c>
      <c r="G446" s="29" t="s">
        <v>753</v>
      </c>
      <c r="H446" s="31">
        <v>3940.03</v>
      </c>
      <c r="I446" s="29" t="s">
        <v>612</v>
      </c>
      <c r="J446" s="32" t="s">
        <v>714</v>
      </c>
      <c r="K446" s="29" t="s">
        <v>698</v>
      </c>
      <c r="L446" s="29" t="s">
        <v>823</v>
      </c>
      <c r="M446" s="33">
        <v>12.827</v>
      </c>
      <c r="N446" s="33">
        <v>1.877</v>
      </c>
      <c r="O446" s="34" t="s">
        <v>601</v>
      </c>
      <c r="P446" s="32" t="s">
        <v>700</v>
      </c>
      <c r="Q446" s="35">
        <v>7.0</v>
      </c>
      <c r="R446" s="35">
        <v>5.0</v>
      </c>
      <c r="S446" s="36">
        <v>2.6047</v>
      </c>
      <c r="T446" s="36">
        <v>3.2105</v>
      </c>
      <c r="U446" s="36">
        <v>1.8269</v>
      </c>
      <c r="V446" s="36">
        <v>0.9245</v>
      </c>
      <c r="W446" s="37" t="s">
        <v>623</v>
      </c>
      <c r="X446" s="31">
        <v>37.5</v>
      </c>
      <c r="Y446" s="36">
        <v>-0.20879123039400144</v>
      </c>
      <c r="Z446" s="36">
        <v>0.0868618165398204</v>
      </c>
      <c r="AA446" s="29" t="s">
        <v>820</v>
      </c>
      <c r="AB446" s="31">
        <v>0.794329226017</v>
      </c>
      <c r="AC446" s="38">
        <v>3399.0</v>
      </c>
    </row>
    <row r="447" ht="14.25" customHeight="1">
      <c r="A447" s="29" t="s">
        <v>53</v>
      </c>
      <c r="B447" s="29">
        <v>30.0</v>
      </c>
      <c r="C447" s="29" t="s">
        <v>608</v>
      </c>
      <c r="D447" s="29" t="s">
        <v>751</v>
      </c>
      <c r="E447" s="29">
        <v>97.0</v>
      </c>
      <c r="F447" s="30" t="s">
        <v>752</v>
      </c>
      <c r="G447" s="29" t="s">
        <v>753</v>
      </c>
      <c r="H447" s="31">
        <v>3940.03</v>
      </c>
      <c r="I447" s="29" t="s">
        <v>612</v>
      </c>
      <c r="J447" s="32" t="s">
        <v>714</v>
      </c>
      <c r="K447" s="29" t="s">
        <v>698</v>
      </c>
      <c r="L447" s="29" t="s">
        <v>823</v>
      </c>
      <c r="M447" s="33">
        <v>12.827</v>
      </c>
      <c r="N447" s="33">
        <v>1.877</v>
      </c>
      <c r="O447" s="34" t="s">
        <v>601</v>
      </c>
      <c r="P447" s="32" t="s">
        <v>700</v>
      </c>
      <c r="Q447" s="35">
        <v>8.0</v>
      </c>
      <c r="R447" s="35">
        <v>5.0</v>
      </c>
      <c r="S447" s="36">
        <v>3.1461</v>
      </c>
      <c r="T447" s="36">
        <v>3.2105</v>
      </c>
      <c r="U447" s="36">
        <v>2.5886</v>
      </c>
      <c r="V447" s="36">
        <v>0.9245</v>
      </c>
      <c r="W447" s="37" t="s">
        <v>623</v>
      </c>
      <c r="X447" s="31">
        <v>42.5</v>
      </c>
      <c r="Y447" s="36">
        <v>-0.019999853278425007</v>
      </c>
      <c r="Z447" s="36">
        <v>0.10120860646098566</v>
      </c>
      <c r="AA447" s="29" t="s">
        <v>820</v>
      </c>
      <c r="AB447" s="31">
        <v>0.794329226017</v>
      </c>
      <c r="AC447" s="38">
        <v>3399.0</v>
      </c>
    </row>
    <row r="448" ht="14.25" customHeight="1">
      <c r="A448" s="29" t="s">
        <v>53</v>
      </c>
      <c r="B448" s="29">
        <v>30.0</v>
      </c>
      <c r="C448" s="29" t="s">
        <v>608</v>
      </c>
      <c r="D448" s="29" t="s">
        <v>751</v>
      </c>
      <c r="E448" s="29">
        <v>97.0</v>
      </c>
      <c r="F448" s="30" t="s">
        <v>752</v>
      </c>
      <c r="G448" s="29" t="s">
        <v>753</v>
      </c>
      <c r="H448" s="31">
        <v>3940.03</v>
      </c>
      <c r="I448" s="29" t="s">
        <v>612</v>
      </c>
      <c r="J448" s="32" t="s">
        <v>714</v>
      </c>
      <c r="K448" s="29" t="s">
        <v>698</v>
      </c>
      <c r="L448" s="29" t="s">
        <v>823</v>
      </c>
      <c r="M448" s="33">
        <v>12.827</v>
      </c>
      <c r="N448" s="33">
        <v>1.877</v>
      </c>
      <c r="O448" s="34" t="s">
        <v>601</v>
      </c>
      <c r="P448" s="32" t="s">
        <v>700</v>
      </c>
      <c r="Q448" s="35">
        <v>6.0</v>
      </c>
      <c r="R448" s="35">
        <v>5.0</v>
      </c>
      <c r="S448" s="36">
        <v>4.8885</v>
      </c>
      <c r="T448" s="36">
        <v>3.2105</v>
      </c>
      <c r="U448" s="36">
        <v>2.8734</v>
      </c>
      <c r="V448" s="36">
        <v>0.9245</v>
      </c>
      <c r="W448" s="37" t="s">
        <v>623</v>
      </c>
      <c r="X448" s="31">
        <v>47.5</v>
      </c>
      <c r="Y448" s="36">
        <v>0.42062824432206736</v>
      </c>
      <c r="Z448" s="36">
        <v>0.07416674073817708</v>
      </c>
      <c r="AA448" s="29" t="s">
        <v>820</v>
      </c>
      <c r="AB448" s="31">
        <v>0.794329226017</v>
      </c>
      <c r="AC448" s="38">
        <v>3399.0</v>
      </c>
    </row>
    <row r="449" ht="14.25" customHeight="1">
      <c r="A449" s="29" t="s">
        <v>53</v>
      </c>
      <c r="B449" s="29">
        <v>30.0</v>
      </c>
      <c r="C449" s="29" t="s">
        <v>608</v>
      </c>
      <c r="D449" s="29" t="s">
        <v>751</v>
      </c>
      <c r="E449" s="29">
        <v>97.0</v>
      </c>
      <c r="F449" s="30" t="s">
        <v>752</v>
      </c>
      <c r="G449" s="29" t="s">
        <v>753</v>
      </c>
      <c r="H449" s="31">
        <v>3940.03</v>
      </c>
      <c r="I449" s="29" t="s">
        <v>612</v>
      </c>
      <c r="J449" s="32" t="s">
        <v>714</v>
      </c>
      <c r="K449" s="29" t="s">
        <v>698</v>
      </c>
      <c r="L449" s="29" t="s">
        <v>823</v>
      </c>
      <c r="M449" s="33">
        <v>12.827</v>
      </c>
      <c r="N449" s="33">
        <v>1.877</v>
      </c>
      <c r="O449" s="34" t="s">
        <v>601</v>
      </c>
      <c r="P449" s="32" t="s">
        <v>700</v>
      </c>
      <c r="Q449" s="35">
        <v>9.0</v>
      </c>
      <c r="R449" s="35">
        <v>5.0</v>
      </c>
      <c r="S449" s="36">
        <v>3.6554</v>
      </c>
      <c r="T449" s="36">
        <v>3.2105</v>
      </c>
      <c r="U449" s="36">
        <v>2.2848</v>
      </c>
      <c r="V449" s="36">
        <v>0.9245</v>
      </c>
      <c r="W449" s="37" t="s">
        <v>623</v>
      </c>
      <c r="X449" s="31">
        <v>52.5</v>
      </c>
      <c r="Y449" s="36">
        <v>0.1300054093349044</v>
      </c>
      <c r="Z449" s="36">
        <v>0.0599937781495017</v>
      </c>
      <c r="AA449" s="29" t="s">
        <v>820</v>
      </c>
      <c r="AB449" s="31">
        <v>0.794329226017</v>
      </c>
      <c r="AC449" s="38">
        <v>3399.0</v>
      </c>
    </row>
    <row r="450" ht="14.25" customHeight="1">
      <c r="A450" s="29" t="s">
        <v>53</v>
      </c>
      <c r="B450" s="29">
        <v>30.0</v>
      </c>
      <c r="C450" s="29" t="s">
        <v>608</v>
      </c>
      <c r="D450" s="29" t="s">
        <v>751</v>
      </c>
      <c r="E450" s="29">
        <v>97.0</v>
      </c>
      <c r="F450" s="30" t="s">
        <v>752</v>
      </c>
      <c r="G450" s="29" t="s">
        <v>753</v>
      </c>
      <c r="H450" s="31">
        <v>3940.03</v>
      </c>
      <c r="I450" s="29" t="s">
        <v>612</v>
      </c>
      <c r="J450" s="32" t="s">
        <v>714</v>
      </c>
      <c r="K450" s="29" t="s">
        <v>698</v>
      </c>
      <c r="L450" s="29" t="s">
        <v>823</v>
      </c>
      <c r="M450" s="33">
        <v>12.827</v>
      </c>
      <c r="N450" s="33">
        <v>1.877</v>
      </c>
      <c r="O450" s="34" t="s">
        <v>601</v>
      </c>
      <c r="P450" s="32" t="s">
        <v>700</v>
      </c>
      <c r="Q450" s="35">
        <v>2.0</v>
      </c>
      <c r="R450" s="35">
        <v>5.0</v>
      </c>
      <c r="S450" s="36">
        <v>2.4773</v>
      </c>
      <c r="T450" s="36">
        <v>3.2105</v>
      </c>
      <c r="U450" s="36">
        <v>0.4955</v>
      </c>
      <c r="V450" s="36">
        <v>0.9245</v>
      </c>
      <c r="W450" s="37" t="s">
        <v>623</v>
      </c>
      <c r="X450" s="31">
        <v>57.5</v>
      </c>
      <c r="Y450" s="36">
        <v>-0.25892312980201027</v>
      </c>
      <c r="Z450" s="36">
        <v>0.03658758035054896</v>
      </c>
      <c r="AA450" s="29" t="s">
        <v>820</v>
      </c>
      <c r="AB450" s="31">
        <v>0.794329226017</v>
      </c>
      <c r="AC450" s="38">
        <v>3399.0</v>
      </c>
    </row>
    <row r="451" ht="14.25" customHeight="1">
      <c r="A451" s="29" t="s">
        <v>53</v>
      </c>
      <c r="B451" s="29">
        <v>31.0</v>
      </c>
      <c r="C451" s="29" t="s">
        <v>608</v>
      </c>
      <c r="D451" s="29" t="s">
        <v>751</v>
      </c>
      <c r="E451" s="29">
        <v>97.0</v>
      </c>
      <c r="F451" s="30" t="s">
        <v>752</v>
      </c>
      <c r="G451" s="29" t="s">
        <v>753</v>
      </c>
      <c r="H451" s="31">
        <v>3940.03</v>
      </c>
      <c r="I451" s="29" t="s">
        <v>612</v>
      </c>
      <c r="J451" s="32" t="s">
        <v>714</v>
      </c>
      <c r="K451" s="29" t="s">
        <v>698</v>
      </c>
      <c r="L451" s="29" t="s">
        <v>911</v>
      </c>
      <c r="M451" s="33">
        <v>16.433</v>
      </c>
      <c r="N451" s="33">
        <v>2.68</v>
      </c>
      <c r="O451" s="34" t="s">
        <v>601</v>
      </c>
      <c r="P451" s="32" t="s">
        <v>700</v>
      </c>
      <c r="Q451" s="35">
        <v>44.0</v>
      </c>
      <c r="R451" s="35">
        <v>1.0</v>
      </c>
      <c r="S451" s="36">
        <v>0.3724</v>
      </c>
      <c r="T451" s="36">
        <v>0.0705</v>
      </c>
      <c r="U451" s="36">
        <v>0.502</v>
      </c>
      <c r="V451" s="36">
        <v>0.2655</v>
      </c>
      <c r="W451" s="37" t="s">
        <v>623</v>
      </c>
      <c r="X451" s="31">
        <v>2.5</v>
      </c>
      <c r="Y451" s="36">
        <v>1.6644046766435274</v>
      </c>
      <c r="Z451" s="36">
        <v>14.223734099124698</v>
      </c>
      <c r="AA451" s="29" t="s">
        <v>820</v>
      </c>
      <c r="AB451" s="31">
        <v>4.80655527115</v>
      </c>
      <c r="AC451" s="38">
        <v>2121.0</v>
      </c>
    </row>
    <row r="452" ht="14.25" customHeight="1">
      <c r="A452" s="29" t="s">
        <v>53</v>
      </c>
      <c r="B452" s="29">
        <v>31.0</v>
      </c>
      <c r="C452" s="29" t="s">
        <v>608</v>
      </c>
      <c r="D452" s="29" t="s">
        <v>751</v>
      </c>
      <c r="E452" s="29">
        <v>97.0</v>
      </c>
      <c r="F452" s="30" t="s">
        <v>752</v>
      </c>
      <c r="G452" s="29" t="s">
        <v>753</v>
      </c>
      <c r="H452" s="31">
        <v>3940.03</v>
      </c>
      <c r="I452" s="29" t="s">
        <v>612</v>
      </c>
      <c r="J452" s="32" t="s">
        <v>714</v>
      </c>
      <c r="K452" s="29" t="s">
        <v>698</v>
      </c>
      <c r="L452" s="29" t="s">
        <v>911</v>
      </c>
      <c r="M452" s="33">
        <v>16.433</v>
      </c>
      <c r="N452" s="33">
        <v>2.68</v>
      </c>
      <c r="O452" s="34" t="s">
        <v>601</v>
      </c>
      <c r="P452" s="32" t="s">
        <v>700</v>
      </c>
      <c r="Q452" s="35">
        <v>34.0</v>
      </c>
      <c r="R452" s="35">
        <v>1.0</v>
      </c>
      <c r="S452" s="36">
        <v>0.3559</v>
      </c>
      <c r="T452" s="36">
        <v>0.0705</v>
      </c>
      <c r="U452" s="36">
        <v>0.4296</v>
      </c>
      <c r="V452" s="36">
        <v>0.2655</v>
      </c>
      <c r="W452" s="37" t="s">
        <v>623</v>
      </c>
      <c r="X452" s="31">
        <v>7.5</v>
      </c>
      <c r="Y452" s="36">
        <v>1.6190881880357137</v>
      </c>
      <c r="Z452" s="36">
        <v>14.22528971684843</v>
      </c>
      <c r="AA452" s="29" t="s">
        <v>820</v>
      </c>
      <c r="AB452" s="31">
        <v>4.80655527115</v>
      </c>
      <c r="AC452" s="38">
        <v>2121.0</v>
      </c>
    </row>
    <row r="453" ht="14.25" customHeight="1">
      <c r="A453" s="29" t="s">
        <v>53</v>
      </c>
      <c r="B453" s="29">
        <v>31.0</v>
      </c>
      <c r="C453" s="29" t="s">
        <v>608</v>
      </c>
      <c r="D453" s="29" t="s">
        <v>751</v>
      </c>
      <c r="E453" s="29">
        <v>97.0</v>
      </c>
      <c r="F453" s="30" t="s">
        <v>752</v>
      </c>
      <c r="G453" s="29" t="s">
        <v>753</v>
      </c>
      <c r="H453" s="31">
        <v>3940.03</v>
      </c>
      <c r="I453" s="29" t="s">
        <v>612</v>
      </c>
      <c r="J453" s="32" t="s">
        <v>714</v>
      </c>
      <c r="K453" s="29" t="s">
        <v>698</v>
      </c>
      <c r="L453" s="29" t="s">
        <v>911</v>
      </c>
      <c r="M453" s="33">
        <v>16.433</v>
      </c>
      <c r="N453" s="33">
        <v>2.68</v>
      </c>
      <c r="O453" s="34" t="s">
        <v>601</v>
      </c>
      <c r="P453" s="32" t="s">
        <v>700</v>
      </c>
      <c r="Q453" s="35">
        <v>22.0</v>
      </c>
      <c r="R453" s="35">
        <v>1.0</v>
      </c>
      <c r="S453" s="36">
        <v>0.4102</v>
      </c>
      <c r="T453" s="36">
        <v>0.0705</v>
      </c>
      <c r="U453" s="36">
        <v>0.587</v>
      </c>
      <c r="V453" s="36">
        <v>0.2655</v>
      </c>
      <c r="W453" s="37" t="s">
        <v>623</v>
      </c>
      <c r="X453" s="31">
        <v>12.5</v>
      </c>
      <c r="Y453" s="36">
        <v>1.761076476266769</v>
      </c>
      <c r="Z453" s="36">
        <v>14.275516741763678</v>
      </c>
      <c r="AA453" s="29" t="s">
        <v>820</v>
      </c>
      <c r="AB453" s="31">
        <v>4.80655527115</v>
      </c>
      <c r="AC453" s="38">
        <v>2121.0</v>
      </c>
    </row>
    <row r="454" ht="14.25" customHeight="1">
      <c r="A454" s="29" t="s">
        <v>53</v>
      </c>
      <c r="B454" s="29">
        <v>31.0</v>
      </c>
      <c r="C454" s="29" t="s">
        <v>608</v>
      </c>
      <c r="D454" s="29" t="s">
        <v>751</v>
      </c>
      <c r="E454" s="29">
        <v>97.0</v>
      </c>
      <c r="F454" s="30" t="s">
        <v>752</v>
      </c>
      <c r="G454" s="29" t="s">
        <v>753</v>
      </c>
      <c r="H454" s="31">
        <v>3940.03</v>
      </c>
      <c r="I454" s="29" t="s">
        <v>612</v>
      </c>
      <c r="J454" s="32" t="s">
        <v>714</v>
      </c>
      <c r="K454" s="29" t="s">
        <v>698</v>
      </c>
      <c r="L454" s="29" t="s">
        <v>911</v>
      </c>
      <c r="M454" s="33">
        <v>16.433</v>
      </c>
      <c r="N454" s="33">
        <v>2.68</v>
      </c>
      <c r="O454" s="34" t="s">
        <v>601</v>
      </c>
      <c r="P454" s="32" t="s">
        <v>700</v>
      </c>
      <c r="Q454" s="35">
        <v>26.0</v>
      </c>
      <c r="R454" s="35">
        <v>1.0</v>
      </c>
      <c r="S454" s="36">
        <v>0.4374</v>
      </c>
      <c r="T454" s="36">
        <v>0.0705</v>
      </c>
      <c r="U454" s="36">
        <v>0.3438</v>
      </c>
      <c r="V454" s="36">
        <v>0.2655</v>
      </c>
      <c r="W454" s="37" t="s">
        <v>623</v>
      </c>
      <c r="X454" s="31">
        <v>17.5</v>
      </c>
      <c r="Y454" s="36">
        <v>1.8252769815893206</v>
      </c>
      <c r="Z454" s="36">
        <v>14.206197373416302</v>
      </c>
      <c r="AA454" s="29" t="s">
        <v>820</v>
      </c>
      <c r="AB454" s="31">
        <v>4.80655527115</v>
      </c>
      <c r="AC454" s="38">
        <v>2121.0</v>
      </c>
    </row>
    <row r="455" ht="14.25" customHeight="1">
      <c r="A455" s="29" t="s">
        <v>53</v>
      </c>
      <c r="B455" s="29">
        <v>31.0</v>
      </c>
      <c r="C455" s="29" t="s">
        <v>608</v>
      </c>
      <c r="D455" s="29" t="s">
        <v>751</v>
      </c>
      <c r="E455" s="29">
        <v>97.0</v>
      </c>
      <c r="F455" s="30" t="s">
        <v>752</v>
      </c>
      <c r="G455" s="29" t="s">
        <v>753</v>
      </c>
      <c r="H455" s="31">
        <v>3940.03</v>
      </c>
      <c r="I455" s="29" t="s">
        <v>612</v>
      </c>
      <c r="J455" s="32" t="s">
        <v>714</v>
      </c>
      <c r="K455" s="29" t="s">
        <v>698</v>
      </c>
      <c r="L455" s="29" t="s">
        <v>911</v>
      </c>
      <c r="M455" s="33">
        <v>16.433</v>
      </c>
      <c r="N455" s="33">
        <v>2.68</v>
      </c>
      <c r="O455" s="34" t="s">
        <v>601</v>
      </c>
      <c r="P455" s="32" t="s">
        <v>700</v>
      </c>
      <c r="Q455" s="35">
        <v>9.0</v>
      </c>
      <c r="R455" s="35">
        <v>1.0</v>
      </c>
      <c r="S455" s="36">
        <v>0.4466</v>
      </c>
      <c r="T455" s="36">
        <v>0.0705</v>
      </c>
      <c r="U455" s="36">
        <v>0.3082</v>
      </c>
      <c r="V455" s="36">
        <v>0.2655</v>
      </c>
      <c r="W455" s="37" t="s">
        <v>623</v>
      </c>
      <c r="X455" s="31">
        <v>22.5</v>
      </c>
      <c r="Y455" s="36">
        <v>1.8460913561532328</v>
      </c>
      <c r="Z455" s="36">
        <v>14.235351285753268</v>
      </c>
      <c r="AA455" s="29" t="s">
        <v>820</v>
      </c>
      <c r="AB455" s="31">
        <v>4.80655527115</v>
      </c>
      <c r="AC455" s="38">
        <v>2121.0</v>
      </c>
    </row>
    <row r="456" ht="14.25" customHeight="1">
      <c r="A456" s="29" t="s">
        <v>53</v>
      </c>
      <c r="B456" s="29">
        <v>31.0</v>
      </c>
      <c r="C456" s="29" t="s">
        <v>608</v>
      </c>
      <c r="D456" s="29" t="s">
        <v>751</v>
      </c>
      <c r="E456" s="29">
        <v>97.0</v>
      </c>
      <c r="F456" s="30" t="s">
        <v>752</v>
      </c>
      <c r="G456" s="29" t="s">
        <v>753</v>
      </c>
      <c r="H456" s="31">
        <v>3940.03</v>
      </c>
      <c r="I456" s="29" t="s">
        <v>612</v>
      </c>
      <c r="J456" s="32" t="s">
        <v>714</v>
      </c>
      <c r="K456" s="29" t="s">
        <v>698</v>
      </c>
      <c r="L456" s="29" t="s">
        <v>911</v>
      </c>
      <c r="M456" s="33">
        <v>16.433</v>
      </c>
      <c r="N456" s="33">
        <v>2.68</v>
      </c>
      <c r="O456" s="34" t="s">
        <v>601</v>
      </c>
      <c r="P456" s="32" t="s">
        <v>700</v>
      </c>
      <c r="Q456" s="35">
        <v>5.0</v>
      </c>
      <c r="R456" s="35">
        <v>1.0</v>
      </c>
      <c r="S456" s="36">
        <v>0.6205</v>
      </c>
      <c r="T456" s="36">
        <v>0.0705</v>
      </c>
      <c r="U456" s="36">
        <v>0.269</v>
      </c>
      <c r="V456" s="36">
        <v>0.2655</v>
      </c>
      <c r="W456" s="37" t="s">
        <v>623</v>
      </c>
      <c r="X456" s="31">
        <v>27.5</v>
      </c>
      <c r="Y456" s="36">
        <v>2.174942207619199</v>
      </c>
      <c r="Z456" s="36">
        <v>14.220023644003403</v>
      </c>
      <c r="AA456" s="29" t="s">
        <v>820</v>
      </c>
      <c r="AB456" s="31">
        <v>4.80655527115</v>
      </c>
      <c r="AC456" s="38">
        <v>2121.0</v>
      </c>
    </row>
    <row r="457" ht="14.25" customHeight="1">
      <c r="A457" s="29" t="s">
        <v>53</v>
      </c>
      <c r="B457" s="29">
        <v>31.0</v>
      </c>
      <c r="C457" s="29" t="s">
        <v>608</v>
      </c>
      <c r="D457" s="29" t="s">
        <v>751</v>
      </c>
      <c r="E457" s="29">
        <v>97.0</v>
      </c>
      <c r="F457" s="30" t="s">
        <v>752</v>
      </c>
      <c r="G457" s="29" t="s">
        <v>753</v>
      </c>
      <c r="H457" s="31">
        <v>3940.03</v>
      </c>
      <c r="I457" s="29" t="s">
        <v>612</v>
      </c>
      <c r="J457" s="32" t="s">
        <v>714</v>
      </c>
      <c r="K457" s="29" t="s">
        <v>698</v>
      </c>
      <c r="L457" s="29" t="s">
        <v>911</v>
      </c>
      <c r="M457" s="33">
        <v>16.433</v>
      </c>
      <c r="N457" s="33">
        <v>2.68</v>
      </c>
      <c r="O457" s="34" t="s">
        <v>601</v>
      </c>
      <c r="P457" s="32" t="s">
        <v>700</v>
      </c>
      <c r="Q457" s="35">
        <v>4.0</v>
      </c>
      <c r="R457" s="35">
        <v>1.0</v>
      </c>
      <c r="S457" s="36">
        <v>0.3702</v>
      </c>
      <c r="T457" s="36">
        <v>0.0705</v>
      </c>
      <c r="U457" s="36">
        <v>0.2305</v>
      </c>
      <c r="V457" s="36">
        <v>0.2655</v>
      </c>
      <c r="W457" s="37" t="s">
        <v>623</v>
      </c>
      <c r="X457" s="31">
        <v>32.5</v>
      </c>
      <c r="Y457" s="36">
        <v>1.6584798216222865</v>
      </c>
      <c r="Z457" s="36">
        <v>14.279354516792985</v>
      </c>
      <c r="AA457" s="29" t="s">
        <v>820</v>
      </c>
      <c r="AB457" s="31">
        <v>4.80655527115</v>
      </c>
      <c r="AC457" s="38">
        <v>2121.0</v>
      </c>
    </row>
    <row r="458" ht="14.25" customHeight="1">
      <c r="A458" s="29" t="s">
        <v>53</v>
      </c>
      <c r="B458" s="29">
        <v>31.0</v>
      </c>
      <c r="C458" s="29" t="s">
        <v>608</v>
      </c>
      <c r="D458" s="29" t="s">
        <v>751</v>
      </c>
      <c r="E458" s="29">
        <v>97.0</v>
      </c>
      <c r="F458" s="30" t="s">
        <v>752</v>
      </c>
      <c r="G458" s="29" t="s">
        <v>753</v>
      </c>
      <c r="H458" s="31">
        <v>3940.03</v>
      </c>
      <c r="I458" s="29" t="s">
        <v>612</v>
      </c>
      <c r="J458" s="32" t="s">
        <v>714</v>
      </c>
      <c r="K458" s="29" t="s">
        <v>698</v>
      </c>
      <c r="L458" s="29" t="s">
        <v>911</v>
      </c>
      <c r="M458" s="33">
        <v>16.433</v>
      </c>
      <c r="N458" s="33">
        <v>2.68</v>
      </c>
      <c r="O458" s="34" t="s">
        <v>601</v>
      </c>
      <c r="P458" s="32" t="s">
        <v>700</v>
      </c>
      <c r="Q458" s="35">
        <v>2.0</v>
      </c>
      <c r="R458" s="35">
        <v>1.0</v>
      </c>
      <c r="S458" s="36">
        <v>0.2115</v>
      </c>
      <c r="T458" s="36">
        <v>0.0705</v>
      </c>
      <c r="U458" s="36">
        <v>0.2115</v>
      </c>
      <c r="V458" s="36">
        <v>0.2655</v>
      </c>
      <c r="W458" s="37" t="s">
        <v>623</v>
      </c>
      <c r="X458" s="31">
        <v>37.5</v>
      </c>
      <c r="Y458" s="36">
        <v>1.0986982842823863</v>
      </c>
      <c r="Z458" s="36">
        <v>14.68243549117248</v>
      </c>
      <c r="AA458" s="29" t="s">
        <v>820</v>
      </c>
      <c r="AB458" s="31">
        <v>4.80655527115</v>
      </c>
      <c r="AC458" s="38">
        <v>2121.0</v>
      </c>
    </row>
    <row r="459" ht="14.25" customHeight="1">
      <c r="A459" s="29" t="s">
        <v>53</v>
      </c>
      <c r="B459" s="29">
        <v>32.0</v>
      </c>
      <c r="C459" s="29" t="s">
        <v>608</v>
      </c>
      <c r="D459" s="29" t="s">
        <v>751</v>
      </c>
      <c r="E459" s="29">
        <v>97.0</v>
      </c>
      <c r="F459" s="30" t="s">
        <v>752</v>
      </c>
      <c r="G459" s="29" t="s">
        <v>753</v>
      </c>
      <c r="H459" s="31">
        <v>3940.03</v>
      </c>
      <c r="I459" s="29" t="s">
        <v>612</v>
      </c>
      <c r="J459" s="32" t="s">
        <v>714</v>
      </c>
      <c r="K459" s="29" t="s">
        <v>698</v>
      </c>
      <c r="L459" s="29" t="s">
        <v>912</v>
      </c>
      <c r="M459" s="33">
        <v>20.651</v>
      </c>
      <c r="N459" s="33">
        <v>-1.991</v>
      </c>
      <c r="O459" s="34" t="s">
        <v>601</v>
      </c>
      <c r="P459" s="32" t="s">
        <v>700</v>
      </c>
      <c r="Q459" s="35">
        <v>25.0</v>
      </c>
      <c r="R459" s="35">
        <v>2.0</v>
      </c>
      <c r="S459" s="36">
        <v>0.0596</v>
      </c>
      <c r="T459" s="36">
        <v>0.0996</v>
      </c>
      <c r="U459" s="36">
        <v>0.2217</v>
      </c>
      <c r="V459" s="36">
        <v>0.0996</v>
      </c>
      <c r="W459" s="37" t="s">
        <v>623</v>
      </c>
      <c r="X459" s="31">
        <v>7.5</v>
      </c>
      <c r="Y459" s="36">
        <v>-0.5130755325248875</v>
      </c>
      <c r="Z459" s="36">
        <v>1.0534760821584614</v>
      </c>
      <c r="AA459" s="29" t="s">
        <v>820</v>
      </c>
      <c r="AB459" s="31">
        <v>1.91053104401</v>
      </c>
      <c r="AC459" s="38">
        <v>685.0</v>
      </c>
    </row>
    <row r="460" ht="14.25" customHeight="1">
      <c r="A460" s="29" t="s">
        <v>53</v>
      </c>
      <c r="B460" s="29">
        <v>32.0</v>
      </c>
      <c r="C460" s="29" t="s">
        <v>608</v>
      </c>
      <c r="D460" s="29" t="s">
        <v>751</v>
      </c>
      <c r="E460" s="29">
        <v>97.0</v>
      </c>
      <c r="F460" s="30" t="s">
        <v>752</v>
      </c>
      <c r="G460" s="29" t="s">
        <v>753</v>
      </c>
      <c r="H460" s="31">
        <v>3940.03</v>
      </c>
      <c r="I460" s="29" t="s">
        <v>612</v>
      </c>
      <c r="J460" s="32" t="s">
        <v>714</v>
      </c>
      <c r="K460" s="29" t="s">
        <v>698</v>
      </c>
      <c r="L460" s="29" t="s">
        <v>912</v>
      </c>
      <c r="M460" s="33">
        <v>20.651</v>
      </c>
      <c r="N460" s="33">
        <v>-1.991</v>
      </c>
      <c r="O460" s="34" t="s">
        <v>601</v>
      </c>
      <c r="P460" s="32" t="s">
        <v>700</v>
      </c>
      <c r="Q460" s="35">
        <v>15.0</v>
      </c>
      <c r="R460" s="35">
        <v>2.0</v>
      </c>
      <c r="S460" s="36">
        <v>0.0621</v>
      </c>
      <c r="T460" s="36">
        <v>0.0996</v>
      </c>
      <c r="U460" s="36">
        <v>0.1619</v>
      </c>
      <c r="V460" s="36">
        <v>0.0996</v>
      </c>
      <c r="W460" s="37" t="s">
        <v>623</v>
      </c>
      <c r="X460" s="31">
        <v>12.5</v>
      </c>
      <c r="Y460" s="36">
        <v>-0.4720024674490611</v>
      </c>
      <c r="Z460" s="36">
        <v>0.9531262668302038</v>
      </c>
      <c r="AA460" s="29" t="s">
        <v>820</v>
      </c>
      <c r="AB460" s="31">
        <v>1.91053104401</v>
      </c>
      <c r="AC460" s="38">
        <v>685.0</v>
      </c>
    </row>
    <row r="461" ht="14.25" customHeight="1">
      <c r="A461" s="29" t="s">
        <v>53</v>
      </c>
      <c r="B461" s="29">
        <v>32.0</v>
      </c>
      <c r="C461" s="29" t="s">
        <v>608</v>
      </c>
      <c r="D461" s="29" t="s">
        <v>751</v>
      </c>
      <c r="E461" s="29">
        <v>97.0</v>
      </c>
      <c r="F461" s="30" t="s">
        <v>752</v>
      </c>
      <c r="G461" s="29" t="s">
        <v>753</v>
      </c>
      <c r="H461" s="31">
        <v>3940.03</v>
      </c>
      <c r="I461" s="29" t="s">
        <v>612</v>
      </c>
      <c r="J461" s="32" t="s">
        <v>714</v>
      </c>
      <c r="K461" s="29" t="s">
        <v>698</v>
      </c>
      <c r="L461" s="29" t="s">
        <v>912</v>
      </c>
      <c r="M461" s="33">
        <v>20.651</v>
      </c>
      <c r="N461" s="33">
        <v>-1.991</v>
      </c>
      <c r="O461" s="34" t="s">
        <v>601</v>
      </c>
      <c r="P461" s="32" t="s">
        <v>700</v>
      </c>
      <c r="Q461" s="35">
        <v>29.0</v>
      </c>
      <c r="R461" s="35">
        <v>2.0</v>
      </c>
      <c r="S461" s="36">
        <v>0.0902</v>
      </c>
      <c r="T461" s="36">
        <v>0.0996</v>
      </c>
      <c r="U461" s="36">
        <v>0.2112</v>
      </c>
      <c r="V461" s="36">
        <v>0.0996</v>
      </c>
      <c r="W461" s="37" t="s">
        <v>623</v>
      </c>
      <c r="X461" s="31">
        <v>17.5</v>
      </c>
      <c r="Y461" s="36">
        <v>-0.098847893455015</v>
      </c>
      <c r="Z461" s="36">
        <v>0.6890500317955239</v>
      </c>
      <c r="AA461" s="29" t="s">
        <v>820</v>
      </c>
      <c r="AB461" s="31">
        <v>1.91053104401</v>
      </c>
      <c r="AC461" s="38">
        <v>685.0</v>
      </c>
    </row>
    <row r="462" ht="14.25" customHeight="1">
      <c r="A462" s="29" t="s">
        <v>53</v>
      </c>
      <c r="B462" s="29">
        <v>32.0</v>
      </c>
      <c r="C462" s="29" t="s">
        <v>608</v>
      </c>
      <c r="D462" s="29" t="s">
        <v>751</v>
      </c>
      <c r="E462" s="29">
        <v>97.0</v>
      </c>
      <c r="F462" s="30" t="s">
        <v>752</v>
      </c>
      <c r="G462" s="29" t="s">
        <v>753</v>
      </c>
      <c r="H462" s="31">
        <v>3940.03</v>
      </c>
      <c r="I462" s="29" t="s">
        <v>612</v>
      </c>
      <c r="J462" s="32" t="s">
        <v>714</v>
      </c>
      <c r="K462" s="29" t="s">
        <v>698</v>
      </c>
      <c r="L462" s="29" t="s">
        <v>912</v>
      </c>
      <c r="M462" s="33">
        <v>20.651</v>
      </c>
      <c r="N462" s="33">
        <v>-1.991</v>
      </c>
      <c r="O462" s="34" t="s">
        <v>601</v>
      </c>
      <c r="P462" s="32" t="s">
        <v>700</v>
      </c>
      <c r="Q462" s="35">
        <v>23.0</v>
      </c>
      <c r="R462" s="35">
        <v>2.0</v>
      </c>
      <c r="S462" s="36">
        <v>0.0737</v>
      </c>
      <c r="T462" s="36">
        <v>0.0996</v>
      </c>
      <c r="U462" s="36">
        <v>0.1433</v>
      </c>
      <c r="V462" s="36">
        <v>0.0996</v>
      </c>
      <c r="W462" s="37" t="s">
        <v>623</v>
      </c>
      <c r="X462" s="31">
        <v>22.5</v>
      </c>
      <c r="Y462" s="36">
        <v>-0.300810761382785</v>
      </c>
      <c r="Z462" s="36">
        <v>0.6643726546153823</v>
      </c>
      <c r="AA462" s="29" t="s">
        <v>820</v>
      </c>
      <c r="AB462" s="31">
        <v>1.91053104401</v>
      </c>
      <c r="AC462" s="38">
        <v>685.0</v>
      </c>
    </row>
    <row r="463" ht="14.25" customHeight="1">
      <c r="A463" s="29" t="s">
        <v>53</v>
      </c>
      <c r="B463" s="29">
        <v>32.0</v>
      </c>
      <c r="C463" s="29" t="s">
        <v>608</v>
      </c>
      <c r="D463" s="29" t="s">
        <v>751</v>
      </c>
      <c r="E463" s="29">
        <v>97.0</v>
      </c>
      <c r="F463" s="30" t="s">
        <v>752</v>
      </c>
      <c r="G463" s="29" t="s">
        <v>753</v>
      </c>
      <c r="H463" s="31">
        <v>3940.03</v>
      </c>
      <c r="I463" s="29" t="s">
        <v>612</v>
      </c>
      <c r="J463" s="32" t="s">
        <v>714</v>
      </c>
      <c r="K463" s="29" t="s">
        <v>698</v>
      </c>
      <c r="L463" s="29" t="s">
        <v>912</v>
      </c>
      <c r="M463" s="33">
        <v>20.651</v>
      </c>
      <c r="N463" s="33">
        <v>-1.991</v>
      </c>
      <c r="O463" s="34" t="s">
        <v>601</v>
      </c>
      <c r="P463" s="32" t="s">
        <v>700</v>
      </c>
      <c r="Q463" s="35">
        <v>10.0</v>
      </c>
      <c r="R463" s="35">
        <v>2.0</v>
      </c>
      <c r="S463" s="36">
        <v>0.0186</v>
      </c>
      <c r="T463" s="36">
        <v>0.0996</v>
      </c>
      <c r="U463" s="36">
        <v>0.0559</v>
      </c>
      <c r="V463" s="36">
        <v>0.0996</v>
      </c>
      <c r="W463" s="37" t="s">
        <v>623</v>
      </c>
      <c r="X463" s="31">
        <v>27.5</v>
      </c>
      <c r="Y463" s="36">
        <v>-1.6766199999812574</v>
      </c>
      <c r="Z463" s="36">
        <v>1.4032286969591863</v>
      </c>
      <c r="AA463" s="29" t="s">
        <v>820</v>
      </c>
      <c r="AB463" s="31">
        <v>1.91053104401</v>
      </c>
      <c r="AC463" s="38">
        <v>685.0</v>
      </c>
    </row>
    <row r="464" ht="14.25" customHeight="1">
      <c r="A464" s="29" t="s">
        <v>53</v>
      </c>
      <c r="B464" s="29">
        <v>32.0</v>
      </c>
      <c r="C464" s="29" t="s">
        <v>608</v>
      </c>
      <c r="D464" s="29" t="s">
        <v>751</v>
      </c>
      <c r="E464" s="29">
        <v>97.0</v>
      </c>
      <c r="F464" s="30" t="s">
        <v>752</v>
      </c>
      <c r="G464" s="29" t="s">
        <v>753</v>
      </c>
      <c r="H464" s="31">
        <v>3940.03</v>
      </c>
      <c r="I464" s="29" t="s">
        <v>612</v>
      </c>
      <c r="J464" s="32" t="s">
        <v>714</v>
      </c>
      <c r="K464" s="29" t="s">
        <v>698</v>
      </c>
      <c r="L464" s="29" t="s">
        <v>912</v>
      </c>
      <c r="M464" s="33">
        <v>20.651</v>
      </c>
      <c r="N464" s="33">
        <v>-1.991</v>
      </c>
      <c r="O464" s="34" t="s">
        <v>601</v>
      </c>
      <c r="P464" s="32" t="s">
        <v>700</v>
      </c>
      <c r="Q464" s="35">
        <v>6.0</v>
      </c>
      <c r="R464" s="35">
        <v>2.0</v>
      </c>
      <c r="S464" s="36">
        <v>0.0</v>
      </c>
      <c r="T464" s="36">
        <v>0.0996</v>
      </c>
      <c r="U464" s="36">
        <v>0.0</v>
      </c>
      <c r="V464" s="36">
        <v>0.0996</v>
      </c>
      <c r="W464" s="37" t="s">
        <v>623</v>
      </c>
      <c r="X464" s="31">
        <v>32.5</v>
      </c>
      <c r="Y464" s="36">
        <v>-8.262558973010657</v>
      </c>
      <c r="Z464" s="36">
        <v>0.6666666666666666</v>
      </c>
      <c r="AA464" s="29" t="s">
        <v>820</v>
      </c>
      <c r="AB464" s="31">
        <v>1.91053104401</v>
      </c>
      <c r="AC464" s="38">
        <v>685.0</v>
      </c>
    </row>
    <row r="465" ht="14.25" customHeight="1">
      <c r="A465" s="29" t="s">
        <v>53</v>
      </c>
      <c r="B465" s="29">
        <v>32.0</v>
      </c>
      <c r="C465" s="29" t="s">
        <v>608</v>
      </c>
      <c r="D465" s="29" t="s">
        <v>751</v>
      </c>
      <c r="E465" s="29">
        <v>97.0</v>
      </c>
      <c r="F465" s="30" t="s">
        <v>752</v>
      </c>
      <c r="G465" s="29" t="s">
        <v>753</v>
      </c>
      <c r="H465" s="31">
        <v>3940.03</v>
      </c>
      <c r="I465" s="29" t="s">
        <v>612</v>
      </c>
      <c r="J465" s="32" t="s">
        <v>714</v>
      </c>
      <c r="K465" s="29" t="s">
        <v>698</v>
      </c>
      <c r="L465" s="29" t="s">
        <v>912</v>
      </c>
      <c r="M465" s="33">
        <v>20.651</v>
      </c>
      <c r="N465" s="33">
        <v>-1.991</v>
      </c>
      <c r="O465" s="34" t="s">
        <v>601</v>
      </c>
      <c r="P465" s="32" t="s">
        <v>700</v>
      </c>
      <c r="Q465" s="35">
        <v>2.0</v>
      </c>
      <c r="R465" s="35">
        <v>2.0</v>
      </c>
      <c r="S465" s="36">
        <v>0.0</v>
      </c>
      <c r="T465" s="36">
        <v>0.0996</v>
      </c>
      <c r="U465" s="36">
        <v>0.0</v>
      </c>
      <c r="V465" s="36">
        <v>0.0996</v>
      </c>
      <c r="W465" s="37" t="s">
        <v>623</v>
      </c>
      <c r="X465" s="31">
        <v>37.5</v>
      </c>
      <c r="Y465" s="36">
        <v>-8.262558973010657</v>
      </c>
      <c r="Z465" s="36">
        <v>1.0</v>
      </c>
      <c r="AA465" s="29" t="s">
        <v>820</v>
      </c>
      <c r="AB465" s="31">
        <v>1.91053104401</v>
      </c>
      <c r="AC465" s="38">
        <v>685.0</v>
      </c>
    </row>
    <row r="466" ht="14.25" customHeight="1">
      <c r="A466" s="29" t="s">
        <v>134</v>
      </c>
      <c r="B466" s="29">
        <v>32.0</v>
      </c>
      <c r="C466" s="29" t="s">
        <v>608</v>
      </c>
      <c r="D466" s="29" t="s">
        <v>751</v>
      </c>
      <c r="E466" s="29">
        <v>97.0</v>
      </c>
      <c r="F466" s="30" t="s">
        <v>752</v>
      </c>
      <c r="G466" s="29" t="s">
        <v>753</v>
      </c>
      <c r="H466" s="31">
        <v>3940.03</v>
      </c>
      <c r="I466" s="29" t="s">
        <v>612</v>
      </c>
      <c r="J466" s="32" t="s">
        <v>714</v>
      </c>
      <c r="K466" s="29" t="s">
        <v>698</v>
      </c>
      <c r="L466" s="29" t="s">
        <v>912</v>
      </c>
      <c r="M466" s="33">
        <v>20.651</v>
      </c>
      <c r="N466" s="33">
        <v>-1.991</v>
      </c>
      <c r="O466" s="34" t="s">
        <v>601</v>
      </c>
      <c r="P466" s="32" t="s">
        <v>700</v>
      </c>
      <c r="Q466" s="35">
        <v>18.0</v>
      </c>
      <c r="R466" s="35">
        <v>2.0</v>
      </c>
      <c r="S466" s="36">
        <v>0.1242</v>
      </c>
      <c r="T466" s="36">
        <v>0.0996</v>
      </c>
      <c r="U466" s="36">
        <v>0.2706</v>
      </c>
      <c r="V466" s="36">
        <v>0.0996</v>
      </c>
      <c r="W466" s="37" t="s">
        <v>623</v>
      </c>
      <c r="X466" s="31">
        <v>2.5</v>
      </c>
      <c r="Y466" s="36">
        <v>0.22093788040416443</v>
      </c>
      <c r="Z466" s="36">
        <v>0.7637180693961483</v>
      </c>
      <c r="AA466" s="29" t="s">
        <v>820</v>
      </c>
      <c r="AB466" s="31">
        <v>1.91053104401</v>
      </c>
      <c r="AC466" s="38">
        <v>685.0</v>
      </c>
    </row>
    <row r="467" ht="14.25" customHeight="1">
      <c r="A467" s="29" t="s">
        <v>134</v>
      </c>
      <c r="B467" s="29">
        <v>136.0</v>
      </c>
      <c r="C467" s="29" t="s">
        <v>593</v>
      </c>
      <c r="D467" s="29" t="s">
        <v>913</v>
      </c>
      <c r="E467" s="29">
        <v>230.0</v>
      </c>
      <c r="F467" s="30" t="s">
        <v>914</v>
      </c>
      <c r="G467" s="29" t="s">
        <v>607</v>
      </c>
      <c r="H467" s="31">
        <v>3.1</v>
      </c>
      <c r="I467" s="29" t="s">
        <v>597</v>
      </c>
      <c r="J467" s="32" t="s">
        <v>642</v>
      </c>
      <c r="K467" s="29" t="s">
        <v>599</v>
      </c>
      <c r="L467" s="29" t="s">
        <v>915</v>
      </c>
      <c r="M467" s="36">
        <v>-76.46</v>
      </c>
      <c r="N467" s="36">
        <v>-0.632</v>
      </c>
      <c r="O467" s="34" t="s">
        <v>601</v>
      </c>
      <c r="P467" s="32" t="s">
        <v>700</v>
      </c>
      <c r="Q467" s="29">
        <v>1.0</v>
      </c>
      <c r="R467" s="29">
        <v>1.0</v>
      </c>
      <c r="S467" s="36">
        <v>0.0</v>
      </c>
      <c r="T467" s="36">
        <v>3.6</v>
      </c>
      <c r="U467" s="36">
        <f t="shared" ref="U467:V467" si="72">SQRT(S467)</f>
        <v>0</v>
      </c>
      <c r="V467" s="36">
        <f t="shared" si="72"/>
        <v>1.897366596</v>
      </c>
      <c r="W467" s="37" t="s">
        <v>916</v>
      </c>
      <c r="X467" s="31" t="e">
        <v>#REF!</v>
      </c>
      <c r="Y467" s="36">
        <v>-6.643789733147672</v>
      </c>
      <c r="Z467" s="36">
        <v>1.34190164164789</v>
      </c>
      <c r="AA467" s="29" t="s">
        <v>820</v>
      </c>
      <c r="AB467" s="31">
        <v>4.88</v>
      </c>
      <c r="AC467" s="38">
        <v>1656.75</v>
      </c>
    </row>
    <row r="468" ht="14.25" customHeight="1">
      <c r="A468" s="29" t="s">
        <v>134</v>
      </c>
      <c r="B468" s="29">
        <v>136.0</v>
      </c>
      <c r="C468" s="29" t="s">
        <v>593</v>
      </c>
      <c r="D468" s="29" t="s">
        <v>917</v>
      </c>
      <c r="E468" s="29">
        <v>301.0</v>
      </c>
      <c r="F468" s="39" t="s">
        <v>918</v>
      </c>
      <c r="G468" s="29" t="s">
        <v>902</v>
      </c>
      <c r="H468" s="31">
        <v>0.17877</v>
      </c>
      <c r="I468" s="29" t="s">
        <v>597</v>
      </c>
      <c r="J468" s="32" t="s">
        <v>642</v>
      </c>
      <c r="K468" s="29" t="s">
        <v>599</v>
      </c>
      <c r="L468" s="29" t="s">
        <v>915</v>
      </c>
      <c r="M468" s="36">
        <v>-76.46</v>
      </c>
      <c r="N468" s="36">
        <v>-0.632</v>
      </c>
      <c r="O468" s="34" t="s">
        <v>601</v>
      </c>
      <c r="P468" s="32" t="s">
        <v>700</v>
      </c>
      <c r="Q468" s="29">
        <v>1.0</v>
      </c>
      <c r="R468" s="29">
        <v>1.0</v>
      </c>
      <c r="S468" s="36">
        <v>0.0</v>
      </c>
      <c r="T468" s="36">
        <v>7.2</v>
      </c>
      <c r="U468" s="36">
        <f t="shared" ref="U468:V468" si="73">SQRT(S468)</f>
        <v>0</v>
      </c>
      <c r="V468" s="36">
        <f t="shared" si="73"/>
        <v>2.683281573</v>
      </c>
      <c r="W468" s="37" t="s">
        <v>916</v>
      </c>
      <c r="X468" s="31" t="e">
        <v>#REF!</v>
      </c>
      <c r="Y468" s="36">
        <v>-6.643789733147672</v>
      </c>
      <c r="Z468" s="36">
        <v>1.1709104667397494</v>
      </c>
      <c r="AA468" s="29" t="s">
        <v>820</v>
      </c>
      <c r="AB468" s="31">
        <v>4.88</v>
      </c>
      <c r="AC468" s="38">
        <v>1656.75</v>
      </c>
    </row>
    <row r="469" ht="14.25" customHeight="1">
      <c r="A469" s="29" t="s">
        <v>134</v>
      </c>
      <c r="B469" s="29">
        <v>136.0</v>
      </c>
      <c r="C469" s="29" t="s">
        <v>593</v>
      </c>
      <c r="D469" s="29" t="s">
        <v>919</v>
      </c>
      <c r="E469" s="29">
        <v>260.0</v>
      </c>
      <c r="F469" s="30" t="s">
        <v>920</v>
      </c>
      <c r="G469" s="29" t="s">
        <v>607</v>
      </c>
      <c r="H469" s="31">
        <v>1.82</v>
      </c>
      <c r="I469" s="29" t="s">
        <v>597</v>
      </c>
      <c r="J469" s="32" t="s">
        <v>642</v>
      </c>
      <c r="K469" s="29" t="s">
        <v>599</v>
      </c>
      <c r="L469" s="29" t="s">
        <v>915</v>
      </c>
      <c r="M469" s="36">
        <v>-76.46</v>
      </c>
      <c r="N469" s="36">
        <v>-0.632</v>
      </c>
      <c r="O469" s="34" t="s">
        <v>601</v>
      </c>
      <c r="P469" s="32" t="s">
        <v>700</v>
      </c>
      <c r="Q469" s="29">
        <v>1.0</v>
      </c>
      <c r="R469" s="29">
        <v>1.0</v>
      </c>
      <c r="S469" s="36">
        <v>0.0</v>
      </c>
      <c r="T469" s="36">
        <v>15.5</v>
      </c>
      <c r="U469" s="36">
        <f t="shared" ref="U469:V469" si="74">SQRT(S469)</f>
        <v>0</v>
      </c>
      <c r="V469" s="36">
        <f t="shared" si="74"/>
        <v>3.937003937</v>
      </c>
      <c r="W469" s="37" t="s">
        <v>916</v>
      </c>
      <c r="X469" s="31" t="e">
        <v>#REF!</v>
      </c>
      <c r="Y469" s="36">
        <v>-6.643789733147672</v>
      </c>
      <c r="Z469" s="36">
        <v>1.0769023591289293</v>
      </c>
      <c r="AA469" s="29" t="s">
        <v>820</v>
      </c>
      <c r="AB469" s="31">
        <v>4.88</v>
      </c>
      <c r="AC469" s="38">
        <v>1656.75</v>
      </c>
    </row>
    <row r="470" ht="14.25" customHeight="1">
      <c r="A470" s="29" t="s">
        <v>134</v>
      </c>
      <c r="B470" s="29">
        <v>136.0</v>
      </c>
      <c r="C470" s="29" t="s">
        <v>608</v>
      </c>
      <c r="D470" s="29" t="s">
        <v>825</v>
      </c>
      <c r="E470" s="29">
        <v>5.0</v>
      </c>
      <c r="F470" s="30" t="s">
        <v>826</v>
      </c>
      <c r="G470" s="29" t="s">
        <v>611</v>
      </c>
      <c r="H470" s="31">
        <v>6.15</v>
      </c>
      <c r="I470" s="29" t="s">
        <v>612</v>
      </c>
      <c r="J470" s="32" t="s">
        <v>642</v>
      </c>
      <c r="K470" s="29" t="s">
        <v>599</v>
      </c>
      <c r="L470" s="29" t="s">
        <v>915</v>
      </c>
      <c r="M470" s="36">
        <v>-76.46</v>
      </c>
      <c r="N470" s="36">
        <v>-0.632</v>
      </c>
      <c r="O470" s="34" t="s">
        <v>601</v>
      </c>
      <c r="P470" s="32" t="s">
        <v>700</v>
      </c>
      <c r="Q470" s="29">
        <v>1.0</v>
      </c>
      <c r="R470" s="29">
        <v>1.0</v>
      </c>
      <c r="S470" s="36">
        <v>0.0</v>
      </c>
      <c r="T470" s="36">
        <v>2.2</v>
      </c>
      <c r="U470" s="36">
        <f t="shared" ref="U470:V470" si="75">SQRT(S470)</f>
        <v>0</v>
      </c>
      <c r="V470" s="36">
        <f t="shared" si="75"/>
        <v>1.483239697</v>
      </c>
      <c r="W470" s="37" t="s">
        <v>916</v>
      </c>
      <c r="X470" s="31" t="e">
        <v>#REF!</v>
      </c>
      <c r="Y470" s="36">
        <v>-8.262558973010657</v>
      </c>
      <c r="Z470" s="36">
        <v>1.5395390531439137</v>
      </c>
      <c r="AA470" s="29" t="s">
        <v>820</v>
      </c>
      <c r="AB470" s="31">
        <v>4.88</v>
      </c>
      <c r="AC470" s="38">
        <v>1656.75</v>
      </c>
    </row>
    <row r="471" ht="14.25" customHeight="1">
      <c r="A471" s="29" t="s">
        <v>134</v>
      </c>
      <c r="B471" s="29">
        <v>136.0</v>
      </c>
      <c r="C471" s="29" t="s">
        <v>608</v>
      </c>
      <c r="D471" s="29" t="s">
        <v>921</v>
      </c>
      <c r="E471" s="29">
        <v>228.0</v>
      </c>
      <c r="F471" s="30" t="s">
        <v>922</v>
      </c>
      <c r="G471" s="29" t="s">
        <v>611</v>
      </c>
      <c r="H471" s="31">
        <v>5.0</v>
      </c>
      <c r="I471" s="29" t="s">
        <v>597</v>
      </c>
      <c r="J471" s="32" t="s">
        <v>642</v>
      </c>
      <c r="K471" s="29" t="s">
        <v>599</v>
      </c>
      <c r="L471" s="29" t="s">
        <v>915</v>
      </c>
      <c r="M471" s="36">
        <v>-76.46</v>
      </c>
      <c r="N471" s="36">
        <v>-0.632</v>
      </c>
      <c r="O471" s="34" t="s">
        <v>601</v>
      </c>
      <c r="P471" s="32" t="s">
        <v>700</v>
      </c>
      <c r="Q471" s="29">
        <v>1.0</v>
      </c>
      <c r="R471" s="29">
        <v>1.0</v>
      </c>
      <c r="S471" s="36">
        <v>0.0</v>
      </c>
      <c r="T471" s="36">
        <v>21.2</v>
      </c>
      <c r="U471" s="36">
        <f t="shared" ref="U471:V471" si="76">SQRT(S471)</f>
        <v>0</v>
      </c>
      <c r="V471" s="36">
        <f t="shared" si="76"/>
        <v>4.604345773</v>
      </c>
      <c r="W471" s="37" t="s">
        <v>916</v>
      </c>
      <c r="X471" s="31" t="e">
        <v>#REF!</v>
      </c>
      <c r="Y471" s="36">
        <v>-8.262558973010657</v>
      </c>
      <c r="Z471" s="36">
        <v>1.0553300044029148</v>
      </c>
      <c r="AA471" s="29" t="s">
        <v>820</v>
      </c>
      <c r="AB471" s="31">
        <v>4.88</v>
      </c>
      <c r="AC471" s="38">
        <v>1656.75</v>
      </c>
    </row>
    <row r="472" ht="14.25" customHeight="1">
      <c r="A472" s="29" t="s">
        <v>134</v>
      </c>
      <c r="B472" s="29">
        <v>136.0</v>
      </c>
      <c r="C472" s="29" t="s">
        <v>608</v>
      </c>
      <c r="D472" s="29" t="s">
        <v>650</v>
      </c>
      <c r="E472" s="29">
        <v>70.0</v>
      </c>
      <c r="F472" s="30" t="s">
        <v>651</v>
      </c>
      <c r="G472" s="29" t="s">
        <v>615</v>
      </c>
      <c r="H472" s="31">
        <v>8.17</v>
      </c>
      <c r="I472" s="29" t="s">
        <v>616</v>
      </c>
      <c r="J472" s="32" t="s">
        <v>642</v>
      </c>
      <c r="K472" s="29" t="s">
        <v>599</v>
      </c>
      <c r="L472" s="29" t="s">
        <v>915</v>
      </c>
      <c r="M472" s="36">
        <v>-76.46</v>
      </c>
      <c r="N472" s="36">
        <v>-0.632</v>
      </c>
      <c r="O472" s="34" t="s">
        <v>601</v>
      </c>
      <c r="P472" s="32" t="s">
        <v>700</v>
      </c>
      <c r="Q472" s="29">
        <v>1.0</v>
      </c>
      <c r="R472" s="29">
        <v>1.0</v>
      </c>
      <c r="S472" s="36">
        <v>13.0</v>
      </c>
      <c r="T472" s="36">
        <v>47.8</v>
      </c>
      <c r="U472" s="36">
        <f t="shared" ref="U472:V472" si="77">SQRT(S472)</f>
        <v>3.605551275</v>
      </c>
      <c r="V472" s="36">
        <f t="shared" si="77"/>
        <v>6.913754407</v>
      </c>
      <c r="W472" s="37" t="s">
        <v>916</v>
      </c>
      <c r="X472" s="31" t="e">
        <v>#REF!</v>
      </c>
      <c r="Y472" s="36">
        <v>-1.3011280931443368</v>
      </c>
      <c r="Z472" s="36">
        <v>0.09784357901512712</v>
      </c>
      <c r="AA472" s="29" t="s">
        <v>820</v>
      </c>
      <c r="AB472" s="31">
        <v>4.88</v>
      </c>
      <c r="AC472" s="38">
        <v>1656.75</v>
      </c>
    </row>
    <row r="473" ht="14.25" customHeight="1">
      <c r="A473" s="29" t="s">
        <v>134</v>
      </c>
      <c r="B473" s="29">
        <v>136.0</v>
      </c>
      <c r="C473" s="29" t="s">
        <v>608</v>
      </c>
      <c r="D473" s="29" t="s">
        <v>923</v>
      </c>
      <c r="E473" s="29">
        <v>229.0</v>
      </c>
      <c r="F473" s="30" t="s">
        <v>924</v>
      </c>
      <c r="G473" s="29" t="s">
        <v>615</v>
      </c>
      <c r="H473" s="31">
        <v>3.5</v>
      </c>
      <c r="I473" s="29" t="s">
        <v>616</v>
      </c>
      <c r="J473" s="32" t="s">
        <v>642</v>
      </c>
      <c r="K473" s="29" t="s">
        <v>599</v>
      </c>
      <c r="L473" s="29" t="s">
        <v>915</v>
      </c>
      <c r="M473" s="36">
        <v>-76.46</v>
      </c>
      <c r="N473" s="36">
        <v>-0.632</v>
      </c>
      <c r="O473" s="34" t="s">
        <v>601</v>
      </c>
      <c r="P473" s="32" t="s">
        <v>700</v>
      </c>
      <c r="Q473" s="29">
        <v>1.0</v>
      </c>
      <c r="R473" s="29">
        <v>1.0</v>
      </c>
      <c r="S473" s="36">
        <v>12.5</v>
      </c>
      <c r="T473" s="36">
        <v>4.0</v>
      </c>
      <c r="U473" s="36">
        <f t="shared" ref="U473:V473" si="78">SQRT(S473)</f>
        <v>3.535533906</v>
      </c>
      <c r="V473" s="36">
        <f t="shared" si="78"/>
        <v>2</v>
      </c>
      <c r="W473" s="37" t="s">
        <v>916</v>
      </c>
      <c r="X473" s="31" t="e">
        <v>#REF!</v>
      </c>
      <c r="Y473" s="36">
        <v>1.1395168391200554</v>
      </c>
      <c r="Z473" s="36">
        <v>0.33</v>
      </c>
      <c r="AA473" s="29" t="s">
        <v>820</v>
      </c>
      <c r="AB473" s="31">
        <v>4.88</v>
      </c>
      <c r="AC473" s="38">
        <v>1656.75</v>
      </c>
    </row>
    <row r="474" ht="14.25" customHeight="1">
      <c r="A474" s="29" t="s">
        <v>134</v>
      </c>
      <c r="B474" s="29">
        <v>136.0</v>
      </c>
      <c r="C474" s="29" t="s">
        <v>608</v>
      </c>
      <c r="D474" s="29" t="s">
        <v>617</v>
      </c>
      <c r="E474" s="29">
        <v>75.0</v>
      </c>
      <c r="F474" s="30" t="s">
        <v>618</v>
      </c>
      <c r="G474" s="29" t="s">
        <v>619</v>
      </c>
      <c r="H474" s="31">
        <v>4.2</v>
      </c>
      <c r="I474" s="29" t="s">
        <v>620</v>
      </c>
      <c r="J474" s="32" t="s">
        <v>642</v>
      </c>
      <c r="K474" s="29" t="s">
        <v>599</v>
      </c>
      <c r="L474" s="29" t="s">
        <v>915</v>
      </c>
      <c r="M474" s="36">
        <v>-76.46</v>
      </c>
      <c r="N474" s="36">
        <v>-0.632</v>
      </c>
      <c r="O474" s="34" t="s">
        <v>601</v>
      </c>
      <c r="P474" s="32" t="s">
        <v>700</v>
      </c>
      <c r="Q474" s="29">
        <v>1.0</v>
      </c>
      <c r="R474" s="29">
        <v>1.0</v>
      </c>
      <c r="S474" s="36">
        <v>0.0</v>
      </c>
      <c r="T474" s="36">
        <v>0.4</v>
      </c>
      <c r="U474" s="36">
        <f t="shared" ref="U474:V474" si="79">SQRT(S474)</f>
        <v>0</v>
      </c>
      <c r="V474" s="36">
        <f t="shared" si="79"/>
        <v>0.632455532</v>
      </c>
      <c r="W474" s="37" t="s">
        <v>916</v>
      </c>
      <c r="X474" s="31" t="e">
        <v>#REF!</v>
      </c>
      <c r="Y474" s="36">
        <v>-8.262558973010657</v>
      </c>
      <c r="Z474" s="36">
        <v>2.5832784346094764</v>
      </c>
      <c r="AA474" s="29" t="s">
        <v>820</v>
      </c>
      <c r="AB474" s="31">
        <v>4.88</v>
      </c>
      <c r="AC474" s="38">
        <v>1656.75</v>
      </c>
    </row>
    <row r="475" ht="14.25" customHeight="1">
      <c r="A475" s="29" t="s">
        <v>134</v>
      </c>
      <c r="B475" s="29">
        <v>136.0</v>
      </c>
      <c r="C475" s="29" t="s">
        <v>608</v>
      </c>
      <c r="D475" s="29" t="s">
        <v>677</v>
      </c>
      <c r="E475" s="29">
        <v>100.0</v>
      </c>
      <c r="F475" s="30" t="s">
        <v>678</v>
      </c>
      <c r="G475" s="29" t="s">
        <v>626</v>
      </c>
      <c r="H475" s="31">
        <v>22.8</v>
      </c>
      <c r="I475" s="29" t="s">
        <v>612</v>
      </c>
      <c r="J475" s="32" t="s">
        <v>642</v>
      </c>
      <c r="K475" s="29" t="s">
        <v>599</v>
      </c>
      <c r="L475" s="29" t="s">
        <v>915</v>
      </c>
      <c r="M475" s="36">
        <v>-76.46</v>
      </c>
      <c r="N475" s="36">
        <v>-0.632</v>
      </c>
      <c r="O475" s="34" t="s">
        <v>601</v>
      </c>
      <c r="P475" s="32" t="s">
        <v>700</v>
      </c>
      <c r="Q475" s="29">
        <v>1.0</v>
      </c>
      <c r="R475" s="29">
        <v>1.0</v>
      </c>
      <c r="S475" s="36">
        <v>57.7</v>
      </c>
      <c r="T475" s="36">
        <v>211.2</v>
      </c>
      <c r="U475" s="36">
        <f t="shared" ref="U475:V475" si="80">SQRT(S475)</f>
        <v>7.596051606</v>
      </c>
      <c r="V475" s="36">
        <f t="shared" si="80"/>
        <v>14.5327217</v>
      </c>
      <c r="W475" s="37" t="s">
        <v>916</v>
      </c>
      <c r="X475" s="31" t="e">
        <v>#REF!</v>
      </c>
      <c r="Y475" s="36">
        <v>-1.2966044710083091</v>
      </c>
      <c r="Z475" s="36">
        <v>0.022065871015177773</v>
      </c>
      <c r="AA475" s="29" t="s">
        <v>820</v>
      </c>
      <c r="AB475" s="31">
        <v>4.88</v>
      </c>
      <c r="AC475" s="38">
        <v>1656.75</v>
      </c>
    </row>
    <row r="476" ht="14.25" customHeight="1">
      <c r="A476" s="29" t="s">
        <v>134</v>
      </c>
      <c r="B476" s="29">
        <v>136.0</v>
      </c>
      <c r="C476" s="29" t="s">
        <v>608</v>
      </c>
      <c r="D476" s="29" t="s">
        <v>925</v>
      </c>
      <c r="E476" s="29">
        <v>108.0</v>
      </c>
      <c r="F476" s="30" t="s">
        <v>926</v>
      </c>
      <c r="G476" s="29" t="s">
        <v>615</v>
      </c>
      <c r="H476" s="31">
        <v>0.97</v>
      </c>
      <c r="I476" s="29" t="s">
        <v>616</v>
      </c>
      <c r="J476" s="32" t="s">
        <v>642</v>
      </c>
      <c r="K476" s="29" t="s">
        <v>599</v>
      </c>
      <c r="L476" s="29" t="s">
        <v>915</v>
      </c>
      <c r="M476" s="36">
        <v>-76.46</v>
      </c>
      <c r="N476" s="36">
        <v>-0.632</v>
      </c>
      <c r="O476" s="34" t="s">
        <v>601</v>
      </c>
      <c r="P476" s="32" t="s">
        <v>700</v>
      </c>
      <c r="Q476" s="29">
        <v>1.0</v>
      </c>
      <c r="R476" s="29">
        <v>1.0</v>
      </c>
      <c r="S476" s="36">
        <v>0.5</v>
      </c>
      <c r="T476" s="36">
        <v>2.2</v>
      </c>
      <c r="U476" s="36">
        <f t="shared" ref="U476:V476" si="81">SQRT(S476)</f>
        <v>0.7071067812</v>
      </c>
      <c r="V476" s="36">
        <f t="shared" si="81"/>
        <v>1.483239697</v>
      </c>
      <c r="W476" s="37" t="s">
        <v>916</v>
      </c>
      <c r="X476" s="31" t="e">
        <v>#REF!</v>
      </c>
      <c r="Y476" s="36">
        <v>-1.480469993847744</v>
      </c>
      <c r="Z476" s="36">
        <v>2.454545454545455</v>
      </c>
      <c r="AA476" s="29" t="s">
        <v>820</v>
      </c>
      <c r="AB476" s="31">
        <v>4.88</v>
      </c>
      <c r="AC476" s="38">
        <v>1656.75</v>
      </c>
    </row>
    <row r="477" ht="14.25" customHeight="1">
      <c r="A477" s="29" t="s">
        <v>134</v>
      </c>
      <c r="B477" s="29">
        <v>136.0</v>
      </c>
      <c r="C477" s="29" t="s">
        <v>608</v>
      </c>
      <c r="D477" s="29" t="s">
        <v>927</v>
      </c>
      <c r="E477" s="29">
        <v>109.0</v>
      </c>
      <c r="F477" s="30" t="s">
        <v>928</v>
      </c>
      <c r="G477" s="29" t="s">
        <v>695</v>
      </c>
      <c r="H477" s="31">
        <v>22.33</v>
      </c>
      <c r="I477" s="29" t="s">
        <v>620</v>
      </c>
      <c r="J477" s="32" t="s">
        <v>642</v>
      </c>
      <c r="K477" s="29" t="s">
        <v>599</v>
      </c>
      <c r="L477" s="29" t="s">
        <v>915</v>
      </c>
      <c r="M477" s="36">
        <v>-76.46</v>
      </c>
      <c r="N477" s="36">
        <v>-0.632</v>
      </c>
      <c r="O477" s="34" t="s">
        <v>601</v>
      </c>
      <c r="P477" s="32" t="s">
        <v>700</v>
      </c>
      <c r="Q477" s="29">
        <v>1.0</v>
      </c>
      <c r="R477" s="29">
        <v>1.0</v>
      </c>
      <c r="S477" s="36">
        <v>0.0</v>
      </c>
      <c r="T477" s="36">
        <v>0.7</v>
      </c>
      <c r="U477" s="36">
        <f t="shared" ref="U477:V477" si="82">SQRT(S477)</f>
        <v>0</v>
      </c>
      <c r="V477" s="36">
        <f t="shared" si="82"/>
        <v>0.8366600265</v>
      </c>
      <c r="W477" s="37" t="s">
        <v>916</v>
      </c>
      <c r="X477" s="31" t="e">
        <v>#REF!</v>
      </c>
      <c r="Y477" s="36">
        <v>-8.262558973010657</v>
      </c>
      <c r="Z477" s="36">
        <v>2.2407361295375523</v>
      </c>
      <c r="AA477" s="29" t="s">
        <v>820</v>
      </c>
      <c r="AB477" s="31">
        <v>4.88</v>
      </c>
      <c r="AC477" s="38">
        <v>1656.75</v>
      </c>
    </row>
    <row r="478" ht="14.25" customHeight="1">
      <c r="A478" s="29" t="s">
        <v>134</v>
      </c>
      <c r="B478" s="29">
        <v>136.0</v>
      </c>
      <c r="C478" s="29" t="s">
        <v>608</v>
      </c>
      <c r="D478" s="29" t="s">
        <v>630</v>
      </c>
      <c r="E478" s="29">
        <v>129.0</v>
      </c>
      <c r="F478" s="30" t="s">
        <v>631</v>
      </c>
      <c r="G478" s="29" t="s">
        <v>626</v>
      </c>
      <c r="H478" s="31">
        <v>21.27</v>
      </c>
      <c r="I478" s="29" t="s">
        <v>612</v>
      </c>
      <c r="J478" s="32" t="s">
        <v>642</v>
      </c>
      <c r="K478" s="29" t="s">
        <v>599</v>
      </c>
      <c r="L478" s="29" t="s">
        <v>915</v>
      </c>
      <c r="M478" s="36">
        <v>-76.46</v>
      </c>
      <c r="N478" s="36">
        <v>-0.632</v>
      </c>
      <c r="O478" s="34" t="s">
        <v>601</v>
      </c>
      <c r="P478" s="32" t="s">
        <v>700</v>
      </c>
      <c r="Q478" s="29">
        <v>1.0</v>
      </c>
      <c r="R478" s="29">
        <v>1.0</v>
      </c>
      <c r="S478" s="36">
        <v>5.5</v>
      </c>
      <c r="T478" s="36">
        <v>48.2</v>
      </c>
      <c r="U478" s="36">
        <f t="shared" ref="U478:V478" si="83">SQRT(S478)</f>
        <v>2.34520788</v>
      </c>
      <c r="V478" s="36">
        <f t="shared" si="83"/>
        <v>6.942621983</v>
      </c>
      <c r="W478" s="37" t="s">
        <v>916</v>
      </c>
      <c r="X478" s="31" t="e">
        <v>#REF!</v>
      </c>
      <c r="Y478" s="36">
        <v>-2.16835248093871</v>
      </c>
      <c r="Z478" s="36">
        <v>0.2025650697849868</v>
      </c>
      <c r="AA478" s="29" t="s">
        <v>820</v>
      </c>
      <c r="AB478" s="31">
        <v>4.88</v>
      </c>
      <c r="AC478" s="38">
        <v>1656.75</v>
      </c>
    </row>
    <row r="479" ht="14.25" customHeight="1">
      <c r="A479" s="29" t="s">
        <v>134</v>
      </c>
      <c r="B479" s="29">
        <v>136.0</v>
      </c>
      <c r="C479" s="29" t="s">
        <v>608</v>
      </c>
      <c r="D479" s="29" t="s">
        <v>929</v>
      </c>
      <c r="E479" s="29">
        <v>302.0</v>
      </c>
      <c r="F479" s="30" t="s">
        <v>930</v>
      </c>
      <c r="G479" s="29" t="s">
        <v>629</v>
      </c>
      <c r="H479" s="31">
        <v>6.94992</v>
      </c>
      <c r="I479" s="29" t="s">
        <v>616</v>
      </c>
      <c r="J479" s="32" t="s">
        <v>642</v>
      </c>
      <c r="K479" s="29" t="s">
        <v>599</v>
      </c>
      <c r="L479" s="29" t="s">
        <v>915</v>
      </c>
      <c r="M479" s="36">
        <v>-76.46</v>
      </c>
      <c r="N479" s="36">
        <v>-0.632</v>
      </c>
      <c r="O479" s="34" t="s">
        <v>601</v>
      </c>
      <c r="P479" s="32" t="s">
        <v>700</v>
      </c>
      <c r="Q479" s="29">
        <v>1.0</v>
      </c>
      <c r="R479" s="29">
        <v>1.0</v>
      </c>
      <c r="S479" s="36">
        <v>0.0</v>
      </c>
      <c r="T479" s="36">
        <v>1.1</v>
      </c>
      <c r="U479" s="36">
        <f t="shared" ref="U479:V479" si="84">SQRT(S479)</f>
        <v>0</v>
      </c>
      <c r="V479" s="36">
        <f t="shared" si="84"/>
        <v>1.048808848</v>
      </c>
      <c r="W479" s="37" t="s">
        <v>916</v>
      </c>
      <c r="X479" s="31" t="e">
        <v>#REF!</v>
      </c>
      <c r="Y479" s="36">
        <v>-8.262558973010657</v>
      </c>
      <c r="Z479" s="36">
        <v>1.9370347063164655</v>
      </c>
      <c r="AA479" s="29" t="s">
        <v>820</v>
      </c>
      <c r="AB479" s="31">
        <v>4.88</v>
      </c>
      <c r="AC479" s="38">
        <v>1656.75</v>
      </c>
    </row>
    <row r="480" ht="14.25" customHeight="1">
      <c r="A480" s="29" t="s">
        <v>134</v>
      </c>
      <c r="B480" s="29">
        <v>136.0</v>
      </c>
      <c r="C480" s="29" t="s">
        <v>608</v>
      </c>
      <c r="D480" s="29" t="s">
        <v>663</v>
      </c>
      <c r="E480" s="29">
        <v>189.0</v>
      </c>
      <c r="F480" s="30" t="s">
        <v>637</v>
      </c>
      <c r="G480" s="29" t="s">
        <v>638</v>
      </c>
      <c r="H480" s="31">
        <v>207.5</v>
      </c>
      <c r="I480" s="29" t="s">
        <v>612</v>
      </c>
      <c r="J480" s="32" t="s">
        <v>642</v>
      </c>
      <c r="K480" s="29" t="s">
        <v>599</v>
      </c>
      <c r="L480" s="29" t="s">
        <v>915</v>
      </c>
      <c r="M480" s="36">
        <v>-76.46</v>
      </c>
      <c r="N480" s="36">
        <v>-0.632</v>
      </c>
      <c r="O480" s="34" t="s">
        <v>601</v>
      </c>
      <c r="P480" s="32" t="s">
        <v>700</v>
      </c>
      <c r="Q480" s="29">
        <v>1.0</v>
      </c>
      <c r="R480" s="29">
        <v>1.0</v>
      </c>
      <c r="S480" s="36">
        <v>25.5</v>
      </c>
      <c r="T480" s="36">
        <v>37.1</v>
      </c>
      <c r="U480" s="36">
        <f t="shared" ref="U480:V480" si="85">SQRT(S480)</f>
        <v>5.049752469</v>
      </c>
      <c r="V480" s="36">
        <f t="shared" si="85"/>
        <v>6.090976933</v>
      </c>
      <c r="W480" s="37" t="s">
        <v>916</v>
      </c>
      <c r="X480" s="31" t="e">
        <v>#REF!</v>
      </c>
      <c r="Y480" s="36">
        <v>-0.3745632261766002</v>
      </c>
      <c r="Z480" s="36">
        <v>0.06616986417208393</v>
      </c>
      <c r="AA480" s="29" t="s">
        <v>820</v>
      </c>
      <c r="AB480" s="31">
        <v>4.88</v>
      </c>
      <c r="AC480" s="38">
        <v>1656.75</v>
      </c>
    </row>
    <row r="481" ht="14.25" customHeight="1">
      <c r="A481" s="29" t="s">
        <v>134</v>
      </c>
      <c r="B481" s="29">
        <v>136.0</v>
      </c>
      <c r="C481" s="29" t="s">
        <v>608</v>
      </c>
      <c r="D481" s="29" t="s">
        <v>639</v>
      </c>
      <c r="E481" s="29">
        <v>190.0</v>
      </c>
      <c r="F481" s="30" t="s">
        <v>640</v>
      </c>
      <c r="G481" s="29" t="s">
        <v>626</v>
      </c>
      <c r="H481" s="31">
        <v>32.23</v>
      </c>
      <c r="I481" s="29" t="s">
        <v>597</v>
      </c>
      <c r="J481" s="32" t="s">
        <v>642</v>
      </c>
      <c r="K481" s="29" t="s">
        <v>599</v>
      </c>
      <c r="L481" s="29" t="s">
        <v>915</v>
      </c>
      <c r="M481" s="36">
        <v>-76.46</v>
      </c>
      <c r="N481" s="36">
        <v>-0.632</v>
      </c>
      <c r="O481" s="34" t="s">
        <v>601</v>
      </c>
      <c r="P481" s="32" t="s">
        <v>700</v>
      </c>
      <c r="Q481" s="29">
        <v>1.0</v>
      </c>
      <c r="R481" s="29">
        <v>1.0</v>
      </c>
      <c r="S481" s="36">
        <v>0.0</v>
      </c>
      <c r="T481" s="36">
        <v>28.1</v>
      </c>
      <c r="U481" s="36">
        <f t="shared" ref="U481:V481" si="86">SQRT(S481)</f>
        <v>0</v>
      </c>
      <c r="V481" s="36">
        <f t="shared" si="86"/>
        <v>5.300943312</v>
      </c>
      <c r="W481" s="37" t="s">
        <v>916</v>
      </c>
      <c r="X481" s="31" t="e">
        <v>#REF!</v>
      </c>
      <c r="Y481" s="36">
        <v>-8.262558973010657</v>
      </c>
      <c r="Z481" s="36">
        <v>1.0411400842489602</v>
      </c>
      <c r="AA481" s="29" t="s">
        <v>820</v>
      </c>
      <c r="AB481" s="31">
        <v>4.88</v>
      </c>
      <c r="AC481" s="38">
        <v>1656.75</v>
      </c>
    </row>
    <row r="482" ht="14.25" customHeight="1">
      <c r="A482" s="29" t="s">
        <v>139</v>
      </c>
      <c r="B482" s="29">
        <v>20.0</v>
      </c>
      <c r="C482" s="29" t="s">
        <v>608</v>
      </c>
      <c r="D482" s="29" t="s">
        <v>931</v>
      </c>
      <c r="E482" s="29">
        <v>83.0</v>
      </c>
      <c r="F482" s="30" t="s">
        <v>932</v>
      </c>
      <c r="G482" s="29" t="s">
        <v>611</v>
      </c>
      <c r="H482" s="31">
        <v>131.63</v>
      </c>
      <c r="I482" s="29" t="s">
        <v>612</v>
      </c>
      <c r="J482" s="32" t="s">
        <v>714</v>
      </c>
      <c r="K482" s="29" t="s">
        <v>698</v>
      </c>
      <c r="L482" s="29" t="s">
        <v>933</v>
      </c>
      <c r="M482" s="33">
        <v>16.331</v>
      </c>
      <c r="N482" s="33">
        <v>2.876</v>
      </c>
      <c r="O482" s="34" t="s">
        <v>641</v>
      </c>
      <c r="P482" s="32" t="s">
        <v>643</v>
      </c>
      <c r="Q482" s="35">
        <v>16.0</v>
      </c>
      <c r="R482" s="35">
        <v>32.0</v>
      </c>
      <c r="S482" s="36">
        <v>0.6</v>
      </c>
      <c r="T482" s="36">
        <v>2.0</v>
      </c>
      <c r="U482" s="36">
        <v>0.7746</v>
      </c>
      <c r="V482" s="36">
        <v>1.4142</v>
      </c>
      <c r="W482" s="37" t="s">
        <v>934</v>
      </c>
      <c r="X482" s="31">
        <v>9.0</v>
      </c>
      <c r="Y482" s="36">
        <v>-1.2031131807880875</v>
      </c>
      <c r="Z482" s="36">
        <v>0.1197922628125</v>
      </c>
      <c r="AA482" s="29" t="s">
        <v>820</v>
      </c>
      <c r="AB482" s="31">
        <v>5.19089698792</v>
      </c>
      <c r="AC482" s="38">
        <v>438.0</v>
      </c>
    </row>
    <row r="483" ht="14.25" customHeight="1">
      <c r="A483" s="29" t="s">
        <v>139</v>
      </c>
      <c r="B483" s="29">
        <v>20.0</v>
      </c>
      <c r="C483" s="29" t="s">
        <v>608</v>
      </c>
      <c r="D483" s="29" t="s">
        <v>931</v>
      </c>
      <c r="E483" s="29">
        <v>83.0</v>
      </c>
      <c r="F483" s="30" t="s">
        <v>932</v>
      </c>
      <c r="G483" s="29" t="s">
        <v>611</v>
      </c>
      <c r="H483" s="31">
        <v>131.63</v>
      </c>
      <c r="I483" s="29" t="s">
        <v>612</v>
      </c>
      <c r="J483" s="32" t="s">
        <v>714</v>
      </c>
      <c r="K483" s="29" t="s">
        <v>698</v>
      </c>
      <c r="L483" s="29" t="s">
        <v>933</v>
      </c>
      <c r="M483" s="33">
        <v>16.348</v>
      </c>
      <c r="N483" s="33">
        <v>2.953</v>
      </c>
      <c r="O483" s="34" t="s">
        <v>641</v>
      </c>
      <c r="P483" s="32" t="s">
        <v>643</v>
      </c>
      <c r="Q483" s="35">
        <v>32.0</v>
      </c>
      <c r="R483" s="35">
        <v>32.0</v>
      </c>
      <c r="S483" s="36">
        <v>2.0</v>
      </c>
      <c r="T483" s="36">
        <v>2.0</v>
      </c>
      <c r="U483" s="36">
        <v>1.4142</v>
      </c>
      <c r="V483" s="36">
        <v>1.4142</v>
      </c>
      <c r="W483" s="37" t="s">
        <v>934</v>
      </c>
      <c r="X483" s="31">
        <v>10.0</v>
      </c>
      <c r="Y483" s="36">
        <v>2.5796466027220563E-4</v>
      </c>
      <c r="Z483" s="36">
        <v>0.031249400624999996</v>
      </c>
      <c r="AA483" s="29" t="s">
        <v>820</v>
      </c>
      <c r="AB483" s="31">
        <v>5.19089698792</v>
      </c>
      <c r="AC483" s="38">
        <v>647.0</v>
      </c>
    </row>
    <row r="484" ht="14.25" customHeight="1">
      <c r="A484" s="29" t="s">
        <v>139</v>
      </c>
      <c r="B484" s="29">
        <v>20.0</v>
      </c>
      <c r="C484" s="29" t="s">
        <v>608</v>
      </c>
      <c r="D484" s="29" t="s">
        <v>931</v>
      </c>
      <c r="E484" s="29">
        <v>83.0</v>
      </c>
      <c r="F484" s="30" t="s">
        <v>932</v>
      </c>
      <c r="G484" s="29" t="s">
        <v>611</v>
      </c>
      <c r="H484" s="31">
        <v>131.63</v>
      </c>
      <c r="I484" s="29" t="s">
        <v>612</v>
      </c>
      <c r="J484" s="32" t="s">
        <v>714</v>
      </c>
      <c r="K484" s="29" t="s">
        <v>698</v>
      </c>
      <c r="L484" s="29" t="s">
        <v>933</v>
      </c>
      <c r="M484" s="33">
        <v>16.351</v>
      </c>
      <c r="N484" s="33">
        <v>2.953</v>
      </c>
      <c r="O484" s="34" t="s">
        <v>641</v>
      </c>
      <c r="P484" s="32" t="s">
        <v>643</v>
      </c>
      <c r="Q484" s="35">
        <v>32.0</v>
      </c>
      <c r="R484" s="35">
        <v>32.0</v>
      </c>
      <c r="S484" s="36">
        <v>2.0</v>
      </c>
      <c r="T484" s="36">
        <v>2.0</v>
      </c>
      <c r="U484" s="36">
        <v>1.4142</v>
      </c>
      <c r="V484" s="36">
        <v>1.4142</v>
      </c>
      <c r="W484" s="37" t="s">
        <v>934</v>
      </c>
      <c r="X484" s="31">
        <v>11.0</v>
      </c>
      <c r="Y484" s="36">
        <v>2.5796466027220563E-4</v>
      </c>
      <c r="Z484" s="36">
        <v>0.031249400624999996</v>
      </c>
      <c r="AA484" s="29" t="s">
        <v>820</v>
      </c>
      <c r="AB484" s="31">
        <v>5.19089698792</v>
      </c>
      <c r="AC484" s="38">
        <v>712.0</v>
      </c>
    </row>
    <row r="485" ht="14.25" customHeight="1">
      <c r="A485" s="29" t="s">
        <v>139</v>
      </c>
      <c r="B485" s="29">
        <v>20.0</v>
      </c>
      <c r="C485" s="29" t="s">
        <v>608</v>
      </c>
      <c r="D485" s="29" t="s">
        <v>931</v>
      </c>
      <c r="E485" s="29">
        <v>83.0</v>
      </c>
      <c r="F485" s="30" t="s">
        <v>932</v>
      </c>
      <c r="G485" s="29" t="s">
        <v>611</v>
      </c>
      <c r="H485" s="31">
        <v>131.63</v>
      </c>
      <c r="I485" s="29" t="s">
        <v>612</v>
      </c>
      <c r="J485" s="32" t="s">
        <v>714</v>
      </c>
      <c r="K485" s="29" t="s">
        <v>698</v>
      </c>
      <c r="L485" s="29" t="s">
        <v>933</v>
      </c>
      <c r="M485" s="33">
        <v>16.374</v>
      </c>
      <c r="N485" s="33">
        <v>2.937</v>
      </c>
      <c r="O485" s="34" t="s">
        <v>641</v>
      </c>
      <c r="P485" s="32" t="s">
        <v>643</v>
      </c>
      <c r="Q485" s="35">
        <v>32.0</v>
      </c>
      <c r="R485" s="35">
        <v>32.0</v>
      </c>
      <c r="S485" s="36">
        <v>2.2</v>
      </c>
      <c r="T485" s="36">
        <v>2.0</v>
      </c>
      <c r="U485" s="36">
        <v>1.4832</v>
      </c>
      <c r="V485" s="36">
        <v>1.4142</v>
      </c>
      <c r="W485" s="37" t="s">
        <v>934</v>
      </c>
      <c r="X485" s="31">
        <v>12.5</v>
      </c>
      <c r="Y485" s="36">
        <v>0.09554469588147671</v>
      </c>
      <c r="Z485" s="36">
        <v>0.02982848543646694</v>
      </c>
      <c r="AA485" s="29" t="s">
        <v>820</v>
      </c>
      <c r="AB485" s="31">
        <v>5.19089698792</v>
      </c>
      <c r="AC485" s="38">
        <v>736.0</v>
      </c>
    </row>
    <row r="486" ht="14.25" customHeight="1">
      <c r="A486" s="29" t="s">
        <v>139</v>
      </c>
      <c r="B486" s="29">
        <v>20.0</v>
      </c>
      <c r="C486" s="29" t="s">
        <v>608</v>
      </c>
      <c r="D486" s="29" t="s">
        <v>931</v>
      </c>
      <c r="E486" s="29">
        <v>83.0</v>
      </c>
      <c r="F486" s="30" t="s">
        <v>932</v>
      </c>
      <c r="G486" s="29" t="s">
        <v>611</v>
      </c>
      <c r="H486" s="31">
        <v>131.63</v>
      </c>
      <c r="I486" s="29" t="s">
        <v>612</v>
      </c>
      <c r="J486" s="32" t="s">
        <v>714</v>
      </c>
      <c r="K486" s="29" t="s">
        <v>698</v>
      </c>
      <c r="L486" s="29" t="s">
        <v>933</v>
      </c>
      <c r="M486" s="33">
        <v>16.395</v>
      </c>
      <c r="N486" s="33">
        <v>2.93</v>
      </c>
      <c r="O486" s="34" t="s">
        <v>641</v>
      </c>
      <c r="P486" s="32" t="s">
        <v>643</v>
      </c>
      <c r="Q486" s="35">
        <v>32.0</v>
      </c>
      <c r="R486" s="35">
        <v>32.0</v>
      </c>
      <c r="S486" s="36">
        <v>2.2</v>
      </c>
      <c r="T486" s="36">
        <v>2.0</v>
      </c>
      <c r="U486" s="36">
        <v>1.4832</v>
      </c>
      <c r="V486" s="36">
        <v>1.4142</v>
      </c>
      <c r="W486" s="37" t="s">
        <v>934</v>
      </c>
      <c r="X486" s="31">
        <v>14.0</v>
      </c>
      <c r="Y486" s="36">
        <v>0.09554469588147671</v>
      </c>
      <c r="Z486" s="36">
        <v>0.02982848543646694</v>
      </c>
      <c r="AA486" s="29" t="s">
        <v>820</v>
      </c>
      <c r="AB486" s="31">
        <v>5.19089698792</v>
      </c>
      <c r="AC486" s="38">
        <v>895.0</v>
      </c>
    </row>
    <row r="487" ht="14.25" customHeight="1">
      <c r="A487" s="29" t="s">
        <v>139</v>
      </c>
      <c r="B487" s="29">
        <v>20.0</v>
      </c>
      <c r="C487" s="29" t="s">
        <v>608</v>
      </c>
      <c r="D487" s="29" t="s">
        <v>751</v>
      </c>
      <c r="E487" s="29">
        <v>97.0</v>
      </c>
      <c r="F487" s="30" t="s">
        <v>752</v>
      </c>
      <c r="G487" s="29" t="s">
        <v>753</v>
      </c>
      <c r="H487" s="31">
        <v>3940.03</v>
      </c>
      <c r="I487" s="29" t="s">
        <v>612</v>
      </c>
      <c r="J487" s="32" t="s">
        <v>714</v>
      </c>
      <c r="K487" s="29" t="s">
        <v>698</v>
      </c>
      <c r="L487" s="29" t="s">
        <v>933</v>
      </c>
      <c r="M487" s="33">
        <v>16.331</v>
      </c>
      <c r="N487" s="33">
        <v>2.876</v>
      </c>
      <c r="O487" s="34" t="s">
        <v>641</v>
      </c>
      <c r="P487" s="32" t="s">
        <v>643</v>
      </c>
      <c r="Q487" s="35">
        <v>16.0</v>
      </c>
      <c r="R487" s="35">
        <v>32.0</v>
      </c>
      <c r="S487" s="36">
        <v>24.0</v>
      </c>
      <c r="T487" s="36">
        <v>39.0</v>
      </c>
      <c r="U487" s="36">
        <v>4.899</v>
      </c>
      <c r="V487" s="36">
        <v>6.245</v>
      </c>
      <c r="W487" s="37" t="s">
        <v>934</v>
      </c>
      <c r="X487" s="31">
        <v>9.0</v>
      </c>
      <c r="Y487" s="36">
        <v>-0.4850886569949933</v>
      </c>
      <c r="Z487" s="36">
        <v>0.003405471041486892</v>
      </c>
      <c r="AA487" s="29" t="s">
        <v>820</v>
      </c>
      <c r="AB487" s="31">
        <v>5.19089698792</v>
      </c>
      <c r="AC487" s="38">
        <v>438.0</v>
      </c>
    </row>
    <row r="488" ht="14.25" customHeight="1">
      <c r="A488" s="29" t="s">
        <v>139</v>
      </c>
      <c r="B488" s="29">
        <v>20.0</v>
      </c>
      <c r="C488" s="29" t="s">
        <v>608</v>
      </c>
      <c r="D488" s="29" t="s">
        <v>751</v>
      </c>
      <c r="E488" s="29">
        <v>97.0</v>
      </c>
      <c r="F488" s="30" t="s">
        <v>752</v>
      </c>
      <c r="G488" s="29" t="s">
        <v>753</v>
      </c>
      <c r="H488" s="31">
        <v>3940.03</v>
      </c>
      <c r="I488" s="29" t="s">
        <v>612</v>
      </c>
      <c r="J488" s="32" t="s">
        <v>714</v>
      </c>
      <c r="K488" s="29" t="s">
        <v>698</v>
      </c>
      <c r="L488" s="29" t="s">
        <v>933</v>
      </c>
      <c r="M488" s="33">
        <v>16.348</v>
      </c>
      <c r="N488" s="33">
        <v>2.953</v>
      </c>
      <c r="O488" s="34" t="s">
        <v>641</v>
      </c>
      <c r="P488" s="32" t="s">
        <v>643</v>
      </c>
      <c r="Q488" s="35">
        <v>32.0</v>
      </c>
      <c r="R488" s="35">
        <v>32.0</v>
      </c>
      <c r="S488" s="36">
        <v>28.6</v>
      </c>
      <c r="T488" s="36">
        <v>39.0</v>
      </c>
      <c r="U488" s="36">
        <v>5.3479</v>
      </c>
      <c r="V488" s="36">
        <v>6.245</v>
      </c>
      <c r="W488" s="37" t="s">
        <v>934</v>
      </c>
      <c r="X488" s="31">
        <v>10.0</v>
      </c>
      <c r="Y488" s="36">
        <v>-0.3098031748090593</v>
      </c>
      <c r="Z488" s="36">
        <v>0.001893941222208978</v>
      </c>
      <c r="AA488" s="29" t="s">
        <v>820</v>
      </c>
      <c r="AB488" s="31">
        <v>5.19089698792</v>
      </c>
      <c r="AC488" s="38">
        <v>647.0</v>
      </c>
    </row>
    <row r="489" ht="14.25" customHeight="1">
      <c r="A489" s="29" t="s">
        <v>139</v>
      </c>
      <c r="B489" s="29">
        <v>20.0</v>
      </c>
      <c r="C489" s="29" t="s">
        <v>608</v>
      </c>
      <c r="D489" s="29" t="s">
        <v>751</v>
      </c>
      <c r="E489" s="29">
        <v>97.0</v>
      </c>
      <c r="F489" s="30" t="s">
        <v>752</v>
      </c>
      <c r="G489" s="29" t="s">
        <v>753</v>
      </c>
      <c r="H489" s="31">
        <v>3940.03</v>
      </c>
      <c r="I489" s="29" t="s">
        <v>612</v>
      </c>
      <c r="J489" s="32" t="s">
        <v>714</v>
      </c>
      <c r="K489" s="29" t="s">
        <v>698</v>
      </c>
      <c r="L489" s="29" t="s">
        <v>933</v>
      </c>
      <c r="M489" s="33">
        <v>16.351</v>
      </c>
      <c r="N489" s="33">
        <v>2.953</v>
      </c>
      <c r="O489" s="34" t="s">
        <v>641</v>
      </c>
      <c r="P489" s="32" t="s">
        <v>643</v>
      </c>
      <c r="Q489" s="35">
        <v>32.0</v>
      </c>
      <c r="R489" s="35">
        <v>32.0</v>
      </c>
      <c r="S489" s="36">
        <v>30.0</v>
      </c>
      <c r="T489" s="36">
        <v>39.0</v>
      </c>
      <c r="U489" s="36">
        <v>5.4772</v>
      </c>
      <c r="V489" s="36">
        <v>6.245</v>
      </c>
      <c r="W489" s="37" t="s">
        <v>934</v>
      </c>
      <c r="X489" s="31">
        <v>11.0</v>
      </c>
      <c r="Y489" s="36">
        <v>-0.26202892338377626</v>
      </c>
      <c r="Z489" s="36">
        <v>0.0018429395038132806</v>
      </c>
      <c r="AA489" s="29" t="s">
        <v>820</v>
      </c>
      <c r="AB489" s="31">
        <v>5.19089698792</v>
      </c>
      <c r="AC489" s="38">
        <v>712.0</v>
      </c>
    </row>
    <row r="490" ht="14.25" customHeight="1">
      <c r="A490" s="29" t="s">
        <v>139</v>
      </c>
      <c r="B490" s="29">
        <v>20.0</v>
      </c>
      <c r="C490" s="29" t="s">
        <v>608</v>
      </c>
      <c r="D490" s="29" t="s">
        <v>751</v>
      </c>
      <c r="E490" s="29">
        <v>97.0</v>
      </c>
      <c r="F490" s="30" t="s">
        <v>752</v>
      </c>
      <c r="G490" s="29" t="s">
        <v>753</v>
      </c>
      <c r="H490" s="31">
        <v>3940.03</v>
      </c>
      <c r="I490" s="29" t="s">
        <v>612</v>
      </c>
      <c r="J490" s="32" t="s">
        <v>714</v>
      </c>
      <c r="K490" s="29" t="s">
        <v>698</v>
      </c>
      <c r="L490" s="29" t="s">
        <v>933</v>
      </c>
      <c r="M490" s="33">
        <v>16.374</v>
      </c>
      <c r="N490" s="33">
        <v>2.937</v>
      </c>
      <c r="O490" s="34" t="s">
        <v>641</v>
      </c>
      <c r="P490" s="32" t="s">
        <v>643</v>
      </c>
      <c r="Q490" s="35">
        <v>32.0</v>
      </c>
      <c r="R490" s="35">
        <v>32.0</v>
      </c>
      <c r="S490" s="36">
        <v>35.2</v>
      </c>
      <c r="T490" s="36">
        <v>39.0</v>
      </c>
      <c r="U490" s="36">
        <v>5.933</v>
      </c>
      <c r="V490" s="36">
        <v>6.245</v>
      </c>
      <c r="W490" s="37" t="s">
        <v>934</v>
      </c>
      <c r="X490" s="31">
        <v>12.5</v>
      </c>
      <c r="Y490" s="36">
        <v>-0.10222975438699072</v>
      </c>
      <c r="Z490" s="36">
        <v>0.0016890789889704274</v>
      </c>
      <c r="AA490" s="29" t="s">
        <v>820</v>
      </c>
      <c r="AB490" s="31">
        <v>5.19089698792</v>
      </c>
      <c r="AC490" s="38">
        <v>736.0</v>
      </c>
    </row>
    <row r="491" ht="14.25" customHeight="1">
      <c r="A491" s="29" t="s">
        <v>139</v>
      </c>
      <c r="B491" s="29">
        <v>20.0</v>
      </c>
      <c r="C491" s="29" t="s">
        <v>608</v>
      </c>
      <c r="D491" s="29" t="s">
        <v>751</v>
      </c>
      <c r="E491" s="29">
        <v>97.0</v>
      </c>
      <c r="F491" s="30" t="s">
        <v>752</v>
      </c>
      <c r="G491" s="29" t="s">
        <v>753</v>
      </c>
      <c r="H491" s="31">
        <v>3940.03</v>
      </c>
      <c r="I491" s="29" t="s">
        <v>612</v>
      </c>
      <c r="J491" s="32" t="s">
        <v>714</v>
      </c>
      <c r="K491" s="29" t="s">
        <v>698</v>
      </c>
      <c r="L491" s="29" t="s">
        <v>933</v>
      </c>
      <c r="M491" s="33">
        <v>16.395</v>
      </c>
      <c r="N491" s="33">
        <v>2.93</v>
      </c>
      <c r="O491" s="34" t="s">
        <v>641</v>
      </c>
      <c r="P491" s="32" t="s">
        <v>643</v>
      </c>
      <c r="Q491" s="35">
        <v>32.0</v>
      </c>
      <c r="R491" s="35">
        <v>32.0</v>
      </c>
      <c r="S491" s="36">
        <v>40.0</v>
      </c>
      <c r="T491" s="36">
        <v>39.0</v>
      </c>
      <c r="U491" s="36">
        <v>6.3246</v>
      </c>
      <c r="V491" s="36">
        <v>6.245</v>
      </c>
      <c r="W491" s="37" t="s">
        <v>934</v>
      </c>
      <c r="X491" s="31">
        <v>14.0</v>
      </c>
      <c r="Y491" s="36">
        <v>0.025569324339015678</v>
      </c>
      <c r="Z491" s="36">
        <v>0.0015825436032056417</v>
      </c>
      <c r="AA491" s="29" t="s">
        <v>820</v>
      </c>
      <c r="AB491" s="31">
        <v>5.19089698792</v>
      </c>
      <c r="AC491" s="38">
        <v>895.0</v>
      </c>
    </row>
    <row r="492" ht="14.25" customHeight="1">
      <c r="A492" s="29" t="s">
        <v>139</v>
      </c>
      <c r="B492" s="29">
        <v>20.0</v>
      </c>
      <c r="C492" s="29" t="s">
        <v>608</v>
      </c>
      <c r="D492" s="29" t="s">
        <v>931</v>
      </c>
      <c r="E492" s="29">
        <v>83.0</v>
      </c>
      <c r="F492" s="30" t="s">
        <v>932</v>
      </c>
      <c r="G492" s="29" t="s">
        <v>611</v>
      </c>
      <c r="H492" s="31">
        <v>131.63</v>
      </c>
      <c r="I492" s="29" t="s">
        <v>612</v>
      </c>
      <c r="J492" s="32" t="s">
        <v>714</v>
      </c>
      <c r="K492" s="29" t="s">
        <v>698</v>
      </c>
      <c r="L492" s="29" t="s">
        <v>933</v>
      </c>
      <c r="M492" s="33">
        <v>16.278</v>
      </c>
      <c r="N492" s="33">
        <v>2.959</v>
      </c>
      <c r="O492" s="34" t="s">
        <v>641</v>
      </c>
      <c r="P492" s="32" t="s">
        <v>643</v>
      </c>
      <c r="Q492" s="35">
        <v>16.0</v>
      </c>
      <c r="R492" s="35">
        <v>32.0</v>
      </c>
      <c r="S492" s="36">
        <v>0.8</v>
      </c>
      <c r="T492" s="36">
        <v>2.0</v>
      </c>
      <c r="U492" s="36">
        <v>0.8944</v>
      </c>
      <c r="V492" s="36">
        <v>1.4142</v>
      </c>
      <c r="W492" s="37" t="s">
        <v>934</v>
      </c>
      <c r="X492" s="31">
        <v>2.0</v>
      </c>
      <c r="Y492" s="36">
        <v>-0.9156459449538856</v>
      </c>
      <c r="Z492" s="36">
        <v>0.09374495031249999</v>
      </c>
      <c r="AA492" s="29" t="s">
        <v>820</v>
      </c>
      <c r="AB492" s="31">
        <v>5.19089746475</v>
      </c>
      <c r="AC492" s="38">
        <v>228.0</v>
      </c>
    </row>
    <row r="493" ht="14.25" customHeight="1">
      <c r="A493" s="29" t="s">
        <v>139</v>
      </c>
      <c r="B493" s="29">
        <v>20.0</v>
      </c>
      <c r="C493" s="29" t="s">
        <v>608</v>
      </c>
      <c r="D493" s="29" t="s">
        <v>931</v>
      </c>
      <c r="E493" s="29">
        <v>83.0</v>
      </c>
      <c r="F493" s="30" t="s">
        <v>932</v>
      </c>
      <c r="G493" s="29" t="s">
        <v>611</v>
      </c>
      <c r="H493" s="31">
        <v>131.63</v>
      </c>
      <c r="I493" s="29" t="s">
        <v>612</v>
      </c>
      <c r="J493" s="32" t="s">
        <v>714</v>
      </c>
      <c r="K493" s="29" t="s">
        <v>698</v>
      </c>
      <c r="L493" s="29" t="s">
        <v>933</v>
      </c>
      <c r="M493" s="33">
        <v>16.422</v>
      </c>
      <c r="N493" s="33">
        <v>2.964</v>
      </c>
      <c r="O493" s="34" t="s">
        <v>641</v>
      </c>
      <c r="P493" s="32" t="s">
        <v>643</v>
      </c>
      <c r="Q493" s="35">
        <v>32.0</v>
      </c>
      <c r="R493" s="35">
        <v>32.0</v>
      </c>
      <c r="S493" s="36">
        <v>2.4</v>
      </c>
      <c r="T493" s="36">
        <v>2.0</v>
      </c>
      <c r="U493" s="36">
        <v>1.5492</v>
      </c>
      <c r="V493" s="36">
        <v>1.4142</v>
      </c>
      <c r="W493" s="37" t="s">
        <v>934</v>
      </c>
      <c r="X493" s="31">
        <v>17.5</v>
      </c>
      <c r="Y493" s="36">
        <v>0.18253653196515027</v>
      </c>
      <c r="Z493" s="36">
        <v>0.028645645624999997</v>
      </c>
      <c r="AA493" s="29" t="s">
        <v>820</v>
      </c>
      <c r="AB493" s="31">
        <v>5.19089746475</v>
      </c>
      <c r="AC493" s="38">
        <v>1160.0</v>
      </c>
    </row>
    <row r="494" ht="14.25" customHeight="1">
      <c r="A494" s="29" t="s">
        <v>139</v>
      </c>
      <c r="B494" s="29">
        <v>20.0</v>
      </c>
      <c r="C494" s="29" t="s">
        <v>608</v>
      </c>
      <c r="D494" s="29" t="s">
        <v>751</v>
      </c>
      <c r="E494" s="29">
        <v>97.0</v>
      </c>
      <c r="F494" s="30" t="s">
        <v>752</v>
      </c>
      <c r="G494" s="29" t="s">
        <v>753</v>
      </c>
      <c r="H494" s="31">
        <v>3940.03</v>
      </c>
      <c r="I494" s="29" t="s">
        <v>612</v>
      </c>
      <c r="J494" s="32" t="s">
        <v>714</v>
      </c>
      <c r="K494" s="29" t="s">
        <v>698</v>
      </c>
      <c r="L494" s="29" t="s">
        <v>933</v>
      </c>
      <c r="M494" s="33">
        <v>16.278</v>
      </c>
      <c r="N494" s="33">
        <v>2.959</v>
      </c>
      <c r="O494" s="34" t="s">
        <v>641</v>
      </c>
      <c r="P494" s="32" t="s">
        <v>643</v>
      </c>
      <c r="Q494" s="35">
        <v>16.0</v>
      </c>
      <c r="R494" s="35">
        <v>32.0</v>
      </c>
      <c r="S494" s="36">
        <v>22.0</v>
      </c>
      <c r="T494" s="36">
        <v>39.0</v>
      </c>
      <c r="U494" s="36">
        <v>4.6904</v>
      </c>
      <c r="V494" s="36">
        <v>6.245</v>
      </c>
      <c r="W494" s="37" t="s">
        <v>934</v>
      </c>
      <c r="X494" s="31">
        <v>2.0</v>
      </c>
      <c r="Y494" s="36">
        <v>-0.5720619373510423</v>
      </c>
      <c r="Z494" s="36">
        <v>0.0036421725649243924</v>
      </c>
      <c r="AA494" s="29" t="s">
        <v>820</v>
      </c>
      <c r="AB494" s="31">
        <v>5.19089746475</v>
      </c>
      <c r="AC494" s="38">
        <v>228.0</v>
      </c>
    </row>
    <row r="495" ht="14.25" customHeight="1">
      <c r="A495" s="29" t="s">
        <v>139</v>
      </c>
      <c r="B495" s="29">
        <v>20.0</v>
      </c>
      <c r="C495" s="29" t="s">
        <v>608</v>
      </c>
      <c r="D495" s="29" t="s">
        <v>751</v>
      </c>
      <c r="E495" s="29">
        <v>97.0</v>
      </c>
      <c r="F495" s="30" t="s">
        <v>752</v>
      </c>
      <c r="G495" s="29" t="s">
        <v>753</v>
      </c>
      <c r="H495" s="31">
        <v>3940.03</v>
      </c>
      <c r="I495" s="29" t="s">
        <v>612</v>
      </c>
      <c r="J495" s="32" t="s">
        <v>714</v>
      </c>
      <c r="K495" s="29" t="s">
        <v>698</v>
      </c>
      <c r="L495" s="29" t="s">
        <v>933</v>
      </c>
      <c r="M495" s="33">
        <v>16.422</v>
      </c>
      <c r="N495" s="33">
        <v>2.964</v>
      </c>
      <c r="O495" s="34" t="s">
        <v>641</v>
      </c>
      <c r="P495" s="32" t="s">
        <v>643</v>
      </c>
      <c r="Q495" s="35">
        <v>32.0</v>
      </c>
      <c r="R495" s="35">
        <v>32.0</v>
      </c>
      <c r="S495" s="36">
        <v>39.6</v>
      </c>
      <c r="T495" s="36">
        <v>39.0</v>
      </c>
      <c r="U495" s="36">
        <v>6.2929</v>
      </c>
      <c r="V495" s="36">
        <v>6.245</v>
      </c>
      <c r="W495" s="37" t="s">
        <v>934</v>
      </c>
      <c r="X495" s="31">
        <v>17.5</v>
      </c>
      <c r="Y495" s="36">
        <v>0.015521528732056707</v>
      </c>
      <c r="Z495" s="36">
        <v>0.0015904357446461677</v>
      </c>
      <c r="AA495" s="29" t="s">
        <v>820</v>
      </c>
      <c r="AB495" s="31">
        <v>5.19089746475</v>
      </c>
      <c r="AC495" s="38">
        <v>1160.0</v>
      </c>
    </row>
    <row r="496" ht="14.25" customHeight="1">
      <c r="A496" s="29" t="s">
        <v>145</v>
      </c>
      <c r="B496" s="29">
        <v>23.0</v>
      </c>
      <c r="C496" s="29" t="s">
        <v>608</v>
      </c>
      <c r="D496" s="29" t="s">
        <v>935</v>
      </c>
      <c r="E496" s="29">
        <v>35.0</v>
      </c>
      <c r="F496" s="30" t="s">
        <v>936</v>
      </c>
      <c r="G496" s="29" t="s">
        <v>626</v>
      </c>
      <c r="H496" s="31">
        <v>16.74</v>
      </c>
      <c r="I496" s="29" t="s">
        <v>612</v>
      </c>
      <c r="J496" s="32" t="s">
        <v>598</v>
      </c>
      <c r="K496" s="29" t="s">
        <v>698</v>
      </c>
      <c r="L496" s="29" t="s">
        <v>933</v>
      </c>
      <c r="M496" s="33">
        <v>16.348</v>
      </c>
      <c r="N496" s="33">
        <v>2.953</v>
      </c>
      <c r="O496" s="34" t="s">
        <v>641</v>
      </c>
      <c r="P496" s="32" t="s">
        <v>643</v>
      </c>
      <c r="Q496" s="35">
        <v>3.0</v>
      </c>
      <c r="R496" s="35">
        <v>12.0</v>
      </c>
      <c r="S496" s="36">
        <v>0.0</v>
      </c>
      <c r="T496" s="36">
        <v>0.19</v>
      </c>
      <c r="U496" s="36">
        <v>0.0</v>
      </c>
      <c r="V496" s="36">
        <v>0.4359</v>
      </c>
      <c r="W496" s="37" t="s">
        <v>780</v>
      </c>
      <c r="X496" s="31">
        <v>10.5</v>
      </c>
      <c r="Y496" s="36">
        <v>-8.262558973010657</v>
      </c>
      <c r="Z496" s="36">
        <v>0.48664650458587133</v>
      </c>
      <c r="AA496" s="29" t="s">
        <v>820</v>
      </c>
      <c r="AB496" s="31">
        <v>5.19089698792</v>
      </c>
      <c r="AC496" s="38">
        <v>647.0</v>
      </c>
    </row>
    <row r="497" ht="14.25" customHeight="1">
      <c r="A497" s="29" t="s">
        <v>145</v>
      </c>
      <c r="B497" s="29">
        <v>23.0</v>
      </c>
      <c r="C497" s="29" t="s">
        <v>608</v>
      </c>
      <c r="D497" s="29" t="s">
        <v>937</v>
      </c>
      <c r="E497" s="29">
        <v>44.0</v>
      </c>
      <c r="F497" s="30" t="s">
        <v>938</v>
      </c>
      <c r="G497" s="29" t="s">
        <v>611</v>
      </c>
      <c r="H497" s="31">
        <v>8.0</v>
      </c>
      <c r="I497" s="29" t="s">
        <v>597</v>
      </c>
      <c r="J497" s="32" t="s">
        <v>598</v>
      </c>
      <c r="K497" s="29" t="s">
        <v>698</v>
      </c>
      <c r="L497" s="29" t="s">
        <v>933</v>
      </c>
      <c r="M497" s="33">
        <v>16.348</v>
      </c>
      <c r="N497" s="33">
        <v>2.953</v>
      </c>
      <c r="O497" s="34" t="s">
        <v>641</v>
      </c>
      <c r="P497" s="32" t="s">
        <v>643</v>
      </c>
      <c r="Q497" s="35">
        <v>3.0</v>
      </c>
      <c r="R497" s="35">
        <v>12.0</v>
      </c>
      <c r="S497" s="36">
        <v>0.03</v>
      </c>
      <c r="T497" s="36">
        <v>0.05</v>
      </c>
      <c r="U497" s="36">
        <v>0.1732</v>
      </c>
      <c r="V497" s="36">
        <v>0.2236</v>
      </c>
      <c r="W497" s="37" t="s">
        <v>780</v>
      </c>
      <c r="X497" s="31">
        <v>10.5</v>
      </c>
      <c r="Y497" s="36">
        <v>-0.5103957196279908</v>
      </c>
      <c r="Z497" s="36">
        <v>12.777024592592591</v>
      </c>
      <c r="AA497" s="29" t="s">
        <v>820</v>
      </c>
      <c r="AB497" s="31">
        <v>5.19089698792</v>
      </c>
      <c r="AC497" s="38">
        <v>647.0</v>
      </c>
    </row>
    <row r="498" ht="14.25" customHeight="1">
      <c r="A498" s="29" t="s">
        <v>145</v>
      </c>
      <c r="B498" s="29">
        <v>23.0</v>
      </c>
      <c r="C498" s="29" t="s">
        <v>608</v>
      </c>
      <c r="D498" s="29" t="s">
        <v>939</v>
      </c>
      <c r="E498" s="29">
        <v>45.0</v>
      </c>
      <c r="F498" s="30" t="s">
        <v>940</v>
      </c>
      <c r="G498" s="29" t="s">
        <v>611</v>
      </c>
      <c r="H498" s="31">
        <v>3.48</v>
      </c>
      <c r="I498" s="29" t="s">
        <v>597</v>
      </c>
      <c r="J498" s="32" t="s">
        <v>598</v>
      </c>
      <c r="K498" s="29" t="s">
        <v>698</v>
      </c>
      <c r="L498" s="29" t="s">
        <v>933</v>
      </c>
      <c r="M498" s="33">
        <v>16.348</v>
      </c>
      <c r="N498" s="33">
        <v>2.953</v>
      </c>
      <c r="O498" s="34" t="s">
        <v>641</v>
      </c>
      <c r="P498" s="32" t="s">
        <v>643</v>
      </c>
      <c r="Q498" s="35">
        <v>3.0</v>
      </c>
      <c r="R498" s="35">
        <v>12.0</v>
      </c>
      <c r="S498" s="36">
        <v>0.06</v>
      </c>
      <c r="T498" s="36">
        <v>0.08</v>
      </c>
      <c r="U498" s="36">
        <v>0.2449</v>
      </c>
      <c r="V498" s="36">
        <v>0.2828</v>
      </c>
      <c r="W498" s="37" t="s">
        <v>780</v>
      </c>
      <c r="X498" s="31">
        <v>10.5</v>
      </c>
      <c r="Y498" s="36">
        <v>-0.2873381343572468</v>
      </c>
      <c r="Z498" s="36">
        <v>6.594686342592592</v>
      </c>
      <c r="AA498" s="29" t="s">
        <v>820</v>
      </c>
      <c r="AB498" s="31">
        <v>5.19089698792</v>
      </c>
      <c r="AC498" s="38">
        <v>647.0</v>
      </c>
    </row>
    <row r="499" ht="14.25" customHeight="1">
      <c r="A499" s="29" t="s">
        <v>145</v>
      </c>
      <c r="B499" s="29">
        <v>23.0</v>
      </c>
      <c r="C499" s="29" t="s">
        <v>608</v>
      </c>
      <c r="D499" s="29" t="s">
        <v>941</v>
      </c>
      <c r="E499" s="29">
        <v>48.0</v>
      </c>
      <c r="F499" s="30" t="s">
        <v>942</v>
      </c>
      <c r="G499" s="29" t="s">
        <v>611</v>
      </c>
      <c r="H499" s="31">
        <v>5.8</v>
      </c>
      <c r="I499" s="29" t="s">
        <v>597</v>
      </c>
      <c r="J499" s="32" t="s">
        <v>598</v>
      </c>
      <c r="K499" s="29" t="s">
        <v>698</v>
      </c>
      <c r="L499" s="29" t="s">
        <v>933</v>
      </c>
      <c r="M499" s="33">
        <v>16.348</v>
      </c>
      <c r="N499" s="33">
        <v>2.953</v>
      </c>
      <c r="O499" s="34" t="s">
        <v>641</v>
      </c>
      <c r="P499" s="32" t="s">
        <v>643</v>
      </c>
      <c r="Q499" s="35">
        <v>3.0</v>
      </c>
      <c r="R499" s="35">
        <v>12.0</v>
      </c>
      <c r="S499" s="36">
        <v>0.18</v>
      </c>
      <c r="T499" s="36">
        <v>0.3</v>
      </c>
      <c r="U499" s="36">
        <v>0.4243</v>
      </c>
      <c r="V499" s="36">
        <v>0.5477</v>
      </c>
      <c r="W499" s="37" t="s">
        <v>780</v>
      </c>
      <c r="X499" s="31">
        <v>10.5</v>
      </c>
      <c r="Y499" s="36">
        <v>-0.5103957196279908</v>
      </c>
      <c r="Z499" s="36">
        <v>2.1299204331275723</v>
      </c>
      <c r="AA499" s="29" t="s">
        <v>820</v>
      </c>
      <c r="AB499" s="31">
        <v>5.19089698792</v>
      </c>
      <c r="AC499" s="38">
        <v>647.0</v>
      </c>
    </row>
    <row r="500" ht="14.25" customHeight="1">
      <c r="A500" s="29" t="s">
        <v>145</v>
      </c>
      <c r="B500" s="29">
        <v>23.0</v>
      </c>
      <c r="C500" s="29" t="s">
        <v>608</v>
      </c>
      <c r="D500" s="29" t="s">
        <v>943</v>
      </c>
      <c r="E500" s="29">
        <v>49.0</v>
      </c>
      <c r="F500" s="30" t="s">
        <v>944</v>
      </c>
      <c r="G500" s="29" t="s">
        <v>611</v>
      </c>
      <c r="H500" s="31">
        <v>3.76</v>
      </c>
      <c r="I500" s="29" t="s">
        <v>597</v>
      </c>
      <c r="J500" s="32" t="s">
        <v>598</v>
      </c>
      <c r="K500" s="29" t="s">
        <v>698</v>
      </c>
      <c r="L500" s="29" t="s">
        <v>933</v>
      </c>
      <c r="M500" s="33">
        <v>16.348</v>
      </c>
      <c r="N500" s="33">
        <v>2.953</v>
      </c>
      <c r="O500" s="34" t="s">
        <v>641</v>
      </c>
      <c r="P500" s="32" t="s">
        <v>643</v>
      </c>
      <c r="Q500" s="35">
        <v>3.0</v>
      </c>
      <c r="R500" s="35">
        <v>12.0</v>
      </c>
      <c r="S500" s="36">
        <v>0.05</v>
      </c>
      <c r="T500" s="36">
        <v>0.16</v>
      </c>
      <c r="U500" s="36">
        <v>0.2236</v>
      </c>
      <c r="V500" s="36">
        <v>0.4</v>
      </c>
      <c r="W500" s="37" t="s">
        <v>780</v>
      </c>
      <c r="X500" s="31">
        <v>10.5</v>
      </c>
      <c r="Y500" s="36">
        <v>-1.1623255570251951</v>
      </c>
      <c r="Z500" s="36">
        <v>7.187094666666665</v>
      </c>
      <c r="AA500" s="29" t="s">
        <v>820</v>
      </c>
      <c r="AB500" s="31">
        <v>5.19089698792</v>
      </c>
      <c r="AC500" s="38">
        <v>647.0</v>
      </c>
    </row>
    <row r="501" ht="14.25" customHeight="1">
      <c r="A501" s="29" t="s">
        <v>145</v>
      </c>
      <c r="B501" s="29">
        <v>23.0</v>
      </c>
      <c r="C501" s="29" t="s">
        <v>608</v>
      </c>
      <c r="D501" s="29" t="s">
        <v>931</v>
      </c>
      <c r="E501" s="29">
        <v>83.0</v>
      </c>
      <c r="F501" s="30" t="s">
        <v>932</v>
      </c>
      <c r="G501" s="29" t="s">
        <v>611</v>
      </c>
      <c r="H501" s="31">
        <v>131.63</v>
      </c>
      <c r="I501" s="29" t="s">
        <v>612</v>
      </c>
      <c r="J501" s="32" t="s">
        <v>598</v>
      </c>
      <c r="K501" s="29" t="s">
        <v>698</v>
      </c>
      <c r="L501" s="29" t="s">
        <v>933</v>
      </c>
      <c r="M501" s="33">
        <v>16.348</v>
      </c>
      <c r="N501" s="33">
        <v>2.953</v>
      </c>
      <c r="O501" s="34" t="s">
        <v>641</v>
      </c>
      <c r="P501" s="32" t="s">
        <v>643</v>
      </c>
      <c r="Q501" s="35">
        <v>3.0</v>
      </c>
      <c r="R501" s="35">
        <v>12.0</v>
      </c>
      <c r="S501" s="36">
        <v>0.31</v>
      </c>
      <c r="T501" s="36">
        <v>0.88</v>
      </c>
      <c r="U501" s="36">
        <v>0.5568</v>
      </c>
      <c r="V501" s="36">
        <v>0.9381</v>
      </c>
      <c r="W501" s="37" t="s">
        <v>780</v>
      </c>
      <c r="X501" s="31">
        <v>10.5</v>
      </c>
      <c r="Y501" s="36">
        <v>-1.042617496815601</v>
      </c>
      <c r="Z501" s="36">
        <v>1.1700602047619288</v>
      </c>
      <c r="AA501" s="29" t="s">
        <v>820</v>
      </c>
      <c r="AB501" s="31">
        <v>5.19089698792</v>
      </c>
      <c r="AC501" s="38">
        <v>647.0</v>
      </c>
    </row>
    <row r="502" ht="14.25" customHeight="1">
      <c r="A502" s="29" t="s">
        <v>145</v>
      </c>
      <c r="B502" s="29">
        <v>23.0</v>
      </c>
      <c r="C502" s="29" t="s">
        <v>608</v>
      </c>
      <c r="D502" s="29" t="s">
        <v>945</v>
      </c>
      <c r="E502" s="29">
        <v>95.0</v>
      </c>
      <c r="F502" s="30" t="s">
        <v>946</v>
      </c>
      <c r="G502" s="29" t="s">
        <v>611</v>
      </c>
      <c r="H502" s="31">
        <v>7.69</v>
      </c>
      <c r="I502" s="29" t="s">
        <v>616</v>
      </c>
      <c r="J502" s="32" t="s">
        <v>598</v>
      </c>
      <c r="K502" s="29" t="s">
        <v>698</v>
      </c>
      <c r="L502" s="29" t="s">
        <v>933</v>
      </c>
      <c r="M502" s="33">
        <v>16.348</v>
      </c>
      <c r="N502" s="33">
        <v>2.953</v>
      </c>
      <c r="O502" s="34" t="s">
        <v>641</v>
      </c>
      <c r="P502" s="32" t="s">
        <v>643</v>
      </c>
      <c r="Q502" s="35">
        <v>3.0</v>
      </c>
      <c r="R502" s="35">
        <v>12.0</v>
      </c>
      <c r="S502" s="36">
        <v>0.05</v>
      </c>
      <c r="T502" s="36">
        <v>0.25</v>
      </c>
      <c r="U502" s="36">
        <v>0.2236</v>
      </c>
      <c r="V502" s="36">
        <v>0.5</v>
      </c>
      <c r="W502" s="37" t="s">
        <v>780</v>
      </c>
      <c r="X502" s="31">
        <v>10.5</v>
      </c>
      <c r="Y502" s="36">
        <v>-1.6081487540758508</v>
      </c>
      <c r="Z502" s="36">
        <v>6.999594666666665</v>
      </c>
      <c r="AA502" s="29" t="s">
        <v>820</v>
      </c>
      <c r="AB502" s="31">
        <v>5.19089698792</v>
      </c>
      <c r="AC502" s="38">
        <v>647.0</v>
      </c>
    </row>
    <row r="503" ht="14.25" customHeight="1">
      <c r="A503" s="29" t="s">
        <v>145</v>
      </c>
      <c r="B503" s="29">
        <v>23.0</v>
      </c>
      <c r="C503" s="29" t="s">
        <v>608</v>
      </c>
      <c r="D503" s="29" t="s">
        <v>751</v>
      </c>
      <c r="E503" s="29">
        <v>97.0</v>
      </c>
      <c r="F503" s="30" t="s">
        <v>752</v>
      </c>
      <c r="G503" s="29" t="s">
        <v>753</v>
      </c>
      <c r="H503" s="31">
        <v>3940.03</v>
      </c>
      <c r="I503" s="29" t="s">
        <v>612</v>
      </c>
      <c r="J503" s="32" t="s">
        <v>598</v>
      </c>
      <c r="K503" s="29" t="s">
        <v>698</v>
      </c>
      <c r="L503" s="29" t="s">
        <v>933</v>
      </c>
      <c r="M503" s="33">
        <v>16.348</v>
      </c>
      <c r="N503" s="33">
        <v>2.953</v>
      </c>
      <c r="O503" s="34" t="s">
        <v>641</v>
      </c>
      <c r="P503" s="32" t="s">
        <v>643</v>
      </c>
      <c r="Q503" s="35">
        <v>3.0</v>
      </c>
      <c r="R503" s="35">
        <v>12.0</v>
      </c>
      <c r="S503" s="36">
        <v>5.67</v>
      </c>
      <c r="T503" s="36">
        <v>16.32</v>
      </c>
      <c r="U503" s="36">
        <v>2.3812</v>
      </c>
      <c r="V503" s="36">
        <v>4.0398</v>
      </c>
      <c r="W503" s="37" t="s">
        <v>780</v>
      </c>
      <c r="X503" s="31">
        <v>10.5</v>
      </c>
      <c r="Y503" s="36">
        <v>-1.0564599101513747</v>
      </c>
      <c r="Z503" s="36">
        <v>0.06389632802828159</v>
      </c>
      <c r="AA503" s="29" t="s">
        <v>820</v>
      </c>
      <c r="AB503" s="31">
        <v>5.19089698792</v>
      </c>
      <c r="AC503" s="38">
        <v>647.0</v>
      </c>
    </row>
    <row r="504" ht="14.25" customHeight="1">
      <c r="A504" s="29" t="s">
        <v>145</v>
      </c>
      <c r="B504" s="29">
        <v>23.0</v>
      </c>
      <c r="C504" s="29" t="s">
        <v>608</v>
      </c>
      <c r="D504" s="35" t="s">
        <v>947</v>
      </c>
      <c r="E504" s="29">
        <v>121.0</v>
      </c>
      <c r="F504" s="30" t="s">
        <v>948</v>
      </c>
      <c r="G504" s="29" t="s">
        <v>611</v>
      </c>
      <c r="H504" s="31">
        <v>42.5</v>
      </c>
      <c r="I504" s="29" t="s">
        <v>597</v>
      </c>
      <c r="J504" s="32" t="s">
        <v>598</v>
      </c>
      <c r="K504" s="29" t="s">
        <v>698</v>
      </c>
      <c r="L504" s="29" t="s">
        <v>933</v>
      </c>
      <c r="M504" s="33">
        <v>16.348</v>
      </c>
      <c r="N504" s="33">
        <v>2.953</v>
      </c>
      <c r="O504" s="34" t="s">
        <v>641</v>
      </c>
      <c r="P504" s="32" t="s">
        <v>643</v>
      </c>
      <c r="Q504" s="35">
        <v>3.0</v>
      </c>
      <c r="R504" s="35">
        <v>12.0</v>
      </c>
      <c r="S504" s="36">
        <v>0.05</v>
      </c>
      <c r="T504" s="36">
        <v>0.04</v>
      </c>
      <c r="U504" s="36">
        <v>0.2236</v>
      </c>
      <c r="V504" s="36">
        <v>0.2</v>
      </c>
      <c r="W504" s="37" t="s">
        <v>780</v>
      </c>
      <c r="X504" s="31">
        <v>10.5</v>
      </c>
      <c r="Y504" s="36">
        <v>0.22334992836581413</v>
      </c>
      <c r="Z504" s="36">
        <v>8.749594666666665</v>
      </c>
      <c r="AA504" s="29" t="s">
        <v>820</v>
      </c>
      <c r="AB504" s="31">
        <v>5.19089698792</v>
      </c>
      <c r="AC504" s="38">
        <v>647.0</v>
      </c>
    </row>
    <row r="505" ht="14.25" customHeight="1">
      <c r="A505" s="29" t="s">
        <v>145</v>
      </c>
      <c r="B505" s="29">
        <v>23.0</v>
      </c>
      <c r="C505" s="29" t="s">
        <v>608</v>
      </c>
      <c r="D505" s="29" t="s">
        <v>781</v>
      </c>
      <c r="E505" s="29">
        <v>136.0</v>
      </c>
      <c r="F505" s="30" t="s">
        <v>782</v>
      </c>
      <c r="G505" s="29" t="s">
        <v>626</v>
      </c>
      <c r="H505" s="31">
        <v>4.9</v>
      </c>
      <c r="I505" s="29" t="s">
        <v>597</v>
      </c>
      <c r="J505" s="32" t="s">
        <v>598</v>
      </c>
      <c r="K505" s="29" t="s">
        <v>698</v>
      </c>
      <c r="L505" s="29" t="s">
        <v>933</v>
      </c>
      <c r="M505" s="33">
        <v>16.348</v>
      </c>
      <c r="N505" s="33">
        <v>2.953</v>
      </c>
      <c r="O505" s="34" t="s">
        <v>641</v>
      </c>
      <c r="P505" s="32" t="s">
        <v>643</v>
      </c>
      <c r="Q505" s="35">
        <v>3.0</v>
      </c>
      <c r="R505" s="35">
        <v>12.0</v>
      </c>
      <c r="S505" s="36">
        <v>0.05</v>
      </c>
      <c r="T505" s="36">
        <v>0.15</v>
      </c>
      <c r="U505" s="36">
        <v>0.2236</v>
      </c>
      <c r="V505" s="36">
        <v>0.3873</v>
      </c>
      <c r="W505" s="37" t="s">
        <v>780</v>
      </c>
      <c r="X505" s="31">
        <v>10.5</v>
      </c>
      <c r="Y505" s="36">
        <v>-1.0978385942387991</v>
      </c>
      <c r="Z505" s="36">
        <v>7.221821666666665</v>
      </c>
      <c r="AA505" s="29" t="s">
        <v>820</v>
      </c>
      <c r="AB505" s="31">
        <v>5.19089698792</v>
      </c>
      <c r="AC505" s="38">
        <v>647.0</v>
      </c>
    </row>
    <row r="506" ht="14.25" customHeight="1">
      <c r="A506" s="29" t="s">
        <v>145</v>
      </c>
      <c r="B506" s="29">
        <v>23.0</v>
      </c>
      <c r="C506" s="29" t="s">
        <v>608</v>
      </c>
      <c r="D506" s="29" t="s">
        <v>935</v>
      </c>
      <c r="E506" s="29">
        <v>35.0</v>
      </c>
      <c r="F506" s="30" t="s">
        <v>936</v>
      </c>
      <c r="G506" s="29" t="s">
        <v>626</v>
      </c>
      <c r="H506" s="31">
        <v>16.74</v>
      </c>
      <c r="I506" s="29" t="s">
        <v>612</v>
      </c>
      <c r="J506" s="32" t="s">
        <v>598</v>
      </c>
      <c r="K506" s="29" t="s">
        <v>698</v>
      </c>
      <c r="L506" s="29" t="s">
        <v>933</v>
      </c>
      <c r="M506" s="33">
        <v>16.3</v>
      </c>
      <c r="N506" s="33">
        <v>2.961</v>
      </c>
      <c r="O506" s="34" t="s">
        <v>641</v>
      </c>
      <c r="P506" s="32" t="s">
        <v>643</v>
      </c>
      <c r="Q506" s="35">
        <v>6.0</v>
      </c>
      <c r="R506" s="35">
        <v>12.0</v>
      </c>
      <c r="S506" s="36">
        <v>0.0</v>
      </c>
      <c r="T506" s="36">
        <v>0.19</v>
      </c>
      <c r="U506" s="36">
        <v>0.0</v>
      </c>
      <c r="V506" s="36">
        <v>0.4359</v>
      </c>
      <c r="W506" s="37" t="s">
        <v>780</v>
      </c>
      <c r="X506" s="31">
        <v>4.3</v>
      </c>
      <c r="Y506" s="36">
        <v>-8.262558973010657</v>
      </c>
      <c r="Z506" s="36">
        <v>0.31997983791920465</v>
      </c>
      <c r="AA506" s="29" t="s">
        <v>820</v>
      </c>
      <c r="AB506" s="31">
        <v>5.19089746475</v>
      </c>
      <c r="AC506" s="38">
        <v>326.0</v>
      </c>
    </row>
    <row r="507" ht="14.25" customHeight="1">
      <c r="A507" s="29" t="s">
        <v>145</v>
      </c>
      <c r="B507" s="29">
        <v>23.0</v>
      </c>
      <c r="C507" s="29" t="s">
        <v>608</v>
      </c>
      <c r="D507" s="29" t="s">
        <v>937</v>
      </c>
      <c r="E507" s="29">
        <v>44.0</v>
      </c>
      <c r="F507" s="30" t="s">
        <v>938</v>
      </c>
      <c r="G507" s="29" t="s">
        <v>611</v>
      </c>
      <c r="H507" s="31">
        <v>8.0</v>
      </c>
      <c r="I507" s="29" t="s">
        <v>597</v>
      </c>
      <c r="J507" s="32" t="s">
        <v>598</v>
      </c>
      <c r="K507" s="29" t="s">
        <v>698</v>
      </c>
      <c r="L507" s="29" t="s">
        <v>933</v>
      </c>
      <c r="M507" s="33">
        <v>16.3</v>
      </c>
      <c r="N507" s="33">
        <v>2.961</v>
      </c>
      <c r="O507" s="34" t="s">
        <v>641</v>
      </c>
      <c r="P507" s="32" t="s">
        <v>643</v>
      </c>
      <c r="Q507" s="35">
        <v>6.0</v>
      </c>
      <c r="R507" s="35">
        <v>12.0</v>
      </c>
      <c r="S507" s="36">
        <v>0.02</v>
      </c>
      <c r="T507" s="36">
        <v>0.05</v>
      </c>
      <c r="U507" s="36">
        <v>0.1414</v>
      </c>
      <c r="V507" s="36">
        <v>0.2236</v>
      </c>
      <c r="W507" s="37" t="s">
        <v>780</v>
      </c>
      <c r="X507" s="31">
        <v>4.3</v>
      </c>
      <c r="Y507" s="36">
        <v>-0.9156459449538857</v>
      </c>
      <c r="Z507" s="36">
        <v>9.997381999999998</v>
      </c>
      <c r="AA507" s="29" t="s">
        <v>820</v>
      </c>
      <c r="AB507" s="31">
        <v>5.19089746475</v>
      </c>
      <c r="AC507" s="38">
        <v>326.0</v>
      </c>
    </row>
    <row r="508" ht="14.25" customHeight="1">
      <c r="A508" s="29" t="s">
        <v>145</v>
      </c>
      <c r="B508" s="29">
        <v>23.0</v>
      </c>
      <c r="C508" s="29" t="s">
        <v>608</v>
      </c>
      <c r="D508" s="29" t="s">
        <v>939</v>
      </c>
      <c r="E508" s="29">
        <v>45.0</v>
      </c>
      <c r="F508" s="30" t="s">
        <v>940</v>
      </c>
      <c r="G508" s="29" t="s">
        <v>611</v>
      </c>
      <c r="H508" s="31">
        <v>3.48</v>
      </c>
      <c r="I508" s="29" t="s">
        <v>597</v>
      </c>
      <c r="J508" s="32" t="s">
        <v>598</v>
      </c>
      <c r="K508" s="29" t="s">
        <v>698</v>
      </c>
      <c r="L508" s="29" t="s">
        <v>933</v>
      </c>
      <c r="M508" s="33">
        <v>16.3</v>
      </c>
      <c r="N508" s="33">
        <v>2.961</v>
      </c>
      <c r="O508" s="34" t="s">
        <v>641</v>
      </c>
      <c r="P508" s="32" t="s">
        <v>643</v>
      </c>
      <c r="Q508" s="35">
        <v>6.0</v>
      </c>
      <c r="R508" s="35">
        <v>12.0</v>
      </c>
      <c r="S508" s="36">
        <v>0.05</v>
      </c>
      <c r="T508" s="36">
        <v>0.08</v>
      </c>
      <c r="U508" s="36">
        <v>0.2236</v>
      </c>
      <c r="V508" s="36">
        <v>0.2828</v>
      </c>
      <c r="W508" s="37" t="s">
        <v>780</v>
      </c>
      <c r="X508" s="31">
        <v>4.3</v>
      </c>
      <c r="Y508" s="36">
        <v>-0.4695909177252261</v>
      </c>
      <c r="Z508" s="36">
        <v>4.374482749999999</v>
      </c>
      <c r="AA508" s="29" t="s">
        <v>820</v>
      </c>
      <c r="AB508" s="31">
        <v>5.19089746475</v>
      </c>
      <c r="AC508" s="38">
        <v>326.0</v>
      </c>
    </row>
    <row r="509" ht="14.25" customHeight="1">
      <c r="A509" s="29" t="s">
        <v>145</v>
      </c>
      <c r="B509" s="29">
        <v>23.0</v>
      </c>
      <c r="C509" s="29" t="s">
        <v>608</v>
      </c>
      <c r="D509" s="29" t="s">
        <v>941</v>
      </c>
      <c r="E509" s="29">
        <v>48.0</v>
      </c>
      <c r="F509" s="30" t="s">
        <v>942</v>
      </c>
      <c r="G509" s="29" t="s">
        <v>611</v>
      </c>
      <c r="H509" s="31">
        <v>5.8</v>
      </c>
      <c r="I509" s="29" t="s">
        <v>597</v>
      </c>
      <c r="J509" s="32" t="s">
        <v>598</v>
      </c>
      <c r="K509" s="29" t="s">
        <v>698</v>
      </c>
      <c r="L509" s="29" t="s">
        <v>933</v>
      </c>
      <c r="M509" s="33">
        <v>16.3</v>
      </c>
      <c r="N509" s="33">
        <v>2.961</v>
      </c>
      <c r="O509" s="34" t="s">
        <v>641</v>
      </c>
      <c r="P509" s="32" t="s">
        <v>643</v>
      </c>
      <c r="Q509" s="35">
        <v>6.0</v>
      </c>
      <c r="R509" s="35">
        <v>12.0</v>
      </c>
      <c r="S509" s="36">
        <v>0.18</v>
      </c>
      <c r="T509" s="36">
        <v>0.3</v>
      </c>
      <c r="U509" s="36">
        <v>0.4243</v>
      </c>
      <c r="V509" s="36">
        <v>0.5477</v>
      </c>
      <c r="W509" s="37" t="s">
        <v>780</v>
      </c>
      <c r="X509" s="31">
        <v>4.3</v>
      </c>
      <c r="Y509" s="36">
        <v>-0.5103957196279908</v>
      </c>
      <c r="Z509" s="36">
        <v>1.2038376656378602</v>
      </c>
      <c r="AA509" s="29" t="s">
        <v>820</v>
      </c>
      <c r="AB509" s="31">
        <v>5.19089746475</v>
      </c>
      <c r="AC509" s="38">
        <v>326.0</v>
      </c>
    </row>
    <row r="510" ht="14.25" customHeight="1">
      <c r="A510" s="29" t="s">
        <v>145</v>
      </c>
      <c r="B510" s="29">
        <v>23.0</v>
      </c>
      <c r="C510" s="29" t="s">
        <v>608</v>
      </c>
      <c r="D510" s="29" t="s">
        <v>943</v>
      </c>
      <c r="E510" s="29">
        <v>49.0</v>
      </c>
      <c r="F510" s="30" t="s">
        <v>944</v>
      </c>
      <c r="G510" s="29" t="s">
        <v>611</v>
      </c>
      <c r="H510" s="31">
        <v>3.76</v>
      </c>
      <c r="I510" s="29" t="s">
        <v>597</v>
      </c>
      <c r="J510" s="32" t="s">
        <v>598</v>
      </c>
      <c r="K510" s="29" t="s">
        <v>698</v>
      </c>
      <c r="L510" s="29" t="s">
        <v>933</v>
      </c>
      <c r="M510" s="33">
        <v>16.3</v>
      </c>
      <c r="N510" s="33">
        <v>2.961</v>
      </c>
      <c r="O510" s="34" t="s">
        <v>641</v>
      </c>
      <c r="P510" s="32" t="s">
        <v>643</v>
      </c>
      <c r="Q510" s="35">
        <v>6.0</v>
      </c>
      <c r="R510" s="35">
        <v>12.0</v>
      </c>
      <c r="S510" s="36">
        <v>0.06</v>
      </c>
      <c r="T510" s="36">
        <v>0.16</v>
      </c>
      <c r="U510" s="36">
        <v>0.2449</v>
      </c>
      <c r="V510" s="36">
        <v>0.4</v>
      </c>
      <c r="W510" s="37" t="s">
        <v>780</v>
      </c>
      <c r="X510" s="31">
        <v>4.3</v>
      </c>
      <c r="Y510" s="36">
        <v>-0.9801414950754006</v>
      </c>
      <c r="Z510" s="36">
        <v>3.297500462962963</v>
      </c>
      <c r="AA510" s="29" t="s">
        <v>820</v>
      </c>
      <c r="AB510" s="31">
        <v>5.19089746475</v>
      </c>
      <c r="AC510" s="38">
        <v>326.0</v>
      </c>
    </row>
    <row r="511" ht="14.25" customHeight="1">
      <c r="A511" s="29" t="s">
        <v>145</v>
      </c>
      <c r="B511" s="29">
        <v>23.0</v>
      </c>
      <c r="C511" s="29" t="s">
        <v>608</v>
      </c>
      <c r="D511" s="29" t="s">
        <v>931</v>
      </c>
      <c r="E511" s="29">
        <v>83.0</v>
      </c>
      <c r="F511" s="30" t="s">
        <v>932</v>
      </c>
      <c r="G511" s="29" t="s">
        <v>611</v>
      </c>
      <c r="H511" s="31">
        <v>131.63</v>
      </c>
      <c r="I511" s="29" t="s">
        <v>612</v>
      </c>
      <c r="J511" s="32" t="s">
        <v>598</v>
      </c>
      <c r="K511" s="29" t="s">
        <v>698</v>
      </c>
      <c r="L511" s="29" t="s">
        <v>933</v>
      </c>
      <c r="M511" s="33">
        <v>16.3</v>
      </c>
      <c r="N511" s="33">
        <v>2.961</v>
      </c>
      <c r="O511" s="34" t="s">
        <v>641</v>
      </c>
      <c r="P511" s="32" t="s">
        <v>643</v>
      </c>
      <c r="Q511" s="35">
        <v>6.0</v>
      </c>
      <c r="R511" s="35">
        <v>12.0</v>
      </c>
      <c r="S511" s="36">
        <v>0.18</v>
      </c>
      <c r="T511" s="36">
        <v>0.88</v>
      </c>
      <c r="U511" s="36">
        <v>0.4243</v>
      </c>
      <c r="V511" s="36">
        <v>0.9381</v>
      </c>
      <c r="W511" s="37" t="s">
        <v>780</v>
      </c>
      <c r="X511" s="31">
        <v>4.3</v>
      </c>
      <c r="Y511" s="36">
        <v>-1.5857045281391928</v>
      </c>
      <c r="Z511" s="36">
        <v>1.0207831387448774</v>
      </c>
      <c r="AA511" s="29" t="s">
        <v>820</v>
      </c>
      <c r="AB511" s="31">
        <v>5.19089746475</v>
      </c>
      <c r="AC511" s="38">
        <v>326.0</v>
      </c>
    </row>
    <row r="512" ht="14.25" customHeight="1">
      <c r="A512" s="29" t="s">
        <v>145</v>
      </c>
      <c r="B512" s="29">
        <v>23.0</v>
      </c>
      <c r="C512" s="29" t="s">
        <v>608</v>
      </c>
      <c r="D512" s="29" t="s">
        <v>945</v>
      </c>
      <c r="E512" s="29">
        <v>95.0</v>
      </c>
      <c r="F512" s="30" t="s">
        <v>946</v>
      </c>
      <c r="G512" s="29" t="s">
        <v>611</v>
      </c>
      <c r="H512" s="31">
        <v>7.69</v>
      </c>
      <c r="I512" s="29" t="s">
        <v>616</v>
      </c>
      <c r="J512" s="32" t="s">
        <v>598</v>
      </c>
      <c r="K512" s="29" t="s">
        <v>698</v>
      </c>
      <c r="L512" s="29" t="s">
        <v>933</v>
      </c>
      <c r="M512" s="33">
        <v>16.3</v>
      </c>
      <c r="N512" s="33">
        <v>2.961</v>
      </c>
      <c r="O512" s="34" t="s">
        <v>641</v>
      </c>
      <c r="P512" s="32" t="s">
        <v>643</v>
      </c>
      <c r="Q512" s="35">
        <v>6.0</v>
      </c>
      <c r="R512" s="35">
        <v>12.0</v>
      </c>
      <c r="S512" s="36">
        <v>0.03</v>
      </c>
      <c r="T512" s="36">
        <v>0.25</v>
      </c>
      <c r="U512" s="36">
        <v>0.1732</v>
      </c>
      <c r="V512" s="36">
        <v>0.5</v>
      </c>
      <c r="W512" s="37" t="s">
        <v>780</v>
      </c>
      <c r="X512" s="31">
        <v>4.3</v>
      </c>
      <c r="Y512" s="36">
        <v>-2.1181158613055944</v>
      </c>
      <c r="Z512" s="36">
        <v>5.888562962962962</v>
      </c>
      <c r="AA512" s="29" t="s">
        <v>820</v>
      </c>
      <c r="AB512" s="31">
        <v>5.19089746475</v>
      </c>
      <c r="AC512" s="38">
        <v>326.0</v>
      </c>
    </row>
    <row r="513" ht="14.25" customHeight="1">
      <c r="A513" s="29" t="s">
        <v>145</v>
      </c>
      <c r="B513" s="29">
        <v>23.0</v>
      </c>
      <c r="C513" s="29" t="s">
        <v>608</v>
      </c>
      <c r="D513" s="29" t="s">
        <v>751</v>
      </c>
      <c r="E513" s="29">
        <v>97.0</v>
      </c>
      <c r="F513" s="30" t="s">
        <v>752</v>
      </c>
      <c r="G513" s="29" t="s">
        <v>753</v>
      </c>
      <c r="H513" s="31">
        <v>3940.03</v>
      </c>
      <c r="I513" s="29" t="s">
        <v>612</v>
      </c>
      <c r="J513" s="32" t="s">
        <v>598</v>
      </c>
      <c r="K513" s="29" t="s">
        <v>698</v>
      </c>
      <c r="L513" s="29" t="s">
        <v>933</v>
      </c>
      <c r="M513" s="33">
        <v>16.3</v>
      </c>
      <c r="N513" s="33">
        <v>2.961</v>
      </c>
      <c r="O513" s="34" t="s">
        <v>641</v>
      </c>
      <c r="P513" s="32" t="s">
        <v>643</v>
      </c>
      <c r="Q513" s="35">
        <v>6.0</v>
      </c>
      <c r="R513" s="35">
        <v>12.0</v>
      </c>
      <c r="S513" s="36">
        <v>2.43</v>
      </c>
      <c r="T513" s="36">
        <v>16.32</v>
      </c>
      <c r="U513" s="36">
        <v>1.5588</v>
      </c>
      <c r="V513" s="36">
        <v>4.0398</v>
      </c>
      <c r="W513" s="37" t="s">
        <v>780</v>
      </c>
      <c r="X513" s="31">
        <v>4.3</v>
      </c>
      <c r="Y513" s="36">
        <v>-1.9027688647439671</v>
      </c>
      <c r="Z513" s="36">
        <v>0.07368928600403397</v>
      </c>
      <c r="AA513" s="29" t="s">
        <v>820</v>
      </c>
      <c r="AB513" s="31">
        <v>5.19089746475</v>
      </c>
      <c r="AC513" s="38">
        <v>326.0</v>
      </c>
    </row>
    <row r="514" ht="14.25" customHeight="1">
      <c r="A514" s="29" t="s">
        <v>145</v>
      </c>
      <c r="B514" s="29">
        <v>23.0</v>
      </c>
      <c r="C514" s="29" t="s">
        <v>608</v>
      </c>
      <c r="D514" s="35" t="s">
        <v>947</v>
      </c>
      <c r="E514" s="29">
        <v>121.0</v>
      </c>
      <c r="F514" s="30" t="s">
        <v>948</v>
      </c>
      <c r="G514" s="29" t="s">
        <v>611</v>
      </c>
      <c r="H514" s="31">
        <v>42.5</v>
      </c>
      <c r="I514" s="29" t="s">
        <v>597</v>
      </c>
      <c r="J514" s="32" t="s">
        <v>598</v>
      </c>
      <c r="K514" s="29" t="s">
        <v>698</v>
      </c>
      <c r="L514" s="29" t="s">
        <v>933</v>
      </c>
      <c r="M514" s="33">
        <v>16.3</v>
      </c>
      <c r="N514" s="33">
        <v>2.961</v>
      </c>
      <c r="O514" s="34" t="s">
        <v>641</v>
      </c>
      <c r="P514" s="32" t="s">
        <v>643</v>
      </c>
      <c r="Q514" s="35">
        <v>6.0</v>
      </c>
      <c r="R514" s="35">
        <v>12.0</v>
      </c>
      <c r="S514" s="36">
        <v>0.02</v>
      </c>
      <c r="T514" s="36">
        <v>0.04</v>
      </c>
      <c r="U514" s="36">
        <v>0.1414</v>
      </c>
      <c r="V514" s="36">
        <v>0.2</v>
      </c>
      <c r="W514" s="37" t="s">
        <v>780</v>
      </c>
      <c r="X514" s="31">
        <v>4.3</v>
      </c>
      <c r="Y514" s="36">
        <v>-0.692631317768005</v>
      </c>
      <c r="Z514" s="36">
        <v>10.41415</v>
      </c>
      <c r="AA514" s="29" t="s">
        <v>820</v>
      </c>
      <c r="AB514" s="31">
        <v>5.19089746475</v>
      </c>
      <c r="AC514" s="38">
        <v>326.0</v>
      </c>
    </row>
    <row r="515" ht="14.25" customHeight="1">
      <c r="A515" s="29" t="s">
        <v>145</v>
      </c>
      <c r="B515" s="29">
        <v>23.0</v>
      </c>
      <c r="C515" s="29" t="s">
        <v>608</v>
      </c>
      <c r="D515" s="29" t="s">
        <v>781</v>
      </c>
      <c r="E515" s="29">
        <v>136.0</v>
      </c>
      <c r="F515" s="30" t="s">
        <v>782</v>
      </c>
      <c r="G515" s="29" t="s">
        <v>626</v>
      </c>
      <c r="H515" s="31">
        <v>4.9</v>
      </c>
      <c r="I515" s="29" t="s">
        <v>597</v>
      </c>
      <c r="J515" s="32" t="s">
        <v>598</v>
      </c>
      <c r="K515" s="29" t="s">
        <v>698</v>
      </c>
      <c r="L515" s="29" t="s">
        <v>933</v>
      </c>
      <c r="M515" s="33">
        <v>16.3</v>
      </c>
      <c r="N515" s="33">
        <v>2.961</v>
      </c>
      <c r="O515" s="34" t="s">
        <v>641</v>
      </c>
      <c r="P515" s="32" t="s">
        <v>643</v>
      </c>
      <c r="Q515" s="35">
        <v>6.0</v>
      </c>
      <c r="R515" s="35">
        <v>12.0</v>
      </c>
      <c r="S515" s="36">
        <v>0.05</v>
      </c>
      <c r="T515" s="36">
        <v>0.15</v>
      </c>
      <c r="U515" s="36">
        <v>0.2236</v>
      </c>
      <c r="V515" s="36">
        <v>0.3873</v>
      </c>
      <c r="W515" s="37" t="s">
        <v>780</v>
      </c>
      <c r="X515" s="31">
        <v>4.3</v>
      </c>
      <c r="Y515" s="36">
        <v>-1.0978385942387991</v>
      </c>
      <c r="Z515" s="36">
        <v>3.8886909999999992</v>
      </c>
      <c r="AA515" s="29" t="s">
        <v>820</v>
      </c>
      <c r="AB515" s="31">
        <v>5.19089746475</v>
      </c>
      <c r="AC515" s="38">
        <v>326.0</v>
      </c>
    </row>
    <row r="516" ht="14.25" customHeight="1">
      <c r="A516" s="29" t="s">
        <v>149</v>
      </c>
      <c r="B516" s="29">
        <v>34.0</v>
      </c>
      <c r="C516" s="29" t="s">
        <v>593</v>
      </c>
      <c r="D516" s="29" t="s">
        <v>949</v>
      </c>
      <c r="E516" s="29">
        <v>128.0</v>
      </c>
      <c r="F516" s="30" t="s">
        <v>950</v>
      </c>
      <c r="G516" s="29" t="s">
        <v>607</v>
      </c>
      <c r="H516" s="31">
        <v>2.21</v>
      </c>
      <c r="I516" s="29" t="s">
        <v>620</v>
      </c>
      <c r="J516" s="32" t="s">
        <v>642</v>
      </c>
      <c r="K516" s="29" t="s">
        <v>951</v>
      </c>
      <c r="L516" s="29" t="s">
        <v>952</v>
      </c>
      <c r="M516" s="33">
        <v>107.724</v>
      </c>
      <c r="N516" s="33">
        <v>13.094</v>
      </c>
      <c r="O516" s="34" t="s">
        <v>641</v>
      </c>
      <c r="P516" s="32" t="s">
        <v>602</v>
      </c>
      <c r="Q516" s="35">
        <v>32.0</v>
      </c>
      <c r="R516" s="35">
        <v>32.0</v>
      </c>
      <c r="S516" s="36">
        <v>0.48</v>
      </c>
      <c r="T516" s="36">
        <v>1.79</v>
      </c>
      <c r="U516" s="36">
        <v>1.142</v>
      </c>
      <c r="V516" s="36">
        <v>5.2023</v>
      </c>
      <c r="W516" s="37" t="s">
        <v>953</v>
      </c>
      <c r="X516" s="31">
        <v>1.5</v>
      </c>
      <c r="Y516" s="36">
        <v>-1.311340859987591</v>
      </c>
      <c r="Z516" s="36">
        <v>0.4408465126556871</v>
      </c>
      <c r="AA516" s="29" t="s">
        <v>820</v>
      </c>
      <c r="AB516" s="31">
        <v>7.84750366211</v>
      </c>
      <c r="AC516" s="38">
        <v>298.0</v>
      </c>
    </row>
    <row r="517" ht="14.25" customHeight="1">
      <c r="A517" s="29" t="s">
        <v>149</v>
      </c>
      <c r="B517" s="29">
        <v>34.0</v>
      </c>
      <c r="C517" s="29" t="s">
        <v>593</v>
      </c>
      <c r="D517" s="29" t="s">
        <v>949</v>
      </c>
      <c r="E517" s="29">
        <v>128.0</v>
      </c>
      <c r="F517" s="30" t="s">
        <v>950</v>
      </c>
      <c r="G517" s="29" t="s">
        <v>607</v>
      </c>
      <c r="H517" s="31">
        <v>2.21</v>
      </c>
      <c r="I517" s="29" t="s">
        <v>620</v>
      </c>
      <c r="J517" s="32" t="s">
        <v>642</v>
      </c>
      <c r="K517" s="29" t="s">
        <v>951</v>
      </c>
      <c r="L517" s="29" t="s">
        <v>952</v>
      </c>
      <c r="M517" s="33">
        <v>107.724</v>
      </c>
      <c r="N517" s="33">
        <v>13.094</v>
      </c>
      <c r="O517" s="34" t="s">
        <v>641</v>
      </c>
      <c r="P517" s="32" t="s">
        <v>602</v>
      </c>
      <c r="Q517" s="35">
        <v>32.0</v>
      </c>
      <c r="R517" s="35">
        <v>32.0</v>
      </c>
      <c r="S517" s="36">
        <v>0.9</v>
      </c>
      <c r="T517" s="36">
        <v>1.79</v>
      </c>
      <c r="U517" s="36">
        <v>1.7764</v>
      </c>
      <c r="V517" s="36">
        <v>5.2023</v>
      </c>
      <c r="W517" s="37" t="s">
        <v>953</v>
      </c>
      <c r="X517" s="31">
        <v>3.5</v>
      </c>
      <c r="Y517" s="36">
        <v>-0.6849897839289761</v>
      </c>
      <c r="Z517" s="36">
        <v>0.3857016591641747</v>
      </c>
      <c r="AA517" s="29" t="s">
        <v>820</v>
      </c>
      <c r="AB517" s="31">
        <v>7.84750366211</v>
      </c>
      <c r="AC517" s="38">
        <v>298.0</v>
      </c>
    </row>
    <row r="518" ht="14.25" customHeight="1">
      <c r="A518" s="29" t="s">
        <v>149</v>
      </c>
      <c r="B518" s="29">
        <v>34.0</v>
      </c>
      <c r="C518" s="29" t="s">
        <v>593</v>
      </c>
      <c r="D518" s="29" t="s">
        <v>949</v>
      </c>
      <c r="E518" s="29">
        <v>128.0</v>
      </c>
      <c r="F518" s="30" t="s">
        <v>950</v>
      </c>
      <c r="G518" s="29" t="s">
        <v>607</v>
      </c>
      <c r="H518" s="31">
        <v>2.21</v>
      </c>
      <c r="I518" s="29" t="s">
        <v>620</v>
      </c>
      <c r="J518" s="32" t="s">
        <v>642</v>
      </c>
      <c r="K518" s="29" t="s">
        <v>951</v>
      </c>
      <c r="L518" s="29" t="s">
        <v>952</v>
      </c>
      <c r="M518" s="33">
        <v>107.724</v>
      </c>
      <c r="N518" s="33">
        <v>13.094</v>
      </c>
      <c r="O518" s="34" t="s">
        <v>641</v>
      </c>
      <c r="P518" s="32" t="s">
        <v>602</v>
      </c>
      <c r="Q518" s="35">
        <v>32.0</v>
      </c>
      <c r="R518" s="35">
        <v>32.0</v>
      </c>
      <c r="S518" s="36">
        <v>1.59</v>
      </c>
      <c r="T518" s="36">
        <v>1.79</v>
      </c>
      <c r="U518" s="36">
        <v>3.6797</v>
      </c>
      <c r="V518" s="36">
        <v>5.2023</v>
      </c>
      <c r="W518" s="37" t="s">
        <v>953</v>
      </c>
      <c r="X518" s="31">
        <v>5.5</v>
      </c>
      <c r="Y518" s="36">
        <v>-0.11701680955493894</v>
      </c>
      <c r="Z518" s="36">
        <v>0.4313290986933116</v>
      </c>
      <c r="AA518" s="29" t="s">
        <v>820</v>
      </c>
      <c r="AB518" s="31">
        <v>7.84750366211</v>
      </c>
      <c r="AC518" s="38">
        <v>298.0</v>
      </c>
    </row>
    <row r="519" ht="14.25" customHeight="1">
      <c r="A519" s="29" t="s">
        <v>149</v>
      </c>
      <c r="B519" s="29">
        <v>34.0</v>
      </c>
      <c r="C519" s="29" t="s">
        <v>593</v>
      </c>
      <c r="D519" s="29" t="s">
        <v>949</v>
      </c>
      <c r="E519" s="29">
        <v>128.0</v>
      </c>
      <c r="F519" s="30" t="s">
        <v>950</v>
      </c>
      <c r="G519" s="29" t="s">
        <v>607</v>
      </c>
      <c r="H519" s="31">
        <v>2.21</v>
      </c>
      <c r="I519" s="29" t="s">
        <v>620</v>
      </c>
      <c r="J519" s="32" t="s">
        <v>642</v>
      </c>
      <c r="K519" s="29" t="s">
        <v>951</v>
      </c>
      <c r="L519" s="29" t="s">
        <v>952</v>
      </c>
      <c r="M519" s="33">
        <v>107.724</v>
      </c>
      <c r="N519" s="33">
        <v>13.094</v>
      </c>
      <c r="O519" s="34" t="s">
        <v>641</v>
      </c>
      <c r="P519" s="32" t="s">
        <v>602</v>
      </c>
      <c r="Q519" s="35">
        <v>32.0</v>
      </c>
      <c r="R519" s="35">
        <v>32.0</v>
      </c>
      <c r="S519" s="36">
        <v>1.48</v>
      </c>
      <c r="T519" s="36">
        <v>1.79</v>
      </c>
      <c r="U519" s="36">
        <v>3.9335</v>
      </c>
      <c r="V519" s="36">
        <v>5.2023</v>
      </c>
      <c r="W519" s="37" t="s">
        <v>953</v>
      </c>
      <c r="X519" s="31">
        <v>7.5</v>
      </c>
      <c r="Y519" s="36">
        <v>-0.18859995379609582</v>
      </c>
      <c r="Z519" s="36">
        <v>0.4846999120855223</v>
      </c>
      <c r="AA519" s="29" t="s">
        <v>820</v>
      </c>
      <c r="AB519" s="31">
        <v>7.84750366211</v>
      </c>
      <c r="AC519" s="38">
        <v>298.0</v>
      </c>
    </row>
    <row r="520" ht="14.25" customHeight="1">
      <c r="A520" s="29" t="s">
        <v>149</v>
      </c>
      <c r="B520" s="29">
        <v>34.0</v>
      </c>
      <c r="C520" s="29" t="s">
        <v>593</v>
      </c>
      <c r="D520" s="29" t="s">
        <v>949</v>
      </c>
      <c r="E520" s="29">
        <v>128.0</v>
      </c>
      <c r="F520" s="30" t="s">
        <v>950</v>
      </c>
      <c r="G520" s="29" t="s">
        <v>607</v>
      </c>
      <c r="H520" s="31">
        <v>2.21</v>
      </c>
      <c r="I520" s="29" t="s">
        <v>620</v>
      </c>
      <c r="J520" s="32" t="s">
        <v>642</v>
      </c>
      <c r="K520" s="29" t="s">
        <v>951</v>
      </c>
      <c r="L520" s="29" t="s">
        <v>952</v>
      </c>
      <c r="M520" s="33">
        <v>107.724</v>
      </c>
      <c r="N520" s="33">
        <v>13.094</v>
      </c>
      <c r="O520" s="34" t="s">
        <v>641</v>
      </c>
      <c r="P520" s="32" t="s">
        <v>602</v>
      </c>
      <c r="Q520" s="35">
        <v>32.0</v>
      </c>
      <c r="R520" s="35">
        <v>32.0</v>
      </c>
      <c r="S520" s="36">
        <v>1.81</v>
      </c>
      <c r="T520" s="36">
        <v>1.79</v>
      </c>
      <c r="U520" s="36">
        <v>7.4863</v>
      </c>
      <c r="V520" s="36">
        <v>5.2023</v>
      </c>
      <c r="W520" s="37" t="s">
        <v>953</v>
      </c>
      <c r="X520" s="31">
        <v>9.5</v>
      </c>
      <c r="Y520" s="36">
        <v>0.01239809272823876</v>
      </c>
      <c r="Z520" s="36">
        <v>0.7985559439497297</v>
      </c>
      <c r="AA520" s="29" t="s">
        <v>820</v>
      </c>
      <c r="AB520" s="31">
        <v>7.84750366211</v>
      </c>
      <c r="AC520" s="38">
        <v>298.0</v>
      </c>
    </row>
    <row r="521" ht="14.25" customHeight="1">
      <c r="A521" s="29" t="s">
        <v>154</v>
      </c>
      <c r="B521" s="29">
        <v>56.0</v>
      </c>
      <c r="C521" s="29" t="s">
        <v>593</v>
      </c>
      <c r="D521" s="29" t="s">
        <v>838</v>
      </c>
      <c r="E521" s="29">
        <v>62.0</v>
      </c>
      <c r="F521" s="30" t="s">
        <v>839</v>
      </c>
      <c r="G521" s="29" t="s">
        <v>607</v>
      </c>
      <c r="H521" s="31">
        <v>4.13</v>
      </c>
      <c r="I521" s="29" t="s">
        <v>597</v>
      </c>
      <c r="J521" s="32" t="s">
        <v>598</v>
      </c>
      <c r="K521" s="29" t="s">
        <v>599</v>
      </c>
      <c r="L521" s="29" t="s">
        <v>954</v>
      </c>
      <c r="M521" s="33">
        <v>-84.841</v>
      </c>
      <c r="N521" s="33">
        <v>15.675</v>
      </c>
      <c r="O521" s="34" t="s">
        <v>601</v>
      </c>
      <c r="P521" s="32" t="s">
        <v>602</v>
      </c>
      <c r="Q521" s="35">
        <v>7.0</v>
      </c>
      <c r="R521" s="35">
        <v>11.0</v>
      </c>
      <c r="S521" s="36">
        <v>0.0536</v>
      </c>
      <c r="T521" s="36">
        <v>0.2348</v>
      </c>
      <c r="U521" s="36">
        <v>0.2315</v>
      </c>
      <c r="V521" s="36">
        <v>0.4846</v>
      </c>
      <c r="W521" s="37" t="s">
        <v>780</v>
      </c>
      <c r="X521" s="31">
        <v>1.0</v>
      </c>
      <c r="Y521" s="36">
        <v>-1.4714973231706323</v>
      </c>
      <c r="Z521" s="36">
        <v>3.0520978188934196</v>
      </c>
      <c r="AA521" s="29" t="s">
        <v>820</v>
      </c>
      <c r="AB521" s="31">
        <v>0.730580329895</v>
      </c>
      <c r="AC521" s="38">
        <v>1485.0</v>
      </c>
    </row>
    <row r="522" ht="14.25" customHeight="1">
      <c r="A522" s="29" t="s">
        <v>154</v>
      </c>
      <c r="B522" s="29">
        <v>56.0</v>
      </c>
      <c r="C522" s="29" t="s">
        <v>593</v>
      </c>
      <c r="D522" s="29" t="s">
        <v>838</v>
      </c>
      <c r="E522" s="29">
        <v>62.0</v>
      </c>
      <c r="F522" s="30" t="s">
        <v>839</v>
      </c>
      <c r="G522" s="29" t="s">
        <v>607</v>
      </c>
      <c r="H522" s="31">
        <v>4.13</v>
      </c>
      <c r="I522" s="29" t="s">
        <v>597</v>
      </c>
      <c r="J522" s="32" t="s">
        <v>598</v>
      </c>
      <c r="K522" s="29" t="s">
        <v>599</v>
      </c>
      <c r="L522" s="29" t="s">
        <v>954</v>
      </c>
      <c r="M522" s="33">
        <v>-84.841</v>
      </c>
      <c r="N522" s="33">
        <v>15.675</v>
      </c>
      <c r="O522" s="34" t="s">
        <v>601</v>
      </c>
      <c r="P522" s="32" t="s">
        <v>602</v>
      </c>
      <c r="Q522" s="35">
        <v>7.0</v>
      </c>
      <c r="R522" s="35">
        <v>11.0</v>
      </c>
      <c r="S522" s="36">
        <v>0.0536</v>
      </c>
      <c r="T522" s="36">
        <v>0.2348</v>
      </c>
      <c r="U522" s="36">
        <v>0.2315</v>
      </c>
      <c r="V522" s="36">
        <v>0.4846</v>
      </c>
      <c r="W522" s="37" t="s">
        <v>780</v>
      </c>
      <c r="X522" s="31">
        <v>3.0</v>
      </c>
      <c r="Y522" s="36">
        <v>-1.4714973231706323</v>
      </c>
      <c r="Z522" s="36">
        <v>3.0520978188934196</v>
      </c>
      <c r="AA522" s="29" t="s">
        <v>820</v>
      </c>
      <c r="AB522" s="31">
        <v>0.730580329895</v>
      </c>
      <c r="AC522" s="38">
        <v>1485.0</v>
      </c>
    </row>
    <row r="523" ht="14.25" customHeight="1">
      <c r="A523" s="29" t="s">
        <v>154</v>
      </c>
      <c r="B523" s="29">
        <v>56.0</v>
      </c>
      <c r="C523" s="29" t="s">
        <v>593</v>
      </c>
      <c r="D523" s="29" t="s">
        <v>838</v>
      </c>
      <c r="E523" s="29">
        <v>62.0</v>
      </c>
      <c r="F523" s="30" t="s">
        <v>839</v>
      </c>
      <c r="G523" s="29" t="s">
        <v>607</v>
      </c>
      <c r="H523" s="31">
        <v>4.13</v>
      </c>
      <c r="I523" s="29" t="s">
        <v>597</v>
      </c>
      <c r="J523" s="32" t="s">
        <v>598</v>
      </c>
      <c r="K523" s="29" t="s">
        <v>599</v>
      </c>
      <c r="L523" s="29" t="s">
        <v>954</v>
      </c>
      <c r="M523" s="33">
        <v>-84.841</v>
      </c>
      <c r="N523" s="33">
        <v>15.675</v>
      </c>
      <c r="O523" s="34" t="s">
        <v>601</v>
      </c>
      <c r="P523" s="32" t="s">
        <v>602</v>
      </c>
      <c r="Q523" s="35">
        <v>7.0</v>
      </c>
      <c r="R523" s="35">
        <v>11.0</v>
      </c>
      <c r="S523" s="36">
        <v>0.0536</v>
      </c>
      <c r="T523" s="36">
        <v>0.2348</v>
      </c>
      <c r="U523" s="36">
        <v>0.2315</v>
      </c>
      <c r="V523" s="36">
        <v>0.4846</v>
      </c>
      <c r="W523" s="37" t="s">
        <v>780</v>
      </c>
      <c r="X523" s="31">
        <v>5.0</v>
      </c>
      <c r="Y523" s="36">
        <v>-1.4714973231706323</v>
      </c>
      <c r="Z523" s="36">
        <v>3.0520978188934196</v>
      </c>
      <c r="AA523" s="29" t="s">
        <v>820</v>
      </c>
      <c r="AB523" s="31">
        <v>0.730580329895</v>
      </c>
      <c r="AC523" s="38">
        <v>1485.0</v>
      </c>
    </row>
    <row r="524" ht="14.25" customHeight="1">
      <c r="A524" s="29" t="s">
        <v>154</v>
      </c>
      <c r="B524" s="29">
        <v>56.0</v>
      </c>
      <c r="C524" s="29" t="s">
        <v>593</v>
      </c>
      <c r="D524" s="29" t="s">
        <v>847</v>
      </c>
      <c r="E524" s="29">
        <v>132.0</v>
      </c>
      <c r="F524" s="30" t="s">
        <v>848</v>
      </c>
      <c r="G524" s="29" t="s">
        <v>607</v>
      </c>
      <c r="H524" s="31">
        <v>2.06</v>
      </c>
      <c r="I524" s="29" t="s">
        <v>597</v>
      </c>
      <c r="J524" s="32" t="s">
        <v>598</v>
      </c>
      <c r="K524" s="29" t="s">
        <v>599</v>
      </c>
      <c r="L524" s="29" t="s">
        <v>954</v>
      </c>
      <c r="M524" s="33">
        <v>-84.841</v>
      </c>
      <c r="N524" s="33">
        <v>15.675</v>
      </c>
      <c r="O524" s="34" t="s">
        <v>601</v>
      </c>
      <c r="P524" s="32" t="s">
        <v>602</v>
      </c>
      <c r="Q524" s="35">
        <v>7.0</v>
      </c>
      <c r="R524" s="35">
        <v>11.0</v>
      </c>
      <c r="S524" s="36">
        <v>0.0536</v>
      </c>
      <c r="T524" s="36">
        <v>0.3333</v>
      </c>
      <c r="U524" s="36">
        <v>0.2315</v>
      </c>
      <c r="V524" s="36">
        <v>0.5774</v>
      </c>
      <c r="W524" s="37" t="s">
        <v>780</v>
      </c>
      <c r="X524" s="31">
        <v>1.0</v>
      </c>
      <c r="Y524" s="36">
        <v>-1.8194297964231863</v>
      </c>
      <c r="Z524" s="36">
        <v>2.9376886571659644</v>
      </c>
      <c r="AA524" s="29" t="s">
        <v>820</v>
      </c>
      <c r="AB524" s="31">
        <v>0.730580329895</v>
      </c>
      <c r="AC524" s="38">
        <v>1485.0</v>
      </c>
    </row>
    <row r="525" ht="14.25" customHeight="1">
      <c r="A525" s="29" t="s">
        <v>154</v>
      </c>
      <c r="B525" s="29">
        <v>56.0</v>
      </c>
      <c r="C525" s="29" t="s">
        <v>593</v>
      </c>
      <c r="D525" s="29" t="s">
        <v>847</v>
      </c>
      <c r="E525" s="29">
        <v>132.0</v>
      </c>
      <c r="F525" s="30" t="s">
        <v>848</v>
      </c>
      <c r="G525" s="29" t="s">
        <v>607</v>
      </c>
      <c r="H525" s="31">
        <v>2.06</v>
      </c>
      <c r="I525" s="29" t="s">
        <v>597</v>
      </c>
      <c r="J525" s="32" t="s">
        <v>598</v>
      </c>
      <c r="K525" s="29" t="s">
        <v>599</v>
      </c>
      <c r="L525" s="29" t="s">
        <v>954</v>
      </c>
      <c r="M525" s="33">
        <v>-84.841</v>
      </c>
      <c r="N525" s="33">
        <v>15.675</v>
      </c>
      <c r="O525" s="34" t="s">
        <v>601</v>
      </c>
      <c r="P525" s="32" t="s">
        <v>602</v>
      </c>
      <c r="Q525" s="35">
        <v>7.0</v>
      </c>
      <c r="R525" s="35">
        <v>11.0</v>
      </c>
      <c r="S525" s="36">
        <v>0.4107</v>
      </c>
      <c r="T525" s="36">
        <v>0.3333</v>
      </c>
      <c r="U525" s="36">
        <v>0.6409</v>
      </c>
      <c r="V525" s="36">
        <v>0.5774</v>
      </c>
      <c r="W525" s="37" t="s">
        <v>780</v>
      </c>
      <c r="X525" s="31">
        <v>3.0</v>
      </c>
      <c r="Y525" s="36">
        <v>0.2098761721036038</v>
      </c>
      <c r="Z525" s="36">
        <v>0.6207117337858972</v>
      </c>
      <c r="AA525" s="29" t="s">
        <v>820</v>
      </c>
      <c r="AB525" s="31">
        <v>0.730580329895</v>
      </c>
      <c r="AC525" s="38">
        <v>1485.0</v>
      </c>
    </row>
    <row r="526" ht="14.25" customHeight="1">
      <c r="A526" s="29" t="s">
        <v>154</v>
      </c>
      <c r="B526" s="29">
        <v>56.0</v>
      </c>
      <c r="C526" s="29" t="s">
        <v>593</v>
      </c>
      <c r="D526" s="29" t="s">
        <v>847</v>
      </c>
      <c r="E526" s="29">
        <v>132.0</v>
      </c>
      <c r="F526" s="30" t="s">
        <v>848</v>
      </c>
      <c r="G526" s="29" t="s">
        <v>607</v>
      </c>
      <c r="H526" s="31">
        <v>2.06</v>
      </c>
      <c r="I526" s="29" t="s">
        <v>597</v>
      </c>
      <c r="J526" s="32" t="s">
        <v>598</v>
      </c>
      <c r="K526" s="29" t="s">
        <v>599</v>
      </c>
      <c r="L526" s="29" t="s">
        <v>954</v>
      </c>
      <c r="M526" s="33">
        <v>-84.841</v>
      </c>
      <c r="N526" s="33">
        <v>15.675</v>
      </c>
      <c r="O526" s="34" t="s">
        <v>601</v>
      </c>
      <c r="P526" s="32" t="s">
        <v>602</v>
      </c>
      <c r="Q526" s="35">
        <v>7.0</v>
      </c>
      <c r="R526" s="35">
        <v>11.0</v>
      </c>
      <c r="S526" s="36">
        <v>0.1607</v>
      </c>
      <c r="T526" s="36">
        <v>0.3333</v>
      </c>
      <c r="U526" s="36">
        <v>0.4009</v>
      </c>
      <c r="V526" s="36">
        <v>0.5774</v>
      </c>
      <c r="W526" s="37" t="s">
        <v>780</v>
      </c>
      <c r="X526" s="31">
        <v>5.0</v>
      </c>
      <c r="Y526" s="36">
        <v>-0.7268067653296029</v>
      </c>
      <c r="Z526" s="36">
        <v>1.1619118472247039</v>
      </c>
      <c r="AA526" s="29" t="s">
        <v>820</v>
      </c>
      <c r="AB526" s="31">
        <v>0.730580329895</v>
      </c>
      <c r="AC526" s="38">
        <v>1485.0</v>
      </c>
    </row>
    <row r="527" ht="14.25" customHeight="1">
      <c r="A527" s="29" t="s">
        <v>154</v>
      </c>
      <c r="B527" s="29">
        <v>56.0</v>
      </c>
      <c r="C527" s="29" t="s">
        <v>608</v>
      </c>
      <c r="D527" s="29" t="s">
        <v>955</v>
      </c>
      <c r="E527" s="29">
        <v>3.0</v>
      </c>
      <c r="F527" s="30" t="s">
        <v>956</v>
      </c>
      <c r="G527" s="29" t="s">
        <v>611</v>
      </c>
      <c r="H527" s="31">
        <v>7.27</v>
      </c>
      <c r="I527" s="29" t="s">
        <v>612</v>
      </c>
      <c r="J527" s="32" t="s">
        <v>598</v>
      </c>
      <c r="K527" s="29" t="s">
        <v>599</v>
      </c>
      <c r="L527" s="29" t="s">
        <v>954</v>
      </c>
      <c r="M527" s="33">
        <v>-84.841</v>
      </c>
      <c r="N527" s="33">
        <v>15.675</v>
      </c>
      <c r="O527" s="34" t="s">
        <v>601</v>
      </c>
      <c r="P527" s="32" t="s">
        <v>602</v>
      </c>
      <c r="Q527" s="35">
        <v>7.0</v>
      </c>
      <c r="R527" s="35">
        <v>11.0</v>
      </c>
      <c r="S527" s="36">
        <v>0.0</v>
      </c>
      <c r="T527" s="36">
        <v>0.303</v>
      </c>
      <c r="U527" s="36">
        <v>0.0</v>
      </c>
      <c r="V527" s="36">
        <v>0.5505</v>
      </c>
      <c r="W527" s="37" t="s">
        <v>780</v>
      </c>
      <c r="X527" s="31">
        <v>1.0</v>
      </c>
      <c r="Y527" s="36">
        <v>-8.262558973010657</v>
      </c>
      <c r="Z527" s="36">
        <v>0.29844236266641977</v>
      </c>
      <c r="AA527" s="29" t="s">
        <v>820</v>
      </c>
      <c r="AB527" s="31">
        <v>0.730580329895</v>
      </c>
      <c r="AC527" s="38">
        <v>1485.0</v>
      </c>
    </row>
    <row r="528" ht="14.25" customHeight="1">
      <c r="A528" s="29" t="s">
        <v>154</v>
      </c>
      <c r="B528" s="29">
        <v>56.0</v>
      </c>
      <c r="C528" s="29" t="s">
        <v>608</v>
      </c>
      <c r="D528" s="29" t="s">
        <v>955</v>
      </c>
      <c r="E528" s="29">
        <v>3.0</v>
      </c>
      <c r="F528" s="30" t="s">
        <v>956</v>
      </c>
      <c r="G528" s="29" t="s">
        <v>611</v>
      </c>
      <c r="H528" s="31">
        <v>7.27</v>
      </c>
      <c r="I528" s="29" t="s">
        <v>612</v>
      </c>
      <c r="J528" s="32" t="s">
        <v>598</v>
      </c>
      <c r="K528" s="29" t="s">
        <v>599</v>
      </c>
      <c r="L528" s="29" t="s">
        <v>954</v>
      </c>
      <c r="M528" s="33">
        <v>-84.841</v>
      </c>
      <c r="N528" s="33">
        <v>15.675</v>
      </c>
      <c r="O528" s="34" t="s">
        <v>601</v>
      </c>
      <c r="P528" s="32" t="s">
        <v>602</v>
      </c>
      <c r="Q528" s="35">
        <v>7.0</v>
      </c>
      <c r="R528" s="35">
        <v>11.0</v>
      </c>
      <c r="S528" s="36">
        <v>0.0</v>
      </c>
      <c r="T528" s="36">
        <v>0.303</v>
      </c>
      <c r="U528" s="36">
        <v>0.0</v>
      </c>
      <c r="V528" s="36">
        <v>0.5505</v>
      </c>
      <c r="W528" s="37" t="s">
        <v>780</v>
      </c>
      <c r="X528" s="31">
        <v>3.0</v>
      </c>
      <c r="Y528" s="36">
        <v>-8.262558973010657</v>
      </c>
      <c r="Z528" s="36">
        <v>0.29844236266641977</v>
      </c>
      <c r="AA528" s="29" t="s">
        <v>820</v>
      </c>
      <c r="AB528" s="31">
        <v>0.730580329895</v>
      </c>
      <c r="AC528" s="38">
        <v>1485.0</v>
      </c>
    </row>
    <row r="529" ht="14.25" customHeight="1">
      <c r="A529" s="29" t="s">
        <v>154</v>
      </c>
      <c r="B529" s="29">
        <v>56.0</v>
      </c>
      <c r="C529" s="29" t="s">
        <v>608</v>
      </c>
      <c r="D529" s="29" t="s">
        <v>955</v>
      </c>
      <c r="E529" s="29">
        <v>3.0</v>
      </c>
      <c r="F529" s="30" t="s">
        <v>956</v>
      </c>
      <c r="G529" s="29" t="s">
        <v>611</v>
      </c>
      <c r="H529" s="31">
        <v>7.27</v>
      </c>
      <c r="I529" s="29" t="s">
        <v>612</v>
      </c>
      <c r="J529" s="32" t="s">
        <v>598</v>
      </c>
      <c r="K529" s="29" t="s">
        <v>599</v>
      </c>
      <c r="L529" s="29" t="s">
        <v>954</v>
      </c>
      <c r="M529" s="33">
        <v>-84.841</v>
      </c>
      <c r="N529" s="33">
        <v>15.675</v>
      </c>
      <c r="O529" s="34" t="s">
        <v>601</v>
      </c>
      <c r="P529" s="32" t="s">
        <v>602</v>
      </c>
      <c r="Q529" s="35">
        <v>7.0</v>
      </c>
      <c r="R529" s="35">
        <v>11.0</v>
      </c>
      <c r="S529" s="36">
        <v>0.0</v>
      </c>
      <c r="T529" s="36">
        <v>0.303</v>
      </c>
      <c r="U529" s="36">
        <v>0.0</v>
      </c>
      <c r="V529" s="36">
        <v>0.5505</v>
      </c>
      <c r="W529" s="37" t="s">
        <v>780</v>
      </c>
      <c r="X529" s="31">
        <v>5.0</v>
      </c>
      <c r="Y529" s="36">
        <v>-8.262558973010657</v>
      </c>
      <c r="Z529" s="36">
        <v>0.29844236266641977</v>
      </c>
      <c r="AA529" s="29" t="s">
        <v>820</v>
      </c>
      <c r="AB529" s="31">
        <v>0.730580329895</v>
      </c>
      <c r="AC529" s="38">
        <v>1485.0</v>
      </c>
    </row>
    <row r="530" ht="14.25" customHeight="1">
      <c r="A530" s="29" t="s">
        <v>154</v>
      </c>
      <c r="B530" s="29">
        <v>56.0</v>
      </c>
      <c r="C530" s="29" t="s">
        <v>608</v>
      </c>
      <c r="D530" s="29" t="s">
        <v>957</v>
      </c>
      <c r="E530" s="29">
        <v>16.0</v>
      </c>
      <c r="F530" s="30" t="s">
        <v>958</v>
      </c>
      <c r="G530" s="29" t="s">
        <v>611</v>
      </c>
      <c r="H530" s="31">
        <v>5.28</v>
      </c>
      <c r="I530" s="29" t="s">
        <v>597</v>
      </c>
      <c r="J530" s="32" t="s">
        <v>598</v>
      </c>
      <c r="K530" s="29" t="s">
        <v>599</v>
      </c>
      <c r="L530" s="29" t="s">
        <v>954</v>
      </c>
      <c r="M530" s="33">
        <v>-84.841</v>
      </c>
      <c r="N530" s="33">
        <v>15.675</v>
      </c>
      <c r="O530" s="34" t="s">
        <v>601</v>
      </c>
      <c r="P530" s="32" t="s">
        <v>602</v>
      </c>
      <c r="Q530" s="35">
        <v>7.0</v>
      </c>
      <c r="R530" s="35">
        <v>11.0</v>
      </c>
      <c r="S530" s="36">
        <v>0.0</v>
      </c>
      <c r="T530" s="36">
        <v>0.5985</v>
      </c>
      <c r="U530" s="36">
        <v>0.0</v>
      </c>
      <c r="V530" s="36">
        <v>0.7736</v>
      </c>
      <c r="W530" s="37" t="s">
        <v>780</v>
      </c>
      <c r="X530" s="31">
        <v>1.0</v>
      </c>
      <c r="Y530" s="36">
        <v>-8.262558973010657</v>
      </c>
      <c r="Z530" s="36">
        <v>0.2650577301489654</v>
      </c>
      <c r="AA530" s="29" t="s">
        <v>820</v>
      </c>
      <c r="AB530" s="31">
        <v>0.730580329895</v>
      </c>
      <c r="AC530" s="38">
        <v>1485.0</v>
      </c>
    </row>
    <row r="531" ht="14.25" customHeight="1">
      <c r="A531" s="29" t="s">
        <v>154</v>
      </c>
      <c r="B531" s="29">
        <v>56.0</v>
      </c>
      <c r="C531" s="29" t="s">
        <v>608</v>
      </c>
      <c r="D531" s="29" t="s">
        <v>957</v>
      </c>
      <c r="E531" s="29">
        <v>16.0</v>
      </c>
      <c r="F531" s="30" t="s">
        <v>958</v>
      </c>
      <c r="G531" s="29" t="s">
        <v>611</v>
      </c>
      <c r="H531" s="31">
        <v>5.28</v>
      </c>
      <c r="I531" s="29" t="s">
        <v>597</v>
      </c>
      <c r="J531" s="32" t="s">
        <v>598</v>
      </c>
      <c r="K531" s="29" t="s">
        <v>599</v>
      </c>
      <c r="L531" s="29" t="s">
        <v>954</v>
      </c>
      <c r="M531" s="33">
        <v>-84.841</v>
      </c>
      <c r="N531" s="33">
        <v>15.675</v>
      </c>
      <c r="O531" s="34" t="s">
        <v>601</v>
      </c>
      <c r="P531" s="32" t="s">
        <v>602</v>
      </c>
      <c r="Q531" s="35">
        <v>7.0</v>
      </c>
      <c r="R531" s="35">
        <v>11.0</v>
      </c>
      <c r="S531" s="36">
        <v>0.0</v>
      </c>
      <c r="T531" s="36">
        <v>0.5985</v>
      </c>
      <c r="U531" s="36">
        <v>0.0</v>
      </c>
      <c r="V531" s="36">
        <v>0.7736</v>
      </c>
      <c r="W531" s="37" t="s">
        <v>780</v>
      </c>
      <c r="X531" s="31">
        <v>3.0</v>
      </c>
      <c r="Y531" s="36">
        <v>-8.262558973010657</v>
      </c>
      <c r="Z531" s="36">
        <v>0.2650577301489654</v>
      </c>
      <c r="AA531" s="29" t="s">
        <v>820</v>
      </c>
      <c r="AB531" s="31">
        <v>0.730580329895</v>
      </c>
      <c r="AC531" s="38">
        <v>1485.0</v>
      </c>
    </row>
    <row r="532" ht="14.25" customHeight="1">
      <c r="A532" s="29" t="s">
        <v>154</v>
      </c>
      <c r="B532" s="29">
        <v>56.0</v>
      </c>
      <c r="C532" s="29" t="s">
        <v>608</v>
      </c>
      <c r="D532" s="29" t="s">
        <v>957</v>
      </c>
      <c r="E532" s="29">
        <v>16.0</v>
      </c>
      <c r="F532" s="30" t="s">
        <v>958</v>
      </c>
      <c r="G532" s="29" t="s">
        <v>611</v>
      </c>
      <c r="H532" s="31">
        <v>5.28</v>
      </c>
      <c r="I532" s="29" t="s">
        <v>597</v>
      </c>
      <c r="J532" s="32" t="s">
        <v>598</v>
      </c>
      <c r="K532" s="29" t="s">
        <v>599</v>
      </c>
      <c r="L532" s="29" t="s">
        <v>954</v>
      </c>
      <c r="M532" s="33">
        <v>-84.841</v>
      </c>
      <c r="N532" s="33">
        <v>15.675</v>
      </c>
      <c r="O532" s="34" t="s">
        <v>601</v>
      </c>
      <c r="P532" s="32" t="s">
        <v>602</v>
      </c>
      <c r="Q532" s="35">
        <v>7.0</v>
      </c>
      <c r="R532" s="35">
        <v>11.0</v>
      </c>
      <c r="S532" s="36">
        <v>0.0</v>
      </c>
      <c r="T532" s="36">
        <v>0.5985</v>
      </c>
      <c r="U532" s="36">
        <v>0.0</v>
      </c>
      <c r="V532" s="36">
        <v>0.7736</v>
      </c>
      <c r="W532" s="37" t="s">
        <v>780</v>
      </c>
      <c r="X532" s="31">
        <v>5.0</v>
      </c>
      <c r="Y532" s="36">
        <v>-8.262558973010657</v>
      </c>
      <c r="Z532" s="36">
        <v>0.2650577301489654</v>
      </c>
      <c r="AA532" s="29" t="s">
        <v>820</v>
      </c>
      <c r="AB532" s="31">
        <v>0.730580329895</v>
      </c>
      <c r="AC532" s="38">
        <v>1485.0</v>
      </c>
    </row>
    <row r="533" ht="14.25" customHeight="1">
      <c r="A533" s="29" t="s">
        <v>154</v>
      </c>
      <c r="B533" s="29">
        <v>56.0</v>
      </c>
      <c r="C533" s="29" t="s">
        <v>608</v>
      </c>
      <c r="D533" s="29" t="s">
        <v>959</v>
      </c>
      <c r="E533" s="29">
        <v>31.0</v>
      </c>
      <c r="F533" s="30" t="s">
        <v>960</v>
      </c>
      <c r="G533" s="29" t="s">
        <v>611</v>
      </c>
      <c r="H533" s="31">
        <v>2.73</v>
      </c>
      <c r="I533" s="29" t="s">
        <v>616</v>
      </c>
      <c r="J533" s="32" t="s">
        <v>598</v>
      </c>
      <c r="K533" s="29" t="s">
        <v>599</v>
      </c>
      <c r="L533" s="29" t="s">
        <v>954</v>
      </c>
      <c r="M533" s="33">
        <v>-84.841</v>
      </c>
      <c r="N533" s="33">
        <v>15.675</v>
      </c>
      <c r="O533" s="34" t="s">
        <v>601</v>
      </c>
      <c r="P533" s="32" t="s">
        <v>602</v>
      </c>
      <c r="Q533" s="35">
        <v>7.0</v>
      </c>
      <c r="R533" s="35">
        <v>11.0</v>
      </c>
      <c r="S533" s="36">
        <v>0.0</v>
      </c>
      <c r="T533" s="36">
        <v>0.0833</v>
      </c>
      <c r="U533" s="36">
        <v>0.0</v>
      </c>
      <c r="V533" s="36">
        <v>0.2887</v>
      </c>
      <c r="W533" s="37" t="s">
        <v>780</v>
      </c>
      <c r="X533" s="31">
        <v>1.0</v>
      </c>
      <c r="Y533" s="36">
        <v>-8.262558973010657</v>
      </c>
      <c r="Z533" s="36">
        <v>0.3090632752601729</v>
      </c>
      <c r="AA533" s="29" t="s">
        <v>820</v>
      </c>
      <c r="AB533" s="31">
        <v>0.730580329895</v>
      </c>
      <c r="AC533" s="38">
        <v>1485.0</v>
      </c>
    </row>
    <row r="534" ht="14.25" customHeight="1">
      <c r="A534" s="29" t="s">
        <v>154</v>
      </c>
      <c r="B534" s="29">
        <v>56.0</v>
      </c>
      <c r="C534" s="29" t="s">
        <v>608</v>
      </c>
      <c r="D534" s="29" t="s">
        <v>959</v>
      </c>
      <c r="E534" s="29">
        <v>31.0</v>
      </c>
      <c r="F534" s="30" t="s">
        <v>960</v>
      </c>
      <c r="G534" s="29" t="s">
        <v>611</v>
      </c>
      <c r="H534" s="31">
        <v>2.73</v>
      </c>
      <c r="I534" s="29" t="s">
        <v>616</v>
      </c>
      <c r="J534" s="32" t="s">
        <v>598</v>
      </c>
      <c r="K534" s="29" t="s">
        <v>599</v>
      </c>
      <c r="L534" s="29" t="s">
        <v>954</v>
      </c>
      <c r="M534" s="33">
        <v>-84.841</v>
      </c>
      <c r="N534" s="33">
        <v>15.675</v>
      </c>
      <c r="O534" s="34" t="s">
        <v>601</v>
      </c>
      <c r="P534" s="32" t="s">
        <v>602</v>
      </c>
      <c r="Q534" s="35">
        <v>7.0</v>
      </c>
      <c r="R534" s="35">
        <v>11.0</v>
      </c>
      <c r="S534" s="36">
        <v>0.4286</v>
      </c>
      <c r="T534" s="36">
        <v>0.0833</v>
      </c>
      <c r="U534" s="36">
        <v>0.6547</v>
      </c>
      <c r="V534" s="36">
        <v>0.2887</v>
      </c>
      <c r="W534" s="37" t="s">
        <v>780</v>
      </c>
      <c r="X534" s="31">
        <v>3.0</v>
      </c>
      <c r="Y534" s="36">
        <v>1.638125675465542</v>
      </c>
      <c r="Z534" s="36">
        <v>1.4253065025133544</v>
      </c>
      <c r="AA534" s="29" t="s">
        <v>820</v>
      </c>
      <c r="AB534" s="31">
        <v>0.730580329895</v>
      </c>
      <c r="AC534" s="38">
        <v>1485.0</v>
      </c>
    </row>
    <row r="535" ht="14.25" customHeight="1">
      <c r="A535" s="29" t="s">
        <v>154</v>
      </c>
      <c r="B535" s="29">
        <v>56.0</v>
      </c>
      <c r="C535" s="29" t="s">
        <v>608</v>
      </c>
      <c r="D535" s="29" t="s">
        <v>959</v>
      </c>
      <c r="E535" s="29">
        <v>31.0</v>
      </c>
      <c r="F535" s="30" t="s">
        <v>960</v>
      </c>
      <c r="G535" s="29" t="s">
        <v>611</v>
      </c>
      <c r="H535" s="31">
        <v>2.73</v>
      </c>
      <c r="I535" s="29" t="s">
        <v>616</v>
      </c>
      <c r="J535" s="32" t="s">
        <v>598</v>
      </c>
      <c r="K535" s="29" t="s">
        <v>599</v>
      </c>
      <c r="L535" s="29" t="s">
        <v>954</v>
      </c>
      <c r="M535" s="33">
        <v>-84.841</v>
      </c>
      <c r="N535" s="33">
        <v>15.675</v>
      </c>
      <c r="O535" s="34" t="s">
        <v>601</v>
      </c>
      <c r="P535" s="32" t="s">
        <v>602</v>
      </c>
      <c r="Q535" s="35">
        <v>7.0</v>
      </c>
      <c r="R535" s="35">
        <v>11.0</v>
      </c>
      <c r="S535" s="36">
        <v>0.0893</v>
      </c>
      <c r="T535" s="36">
        <v>0.0833</v>
      </c>
      <c r="U535" s="36">
        <v>0.0893</v>
      </c>
      <c r="V535" s="36">
        <v>0.2887</v>
      </c>
      <c r="W535" s="37" t="s">
        <v>780</v>
      </c>
      <c r="X535" s="31">
        <v>5.0</v>
      </c>
      <c r="Y535" s="36">
        <v>0.06979357300316856</v>
      </c>
      <c r="Z535" s="36">
        <v>1.2348275772166337</v>
      </c>
      <c r="AA535" s="29" t="s">
        <v>820</v>
      </c>
      <c r="AB535" s="31">
        <v>0.730580329895</v>
      </c>
      <c r="AC535" s="38">
        <v>1485.0</v>
      </c>
    </row>
    <row r="536" ht="14.25" customHeight="1">
      <c r="A536" s="29" t="s">
        <v>154</v>
      </c>
      <c r="B536" s="29">
        <v>56.0</v>
      </c>
      <c r="C536" s="29" t="s">
        <v>608</v>
      </c>
      <c r="D536" s="29" t="s">
        <v>650</v>
      </c>
      <c r="E536" s="29">
        <v>70.0</v>
      </c>
      <c r="F536" s="30" t="s">
        <v>651</v>
      </c>
      <c r="G536" s="29" t="s">
        <v>615</v>
      </c>
      <c r="H536" s="31">
        <v>8.17</v>
      </c>
      <c r="I536" s="29" t="s">
        <v>616</v>
      </c>
      <c r="J536" s="32" t="s">
        <v>598</v>
      </c>
      <c r="K536" s="29" t="s">
        <v>599</v>
      </c>
      <c r="L536" s="29" t="s">
        <v>954</v>
      </c>
      <c r="M536" s="33">
        <v>-84.841</v>
      </c>
      <c r="N536" s="33">
        <v>15.675</v>
      </c>
      <c r="O536" s="34" t="s">
        <v>601</v>
      </c>
      <c r="P536" s="32" t="s">
        <v>602</v>
      </c>
      <c r="Q536" s="35">
        <v>7.0</v>
      </c>
      <c r="R536" s="35">
        <v>11.0</v>
      </c>
      <c r="S536" s="36">
        <v>0.1071</v>
      </c>
      <c r="T536" s="36">
        <v>0.4091</v>
      </c>
      <c r="U536" s="36">
        <v>0.3273</v>
      </c>
      <c r="V536" s="36">
        <v>0.6396</v>
      </c>
      <c r="W536" s="37" t="s">
        <v>780</v>
      </c>
      <c r="X536" s="31">
        <v>1.0</v>
      </c>
      <c r="Y536" s="36">
        <v>-1.3392116336482922</v>
      </c>
      <c r="Z536" s="36">
        <v>1.556392704753769</v>
      </c>
      <c r="AA536" s="29" t="s">
        <v>820</v>
      </c>
      <c r="AB536" s="31">
        <v>0.730580329895</v>
      </c>
      <c r="AC536" s="38">
        <v>1485.0</v>
      </c>
    </row>
    <row r="537" ht="14.25" customHeight="1">
      <c r="A537" s="29" t="s">
        <v>154</v>
      </c>
      <c r="B537" s="29">
        <v>56.0</v>
      </c>
      <c r="C537" s="29" t="s">
        <v>608</v>
      </c>
      <c r="D537" s="29" t="s">
        <v>650</v>
      </c>
      <c r="E537" s="29">
        <v>70.0</v>
      </c>
      <c r="F537" s="30" t="s">
        <v>651</v>
      </c>
      <c r="G537" s="29" t="s">
        <v>615</v>
      </c>
      <c r="H537" s="31">
        <v>8.17</v>
      </c>
      <c r="I537" s="29" t="s">
        <v>616</v>
      </c>
      <c r="J537" s="32" t="s">
        <v>598</v>
      </c>
      <c r="K537" s="29" t="s">
        <v>599</v>
      </c>
      <c r="L537" s="29" t="s">
        <v>954</v>
      </c>
      <c r="M537" s="33">
        <v>-84.841</v>
      </c>
      <c r="N537" s="33">
        <v>15.675</v>
      </c>
      <c r="O537" s="34" t="s">
        <v>601</v>
      </c>
      <c r="P537" s="32" t="s">
        <v>602</v>
      </c>
      <c r="Q537" s="35">
        <v>7.0</v>
      </c>
      <c r="R537" s="35">
        <v>11.0</v>
      </c>
      <c r="S537" s="36">
        <v>0.0536</v>
      </c>
      <c r="T537" s="36">
        <v>0.4091</v>
      </c>
      <c r="U537" s="36">
        <v>0.2315</v>
      </c>
      <c r="V537" s="36">
        <v>0.6396</v>
      </c>
      <c r="W537" s="37" t="s">
        <v>780</v>
      </c>
      <c r="X537" s="31">
        <v>3.0</v>
      </c>
      <c r="Y537" s="36">
        <v>-2.030443333492099</v>
      </c>
      <c r="Z537" s="36">
        <v>2.8870706886894464</v>
      </c>
      <c r="AA537" s="29" t="s">
        <v>820</v>
      </c>
      <c r="AB537" s="31">
        <v>0.730580329895</v>
      </c>
      <c r="AC537" s="38">
        <v>1485.0</v>
      </c>
    </row>
    <row r="538" ht="14.25" customHeight="1">
      <c r="A538" s="29" t="s">
        <v>154</v>
      </c>
      <c r="B538" s="29">
        <v>56.0</v>
      </c>
      <c r="C538" s="29" t="s">
        <v>608</v>
      </c>
      <c r="D538" s="29" t="s">
        <v>650</v>
      </c>
      <c r="E538" s="29">
        <v>70.0</v>
      </c>
      <c r="F538" s="30" t="s">
        <v>651</v>
      </c>
      <c r="G538" s="29" t="s">
        <v>615</v>
      </c>
      <c r="H538" s="31">
        <v>8.17</v>
      </c>
      <c r="I538" s="29" t="s">
        <v>616</v>
      </c>
      <c r="J538" s="32" t="s">
        <v>598</v>
      </c>
      <c r="K538" s="29" t="s">
        <v>599</v>
      </c>
      <c r="L538" s="29" t="s">
        <v>954</v>
      </c>
      <c r="M538" s="33">
        <v>-84.841</v>
      </c>
      <c r="N538" s="33">
        <v>15.675</v>
      </c>
      <c r="O538" s="34" t="s">
        <v>601</v>
      </c>
      <c r="P538" s="32" t="s">
        <v>602</v>
      </c>
      <c r="Q538" s="35">
        <v>7.0</v>
      </c>
      <c r="R538" s="35">
        <v>11.0</v>
      </c>
      <c r="S538" s="36">
        <v>0.0536</v>
      </c>
      <c r="T538" s="36">
        <v>0.4091</v>
      </c>
      <c r="U538" s="36">
        <v>0.0536</v>
      </c>
      <c r="V538" s="36">
        <v>0.6396</v>
      </c>
      <c r="W538" s="37" t="s">
        <v>780</v>
      </c>
      <c r="X538" s="31">
        <v>5.0</v>
      </c>
      <c r="Y538" s="36">
        <v>-2.030443333492099</v>
      </c>
      <c r="Z538" s="36">
        <v>0.3650679955983983</v>
      </c>
      <c r="AA538" s="29" t="s">
        <v>820</v>
      </c>
      <c r="AB538" s="31">
        <v>0.730580329895</v>
      </c>
      <c r="AC538" s="38">
        <v>1485.0</v>
      </c>
    </row>
    <row r="539" ht="14.25" customHeight="1">
      <c r="A539" s="29" t="s">
        <v>154</v>
      </c>
      <c r="B539" s="29">
        <v>56.0</v>
      </c>
      <c r="C539" s="29" t="s">
        <v>608</v>
      </c>
      <c r="D539" s="29" t="s">
        <v>961</v>
      </c>
      <c r="E539" s="29">
        <v>73.0</v>
      </c>
      <c r="F539" s="30" t="s">
        <v>962</v>
      </c>
      <c r="G539" s="29" t="s">
        <v>615</v>
      </c>
      <c r="H539" s="31">
        <v>2.67</v>
      </c>
      <c r="I539" s="29" t="s">
        <v>616</v>
      </c>
      <c r="J539" s="32" t="s">
        <v>598</v>
      </c>
      <c r="K539" s="29" t="s">
        <v>599</v>
      </c>
      <c r="L539" s="29" t="s">
        <v>954</v>
      </c>
      <c r="M539" s="33">
        <v>-84.841</v>
      </c>
      <c r="N539" s="33">
        <v>15.675</v>
      </c>
      <c r="O539" s="34" t="s">
        <v>601</v>
      </c>
      <c r="P539" s="32" t="s">
        <v>602</v>
      </c>
      <c r="Q539" s="35">
        <v>7.0</v>
      </c>
      <c r="R539" s="35">
        <v>11.0</v>
      </c>
      <c r="S539" s="36">
        <v>0.7679</v>
      </c>
      <c r="T539" s="36">
        <v>0.7045</v>
      </c>
      <c r="U539" s="36">
        <v>0.8763</v>
      </c>
      <c r="V539" s="36">
        <v>0.8394</v>
      </c>
      <c r="W539" s="37" t="s">
        <v>780</v>
      </c>
      <c r="X539" s="31">
        <v>1.0</v>
      </c>
      <c r="Y539" s="36">
        <v>0.08640785388480195</v>
      </c>
      <c r="Z539" s="36">
        <v>0.31509403813884707</v>
      </c>
      <c r="AA539" s="29" t="s">
        <v>820</v>
      </c>
      <c r="AB539" s="31">
        <v>0.730580329895</v>
      </c>
      <c r="AC539" s="38">
        <v>1485.0</v>
      </c>
    </row>
    <row r="540" ht="14.25" customHeight="1">
      <c r="A540" s="29" t="s">
        <v>154</v>
      </c>
      <c r="B540" s="29">
        <v>56.0</v>
      </c>
      <c r="C540" s="29" t="s">
        <v>608</v>
      </c>
      <c r="D540" s="29" t="s">
        <v>961</v>
      </c>
      <c r="E540" s="29">
        <v>73.0</v>
      </c>
      <c r="F540" s="30" t="s">
        <v>962</v>
      </c>
      <c r="G540" s="29" t="s">
        <v>615</v>
      </c>
      <c r="H540" s="31">
        <v>2.67</v>
      </c>
      <c r="I540" s="29" t="s">
        <v>616</v>
      </c>
      <c r="J540" s="32" t="s">
        <v>598</v>
      </c>
      <c r="K540" s="29" t="s">
        <v>599</v>
      </c>
      <c r="L540" s="29" t="s">
        <v>954</v>
      </c>
      <c r="M540" s="33">
        <v>-84.841</v>
      </c>
      <c r="N540" s="33">
        <v>15.675</v>
      </c>
      <c r="O540" s="34" t="s">
        <v>601</v>
      </c>
      <c r="P540" s="32" t="s">
        <v>602</v>
      </c>
      <c r="Q540" s="35">
        <v>7.0</v>
      </c>
      <c r="R540" s="35">
        <v>11.0</v>
      </c>
      <c r="S540" s="36">
        <v>0.3571</v>
      </c>
      <c r="T540" s="36">
        <v>0.7045</v>
      </c>
      <c r="U540" s="36">
        <v>0.5976</v>
      </c>
      <c r="V540" s="36">
        <v>0.8394</v>
      </c>
      <c r="W540" s="37" t="s">
        <v>780</v>
      </c>
      <c r="X540" s="31">
        <v>3.0</v>
      </c>
      <c r="Y540" s="36">
        <v>-0.6789636184215657</v>
      </c>
      <c r="Z540" s="36">
        <v>0.5291343643792865</v>
      </c>
      <c r="AA540" s="29" t="s">
        <v>820</v>
      </c>
      <c r="AB540" s="31">
        <v>0.730580329895</v>
      </c>
      <c r="AC540" s="38">
        <v>1485.0</v>
      </c>
    </row>
    <row r="541" ht="14.25" customHeight="1">
      <c r="A541" s="29" t="s">
        <v>154</v>
      </c>
      <c r="B541" s="29">
        <v>56.0</v>
      </c>
      <c r="C541" s="29" t="s">
        <v>608</v>
      </c>
      <c r="D541" s="29" t="s">
        <v>961</v>
      </c>
      <c r="E541" s="29">
        <v>73.0</v>
      </c>
      <c r="F541" s="30" t="s">
        <v>962</v>
      </c>
      <c r="G541" s="29" t="s">
        <v>615</v>
      </c>
      <c r="H541" s="31">
        <v>2.67</v>
      </c>
      <c r="I541" s="29" t="s">
        <v>616</v>
      </c>
      <c r="J541" s="32" t="s">
        <v>598</v>
      </c>
      <c r="K541" s="29" t="s">
        <v>599</v>
      </c>
      <c r="L541" s="29" t="s">
        <v>954</v>
      </c>
      <c r="M541" s="33">
        <v>-84.841</v>
      </c>
      <c r="N541" s="33">
        <v>15.675</v>
      </c>
      <c r="O541" s="34" t="s">
        <v>601</v>
      </c>
      <c r="P541" s="32" t="s">
        <v>602</v>
      </c>
      <c r="Q541" s="35">
        <v>7.0</v>
      </c>
      <c r="R541" s="35">
        <v>11.0</v>
      </c>
      <c r="S541" s="36">
        <v>0.375</v>
      </c>
      <c r="T541" s="36">
        <v>0.7045</v>
      </c>
      <c r="U541" s="36">
        <v>0.375</v>
      </c>
      <c r="V541" s="36">
        <v>0.8394</v>
      </c>
      <c r="W541" s="37" t="s">
        <v>780</v>
      </c>
      <c r="X541" s="31">
        <v>5.0</v>
      </c>
      <c r="Y541" s="36">
        <v>-0.6300777306711461</v>
      </c>
      <c r="Z541" s="36">
        <v>0.2719146433502033</v>
      </c>
      <c r="AA541" s="29" t="s">
        <v>820</v>
      </c>
      <c r="AB541" s="31">
        <v>0.730580329895</v>
      </c>
      <c r="AC541" s="38">
        <v>1485.0</v>
      </c>
    </row>
    <row r="542" ht="14.25" customHeight="1">
      <c r="A542" s="29" t="s">
        <v>154</v>
      </c>
      <c r="B542" s="29">
        <v>56.0</v>
      </c>
      <c r="C542" s="29" t="s">
        <v>608</v>
      </c>
      <c r="D542" s="29" t="s">
        <v>617</v>
      </c>
      <c r="E542" s="29">
        <v>75.0</v>
      </c>
      <c r="F542" s="30" t="s">
        <v>618</v>
      </c>
      <c r="G542" s="29" t="s">
        <v>619</v>
      </c>
      <c r="H542" s="31">
        <v>4.2</v>
      </c>
      <c r="I542" s="29" t="s">
        <v>620</v>
      </c>
      <c r="J542" s="32" t="s">
        <v>598</v>
      </c>
      <c r="K542" s="29" t="s">
        <v>599</v>
      </c>
      <c r="L542" s="29" t="s">
        <v>954</v>
      </c>
      <c r="M542" s="33">
        <v>-84.841</v>
      </c>
      <c r="N542" s="33">
        <v>15.675</v>
      </c>
      <c r="O542" s="34" t="s">
        <v>601</v>
      </c>
      <c r="P542" s="32" t="s">
        <v>602</v>
      </c>
      <c r="Q542" s="35">
        <v>7.0</v>
      </c>
      <c r="R542" s="35">
        <v>11.0</v>
      </c>
      <c r="S542" s="36">
        <v>0.5714</v>
      </c>
      <c r="T542" s="36">
        <v>1.5303</v>
      </c>
      <c r="U542" s="36">
        <v>0.7559</v>
      </c>
      <c r="V542" s="36">
        <v>1.2371</v>
      </c>
      <c r="W542" s="37" t="s">
        <v>780</v>
      </c>
      <c r="X542" s="31">
        <v>1.0</v>
      </c>
      <c r="Y542" s="36">
        <v>-0.9844388629323351</v>
      </c>
      <c r="Z542" s="36">
        <v>0.30941643158715354</v>
      </c>
      <c r="AA542" s="29" t="s">
        <v>820</v>
      </c>
      <c r="AB542" s="31">
        <v>0.730580329895</v>
      </c>
      <c r="AC542" s="38">
        <v>1485.0</v>
      </c>
    </row>
    <row r="543" ht="14.25" customHeight="1">
      <c r="A543" s="29" t="s">
        <v>154</v>
      </c>
      <c r="B543" s="29">
        <v>56.0</v>
      </c>
      <c r="C543" s="29" t="s">
        <v>608</v>
      </c>
      <c r="D543" s="29" t="s">
        <v>617</v>
      </c>
      <c r="E543" s="29">
        <v>75.0</v>
      </c>
      <c r="F543" s="30" t="s">
        <v>618</v>
      </c>
      <c r="G543" s="29" t="s">
        <v>619</v>
      </c>
      <c r="H543" s="31">
        <v>4.2</v>
      </c>
      <c r="I543" s="29" t="s">
        <v>620</v>
      </c>
      <c r="J543" s="32" t="s">
        <v>598</v>
      </c>
      <c r="K543" s="29" t="s">
        <v>599</v>
      </c>
      <c r="L543" s="29" t="s">
        <v>954</v>
      </c>
      <c r="M543" s="33">
        <v>-84.841</v>
      </c>
      <c r="N543" s="33">
        <v>15.675</v>
      </c>
      <c r="O543" s="34" t="s">
        <v>601</v>
      </c>
      <c r="P543" s="32" t="s">
        <v>602</v>
      </c>
      <c r="Q543" s="35">
        <v>7.0</v>
      </c>
      <c r="R543" s="35">
        <v>11.0</v>
      </c>
      <c r="S543" s="36">
        <v>1.2321</v>
      </c>
      <c r="T543" s="36">
        <v>1.5303</v>
      </c>
      <c r="U543" s="36">
        <v>1.11</v>
      </c>
      <c r="V543" s="36">
        <v>1.2371</v>
      </c>
      <c r="W543" s="37" t="s">
        <v>780</v>
      </c>
      <c r="X543" s="31">
        <v>3.0</v>
      </c>
      <c r="Y543" s="36">
        <v>-0.21642337520097596</v>
      </c>
      <c r="Z543" s="36">
        <v>0.17535663914374244</v>
      </c>
      <c r="AA543" s="29" t="s">
        <v>820</v>
      </c>
      <c r="AB543" s="31">
        <v>0.730580329895</v>
      </c>
      <c r="AC543" s="38">
        <v>1485.0</v>
      </c>
    </row>
    <row r="544" ht="14.25" customHeight="1">
      <c r="A544" s="29" t="s">
        <v>154</v>
      </c>
      <c r="B544" s="29">
        <v>56.0</v>
      </c>
      <c r="C544" s="29" t="s">
        <v>608</v>
      </c>
      <c r="D544" s="29" t="s">
        <v>617</v>
      </c>
      <c r="E544" s="29">
        <v>75.0</v>
      </c>
      <c r="F544" s="30" t="s">
        <v>618</v>
      </c>
      <c r="G544" s="29" t="s">
        <v>619</v>
      </c>
      <c r="H544" s="31">
        <v>4.2</v>
      </c>
      <c r="I544" s="29" t="s">
        <v>620</v>
      </c>
      <c r="J544" s="32" t="s">
        <v>598</v>
      </c>
      <c r="K544" s="29" t="s">
        <v>599</v>
      </c>
      <c r="L544" s="29" t="s">
        <v>954</v>
      </c>
      <c r="M544" s="33">
        <v>-84.841</v>
      </c>
      <c r="N544" s="33">
        <v>15.675</v>
      </c>
      <c r="O544" s="34" t="s">
        <v>601</v>
      </c>
      <c r="P544" s="32" t="s">
        <v>602</v>
      </c>
      <c r="Q544" s="35">
        <v>7.0</v>
      </c>
      <c r="R544" s="35">
        <v>11.0</v>
      </c>
      <c r="S544" s="36">
        <v>1.0357</v>
      </c>
      <c r="T544" s="36">
        <v>1.5303</v>
      </c>
      <c r="U544" s="36">
        <v>1.0357</v>
      </c>
      <c r="V544" s="36">
        <v>1.2371</v>
      </c>
      <c r="W544" s="37" t="s">
        <v>780</v>
      </c>
      <c r="X544" s="31">
        <v>5.0</v>
      </c>
      <c r="Y544" s="36">
        <v>-0.39000513542710574</v>
      </c>
      <c r="Z544" s="36">
        <v>0.20226772010887745</v>
      </c>
      <c r="AA544" s="29" t="s">
        <v>820</v>
      </c>
      <c r="AB544" s="31">
        <v>0.730580329895</v>
      </c>
      <c r="AC544" s="38">
        <v>1485.0</v>
      </c>
    </row>
    <row r="545" ht="14.25" customHeight="1">
      <c r="A545" s="29" t="s">
        <v>154</v>
      </c>
      <c r="B545" s="29">
        <v>56.0</v>
      </c>
      <c r="C545" s="29" t="s">
        <v>608</v>
      </c>
      <c r="D545" s="29" t="s">
        <v>963</v>
      </c>
      <c r="E545" s="29">
        <v>92.0</v>
      </c>
      <c r="F545" s="30" t="s">
        <v>964</v>
      </c>
      <c r="G545" s="29" t="s">
        <v>629</v>
      </c>
      <c r="H545" s="31">
        <v>11.9</v>
      </c>
      <c r="I545" s="29" t="s">
        <v>657</v>
      </c>
      <c r="J545" s="32" t="s">
        <v>598</v>
      </c>
      <c r="K545" s="29" t="s">
        <v>599</v>
      </c>
      <c r="L545" s="29" t="s">
        <v>954</v>
      </c>
      <c r="M545" s="33">
        <v>-84.841</v>
      </c>
      <c r="N545" s="33">
        <v>15.675</v>
      </c>
      <c r="O545" s="34" t="s">
        <v>601</v>
      </c>
      <c r="P545" s="32" t="s">
        <v>602</v>
      </c>
      <c r="Q545" s="35">
        <v>7.0</v>
      </c>
      <c r="R545" s="35">
        <v>11.0</v>
      </c>
      <c r="S545" s="36">
        <v>0.0</v>
      </c>
      <c r="T545" s="36">
        <v>0.0379</v>
      </c>
      <c r="U545" s="36">
        <v>0.0</v>
      </c>
      <c r="V545" s="36">
        <v>0.1946</v>
      </c>
      <c r="W545" s="37" t="s">
        <v>780</v>
      </c>
      <c r="X545" s="31">
        <v>1.0</v>
      </c>
      <c r="Y545" s="36">
        <v>-8.262558973010657</v>
      </c>
      <c r="Z545" s="36">
        <v>0.29444827073238233</v>
      </c>
      <c r="AA545" s="29" t="s">
        <v>820</v>
      </c>
      <c r="AB545" s="31">
        <v>0.730580329895</v>
      </c>
      <c r="AC545" s="38">
        <v>1485.0</v>
      </c>
    </row>
    <row r="546" ht="14.25" customHeight="1">
      <c r="A546" s="29" t="s">
        <v>154</v>
      </c>
      <c r="B546" s="29">
        <v>56.0</v>
      </c>
      <c r="C546" s="29" t="s">
        <v>608</v>
      </c>
      <c r="D546" s="29" t="s">
        <v>963</v>
      </c>
      <c r="E546" s="29">
        <v>92.0</v>
      </c>
      <c r="F546" s="30" t="s">
        <v>964</v>
      </c>
      <c r="G546" s="29" t="s">
        <v>629</v>
      </c>
      <c r="H546" s="31">
        <v>11.9</v>
      </c>
      <c r="I546" s="29" t="s">
        <v>657</v>
      </c>
      <c r="J546" s="32" t="s">
        <v>598</v>
      </c>
      <c r="K546" s="29" t="s">
        <v>599</v>
      </c>
      <c r="L546" s="29" t="s">
        <v>954</v>
      </c>
      <c r="M546" s="33">
        <v>-84.841</v>
      </c>
      <c r="N546" s="33">
        <v>15.675</v>
      </c>
      <c r="O546" s="34" t="s">
        <v>601</v>
      </c>
      <c r="P546" s="32" t="s">
        <v>602</v>
      </c>
      <c r="Q546" s="35">
        <v>7.0</v>
      </c>
      <c r="R546" s="35">
        <v>11.0</v>
      </c>
      <c r="S546" s="36">
        <v>0.0179</v>
      </c>
      <c r="T546" s="36">
        <v>0.0379</v>
      </c>
      <c r="U546" s="36">
        <v>0.1336</v>
      </c>
      <c r="V546" s="36">
        <v>0.1946</v>
      </c>
      <c r="W546" s="37" t="s">
        <v>780</v>
      </c>
      <c r="X546" s="31">
        <v>3.0</v>
      </c>
      <c r="Y546" s="36">
        <v>-0.7496042846031058</v>
      </c>
      <c r="Z546" s="36">
        <v>10.354794328713172</v>
      </c>
      <c r="AA546" s="29" t="s">
        <v>820</v>
      </c>
      <c r="AB546" s="31">
        <v>0.730580329895</v>
      </c>
      <c r="AC546" s="38">
        <v>1485.0</v>
      </c>
    </row>
    <row r="547" ht="14.25" customHeight="1">
      <c r="A547" s="29" t="s">
        <v>154</v>
      </c>
      <c r="B547" s="29">
        <v>56.0</v>
      </c>
      <c r="C547" s="29" t="s">
        <v>608</v>
      </c>
      <c r="D547" s="29" t="s">
        <v>963</v>
      </c>
      <c r="E547" s="29">
        <v>92.0</v>
      </c>
      <c r="F547" s="30" t="s">
        <v>964</v>
      </c>
      <c r="G547" s="29" t="s">
        <v>629</v>
      </c>
      <c r="H547" s="31">
        <v>11.9</v>
      </c>
      <c r="I547" s="29" t="s">
        <v>657</v>
      </c>
      <c r="J547" s="32" t="s">
        <v>598</v>
      </c>
      <c r="K547" s="29" t="s">
        <v>599</v>
      </c>
      <c r="L547" s="29" t="s">
        <v>954</v>
      </c>
      <c r="M547" s="33">
        <v>-84.841</v>
      </c>
      <c r="N547" s="33">
        <v>15.675</v>
      </c>
      <c r="O547" s="34" t="s">
        <v>601</v>
      </c>
      <c r="P547" s="32" t="s">
        <v>602</v>
      </c>
      <c r="Q547" s="35">
        <v>7.0</v>
      </c>
      <c r="R547" s="35">
        <v>11.0</v>
      </c>
      <c r="S547" s="36">
        <v>0.0</v>
      </c>
      <c r="T547" s="36">
        <v>0.0379</v>
      </c>
      <c r="U547" s="36">
        <v>0.0</v>
      </c>
      <c r="V547" s="36">
        <v>0.1946</v>
      </c>
      <c r="W547" s="37" t="s">
        <v>780</v>
      </c>
      <c r="X547" s="31">
        <v>5.0</v>
      </c>
      <c r="Y547" s="36">
        <v>-8.262558973010657</v>
      </c>
      <c r="Z547" s="36">
        <v>0.29444827073238233</v>
      </c>
      <c r="AA547" s="29" t="s">
        <v>820</v>
      </c>
      <c r="AB547" s="31">
        <v>0.730580329895</v>
      </c>
      <c r="AC547" s="38">
        <v>1485.0</v>
      </c>
    </row>
    <row r="548" ht="14.25" customHeight="1">
      <c r="A548" s="29" t="s">
        <v>154</v>
      </c>
      <c r="B548" s="29">
        <v>56.0</v>
      </c>
      <c r="C548" s="29" t="s">
        <v>608</v>
      </c>
      <c r="D548" s="29" t="s">
        <v>965</v>
      </c>
      <c r="E548" s="29">
        <v>93.0</v>
      </c>
      <c r="F548" s="30" t="s">
        <v>966</v>
      </c>
      <c r="G548" s="29" t="s">
        <v>629</v>
      </c>
      <c r="H548" s="31">
        <v>5.07</v>
      </c>
      <c r="I548" s="29" t="s">
        <v>657</v>
      </c>
      <c r="J548" s="32" t="s">
        <v>598</v>
      </c>
      <c r="K548" s="29" t="s">
        <v>599</v>
      </c>
      <c r="L548" s="29" t="s">
        <v>954</v>
      </c>
      <c r="M548" s="33">
        <v>-84.841</v>
      </c>
      <c r="N548" s="33">
        <v>15.675</v>
      </c>
      <c r="O548" s="34" t="s">
        <v>601</v>
      </c>
      <c r="P548" s="32" t="s">
        <v>602</v>
      </c>
      <c r="Q548" s="35">
        <v>7.0</v>
      </c>
      <c r="R548" s="35">
        <v>11.0</v>
      </c>
      <c r="S548" s="36">
        <v>0.0357</v>
      </c>
      <c r="T548" s="36">
        <v>0.0985</v>
      </c>
      <c r="U548" s="36">
        <v>0.189</v>
      </c>
      <c r="V548" s="36">
        <v>0.3138</v>
      </c>
      <c r="W548" s="37" t="s">
        <v>780</v>
      </c>
      <c r="X548" s="31">
        <v>1.0</v>
      </c>
      <c r="Y548" s="36">
        <v>-1.0141942695877877</v>
      </c>
      <c r="Z548" s="36">
        <v>4.9266124818939785</v>
      </c>
      <c r="AA548" s="29" t="s">
        <v>820</v>
      </c>
      <c r="AB548" s="31">
        <v>0.730580329895</v>
      </c>
      <c r="AC548" s="38">
        <v>1485.0</v>
      </c>
    </row>
    <row r="549" ht="14.25" customHeight="1">
      <c r="A549" s="29" t="s">
        <v>154</v>
      </c>
      <c r="B549" s="29">
        <v>56.0</v>
      </c>
      <c r="C549" s="29" t="s">
        <v>608</v>
      </c>
      <c r="D549" s="29" t="s">
        <v>965</v>
      </c>
      <c r="E549" s="29">
        <v>93.0</v>
      </c>
      <c r="F549" s="30" t="s">
        <v>966</v>
      </c>
      <c r="G549" s="29" t="s">
        <v>629</v>
      </c>
      <c r="H549" s="31">
        <v>5.07</v>
      </c>
      <c r="I549" s="29" t="s">
        <v>657</v>
      </c>
      <c r="J549" s="32" t="s">
        <v>598</v>
      </c>
      <c r="K549" s="29" t="s">
        <v>599</v>
      </c>
      <c r="L549" s="29" t="s">
        <v>954</v>
      </c>
      <c r="M549" s="33">
        <v>-84.841</v>
      </c>
      <c r="N549" s="33">
        <v>15.675</v>
      </c>
      <c r="O549" s="34" t="s">
        <v>601</v>
      </c>
      <c r="P549" s="32" t="s">
        <v>602</v>
      </c>
      <c r="Q549" s="35">
        <v>7.0</v>
      </c>
      <c r="R549" s="35">
        <v>11.0</v>
      </c>
      <c r="S549" s="36">
        <v>0.0714</v>
      </c>
      <c r="T549" s="36">
        <v>0.0985</v>
      </c>
      <c r="U549" s="36">
        <v>0.2673</v>
      </c>
      <c r="V549" s="36">
        <v>0.3138</v>
      </c>
      <c r="W549" s="37" t="s">
        <v>780</v>
      </c>
      <c r="X549" s="31">
        <v>3.0</v>
      </c>
      <c r="Y549" s="36">
        <v>-0.3214028206351684</v>
      </c>
      <c r="Z549" s="36">
        <v>2.924839503795175</v>
      </c>
      <c r="AA549" s="29" t="s">
        <v>820</v>
      </c>
      <c r="AB549" s="31">
        <v>0.730580329895</v>
      </c>
      <c r="AC549" s="38">
        <v>1485.0</v>
      </c>
    </row>
    <row r="550" ht="14.25" customHeight="1">
      <c r="A550" s="29" t="s">
        <v>154</v>
      </c>
      <c r="B550" s="29">
        <v>56.0</v>
      </c>
      <c r="C550" s="29" t="s">
        <v>608</v>
      </c>
      <c r="D550" s="29" t="s">
        <v>965</v>
      </c>
      <c r="E550" s="29">
        <v>93.0</v>
      </c>
      <c r="F550" s="30" t="s">
        <v>966</v>
      </c>
      <c r="G550" s="29" t="s">
        <v>629</v>
      </c>
      <c r="H550" s="31">
        <v>5.07</v>
      </c>
      <c r="I550" s="29" t="s">
        <v>657</v>
      </c>
      <c r="J550" s="32" t="s">
        <v>598</v>
      </c>
      <c r="K550" s="29" t="s">
        <v>599</v>
      </c>
      <c r="L550" s="29" t="s">
        <v>954</v>
      </c>
      <c r="M550" s="33">
        <v>-84.841</v>
      </c>
      <c r="N550" s="33">
        <v>15.675</v>
      </c>
      <c r="O550" s="34" t="s">
        <v>601</v>
      </c>
      <c r="P550" s="32" t="s">
        <v>602</v>
      </c>
      <c r="Q550" s="35">
        <v>7.0</v>
      </c>
      <c r="R550" s="35">
        <v>11.0</v>
      </c>
      <c r="S550" s="36">
        <v>0.0893</v>
      </c>
      <c r="T550" s="36">
        <v>0.0985</v>
      </c>
      <c r="U550" s="36">
        <v>0.0893</v>
      </c>
      <c r="V550" s="36">
        <v>0.3138</v>
      </c>
      <c r="W550" s="37" t="s">
        <v>780</v>
      </c>
      <c r="X550" s="31">
        <v>5.0</v>
      </c>
      <c r="Y550" s="36">
        <v>-0.09777052298960177</v>
      </c>
      <c r="Z550" s="36">
        <v>1.0655151017654563</v>
      </c>
      <c r="AA550" s="29" t="s">
        <v>820</v>
      </c>
      <c r="AB550" s="31">
        <v>0.730580329895</v>
      </c>
      <c r="AC550" s="38">
        <v>1485.0</v>
      </c>
    </row>
    <row r="551" ht="14.25" customHeight="1">
      <c r="A551" s="29" t="s">
        <v>154</v>
      </c>
      <c r="B551" s="29">
        <v>56.0</v>
      </c>
      <c r="C551" s="29" t="s">
        <v>608</v>
      </c>
      <c r="D551" s="29" t="s">
        <v>677</v>
      </c>
      <c r="E551" s="29">
        <v>100.0</v>
      </c>
      <c r="F551" s="30" t="s">
        <v>678</v>
      </c>
      <c r="G551" s="29" t="s">
        <v>626</v>
      </c>
      <c r="H551" s="31">
        <v>22.8</v>
      </c>
      <c r="I551" s="29" t="s">
        <v>612</v>
      </c>
      <c r="J551" s="32" t="s">
        <v>598</v>
      </c>
      <c r="K551" s="29" t="s">
        <v>599</v>
      </c>
      <c r="L551" s="29" t="s">
        <v>954</v>
      </c>
      <c r="M551" s="33">
        <v>-84.841</v>
      </c>
      <c r="N551" s="33">
        <v>15.675</v>
      </c>
      <c r="O551" s="34" t="s">
        <v>601</v>
      </c>
      <c r="P551" s="32" t="s">
        <v>602</v>
      </c>
      <c r="Q551" s="35">
        <v>7.0</v>
      </c>
      <c r="R551" s="35">
        <v>11.0</v>
      </c>
      <c r="S551" s="36">
        <v>0.0536</v>
      </c>
      <c r="T551" s="36">
        <v>0.1667</v>
      </c>
      <c r="U551" s="36">
        <v>0.2315</v>
      </c>
      <c r="V551" s="36">
        <v>0.4082</v>
      </c>
      <c r="W551" s="37" t="s">
        <v>780</v>
      </c>
      <c r="X551" s="31">
        <v>1.0</v>
      </c>
      <c r="Y551" s="36">
        <v>-1.1338446505904347</v>
      </c>
      <c r="Z551" s="36">
        <v>3.2099672838919884</v>
      </c>
      <c r="AA551" s="29" t="s">
        <v>820</v>
      </c>
      <c r="AB551" s="31">
        <v>0.730580329895</v>
      </c>
      <c r="AC551" s="38">
        <v>1485.0</v>
      </c>
    </row>
    <row r="552" ht="14.25" customHeight="1">
      <c r="A552" s="29" t="s">
        <v>154</v>
      </c>
      <c r="B552" s="29">
        <v>56.0</v>
      </c>
      <c r="C552" s="29" t="s">
        <v>608</v>
      </c>
      <c r="D552" s="29" t="s">
        <v>677</v>
      </c>
      <c r="E552" s="29">
        <v>100.0</v>
      </c>
      <c r="F552" s="30" t="s">
        <v>678</v>
      </c>
      <c r="G552" s="29" t="s">
        <v>626</v>
      </c>
      <c r="H552" s="31">
        <v>22.8</v>
      </c>
      <c r="I552" s="29" t="s">
        <v>612</v>
      </c>
      <c r="J552" s="32" t="s">
        <v>598</v>
      </c>
      <c r="K552" s="29" t="s">
        <v>599</v>
      </c>
      <c r="L552" s="29" t="s">
        <v>954</v>
      </c>
      <c r="M552" s="33">
        <v>-84.841</v>
      </c>
      <c r="N552" s="33">
        <v>15.675</v>
      </c>
      <c r="O552" s="34" t="s">
        <v>601</v>
      </c>
      <c r="P552" s="32" t="s">
        <v>602</v>
      </c>
      <c r="Q552" s="35">
        <v>7.0</v>
      </c>
      <c r="R552" s="35">
        <v>11.0</v>
      </c>
      <c r="S552" s="36">
        <v>0.0357</v>
      </c>
      <c r="T552" s="36">
        <v>0.1667</v>
      </c>
      <c r="U552" s="36">
        <v>0.189</v>
      </c>
      <c r="V552" s="36">
        <v>0.4082</v>
      </c>
      <c r="W552" s="37" t="s">
        <v>780</v>
      </c>
      <c r="X552" s="31">
        <v>3.0</v>
      </c>
      <c r="Y552" s="36">
        <v>-1.5398411130042642</v>
      </c>
      <c r="Z552" s="36">
        <v>4.549061970929462</v>
      </c>
      <c r="AA552" s="29" t="s">
        <v>820</v>
      </c>
      <c r="AB552" s="31">
        <v>0.730580329895</v>
      </c>
      <c r="AC552" s="38">
        <v>1485.0</v>
      </c>
    </row>
    <row r="553" ht="14.25" customHeight="1">
      <c r="A553" s="29" t="s">
        <v>154</v>
      </c>
      <c r="B553" s="29">
        <v>56.0</v>
      </c>
      <c r="C553" s="29" t="s">
        <v>608</v>
      </c>
      <c r="D553" s="29" t="s">
        <v>677</v>
      </c>
      <c r="E553" s="29">
        <v>100.0</v>
      </c>
      <c r="F553" s="30" t="s">
        <v>678</v>
      </c>
      <c r="G553" s="29" t="s">
        <v>626</v>
      </c>
      <c r="H553" s="31">
        <v>22.8</v>
      </c>
      <c r="I553" s="29" t="s">
        <v>612</v>
      </c>
      <c r="J553" s="32" t="s">
        <v>598</v>
      </c>
      <c r="K553" s="29" t="s">
        <v>599</v>
      </c>
      <c r="L553" s="29" t="s">
        <v>954</v>
      </c>
      <c r="M553" s="33">
        <v>-84.841</v>
      </c>
      <c r="N553" s="33">
        <v>15.675</v>
      </c>
      <c r="O553" s="34" t="s">
        <v>601</v>
      </c>
      <c r="P553" s="32" t="s">
        <v>602</v>
      </c>
      <c r="Q553" s="35">
        <v>7.0</v>
      </c>
      <c r="R553" s="35">
        <v>11.0</v>
      </c>
      <c r="S553" s="36">
        <v>0.0357</v>
      </c>
      <c r="T553" s="36">
        <v>0.1667</v>
      </c>
      <c r="U553" s="36">
        <v>0.0357</v>
      </c>
      <c r="V553" s="36">
        <v>0.4082</v>
      </c>
      <c r="W553" s="37" t="s">
        <v>780</v>
      </c>
      <c r="X553" s="31">
        <v>5.0</v>
      </c>
      <c r="Y553" s="36">
        <v>-1.5398411130042642</v>
      </c>
      <c r="Z553" s="36">
        <v>0.6879645908009402</v>
      </c>
      <c r="AA553" s="29" t="s">
        <v>820</v>
      </c>
      <c r="AB553" s="31">
        <v>0.730580329895</v>
      </c>
      <c r="AC553" s="38">
        <v>1485.0</v>
      </c>
    </row>
    <row r="554" ht="14.25" customHeight="1">
      <c r="A554" s="29" t="s">
        <v>154</v>
      </c>
      <c r="B554" s="29">
        <v>56.0</v>
      </c>
      <c r="C554" s="29" t="s">
        <v>608</v>
      </c>
      <c r="D554" s="29" t="s">
        <v>927</v>
      </c>
      <c r="E554" s="29">
        <v>109.0</v>
      </c>
      <c r="F554" s="30" t="s">
        <v>928</v>
      </c>
      <c r="G554" s="29" t="s">
        <v>695</v>
      </c>
      <c r="H554" s="31">
        <v>22.33</v>
      </c>
      <c r="I554" s="29" t="s">
        <v>620</v>
      </c>
      <c r="J554" s="32" t="s">
        <v>598</v>
      </c>
      <c r="K554" s="29" t="s">
        <v>599</v>
      </c>
      <c r="L554" s="29" t="s">
        <v>954</v>
      </c>
      <c r="M554" s="33">
        <v>-84.841</v>
      </c>
      <c r="N554" s="33">
        <v>15.675</v>
      </c>
      <c r="O554" s="34" t="s">
        <v>601</v>
      </c>
      <c r="P554" s="32" t="s">
        <v>602</v>
      </c>
      <c r="Q554" s="35">
        <v>7.0</v>
      </c>
      <c r="R554" s="35">
        <v>11.0</v>
      </c>
      <c r="S554" s="36">
        <v>0.0179</v>
      </c>
      <c r="T554" s="36">
        <v>0.0379</v>
      </c>
      <c r="U554" s="36">
        <v>0.1336</v>
      </c>
      <c r="V554" s="36">
        <v>0.1946</v>
      </c>
      <c r="W554" s="37" t="s">
        <v>780</v>
      </c>
      <c r="X554" s="31">
        <v>1.0</v>
      </c>
      <c r="Y554" s="36">
        <v>-0.7496042846031058</v>
      </c>
      <c r="Z554" s="36">
        <v>10.354794328713172</v>
      </c>
      <c r="AA554" s="29" t="s">
        <v>820</v>
      </c>
      <c r="AB554" s="31">
        <v>0.730580329895</v>
      </c>
      <c r="AC554" s="38">
        <v>1485.0</v>
      </c>
    </row>
    <row r="555" ht="14.25" customHeight="1">
      <c r="A555" s="29" t="s">
        <v>154</v>
      </c>
      <c r="B555" s="29">
        <v>56.0</v>
      </c>
      <c r="C555" s="29" t="s">
        <v>608</v>
      </c>
      <c r="D555" s="29" t="s">
        <v>927</v>
      </c>
      <c r="E555" s="29">
        <v>109.0</v>
      </c>
      <c r="F555" s="30" t="s">
        <v>928</v>
      </c>
      <c r="G555" s="29" t="s">
        <v>695</v>
      </c>
      <c r="H555" s="31">
        <v>22.33</v>
      </c>
      <c r="I555" s="29" t="s">
        <v>620</v>
      </c>
      <c r="J555" s="32" t="s">
        <v>598</v>
      </c>
      <c r="K555" s="29" t="s">
        <v>599</v>
      </c>
      <c r="L555" s="29" t="s">
        <v>954</v>
      </c>
      <c r="M555" s="33">
        <v>-84.841</v>
      </c>
      <c r="N555" s="33">
        <v>15.675</v>
      </c>
      <c r="O555" s="34" t="s">
        <v>601</v>
      </c>
      <c r="P555" s="32" t="s">
        <v>602</v>
      </c>
      <c r="Q555" s="35">
        <v>7.0</v>
      </c>
      <c r="R555" s="35">
        <v>11.0</v>
      </c>
      <c r="S555" s="36">
        <v>0.0179</v>
      </c>
      <c r="T555" s="36">
        <v>0.0379</v>
      </c>
      <c r="U555" s="36">
        <v>0.1336</v>
      </c>
      <c r="V555" s="36">
        <v>0.1946</v>
      </c>
      <c r="W555" s="37" t="s">
        <v>780</v>
      </c>
      <c r="X555" s="31">
        <v>3.0</v>
      </c>
      <c r="Y555" s="36">
        <v>-0.7496042846031058</v>
      </c>
      <c r="Z555" s="36">
        <v>10.354794328713172</v>
      </c>
      <c r="AA555" s="29" t="s">
        <v>820</v>
      </c>
      <c r="AB555" s="31">
        <v>0.730580329895</v>
      </c>
      <c r="AC555" s="38">
        <v>1485.0</v>
      </c>
    </row>
    <row r="556" ht="14.25" customHeight="1">
      <c r="A556" s="29" t="s">
        <v>154</v>
      </c>
      <c r="B556" s="29">
        <v>56.0</v>
      </c>
      <c r="C556" s="29" t="s">
        <v>608</v>
      </c>
      <c r="D556" s="29" t="s">
        <v>927</v>
      </c>
      <c r="E556" s="29">
        <v>109.0</v>
      </c>
      <c r="F556" s="30" t="s">
        <v>928</v>
      </c>
      <c r="G556" s="29" t="s">
        <v>695</v>
      </c>
      <c r="H556" s="31">
        <v>22.33</v>
      </c>
      <c r="I556" s="29" t="s">
        <v>620</v>
      </c>
      <c r="J556" s="32" t="s">
        <v>598</v>
      </c>
      <c r="K556" s="29" t="s">
        <v>599</v>
      </c>
      <c r="L556" s="29" t="s">
        <v>954</v>
      </c>
      <c r="M556" s="33">
        <v>-84.841</v>
      </c>
      <c r="N556" s="33">
        <v>15.675</v>
      </c>
      <c r="O556" s="34" t="s">
        <v>601</v>
      </c>
      <c r="P556" s="32" t="s">
        <v>602</v>
      </c>
      <c r="Q556" s="35">
        <v>7.0</v>
      </c>
      <c r="R556" s="35">
        <v>11.0</v>
      </c>
      <c r="S556" s="36">
        <v>0.0179</v>
      </c>
      <c r="T556" s="36">
        <v>0.0379</v>
      </c>
      <c r="U556" s="36">
        <v>0.0179</v>
      </c>
      <c r="V556" s="36">
        <v>0.1946</v>
      </c>
      <c r="W556" s="37" t="s">
        <v>780</v>
      </c>
      <c r="X556" s="31">
        <v>5.0</v>
      </c>
      <c r="Y556" s="36">
        <v>-0.7496042846031058</v>
      </c>
      <c r="Z556" s="36">
        <v>2.5395620593440156</v>
      </c>
      <c r="AA556" s="29" t="s">
        <v>820</v>
      </c>
      <c r="AB556" s="31">
        <v>0.730580329895</v>
      </c>
      <c r="AC556" s="38">
        <v>1485.0</v>
      </c>
    </row>
    <row r="557" ht="14.25" customHeight="1">
      <c r="A557" s="29" t="s">
        <v>154</v>
      </c>
      <c r="B557" s="29">
        <v>56.0</v>
      </c>
      <c r="C557" s="29" t="s">
        <v>608</v>
      </c>
      <c r="D557" s="29" t="s">
        <v>853</v>
      </c>
      <c r="E557" s="29">
        <v>110.0</v>
      </c>
      <c r="F557" s="30" t="s">
        <v>854</v>
      </c>
      <c r="G557" s="29" t="s">
        <v>629</v>
      </c>
      <c r="H557" s="31">
        <v>4.03</v>
      </c>
      <c r="I557" s="29" t="s">
        <v>597</v>
      </c>
      <c r="J557" s="32" t="s">
        <v>598</v>
      </c>
      <c r="K557" s="29" t="s">
        <v>599</v>
      </c>
      <c r="L557" s="29" t="s">
        <v>954</v>
      </c>
      <c r="M557" s="33">
        <v>-84.841</v>
      </c>
      <c r="N557" s="33">
        <v>15.675</v>
      </c>
      <c r="O557" s="34" t="s">
        <v>601</v>
      </c>
      <c r="P557" s="32" t="s">
        <v>602</v>
      </c>
      <c r="Q557" s="35">
        <v>7.0</v>
      </c>
      <c r="R557" s="35">
        <v>11.0</v>
      </c>
      <c r="S557" s="36">
        <v>0.6964</v>
      </c>
      <c r="T557" s="36">
        <v>0.1515</v>
      </c>
      <c r="U557" s="36">
        <v>0.8345</v>
      </c>
      <c r="V557" s="36">
        <v>0.3892</v>
      </c>
      <c r="W557" s="37" t="s">
        <v>780</v>
      </c>
      <c r="X557" s="31">
        <v>1.0</v>
      </c>
      <c r="Y557" s="36">
        <v>1.5253947081462795</v>
      </c>
      <c r="Z557" s="36">
        <v>0.8051012308557628</v>
      </c>
      <c r="AA557" s="29" t="s">
        <v>820</v>
      </c>
      <c r="AB557" s="31">
        <v>0.730580329895</v>
      </c>
      <c r="AC557" s="38">
        <v>1485.0</v>
      </c>
    </row>
    <row r="558" ht="14.25" customHeight="1">
      <c r="A558" s="29" t="s">
        <v>154</v>
      </c>
      <c r="B558" s="29">
        <v>56.0</v>
      </c>
      <c r="C558" s="29" t="s">
        <v>608</v>
      </c>
      <c r="D558" s="29" t="s">
        <v>853</v>
      </c>
      <c r="E558" s="29">
        <v>110.0</v>
      </c>
      <c r="F558" s="30" t="s">
        <v>854</v>
      </c>
      <c r="G558" s="29" t="s">
        <v>629</v>
      </c>
      <c r="H558" s="31">
        <v>4.03</v>
      </c>
      <c r="I558" s="29" t="s">
        <v>597</v>
      </c>
      <c r="J558" s="32" t="s">
        <v>598</v>
      </c>
      <c r="K558" s="29" t="s">
        <v>599</v>
      </c>
      <c r="L558" s="29" t="s">
        <v>954</v>
      </c>
      <c r="M558" s="33">
        <v>-84.841</v>
      </c>
      <c r="N558" s="33">
        <v>15.675</v>
      </c>
      <c r="O558" s="34" t="s">
        <v>601</v>
      </c>
      <c r="P558" s="32" t="s">
        <v>602</v>
      </c>
      <c r="Q558" s="35">
        <v>7.0</v>
      </c>
      <c r="R558" s="35">
        <v>11.0</v>
      </c>
      <c r="S558" s="36">
        <v>0.6607</v>
      </c>
      <c r="T558" s="36">
        <v>0.1515</v>
      </c>
      <c r="U558" s="36">
        <v>0.8128</v>
      </c>
      <c r="V558" s="36">
        <v>0.3892</v>
      </c>
      <c r="W558" s="37" t="s">
        <v>780</v>
      </c>
      <c r="X558" s="31">
        <v>3.0</v>
      </c>
      <c r="Y558" s="36">
        <v>1.4727734118451228</v>
      </c>
      <c r="Z558" s="36">
        <v>0.8161699942198308</v>
      </c>
      <c r="AA558" s="29" t="s">
        <v>820</v>
      </c>
      <c r="AB558" s="31">
        <v>0.730580329895</v>
      </c>
      <c r="AC558" s="38">
        <v>1485.0</v>
      </c>
    </row>
    <row r="559" ht="14.25" customHeight="1">
      <c r="A559" s="29" t="s">
        <v>154</v>
      </c>
      <c r="B559" s="29">
        <v>56.0</v>
      </c>
      <c r="C559" s="29" t="s">
        <v>608</v>
      </c>
      <c r="D559" s="29" t="s">
        <v>853</v>
      </c>
      <c r="E559" s="29">
        <v>110.0</v>
      </c>
      <c r="F559" s="30" t="s">
        <v>854</v>
      </c>
      <c r="G559" s="29" t="s">
        <v>629</v>
      </c>
      <c r="H559" s="31">
        <v>4.03</v>
      </c>
      <c r="I559" s="29" t="s">
        <v>597</v>
      </c>
      <c r="J559" s="32" t="s">
        <v>598</v>
      </c>
      <c r="K559" s="29" t="s">
        <v>599</v>
      </c>
      <c r="L559" s="29" t="s">
        <v>954</v>
      </c>
      <c r="M559" s="33">
        <v>-84.841</v>
      </c>
      <c r="N559" s="33">
        <v>15.675</v>
      </c>
      <c r="O559" s="34" t="s">
        <v>601</v>
      </c>
      <c r="P559" s="32" t="s">
        <v>602</v>
      </c>
      <c r="Q559" s="35">
        <v>7.0</v>
      </c>
      <c r="R559" s="35">
        <v>11.0</v>
      </c>
      <c r="S559" s="36">
        <v>1.3214</v>
      </c>
      <c r="T559" s="36">
        <v>0.1515</v>
      </c>
      <c r="U559" s="36">
        <v>1.3214</v>
      </c>
      <c r="V559" s="36">
        <v>0.3892</v>
      </c>
      <c r="W559" s="37" t="s">
        <v>780</v>
      </c>
      <c r="X559" s="31">
        <v>5.0</v>
      </c>
      <c r="Y559" s="36">
        <v>2.16589101396317</v>
      </c>
      <c r="Z559" s="36">
        <v>0.7428246247538473</v>
      </c>
      <c r="AA559" s="29" t="s">
        <v>820</v>
      </c>
      <c r="AB559" s="31">
        <v>0.730580329895</v>
      </c>
      <c r="AC559" s="38">
        <v>1485.0</v>
      </c>
    </row>
    <row r="560" ht="14.25" customHeight="1">
      <c r="A560" s="29" t="s">
        <v>154</v>
      </c>
      <c r="B560" s="29">
        <v>56.0</v>
      </c>
      <c r="C560" s="29" t="s">
        <v>608</v>
      </c>
      <c r="D560" s="29" t="s">
        <v>967</v>
      </c>
      <c r="E560" s="29">
        <v>114.0</v>
      </c>
      <c r="F560" s="30" t="s">
        <v>856</v>
      </c>
      <c r="G560" s="29" t="s">
        <v>626</v>
      </c>
      <c r="H560" s="31">
        <v>55.51</v>
      </c>
      <c r="I560" s="29" t="s">
        <v>612</v>
      </c>
      <c r="J560" s="32" t="s">
        <v>598</v>
      </c>
      <c r="K560" s="29" t="s">
        <v>599</v>
      </c>
      <c r="L560" s="29" t="s">
        <v>954</v>
      </c>
      <c r="M560" s="33">
        <v>-84.841</v>
      </c>
      <c r="N560" s="33">
        <v>15.675</v>
      </c>
      <c r="O560" s="34" t="s">
        <v>601</v>
      </c>
      <c r="P560" s="32" t="s">
        <v>602</v>
      </c>
      <c r="Q560" s="35">
        <v>7.0</v>
      </c>
      <c r="R560" s="35">
        <v>11.0</v>
      </c>
      <c r="S560" s="36">
        <v>0.1429</v>
      </c>
      <c r="T560" s="36">
        <v>0.4545</v>
      </c>
      <c r="U560" s="36">
        <v>0.378</v>
      </c>
      <c r="V560" s="36">
        <v>0.6742</v>
      </c>
      <c r="W560" s="37" t="s">
        <v>780</v>
      </c>
      <c r="X560" s="31">
        <v>1.0</v>
      </c>
      <c r="Y560" s="36">
        <v>-1.1562325909075504</v>
      </c>
      <c r="Z560" s="36">
        <v>1.1996282447599027</v>
      </c>
      <c r="AA560" s="29" t="s">
        <v>820</v>
      </c>
      <c r="AB560" s="31">
        <v>0.730580329895</v>
      </c>
      <c r="AC560" s="38">
        <v>1485.0</v>
      </c>
    </row>
    <row r="561" ht="14.25" customHeight="1">
      <c r="A561" s="29" t="s">
        <v>154</v>
      </c>
      <c r="B561" s="29">
        <v>56.0</v>
      </c>
      <c r="C561" s="29" t="s">
        <v>608</v>
      </c>
      <c r="D561" s="29" t="s">
        <v>967</v>
      </c>
      <c r="E561" s="29">
        <v>114.0</v>
      </c>
      <c r="F561" s="30" t="s">
        <v>856</v>
      </c>
      <c r="G561" s="29" t="s">
        <v>626</v>
      </c>
      <c r="H561" s="31">
        <v>55.51</v>
      </c>
      <c r="I561" s="29" t="s">
        <v>612</v>
      </c>
      <c r="J561" s="32" t="s">
        <v>598</v>
      </c>
      <c r="K561" s="29" t="s">
        <v>599</v>
      </c>
      <c r="L561" s="29" t="s">
        <v>954</v>
      </c>
      <c r="M561" s="33">
        <v>-84.841</v>
      </c>
      <c r="N561" s="33">
        <v>15.675</v>
      </c>
      <c r="O561" s="34" t="s">
        <v>601</v>
      </c>
      <c r="P561" s="32" t="s">
        <v>602</v>
      </c>
      <c r="Q561" s="35">
        <v>7.0</v>
      </c>
      <c r="R561" s="35">
        <v>11.0</v>
      </c>
      <c r="S561" s="36">
        <v>0.1607</v>
      </c>
      <c r="T561" s="36">
        <v>0.4545</v>
      </c>
      <c r="U561" s="36">
        <v>0.4009</v>
      </c>
      <c r="V561" s="36">
        <v>0.6742</v>
      </c>
      <c r="W561" s="37" t="s">
        <v>780</v>
      </c>
      <c r="X561" s="31">
        <v>3.0</v>
      </c>
      <c r="Y561" s="36">
        <v>-1.0389292239395236</v>
      </c>
      <c r="Z561" s="36">
        <v>1.089123113624053</v>
      </c>
      <c r="AA561" s="29" t="s">
        <v>820</v>
      </c>
      <c r="AB561" s="31">
        <v>0.730580329895</v>
      </c>
      <c r="AC561" s="38">
        <v>1485.0</v>
      </c>
    </row>
    <row r="562" ht="14.25" customHeight="1">
      <c r="A562" s="29" t="s">
        <v>154</v>
      </c>
      <c r="B562" s="29">
        <v>56.0</v>
      </c>
      <c r="C562" s="29" t="s">
        <v>608</v>
      </c>
      <c r="D562" s="29" t="s">
        <v>967</v>
      </c>
      <c r="E562" s="29">
        <v>114.0</v>
      </c>
      <c r="F562" s="30" t="s">
        <v>856</v>
      </c>
      <c r="G562" s="29" t="s">
        <v>626</v>
      </c>
      <c r="H562" s="31">
        <v>55.51</v>
      </c>
      <c r="I562" s="29" t="s">
        <v>612</v>
      </c>
      <c r="J562" s="32" t="s">
        <v>598</v>
      </c>
      <c r="K562" s="29" t="s">
        <v>599</v>
      </c>
      <c r="L562" s="29" t="s">
        <v>954</v>
      </c>
      <c r="M562" s="33">
        <v>-84.841</v>
      </c>
      <c r="N562" s="33">
        <v>15.675</v>
      </c>
      <c r="O562" s="34" t="s">
        <v>601</v>
      </c>
      <c r="P562" s="32" t="s">
        <v>602</v>
      </c>
      <c r="Q562" s="35">
        <v>7.0</v>
      </c>
      <c r="R562" s="35">
        <v>11.0</v>
      </c>
      <c r="S562" s="36">
        <v>0.1607</v>
      </c>
      <c r="T562" s="36">
        <v>0.4545</v>
      </c>
      <c r="U562" s="36">
        <v>0.1607</v>
      </c>
      <c r="V562" s="36">
        <v>0.6742</v>
      </c>
      <c r="W562" s="37" t="s">
        <v>780</v>
      </c>
      <c r="X562" s="31">
        <v>5.0</v>
      </c>
      <c r="Y562" s="36">
        <v>-1.0389292239395236</v>
      </c>
      <c r="Z562" s="36">
        <v>0.3428972304742654</v>
      </c>
      <c r="AA562" s="29" t="s">
        <v>820</v>
      </c>
      <c r="AB562" s="31">
        <v>0.730580329895</v>
      </c>
      <c r="AC562" s="38">
        <v>1485.0</v>
      </c>
    </row>
    <row r="563" ht="14.25" customHeight="1">
      <c r="A563" s="29" t="s">
        <v>154</v>
      </c>
      <c r="B563" s="29">
        <v>56.0</v>
      </c>
      <c r="C563" s="29" t="s">
        <v>608</v>
      </c>
      <c r="D563" s="29" t="s">
        <v>683</v>
      </c>
      <c r="E563" s="29">
        <v>122.0</v>
      </c>
      <c r="F563" s="30" t="s">
        <v>684</v>
      </c>
      <c r="G563" s="29" t="s">
        <v>629</v>
      </c>
      <c r="H563" s="31">
        <v>100.0</v>
      </c>
      <c r="I563" s="29" t="s">
        <v>657</v>
      </c>
      <c r="J563" s="32" t="s">
        <v>598</v>
      </c>
      <c r="K563" s="29" t="s">
        <v>599</v>
      </c>
      <c r="L563" s="29" t="s">
        <v>954</v>
      </c>
      <c r="M563" s="33">
        <v>-84.841</v>
      </c>
      <c r="N563" s="33">
        <v>15.675</v>
      </c>
      <c r="O563" s="34" t="s">
        <v>601</v>
      </c>
      <c r="P563" s="32" t="s">
        <v>602</v>
      </c>
      <c r="Q563" s="35">
        <v>7.0</v>
      </c>
      <c r="R563" s="35">
        <v>11.0</v>
      </c>
      <c r="S563" s="36">
        <v>0.0</v>
      </c>
      <c r="T563" s="36">
        <v>0.1212</v>
      </c>
      <c r="U563" s="36">
        <v>0.0</v>
      </c>
      <c r="V563" s="36">
        <v>0.3482</v>
      </c>
      <c r="W563" s="37" t="s">
        <v>780</v>
      </c>
      <c r="X563" s="31">
        <v>1.0</v>
      </c>
      <c r="Y563" s="36">
        <v>-8.262558973010657</v>
      </c>
      <c r="Z563" s="36">
        <v>0.31234592417515694</v>
      </c>
      <c r="AA563" s="29" t="s">
        <v>820</v>
      </c>
      <c r="AB563" s="31">
        <v>0.730580329895</v>
      </c>
      <c r="AC563" s="38">
        <v>1485.0</v>
      </c>
    </row>
    <row r="564" ht="14.25" customHeight="1">
      <c r="A564" s="29" t="s">
        <v>154</v>
      </c>
      <c r="B564" s="29">
        <v>56.0</v>
      </c>
      <c r="C564" s="29" t="s">
        <v>608</v>
      </c>
      <c r="D564" s="29" t="s">
        <v>683</v>
      </c>
      <c r="E564" s="29">
        <v>122.0</v>
      </c>
      <c r="F564" s="30" t="s">
        <v>684</v>
      </c>
      <c r="G564" s="29" t="s">
        <v>629</v>
      </c>
      <c r="H564" s="31">
        <v>100.0</v>
      </c>
      <c r="I564" s="29" t="s">
        <v>657</v>
      </c>
      <c r="J564" s="32" t="s">
        <v>598</v>
      </c>
      <c r="K564" s="29" t="s">
        <v>599</v>
      </c>
      <c r="L564" s="29" t="s">
        <v>954</v>
      </c>
      <c r="M564" s="33">
        <v>-84.841</v>
      </c>
      <c r="N564" s="33">
        <v>15.675</v>
      </c>
      <c r="O564" s="34" t="s">
        <v>601</v>
      </c>
      <c r="P564" s="32" t="s">
        <v>602</v>
      </c>
      <c r="Q564" s="35">
        <v>7.0</v>
      </c>
      <c r="R564" s="35">
        <v>11.0</v>
      </c>
      <c r="S564" s="36">
        <v>0.0893</v>
      </c>
      <c r="T564" s="36">
        <v>0.1212</v>
      </c>
      <c r="U564" s="36">
        <v>0.2988</v>
      </c>
      <c r="V564" s="36">
        <v>0.3482</v>
      </c>
      <c r="W564" s="37" t="s">
        <v>780</v>
      </c>
      <c r="X564" s="31">
        <v>3.0</v>
      </c>
      <c r="Y564" s="36">
        <v>-0.30509048635215297</v>
      </c>
      <c r="Z564" s="36">
        <v>2.349754160676651</v>
      </c>
      <c r="AA564" s="29" t="s">
        <v>820</v>
      </c>
      <c r="AB564" s="31">
        <v>0.730580329895</v>
      </c>
      <c r="AC564" s="38">
        <v>1485.0</v>
      </c>
    </row>
    <row r="565" ht="14.25" customHeight="1">
      <c r="A565" s="29" t="s">
        <v>154</v>
      </c>
      <c r="B565" s="29">
        <v>56.0</v>
      </c>
      <c r="C565" s="29" t="s">
        <v>608</v>
      </c>
      <c r="D565" s="29" t="s">
        <v>683</v>
      </c>
      <c r="E565" s="29">
        <v>122.0</v>
      </c>
      <c r="F565" s="30" t="s">
        <v>684</v>
      </c>
      <c r="G565" s="29" t="s">
        <v>629</v>
      </c>
      <c r="H565" s="31">
        <v>100.0</v>
      </c>
      <c r="I565" s="29" t="s">
        <v>657</v>
      </c>
      <c r="J565" s="32" t="s">
        <v>598</v>
      </c>
      <c r="K565" s="29" t="s">
        <v>599</v>
      </c>
      <c r="L565" s="29" t="s">
        <v>954</v>
      </c>
      <c r="M565" s="33">
        <v>-84.841</v>
      </c>
      <c r="N565" s="33">
        <v>15.675</v>
      </c>
      <c r="O565" s="34" t="s">
        <v>601</v>
      </c>
      <c r="P565" s="32" t="s">
        <v>602</v>
      </c>
      <c r="Q565" s="35">
        <v>7.0</v>
      </c>
      <c r="R565" s="35">
        <v>11.0</v>
      </c>
      <c r="S565" s="36">
        <v>0.0893</v>
      </c>
      <c r="T565" s="36">
        <v>0.1212</v>
      </c>
      <c r="U565" s="36">
        <v>0.0893</v>
      </c>
      <c r="V565" s="36">
        <v>0.3482</v>
      </c>
      <c r="W565" s="37" t="s">
        <v>780</v>
      </c>
      <c r="X565" s="31">
        <v>5.0</v>
      </c>
      <c r="Y565" s="36">
        <v>-0.30509048635215297</v>
      </c>
      <c r="Z565" s="36">
        <v>0.8931997513754204</v>
      </c>
      <c r="AA565" s="29" t="s">
        <v>820</v>
      </c>
      <c r="AB565" s="31">
        <v>0.730580329895</v>
      </c>
      <c r="AC565" s="38">
        <v>1485.0</v>
      </c>
    </row>
    <row r="566" ht="14.25" customHeight="1">
      <c r="A566" s="29" t="s">
        <v>154</v>
      </c>
      <c r="B566" s="29">
        <v>56.0</v>
      </c>
      <c r="C566" s="29" t="s">
        <v>608</v>
      </c>
      <c r="D566" s="29" t="s">
        <v>630</v>
      </c>
      <c r="E566" s="29">
        <v>129.0</v>
      </c>
      <c r="F566" s="30" t="s">
        <v>631</v>
      </c>
      <c r="G566" s="29" t="s">
        <v>626</v>
      </c>
      <c r="H566" s="31">
        <v>21.27</v>
      </c>
      <c r="I566" s="29" t="s">
        <v>612</v>
      </c>
      <c r="J566" s="32" t="s">
        <v>598</v>
      </c>
      <c r="K566" s="29" t="s">
        <v>599</v>
      </c>
      <c r="L566" s="29" t="s">
        <v>954</v>
      </c>
      <c r="M566" s="33">
        <v>-84.841</v>
      </c>
      <c r="N566" s="33">
        <v>15.675</v>
      </c>
      <c r="O566" s="34" t="s">
        <v>601</v>
      </c>
      <c r="P566" s="32" t="s">
        <v>602</v>
      </c>
      <c r="Q566" s="35">
        <v>7.0</v>
      </c>
      <c r="R566" s="35">
        <v>11.0</v>
      </c>
      <c r="S566" s="36">
        <v>1.0893</v>
      </c>
      <c r="T566" s="36">
        <v>0.5758</v>
      </c>
      <c r="U566" s="36">
        <v>1.0437</v>
      </c>
      <c r="V566" s="36">
        <v>0.7588</v>
      </c>
      <c r="W566" s="37" t="s">
        <v>780</v>
      </c>
      <c r="X566" s="31">
        <v>1.0</v>
      </c>
      <c r="Y566" s="36">
        <v>0.6376665563781839</v>
      </c>
      <c r="Z566" s="36">
        <v>0.2890239051094531</v>
      </c>
      <c r="AA566" s="29" t="s">
        <v>820</v>
      </c>
      <c r="AB566" s="31">
        <v>0.730580329895</v>
      </c>
      <c r="AC566" s="38">
        <v>1485.0</v>
      </c>
    </row>
    <row r="567" ht="14.25" customHeight="1">
      <c r="A567" s="29" t="s">
        <v>154</v>
      </c>
      <c r="B567" s="29">
        <v>56.0</v>
      </c>
      <c r="C567" s="29" t="s">
        <v>608</v>
      </c>
      <c r="D567" s="29" t="s">
        <v>630</v>
      </c>
      <c r="E567" s="29">
        <v>129.0</v>
      </c>
      <c r="F567" s="30" t="s">
        <v>631</v>
      </c>
      <c r="G567" s="29" t="s">
        <v>626</v>
      </c>
      <c r="H567" s="31">
        <v>21.27</v>
      </c>
      <c r="I567" s="29" t="s">
        <v>612</v>
      </c>
      <c r="J567" s="32" t="s">
        <v>598</v>
      </c>
      <c r="K567" s="29" t="s">
        <v>599</v>
      </c>
      <c r="L567" s="29" t="s">
        <v>954</v>
      </c>
      <c r="M567" s="33">
        <v>-84.841</v>
      </c>
      <c r="N567" s="33">
        <v>15.675</v>
      </c>
      <c r="O567" s="34" t="s">
        <v>601</v>
      </c>
      <c r="P567" s="32" t="s">
        <v>602</v>
      </c>
      <c r="Q567" s="35">
        <v>7.0</v>
      </c>
      <c r="R567" s="35">
        <v>11.0</v>
      </c>
      <c r="S567" s="36">
        <v>1.9286</v>
      </c>
      <c r="T567" s="36">
        <v>0.5758</v>
      </c>
      <c r="U567" s="36">
        <v>1.3887</v>
      </c>
      <c r="V567" s="36">
        <v>0.7588</v>
      </c>
      <c r="W567" s="37" t="s">
        <v>780</v>
      </c>
      <c r="X567" s="31">
        <v>3.0</v>
      </c>
      <c r="Y567" s="36">
        <v>1.2088662764188116</v>
      </c>
      <c r="Z567" s="36">
        <v>0.2319455805819808</v>
      </c>
      <c r="AA567" s="29" t="s">
        <v>820</v>
      </c>
      <c r="AB567" s="31">
        <v>0.730580329895</v>
      </c>
      <c r="AC567" s="38">
        <v>1485.0</v>
      </c>
    </row>
    <row r="568" ht="14.25" customHeight="1">
      <c r="A568" s="29" t="s">
        <v>154</v>
      </c>
      <c r="B568" s="29">
        <v>56.0</v>
      </c>
      <c r="C568" s="29" t="s">
        <v>608</v>
      </c>
      <c r="D568" s="29" t="s">
        <v>630</v>
      </c>
      <c r="E568" s="29">
        <v>129.0</v>
      </c>
      <c r="F568" s="30" t="s">
        <v>631</v>
      </c>
      <c r="G568" s="29" t="s">
        <v>626</v>
      </c>
      <c r="H568" s="31">
        <v>21.27</v>
      </c>
      <c r="I568" s="29" t="s">
        <v>612</v>
      </c>
      <c r="J568" s="32" t="s">
        <v>598</v>
      </c>
      <c r="K568" s="29" t="s">
        <v>599</v>
      </c>
      <c r="L568" s="29" t="s">
        <v>954</v>
      </c>
      <c r="M568" s="33">
        <v>-84.841</v>
      </c>
      <c r="N568" s="33">
        <v>15.675</v>
      </c>
      <c r="O568" s="34" t="s">
        <v>601</v>
      </c>
      <c r="P568" s="32" t="s">
        <v>602</v>
      </c>
      <c r="Q568" s="35">
        <v>7.0</v>
      </c>
      <c r="R568" s="35">
        <v>11.0</v>
      </c>
      <c r="S568" s="36">
        <v>2.2143</v>
      </c>
      <c r="T568" s="36">
        <v>0.5758</v>
      </c>
      <c r="U568" s="36">
        <v>2.2143</v>
      </c>
      <c r="V568" s="36">
        <v>0.7588</v>
      </c>
      <c r="W568" s="37" t="s">
        <v>780</v>
      </c>
      <c r="X568" s="31">
        <v>5.0</v>
      </c>
      <c r="Y568" s="36">
        <v>1.3469983140332222</v>
      </c>
      <c r="Z568" s="36">
        <v>0.3007340603046582</v>
      </c>
      <c r="AA568" s="29" t="s">
        <v>820</v>
      </c>
      <c r="AB568" s="31">
        <v>0.730580329895</v>
      </c>
      <c r="AC568" s="38">
        <v>1485.0</v>
      </c>
    </row>
    <row r="569" ht="14.25" customHeight="1">
      <c r="A569" s="29" t="s">
        <v>154</v>
      </c>
      <c r="B569" s="29">
        <v>56.0</v>
      </c>
      <c r="C569" s="29" t="s">
        <v>608</v>
      </c>
      <c r="D569" s="29" t="s">
        <v>723</v>
      </c>
      <c r="E569" s="29">
        <v>158.0</v>
      </c>
      <c r="F569" s="30" t="s">
        <v>724</v>
      </c>
      <c r="G569" s="29" t="s">
        <v>629</v>
      </c>
      <c r="H569" s="31">
        <v>51.6</v>
      </c>
      <c r="I569" s="29" t="s">
        <v>657</v>
      </c>
      <c r="J569" s="32" t="s">
        <v>598</v>
      </c>
      <c r="K569" s="29" t="s">
        <v>599</v>
      </c>
      <c r="L569" s="29" t="s">
        <v>954</v>
      </c>
      <c r="M569" s="33">
        <v>-84.841</v>
      </c>
      <c r="N569" s="33">
        <v>15.675</v>
      </c>
      <c r="O569" s="34" t="s">
        <v>601</v>
      </c>
      <c r="P569" s="32" t="s">
        <v>602</v>
      </c>
      <c r="Q569" s="35">
        <v>7.0</v>
      </c>
      <c r="R569" s="35">
        <v>11.0</v>
      </c>
      <c r="S569" s="36">
        <v>0.0536</v>
      </c>
      <c r="T569" s="36">
        <v>0.1742</v>
      </c>
      <c r="U569" s="36">
        <v>0.2315</v>
      </c>
      <c r="V569" s="36">
        <v>0.4174</v>
      </c>
      <c r="W569" s="37" t="s">
        <v>780</v>
      </c>
      <c r="X569" s="31">
        <v>1.0</v>
      </c>
      <c r="Y569" s="36">
        <v>-1.1778168543887093</v>
      </c>
      <c r="Z569" s="36">
        <v>3.1867942135811136</v>
      </c>
      <c r="AA569" s="29" t="s">
        <v>820</v>
      </c>
      <c r="AB569" s="31">
        <v>0.730580329895</v>
      </c>
      <c r="AC569" s="38">
        <v>1485.0</v>
      </c>
    </row>
    <row r="570" ht="14.25" customHeight="1">
      <c r="A570" s="29" t="s">
        <v>154</v>
      </c>
      <c r="B570" s="29">
        <v>56.0</v>
      </c>
      <c r="C570" s="29" t="s">
        <v>608</v>
      </c>
      <c r="D570" s="29" t="s">
        <v>723</v>
      </c>
      <c r="E570" s="29">
        <v>158.0</v>
      </c>
      <c r="F570" s="30" t="s">
        <v>724</v>
      </c>
      <c r="G570" s="29" t="s">
        <v>629</v>
      </c>
      <c r="H570" s="31">
        <v>51.6</v>
      </c>
      <c r="I570" s="29" t="s">
        <v>657</v>
      </c>
      <c r="J570" s="32" t="s">
        <v>598</v>
      </c>
      <c r="K570" s="29" t="s">
        <v>599</v>
      </c>
      <c r="L570" s="29" t="s">
        <v>954</v>
      </c>
      <c r="M570" s="33">
        <v>-84.841</v>
      </c>
      <c r="N570" s="33">
        <v>15.675</v>
      </c>
      <c r="O570" s="34" t="s">
        <v>601</v>
      </c>
      <c r="P570" s="32" t="s">
        <v>602</v>
      </c>
      <c r="Q570" s="35">
        <v>7.0</v>
      </c>
      <c r="R570" s="35">
        <v>11.0</v>
      </c>
      <c r="S570" s="36">
        <v>0.0179</v>
      </c>
      <c r="T570" s="36">
        <v>0.1742</v>
      </c>
      <c r="U570" s="36">
        <v>0.1336</v>
      </c>
      <c r="V570" s="36">
        <v>0.4174</v>
      </c>
      <c r="W570" s="37" t="s">
        <v>780</v>
      </c>
      <c r="X570" s="31">
        <v>3.0</v>
      </c>
      <c r="Y570" s="36">
        <v>-2.2728957027965797</v>
      </c>
      <c r="Z570" s="36">
        <v>8.480023789859223</v>
      </c>
      <c r="AA570" s="29" t="s">
        <v>820</v>
      </c>
      <c r="AB570" s="31">
        <v>0.730580329895</v>
      </c>
      <c r="AC570" s="38">
        <v>1485.0</v>
      </c>
    </row>
    <row r="571" ht="14.25" customHeight="1">
      <c r="A571" s="29" t="s">
        <v>154</v>
      </c>
      <c r="B571" s="29">
        <v>56.0</v>
      </c>
      <c r="C571" s="29" t="s">
        <v>608</v>
      </c>
      <c r="D571" s="29" t="s">
        <v>723</v>
      </c>
      <c r="E571" s="29">
        <v>158.0</v>
      </c>
      <c r="F571" s="30" t="s">
        <v>724</v>
      </c>
      <c r="G571" s="29" t="s">
        <v>629</v>
      </c>
      <c r="H571" s="31">
        <v>51.6</v>
      </c>
      <c r="I571" s="29" t="s">
        <v>657</v>
      </c>
      <c r="J571" s="32" t="s">
        <v>598</v>
      </c>
      <c r="K571" s="29" t="s">
        <v>599</v>
      </c>
      <c r="L571" s="29" t="s">
        <v>954</v>
      </c>
      <c r="M571" s="33">
        <v>-84.841</v>
      </c>
      <c r="N571" s="33">
        <v>15.675</v>
      </c>
      <c r="O571" s="34" t="s">
        <v>601</v>
      </c>
      <c r="P571" s="32" t="s">
        <v>602</v>
      </c>
      <c r="Q571" s="35">
        <v>7.0</v>
      </c>
      <c r="R571" s="35">
        <v>11.0</v>
      </c>
      <c r="S571" s="36">
        <v>0.0357</v>
      </c>
      <c r="T571" s="36">
        <v>0.1742</v>
      </c>
      <c r="U571" s="36">
        <v>0.0357</v>
      </c>
      <c r="V571" s="36">
        <v>0.4174</v>
      </c>
      <c r="W571" s="37" t="s">
        <v>780</v>
      </c>
      <c r="X571" s="31">
        <v>5.0</v>
      </c>
      <c r="Y571" s="36">
        <v>-1.5837952531025383</v>
      </c>
      <c r="Z571" s="36">
        <v>0.6647915204900656</v>
      </c>
      <c r="AA571" s="29" t="s">
        <v>820</v>
      </c>
      <c r="AB571" s="31">
        <v>0.730580329895</v>
      </c>
      <c r="AC571" s="38">
        <v>1485.0</v>
      </c>
    </row>
    <row r="572" ht="14.25" customHeight="1">
      <c r="A572" s="29" t="s">
        <v>154</v>
      </c>
      <c r="B572" s="29">
        <v>56.0</v>
      </c>
      <c r="C572" s="29" t="s">
        <v>608</v>
      </c>
      <c r="D572" s="29" t="s">
        <v>968</v>
      </c>
      <c r="E572" s="29">
        <v>186.0</v>
      </c>
      <c r="F572" s="30" t="s">
        <v>969</v>
      </c>
      <c r="G572" s="29" t="s">
        <v>695</v>
      </c>
      <c r="H572" s="31">
        <v>4.21</v>
      </c>
      <c r="I572" s="29" t="s">
        <v>620</v>
      </c>
      <c r="J572" s="32" t="s">
        <v>598</v>
      </c>
      <c r="K572" s="29" t="s">
        <v>599</v>
      </c>
      <c r="L572" s="29" t="s">
        <v>954</v>
      </c>
      <c r="M572" s="33">
        <v>-84.841</v>
      </c>
      <c r="N572" s="33">
        <v>15.675</v>
      </c>
      <c r="O572" s="34" t="s">
        <v>601</v>
      </c>
      <c r="P572" s="32" t="s">
        <v>602</v>
      </c>
      <c r="Q572" s="35">
        <v>7.0</v>
      </c>
      <c r="R572" s="35">
        <v>11.0</v>
      </c>
      <c r="S572" s="36">
        <v>0.0179</v>
      </c>
      <c r="T572" s="36">
        <v>0.0227</v>
      </c>
      <c r="U572" s="36">
        <v>0.1336</v>
      </c>
      <c r="V572" s="36">
        <v>0.1508</v>
      </c>
      <c r="W572" s="37" t="s">
        <v>780</v>
      </c>
      <c r="X572" s="31">
        <v>1.0</v>
      </c>
      <c r="Y572" s="36">
        <v>-0.2372370834128336</v>
      </c>
      <c r="Z572" s="36">
        <v>11.970065016431523</v>
      </c>
      <c r="AA572" s="29" t="s">
        <v>820</v>
      </c>
      <c r="AB572" s="31">
        <v>0.730580329895</v>
      </c>
      <c r="AC572" s="38">
        <v>1485.0</v>
      </c>
    </row>
    <row r="573" ht="14.25" customHeight="1">
      <c r="A573" s="29" t="s">
        <v>154</v>
      </c>
      <c r="B573" s="29">
        <v>56.0</v>
      </c>
      <c r="C573" s="29" t="s">
        <v>608</v>
      </c>
      <c r="D573" s="29" t="s">
        <v>968</v>
      </c>
      <c r="E573" s="29">
        <v>186.0</v>
      </c>
      <c r="F573" s="30" t="s">
        <v>969</v>
      </c>
      <c r="G573" s="29" t="s">
        <v>695</v>
      </c>
      <c r="H573" s="31">
        <v>4.21</v>
      </c>
      <c r="I573" s="29" t="s">
        <v>620</v>
      </c>
      <c r="J573" s="32" t="s">
        <v>598</v>
      </c>
      <c r="K573" s="29" t="s">
        <v>599</v>
      </c>
      <c r="L573" s="29" t="s">
        <v>954</v>
      </c>
      <c r="M573" s="33">
        <v>-84.841</v>
      </c>
      <c r="N573" s="33">
        <v>15.675</v>
      </c>
      <c r="O573" s="34" t="s">
        <v>601</v>
      </c>
      <c r="P573" s="32" t="s">
        <v>602</v>
      </c>
      <c r="Q573" s="35">
        <v>7.0</v>
      </c>
      <c r="R573" s="35">
        <v>11.0</v>
      </c>
      <c r="S573" s="36">
        <v>0.0536</v>
      </c>
      <c r="T573" s="36">
        <v>0.0227</v>
      </c>
      <c r="U573" s="36">
        <v>0.2315</v>
      </c>
      <c r="V573" s="36">
        <v>0.1508</v>
      </c>
      <c r="W573" s="37" t="s">
        <v>780</v>
      </c>
      <c r="X573" s="31">
        <v>3.0</v>
      </c>
      <c r="Y573" s="36">
        <v>0.8592934016717784</v>
      </c>
      <c r="Z573" s="36">
        <v>6.676835440153413</v>
      </c>
      <c r="AA573" s="29" t="s">
        <v>820</v>
      </c>
      <c r="AB573" s="31">
        <v>0.730580329895</v>
      </c>
      <c r="AC573" s="38">
        <v>1485.0</v>
      </c>
    </row>
    <row r="574" ht="14.25" customHeight="1">
      <c r="A574" s="29" t="s">
        <v>154</v>
      </c>
      <c r="B574" s="29">
        <v>56.0</v>
      </c>
      <c r="C574" s="29" t="s">
        <v>608</v>
      </c>
      <c r="D574" s="29" t="s">
        <v>968</v>
      </c>
      <c r="E574" s="29">
        <v>186.0</v>
      </c>
      <c r="F574" s="30" t="s">
        <v>969</v>
      </c>
      <c r="G574" s="29" t="s">
        <v>695</v>
      </c>
      <c r="H574" s="31">
        <v>4.21</v>
      </c>
      <c r="I574" s="29" t="s">
        <v>620</v>
      </c>
      <c r="J574" s="32" t="s">
        <v>598</v>
      </c>
      <c r="K574" s="29" t="s">
        <v>599</v>
      </c>
      <c r="L574" s="29" t="s">
        <v>954</v>
      </c>
      <c r="M574" s="33">
        <v>-84.841</v>
      </c>
      <c r="N574" s="33">
        <v>15.675</v>
      </c>
      <c r="O574" s="34" t="s">
        <v>601</v>
      </c>
      <c r="P574" s="32" t="s">
        <v>602</v>
      </c>
      <c r="Q574" s="35">
        <v>7.0</v>
      </c>
      <c r="R574" s="35">
        <v>11.0</v>
      </c>
      <c r="S574" s="36">
        <v>0.0</v>
      </c>
      <c r="T574" s="36">
        <v>0.0227</v>
      </c>
      <c r="U574" s="36">
        <v>0.0</v>
      </c>
      <c r="V574" s="36">
        <v>0.1508</v>
      </c>
      <c r="W574" s="37" t="s">
        <v>780</v>
      </c>
      <c r="X574" s="31">
        <v>5.0</v>
      </c>
      <c r="Y574" s="36">
        <v>-8.262558973010657</v>
      </c>
      <c r="Z574" s="36">
        <v>0.2837851800305183</v>
      </c>
      <c r="AA574" s="29" t="s">
        <v>820</v>
      </c>
      <c r="AB574" s="31">
        <v>0.730580329895</v>
      </c>
      <c r="AC574" s="38">
        <v>1485.0</v>
      </c>
    </row>
    <row r="575" ht="14.25" customHeight="1">
      <c r="A575" s="29" t="s">
        <v>154</v>
      </c>
      <c r="B575" s="29">
        <v>56.0</v>
      </c>
      <c r="C575" s="29" t="s">
        <v>608</v>
      </c>
      <c r="D575" s="29" t="s">
        <v>860</v>
      </c>
      <c r="E575" s="29">
        <v>187.0</v>
      </c>
      <c r="F575" s="30" t="s">
        <v>861</v>
      </c>
      <c r="G575" s="29" t="s">
        <v>638</v>
      </c>
      <c r="H575" s="31">
        <v>300.0</v>
      </c>
      <c r="I575" s="29" t="s">
        <v>612</v>
      </c>
      <c r="J575" s="32" t="s">
        <v>598</v>
      </c>
      <c r="K575" s="29" t="s">
        <v>599</v>
      </c>
      <c r="L575" s="29" t="s">
        <v>954</v>
      </c>
      <c r="M575" s="33">
        <v>-84.841</v>
      </c>
      <c r="N575" s="33">
        <v>15.675</v>
      </c>
      <c r="O575" s="34" t="s">
        <v>601</v>
      </c>
      <c r="P575" s="32" t="s">
        <v>602</v>
      </c>
      <c r="Q575" s="35">
        <v>7.0</v>
      </c>
      <c r="R575" s="35">
        <v>11.0</v>
      </c>
      <c r="S575" s="36">
        <v>0.0893</v>
      </c>
      <c r="T575" s="36">
        <v>0.697</v>
      </c>
      <c r="U575" s="36">
        <v>0.2988</v>
      </c>
      <c r="V575" s="36">
        <v>0.8348</v>
      </c>
      <c r="W575" s="37" t="s">
        <v>780</v>
      </c>
      <c r="X575" s="31">
        <v>1.0</v>
      </c>
      <c r="Y575" s="36">
        <v>-2.052772234786432</v>
      </c>
      <c r="Z575" s="36">
        <v>1.7298202743292082</v>
      </c>
      <c r="AA575" s="29" t="s">
        <v>820</v>
      </c>
      <c r="AB575" s="31">
        <v>0.730580329895</v>
      </c>
      <c r="AC575" s="38">
        <v>1485.0</v>
      </c>
    </row>
    <row r="576" ht="14.25" customHeight="1">
      <c r="A576" s="29" t="s">
        <v>154</v>
      </c>
      <c r="B576" s="29">
        <v>56.0</v>
      </c>
      <c r="C576" s="29" t="s">
        <v>608</v>
      </c>
      <c r="D576" s="29" t="s">
        <v>860</v>
      </c>
      <c r="E576" s="29">
        <v>187.0</v>
      </c>
      <c r="F576" s="30" t="s">
        <v>861</v>
      </c>
      <c r="G576" s="29" t="s">
        <v>638</v>
      </c>
      <c r="H576" s="31">
        <v>300.0</v>
      </c>
      <c r="I576" s="29" t="s">
        <v>612</v>
      </c>
      <c r="J576" s="32" t="s">
        <v>598</v>
      </c>
      <c r="K576" s="29" t="s">
        <v>599</v>
      </c>
      <c r="L576" s="29" t="s">
        <v>954</v>
      </c>
      <c r="M576" s="33">
        <v>-84.841</v>
      </c>
      <c r="N576" s="33">
        <v>15.675</v>
      </c>
      <c r="O576" s="34" t="s">
        <v>601</v>
      </c>
      <c r="P576" s="32" t="s">
        <v>602</v>
      </c>
      <c r="Q576" s="35">
        <v>7.0</v>
      </c>
      <c r="R576" s="35">
        <v>11.0</v>
      </c>
      <c r="S576" s="36">
        <v>0.0714</v>
      </c>
      <c r="T576" s="36">
        <v>0.697</v>
      </c>
      <c r="U576" s="36">
        <v>0.2673</v>
      </c>
      <c r="V576" s="36">
        <v>0.8348</v>
      </c>
      <c r="W576" s="37" t="s">
        <v>780</v>
      </c>
      <c r="X576" s="31">
        <v>3.0</v>
      </c>
      <c r="Y576" s="36">
        <v>-2.2759721563699964</v>
      </c>
      <c r="Z576" s="36">
        <v>2.132590267057696</v>
      </c>
      <c r="AA576" s="29" t="s">
        <v>820</v>
      </c>
      <c r="AB576" s="31">
        <v>0.730580329895</v>
      </c>
      <c r="AC576" s="38">
        <v>1485.0</v>
      </c>
    </row>
    <row r="577" ht="14.25" customHeight="1">
      <c r="A577" s="29" t="s">
        <v>154</v>
      </c>
      <c r="B577" s="29">
        <v>56.0</v>
      </c>
      <c r="C577" s="29" t="s">
        <v>608</v>
      </c>
      <c r="D577" s="29" t="s">
        <v>860</v>
      </c>
      <c r="E577" s="29">
        <v>187.0</v>
      </c>
      <c r="F577" s="30" t="s">
        <v>861</v>
      </c>
      <c r="G577" s="29" t="s">
        <v>638</v>
      </c>
      <c r="H577" s="31">
        <v>300.0</v>
      </c>
      <c r="I577" s="29" t="s">
        <v>612</v>
      </c>
      <c r="J577" s="32" t="s">
        <v>598</v>
      </c>
      <c r="K577" s="29" t="s">
        <v>599</v>
      </c>
      <c r="L577" s="29" t="s">
        <v>954</v>
      </c>
      <c r="M577" s="33">
        <v>-84.841</v>
      </c>
      <c r="N577" s="33">
        <v>15.675</v>
      </c>
      <c r="O577" s="34" t="s">
        <v>601</v>
      </c>
      <c r="P577" s="32" t="s">
        <v>602</v>
      </c>
      <c r="Q577" s="35">
        <v>7.0</v>
      </c>
      <c r="R577" s="35">
        <v>11.0</v>
      </c>
      <c r="S577" s="36">
        <v>0.1607</v>
      </c>
      <c r="T577" s="36">
        <v>0.697</v>
      </c>
      <c r="U577" s="36">
        <v>0.1607</v>
      </c>
      <c r="V577" s="36">
        <v>0.8348</v>
      </c>
      <c r="W577" s="37" t="s">
        <v>780</v>
      </c>
      <c r="X577" s="31">
        <v>5.0</v>
      </c>
      <c r="Y577" s="36">
        <v>-1.4661277557902355</v>
      </c>
      <c r="Z577" s="36">
        <v>0.27326586502797734</v>
      </c>
      <c r="AA577" s="29" t="s">
        <v>820</v>
      </c>
      <c r="AB577" s="31">
        <v>0.730580329895</v>
      </c>
      <c r="AC577" s="38">
        <v>1485.0</v>
      </c>
    </row>
    <row r="578" ht="14.25" customHeight="1">
      <c r="A578" s="29" t="s">
        <v>154</v>
      </c>
      <c r="B578" s="29">
        <v>56.0</v>
      </c>
      <c r="C578" s="29" t="s">
        <v>608</v>
      </c>
      <c r="D578" s="29" t="s">
        <v>970</v>
      </c>
      <c r="E578" s="29">
        <v>190.0</v>
      </c>
      <c r="F578" s="30" t="s">
        <v>640</v>
      </c>
      <c r="G578" s="29" t="s">
        <v>626</v>
      </c>
      <c r="H578" s="31">
        <v>32.23</v>
      </c>
      <c r="I578" s="29" t="s">
        <v>597</v>
      </c>
      <c r="J578" s="32" t="s">
        <v>598</v>
      </c>
      <c r="K578" s="29" t="s">
        <v>599</v>
      </c>
      <c r="L578" s="29" t="s">
        <v>954</v>
      </c>
      <c r="M578" s="33">
        <v>-84.841</v>
      </c>
      <c r="N578" s="33">
        <v>15.675</v>
      </c>
      <c r="O578" s="34" t="s">
        <v>601</v>
      </c>
      <c r="P578" s="32" t="s">
        <v>602</v>
      </c>
      <c r="Q578" s="35">
        <v>7.0</v>
      </c>
      <c r="R578" s="35">
        <v>11.0</v>
      </c>
      <c r="S578" s="36">
        <v>0.0</v>
      </c>
      <c r="T578" s="36">
        <v>0.0909</v>
      </c>
      <c r="U578" s="36">
        <v>0.0</v>
      </c>
      <c r="V578" s="36">
        <v>0.3015</v>
      </c>
      <c r="W578" s="37" t="s">
        <v>780</v>
      </c>
      <c r="X578" s="31">
        <v>1.0</v>
      </c>
      <c r="Y578" s="36">
        <v>-8.262558973010657</v>
      </c>
      <c r="Z578" s="36">
        <v>0.31011494601623224</v>
      </c>
      <c r="AA578" s="29" t="s">
        <v>820</v>
      </c>
      <c r="AB578" s="31">
        <v>0.730580329895</v>
      </c>
      <c r="AC578" s="38">
        <v>1485.0</v>
      </c>
    </row>
    <row r="579" ht="14.25" customHeight="1">
      <c r="A579" s="29" t="s">
        <v>154</v>
      </c>
      <c r="B579" s="29">
        <v>56.0</v>
      </c>
      <c r="C579" s="29" t="s">
        <v>608</v>
      </c>
      <c r="D579" s="29" t="s">
        <v>970</v>
      </c>
      <c r="E579" s="29">
        <v>190.0</v>
      </c>
      <c r="F579" s="30" t="s">
        <v>640</v>
      </c>
      <c r="G579" s="29" t="s">
        <v>626</v>
      </c>
      <c r="H579" s="31">
        <v>32.23</v>
      </c>
      <c r="I579" s="29" t="s">
        <v>597</v>
      </c>
      <c r="J579" s="32" t="s">
        <v>598</v>
      </c>
      <c r="K579" s="29" t="s">
        <v>599</v>
      </c>
      <c r="L579" s="29" t="s">
        <v>954</v>
      </c>
      <c r="M579" s="33">
        <v>-84.841</v>
      </c>
      <c r="N579" s="33">
        <v>15.675</v>
      </c>
      <c r="O579" s="34" t="s">
        <v>601</v>
      </c>
      <c r="P579" s="32" t="s">
        <v>602</v>
      </c>
      <c r="Q579" s="35">
        <v>7.0</v>
      </c>
      <c r="R579" s="35">
        <v>11.0</v>
      </c>
      <c r="S579" s="36">
        <v>0.0179</v>
      </c>
      <c r="T579" s="36">
        <v>0.0909</v>
      </c>
      <c r="U579" s="36">
        <v>0.1336</v>
      </c>
      <c r="V579" s="36">
        <v>0.3015</v>
      </c>
      <c r="W579" s="37" t="s">
        <v>780</v>
      </c>
      <c r="X579" s="31">
        <v>3.0</v>
      </c>
      <c r="Y579" s="36">
        <v>-1.6236499775686772</v>
      </c>
      <c r="Z579" s="36">
        <v>8.958214177178043</v>
      </c>
      <c r="AA579" s="29" t="s">
        <v>820</v>
      </c>
      <c r="AB579" s="31">
        <v>0.730580329895</v>
      </c>
      <c r="AC579" s="38">
        <v>1485.0</v>
      </c>
    </row>
    <row r="580" ht="14.25" customHeight="1">
      <c r="A580" s="29" t="s">
        <v>154</v>
      </c>
      <c r="B580" s="29">
        <v>56.0</v>
      </c>
      <c r="C580" s="29" t="s">
        <v>608</v>
      </c>
      <c r="D580" s="29" t="s">
        <v>970</v>
      </c>
      <c r="E580" s="29">
        <v>190.0</v>
      </c>
      <c r="F580" s="30" t="s">
        <v>640</v>
      </c>
      <c r="G580" s="29" t="s">
        <v>626</v>
      </c>
      <c r="H580" s="31">
        <v>32.23</v>
      </c>
      <c r="I580" s="29" t="s">
        <v>597</v>
      </c>
      <c r="J580" s="32" t="s">
        <v>598</v>
      </c>
      <c r="K580" s="29" t="s">
        <v>599</v>
      </c>
      <c r="L580" s="29" t="s">
        <v>954</v>
      </c>
      <c r="M580" s="33">
        <v>-84.841</v>
      </c>
      <c r="N580" s="33">
        <v>15.675</v>
      </c>
      <c r="O580" s="34" t="s">
        <v>601</v>
      </c>
      <c r="P580" s="32" t="s">
        <v>602</v>
      </c>
      <c r="Q580" s="35">
        <v>7.0</v>
      </c>
      <c r="R580" s="35">
        <v>11.0</v>
      </c>
      <c r="S580" s="36">
        <v>0.0179</v>
      </c>
      <c r="T580" s="36">
        <v>0.0909</v>
      </c>
      <c r="U580" s="36">
        <v>0.0179</v>
      </c>
      <c r="V580" s="36">
        <v>0.3015</v>
      </c>
      <c r="W580" s="37" t="s">
        <v>780</v>
      </c>
      <c r="X580" s="31">
        <v>5.0</v>
      </c>
      <c r="Y580" s="36">
        <v>-1.6236499775686772</v>
      </c>
      <c r="Z580" s="36">
        <v>1.1429819078088854</v>
      </c>
      <c r="AA580" s="29" t="s">
        <v>820</v>
      </c>
      <c r="AB580" s="31">
        <v>0.730580329895</v>
      </c>
      <c r="AC580" s="38">
        <v>1485.0</v>
      </c>
    </row>
    <row r="581" ht="14.25" customHeight="1">
      <c r="A581" s="29" t="s">
        <v>158</v>
      </c>
      <c r="B581" s="29">
        <v>140.0</v>
      </c>
      <c r="C581" s="29" t="s">
        <v>608</v>
      </c>
      <c r="D581" s="29" t="s">
        <v>955</v>
      </c>
      <c r="E581" s="29">
        <v>3.0</v>
      </c>
      <c r="F581" s="30" t="s">
        <v>956</v>
      </c>
      <c r="G581" s="29" t="s">
        <v>611</v>
      </c>
      <c r="H581" s="31">
        <v>7.27</v>
      </c>
      <c r="I581" s="29" t="s">
        <v>612</v>
      </c>
      <c r="J581" s="32" t="s">
        <v>642</v>
      </c>
      <c r="K581" s="29" t="s">
        <v>840</v>
      </c>
      <c r="L581" s="29" t="s">
        <v>971</v>
      </c>
      <c r="M581" s="36">
        <v>-83.564</v>
      </c>
      <c r="N581" s="36">
        <v>8.705</v>
      </c>
      <c r="O581" s="34" t="s">
        <v>601</v>
      </c>
      <c r="P581" s="32" t="s">
        <v>643</v>
      </c>
      <c r="Q581" s="29">
        <v>8.0</v>
      </c>
      <c r="R581" s="29">
        <v>7.0</v>
      </c>
      <c r="S581" s="36">
        <v>0.08</v>
      </c>
      <c r="T581" s="36">
        <v>0.18</v>
      </c>
      <c r="U581" s="36" t="str">
        <f t="shared" ref="U581:V581" si="87">#REF!*SQRT(Q581)</f>
        <v>#REF!</v>
      </c>
      <c r="V581" s="36" t="str">
        <f t="shared" si="87"/>
        <v>#REF!</v>
      </c>
      <c r="W581" s="37" t="s">
        <v>777</v>
      </c>
      <c r="X581" s="31">
        <v>3.65</v>
      </c>
      <c r="Y581" s="36">
        <v>-0.810349889282545</v>
      </c>
      <c r="Z581" s="36" t="e">
        <v>#REF!</v>
      </c>
      <c r="AA581" s="29" t="s">
        <v>820</v>
      </c>
      <c r="AB581" s="31">
        <v>14.72</v>
      </c>
      <c r="AC581" s="35">
        <v>510.3</v>
      </c>
    </row>
    <row r="582" ht="14.25" customHeight="1">
      <c r="A582" s="29" t="s">
        <v>158</v>
      </c>
      <c r="B582" s="29">
        <v>140.0</v>
      </c>
      <c r="C582" s="29" t="s">
        <v>608</v>
      </c>
      <c r="D582" s="29" t="s">
        <v>957</v>
      </c>
      <c r="E582" s="29">
        <v>16.0</v>
      </c>
      <c r="F582" s="30" t="s">
        <v>958</v>
      </c>
      <c r="G582" s="29" t="s">
        <v>611</v>
      </c>
      <c r="H582" s="31">
        <v>5.28</v>
      </c>
      <c r="I582" s="29" t="s">
        <v>597</v>
      </c>
      <c r="J582" s="32" t="s">
        <v>642</v>
      </c>
      <c r="K582" s="29" t="s">
        <v>840</v>
      </c>
      <c r="L582" s="29" t="s">
        <v>971</v>
      </c>
      <c r="M582" s="36">
        <v>-83.564</v>
      </c>
      <c r="N582" s="36">
        <v>8.705</v>
      </c>
      <c r="O582" s="34" t="s">
        <v>601</v>
      </c>
      <c r="P582" s="32" t="s">
        <v>643</v>
      </c>
      <c r="Q582" s="29">
        <v>8.0</v>
      </c>
      <c r="R582" s="29">
        <v>7.0</v>
      </c>
      <c r="S582" s="36">
        <v>0.06</v>
      </c>
      <c r="T582" s="36">
        <v>0.42</v>
      </c>
      <c r="U582" s="36" t="str">
        <f t="shared" ref="U582:V582" si="88">#REF!*SQRT(Q582)</f>
        <v>#REF!</v>
      </c>
      <c r="V582" s="36" t="str">
        <f t="shared" si="88"/>
        <v>#REF!</v>
      </c>
      <c r="W582" s="37" t="s">
        <v>777</v>
      </c>
      <c r="X582" s="31">
        <v>3.65</v>
      </c>
      <c r="Y582" s="36">
        <v>-1.944105792334303</v>
      </c>
      <c r="Z582" s="36" t="e">
        <v>#REF!</v>
      </c>
      <c r="AA582" s="29" t="s">
        <v>820</v>
      </c>
      <c r="AB582" s="31">
        <v>14.72</v>
      </c>
      <c r="AC582" s="35">
        <v>510.3</v>
      </c>
    </row>
    <row r="583" ht="14.25" customHeight="1">
      <c r="A583" s="29" t="s">
        <v>158</v>
      </c>
      <c r="B583" s="29">
        <v>140.0</v>
      </c>
      <c r="C583" s="29" t="s">
        <v>608</v>
      </c>
      <c r="D583" s="29" t="s">
        <v>959</v>
      </c>
      <c r="E583" s="29">
        <v>31.0</v>
      </c>
      <c r="F583" s="30" t="s">
        <v>960</v>
      </c>
      <c r="G583" s="29" t="s">
        <v>611</v>
      </c>
      <c r="H583" s="31">
        <v>2.73</v>
      </c>
      <c r="I583" s="29" t="s">
        <v>616</v>
      </c>
      <c r="J583" s="32" t="s">
        <v>642</v>
      </c>
      <c r="K583" s="29" t="s">
        <v>840</v>
      </c>
      <c r="L583" s="29" t="s">
        <v>971</v>
      </c>
      <c r="M583" s="36">
        <v>-83.564</v>
      </c>
      <c r="N583" s="36">
        <v>8.705</v>
      </c>
      <c r="O583" s="34" t="s">
        <v>601</v>
      </c>
      <c r="P583" s="32" t="s">
        <v>643</v>
      </c>
      <c r="Q583" s="29">
        <v>8.0</v>
      </c>
      <c r="R583" s="29">
        <v>7.0</v>
      </c>
      <c r="S583" s="36">
        <v>0.08</v>
      </c>
      <c r="T583" s="36">
        <v>0.18</v>
      </c>
      <c r="U583" s="36" t="str">
        <f t="shared" ref="U583:V583" si="89">#REF!*SQRT(Q583)</f>
        <v>#REF!</v>
      </c>
      <c r="V583" s="36" t="str">
        <f t="shared" si="89"/>
        <v>#REF!</v>
      </c>
      <c r="W583" s="37" t="s">
        <v>777</v>
      </c>
      <c r="X583" s="31">
        <v>3.65</v>
      </c>
      <c r="Y583" s="36">
        <v>-0.810349889282545</v>
      </c>
      <c r="Z583" s="36" t="e">
        <v>#REF!</v>
      </c>
      <c r="AA583" s="29" t="s">
        <v>820</v>
      </c>
      <c r="AB583" s="31">
        <v>14.72</v>
      </c>
      <c r="AC583" s="35">
        <v>510.3</v>
      </c>
    </row>
    <row r="584" ht="14.25" customHeight="1">
      <c r="A584" s="29" t="s">
        <v>158</v>
      </c>
      <c r="B584" s="29">
        <v>140.0</v>
      </c>
      <c r="C584" s="29" t="s">
        <v>608</v>
      </c>
      <c r="D584" s="29" t="s">
        <v>650</v>
      </c>
      <c r="E584" s="29">
        <v>70.0</v>
      </c>
      <c r="F584" s="30" t="s">
        <v>651</v>
      </c>
      <c r="G584" s="29" t="s">
        <v>615</v>
      </c>
      <c r="H584" s="31">
        <v>8.17</v>
      </c>
      <c r="I584" s="29" t="s">
        <v>616</v>
      </c>
      <c r="J584" s="32" t="s">
        <v>642</v>
      </c>
      <c r="K584" s="29" t="s">
        <v>840</v>
      </c>
      <c r="L584" s="29" t="s">
        <v>971</v>
      </c>
      <c r="M584" s="36">
        <v>-83.564</v>
      </c>
      <c r="N584" s="36">
        <v>8.705</v>
      </c>
      <c r="O584" s="34" t="s">
        <v>601</v>
      </c>
      <c r="P584" s="32" t="s">
        <v>643</v>
      </c>
      <c r="Q584" s="29">
        <v>8.0</v>
      </c>
      <c r="R584" s="29">
        <v>7.0</v>
      </c>
      <c r="S584" s="36">
        <v>0.03</v>
      </c>
      <c r="T584" s="36">
        <v>0.15</v>
      </c>
      <c r="U584" s="36" t="str">
        <f t="shared" ref="U584:V584" si="90">#REF!*SQRT(Q584)</f>
        <v>#REF!</v>
      </c>
      <c r="V584" s="36" t="str">
        <f t="shared" si="90"/>
        <v>#REF!</v>
      </c>
      <c r="W584" s="37" t="s">
        <v>972</v>
      </c>
      <c r="X584" s="31">
        <v>3.65</v>
      </c>
      <c r="Y584" s="36">
        <v>-1.6081487540758508</v>
      </c>
      <c r="Z584" s="36" t="e">
        <v>#REF!</v>
      </c>
      <c r="AA584" s="29" t="s">
        <v>820</v>
      </c>
      <c r="AB584" s="31">
        <v>14.72</v>
      </c>
      <c r="AC584" s="35">
        <v>510.3</v>
      </c>
    </row>
    <row r="585" ht="14.25" customHeight="1">
      <c r="A585" s="29" t="s">
        <v>158</v>
      </c>
      <c r="B585" s="29">
        <v>140.0</v>
      </c>
      <c r="C585" s="29" t="s">
        <v>608</v>
      </c>
      <c r="D585" s="29" t="s">
        <v>961</v>
      </c>
      <c r="E585" s="29">
        <v>73.0</v>
      </c>
      <c r="F585" s="30" t="s">
        <v>962</v>
      </c>
      <c r="G585" s="29" t="s">
        <v>615</v>
      </c>
      <c r="H585" s="31">
        <v>2.67</v>
      </c>
      <c r="I585" s="29" t="s">
        <v>616</v>
      </c>
      <c r="J585" s="32" t="s">
        <v>642</v>
      </c>
      <c r="K585" s="29" t="s">
        <v>840</v>
      </c>
      <c r="L585" s="29" t="s">
        <v>971</v>
      </c>
      <c r="M585" s="36">
        <v>-83.564</v>
      </c>
      <c r="N585" s="36">
        <v>8.705</v>
      </c>
      <c r="O585" s="34" t="s">
        <v>601</v>
      </c>
      <c r="P585" s="32" t="s">
        <v>643</v>
      </c>
      <c r="Q585" s="29">
        <v>8.0</v>
      </c>
      <c r="R585" s="29">
        <v>7.0</v>
      </c>
      <c r="S585" s="36">
        <v>0.05</v>
      </c>
      <c r="T585" s="36">
        <v>0.55</v>
      </c>
      <c r="U585" s="36" t="str">
        <f t="shared" ref="U585:V585" si="91">#REF!*SQRT(Q585)</f>
        <v>#REF!</v>
      </c>
      <c r="V585" s="36" t="str">
        <f t="shared" si="91"/>
        <v>#REF!</v>
      </c>
      <c r="W585" s="37" t="s">
        <v>972</v>
      </c>
      <c r="X585" s="31">
        <v>3.65</v>
      </c>
      <c r="Y585" s="36">
        <v>-2.3950613149568043</v>
      </c>
      <c r="Z585" s="36" t="e">
        <v>#REF!</v>
      </c>
      <c r="AA585" s="29" t="s">
        <v>820</v>
      </c>
      <c r="AB585" s="31">
        <v>14.72</v>
      </c>
      <c r="AC585" s="35">
        <v>510.3</v>
      </c>
    </row>
    <row r="586" ht="14.25" customHeight="1">
      <c r="A586" s="29" t="s">
        <v>158</v>
      </c>
      <c r="B586" s="29">
        <v>140.0</v>
      </c>
      <c r="C586" s="29" t="s">
        <v>608</v>
      </c>
      <c r="D586" s="29" t="s">
        <v>617</v>
      </c>
      <c r="E586" s="29">
        <v>75.0</v>
      </c>
      <c r="F586" s="30" t="s">
        <v>618</v>
      </c>
      <c r="G586" s="29" t="s">
        <v>619</v>
      </c>
      <c r="H586" s="31">
        <v>4.2</v>
      </c>
      <c r="I586" s="29" t="s">
        <v>620</v>
      </c>
      <c r="J586" s="32" t="s">
        <v>642</v>
      </c>
      <c r="K586" s="29" t="s">
        <v>840</v>
      </c>
      <c r="L586" s="29" t="s">
        <v>971</v>
      </c>
      <c r="M586" s="36">
        <v>-83.564</v>
      </c>
      <c r="N586" s="36">
        <v>8.705</v>
      </c>
      <c r="O586" s="34" t="s">
        <v>601</v>
      </c>
      <c r="P586" s="32" t="s">
        <v>643</v>
      </c>
      <c r="Q586" s="29">
        <v>8.0</v>
      </c>
      <c r="R586" s="29">
        <v>7.0</v>
      </c>
      <c r="S586" s="36">
        <v>0.03</v>
      </c>
      <c r="T586" s="36">
        <v>0.09</v>
      </c>
      <c r="U586" s="36" t="str">
        <f t="shared" ref="U586:V586" si="92">#REF!*SQRT(Q586)</f>
        <v>#REF!</v>
      </c>
      <c r="V586" s="36" t="str">
        <f t="shared" si="92"/>
        <v>#REF!</v>
      </c>
      <c r="W586" s="37" t="s">
        <v>972</v>
      </c>
      <c r="X586" s="31">
        <v>3.65</v>
      </c>
      <c r="Y586" s="36">
        <v>-1.0978385942387994</v>
      </c>
      <c r="Z586" s="36" t="e">
        <v>#REF!</v>
      </c>
      <c r="AA586" s="29" t="s">
        <v>820</v>
      </c>
      <c r="AB586" s="31">
        <v>14.72</v>
      </c>
      <c r="AC586" s="35">
        <v>510.3</v>
      </c>
    </row>
    <row r="587" ht="14.25" customHeight="1">
      <c r="A587" s="29" t="s">
        <v>158</v>
      </c>
      <c r="B587" s="29">
        <v>140.0</v>
      </c>
      <c r="C587" s="29" t="s">
        <v>608</v>
      </c>
      <c r="D587" s="29" t="s">
        <v>973</v>
      </c>
      <c r="E587" s="29">
        <v>243.0</v>
      </c>
      <c r="F587" s="30" t="s">
        <v>974</v>
      </c>
      <c r="G587" s="29" t="s">
        <v>656</v>
      </c>
      <c r="H587" s="31">
        <v>1.09</v>
      </c>
      <c r="I587" s="29" t="s">
        <v>657</v>
      </c>
      <c r="J587" s="32" t="s">
        <v>642</v>
      </c>
      <c r="K587" s="29" t="s">
        <v>840</v>
      </c>
      <c r="L587" s="29" t="s">
        <v>971</v>
      </c>
      <c r="M587" s="36">
        <v>-83.564</v>
      </c>
      <c r="N587" s="36">
        <v>8.705</v>
      </c>
      <c r="O587" s="34" t="s">
        <v>601</v>
      </c>
      <c r="P587" s="32" t="s">
        <v>643</v>
      </c>
      <c r="Q587" s="29">
        <v>8.0</v>
      </c>
      <c r="R587" s="29">
        <v>7.0</v>
      </c>
      <c r="S587" s="36">
        <v>0.02</v>
      </c>
      <c r="T587" s="36">
        <v>0.03</v>
      </c>
      <c r="U587" s="36" t="str">
        <f t="shared" ref="U587:V587" si="93">#REF!*SQRT(Q587)</f>
        <v>#REF!</v>
      </c>
      <c r="V587" s="36" t="str">
        <f t="shared" si="93"/>
        <v>#REF!</v>
      </c>
      <c r="W587" s="37" t="s">
        <v>972</v>
      </c>
      <c r="X587" s="31">
        <v>3.65</v>
      </c>
      <c r="Y587" s="36">
        <v>-0.4050781860681272</v>
      </c>
      <c r="Z587" s="36" t="e">
        <v>#REF!</v>
      </c>
      <c r="AA587" s="29" t="s">
        <v>820</v>
      </c>
      <c r="AB587" s="31">
        <v>14.72</v>
      </c>
      <c r="AC587" s="35">
        <v>510.3</v>
      </c>
    </row>
    <row r="588" ht="14.25" customHeight="1">
      <c r="A588" s="29" t="s">
        <v>158</v>
      </c>
      <c r="B588" s="29">
        <v>140.0</v>
      </c>
      <c r="C588" s="29" t="s">
        <v>608</v>
      </c>
      <c r="D588" s="29" t="s">
        <v>963</v>
      </c>
      <c r="E588" s="29">
        <v>92.0</v>
      </c>
      <c r="F588" s="30" t="s">
        <v>964</v>
      </c>
      <c r="G588" s="29" t="s">
        <v>629</v>
      </c>
      <c r="H588" s="31">
        <v>11.9</v>
      </c>
      <c r="I588" s="29" t="s">
        <v>657</v>
      </c>
      <c r="J588" s="32" t="s">
        <v>642</v>
      </c>
      <c r="K588" s="29" t="s">
        <v>840</v>
      </c>
      <c r="L588" s="29" t="s">
        <v>971</v>
      </c>
      <c r="M588" s="36">
        <v>-83.564</v>
      </c>
      <c r="N588" s="36">
        <v>8.705</v>
      </c>
      <c r="O588" s="34" t="s">
        <v>601</v>
      </c>
      <c r="P588" s="32" t="s">
        <v>643</v>
      </c>
      <c r="Q588" s="29">
        <v>8.0</v>
      </c>
      <c r="R588" s="29">
        <v>7.0</v>
      </c>
      <c r="S588" s="36">
        <v>0.08</v>
      </c>
      <c r="T588" s="36">
        <v>0.11</v>
      </c>
      <c r="U588" s="36" t="str">
        <f t="shared" ref="U588:V588" si="94">#REF!*SQRT(Q588)</f>
        <v>#REF!</v>
      </c>
      <c r="V588" s="36" t="str">
        <f t="shared" si="94"/>
        <v>#REF!</v>
      </c>
      <c r="W588" s="37" t="s">
        <v>972</v>
      </c>
      <c r="X588" s="31">
        <v>3.65</v>
      </c>
      <c r="Y588" s="36">
        <v>-0.31809904686440915</v>
      </c>
      <c r="Z588" s="36" t="e">
        <v>#REF!</v>
      </c>
      <c r="AA588" s="29" t="s">
        <v>820</v>
      </c>
      <c r="AB588" s="31">
        <v>14.72</v>
      </c>
      <c r="AC588" s="35">
        <v>510.3</v>
      </c>
    </row>
    <row r="589" ht="14.25" customHeight="1">
      <c r="A589" s="29" t="s">
        <v>158</v>
      </c>
      <c r="B589" s="29">
        <v>140.0</v>
      </c>
      <c r="C589" s="29" t="s">
        <v>608</v>
      </c>
      <c r="D589" s="29" t="s">
        <v>975</v>
      </c>
      <c r="E589" s="29">
        <v>206.0</v>
      </c>
      <c r="F589" s="30" t="s">
        <v>976</v>
      </c>
      <c r="G589" s="29" t="s">
        <v>629</v>
      </c>
      <c r="H589" s="31">
        <v>3.25</v>
      </c>
      <c r="I589" s="29" t="s">
        <v>657</v>
      </c>
      <c r="J589" s="32" t="s">
        <v>642</v>
      </c>
      <c r="K589" s="29" t="s">
        <v>840</v>
      </c>
      <c r="L589" s="29" t="s">
        <v>971</v>
      </c>
      <c r="M589" s="36">
        <v>-83.564</v>
      </c>
      <c r="N589" s="36">
        <v>8.705</v>
      </c>
      <c r="O589" s="34" t="s">
        <v>601</v>
      </c>
      <c r="P589" s="32" t="s">
        <v>643</v>
      </c>
      <c r="Q589" s="29">
        <v>8.0</v>
      </c>
      <c r="R589" s="29">
        <v>7.0</v>
      </c>
      <c r="S589" s="36">
        <v>0.02</v>
      </c>
      <c r="T589" s="36">
        <v>0.12</v>
      </c>
      <c r="U589" s="36" t="str">
        <f t="shared" ref="U589:V589" si="95">#REF!*SQRT(Q589)</f>
        <v>#REF!</v>
      </c>
      <c r="V589" s="36" t="str">
        <f t="shared" si="95"/>
        <v>#REF!</v>
      </c>
      <c r="W589" s="37" t="s">
        <v>972</v>
      </c>
      <c r="X589" s="31">
        <v>3.65</v>
      </c>
      <c r="Y589" s="36">
        <v>-1.790212678509756</v>
      </c>
      <c r="Z589" s="36" t="e">
        <v>#REF!</v>
      </c>
      <c r="AA589" s="29" t="s">
        <v>820</v>
      </c>
      <c r="AB589" s="31">
        <v>14.72</v>
      </c>
      <c r="AC589" s="35">
        <v>510.3</v>
      </c>
    </row>
    <row r="590" ht="14.25" customHeight="1">
      <c r="A590" s="29" t="s">
        <v>158</v>
      </c>
      <c r="B590" s="29">
        <v>140.0</v>
      </c>
      <c r="C590" s="29" t="s">
        <v>608</v>
      </c>
      <c r="D590" s="42" t="s">
        <v>977</v>
      </c>
      <c r="E590" s="29">
        <v>307.0</v>
      </c>
      <c r="F590" s="39" t="s">
        <v>978</v>
      </c>
      <c r="G590" s="29" t="s">
        <v>629</v>
      </c>
      <c r="H590" s="31">
        <v>6.55496</v>
      </c>
      <c r="I590" s="29" t="s">
        <v>657</v>
      </c>
      <c r="J590" s="32" t="s">
        <v>642</v>
      </c>
      <c r="K590" s="29" t="s">
        <v>840</v>
      </c>
      <c r="L590" s="29" t="s">
        <v>971</v>
      </c>
      <c r="M590" s="36">
        <v>-83.564</v>
      </c>
      <c r="N590" s="36">
        <v>8.705</v>
      </c>
      <c r="O590" s="34" t="s">
        <v>601</v>
      </c>
      <c r="P590" s="32" t="s">
        <v>643</v>
      </c>
      <c r="Q590" s="29">
        <v>8.0</v>
      </c>
      <c r="R590" s="29">
        <v>7.0</v>
      </c>
      <c r="S590" s="36">
        <v>0.05</v>
      </c>
      <c r="T590" s="36">
        <v>0.12</v>
      </c>
      <c r="U590" s="36" t="str">
        <f t="shared" ref="U590:V590" si="96">#REF!*SQRT(Q590)</f>
        <v>#REF!</v>
      </c>
      <c r="V590" s="36" t="str">
        <f t="shared" si="96"/>
        <v>#REF!</v>
      </c>
      <c r="W590" s="37" t="s">
        <v>972</v>
      </c>
      <c r="X590" s="31">
        <v>3.65</v>
      </c>
      <c r="Y590" s="36">
        <v>-0.8748497339296162</v>
      </c>
      <c r="Z590" s="36" t="e">
        <v>#REF!</v>
      </c>
      <c r="AA590" s="29" t="s">
        <v>820</v>
      </c>
      <c r="AB590" s="31">
        <v>14.72</v>
      </c>
      <c r="AC590" s="35">
        <v>510.3</v>
      </c>
    </row>
    <row r="591" ht="14.25" customHeight="1">
      <c r="A591" s="29" t="s">
        <v>158</v>
      </c>
      <c r="B591" s="29">
        <v>140.0</v>
      </c>
      <c r="C591" s="29" t="s">
        <v>608</v>
      </c>
      <c r="D591" s="29" t="s">
        <v>677</v>
      </c>
      <c r="E591" s="29">
        <v>100.0</v>
      </c>
      <c r="F591" s="30" t="s">
        <v>678</v>
      </c>
      <c r="G591" s="29" t="s">
        <v>626</v>
      </c>
      <c r="H591" s="31">
        <v>22.8</v>
      </c>
      <c r="I591" s="29" t="s">
        <v>612</v>
      </c>
      <c r="J591" s="32" t="s">
        <v>642</v>
      </c>
      <c r="K591" s="29" t="s">
        <v>840</v>
      </c>
      <c r="L591" s="29" t="s">
        <v>971</v>
      </c>
      <c r="M591" s="36">
        <v>-83.564</v>
      </c>
      <c r="N591" s="36">
        <v>8.705</v>
      </c>
      <c r="O591" s="34" t="s">
        <v>601</v>
      </c>
      <c r="P591" s="32" t="s">
        <v>643</v>
      </c>
      <c r="Q591" s="29">
        <v>8.0</v>
      </c>
      <c r="R591" s="29">
        <v>7.0</v>
      </c>
      <c r="S591" s="36">
        <v>0.03</v>
      </c>
      <c r="T591" s="36">
        <v>0.19</v>
      </c>
      <c r="U591" s="36" t="str">
        <f t="shared" ref="U591:V591" si="97">#REF!*SQRT(Q591)</f>
        <v>#REF!</v>
      </c>
      <c r="V591" s="36" t="str">
        <f t="shared" si="97"/>
        <v>#REF!</v>
      </c>
      <c r="W591" s="37" t="s">
        <v>972</v>
      </c>
      <c r="X591" s="31">
        <v>3.65</v>
      </c>
      <c r="Y591" s="36">
        <v>-1.8441940370744454</v>
      </c>
      <c r="Z591" s="36" t="e">
        <v>#REF!</v>
      </c>
      <c r="AA591" s="29" t="s">
        <v>820</v>
      </c>
      <c r="AB591" s="31">
        <v>14.72</v>
      </c>
      <c r="AC591" s="35">
        <v>510.3</v>
      </c>
    </row>
    <row r="592" ht="14.25" customHeight="1">
      <c r="A592" s="29" t="s">
        <v>158</v>
      </c>
      <c r="B592" s="29">
        <v>140.0</v>
      </c>
      <c r="C592" s="29" t="s">
        <v>608</v>
      </c>
      <c r="D592" s="29" t="s">
        <v>853</v>
      </c>
      <c r="E592" s="29">
        <v>110.0</v>
      </c>
      <c r="F592" s="30" t="s">
        <v>854</v>
      </c>
      <c r="G592" s="29" t="s">
        <v>629</v>
      </c>
      <c r="H592" s="31">
        <v>4.03</v>
      </c>
      <c r="I592" s="29" t="s">
        <v>597</v>
      </c>
      <c r="J592" s="32" t="s">
        <v>642</v>
      </c>
      <c r="K592" s="29" t="s">
        <v>840</v>
      </c>
      <c r="L592" s="29" t="s">
        <v>971</v>
      </c>
      <c r="M592" s="36">
        <v>-83.564</v>
      </c>
      <c r="N592" s="36">
        <v>8.705</v>
      </c>
      <c r="O592" s="34" t="s">
        <v>601</v>
      </c>
      <c r="P592" s="32" t="s">
        <v>643</v>
      </c>
      <c r="Q592" s="29">
        <v>8.0</v>
      </c>
      <c r="R592" s="29">
        <v>7.0</v>
      </c>
      <c r="S592" s="36">
        <v>0.06</v>
      </c>
      <c r="T592" s="36">
        <v>0.14</v>
      </c>
      <c r="U592" s="36" t="str">
        <f t="shared" ref="U592:V592" si="98">#REF!*SQRT(Q592)</f>
        <v>#REF!</v>
      </c>
      <c r="V592" s="36" t="str">
        <f t="shared" si="98"/>
        <v>#REF!</v>
      </c>
      <c r="W592" s="37" t="s">
        <v>972</v>
      </c>
      <c r="X592" s="31">
        <v>3.65</v>
      </c>
      <c r="Y592" s="36">
        <v>-0.8466960463295782</v>
      </c>
      <c r="Z592" s="36" t="e">
        <v>#REF!</v>
      </c>
      <c r="AA592" s="29" t="s">
        <v>820</v>
      </c>
      <c r="AB592" s="31">
        <v>14.72</v>
      </c>
      <c r="AC592" s="35">
        <v>510.3</v>
      </c>
    </row>
    <row r="593" ht="14.25" customHeight="1">
      <c r="A593" s="29" t="s">
        <v>158</v>
      </c>
      <c r="B593" s="29">
        <v>140.0</v>
      </c>
      <c r="C593" s="29" t="s">
        <v>608</v>
      </c>
      <c r="D593" s="29" t="s">
        <v>683</v>
      </c>
      <c r="E593" s="29">
        <v>122.0</v>
      </c>
      <c r="F593" s="30" t="s">
        <v>684</v>
      </c>
      <c r="G593" s="29" t="s">
        <v>629</v>
      </c>
      <c r="H593" s="31">
        <v>100.0</v>
      </c>
      <c r="I593" s="29" t="s">
        <v>657</v>
      </c>
      <c r="J593" s="32" t="s">
        <v>642</v>
      </c>
      <c r="K593" s="29" t="s">
        <v>840</v>
      </c>
      <c r="L593" s="29" t="s">
        <v>971</v>
      </c>
      <c r="M593" s="36">
        <v>-83.564</v>
      </c>
      <c r="N593" s="36">
        <v>8.705</v>
      </c>
      <c r="O593" s="34" t="s">
        <v>601</v>
      </c>
      <c r="P593" s="32" t="s">
        <v>643</v>
      </c>
      <c r="Q593" s="29">
        <v>8.0</v>
      </c>
      <c r="R593" s="29">
        <v>7.0</v>
      </c>
      <c r="S593" s="36">
        <v>0.0</v>
      </c>
      <c r="T593" s="36">
        <v>0.15</v>
      </c>
      <c r="U593" s="36" t="str">
        <f t="shared" ref="U593:V593" si="99">#REF!*SQRT(Q593)</f>
        <v>#REF!</v>
      </c>
      <c r="V593" s="36" t="str">
        <f t="shared" si="99"/>
        <v>#REF!</v>
      </c>
      <c r="W593" s="37" t="s">
        <v>972</v>
      </c>
      <c r="X593" s="31">
        <v>3.65</v>
      </c>
      <c r="Y593" s="36">
        <v>-8.262558973010657</v>
      </c>
      <c r="Z593" s="36" t="e">
        <v>#REF!</v>
      </c>
      <c r="AA593" s="29" t="s">
        <v>820</v>
      </c>
      <c r="AB593" s="31">
        <v>14.72</v>
      </c>
      <c r="AC593" s="35">
        <v>510.3</v>
      </c>
    </row>
    <row r="594" ht="14.25" customHeight="1">
      <c r="A594" s="29" t="s">
        <v>158</v>
      </c>
      <c r="B594" s="29">
        <v>140.0</v>
      </c>
      <c r="C594" s="29" t="s">
        <v>608</v>
      </c>
      <c r="D594" s="29" t="s">
        <v>630</v>
      </c>
      <c r="E594" s="29">
        <v>129.0</v>
      </c>
      <c r="F594" s="30" t="s">
        <v>631</v>
      </c>
      <c r="G594" s="29" t="s">
        <v>626</v>
      </c>
      <c r="H594" s="31">
        <v>21.27</v>
      </c>
      <c r="I594" s="29" t="s">
        <v>612</v>
      </c>
      <c r="J594" s="32" t="s">
        <v>642</v>
      </c>
      <c r="K594" s="29" t="s">
        <v>840</v>
      </c>
      <c r="L594" s="29" t="s">
        <v>971</v>
      </c>
      <c r="M594" s="36">
        <v>-83.564</v>
      </c>
      <c r="N594" s="36">
        <v>8.705</v>
      </c>
      <c r="O594" s="34" t="s">
        <v>601</v>
      </c>
      <c r="P594" s="32" t="s">
        <v>643</v>
      </c>
      <c r="Q594" s="29">
        <v>8.0</v>
      </c>
      <c r="R594" s="29">
        <v>7.0</v>
      </c>
      <c r="S594" s="36">
        <v>0.0</v>
      </c>
      <c r="T594" s="36">
        <v>0.16</v>
      </c>
      <c r="U594" s="36" t="str">
        <f t="shared" ref="U594:V594" si="100">#REF!*SQRT(Q594)</f>
        <v>#REF!</v>
      </c>
      <c r="V594" s="36" t="str">
        <f t="shared" si="100"/>
        <v>#REF!</v>
      </c>
      <c r="W594" s="37" t="s">
        <v>972</v>
      </c>
      <c r="X594" s="31">
        <v>3.65</v>
      </c>
      <c r="Y594" s="36">
        <v>-8.262558973010657</v>
      </c>
      <c r="Z594" s="36" t="e">
        <v>#REF!</v>
      </c>
      <c r="AA594" s="29" t="s">
        <v>820</v>
      </c>
      <c r="AB594" s="31">
        <v>14.72</v>
      </c>
      <c r="AC594" s="35">
        <v>510.3</v>
      </c>
    </row>
    <row r="595" ht="14.25" customHeight="1">
      <c r="A595" s="29" t="s">
        <v>158</v>
      </c>
      <c r="B595" s="29">
        <v>140.0</v>
      </c>
      <c r="C595" s="29" t="s">
        <v>608</v>
      </c>
      <c r="D595" s="29" t="s">
        <v>979</v>
      </c>
      <c r="E595" s="29">
        <v>308.0</v>
      </c>
      <c r="F595" s="39" t="s">
        <v>980</v>
      </c>
      <c r="G595" s="29" t="s">
        <v>629</v>
      </c>
      <c r="H595" s="31">
        <f>AVERAGE(6.94992,5.52497)</f>
        <v>6.237445</v>
      </c>
      <c r="I595" s="29" t="s">
        <v>616</v>
      </c>
      <c r="J595" s="32" t="s">
        <v>642</v>
      </c>
      <c r="K595" s="29" t="s">
        <v>840</v>
      </c>
      <c r="L595" s="29" t="s">
        <v>971</v>
      </c>
      <c r="M595" s="36">
        <v>-83.564</v>
      </c>
      <c r="N595" s="36">
        <v>8.705</v>
      </c>
      <c r="O595" s="34" t="s">
        <v>601</v>
      </c>
      <c r="P595" s="32" t="s">
        <v>643</v>
      </c>
      <c r="Q595" s="29">
        <v>8.0</v>
      </c>
      <c r="R595" s="29">
        <v>7.0</v>
      </c>
      <c r="S595" s="36">
        <v>0.02</v>
      </c>
      <c r="T595" s="36">
        <v>0.18</v>
      </c>
      <c r="U595" s="36" t="str">
        <f t="shared" ref="U595:V595" si="101">#REF!*SQRT(Q595)</f>
        <v>#REF!</v>
      </c>
      <c r="V595" s="36" t="str">
        <f t="shared" si="101"/>
        <v>#REF!</v>
      </c>
      <c r="W595" s="37" t="s">
        <v>972</v>
      </c>
      <c r="X595" s="31">
        <v>3.65</v>
      </c>
      <c r="Y595" s="36">
        <v>-2.1949052875451285</v>
      </c>
      <c r="Z595" s="36" t="e">
        <v>#REF!</v>
      </c>
      <c r="AA595" s="29" t="s">
        <v>820</v>
      </c>
      <c r="AB595" s="31">
        <v>14.72</v>
      </c>
      <c r="AC595" s="35">
        <v>510.3</v>
      </c>
    </row>
    <row r="596" ht="14.25" customHeight="1">
      <c r="A596" s="29" t="s">
        <v>158</v>
      </c>
      <c r="B596" s="29">
        <v>140.0</v>
      </c>
      <c r="C596" s="29" t="s">
        <v>608</v>
      </c>
      <c r="D596" s="29" t="s">
        <v>723</v>
      </c>
      <c r="E596" s="29">
        <v>158.0</v>
      </c>
      <c r="F596" s="30" t="s">
        <v>724</v>
      </c>
      <c r="G596" s="29" t="s">
        <v>629</v>
      </c>
      <c r="H596" s="31">
        <v>51.6</v>
      </c>
      <c r="I596" s="29" t="s">
        <v>657</v>
      </c>
      <c r="J596" s="32" t="s">
        <v>642</v>
      </c>
      <c r="K596" s="29" t="s">
        <v>840</v>
      </c>
      <c r="L596" s="29" t="s">
        <v>971</v>
      </c>
      <c r="M596" s="36">
        <v>-83.564</v>
      </c>
      <c r="N596" s="36">
        <v>8.705</v>
      </c>
      <c r="O596" s="34" t="s">
        <v>601</v>
      </c>
      <c r="P596" s="32" t="s">
        <v>643</v>
      </c>
      <c r="Q596" s="29">
        <v>8.0</v>
      </c>
      <c r="R596" s="29">
        <v>7.0</v>
      </c>
      <c r="S596" s="36">
        <v>0.0</v>
      </c>
      <c r="T596" s="36">
        <v>0.03</v>
      </c>
      <c r="U596" s="36" t="str">
        <f t="shared" ref="U596:V596" si="102">#REF!*SQRT(Q596)</f>
        <v>#REF!</v>
      </c>
      <c r="V596" s="36" t="str">
        <f t="shared" si="102"/>
        <v>#REF!</v>
      </c>
      <c r="W596" s="37" t="s">
        <v>972</v>
      </c>
      <c r="X596" s="31">
        <v>3.65</v>
      </c>
      <c r="Y596" s="36">
        <v>-8.262558973010657</v>
      </c>
      <c r="Z596" s="36" t="e">
        <v>#REF!</v>
      </c>
      <c r="AA596" s="29" t="s">
        <v>820</v>
      </c>
      <c r="AB596" s="31">
        <v>14.72</v>
      </c>
      <c r="AC596" s="35">
        <v>510.3</v>
      </c>
    </row>
    <row r="597" ht="14.25" customHeight="1">
      <c r="A597" s="29" t="s">
        <v>158</v>
      </c>
      <c r="B597" s="29">
        <v>140.0</v>
      </c>
      <c r="C597" s="29" t="s">
        <v>608</v>
      </c>
      <c r="D597" s="29" t="s">
        <v>981</v>
      </c>
      <c r="E597" s="29">
        <v>309.0</v>
      </c>
      <c r="F597" s="39" t="s">
        <v>982</v>
      </c>
      <c r="G597" s="29" t="s">
        <v>611</v>
      </c>
      <c r="H597" s="31">
        <v>0.7148</v>
      </c>
      <c r="I597" s="29" t="s">
        <v>616</v>
      </c>
      <c r="J597" s="32" t="s">
        <v>642</v>
      </c>
      <c r="K597" s="29" t="s">
        <v>840</v>
      </c>
      <c r="L597" s="29" t="s">
        <v>971</v>
      </c>
      <c r="M597" s="36">
        <v>-83.564</v>
      </c>
      <c r="N597" s="36">
        <v>8.705</v>
      </c>
      <c r="O597" s="34" t="s">
        <v>601</v>
      </c>
      <c r="P597" s="32" t="s">
        <v>643</v>
      </c>
      <c r="Q597" s="29">
        <v>8.0</v>
      </c>
      <c r="R597" s="29">
        <v>7.0</v>
      </c>
      <c r="S597" s="36">
        <v>0.03</v>
      </c>
      <c r="T597" s="36">
        <v>0.17</v>
      </c>
      <c r="U597" s="36" t="str">
        <f t="shared" ref="U597:V597" si="103">#REF!*SQRT(Q597)</f>
        <v>#REF!</v>
      </c>
      <c r="V597" s="36" t="str">
        <f t="shared" si="103"/>
        <v>#REF!</v>
      </c>
      <c r="W597" s="37" t="s">
        <v>777</v>
      </c>
      <c r="X597" s="31">
        <v>3.65</v>
      </c>
      <c r="Y597" s="36">
        <v>-1.7331401347484316</v>
      </c>
      <c r="Z597" s="36" t="e">
        <v>#REF!</v>
      </c>
      <c r="AA597" s="29" t="s">
        <v>820</v>
      </c>
      <c r="AB597" s="31">
        <v>14.72</v>
      </c>
      <c r="AC597" s="35">
        <v>510.3</v>
      </c>
    </row>
    <row r="598" ht="14.25" customHeight="1">
      <c r="A598" s="29" t="s">
        <v>158</v>
      </c>
      <c r="B598" s="29">
        <v>140.0</v>
      </c>
      <c r="C598" s="29" t="s">
        <v>608</v>
      </c>
      <c r="D598" s="29" t="s">
        <v>968</v>
      </c>
      <c r="E598" s="29">
        <v>186.0</v>
      </c>
      <c r="F598" s="30" t="s">
        <v>969</v>
      </c>
      <c r="G598" s="29" t="s">
        <v>695</v>
      </c>
      <c r="H598" s="31">
        <v>4.21</v>
      </c>
      <c r="I598" s="29" t="s">
        <v>620</v>
      </c>
      <c r="J598" s="32" t="s">
        <v>642</v>
      </c>
      <c r="K598" s="29" t="s">
        <v>840</v>
      </c>
      <c r="L598" s="29" t="s">
        <v>971</v>
      </c>
      <c r="M598" s="36">
        <v>-83.564</v>
      </c>
      <c r="N598" s="36">
        <v>8.705</v>
      </c>
      <c r="O598" s="34" t="s">
        <v>601</v>
      </c>
      <c r="P598" s="32" t="s">
        <v>643</v>
      </c>
      <c r="Q598" s="29">
        <v>8.0</v>
      </c>
      <c r="R598" s="29">
        <v>7.0</v>
      </c>
      <c r="S598" s="36">
        <v>0.0</v>
      </c>
      <c r="T598" s="36">
        <v>0.18</v>
      </c>
      <c r="U598" s="36" t="str">
        <f t="shared" ref="U598:V598" si="104">#REF!*SQRT(Q598)</f>
        <v>#REF!</v>
      </c>
      <c r="V598" s="36" t="str">
        <f t="shared" si="104"/>
        <v>#REF!</v>
      </c>
      <c r="W598" s="37" t="s">
        <v>972</v>
      </c>
      <c r="X598" s="31">
        <v>3.65</v>
      </c>
      <c r="Y598" s="36">
        <v>-8.262558973010657</v>
      </c>
      <c r="Z598" s="36" t="e">
        <v>#REF!</v>
      </c>
      <c r="AA598" s="29" t="s">
        <v>820</v>
      </c>
      <c r="AB598" s="31">
        <v>14.72</v>
      </c>
      <c r="AC598" s="35">
        <v>510.3</v>
      </c>
    </row>
    <row r="599" ht="14.25" customHeight="1">
      <c r="A599" s="29" t="s">
        <v>158</v>
      </c>
      <c r="B599" s="29">
        <v>140.0</v>
      </c>
      <c r="C599" s="29" t="s">
        <v>608</v>
      </c>
      <c r="D599" s="29" t="s">
        <v>860</v>
      </c>
      <c r="E599" s="29">
        <v>187.0</v>
      </c>
      <c r="F599" s="30" t="s">
        <v>861</v>
      </c>
      <c r="G599" s="29" t="s">
        <v>638</v>
      </c>
      <c r="H599" s="31">
        <v>300.0</v>
      </c>
      <c r="I599" s="29" t="s">
        <v>612</v>
      </c>
      <c r="J599" s="32" t="s">
        <v>642</v>
      </c>
      <c r="K599" s="29" t="s">
        <v>840</v>
      </c>
      <c r="L599" s="29" t="s">
        <v>971</v>
      </c>
      <c r="M599" s="36">
        <v>-83.564</v>
      </c>
      <c r="N599" s="36">
        <v>8.705</v>
      </c>
      <c r="O599" s="34" t="s">
        <v>601</v>
      </c>
      <c r="P599" s="32" t="s">
        <v>643</v>
      </c>
      <c r="Q599" s="29">
        <v>8.0</v>
      </c>
      <c r="R599" s="29">
        <v>7.0</v>
      </c>
      <c r="S599" s="36">
        <v>0.0</v>
      </c>
      <c r="T599" s="36">
        <v>0.19</v>
      </c>
      <c r="U599" s="36" t="str">
        <f t="shared" ref="U599:V599" si="105">#REF!*SQRT(Q599)</f>
        <v>#REF!</v>
      </c>
      <c r="V599" s="36" t="str">
        <f t="shared" si="105"/>
        <v>#REF!</v>
      </c>
      <c r="W599" s="37" t="s">
        <v>972</v>
      </c>
      <c r="X599" s="31">
        <v>3.65</v>
      </c>
      <c r="Y599" s="36">
        <v>-8.262558973010657</v>
      </c>
      <c r="Z599" s="36" t="e">
        <v>#REF!</v>
      </c>
      <c r="AA599" s="29" t="s">
        <v>820</v>
      </c>
      <c r="AB599" s="31">
        <v>14.72</v>
      </c>
      <c r="AC599" s="35">
        <v>510.3</v>
      </c>
    </row>
    <row r="600" ht="14.25" customHeight="1">
      <c r="A600" s="29" t="s">
        <v>158</v>
      </c>
      <c r="B600" s="29">
        <v>140.0</v>
      </c>
      <c r="C600" s="29" t="s">
        <v>608</v>
      </c>
      <c r="D600" s="29" t="s">
        <v>639</v>
      </c>
      <c r="E600" s="29">
        <v>190.0</v>
      </c>
      <c r="F600" s="30" t="s">
        <v>640</v>
      </c>
      <c r="G600" s="29" t="s">
        <v>626</v>
      </c>
      <c r="H600" s="31">
        <v>32.23</v>
      </c>
      <c r="I600" s="29" t="s">
        <v>597</v>
      </c>
      <c r="J600" s="32" t="s">
        <v>642</v>
      </c>
      <c r="K600" s="29" t="s">
        <v>840</v>
      </c>
      <c r="L600" s="29" t="s">
        <v>971</v>
      </c>
      <c r="M600" s="36">
        <v>-83.564</v>
      </c>
      <c r="N600" s="36">
        <v>8.705</v>
      </c>
      <c r="O600" s="34" t="s">
        <v>601</v>
      </c>
      <c r="P600" s="32" t="s">
        <v>643</v>
      </c>
      <c r="Q600" s="29">
        <v>8.0</v>
      </c>
      <c r="R600" s="29">
        <v>7.0</v>
      </c>
      <c r="S600" s="36">
        <v>0.03</v>
      </c>
      <c r="T600" s="36">
        <v>0.19</v>
      </c>
      <c r="U600" s="36" t="str">
        <f t="shared" ref="U600:V600" si="106">#REF!*SQRT(Q600)</f>
        <v>#REF!</v>
      </c>
      <c r="V600" s="36" t="str">
        <f t="shared" si="106"/>
        <v>#REF!</v>
      </c>
      <c r="W600" s="37" t="s">
        <v>972</v>
      </c>
      <c r="X600" s="31">
        <v>3.65</v>
      </c>
      <c r="Y600" s="36">
        <v>-1.8441940370744454</v>
      </c>
      <c r="Z600" s="36" t="e">
        <v>#REF!</v>
      </c>
      <c r="AA600" s="29" t="s">
        <v>820</v>
      </c>
      <c r="AB600" s="31">
        <v>14.72</v>
      </c>
      <c r="AC600" s="35">
        <v>510.3</v>
      </c>
    </row>
    <row r="601" ht="14.25" customHeight="1">
      <c r="A601" s="29" t="s">
        <v>171</v>
      </c>
      <c r="B601" s="29">
        <v>65.0</v>
      </c>
      <c r="C601" s="29" t="s">
        <v>608</v>
      </c>
      <c r="D601" s="29" t="s">
        <v>983</v>
      </c>
      <c r="E601" s="29">
        <v>47.0</v>
      </c>
      <c r="F601" s="30" t="s">
        <v>984</v>
      </c>
      <c r="G601" s="29" t="s">
        <v>611</v>
      </c>
      <c r="H601" s="31">
        <v>3.918</v>
      </c>
      <c r="I601" s="29" t="s">
        <v>597</v>
      </c>
      <c r="J601" s="32" t="s">
        <v>642</v>
      </c>
      <c r="K601" s="29" t="s">
        <v>698</v>
      </c>
      <c r="L601" s="29" t="s">
        <v>985</v>
      </c>
      <c r="M601" s="33">
        <v>8.486</v>
      </c>
      <c r="N601" s="33">
        <v>3.258</v>
      </c>
      <c r="O601" s="34" t="s">
        <v>601</v>
      </c>
      <c r="P601" s="32" t="s">
        <v>602</v>
      </c>
      <c r="Q601" s="35">
        <v>21.0</v>
      </c>
      <c r="R601" s="35">
        <v>12.0</v>
      </c>
      <c r="S601" s="36">
        <v>0.7</v>
      </c>
      <c r="T601" s="36">
        <v>0.97</v>
      </c>
      <c r="U601" s="36">
        <v>0.8367</v>
      </c>
      <c r="V601" s="36">
        <v>0.9849</v>
      </c>
      <c r="W601" s="37" t="s">
        <v>986</v>
      </c>
      <c r="X601" s="31">
        <v>0.1</v>
      </c>
      <c r="Y601" s="36">
        <v>-0.325858288920383</v>
      </c>
      <c r="Z601" s="36">
        <v>0.15394684507203732</v>
      </c>
      <c r="AA601" s="29" t="s">
        <v>820</v>
      </c>
      <c r="AB601" s="31">
        <v>7.84439468384</v>
      </c>
      <c r="AC601" s="38">
        <v>314.0</v>
      </c>
    </row>
    <row r="602" ht="14.25" customHeight="1">
      <c r="A602" s="29" t="s">
        <v>171</v>
      </c>
      <c r="B602" s="29">
        <v>65.0</v>
      </c>
      <c r="C602" s="29" t="s">
        <v>608</v>
      </c>
      <c r="D602" s="29" t="s">
        <v>983</v>
      </c>
      <c r="E602" s="29">
        <v>47.0</v>
      </c>
      <c r="F602" s="30" t="s">
        <v>984</v>
      </c>
      <c r="G602" s="29" t="s">
        <v>611</v>
      </c>
      <c r="H602" s="31">
        <v>3.918</v>
      </c>
      <c r="I602" s="29" t="s">
        <v>597</v>
      </c>
      <c r="J602" s="32" t="s">
        <v>642</v>
      </c>
      <c r="K602" s="29" t="s">
        <v>698</v>
      </c>
      <c r="L602" s="29" t="s">
        <v>985</v>
      </c>
      <c r="M602" s="33">
        <v>8.486</v>
      </c>
      <c r="N602" s="33">
        <v>3.258</v>
      </c>
      <c r="O602" s="34" t="s">
        <v>601</v>
      </c>
      <c r="P602" s="32" t="s">
        <v>602</v>
      </c>
      <c r="Q602" s="35">
        <v>20.0</v>
      </c>
      <c r="R602" s="35">
        <v>12.0</v>
      </c>
      <c r="S602" s="36">
        <v>0.42</v>
      </c>
      <c r="T602" s="36">
        <v>0.97</v>
      </c>
      <c r="U602" s="36">
        <v>0.8367</v>
      </c>
      <c r="V602" s="36">
        <v>0.9849</v>
      </c>
      <c r="W602" s="37" t="s">
        <v>986</v>
      </c>
      <c r="X602" s="31">
        <v>2.0</v>
      </c>
      <c r="Y602" s="36">
        <v>-0.8364456852935177</v>
      </c>
      <c r="Z602" s="36">
        <v>0.28434479186504025</v>
      </c>
      <c r="AA602" s="29" t="s">
        <v>820</v>
      </c>
      <c r="AB602" s="31">
        <v>7.84439468384</v>
      </c>
      <c r="AC602" s="38">
        <v>314.0</v>
      </c>
    </row>
    <row r="603" ht="14.25" customHeight="1">
      <c r="A603" s="29" t="s">
        <v>171</v>
      </c>
      <c r="B603" s="29">
        <v>65.0</v>
      </c>
      <c r="C603" s="29" t="s">
        <v>608</v>
      </c>
      <c r="D603" s="29" t="s">
        <v>983</v>
      </c>
      <c r="E603" s="29">
        <v>47.0</v>
      </c>
      <c r="F603" s="30" t="s">
        <v>984</v>
      </c>
      <c r="G603" s="29" t="s">
        <v>611</v>
      </c>
      <c r="H603" s="31">
        <v>3.918</v>
      </c>
      <c r="I603" s="29" t="s">
        <v>597</v>
      </c>
      <c r="J603" s="32" t="s">
        <v>642</v>
      </c>
      <c r="K603" s="29" t="s">
        <v>698</v>
      </c>
      <c r="L603" s="29" t="s">
        <v>985</v>
      </c>
      <c r="M603" s="33">
        <v>8.486</v>
      </c>
      <c r="N603" s="33">
        <v>3.258</v>
      </c>
      <c r="O603" s="34" t="s">
        <v>601</v>
      </c>
      <c r="P603" s="32" t="s">
        <v>602</v>
      </c>
      <c r="Q603" s="35">
        <v>18.0</v>
      </c>
      <c r="R603" s="35">
        <v>12.0</v>
      </c>
      <c r="S603" s="36">
        <v>0.58</v>
      </c>
      <c r="T603" s="36">
        <v>0.97</v>
      </c>
      <c r="U603" s="36">
        <v>0.7616</v>
      </c>
      <c r="V603" s="36">
        <v>0.9849</v>
      </c>
      <c r="W603" s="37" t="s">
        <v>986</v>
      </c>
      <c r="X603" s="31">
        <v>4.0</v>
      </c>
      <c r="Y603" s="36">
        <v>-0.5138365817106052</v>
      </c>
      <c r="Z603" s="36">
        <v>0.1817042818058838</v>
      </c>
      <c r="AA603" s="29" t="s">
        <v>820</v>
      </c>
      <c r="AB603" s="31">
        <v>7.84439468384</v>
      </c>
      <c r="AC603" s="38">
        <v>314.0</v>
      </c>
    </row>
    <row r="604" ht="14.25" customHeight="1">
      <c r="A604" s="29" t="s">
        <v>171</v>
      </c>
      <c r="B604" s="29">
        <v>65.0</v>
      </c>
      <c r="C604" s="29" t="s">
        <v>608</v>
      </c>
      <c r="D604" s="29" t="s">
        <v>943</v>
      </c>
      <c r="E604" s="29">
        <v>49.0</v>
      </c>
      <c r="F604" s="30" t="s">
        <v>944</v>
      </c>
      <c r="G604" s="29" t="s">
        <v>611</v>
      </c>
      <c r="H604" s="31">
        <v>3.76</v>
      </c>
      <c r="I604" s="29" t="s">
        <v>597</v>
      </c>
      <c r="J604" s="32" t="s">
        <v>642</v>
      </c>
      <c r="K604" s="29" t="s">
        <v>698</v>
      </c>
      <c r="L604" s="29" t="s">
        <v>985</v>
      </c>
      <c r="M604" s="33">
        <v>8.486</v>
      </c>
      <c r="N604" s="33">
        <v>3.258</v>
      </c>
      <c r="O604" s="34" t="s">
        <v>601</v>
      </c>
      <c r="P604" s="32" t="s">
        <v>602</v>
      </c>
      <c r="Q604" s="35">
        <v>21.0</v>
      </c>
      <c r="R604" s="35">
        <v>12.0</v>
      </c>
      <c r="S604" s="36">
        <v>0.7</v>
      </c>
      <c r="T604" s="36">
        <v>0.24</v>
      </c>
      <c r="U604" s="36">
        <v>0.8367</v>
      </c>
      <c r="V604" s="36">
        <v>0.4899</v>
      </c>
      <c r="W604" s="37" t="s">
        <v>986</v>
      </c>
      <c r="X604" s="31">
        <v>0.1</v>
      </c>
      <c r="Y604" s="36">
        <v>1.070529864224579</v>
      </c>
      <c r="Z604" s="36">
        <v>0.4152588415785957</v>
      </c>
      <c r="AA604" s="29" t="s">
        <v>820</v>
      </c>
      <c r="AB604" s="31">
        <v>7.84439468384</v>
      </c>
      <c r="AC604" s="38">
        <v>314.0</v>
      </c>
    </row>
    <row r="605" ht="14.25" customHeight="1">
      <c r="A605" s="29" t="s">
        <v>171</v>
      </c>
      <c r="B605" s="29">
        <v>65.0</v>
      </c>
      <c r="C605" s="29" t="s">
        <v>608</v>
      </c>
      <c r="D605" s="29" t="s">
        <v>943</v>
      </c>
      <c r="E605" s="29">
        <v>49.0</v>
      </c>
      <c r="F605" s="30" t="s">
        <v>944</v>
      </c>
      <c r="G605" s="29" t="s">
        <v>611</v>
      </c>
      <c r="H605" s="31">
        <v>3.76</v>
      </c>
      <c r="I605" s="29" t="s">
        <v>597</v>
      </c>
      <c r="J605" s="32" t="s">
        <v>642</v>
      </c>
      <c r="K605" s="29" t="s">
        <v>698</v>
      </c>
      <c r="L605" s="29" t="s">
        <v>985</v>
      </c>
      <c r="M605" s="33">
        <v>8.486</v>
      </c>
      <c r="N605" s="33">
        <v>3.258</v>
      </c>
      <c r="O605" s="34" t="s">
        <v>601</v>
      </c>
      <c r="P605" s="32" t="s">
        <v>602</v>
      </c>
      <c r="Q605" s="35">
        <v>20.0</v>
      </c>
      <c r="R605" s="35">
        <v>12.0</v>
      </c>
      <c r="S605" s="36">
        <v>0.67</v>
      </c>
      <c r="T605" s="36">
        <v>0.24</v>
      </c>
      <c r="U605" s="36">
        <v>0.8367</v>
      </c>
      <c r="V605" s="36">
        <v>0.4899</v>
      </c>
      <c r="W605" s="37" t="s">
        <v>986</v>
      </c>
      <c r="X605" s="31">
        <v>2.0</v>
      </c>
      <c r="Y605" s="36">
        <v>1.0267312019439274</v>
      </c>
      <c r="Z605" s="36">
        <v>0.4252009477623543</v>
      </c>
      <c r="AA605" s="29" t="s">
        <v>820</v>
      </c>
      <c r="AB605" s="31">
        <v>7.84439468384</v>
      </c>
      <c r="AC605" s="38">
        <v>314.0</v>
      </c>
    </row>
    <row r="606" ht="14.25" customHeight="1">
      <c r="A606" s="29" t="s">
        <v>171</v>
      </c>
      <c r="B606" s="29">
        <v>65.0</v>
      </c>
      <c r="C606" s="29" t="s">
        <v>608</v>
      </c>
      <c r="D606" s="29" t="s">
        <v>943</v>
      </c>
      <c r="E606" s="29">
        <v>49.0</v>
      </c>
      <c r="F606" s="30" t="s">
        <v>944</v>
      </c>
      <c r="G606" s="29" t="s">
        <v>611</v>
      </c>
      <c r="H606" s="31">
        <v>3.76</v>
      </c>
      <c r="I606" s="29" t="s">
        <v>597</v>
      </c>
      <c r="J606" s="32" t="s">
        <v>642</v>
      </c>
      <c r="K606" s="29" t="s">
        <v>698</v>
      </c>
      <c r="L606" s="29" t="s">
        <v>985</v>
      </c>
      <c r="M606" s="33">
        <v>8.486</v>
      </c>
      <c r="N606" s="33">
        <v>3.258</v>
      </c>
      <c r="O606" s="34" t="s">
        <v>601</v>
      </c>
      <c r="P606" s="32" t="s">
        <v>602</v>
      </c>
      <c r="Q606" s="35">
        <v>18.0</v>
      </c>
      <c r="R606" s="35">
        <v>12.0</v>
      </c>
      <c r="S606" s="36">
        <v>0.71</v>
      </c>
      <c r="T606" s="36">
        <v>0.24</v>
      </c>
      <c r="U606" s="36">
        <v>0.8426</v>
      </c>
      <c r="V606" s="36">
        <v>0.4899</v>
      </c>
      <c r="W606" s="37" t="s">
        <v>986</v>
      </c>
      <c r="X606" s="31">
        <v>4.0</v>
      </c>
      <c r="Y606" s="36">
        <v>1.0847132534606703</v>
      </c>
      <c r="Z606" s="36">
        <v>0.4254696099191491</v>
      </c>
      <c r="AA606" s="29" t="s">
        <v>820</v>
      </c>
      <c r="AB606" s="31">
        <v>7.84439468384</v>
      </c>
      <c r="AC606" s="38">
        <v>314.0</v>
      </c>
    </row>
    <row r="607" ht="14.25" customHeight="1">
      <c r="A607" s="29" t="s">
        <v>171</v>
      </c>
      <c r="B607" s="29">
        <v>65.0</v>
      </c>
      <c r="C607" s="29" t="s">
        <v>608</v>
      </c>
      <c r="D607" s="29" t="s">
        <v>987</v>
      </c>
      <c r="E607" s="29">
        <v>58.0</v>
      </c>
      <c r="F607" s="30" t="s">
        <v>988</v>
      </c>
      <c r="G607" s="29" t="s">
        <v>611</v>
      </c>
      <c r="H607" s="31">
        <v>4.32</v>
      </c>
      <c r="I607" s="29" t="s">
        <v>612</v>
      </c>
      <c r="J607" s="32" t="s">
        <v>642</v>
      </c>
      <c r="K607" s="29" t="s">
        <v>698</v>
      </c>
      <c r="L607" s="29" t="s">
        <v>985</v>
      </c>
      <c r="M607" s="33">
        <v>8.486</v>
      </c>
      <c r="N607" s="33">
        <v>3.258</v>
      </c>
      <c r="O607" s="34" t="s">
        <v>601</v>
      </c>
      <c r="P607" s="32" t="s">
        <v>602</v>
      </c>
      <c r="Q607" s="35">
        <v>21.0</v>
      </c>
      <c r="R607" s="35">
        <v>12.0</v>
      </c>
      <c r="S607" s="36">
        <v>0.05</v>
      </c>
      <c r="T607" s="36">
        <v>0.32</v>
      </c>
      <c r="U607" s="36">
        <v>0.2236</v>
      </c>
      <c r="V607" s="36">
        <v>0.5657</v>
      </c>
      <c r="W607" s="37" t="s">
        <v>986</v>
      </c>
      <c r="X607" s="31">
        <v>0.1</v>
      </c>
      <c r="Y607" s="36">
        <v>-1.8546481652852764</v>
      </c>
      <c r="Z607" s="36">
        <v>1.2127531338820683</v>
      </c>
      <c r="AA607" s="29" t="s">
        <v>820</v>
      </c>
      <c r="AB607" s="31">
        <v>7.84439468384</v>
      </c>
      <c r="AC607" s="38">
        <v>314.0</v>
      </c>
    </row>
    <row r="608" ht="14.25" customHeight="1">
      <c r="A608" s="29" t="s">
        <v>171</v>
      </c>
      <c r="B608" s="29">
        <v>65.0</v>
      </c>
      <c r="C608" s="29" t="s">
        <v>608</v>
      </c>
      <c r="D608" s="29" t="s">
        <v>987</v>
      </c>
      <c r="E608" s="29">
        <v>58.0</v>
      </c>
      <c r="F608" s="30" t="s">
        <v>988</v>
      </c>
      <c r="G608" s="29" t="s">
        <v>611</v>
      </c>
      <c r="H608" s="31">
        <v>4.32</v>
      </c>
      <c r="I608" s="29" t="s">
        <v>612</v>
      </c>
      <c r="J608" s="32" t="s">
        <v>642</v>
      </c>
      <c r="K608" s="29" t="s">
        <v>698</v>
      </c>
      <c r="L608" s="29" t="s">
        <v>985</v>
      </c>
      <c r="M608" s="33">
        <v>8.486</v>
      </c>
      <c r="N608" s="33">
        <v>3.258</v>
      </c>
      <c r="O608" s="34" t="s">
        <v>601</v>
      </c>
      <c r="P608" s="32" t="s">
        <v>602</v>
      </c>
      <c r="Q608" s="35">
        <v>20.0</v>
      </c>
      <c r="R608" s="35">
        <v>12.0</v>
      </c>
      <c r="S608" s="36">
        <v>0.15</v>
      </c>
      <c r="T608" s="36">
        <v>0.32</v>
      </c>
      <c r="U608" s="36">
        <v>0.2236</v>
      </c>
      <c r="V608" s="36">
        <v>0.5657</v>
      </c>
      <c r="W608" s="37" t="s">
        <v>986</v>
      </c>
      <c r="X608" s="31">
        <v>2.0</v>
      </c>
      <c r="Y608" s="36">
        <v>-0.7571354575127827</v>
      </c>
      <c r="Z608" s="36">
        <v>0.3715344418185763</v>
      </c>
      <c r="AA608" s="29" t="s">
        <v>820</v>
      </c>
      <c r="AB608" s="31">
        <v>7.84439468384</v>
      </c>
      <c r="AC608" s="38">
        <v>314.0</v>
      </c>
    </row>
    <row r="609" ht="14.25" customHeight="1">
      <c r="A609" s="29" t="s">
        <v>171</v>
      </c>
      <c r="B609" s="29">
        <v>65.0</v>
      </c>
      <c r="C609" s="29" t="s">
        <v>608</v>
      </c>
      <c r="D609" s="29" t="s">
        <v>987</v>
      </c>
      <c r="E609" s="29">
        <v>58.0</v>
      </c>
      <c r="F609" s="30" t="s">
        <v>988</v>
      </c>
      <c r="G609" s="29" t="s">
        <v>611</v>
      </c>
      <c r="H609" s="31">
        <v>4.32</v>
      </c>
      <c r="I609" s="29" t="s">
        <v>612</v>
      </c>
      <c r="J609" s="32" t="s">
        <v>642</v>
      </c>
      <c r="K609" s="29" t="s">
        <v>698</v>
      </c>
      <c r="L609" s="29" t="s">
        <v>985</v>
      </c>
      <c r="M609" s="33">
        <v>8.486</v>
      </c>
      <c r="N609" s="33">
        <v>3.258</v>
      </c>
      <c r="O609" s="34" t="s">
        <v>601</v>
      </c>
      <c r="P609" s="32" t="s">
        <v>602</v>
      </c>
      <c r="Q609" s="35">
        <v>18.0</v>
      </c>
      <c r="R609" s="35">
        <v>12.0</v>
      </c>
      <c r="S609" s="36">
        <v>0.42</v>
      </c>
      <c r="T609" s="36">
        <v>0.32</v>
      </c>
      <c r="U609" s="36">
        <v>0.6481</v>
      </c>
      <c r="V609" s="36">
        <v>0.5657</v>
      </c>
      <c r="W609" s="37" t="s">
        <v>986</v>
      </c>
      <c r="X609" s="31">
        <v>4.0</v>
      </c>
      <c r="Y609" s="36">
        <v>0.2721302660223316</v>
      </c>
      <c r="Z609" s="36">
        <v>0.39271580369814296</v>
      </c>
      <c r="AA609" s="29" t="s">
        <v>820</v>
      </c>
      <c r="AB609" s="31">
        <v>7.84439468384</v>
      </c>
      <c r="AC609" s="38">
        <v>314.0</v>
      </c>
    </row>
    <row r="610" ht="14.25" customHeight="1">
      <c r="A610" s="29" t="s">
        <v>171</v>
      </c>
      <c r="B610" s="29">
        <v>65.0</v>
      </c>
      <c r="C610" s="29" t="s">
        <v>608</v>
      </c>
      <c r="D610" s="35" t="s">
        <v>989</v>
      </c>
      <c r="E610" s="29">
        <v>99.0</v>
      </c>
      <c r="F610" s="30" t="s">
        <v>990</v>
      </c>
      <c r="G610" s="29" t="s">
        <v>611</v>
      </c>
      <c r="H610" s="31">
        <v>15.0</v>
      </c>
      <c r="I610" s="29" t="s">
        <v>597</v>
      </c>
      <c r="J610" s="32" t="s">
        <v>642</v>
      </c>
      <c r="K610" s="29" t="s">
        <v>698</v>
      </c>
      <c r="L610" s="29" t="s">
        <v>985</v>
      </c>
      <c r="M610" s="33">
        <v>8.486</v>
      </c>
      <c r="N610" s="33">
        <v>3.258</v>
      </c>
      <c r="O610" s="34" t="s">
        <v>601</v>
      </c>
      <c r="P610" s="32" t="s">
        <v>602</v>
      </c>
      <c r="Q610" s="35">
        <v>21.0</v>
      </c>
      <c r="R610" s="35">
        <v>12.0</v>
      </c>
      <c r="S610" s="36">
        <v>0.05</v>
      </c>
      <c r="T610" s="36">
        <v>0.16</v>
      </c>
      <c r="U610" s="36">
        <v>0.2236</v>
      </c>
      <c r="V610" s="36">
        <v>0.4</v>
      </c>
      <c r="W610" s="37" t="s">
        <v>986</v>
      </c>
      <c r="X610" s="31">
        <v>0.1</v>
      </c>
      <c r="Y610" s="36">
        <v>-1.1623255570251951</v>
      </c>
      <c r="Z610" s="36">
        <v>1.4731563809523807</v>
      </c>
      <c r="AA610" s="29" t="s">
        <v>820</v>
      </c>
      <c r="AB610" s="31">
        <v>7.84439468384</v>
      </c>
      <c r="AC610" s="38">
        <v>314.0</v>
      </c>
    </row>
    <row r="611" ht="14.25" customHeight="1">
      <c r="A611" s="29" t="s">
        <v>171</v>
      </c>
      <c r="B611" s="29">
        <v>65.0</v>
      </c>
      <c r="C611" s="29" t="s">
        <v>608</v>
      </c>
      <c r="D611" s="35" t="s">
        <v>989</v>
      </c>
      <c r="E611" s="29">
        <v>99.0</v>
      </c>
      <c r="F611" s="30" t="s">
        <v>990</v>
      </c>
      <c r="G611" s="29" t="s">
        <v>611</v>
      </c>
      <c r="H611" s="31">
        <v>15.0</v>
      </c>
      <c r="I611" s="29" t="s">
        <v>597</v>
      </c>
      <c r="J611" s="32" t="s">
        <v>642</v>
      </c>
      <c r="K611" s="29" t="s">
        <v>698</v>
      </c>
      <c r="L611" s="29" t="s">
        <v>985</v>
      </c>
      <c r="M611" s="33">
        <v>8.486</v>
      </c>
      <c r="N611" s="33">
        <v>3.258</v>
      </c>
      <c r="O611" s="34" t="s">
        <v>601</v>
      </c>
      <c r="P611" s="32" t="s">
        <v>602</v>
      </c>
      <c r="Q611" s="35">
        <v>20.0</v>
      </c>
      <c r="R611" s="35">
        <v>12.0</v>
      </c>
      <c r="S611" s="36">
        <v>0.11</v>
      </c>
      <c r="T611" s="36">
        <v>0.16</v>
      </c>
      <c r="U611" s="36">
        <v>0.2236</v>
      </c>
      <c r="V611" s="36">
        <v>0.4</v>
      </c>
      <c r="W611" s="37" t="s">
        <v>986</v>
      </c>
      <c r="X611" s="31">
        <v>2.0</v>
      </c>
      <c r="Y611" s="36">
        <v>-0.37431825011236786</v>
      </c>
      <c r="Z611" s="36">
        <v>0.7274323415977961</v>
      </c>
      <c r="AA611" s="29" t="s">
        <v>820</v>
      </c>
      <c r="AB611" s="31">
        <v>7.84439468384</v>
      </c>
      <c r="AC611" s="38">
        <v>314.0</v>
      </c>
    </row>
    <row r="612" ht="14.25" customHeight="1">
      <c r="A612" s="29" t="s">
        <v>171</v>
      </c>
      <c r="B612" s="29">
        <v>65.0</v>
      </c>
      <c r="C612" s="29" t="s">
        <v>608</v>
      </c>
      <c r="D612" s="35" t="s">
        <v>989</v>
      </c>
      <c r="E612" s="29">
        <v>99.0</v>
      </c>
      <c r="F612" s="30" t="s">
        <v>990</v>
      </c>
      <c r="G612" s="29" t="s">
        <v>611</v>
      </c>
      <c r="H612" s="31">
        <v>15.0</v>
      </c>
      <c r="I612" s="29" t="s">
        <v>597</v>
      </c>
      <c r="J612" s="32" t="s">
        <v>642</v>
      </c>
      <c r="K612" s="29" t="s">
        <v>698</v>
      </c>
      <c r="L612" s="29" t="s">
        <v>985</v>
      </c>
      <c r="M612" s="33">
        <v>8.486</v>
      </c>
      <c r="N612" s="33">
        <v>3.258</v>
      </c>
      <c r="O612" s="34" t="s">
        <v>601</v>
      </c>
      <c r="P612" s="32" t="s">
        <v>602</v>
      </c>
      <c r="Q612" s="35">
        <v>18.0</v>
      </c>
      <c r="R612" s="35">
        <v>12.0</v>
      </c>
      <c r="S612" s="36">
        <v>0.15</v>
      </c>
      <c r="T612" s="36">
        <v>0.16</v>
      </c>
      <c r="U612" s="36">
        <v>0.3873</v>
      </c>
      <c r="V612" s="36">
        <v>0.4</v>
      </c>
      <c r="W612" s="37" t="s">
        <v>986</v>
      </c>
      <c r="X612" s="31">
        <v>4.0</v>
      </c>
      <c r="Y612" s="36">
        <v>-0.06426336119912182</v>
      </c>
      <c r="Z612" s="36">
        <v>0.8912068888888889</v>
      </c>
      <c r="AA612" s="29" t="s">
        <v>820</v>
      </c>
      <c r="AB612" s="31">
        <v>7.84439468384</v>
      </c>
      <c r="AC612" s="38">
        <v>314.0</v>
      </c>
    </row>
    <row r="613" ht="14.25" customHeight="1">
      <c r="A613" s="29" t="s">
        <v>171</v>
      </c>
      <c r="B613" s="29">
        <v>65.0</v>
      </c>
      <c r="C613" s="29" t="s">
        <v>608</v>
      </c>
      <c r="D613" s="29" t="s">
        <v>991</v>
      </c>
      <c r="E613" s="29">
        <v>152.0</v>
      </c>
      <c r="F613" s="30" t="s">
        <v>992</v>
      </c>
      <c r="G613" s="29" t="s">
        <v>611</v>
      </c>
      <c r="H613" s="31">
        <v>10.896</v>
      </c>
      <c r="I613" s="29" t="s">
        <v>612</v>
      </c>
      <c r="J613" s="32" t="s">
        <v>642</v>
      </c>
      <c r="K613" s="29" t="s">
        <v>698</v>
      </c>
      <c r="L613" s="29" t="s">
        <v>985</v>
      </c>
      <c r="M613" s="33">
        <v>8.486</v>
      </c>
      <c r="N613" s="33">
        <v>3.258</v>
      </c>
      <c r="O613" s="34" t="s">
        <v>601</v>
      </c>
      <c r="P613" s="32" t="s">
        <v>602</v>
      </c>
      <c r="Q613" s="35">
        <v>21.0</v>
      </c>
      <c r="R613" s="35">
        <v>12.0</v>
      </c>
      <c r="S613" s="36">
        <v>0.72</v>
      </c>
      <c r="T613" s="36">
        <v>0.15</v>
      </c>
      <c r="U613" s="36">
        <v>0.8485</v>
      </c>
      <c r="V613" s="36">
        <v>0.3873</v>
      </c>
      <c r="W613" s="37" t="s">
        <v>986</v>
      </c>
      <c r="X613" s="31">
        <v>0.1</v>
      </c>
      <c r="Y613" s="36">
        <v>1.5686696660393924</v>
      </c>
      <c r="Z613" s="36">
        <v>0.6216935132642563</v>
      </c>
      <c r="AA613" s="29" t="s">
        <v>820</v>
      </c>
      <c r="AB613" s="31">
        <v>7.84439468384</v>
      </c>
      <c r="AC613" s="38">
        <v>314.0</v>
      </c>
    </row>
    <row r="614" ht="14.25" customHeight="1">
      <c r="A614" s="29" t="s">
        <v>171</v>
      </c>
      <c r="B614" s="29">
        <v>65.0</v>
      </c>
      <c r="C614" s="29" t="s">
        <v>608</v>
      </c>
      <c r="D614" s="29" t="s">
        <v>991</v>
      </c>
      <c r="E614" s="29">
        <v>152.0</v>
      </c>
      <c r="F614" s="30" t="s">
        <v>992</v>
      </c>
      <c r="G614" s="29" t="s">
        <v>611</v>
      </c>
      <c r="H614" s="31">
        <v>10.896</v>
      </c>
      <c r="I614" s="29" t="s">
        <v>612</v>
      </c>
      <c r="J614" s="32" t="s">
        <v>642</v>
      </c>
      <c r="K614" s="29" t="s">
        <v>698</v>
      </c>
      <c r="L614" s="29" t="s">
        <v>985</v>
      </c>
      <c r="M614" s="33">
        <v>8.486</v>
      </c>
      <c r="N614" s="33">
        <v>3.258</v>
      </c>
      <c r="O614" s="34" t="s">
        <v>601</v>
      </c>
      <c r="P614" s="32" t="s">
        <v>602</v>
      </c>
      <c r="Q614" s="35">
        <v>20.0</v>
      </c>
      <c r="R614" s="35">
        <v>12.0</v>
      </c>
      <c r="S614" s="36">
        <v>0.42</v>
      </c>
      <c r="T614" s="36">
        <v>0.15</v>
      </c>
      <c r="U614" s="36">
        <v>0.8485</v>
      </c>
      <c r="V614" s="36">
        <v>0.3873</v>
      </c>
      <c r="W614" s="37" t="s">
        <v>986</v>
      </c>
      <c r="X614" s="31">
        <v>2.0</v>
      </c>
      <c r="Y614" s="36">
        <v>1.0297115550563396</v>
      </c>
      <c r="Z614" s="36">
        <v>0.7596284314058956</v>
      </c>
      <c r="AA614" s="29" t="s">
        <v>820</v>
      </c>
      <c r="AB614" s="31">
        <v>7.84439468384</v>
      </c>
      <c r="AC614" s="38">
        <v>314.0</v>
      </c>
    </row>
    <row r="615" ht="14.25" customHeight="1">
      <c r="A615" s="29" t="s">
        <v>171</v>
      </c>
      <c r="B615" s="29">
        <v>65.0</v>
      </c>
      <c r="C615" s="29" t="s">
        <v>608</v>
      </c>
      <c r="D615" s="29" t="s">
        <v>991</v>
      </c>
      <c r="E615" s="29">
        <v>152.0</v>
      </c>
      <c r="F615" s="30" t="s">
        <v>992</v>
      </c>
      <c r="G615" s="29" t="s">
        <v>611</v>
      </c>
      <c r="H615" s="31">
        <v>10.896</v>
      </c>
      <c r="I615" s="29" t="s">
        <v>612</v>
      </c>
      <c r="J615" s="32" t="s">
        <v>642</v>
      </c>
      <c r="K615" s="29" t="s">
        <v>698</v>
      </c>
      <c r="L615" s="29" t="s">
        <v>985</v>
      </c>
      <c r="M615" s="33">
        <v>8.486</v>
      </c>
      <c r="N615" s="33">
        <v>3.258</v>
      </c>
      <c r="O615" s="34" t="s">
        <v>601</v>
      </c>
      <c r="P615" s="32" t="s">
        <v>602</v>
      </c>
      <c r="Q615" s="35">
        <v>18.0</v>
      </c>
      <c r="R615" s="35">
        <v>12.0</v>
      </c>
      <c r="S615" s="36">
        <v>0.54</v>
      </c>
      <c r="T615" s="36">
        <v>0.15</v>
      </c>
      <c r="U615" s="36">
        <v>0.7348</v>
      </c>
      <c r="V615" s="36">
        <v>0.3873</v>
      </c>
      <c r="W615" s="37" t="s">
        <v>986</v>
      </c>
      <c r="X615" s="31">
        <v>4.0</v>
      </c>
      <c r="Y615" s="36">
        <v>1.2810055089875105</v>
      </c>
      <c r="Z615" s="36">
        <v>0.6584278535284254</v>
      </c>
      <c r="AA615" s="29" t="s">
        <v>820</v>
      </c>
      <c r="AB615" s="31">
        <v>7.84439468384</v>
      </c>
      <c r="AC615" s="38">
        <v>314.0</v>
      </c>
    </row>
    <row r="616" ht="14.25" customHeight="1">
      <c r="A616" s="29" t="s">
        <v>171</v>
      </c>
      <c r="B616" s="29">
        <v>66.0</v>
      </c>
      <c r="C616" s="29" t="s">
        <v>608</v>
      </c>
      <c r="D616" s="29" t="s">
        <v>983</v>
      </c>
      <c r="E616" s="29">
        <v>47.0</v>
      </c>
      <c r="F616" s="30" t="s">
        <v>984</v>
      </c>
      <c r="G616" s="29" t="s">
        <v>611</v>
      </c>
      <c r="H616" s="31">
        <v>3.918</v>
      </c>
      <c r="I616" s="29" t="s">
        <v>597</v>
      </c>
      <c r="J616" s="32" t="s">
        <v>642</v>
      </c>
      <c r="K616" s="29" t="s">
        <v>698</v>
      </c>
      <c r="L616" s="29" t="s">
        <v>985</v>
      </c>
      <c r="M616" s="33">
        <v>8.579</v>
      </c>
      <c r="N616" s="33">
        <v>3.249</v>
      </c>
      <c r="O616" s="34" t="s">
        <v>601</v>
      </c>
      <c r="P616" s="32" t="s">
        <v>602</v>
      </c>
      <c r="Q616" s="35">
        <v>12.0</v>
      </c>
      <c r="R616" s="35">
        <v>10.0</v>
      </c>
      <c r="S616" s="36">
        <v>1.04</v>
      </c>
      <c r="T616" s="36">
        <v>0.64</v>
      </c>
      <c r="U616" s="36">
        <v>1.0198</v>
      </c>
      <c r="V616" s="36">
        <v>0.8</v>
      </c>
      <c r="W616" s="37" t="s">
        <v>986</v>
      </c>
      <c r="X616" s="31">
        <v>0.1</v>
      </c>
      <c r="Y616" s="36">
        <v>0.48566657114002754</v>
      </c>
      <c r="Z616" s="36">
        <v>0.2363775918392505</v>
      </c>
      <c r="AA616" s="29" t="s">
        <v>820</v>
      </c>
      <c r="AB616" s="31">
        <v>7.84439468384</v>
      </c>
      <c r="AC616" s="38">
        <v>119.0</v>
      </c>
    </row>
    <row r="617" ht="14.25" customHeight="1">
      <c r="A617" s="29" t="s">
        <v>171</v>
      </c>
      <c r="B617" s="29">
        <v>66.0</v>
      </c>
      <c r="C617" s="29" t="s">
        <v>608</v>
      </c>
      <c r="D617" s="29" t="s">
        <v>983</v>
      </c>
      <c r="E617" s="29">
        <v>47.0</v>
      </c>
      <c r="F617" s="30" t="s">
        <v>984</v>
      </c>
      <c r="G617" s="29" t="s">
        <v>611</v>
      </c>
      <c r="H617" s="31">
        <v>3.918</v>
      </c>
      <c r="I617" s="29" t="s">
        <v>597</v>
      </c>
      <c r="J617" s="32" t="s">
        <v>642</v>
      </c>
      <c r="K617" s="29" t="s">
        <v>698</v>
      </c>
      <c r="L617" s="29" t="s">
        <v>985</v>
      </c>
      <c r="M617" s="33">
        <v>8.579</v>
      </c>
      <c r="N617" s="33">
        <v>3.249</v>
      </c>
      <c r="O617" s="34" t="s">
        <v>601</v>
      </c>
      <c r="P617" s="32" t="s">
        <v>602</v>
      </c>
      <c r="Q617" s="35">
        <v>11.0</v>
      </c>
      <c r="R617" s="35">
        <v>10.0</v>
      </c>
      <c r="S617" s="36">
        <v>1.07</v>
      </c>
      <c r="T617" s="36">
        <v>0.64</v>
      </c>
      <c r="U617" s="36">
        <v>1.0344</v>
      </c>
      <c r="V617" s="36">
        <v>0.8</v>
      </c>
      <c r="W617" s="37" t="s">
        <v>986</v>
      </c>
      <c r="X617" s="31">
        <v>2.0</v>
      </c>
      <c r="Y617" s="36">
        <v>0.5141000557191416</v>
      </c>
      <c r="Z617" s="36">
        <v>0.24121044593017257</v>
      </c>
      <c r="AA617" s="29" t="s">
        <v>820</v>
      </c>
      <c r="AB617" s="31">
        <v>7.84439468384</v>
      </c>
      <c r="AC617" s="38">
        <v>119.0</v>
      </c>
    </row>
    <row r="618" ht="14.25" customHeight="1">
      <c r="A618" s="29" t="s">
        <v>171</v>
      </c>
      <c r="B618" s="29">
        <v>66.0</v>
      </c>
      <c r="C618" s="29" t="s">
        <v>608</v>
      </c>
      <c r="D618" s="29" t="s">
        <v>941</v>
      </c>
      <c r="E618" s="29">
        <v>48.0</v>
      </c>
      <c r="F618" s="30" t="s">
        <v>942</v>
      </c>
      <c r="G618" s="29" t="s">
        <v>611</v>
      </c>
      <c r="H618" s="31">
        <v>5.8</v>
      </c>
      <c r="I618" s="29" t="s">
        <v>597</v>
      </c>
      <c r="J618" s="32" t="s">
        <v>642</v>
      </c>
      <c r="K618" s="29" t="s">
        <v>698</v>
      </c>
      <c r="L618" s="29" t="s">
        <v>985</v>
      </c>
      <c r="M618" s="33">
        <v>8.579</v>
      </c>
      <c r="N618" s="33">
        <v>3.249</v>
      </c>
      <c r="O618" s="34" t="s">
        <v>601</v>
      </c>
      <c r="P618" s="32" t="s">
        <v>602</v>
      </c>
      <c r="Q618" s="35">
        <v>12.0</v>
      </c>
      <c r="R618" s="35">
        <v>10.0</v>
      </c>
      <c r="S618" s="36">
        <v>0.06</v>
      </c>
      <c r="T618" s="36">
        <v>0.07</v>
      </c>
      <c r="U618" s="36">
        <v>0.2449</v>
      </c>
      <c r="V618" s="36">
        <v>0.2646</v>
      </c>
      <c r="W618" s="37" t="s">
        <v>986</v>
      </c>
      <c r="X618" s="31">
        <v>0.1</v>
      </c>
      <c r="Y618" s="36">
        <v>-0.15384972752592635</v>
      </c>
      <c r="Z618" s="36">
        <v>2.817173564814815</v>
      </c>
      <c r="AA618" s="29" t="s">
        <v>820</v>
      </c>
      <c r="AB618" s="31">
        <v>7.84439468384</v>
      </c>
      <c r="AC618" s="38">
        <v>119.0</v>
      </c>
    </row>
    <row r="619" ht="14.25" customHeight="1">
      <c r="A619" s="29" t="s">
        <v>171</v>
      </c>
      <c r="B619" s="29">
        <v>66.0</v>
      </c>
      <c r="C619" s="29" t="s">
        <v>608</v>
      </c>
      <c r="D619" s="29" t="s">
        <v>941</v>
      </c>
      <c r="E619" s="29">
        <v>48.0</v>
      </c>
      <c r="F619" s="30" t="s">
        <v>942</v>
      </c>
      <c r="G619" s="29" t="s">
        <v>611</v>
      </c>
      <c r="H619" s="31">
        <v>5.8</v>
      </c>
      <c r="I619" s="29" t="s">
        <v>597</v>
      </c>
      <c r="J619" s="32" t="s">
        <v>642</v>
      </c>
      <c r="K619" s="29" t="s">
        <v>698</v>
      </c>
      <c r="L619" s="29" t="s">
        <v>985</v>
      </c>
      <c r="M619" s="33">
        <v>8.579</v>
      </c>
      <c r="N619" s="33">
        <v>3.249</v>
      </c>
      <c r="O619" s="34" t="s">
        <v>601</v>
      </c>
      <c r="P619" s="32" t="s">
        <v>602</v>
      </c>
      <c r="Q619" s="35">
        <v>11.0</v>
      </c>
      <c r="R619" s="35">
        <v>10.0</v>
      </c>
      <c r="S619" s="36">
        <v>0.03</v>
      </c>
      <c r="T619" s="36">
        <v>0.07</v>
      </c>
      <c r="U619" s="36">
        <v>0.1732</v>
      </c>
      <c r="V619" s="36">
        <v>0.2646</v>
      </c>
      <c r="W619" s="37" t="s">
        <v>986</v>
      </c>
      <c r="X619" s="31">
        <v>2.0</v>
      </c>
      <c r="Y619" s="36">
        <v>-0.8466960463295782</v>
      </c>
      <c r="Z619" s="36">
        <v>4.458965252525252</v>
      </c>
      <c r="AA619" s="29" t="s">
        <v>820</v>
      </c>
      <c r="AB619" s="31">
        <v>7.84439468384</v>
      </c>
      <c r="AC619" s="38">
        <v>119.0</v>
      </c>
    </row>
    <row r="620" ht="14.25" customHeight="1">
      <c r="A620" s="29" t="s">
        <v>171</v>
      </c>
      <c r="B620" s="29">
        <v>66.0</v>
      </c>
      <c r="C620" s="29" t="s">
        <v>608</v>
      </c>
      <c r="D620" s="29" t="s">
        <v>943</v>
      </c>
      <c r="E620" s="29">
        <v>49.0</v>
      </c>
      <c r="F620" s="30" t="s">
        <v>944</v>
      </c>
      <c r="G620" s="29" t="s">
        <v>611</v>
      </c>
      <c r="H620" s="31">
        <v>3.76</v>
      </c>
      <c r="I620" s="29" t="s">
        <v>597</v>
      </c>
      <c r="J620" s="32" t="s">
        <v>642</v>
      </c>
      <c r="K620" s="29" t="s">
        <v>698</v>
      </c>
      <c r="L620" s="29" t="s">
        <v>985</v>
      </c>
      <c r="M620" s="33">
        <v>8.579</v>
      </c>
      <c r="N620" s="33">
        <v>3.249</v>
      </c>
      <c r="O620" s="34" t="s">
        <v>601</v>
      </c>
      <c r="P620" s="32" t="s">
        <v>602</v>
      </c>
      <c r="Q620" s="35">
        <v>12.0</v>
      </c>
      <c r="R620" s="35">
        <v>10.0</v>
      </c>
      <c r="S620" s="36">
        <v>0.41</v>
      </c>
      <c r="T620" s="36">
        <v>0.4</v>
      </c>
      <c r="U620" s="36">
        <v>0.6403</v>
      </c>
      <c r="V620" s="36">
        <v>0.6325</v>
      </c>
      <c r="W620" s="37" t="s">
        <v>986</v>
      </c>
      <c r="X620" s="31">
        <v>0.1</v>
      </c>
      <c r="Y620" s="36">
        <v>0.02494428622133684</v>
      </c>
      <c r="Z620" s="36">
        <v>0.45327930159999</v>
      </c>
      <c r="AA620" s="29" t="s">
        <v>820</v>
      </c>
      <c r="AB620" s="31">
        <v>7.84439468384</v>
      </c>
      <c r="AC620" s="38">
        <v>119.0</v>
      </c>
    </row>
    <row r="621" ht="14.25" customHeight="1">
      <c r="A621" s="29" t="s">
        <v>171</v>
      </c>
      <c r="B621" s="29">
        <v>66.0</v>
      </c>
      <c r="C621" s="29" t="s">
        <v>608</v>
      </c>
      <c r="D621" s="29" t="s">
        <v>943</v>
      </c>
      <c r="E621" s="29">
        <v>49.0</v>
      </c>
      <c r="F621" s="30" t="s">
        <v>944</v>
      </c>
      <c r="G621" s="29" t="s">
        <v>611</v>
      </c>
      <c r="H621" s="31">
        <v>3.76</v>
      </c>
      <c r="I621" s="29" t="s">
        <v>597</v>
      </c>
      <c r="J621" s="32" t="s">
        <v>642</v>
      </c>
      <c r="K621" s="29" t="s">
        <v>698</v>
      </c>
      <c r="L621" s="29" t="s">
        <v>985</v>
      </c>
      <c r="M621" s="33">
        <v>8.579</v>
      </c>
      <c r="N621" s="33">
        <v>3.249</v>
      </c>
      <c r="O621" s="34" t="s">
        <v>601</v>
      </c>
      <c r="P621" s="32" t="s">
        <v>602</v>
      </c>
      <c r="Q621" s="35">
        <v>11.0</v>
      </c>
      <c r="R621" s="35">
        <v>10.0</v>
      </c>
      <c r="S621" s="36">
        <v>0.52</v>
      </c>
      <c r="T621" s="36">
        <v>0.4</v>
      </c>
      <c r="U621" s="36">
        <v>0.7211</v>
      </c>
      <c r="V621" s="36">
        <v>0.6325</v>
      </c>
      <c r="W621" s="37" t="s">
        <v>986</v>
      </c>
      <c r="X621" s="31">
        <v>2.0</v>
      </c>
      <c r="Y621" s="36">
        <v>0.2625627047277021</v>
      </c>
      <c r="Z621" s="36">
        <v>0.42485535864376</v>
      </c>
      <c r="AA621" s="29" t="s">
        <v>820</v>
      </c>
      <c r="AB621" s="31">
        <v>7.84439468384</v>
      </c>
      <c r="AC621" s="38">
        <v>119.0</v>
      </c>
    </row>
    <row r="622" ht="14.25" customHeight="1">
      <c r="A622" s="29" t="s">
        <v>171</v>
      </c>
      <c r="B622" s="29">
        <v>66.0</v>
      </c>
      <c r="C622" s="29" t="s">
        <v>608</v>
      </c>
      <c r="D622" s="29" t="s">
        <v>987</v>
      </c>
      <c r="E622" s="29">
        <v>58.0</v>
      </c>
      <c r="F622" s="30" t="s">
        <v>988</v>
      </c>
      <c r="G622" s="29" t="s">
        <v>611</v>
      </c>
      <c r="H622" s="31">
        <v>4.32</v>
      </c>
      <c r="I622" s="29" t="s">
        <v>612</v>
      </c>
      <c r="J622" s="32" t="s">
        <v>642</v>
      </c>
      <c r="K622" s="29" t="s">
        <v>698</v>
      </c>
      <c r="L622" s="29" t="s">
        <v>985</v>
      </c>
      <c r="M622" s="33">
        <v>8.579</v>
      </c>
      <c r="N622" s="33">
        <v>3.249</v>
      </c>
      <c r="O622" s="34" t="s">
        <v>601</v>
      </c>
      <c r="P622" s="32" t="s">
        <v>602</v>
      </c>
      <c r="Q622" s="35">
        <v>12.0</v>
      </c>
      <c r="R622" s="35">
        <v>10.0</v>
      </c>
      <c r="S622" s="36">
        <v>0.07</v>
      </c>
      <c r="T622" s="36">
        <v>0.07</v>
      </c>
      <c r="U622" s="36">
        <v>0.2646</v>
      </c>
      <c r="V622" s="36">
        <v>0.2646</v>
      </c>
      <c r="W622" s="37" t="s">
        <v>986</v>
      </c>
      <c r="X622" s="31">
        <v>0.1</v>
      </c>
      <c r="Y622" s="36">
        <v>2.5796466027220563E-4</v>
      </c>
      <c r="Z622" s="36">
        <v>2.6195399999999998</v>
      </c>
      <c r="AA622" s="29" t="s">
        <v>820</v>
      </c>
      <c r="AB622" s="31">
        <v>7.84439468384</v>
      </c>
      <c r="AC622" s="38">
        <v>119.0</v>
      </c>
    </row>
    <row r="623" ht="14.25" customHeight="1">
      <c r="A623" s="29" t="s">
        <v>171</v>
      </c>
      <c r="B623" s="29">
        <v>66.0</v>
      </c>
      <c r="C623" s="29" t="s">
        <v>608</v>
      </c>
      <c r="D623" s="29" t="s">
        <v>987</v>
      </c>
      <c r="E623" s="29">
        <v>58.0</v>
      </c>
      <c r="F623" s="30" t="s">
        <v>988</v>
      </c>
      <c r="G623" s="29" t="s">
        <v>611</v>
      </c>
      <c r="H623" s="31">
        <v>4.32</v>
      </c>
      <c r="I623" s="29" t="s">
        <v>612</v>
      </c>
      <c r="J623" s="32" t="s">
        <v>642</v>
      </c>
      <c r="K623" s="29" t="s">
        <v>698</v>
      </c>
      <c r="L623" s="29" t="s">
        <v>985</v>
      </c>
      <c r="M623" s="33">
        <v>8.579</v>
      </c>
      <c r="N623" s="33">
        <v>3.249</v>
      </c>
      <c r="O623" s="34" t="s">
        <v>601</v>
      </c>
      <c r="P623" s="32" t="s">
        <v>602</v>
      </c>
      <c r="Q623" s="35">
        <v>11.0</v>
      </c>
      <c r="R623" s="35">
        <v>10.0</v>
      </c>
      <c r="S623" s="36">
        <v>0.0</v>
      </c>
      <c r="T623" s="36">
        <v>0.07</v>
      </c>
      <c r="U623" s="36">
        <v>0.0</v>
      </c>
      <c r="V623" s="36">
        <v>0.2646</v>
      </c>
      <c r="W623" s="37" t="s">
        <v>986</v>
      </c>
      <c r="X623" s="31">
        <v>2.0</v>
      </c>
      <c r="Y623" s="36">
        <v>-8.262558973010657</v>
      </c>
      <c r="Z623" s="36">
        <v>0.2708454282436553</v>
      </c>
      <c r="AA623" s="29" t="s">
        <v>820</v>
      </c>
      <c r="AB623" s="31">
        <v>7.84439468384</v>
      </c>
      <c r="AC623" s="38">
        <v>119.0</v>
      </c>
    </row>
    <row r="624" ht="14.25" customHeight="1">
      <c r="A624" s="29" t="s">
        <v>171</v>
      </c>
      <c r="B624" s="29">
        <v>66.0</v>
      </c>
      <c r="C624" s="29" t="s">
        <v>608</v>
      </c>
      <c r="D624" s="35" t="s">
        <v>989</v>
      </c>
      <c r="E624" s="29">
        <v>99.0</v>
      </c>
      <c r="F624" s="30" t="s">
        <v>990</v>
      </c>
      <c r="G624" s="29" t="s">
        <v>611</v>
      </c>
      <c r="H624" s="31">
        <v>15.0</v>
      </c>
      <c r="I624" s="29" t="s">
        <v>597</v>
      </c>
      <c r="J624" s="32" t="s">
        <v>642</v>
      </c>
      <c r="K624" s="29" t="s">
        <v>698</v>
      </c>
      <c r="L624" s="29" t="s">
        <v>985</v>
      </c>
      <c r="M624" s="33">
        <v>8.579</v>
      </c>
      <c r="N624" s="33">
        <v>3.249</v>
      </c>
      <c r="O624" s="34" t="s">
        <v>601</v>
      </c>
      <c r="P624" s="32" t="s">
        <v>602</v>
      </c>
      <c r="Q624" s="35">
        <v>12.0</v>
      </c>
      <c r="R624" s="35">
        <v>10.0</v>
      </c>
      <c r="S624" s="36">
        <v>0.09</v>
      </c>
      <c r="T624" s="36">
        <v>0.07</v>
      </c>
      <c r="U624" s="36">
        <v>0.3</v>
      </c>
      <c r="V624" s="36">
        <v>0.2646</v>
      </c>
      <c r="W624" s="37" t="s">
        <v>986</v>
      </c>
      <c r="X624" s="31">
        <v>0.1</v>
      </c>
      <c r="Y624" s="36">
        <v>0.2515150732117116</v>
      </c>
      <c r="Z624" s="36">
        <v>2.3547659259259257</v>
      </c>
      <c r="AA624" s="29" t="s">
        <v>820</v>
      </c>
      <c r="AB624" s="31">
        <v>7.84439468384</v>
      </c>
      <c r="AC624" s="38">
        <v>119.0</v>
      </c>
    </row>
    <row r="625" ht="14.25" customHeight="1">
      <c r="A625" s="29" t="s">
        <v>171</v>
      </c>
      <c r="B625" s="29">
        <v>66.0</v>
      </c>
      <c r="C625" s="29" t="s">
        <v>608</v>
      </c>
      <c r="D625" s="35" t="s">
        <v>989</v>
      </c>
      <c r="E625" s="29">
        <v>99.0</v>
      </c>
      <c r="F625" s="30" t="s">
        <v>990</v>
      </c>
      <c r="G625" s="29" t="s">
        <v>611</v>
      </c>
      <c r="H625" s="31">
        <v>15.0</v>
      </c>
      <c r="I625" s="29" t="s">
        <v>597</v>
      </c>
      <c r="J625" s="32" t="s">
        <v>642</v>
      </c>
      <c r="K625" s="29" t="s">
        <v>698</v>
      </c>
      <c r="L625" s="29" t="s">
        <v>985</v>
      </c>
      <c r="M625" s="33">
        <v>8.579</v>
      </c>
      <c r="N625" s="33">
        <v>3.249</v>
      </c>
      <c r="O625" s="34" t="s">
        <v>601</v>
      </c>
      <c r="P625" s="32" t="s">
        <v>602</v>
      </c>
      <c r="Q625" s="35">
        <v>11.0</v>
      </c>
      <c r="R625" s="35">
        <v>10.0</v>
      </c>
      <c r="S625" s="36">
        <v>0.13</v>
      </c>
      <c r="T625" s="36">
        <v>0.07</v>
      </c>
      <c r="U625" s="36">
        <v>0.3606</v>
      </c>
      <c r="V625" s="36">
        <v>0.2646</v>
      </c>
      <c r="W625" s="37" t="s">
        <v>986</v>
      </c>
      <c r="X625" s="31">
        <v>2.0</v>
      </c>
      <c r="Y625" s="36">
        <v>0.619178120723008</v>
      </c>
      <c r="Z625" s="36">
        <v>2.1283147713824633</v>
      </c>
      <c r="AA625" s="29" t="s">
        <v>820</v>
      </c>
      <c r="AB625" s="31">
        <v>7.84439468384</v>
      </c>
      <c r="AC625" s="38">
        <v>119.0</v>
      </c>
    </row>
    <row r="626" ht="14.25" customHeight="1">
      <c r="A626" s="29" t="s">
        <v>171</v>
      </c>
      <c r="B626" s="29">
        <v>66.0</v>
      </c>
      <c r="C626" s="29" t="s">
        <v>608</v>
      </c>
      <c r="D626" s="29" t="s">
        <v>991</v>
      </c>
      <c r="E626" s="29">
        <v>152.0</v>
      </c>
      <c r="F626" s="30" t="s">
        <v>992</v>
      </c>
      <c r="G626" s="29" t="s">
        <v>611</v>
      </c>
      <c r="H626" s="31">
        <v>10.896</v>
      </c>
      <c r="I626" s="29" t="s">
        <v>612</v>
      </c>
      <c r="J626" s="32" t="s">
        <v>642</v>
      </c>
      <c r="K626" s="29" t="s">
        <v>698</v>
      </c>
      <c r="L626" s="29" t="s">
        <v>985</v>
      </c>
      <c r="M626" s="33">
        <v>8.579</v>
      </c>
      <c r="N626" s="33">
        <v>3.249</v>
      </c>
      <c r="O626" s="34" t="s">
        <v>601</v>
      </c>
      <c r="P626" s="32" t="s">
        <v>602</v>
      </c>
      <c r="Q626" s="35">
        <v>12.0</v>
      </c>
      <c r="R626" s="35">
        <v>10.0</v>
      </c>
      <c r="S626" s="36">
        <v>0.14</v>
      </c>
      <c r="T626" s="36">
        <v>0.13</v>
      </c>
      <c r="U626" s="36">
        <v>0.3742</v>
      </c>
      <c r="V626" s="36">
        <v>0.3606</v>
      </c>
      <c r="W626" s="37" t="s">
        <v>986</v>
      </c>
      <c r="X626" s="31">
        <v>0.1</v>
      </c>
      <c r="Y626" s="36">
        <v>0.07434751297354418</v>
      </c>
      <c r="Z626" s="36">
        <v>1.3647693573642472</v>
      </c>
      <c r="AA626" s="29" t="s">
        <v>820</v>
      </c>
      <c r="AB626" s="31">
        <v>7.84439468384</v>
      </c>
      <c r="AC626" s="38">
        <v>119.0</v>
      </c>
    </row>
    <row r="627" ht="14.25" customHeight="1">
      <c r="A627" s="29" t="s">
        <v>171</v>
      </c>
      <c r="B627" s="29">
        <v>66.0</v>
      </c>
      <c r="C627" s="29" t="s">
        <v>608</v>
      </c>
      <c r="D627" s="29" t="s">
        <v>991</v>
      </c>
      <c r="E627" s="29">
        <v>152.0</v>
      </c>
      <c r="F627" s="30" t="s">
        <v>992</v>
      </c>
      <c r="G627" s="29" t="s">
        <v>611</v>
      </c>
      <c r="H627" s="31">
        <v>10.896</v>
      </c>
      <c r="I627" s="29" t="s">
        <v>612</v>
      </c>
      <c r="J627" s="32" t="s">
        <v>642</v>
      </c>
      <c r="K627" s="29" t="s">
        <v>698</v>
      </c>
      <c r="L627" s="29" t="s">
        <v>985</v>
      </c>
      <c r="M627" s="33">
        <v>8.579</v>
      </c>
      <c r="N627" s="33">
        <v>3.249</v>
      </c>
      <c r="O627" s="34" t="s">
        <v>601</v>
      </c>
      <c r="P627" s="32" t="s">
        <v>602</v>
      </c>
      <c r="Q627" s="35">
        <v>11.0</v>
      </c>
      <c r="R627" s="35">
        <v>10.0</v>
      </c>
      <c r="S627" s="36">
        <v>0.29</v>
      </c>
      <c r="T627" s="36">
        <v>0.13</v>
      </c>
      <c r="U627" s="36">
        <v>0.5385</v>
      </c>
      <c r="V627" s="36">
        <v>0.3606</v>
      </c>
      <c r="W627" s="37" t="s">
        <v>986</v>
      </c>
      <c r="X627" s="31">
        <v>2.0</v>
      </c>
      <c r="Y627" s="36">
        <v>0.8024621200846801</v>
      </c>
      <c r="Z627" s="36">
        <v>1.0828826852302549</v>
      </c>
      <c r="AA627" s="29" t="s">
        <v>820</v>
      </c>
      <c r="AB627" s="31">
        <v>7.84439468384</v>
      </c>
      <c r="AC627" s="38">
        <v>119.0</v>
      </c>
    </row>
    <row r="628" ht="14.25" customHeight="1">
      <c r="A628" s="29" t="s">
        <v>171</v>
      </c>
      <c r="B628" s="29">
        <v>67.0</v>
      </c>
      <c r="C628" s="29" t="s">
        <v>608</v>
      </c>
      <c r="D628" s="29" t="s">
        <v>983</v>
      </c>
      <c r="E628" s="29">
        <v>47.0</v>
      </c>
      <c r="F628" s="30" t="s">
        <v>984</v>
      </c>
      <c r="G628" s="29" t="s">
        <v>611</v>
      </c>
      <c r="H628" s="31">
        <v>3.918</v>
      </c>
      <c r="I628" s="29" t="s">
        <v>597</v>
      </c>
      <c r="J628" s="32" t="s">
        <v>642</v>
      </c>
      <c r="K628" s="29" t="s">
        <v>698</v>
      </c>
      <c r="L628" s="29" t="s">
        <v>985</v>
      </c>
      <c r="M628" s="33">
        <v>8.571</v>
      </c>
      <c r="N628" s="33">
        <v>3.399</v>
      </c>
      <c r="O628" s="34" t="s">
        <v>601</v>
      </c>
      <c r="P628" s="32" t="s">
        <v>602</v>
      </c>
      <c r="Q628" s="35">
        <v>11.0</v>
      </c>
      <c r="R628" s="35">
        <v>6.0</v>
      </c>
      <c r="S628" s="36">
        <v>0.0</v>
      </c>
      <c r="T628" s="36">
        <v>0.38</v>
      </c>
      <c r="U628" s="36">
        <v>0.0</v>
      </c>
      <c r="V628" s="36">
        <v>0.6164</v>
      </c>
      <c r="W628" s="37" t="s">
        <v>986</v>
      </c>
      <c r="X628" s="31">
        <v>0.1</v>
      </c>
      <c r="Y628" s="36">
        <v>-8.262558973010657</v>
      </c>
      <c r="Z628" s="36">
        <v>0.3591487947658403</v>
      </c>
      <c r="AA628" s="29" t="s">
        <v>820</v>
      </c>
      <c r="AB628" s="31">
        <v>7.84439468384</v>
      </c>
      <c r="AC628" s="38">
        <v>90.0</v>
      </c>
    </row>
    <row r="629" ht="14.25" customHeight="1">
      <c r="A629" s="29" t="s">
        <v>171</v>
      </c>
      <c r="B629" s="29">
        <v>67.0</v>
      </c>
      <c r="C629" s="29" t="s">
        <v>608</v>
      </c>
      <c r="D629" s="29" t="s">
        <v>983</v>
      </c>
      <c r="E629" s="29">
        <v>47.0</v>
      </c>
      <c r="F629" s="30" t="s">
        <v>984</v>
      </c>
      <c r="G629" s="29" t="s">
        <v>611</v>
      </c>
      <c r="H629" s="31">
        <v>3.918</v>
      </c>
      <c r="I629" s="29" t="s">
        <v>597</v>
      </c>
      <c r="J629" s="32" t="s">
        <v>642</v>
      </c>
      <c r="K629" s="29" t="s">
        <v>698</v>
      </c>
      <c r="L629" s="29" t="s">
        <v>985</v>
      </c>
      <c r="M629" s="33">
        <v>8.571</v>
      </c>
      <c r="N629" s="33">
        <v>3.399</v>
      </c>
      <c r="O629" s="34" t="s">
        <v>601</v>
      </c>
      <c r="P629" s="32" t="s">
        <v>602</v>
      </c>
      <c r="Q629" s="35">
        <v>10.0</v>
      </c>
      <c r="R629" s="35">
        <v>6.0</v>
      </c>
      <c r="S629" s="36">
        <v>0.09</v>
      </c>
      <c r="T629" s="36">
        <v>0.38</v>
      </c>
      <c r="U629" s="36">
        <v>0.3</v>
      </c>
      <c r="V629" s="36">
        <v>0.6164</v>
      </c>
      <c r="W629" s="37" t="s">
        <v>986</v>
      </c>
      <c r="X629" s="31">
        <v>2.0</v>
      </c>
      <c r="Y629" s="36">
        <v>-1.43927285065497</v>
      </c>
      <c r="Z629" s="36">
        <v>1.5496486919052015</v>
      </c>
      <c r="AA629" s="29" t="s">
        <v>820</v>
      </c>
      <c r="AB629" s="31">
        <v>7.84439468384</v>
      </c>
      <c r="AC629" s="38">
        <v>90.0</v>
      </c>
    </row>
    <row r="630" ht="14.25" customHeight="1">
      <c r="A630" s="29" t="s">
        <v>171</v>
      </c>
      <c r="B630" s="29">
        <v>67.0</v>
      </c>
      <c r="C630" s="29" t="s">
        <v>608</v>
      </c>
      <c r="D630" s="29" t="s">
        <v>983</v>
      </c>
      <c r="E630" s="29">
        <v>47.0</v>
      </c>
      <c r="F630" s="30" t="s">
        <v>984</v>
      </c>
      <c r="G630" s="29" t="s">
        <v>611</v>
      </c>
      <c r="H630" s="31">
        <v>3.918</v>
      </c>
      <c r="I630" s="29" t="s">
        <v>597</v>
      </c>
      <c r="J630" s="32" t="s">
        <v>642</v>
      </c>
      <c r="K630" s="29" t="s">
        <v>698</v>
      </c>
      <c r="L630" s="29" t="s">
        <v>985</v>
      </c>
      <c r="M630" s="33">
        <v>8.571</v>
      </c>
      <c r="N630" s="33">
        <v>3.399</v>
      </c>
      <c r="O630" s="34" t="s">
        <v>601</v>
      </c>
      <c r="P630" s="32" t="s">
        <v>602</v>
      </c>
      <c r="Q630" s="35">
        <v>8.0</v>
      </c>
      <c r="R630" s="35">
        <v>6.0</v>
      </c>
      <c r="S630" s="36">
        <v>0.09</v>
      </c>
      <c r="T630" s="36">
        <v>0.38</v>
      </c>
      <c r="U630" s="36">
        <v>0.3</v>
      </c>
      <c r="V630" s="36">
        <v>0.6164</v>
      </c>
      <c r="W630" s="37" t="s">
        <v>986</v>
      </c>
      <c r="X630" s="31">
        <v>4.0</v>
      </c>
      <c r="Y630" s="36">
        <v>-1.43927285065497</v>
      </c>
      <c r="Z630" s="36">
        <v>1.8274264696829792</v>
      </c>
      <c r="AA630" s="29" t="s">
        <v>820</v>
      </c>
      <c r="AB630" s="31">
        <v>7.84439468384</v>
      </c>
      <c r="AC630" s="38">
        <v>90.0</v>
      </c>
    </row>
    <row r="631" ht="14.25" customHeight="1">
      <c r="A631" s="29" t="s">
        <v>171</v>
      </c>
      <c r="B631" s="29">
        <v>67.0</v>
      </c>
      <c r="C631" s="29" t="s">
        <v>608</v>
      </c>
      <c r="D631" s="29" t="s">
        <v>987</v>
      </c>
      <c r="E631" s="29">
        <v>58.0</v>
      </c>
      <c r="F631" s="30" t="s">
        <v>988</v>
      </c>
      <c r="G631" s="29" t="s">
        <v>611</v>
      </c>
      <c r="H631" s="31">
        <v>4.32</v>
      </c>
      <c r="I631" s="29" t="s">
        <v>612</v>
      </c>
      <c r="J631" s="32" t="s">
        <v>642</v>
      </c>
      <c r="K631" s="29" t="s">
        <v>698</v>
      </c>
      <c r="L631" s="29" t="s">
        <v>985</v>
      </c>
      <c r="M631" s="33">
        <v>8.571</v>
      </c>
      <c r="N631" s="33">
        <v>3.399</v>
      </c>
      <c r="O631" s="34" t="s">
        <v>601</v>
      </c>
      <c r="P631" s="32" t="s">
        <v>602</v>
      </c>
      <c r="Q631" s="35">
        <v>11.0</v>
      </c>
      <c r="R631" s="35">
        <v>6.0</v>
      </c>
      <c r="S631" s="36">
        <v>0.0</v>
      </c>
      <c r="T631" s="36">
        <v>0.1</v>
      </c>
      <c r="U631" s="36">
        <v>0.0</v>
      </c>
      <c r="V631" s="36">
        <v>0.3162</v>
      </c>
      <c r="W631" s="37" t="s">
        <v>986</v>
      </c>
      <c r="X631" s="31">
        <v>0.1</v>
      </c>
      <c r="Y631" s="36">
        <v>-8.262558973010657</v>
      </c>
      <c r="Z631" s="36">
        <v>0.3993268872053872</v>
      </c>
      <c r="AA631" s="29" t="s">
        <v>820</v>
      </c>
      <c r="AB631" s="31">
        <v>7.84439468384</v>
      </c>
      <c r="AC631" s="38">
        <v>90.0</v>
      </c>
    </row>
    <row r="632" ht="14.25" customHeight="1">
      <c r="A632" s="29" t="s">
        <v>171</v>
      </c>
      <c r="B632" s="29">
        <v>67.0</v>
      </c>
      <c r="C632" s="29" t="s">
        <v>608</v>
      </c>
      <c r="D632" s="29" t="s">
        <v>987</v>
      </c>
      <c r="E632" s="29">
        <v>58.0</v>
      </c>
      <c r="F632" s="30" t="s">
        <v>988</v>
      </c>
      <c r="G632" s="29" t="s">
        <v>611</v>
      </c>
      <c r="H632" s="31">
        <v>4.32</v>
      </c>
      <c r="I632" s="29" t="s">
        <v>612</v>
      </c>
      <c r="J632" s="32" t="s">
        <v>642</v>
      </c>
      <c r="K632" s="29" t="s">
        <v>698</v>
      </c>
      <c r="L632" s="29" t="s">
        <v>985</v>
      </c>
      <c r="M632" s="33">
        <v>8.571</v>
      </c>
      <c r="N632" s="33">
        <v>3.399</v>
      </c>
      <c r="O632" s="34" t="s">
        <v>601</v>
      </c>
      <c r="P632" s="32" t="s">
        <v>602</v>
      </c>
      <c r="Q632" s="35">
        <v>10.0</v>
      </c>
      <c r="R632" s="35">
        <v>6.0</v>
      </c>
      <c r="S632" s="36">
        <v>0.0</v>
      </c>
      <c r="T632" s="36">
        <v>0.1</v>
      </c>
      <c r="U632" s="36">
        <v>0.0</v>
      </c>
      <c r="V632" s="36">
        <v>0.3162</v>
      </c>
      <c r="W632" s="37" t="s">
        <v>986</v>
      </c>
      <c r="X632" s="31">
        <v>2.0</v>
      </c>
      <c r="Y632" s="36">
        <v>-8.262558973010657</v>
      </c>
      <c r="Z632" s="36">
        <v>0.40841779629629626</v>
      </c>
      <c r="AA632" s="29" t="s">
        <v>820</v>
      </c>
      <c r="AB632" s="31">
        <v>7.84439468384</v>
      </c>
      <c r="AC632" s="38">
        <v>90.0</v>
      </c>
    </row>
    <row r="633" ht="14.25" customHeight="1">
      <c r="A633" s="29" t="s">
        <v>171</v>
      </c>
      <c r="B633" s="29">
        <v>67.0</v>
      </c>
      <c r="C633" s="29" t="s">
        <v>608</v>
      </c>
      <c r="D633" s="29" t="s">
        <v>987</v>
      </c>
      <c r="E633" s="29">
        <v>58.0</v>
      </c>
      <c r="F633" s="30" t="s">
        <v>988</v>
      </c>
      <c r="G633" s="29" t="s">
        <v>611</v>
      </c>
      <c r="H633" s="31">
        <v>4.32</v>
      </c>
      <c r="I633" s="29" t="s">
        <v>612</v>
      </c>
      <c r="J633" s="32" t="s">
        <v>642</v>
      </c>
      <c r="K633" s="29" t="s">
        <v>698</v>
      </c>
      <c r="L633" s="29" t="s">
        <v>985</v>
      </c>
      <c r="M633" s="33">
        <v>8.571</v>
      </c>
      <c r="N633" s="33">
        <v>3.399</v>
      </c>
      <c r="O633" s="34" t="s">
        <v>601</v>
      </c>
      <c r="P633" s="32" t="s">
        <v>602</v>
      </c>
      <c r="Q633" s="35">
        <v>8.0</v>
      </c>
      <c r="R633" s="35">
        <v>6.0</v>
      </c>
      <c r="S633" s="36">
        <v>0.0</v>
      </c>
      <c r="T633" s="36">
        <v>0.1</v>
      </c>
      <c r="U633" s="36">
        <v>0.0</v>
      </c>
      <c r="V633" s="36">
        <v>0.3162</v>
      </c>
      <c r="W633" s="37" t="s">
        <v>986</v>
      </c>
      <c r="X633" s="31">
        <v>4.0</v>
      </c>
      <c r="Y633" s="36">
        <v>-8.262558973010657</v>
      </c>
      <c r="Z633" s="36">
        <v>0.4334177962962963</v>
      </c>
      <c r="AA633" s="29" t="s">
        <v>820</v>
      </c>
      <c r="AB633" s="31">
        <v>7.84439468384</v>
      </c>
      <c r="AC633" s="38">
        <v>90.0</v>
      </c>
    </row>
    <row r="634" ht="14.25" customHeight="1">
      <c r="A634" s="35" t="s">
        <v>176</v>
      </c>
      <c r="B634" s="35">
        <v>149.0</v>
      </c>
      <c r="C634" s="35" t="s">
        <v>593</v>
      </c>
      <c r="D634" s="35" t="s">
        <v>993</v>
      </c>
      <c r="E634" s="35">
        <v>351.0</v>
      </c>
      <c r="F634" s="39" t="s">
        <v>994</v>
      </c>
      <c r="G634" s="41" t="s">
        <v>902</v>
      </c>
      <c r="H634" s="31">
        <v>0.545</v>
      </c>
      <c r="I634" s="35" t="s">
        <v>597</v>
      </c>
      <c r="J634" s="35" t="s">
        <v>642</v>
      </c>
      <c r="K634" s="35" t="s">
        <v>951</v>
      </c>
      <c r="L634" s="35" t="s">
        <v>995</v>
      </c>
      <c r="M634" s="35">
        <v>93.166667</v>
      </c>
      <c r="N634" s="35">
        <v>27.0</v>
      </c>
      <c r="O634" s="34" t="s">
        <v>641</v>
      </c>
      <c r="P634" s="32" t="s">
        <v>602</v>
      </c>
      <c r="Q634" s="29">
        <v>4.0</v>
      </c>
      <c r="R634" s="29">
        <v>4.0</v>
      </c>
      <c r="S634" s="36">
        <v>5.22</v>
      </c>
      <c r="T634" s="36">
        <v>7.79</v>
      </c>
      <c r="U634" s="36">
        <v>6.846938775510204</v>
      </c>
      <c r="V634" s="36">
        <v>10.071428571428573</v>
      </c>
      <c r="W634" s="37" t="s">
        <v>623</v>
      </c>
      <c r="X634" s="31">
        <v>1.2</v>
      </c>
      <c r="Y634" s="36">
        <v>-0.39840219610688477</v>
      </c>
      <c r="Z634" s="36">
        <v>0.8479980580793789</v>
      </c>
      <c r="AA634" s="29" t="s">
        <v>820</v>
      </c>
      <c r="AB634" s="35">
        <v>4.37</v>
      </c>
      <c r="AC634" s="35">
        <v>206.0</v>
      </c>
    </row>
    <row r="635" ht="14.25" customHeight="1">
      <c r="A635" s="35" t="s">
        <v>176</v>
      </c>
      <c r="B635" s="35">
        <v>149.0</v>
      </c>
      <c r="C635" s="35" t="s">
        <v>593</v>
      </c>
      <c r="D635" s="35" t="s">
        <v>996</v>
      </c>
      <c r="E635" s="35">
        <v>352.0</v>
      </c>
      <c r="F635" s="39" t="s">
        <v>997</v>
      </c>
      <c r="G635" s="41" t="s">
        <v>902</v>
      </c>
      <c r="H635" s="31">
        <v>0.48599000000000003</v>
      </c>
      <c r="I635" s="35" t="s">
        <v>597</v>
      </c>
      <c r="J635" s="35" t="s">
        <v>642</v>
      </c>
      <c r="K635" s="35" t="s">
        <v>951</v>
      </c>
      <c r="L635" s="35" t="s">
        <v>995</v>
      </c>
      <c r="M635" s="35">
        <v>93.166667</v>
      </c>
      <c r="N635" s="35">
        <v>27.0</v>
      </c>
      <c r="O635" s="34" t="s">
        <v>641</v>
      </c>
      <c r="P635" s="32" t="s">
        <v>602</v>
      </c>
      <c r="Q635" s="29">
        <v>4.0</v>
      </c>
      <c r="R635" s="29">
        <v>4.0</v>
      </c>
      <c r="S635" s="36">
        <v>91.33</v>
      </c>
      <c r="T635" s="36">
        <v>55.05</v>
      </c>
      <c r="U635" s="36">
        <v>36.5019584843204</v>
      </c>
      <c r="V635" s="36">
        <v>36.504472047087404</v>
      </c>
      <c r="W635" s="37" t="s">
        <v>623</v>
      </c>
      <c r="X635" s="31">
        <v>1.2</v>
      </c>
      <c r="Y635" s="36">
        <v>0.5070219924474998</v>
      </c>
      <c r="Z635" s="36">
        <v>0.14986456369744727</v>
      </c>
      <c r="AA635" s="29" t="s">
        <v>820</v>
      </c>
      <c r="AB635" s="35">
        <v>4.37</v>
      </c>
      <c r="AC635" s="35">
        <v>206.0</v>
      </c>
    </row>
    <row r="636" ht="14.25" customHeight="1">
      <c r="A636" s="35" t="s">
        <v>176</v>
      </c>
      <c r="B636" s="35">
        <v>151.0</v>
      </c>
      <c r="C636" s="35" t="s">
        <v>593</v>
      </c>
      <c r="D636" s="35" t="s">
        <v>998</v>
      </c>
      <c r="E636" s="35">
        <v>333.0</v>
      </c>
      <c r="F636" s="39" t="s">
        <v>999</v>
      </c>
      <c r="G636" s="35" t="s">
        <v>1000</v>
      </c>
      <c r="H636" s="31">
        <v>2.21455</v>
      </c>
      <c r="I636" s="35" t="s">
        <v>597</v>
      </c>
      <c r="J636" s="35" t="s">
        <v>642</v>
      </c>
      <c r="K636" s="35" t="s">
        <v>951</v>
      </c>
      <c r="L636" s="35" t="s">
        <v>995</v>
      </c>
      <c r="M636" s="35">
        <v>93.166667</v>
      </c>
      <c r="N636" s="35">
        <v>27.0</v>
      </c>
      <c r="O636" s="34" t="s">
        <v>641</v>
      </c>
      <c r="P636" s="32" t="s">
        <v>602</v>
      </c>
      <c r="Q636" s="29">
        <v>2.0</v>
      </c>
      <c r="R636" s="29">
        <v>4.0</v>
      </c>
      <c r="S636" s="36">
        <v>5.11</v>
      </c>
      <c r="T636" s="36">
        <v>15.14</v>
      </c>
      <c r="U636" s="36">
        <v>2.387106943876365</v>
      </c>
      <c r="V636" s="36">
        <v>7.2311890308352496</v>
      </c>
      <c r="W636" s="37" t="s">
        <v>623</v>
      </c>
      <c r="X636" s="31">
        <v>1.2</v>
      </c>
      <c r="Y636" s="36">
        <v>-1.0822904302167848</v>
      </c>
      <c r="Z636" s="36">
        <v>0.16614242603922394</v>
      </c>
      <c r="AA636" s="29" t="s">
        <v>820</v>
      </c>
      <c r="AB636" s="35">
        <v>4.37</v>
      </c>
      <c r="AC636" s="35">
        <v>206.0</v>
      </c>
    </row>
    <row r="637" ht="14.25" customHeight="1">
      <c r="A637" s="35" t="s">
        <v>176</v>
      </c>
      <c r="B637" s="35">
        <v>151.0</v>
      </c>
      <c r="C637" s="35" t="s">
        <v>593</v>
      </c>
      <c r="D637" s="35" t="s">
        <v>1001</v>
      </c>
      <c r="E637" s="35">
        <v>335.0</v>
      </c>
      <c r="F637" s="39" t="s">
        <v>1002</v>
      </c>
      <c r="G637" s="35" t="s">
        <v>1000</v>
      </c>
      <c r="H637" s="31">
        <v>0.89289</v>
      </c>
      <c r="I637" s="35" t="s">
        <v>597</v>
      </c>
      <c r="J637" s="35" t="s">
        <v>642</v>
      </c>
      <c r="K637" s="35" t="s">
        <v>951</v>
      </c>
      <c r="L637" s="35" t="s">
        <v>995</v>
      </c>
      <c r="M637" s="35">
        <v>93.166667</v>
      </c>
      <c r="N637" s="35">
        <v>27.0</v>
      </c>
      <c r="O637" s="34" t="s">
        <v>641</v>
      </c>
      <c r="P637" s="32" t="s">
        <v>602</v>
      </c>
      <c r="Q637" s="29">
        <v>2.0</v>
      </c>
      <c r="R637" s="29">
        <v>4.0</v>
      </c>
      <c r="S637" s="36">
        <v>5.32</v>
      </c>
      <c r="T637" s="36">
        <v>19.48</v>
      </c>
      <c r="U637" s="36">
        <v>2.4563127807519303</v>
      </c>
      <c r="V637" s="36">
        <v>6.850329054399649</v>
      </c>
      <c r="W637" s="37" t="s">
        <v>623</v>
      </c>
      <c r="X637" s="31">
        <v>1.2</v>
      </c>
      <c r="Y637" s="36">
        <v>-1.2931585458983246</v>
      </c>
      <c r="Z637" s="36">
        <v>0.13750553325711232</v>
      </c>
      <c r="AA637" s="29" t="s">
        <v>820</v>
      </c>
      <c r="AB637" s="35">
        <v>4.37</v>
      </c>
      <c r="AC637" s="35">
        <v>206.0</v>
      </c>
    </row>
    <row r="638" ht="14.25" customHeight="1">
      <c r="A638" s="35" t="s">
        <v>176</v>
      </c>
      <c r="B638" s="35">
        <v>151.0</v>
      </c>
      <c r="C638" s="35" t="s">
        <v>593</v>
      </c>
      <c r="D638" s="35" t="s">
        <v>1003</v>
      </c>
      <c r="E638" s="35">
        <v>340.0</v>
      </c>
      <c r="F638" s="39" t="s">
        <v>1004</v>
      </c>
      <c r="G638" s="35" t="s">
        <v>1000</v>
      </c>
      <c r="H638" s="31">
        <v>2.79079</v>
      </c>
      <c r="I638" s="35" t="s">
        <v>597</v>
      </c>
      <c r="J638" s="35" t="s">
        <v>642</v>
      </c>
      <c r="K638" s="35" t="s">
        <v>951</v>
      </c>
      <c r="L638" s="35" t="s">
        <v>995</v>
      </c>
      <c r="M638" s="35">
        <v>93.166667</v>
      </c>
      <c r="N638" s="35">
        <v>27.0</v>
      </c>
      <c r="O638" s="34" t="s">
        <v>641</v>
      </c>
      <c r="P638" s="32" t="s">
        <v>602</v>
      </c>
      <c r="Q638" s="29">
        <v>2.0</v>
      </c>
      <c r="R638" s="29">
        <v>4.0</v>
      </c>
      <c r="S638" s="36">
        <v>3.1</v>
      </c>
      <c r="T638" s="36">
        <v>11.95</v>
      </c>
      <c r="U638" s="36">
        <v>2.5236214835564788</v>
      </c>
      <c r="V638" s="36">
        <v>6.342172328619019</v>
      </c>
      <c r="W638" s="37" t="s">
        <v>623</v>
      </c>
      <c r="X638" s="31">
        <v>1.2</v>
      </c>
      <c r="Y638" s="36">
        <v>-1.344322400449176</v>
      </c>
      <c r="Z638" s="36">
        <v>0.4017736067512073</v>
      </c>
      <c r="AA638" s="29" t="s">
        <v>820</v>
      </c>
      <c r="AB638" s="35">
        <v>4.37</v>
      </c>
      <c r="AC638" s="35">
        <v>206.0</v>
      </c>
    </row>
    <row r="639" ht="14.25" customHeight="1">
      <c r="A639" s="35" t="s">
        <v>183</v>
      </c>
      <c r="B639" s="35">
        <v>147.0</v>
      </c>
      <c r="C639" s="29" t="s">
        <v>608</v>
      </c>
      <c r="D639" s="35" t="s">
        <v>702</v>
      </c>
      <c r="E639" s="35">
        <v>327.0</v>
      </c>
      <c r="F639" s="39" t="s">
        <v>703</v>
      </c>
      <c r="G639" s="29" t="s">
        <v>611</v>
      </c>
      <c r="H639" s="31">
        <v>4.09996</v>
      </c>
      <c r="I639" s="29" t="s">
        <v>597</v>
      </c>
      <c r="J639" s="35" t="s">
        <v>642</v>
      </c>
      <c r="K639" s="29" t="s">
        <v>698</v>
      </c>
      <c r="L639" s="29" t="s">
        <v>704</v>
      </c>
      <c r="M639" s="35">
        <v>-10.957</v>
      </c>
      <c r="N639" s="35">
        <v>7.603</v>
      </c>
      <c r="O639" s="34" t="s">
        <v>641</v>
      </c>
      <c r="P639" s="32" t="s">
        <v>602</v>
      </c>
      <c r="Q639" s="29">
        <v>1.0</v>
      </c>
      <c r="R639" s="29">
        <v>1.0</v>
      </c>
      <c r="S639" s="36">
        <v>56.0</v>
      </c>
      <c r="T639" s="36">
        <v>41.5</v>
      </c>
      <c r="U639" s="36">
        <f t="shared" ref="U639:V639" si="107">SQRT(S639)</f>
        <v>7.483314774</v>
      </c>
      <c r="V639" s="36">
        <f t="shared" si="107"/>
        <v>6.442049363</v>
      </c>
      <c r="W639" s="37" t="s">
        <v>623</v>
      </c>
      <c r="X639" s="31">
        <v>0.9798411568609999</v>
      </c>
      <c r="Y639" s="36">
        <v>0.2998494401220934</v>
      </c>
      <c r="Z639" s="36">
        <v>0.04195352839931153</v>
      </c>
      <c r="AA639" s="29" t="s">
        <v>820</v>
      </c>
      <c r="AB639" s="31">
        <v>3.82401</v>
      </c>
      <c r="AC639" s="38">
        <v>410.0</v>
      </c>
    </row>
    <row r="640" ht="14.25" customHeight="1">
      <c r="A640" s="35" t="s">
        <v>183</v>
      </c>
      <c r="B640" s="35">
        <v>147.0</v>
      </c>
      <c r="C640" s="29" t="s">
        <v>608</v>
      </c>
      <c r="D640" s="35" t="s">
        <v>706</v>
      </c>
      <c r="E640" s="35">
        <v>328.0</v>
      </c>
      <c r="F640" s="39" t="s">
        <v>707</v>
      </c>
      <c r="G640" s="29" t="s">
        <v>611</v>
      </c>
      <c r="H640" s="31">
        <v>4.17503</v>
      </c>
      <c r="I640" s="29" t="s">
        <v>616</v>
      </c>
      <c r="J640" s="35" t="s">
        <v>642</v>
      </c>
      <c r="K640" s="29" t="s">
        <v>698</v>
      </c>
      <c r="L640" s="29" t="s">
        <v>704</v>
      </c>
      <c r="M640" s="35">
        <v>-10.957</v>
      </c>
      <c r="N640" s="35">
        <v>7.603</v>
      </c>
      <c r="O640" s="34" t="s">
        <v>641</v>
      </c>
      <c r="P640" s="32" t="s">
        <v>602</v>
      </c>
      <c r="Q640" s="29">
        <v>1.0</v>
      </c>
      <c r="R640" s="29">
        <v>1.0</v>
      </c>
      <c r="S640" s="36">
        <v>75.0</v>
      </c>
      <c r="T640" s="36">
        <v>55.6</v>
      </c>
      <c r="U640" s="36">
        <f t="shared" ref="U640:V640" si="108">SQRT(S640)</f>
        <v>8.660254038</v>
      </c>
      <c r="V640" s="36">
        <f t="shared" si="108"/>
        <v>7.456540753</v>
      </c>
      <c r="W640" s="37" t="s">
        <v>623</v>
      </c>
      <c r="X640" s="31">
        <v>0.9798411568609999</v>
      </c>
      <c r="Y640" s="36">
        <v>0.29949615646133965</v>
      </c>
      <c r="Z640" s="36">
        <v>0.0313189448441247</v>
      </c>
      <c r="AA640" s="29" t="s">
        <v>820</v>
      </c>
      <c r="AB640" s="31">
        <v>3.82401</v>
      </c>
      <c r="AC640" s="38">
        <v>410.0</v>
      </c>
    </row>
    <row r="641" ht="14.25" customHeight="1">
      <c r="A641" s="35" t="s">
        <v>183</v>
      </c>
      <c r="B641" s="35">
        <v>147.0</v>
      </c>
      <c r="C641" s="29" t="s">
        <v>608</v>
      </c>
      <c r="D641" s="35" t="s">
        <v>708</v>
      </c>
      <c r="E641" s="35">
        <v>329.0</v>
      </c>
      <c r="F641" s="39" t="s">
        <v>709</v>
      </c>
      <c r="G641" s="29" t="s">
        <v>611</v>
      </c>
      <c r="H641" s="31">
        <v>2.7749800000000002</v>
      </c>
      <c r="I641" s="29" t="s">
        <v>616</v>
      </c>
      <c r="J641" s="35" t="s">
        <v>642</v>
      </c>
      <c r="K641" s="29" t="s">
        <v>698</v>
      </c>
      <c r="L641" s="29" t="s">
        <v>704</v>
      </c>
      <c r="M641" s="35">
        <v>-10.957</v>
      </c>
      <c r="N641" s="35">
        <v>7.603</v>
      </c>
      <c r="O641" s="34" t="s">
        <v>641</v>
      </c>
      <c r="P641" s="32" t="s">
        <v>602</v>
      </c>
      <c r="Q641" s="29">
        <v>1.0</v>
      </c>
      <c r="R641" s="29">
        <v>1.0</v>
      </c>
      <c r="S641" s="36">
        <v>35.0</v>
      </c>
      <c r="T641" s="36">
        <v>53.1</v>
      </c>
      <c r="U641" s="36">
        <f t="shared" ref="U641:V641" si="109">SQRT(S641)</f>
        <v>5.916079783</v>
      </c>
      <c r="V641" s="36">
        <f t="shared" si="109"/>
        <v>7.286974681</v>
      </c>
      <c r="W641" s="37" t="s">
        <v>623</v>
      </c>
      <c r="X641" s="31">
        <v>0.9798411568609999</v>
      </c>
      <c r="Y641" s="36">
        <v>-0.4164375236174114</v>
      </c>
      <c r="Z641" s="36">
        <v>0.047403820285176215</v>
      </c>
      <c r="AA641" s="29" t="s">
        <v>820</v>
      </c>
      <c r="AB641" s="31">
        <v>3.82401</v>
      </c>
      <c r="AC641" s="38">
        <v>410.0</v>
      </c>
    </row>
    <row r="642" ht="14.25" customHeight="1">
      <c r="A642" s="35" t="s">
        <v>183</v>
      </c>
      <c r="B642" s="35">
        <v>147.0</v>
      </c>
      <c r="C642" s="29" t="s">
        <v>608</v>
      </c>
      <c r="D642" s="35" t="s">
        <v>1005</v>
      </c>
      <c r="E642" s="35">
        <v>330.0</v>
      </c>
      <c r="F642" s="39" t="s">
        <v>1006</v>
      </c>
      <c r="G642" s="29" t="s">
        <v>611</v>
      </c>
      <c r="H642" s="31">
        <v>9.91745</v>
      </c>
      <c r="I642" s="29" t="s">
        <v>612</v>
      </c>
      <c r="J642" s="35" t="s">
        <v>642</v>
      </c>
      <c r="K642" s="29" t="s">
        <v>698</v>
      </c>
      <c r="L642" s="29" t="s">
        <v>704</v>
      </c>
      <c r="M642" s="35">
        <v>-10.957</v>
      </c>
      <c r="N642" s="35">
        <v>7.603</v>
      </c>
      <c r="O642" s="34" t="s">
        <v>641</v>
      </c>
      <c r="P642" s="32" t="s">
        <v>602</v>
      </c>
      <c r="Q642" s="29">
        <v>1.0</v>
      </c>
      <c r="R642" s="29">
        <v>1.0</v>
      </c>
      <c r="S642" s="36">
        <v>13.5</v>
      </c>
      <c r="T642" s="36">
        <v>51.5</v>
      </c>
      <c r="U642" s="36">
        <f t="shared" ref="U642:V642" si="110">SQRT(S642)</f>
        <v>3.674234614</v>
      </c>
      <c r="V642" s="36">
        <f t="shared" si="110"/>
        <v>7.176350047</v>
      </c>
      <c r="W642" s="37" t="s">
        <v>623</v>
      </c>
      <c r="X642" s="31">
        <v>0.9798411568609999</v>
      </c>
      <c r="Y642" s="36">
        <v>-1.33790839189818</v>
      </c>
      <c r="Z642" s="36">
        <v>0.0934915498022294</v>
      </c>
      <c r="AA642" s="29" t="s">
        <v>820</v>
      </c>
      <c r="AB642" s="31">
        <v>3.82401</v>
      </c>
      <c r="AC642" s="38">
        <v>410.0</v>
      </c>
    </row>
    <row r="643" ht="14.25" customHeight="1">
      <c r="A643" s="35" t="s">
        <v>183</v>
      </c>
      <c r="B643" s="35">
        <v>147.0</v>
      </c>
      <c r="C643" s="29" t="s">
        <v>608</v>
      </c>
      <c r="D643" s="35" t="s">
        <v>1007</v>
      </c>
      <c r="E643" s="35">
        <v>332.0</v>
      </c>
      <c r="F643" s="39" t="s">
        <v>1008</v>
      </c>
      <c r="G643" s="29" t="s">
        <v>611</v>
      </c>
      <c r="H643" s="31">
        <v>4.0</v>
      </c>
      <c r="I643" s="29" t="s">
        <v>612</v>
      </c>
      <c r="J643" s="35" t="s">
        <v>642</v>
      </c>
      <c r="K643" s="29" t="s">
        <v>698</v>
      </c>
      <c r="L643" s="29" t="s">
        <v>704</v>
      </c>
      <c r="M643" s="35">
        <v>-10.957</v>
      </c>
      <c r="N643" s="35">
        <v>7.603</v>
      </c>
      <c r="O643" s="34" t="s">
        <v>641</v>
      </c>
      <c r="P643" s="32" t="s">
        <v>602</v>
      </c>
      <c r="Q643" s="29">
        <v>1.0</v>
      </c>
      <c r="R643" s="29">
        <v>1.0</v>
      </c>
      <c r="S643" s="36">
        <v>0.0</v>
      </c>
      <c r="T643" s="36">
        <v>7.2</v>
      </c>
      <c r="U643" s="36">
        <f t="shared" ref="U643:V643" si="111">SQRT(S643)</f>
        <v>0</v>
      </c>
      <c r="V643" s="36">
        <f t="shared" si="111"/>
        <v>2.683281573</v>
      </c>
      <c r="W643" s="37" t="s">
        <v>623</v>
      </c>
      <c r="X643" s="31">
        <v>0.9798411568609999</v>
      </c>
      <c r="Y643" s="36">
        <v>-8.262558973010657</v>
      </c>
      <c r="Z643" s="36">
        <v>1.1709104667397494</v>
      </c>
      <c r="AA643" s="29" t="s">
        <v>820</v>
      </c>
      <c r="AB643" s="31">
        <v>3.82401</v>
      </c>
      <c r="AC643" s="38">
        <v>410.0</v>
      </c>
    </row>
    <row r="644" ht="14.25" customHeight="1">
      <c r="A644" s="35" t="s">
        <v>183</v>
      </c>
      <c r="B644" s="35">
        <v>147.0</v>
      </c>
      <c r="C644" s="29" t="s">
        <v>608</v>
      </c>
      <c r="D644" s="35" t="s">
        <v>702</v>
      </c>
      <c r="E644" s="35">
        <v>327.0</v>
      </c>
      <c r="F644" s="39" t="s">
        <v>703</v>
      </c>
      <c r="G644" s="29" t="s">
        <v>611</v>
      </c>
      <c r="H644" s="31">
        <v>4.09996</v>
      </c>
      <c r="I644" s="29" t="s">
        <v>597</v>
      </c>
      <c r="J644" s="35" t="s">
        <v>642</v>
      </c>
      <c r="K644" s="29" t="s">
        <v>698</v>
      </c>
      <c r="L644" s="29" t="s">
        <v>704</v>
      </c>
      <c r="M644" s="35">
        <v>-10.854</v>
      </c>
      <c r="N644" s="35">
        <v>7.674</v>
      </c>
      <c r="O644" s="34" t="s">
        <v>601</v>
      </c>
      <c r="P644" s="32" t="s">
        <v>602</v>
      </c>
      <c r="Q644" s="29">
        <v>1.0</v>
      </c>
      <c r="R644" s="29">
        <v>1.0</v>
      </c>
      <c r="S644" s="36">
        <v>49.0</v>
      </c>
      <c r="T644" s="36">
        <v>41.5</v>
      </c>
      <c r="U644" s="36">
        <f t="shared" ref="U644:V644" si="112">SQRT(S644)</f>
        <v>7</v>
      </c>
      <c r="V644" s="36">
        <f t="shared" si="112"/>
        <v>6.442049363</v>
      </c>
      <c r="W644" s="37" t="s">
        <v>623</v>
      </c>
      <c r="X644" s="31">
        <v>5.4399060189</v>
      </c>
      <c r="Y644" s="36">
        <v>0.16634535546049234</v>
      </c>
      <c r="Z644" s="36">
        <v>0.0445045488074748</v>
      </c>
      <c r="AA644" s="29" t="s">
        <v>820</v>
      </c>
      <c r="AB644" s="31">
        <v>22.5158</v>
      </c>
      <c r="AC644" s="29">
        <v>854.0</v>
      </c>
    </row>
    <row r="645" ht="14.25" customHeight="1">
      <c r="A645" s="35" t="s">
        <v>183</v>
      </c>
      <c r="B645" s="35">
        <v>147.0</v>
      </c>
      <c r="C645" s="29" t="s">
        <v>608</v>
      </c>
      <c r="D645" s="35" t="s">
        <v>706</v>
      </c>
      <c r="E645" s="35">
        <v>328.0</v>
      </c>
      <c r="F645" s="39" t="s">
        <v>707</v>
      </c>
      <c r="G645" s="29" t="s">
        <v>611</v>
      </c>
      <c r="H645" s="31">
        <v>4.17503</v>
      </c>
      <c r="I645" s="29" t="s">
        <v>616</v>
      </c>
      <c r="J645" s="35" t="s">
        <v>642</v>
      </c>
      <c r="K645" s="29" t="s">
        <v>698</v>
      </c>
      <c r="L645" s="29" t="s">
        <v>704</v>
      </c>
      <c r="M645" s="35">
        <v>-10.854</v>
      </c>
      <c r="N645" s="35">
        <v>7.674</v>
      </c>
      <c r="O645" s="34" t="s">
        <v>601</v>
      </c>
      <c r="P645" s="32" t="s">
        <v>602</v>
      </c>
      <c r="Q645" s="29">
        <v>1.0</v>
      </c>
      <c r="R645" s="29">
        <v>1.0</v>
      </c>
      <c r="S645" s="36">
        <v>75.0</v>
      </c>
      <c r="T645" s="36">
        <v>55.6</v>
      </c>
      <c r="U645" s="36">
        <f t="shared" ref="U645:V645" si="113">SQRT(S645)</f>
        <v>8.660254038</v>
      </c>
      <c r="V645" s="36">
        <f t="shared" si="113"/>
        <v>7.456540753</v>
      </c>
      <c r="W645" s="37" t="s">
        <v>623</v>
      </c>
      <c r="X645" s="31">
        <v>5.4399060189</v>
      </c>
      <c r="Y645" s="36">
        <v>0.29949615646133965</v>
      </c>
      <c r="Z645" s="36">
        <v>0.0313189448441247</v>
      </c>
      <c r="AA645" s="29" t="s">
        <v>820</v>
      </c>
      <c r="AB645" s="31">
        <v>22.5158</v>
      </c>
      <c r="AC645" s="29">
        <v>854.0</v>
      </c>
    </row>
    <row r="646" ht="14.25" customHeight="1">
      <c r="A646" s="35" t="s">
        <v>183</v>
      </c>
      <c r="B646" s="35">
        <v>147.0</v>
      </c>
      <c r="C646" s="29" t="s">
        <v>608</v>
      </c>
      <c r="D646" s="35" t="s">
        <v>708</v>
      </c>
      <c r="E646" s="35">
        <v>329.0</v>
      </c>
      <c r="F646" s="39" t="s">
        <v>709</v>
      </c>
      <c r="G646" s="29" t="s">
        <v>611</v>
      </c>
      <c r="H646" s="31">
        <v>2.7749800000000002</v>
      </c>
      <c r="I646" s="29" t="s">
        <v>616</v>
      </c>
      <c r="J646" s="35" t="s">
        <v>642</v>
      </c>
      <c r="K646" s="29" t="s">
        <v>698</v>
      </c>
      <c r="L646" s="29" t="s">
        <v>704</v>
      </c>
      <c r="M646" s="35">
        <v>-10.854</v>
      </c>
      <c r="N646" s="35">
        <v>7.674</v>
      </c>
      <c r="O646" s="34" t="s">
        <v>601</v>
      </c>
      <c r="P646" s="32" t="s">
        <v>602</v>
      </c>
      <c r="Q646" s="29">
        <v>1.0</v>
      </c>
      <c r="R646" s="29">
        <v>1.0</v>
      </c>
      <c r="S646" s="36">
        <v>42.0</v>
      </c>
      <c r="T646" s="36">
        <v>53.1</v>
      </c>
      <c r="U646" s="36">
        <f t="shared" ref="U646:V646" si="114">SQRT(S646)</f>
        <v>6.480740698</v>
      </c>
      <c r="V646" s="36">
        <f t="shared" si="114"/>
        <v>7.286974681</v>
      </c>
      <c r="W646" s="37" t="s">
        <v>623</v>
      </c>
      <c r="X646" s="31">
        <v>5.4399060189</v>
      </c>
      <c r="Y646" s="36">
        <v>-0.2341811800458478</v>
      </c>
      <c r="Z646" s="36">
        <v>0.042641915523271456</v>
      </c>
      <c r="AA646" s="29" t="s">
        <v>820</v>
      </c>
      <c r="AB646" s="31">
        <v>22.5158</v>
      </c>
      <c r="AC646" s="29">
        <v>854.0</v>
      </c>
    </row>
    <row r="647" ht="14.25" customHeight="1">
      <c r="A647" s="35" t="s">
        <v>183</v>
      </c>
      <c r="B647" s="35">
        <v>147.0</v>
      </c>
      <c r="C647" s="29" t="s">
        <v>608</v>
      </c>
      <c r="D647" s="35" t="s">
        <v>1005</v>
      </c>
      <c r="E647" s="35">
        <v>330.0</v>
      </c>
      <c r="F647" s="39" t="s">
        <v>1006</v>
      </c>
      <c r="G647" s="29" t="s">
        <v>611</v>
      </c>
      <c r="H647" s="31">
        <v>9.91745</v>
      </c>
      <c r="I647" s="29" t="s">
        <v>612</v>
      </c>
      <c r="J647" s="35" t="s">
        <v>642</v>
      </c>
      <c r="K647" s="29" t="s">
        <v>698</v>
      </c>
      <c r="L647" s="29" t="s">
        <v>704</v>
      </c>
      <c r="M647" s="35">
        <v>-10.854</v>
      </c>
      <c r="N647" s="35">
        <v>7.674</v>
      </c>
      <c r="O647" s="34" t="s">
        <v>601</v>
      </c>
      <c r="P647" s="32" t="s">
        <v>602</v>
      </c>
      <c r="Q647" s="29">
        <v>1.0</v>
      </c>
      <c r="R647" s="29">
        <v>1.0</v>
      </c>
      <c r="S647" s="36">
        <v>22.5</v>
      </c>
      <c r="T647" s="36">
        <v>51.5</v>
      </c>
      <c r="U647" s="36">
        <f t="shared" ref="U647:V647" si="115">SQRT(S647)</f>
        <v>4.74341649</v>
      </c>
      <c r="V647" s="36">
        <f t="shared" si="115"/>
        <v>7.176350047</v>
      </c>
      <c r="W647" s="37" t="s">
        <v>623</v>
      </c>
      <c r="X647" s="31">
        <v>5.4399060189</v>
      </c>
      <c r="Y647" s="36">
        <v>-0.8274761441436173</v>
      </c>
      <c r="Z647" s="36">
        <v>0.06386192017259978</v>
      </c>
      <c r="AA647" s="29" t="s">
        <v>820</v>
      </c>
      <c r="AB647" s="31">
        <v>22.5158</v>
      </c>
      <c r="AC647" s="29">
        <v>854.0</v>
      </c>
    </row>
    <row r="648" ht="14.25" customHeight="1">
      <c r="A648" s="35" t="s">
        <v>183</v>
      </c>
      <c r="B648" s="35">
        <v>147.0</v>
      </c>
      <c r="C648" s="29" t="s">
        <v>608</v>
      </c>
      <c r="D648" s="35" t="s">
        <v>1009</v>
      </c>
      <c r="E648" s="35">
        <v>331.0</v>
      </c>
      <c r="F648" s="39" t="s">
        <v>1010</v>
      </c>
      <c r="G648" s="29" t="s">
        <v>611</v>
      </c>
      <c r="H648" s="31">
        <v>9.5</v>
      </c>
      <c r="I648" s="29" t="s">
        <v>612</v>
      </c>
      <c r="J648" s="35" t="s">
        <v>642</v>
      </c>
      <c r="K648" s="29" t="s">
        <v>698</v>
      </c>
      <c r="L648" s="29" t="s">
        <v>704</v>
      </c>
      <c r="M648" s="35">
        <v>-10.854</v>
      </c>
      <c r="N648" s="35">
        <v>7.674</v>
      </c>
      <c r="O648" s="34" t="s">
        <v>601</v>
      </c>
      <c r="P648" s="32" t="s">
        <v>602</v>
      </c>
      <c r="Q648" s="29">
        <v>1.0</v>
      </c>
      <c r="R648" s="29">
        <v>1.0</v>
      </c>
      <c r="S648" s="36">
        <v>43.8</v>
      </c>
      <c r="T648" s="36">
        <v>60.7</v>
      </c>
      <c r="U648" s="36">
        <f t="shared" ref="U648:V648" si="116">SQRT(S648)</f>
        <v>6.618156843</v>
      </c>
      <c r="V648" s="36">
        <f t="shared" si="116"/>
        <v>7.791020472</v>
      </c>
      <c r="W648" s="37" t="s">
        <v>623</v>
      </c>
      <c r="X648" s="31">
        <v>5.4399060189</v>
      </c>
      <c r="Y648" s="36">
        <v>-0.3259523995022194</v>
      </c>
      <c r="Z648" s="36">
        <v>0.03930551480821166</v>
      </c>
      <c r="AA648" s="29" t="s">
        <v>820</v>
      </c>
      <c r="AB648" s="31">
        <v>22.5158</v>
      </c>
      <c r="AC648" s="29">
        <v>854.0</v>
      </c>
    </row>
    <row r="649" ht="14.25" customHeight="1">
      <c r="A649" s="35" t="s">
        <v>183</v>
      </c>
      <c r="B649" s="35">
        <v>147.0</v>
      </c>
      <c r="C649" s="29" t="s">
        <v>608</v>
      </c>
      <c r="D649" s="35" t="s">
        <v>1007</v>
      </c>
      <c r="E649" s="35">
        <v>332.0</v>
      </c>
      <c r="F649" s="39" t="s">
        <v>1008</v>
      </c>
      <c r="G649" s="29" t="s">
        <v>611</v>
      </c>
      <c r="H649" s="31">
        <v>4.0</v>
      </c>
      <c r="I649" s="29" t="s">
        <v>612</v>
      </c>
      <c r="J649" s="35" t="s">
        <v>642</v>
      </c>
      <c r="K649" s="29" t="s">
        <v>698</v>
      </c>
      <c r="L649" s="29" t="s">
        <v>704</v>
      </c>
      <c r="M649" s="35">
        <v>-10.854</v>
      </c>
      <c r="N649" s="35">
        <v>7.674</v>
      </c>
      <c r="O649" s="34" t="s">
        <v>601</v>
      </c>
      <c r="P649" s="32" t="s">
        <v>602</v>
      </c>
      <c r="Q649" s="29">
        <v>1.0</v>
      </c>
      <c r="R649" s="29">
        <v>1.0</v>
      </c>
      <c r="S649" s="36">
        <v>7.5</v>
      </c>
      <c r="T649" s="36">
        <v>7.2</v>
      </c>
      <c r="U649" s="36">
        <f t="shared" ref="U649:V649" si="117">SQRT(S649)</f>
        <v>2.738612788</v>
      </c>
      <c r="V649" s="36">
        <f t="shared" si="117"/>
        <v>2.683281573</v>
      </c>
      <c r="W649" s="37" t="s">
        <v>623</v>
      </c>
      <c r="X649" s="31">
        <v>5.4399060189</v>
      </c>
      <c r="Y649" s="36">
        <v>0.041069641871694366</v>
      </c>
      <c r="Z649" s="36">
        <v>0.27222222222222225</v>
      </c>
      <c r="AA649" s="29" t="s">
        <v>820</v>
      </c>
      <c r="AB649" s="31">
        <v>22.5158</v>
      </c>
      <c r="AC649" s="29">
        <v>854.0</v>
      </c>
    </row>
    <row r="650" ht="14.25" customHeight="1">
      <c r="A650" s="29" t="s">
        <v>69</v>
      </c>
      <c r="B650" s="29">
        <v>35.0</v>
      </c>
      <c r="C650" s="29" t="s">
        <v>593</v>
      </c>
      <c r="D650" s="35" t="s">
        <v>1011</v>
      </c>
      <c r="E650" s="29">
        <v>212.0</v>
      </c>
      <c r="F650" s="30" t="s">
        <v>1012</v>
      </c>
      <c r="G650" s="29" t="s">
        <v>886</v>
      </c>
      <c r="H650" s="31">
        <v>0.48</v>
      </c>
      <c r="I650" s="29" t="s">
        <v>597</v>
      </c>
      <c r="J650" s="32" t="s">
        <v>598</v>
      </c>
      <c r="K650" s="29" t="s">
        <v>840</v>
      </c>
      <c r="L650" s="29" t="s">
        <v>954</v>
      </c>
      <c r="M650" s="33">
        <v>-85.0</v>
      </c>
      <c r="N650" s="33">
        <v>14.969</v>
      </c>
      <c r="O650" s="34" t="s">
        <v>601</v>
      </c>
      <c r="P650" s="32" t="s">
        <v>602</v>
      </c>
      <c r="Q650" s="35">
        <v>3.0</v>
      </c>
      <c r="R650" s="35">
        <v>3.0</v>
      </c>
      <c r="S650" s="36">
        <v>7.6667</v>
      </c>
      <c r="T650" s="36">
        <v>4.3333</v>
      </c>
      <c r="U650" s="36">
        <v>6.6583</v>
      </c>
      <c r="V650" s="36">
        <v>4.9329</v>
      </c>
      <c r="W650" s="36" t="s">
        <v>780</v>
      </c>
      <c r="X650" s="31">
        <v>0.675</v>
      </c>
      <c r="Y650" s="36">
        <v>0.571292579226084</v>
      </c>
      <c r="Z650" s="36">
        <v>0.6833757693015419</v>
      </c>
      <c r="AA650" s="29" t="s">
        <v>820</v>
      </c>
      <c r="AB650" s="31">
        <v>0.290982544422</v>
      </c>
      <c r="AC650" s="38">
        <v>348.0</v>
      </c>
    </row>
    <row r="651" ht="14.25" customHeight="1">
      <c r="A651" s="29" t="s">
        <v>69</v>
      </c>
      <c r="B651" s="29">
        <v>35.0</v>
      </c>
      <c r="C651" s="29" t="s">
        <v>593</v>
      </c>
      <c r="D651" s="35" t="s">
        <v>1011</v>
      </c>
      <c r="E651" s="29">
        <v>212.0</v>
      </c>
      <c r="F651" s="30" t="s">
        <v>1012</v>
      </c>
      <c r="G651" s="29" t="s">
        <v>886</v>
      </c>
      <c r="H651" s="31">
        <v>0.48</v>
      </c>
      <c r="I651" s="29" t="s">
        <v>597</v>
      </c>
      <c r="J651" s="32" t="s">
        <v>598</v>
      </c>
      <c r="K651" s="29" t="s">
        <v>840</v>
      </c>
      <c r="L651" s="29" t="s">
        <v>954</v>
      </c>
      <c r="M651" s="33">
        <v>-85.0</v>
      </c>
      <c r="N651" s="33">
        <v>14.969</v>
      </c>
      <c r="O651" s="34" t="s">
        <v>601</v>
      </c>
      <c r="P651" s="32" t="s">
        <v>602</v>
      </c>
      <c r="Q651" s="35">
        <v>3.0</v>
      </c>
      <c r="R651" s="35">
        <v>3.0</v>
      </c>
      <c r="S651" s="36">
        <v>9.0</v>
      </c>
      <c r="T651" s="36">
        <v>4.3333</v>
      </c>
      <c r="U651" s="36">
        <v>5.2915</v>
      </c>
      <c r="V651" s="36">
        <v>4.9329</v>
      </c>
      <c r="W651" s="36" t="s">
        <v>780</v>
      </c>
      <c r="X651" s="31">
        <v>1.925</v>
      </c>
      <c r="Y651" s="36">
        <v>0.7315219286350109</v>
      </c>
      <c r="Z651" s="36">
        <v>0.5471885328823034</v>
      </c>
      <c r="AA651" s="29" t="s">
        <v>820</v>
      </c>
      <c r="AB651" s="31">
        <v>0.290982544422</v>
      </c>
      <c r="AC651" s="38">
        <v>348.0</v>
      </c>
    </row>
    <row r="652" ht="14.25" customHeight="1">
      <c r="A652" s="29" t="s">
        <v>69</v>
      </c>
      <c r="B652" s="29">
        <v>35.0</v>
      </c>
      <c r="C652" s="29" t="s">
        <v>593</v>
      </c>
      <c r="D652" s="29" t="s">
        <v>1013</v>
      </c>
      <c r="E652" s="29">
        <v>10.0</v>
      </c>
      <c r="F652" s="30" t="s">
        <v>1014</v>
      </c>
      <c r="G652" s="29" t="s">
        <v>886</v>
      </c>
      <c r="H652" s="31">
        <v>1.3</v>
      </c>
      <c r="I652" s="29" t="s">
        <v>597</v>
      </c>
      <c r="J652" s="32" t="s">
        <v>598</v>
      </c>
      <c r="K652" s="29" t="s">
        <v>840</v>
      </c>
      <c r="L652" s="29" t="s">
        <v>954</v>
      </c>
      <c r="M652" s="33">
        <v>-85.0</v>
      </c>
      <c r="N652" s="33">
        <v>14.969</v>
      </c>
      <c r="O652" s="34" t="s">
        <v>601</v>
      </c>
      <c r="P652" s="32" t="s">
        <v>602</v>
      </c>
      <c r="Q652" s="35">
        <v>3.0</v>
      </c>
      <c r="R652" s="35">
        <v>3.0</v>
      </c>
      <c r="S652" s="36">
        <v>0.3333</v>
      </c>
      <c r="T652" s="36">
        <v>0.3333</v>
      </c>
      <c r="U652" s="36">
        <v>0.5774</v>
      </c>
      <c r="V652" s="36">
        <v>0.5774</v>
      </c>
      <c r="W652" s="36" t="s">
        <v>780</v>
      </c>
      <c r="X652" s="31">
        <v>0.675</v>
      </c>
      <c r="Y652" s="36">
        <v>0.001301236357971734</v>
      </c>
      <c r="Z652" s="36">
        <v>2.0007446889303395</v>
      </c>
      <c r="AA652" s="29" t="s">
        <v>820</v>
      </c>
      <c r="AB652" s="31">
        <v>0.290982544422</v>
      </c>
      <c r="AC652" s="38">
        <v>348.0</v>
      </c>
    </row>
    <row r="653" ht="14.25" customHeight="1">
      <c r="A653" s="29" t="s">
        <v>69</v>
      </c>
      <c r="B653" s="29">
        <v>35.0</v>
      </c>
      <c r="C653" s="29" t="s">
        <v>593</v>
      </c>
      <c r="D653" s="29" t="s">
        <v>1013</v>
      </c>
      <c r="E653" s="29">
        <v>10.0</v>
      </c>
      <c r="F653" s="30" t="s">
        <v>1014</v>
      </c>
      <c r="G653" s="29" t="s">
        <v>886</v>
      </c>
      <c r="H653" s="31">
        <v>1.3</v>
      </c>
      <c r="I653" s="29" t="s">
        <v>597</v>
      </c>
      <c r="J653" s="32" t="s">
        <v>598</v>
      </c>
      <c r="K653" s="29" t="s">
        <v>840</v>
      </c>
      <c r="L653" s="29" t="s">
        <v>954</v>
      </c>
      <c r="M653" s="33">
        <v>-85.0</v>
      </c>
      <c r="N653" s="33">
        <v>14.969</v>
      </c>
      <c r="O653" s="34" t="s">
        <v>601</v>
      </c>
      <c r="P653" s="32" t="s">
        <v>602</v>
      </c>
      <c r="Q653" s="35">
        <v>3.0</v>
      </c>
      <c r="R653" s="35">
        <v>3.0</v>
      </c>
      <c r="S653" s="36">
        <v>2.3333</v>
      </c>
      <c r="T653" s="36">
        <v>0.3333</v>
      </c>
      <c r="U653" s="36">
        <v>2.0817</v>
      </c>
      <c r="V653" s="36">
        <v>0.5774</v>
      </c>
      <c r="W653" s="36" t="s">
        <v>780</v>
      </c>
      <c r="X653" s="31">
        <v>1.925</v>
      </c>
      <c r="Y653" s="36">
        <v>1.9461818469048715</v>
      </c>
      <c r="Z653" s="36">
        <v>1.2656947142338322</v>
      </c>
      <c r="AA653" s="29" t="s">
        <v>820</v>
      </c>
      <c r="AB653" s="31">
        <v>0.290982544422</v>
      </c>
      <c r="AC653" s="38">
        <v>348.0</v>
      </c>
    </row>
    <row r="654" ht="14.25" customHeight="1">
      <c r="A654" s="29" t="s">
        <v>69</v>
      </c>
      <c r="B654" s="29">
        <v>35.0</v>
      </c>
      <c r="C654" s="29" t="s">
        <v>593</v>
      </c>
      <c r="D654" s="35" t="s">
        <v>1015</v>
      </c>
      <c r="E654" s="29">
        <v>11.0</v>
      </c>
      <c r="F654" s="30" t="s">
        <v>1016</v>
      </c>
      <c r="G654" s="29" t="s">
        <v>886</v>
      </c>
      <c r="H654" s="31">
        <v>1.02</v>
      </c>
      <c r="I654" s="29" t="s">
        <v>616</v>
      </c>
      <c r="J654" s="32" t="s">
        <v>598</v>
      </c>
      <c r="K654" s="29" t="s">
        <v>840</v>
      </c>
      <c r="L654" s="29" t="s">
        <v>954</v>
      </c>
      <c r="M654" s="33">
        <v>-85.0</v>
      </c>
      <c r="N654" s="33">
        <v>14.969</v>
      </c>
      <c r="O654" s="34" t="s">
        <v>601</v>
      </c>
      <c r="P654" s="32" t="s">
        <v>602</v>
      </c>
      <c r="Q654" s="35">
        <v>3.0</v>
      </c>
      <c r="R654" s="35">
        <v>3.0</v>
      </c>
      <c r="S654" s="36">
        <v>3.3333</v>
      </c>
      <c r="T654" s="36">
        <v>4.6667</v>
      </c>
      <c r="U654" s="36">
        <v>2.0817</v>
      </c>
      <c r="V654" s="36">
        <v>3.5119</v>
      </c>
      <c r="W654" s="36" t="s">
        <v>780</v>
      </c>
      <c r="X654" s="31">
        <v>0.675</v>
      </c>
      <c r="Y654" s="36">
        <v>-0.3346680911388745</v>
      </c>
      <c r="Z654" s="36">
        <v>0.31878131753615147</v>
      </c>
      <c r="AA654" s="29" t="s">
        <v>820</v>
      </c>
      <c r="AB654" s="31">
        <v>0.290982544422</v>
      </c>
      <c r="AC654" s="38">
        <v>348.0</v>
      </c>
    </row>
    <row r="655" ht="14.25" customHeight="1">
      <c r="A655" s="29" t="s">
        <v>69</v>
      </c>
      <c r="B655" s="29">
        <v>35.0</v>
      </c>
      <c r="C655" s="29" t="s">
        <v>593</v>
      </c>
      <c r="D655" s="35" t="s">
        <v>1015</v>
      </c>
      <c r="E655" s="29">
        <v>11.0</v>
      </c>
      <c r="F655" s="30" t="s">
        <v>1016</v>
      </c>
      <c r="G655" s="29" t="s">
        <v>886</v>
      </c>
      <c r="H655" s="31">
        <v>1.02</v>
      </c>
      <c r="I655" s="29" t="s">
        <v>616</v>
      </c>
      <c r="J655" s="32" t="s">
        <v>598</v>
      </c>
      <c r="K655" s="29" t="s">
        <v>840</v>
      </c>
      <c r="L655" s="29" t="s">
        <v>954</v>
      </c>
      <c r="M655" s="33">
        <v>-85.0</v>
      </c>
      <c r="N655" s="33">
        <v>14.969</v>
      </c>
      <c r="O655" s="34" t="s">
        <v>601</v>
      </c>
      <c r="P655" s="32" t="s">
        <v>602</v>
      </c>
      <c r="Q655" s="35">
        <v>3.0</v>
      </c>
      <c r="R655" s="35">
        <v>3.0</v>
      </c>
      <c r="S655" s="36">
        <v>4.3333</v>
      </c>
      <c r="T655" s="36">
        <v>4.6667</v>
      </c>
      <c r="U655" s="36">
        <v>3.5119</v>
      </c>
      <c r="V655" s="36">
        <v>3.5119</v>
      </c>
      <c r="W655" s="36" t="s">
        <v>780</v>
      </c>
      <c r="X655" s="31">
        <v>1.925</v>
      </c>
      <c r="Y655" s="36">
        <v>-0.07272152518478088</v>
      </c>
      <c r="Z655" s="36">
        <v>0.407714672323664</v>
      </c>
      <c r="AA655" s="29" t="s">
        <v>820</v>
      </c>
      <c r="AB655" s="31">
        <v>0.290982544422</v>
      </c>
      <c r="AC655" s="38">
        <v>348.0</v>
      </c>
    </row>
    <row r="656" ht="14.25" customHeight="1">
      <c r="A656" s="29" t="s">
        <v>69</v>
      </c>
      <c r="B656" s="29">
        <v>35.0</v>
      </c>
      <c r="C656" s="29" t="s">
        <v>593</v>
      </c>
      <c r="D656" s="29" t="s">
        <v>1017</v>
      </c>
      <c r="E656" s="29">
        <v>13.0</v>
      </c>
      <c r="F656" s="30" t="s">
        <v>1018</v>
      </c>
      <c r="G656" s="29" t="s">
        <v>886</v>
      </c>
      <c r="H656" s="31">
        <v>0.14</v>
      </c>
      <c r="I656" s="29" t="s">
        <v>597</v>
      </c>
      <c r="J656" s="32" t="s">
        <v>598</v>
      </c>
      <c r="K656" s="29" t="s">
        <v>840</v>
      </c>
      <c r="L656" s="29" t="s">
        <v>954</v>
      </c>
      <c r="M656" s="33">
        <v>-85.0</v>
      </c>
      <c r="N656" s="33">
        <v>14.969</v>
      </c>
      <c r="O656" s="34" t="s">
        <v>601</v>
      </c>
      <c r="P656" s="32" t="s">
        <v>602</v>
      </c>
      <c r="Q656" s="35">
        <v>3.0</v>
      </c>
      <c r="R656" s="35">
        <v>3.0</v>
      </c>
      <c r="S656" s="36">
        <v>1.6667</v>
      </c>
      <c r="T656" s="36">
        <v>2.6667</v>
      </c>
      <c r="U656" s="36">
        <v>1.5275</v>
      </c>
      <c r="V656" s="36">
        <v>0.5774</v>
      </c>
      <c r="W656" s="36" t="s">
        <v>780</v>
      </c>
      <c r="X656" s="31">
        <v>0.675</v>
      </c>
      <c r="Y656" s="36">
        <v>-0.4679149787559877</v>
      </c>
      <c r="Z656" s="36">
        <v>0.2956068518960084</v>
      </c>
      <c r="AA656" s="29" t="s">
        <v>820</v>
      </c>
      <c r="AB656" s="31">
        <v>0.290982544422</v>
      </c>
      <c r="AC656" s="38">
        <v>348.0</v>
      </c>
    </row>
    <row r="657" ht="14.25" customHeight="1">
      <c r="A657" s="29" t="s">
        <v>69</v>
      </c>
      <c r="B657" s="29">
        <v>35.0</v>
      </c>
      <c r="C657" s="29" t="s">
        <v>593</v>
      </c>
      <c r="D657" s="29" t="s">
        <v>1017</v>
      </c>
      <c r="E657" s="29">
        <v>13.0</v>
      </c>
      <c r="F657" s="30" t="s">
        <v>1018</v>
      </c>
      <c r="G657" s="29" t="s">
        <v>886</v>
      </c>
      <c r="H657" s="31">
        <v>0.14</v>
      </c>
      <c r="I657" s="29" t="s">
        <v>597</v>
      </c>
      <c r="J657" s="32" t="s">
        <v>598</v>
      </c>
      <c r="K657" s="29" t="s">
        <v>840</v>
      </c>
      <c r="L657" s="29" t="s">
        <v>954</v>
      </c>
      <c r="M657" s="33">
        <v>-85.0</v>
      </c>
      <c r="N657" s="33">
        <v>14.969</v>
      </c>
      <c r="O657" s="34" t="s">
        <v>601</v>
      </c>
      <c r="P657" s="32" t="s">
        <v>602</v>
      </c>
      <c r="Q657" s="35">
        <v>3.0</v>
      </c>
      <c r="R657" s="35">
        <v>3.0</v>
      </c>
      <c r="S657" s="36">
        <v>2.3333</v>
      </c>
      <c r="T657" s="36">
        <v>2.6667</v>
      </c>
      <c r="U657" s="36">
        <v>3.2146</v>
      </c>
      <c r="V657" s="36">
        <v>0.5774</v>
      </c>
      <c r="W657" s="36" t="s">
        <v>780</v>
      </c>
      <c r="X657" s="31">
        <v>1.925</v>
      </c>
      <c r="Y657" s="36">
        <v>-0.1320711494401128</v>
      </c>
      <c r="Z657" s="36">
        <v>0.6483180203875789</v>
      </c>
      <c r="AA657" s="29" t="s">
        <v>820</v>
      </c>
      <c r="AB657" s="31">
        <v>0.290982544422</v>
      </c>
      <c r="AC657" s="38">
        <v>348.0</v>
      </c>
    </row>
    <row r="658" ht="14.25" customHeight="1">
      <c r="A658" s="29" t="s">
        <v>69</v>
      </c>
      <c r="B658" s="29">
        <v>35.0</v>
      </c>
      <c r="C658" s="29" t="s">
        <v>593</v>
      </c>
      <c r="D658" s="29" t="s">
        <v>1019</v>
      </c>
      <c r="E658" s="29">
        <v>55.0</v>
      </c>
      <c r="F658" s="30" t="s">
        <v>1020</v>
      </c>
      <c r="G658" s="29" t="s">
        <v>902</v>
      </c>
      <c r="H658" s="31">
        <v>0.08</v>
      </c>
      <c r="I658" s="29" t="s">
        <v>597</v>
      </c>
      <c r="J658" s="32" t="s">
        <v>598</v>
      </c>
      <c r="K658" s="29" t="s">
        <v>840</v>
      </c>
      <c r="L658" s="29" t="s">
        <v>954</v>
      </c>
      <c r="M658" s="33">
        <v>-85.0</v>
      </c>
      <c r="N658" s="33">
        <v>14.969</v>
      </c>
      <c r="O658" s="34" t="s">
        <v>601</v>
      </c>
      <c r="P658" s="32" t="s">
        <v>602</v>
      </c>
      <c r="Q658" s="35">
        <v>3.0</v>
      </c>
      <c r="R658" s="35">
        <v>3.0</v>
      </c>
      <c r="S658" s="36">
        <v>9.6667</v>
      </c>
      <c r="T658" s="36">
        <v>3.6667</v>
      </c>
      <c r="U658" s="36">
        <v>9.8658</v>
      </c>
      <c r="V658" s="36">
        <v>2.5166</v>
      </c>
      <c r="W658" s="36" t="s">
        <v>780</v>
      </c>
      <c r="X658" s="31">
        <v>0.675</v>
      </c>
      <c r="Y658" s="36">
        <v>0.969888689128549</v>
      </c>
      <c r="Z658" s="36">
        <v>0.5042262315340935</v>
      </c>
      <c r="AA658" s="29" t="s">
        <v>820</v>
      </c>
      <c r="AB658" s="31">
        <v>0.290982544422</v>
      </c>
      <c r="AC658" s="38">
        <v>348.0</v>
      </c>
    </row>
    <row r="659" ht="14.25" customHeight="1">
      <c r="A659" s="29" t="s">
        <v>69</v>
      </c>
      <c r="B659" s="29">
        <v>35.0</v>
      </c>
      <c r="C659" s="29" t="s">
        <v>593</v>
      </c>
      <c r="D659" s="29" t="s">
        <v>1019</v>
      </c>
      <c r="E659" s="29">
        <v>55.0</v>
      </c>
      <c r="F659" s="30" t="s">
        <v>1020</v>
      </c>
      <c r="G659" s="29" t="s">
        <v>902</v>
      </c>
      <c r="H659" s="31">
        <v>0.08</v>
      </c>
      <c r="I659" s="29" t="s">
        <v>597</v>
      </c>
      <c r="J659" s="32" t="s">
        <v>598</v>
      </c>
      <c r="K659" s="29" t="s">
        <v>840</v>
      </c>
      <c r="L659" s="29" t="s">
        <v>954</v>
      </c>
      <c r="M659" s="33">
        <v>-85.0</v>
      </c>
      <c r="N659" s="33">
        <v>14.969</v>
      </c>
      <c r="O659" s="34" t="s">
        <v>601</v>
      </c>
      <c r="P659" s="32" t="s">
        <v>602</v>
      </c>
      <c r="Q659" s="35">
        <v>3.0</v>
      </c>
      <c r="R659" s="35">
        <v>3.0</v>
      </c>
      <c r="S659" s="36">
        <v>7.3333</v>
      </c>
      <c r="T659" s="36">
        <v>3.6667</v>
      </c>
      <c r="U659" s="36">
        <v>5.1316</v>
      </c>
      <c r="V659" s="36">
        <v>2.5166</v>
      </c>
      <c r="W659" s="36" t="s">
        <v>780</v>
      </c>
      <c r="X659" s="31">
        <v>1.925</v>
      </c>
      <c r="Y659" s="36">
        <v>0.693784382930384</v>
      </c>
      <c r="Z659" s="36">
        <v>0.320245038842103</v>
      </c>
      <c r="AA659" s="29" t="s">
        <v>820</v>
      </c>
      <c r="AB659" s="31">
        <v>0.290982544422</v>
      </c>
      <c r="AC659" s="38">
        <v>348.0</v>
      </c>
    </row>
    <row r="660" ht="14.25" customHeight="1">
      <c r="A660" s="29" t="s">
        <v>69</v>
      </c>
      <c r="B660" s="29">
        <v>35.0</v>
      </c>
      <c r="C660" s="29" t="s">
        <v>593</v>
      </c>
      <c r="D660" s="29" t="s">
        <v>838</v>
      </c>
      <c r="E660" s="29">
        <v>62.0</v>
      </c>
      <c r="F660" s="30" t="s">
        <v>839</v>
      </c>
      <c r="G660" s="29" t="s">
        <v>607</v>
      </c>
      <c r="H660" s="31">
        <v>4.13</v>
      </c>
      <c r="I660" s="29" t="s">
        <v>597</v>
      </c>
      <c r="J660" s="32" t="s">
        <v>598</v>
      </c>
      <c r="K660" s="29" t="s">
        <v>840</v>
      </c>
      <c r="L660" s="29" t="s">
        <v>954</v>
      </c>
      <c r="M660" s="33">
        <v>-85.0</v>
      </c>
      <c r="N660" s="33">
        <v>14.969</v>
      </c>
      <c r="O660" s="34" t="s">
        <v>601</v>
      </c>
      <c r="P660" s="32" t="s">
        <v>602</v>
      </c>
      <c r="Q660" s="35">
        <v>3.0</v>
      </c>
      <c r="R660" s="35">
        <v>3.0</v>
      </c>
      <c r="S660" s="36">
        <v>0.6667</v>
      </c>
      <c r="T660" s="36">
        <v>5.6667</v>
      </c>
      <c r="U660" s="36">
        <v>1.1547</v>
      </c>
      <c r="V660" s="36">
        <v>9.815</v>
      </c>
      <c r="W660" s="36" t="s">
        <v>780</v>
      </c>
      <c r="X660" s="31">
        <v>0.675</v>
      </c>
      <c r="Y660" s="36">
        <v>-2.129015620553023</v>
      </c>
      <c r="Z660" s="36">
        <v>1.9998965664371358</v>
      </c>
      <c r="AA660" s="29" t="s">
        <v>820</v>
      </c>
      <c r="AB660" s="31">
        <v>0.290982544422</v>
      </c>
      <c r="AC660" s="38">
        <v>348.0</v>
      </c>
    </row>
    <row r="661" ht="14.25" customHeight="1">
      <c r="A661" s="29" t="s">
        <v>69</v>
      </c>
      <c r="B661" s="29">
        <v>35.0</v>
      </c>
      <c r="C661" s="29" t="s">
        <v>593</v>
      </c>
      <c r="D661" s="29" t="s">
        <v>838</v>
      </c>
      <c r="E661" s="29">
        <v>62.0</v>
      </c>
      <c r="F661" s="30" t="s">
        <v>839</v>
      </c>
      <c r="G661" s="29" t="s">
        <v>607</v>
      </c>
      <c r="H661" s="31">
        <v>4.13</v>
      </c>
      <c r="I661" s="29" t="s">
        <v>597</v>
      </c>
      <c r="J661" s="32" t="s">
        <v>598</v>
      </c>
      <c r="K661" s="29" t="s">
        <v>840</v>
      </c>
      <c r="L661" s="29" t="s">
        <v>954</v>
      </c>
      <c r="M661" s="33">
        <v>-85.0</v>
      </c>
      <c r="N661" s="33">
        <v>14.969</v>
      </c>
      <c r="O661" s="34" t="s">
        <v>601</v>
      </c>
      <c r="P661" s="32" t="s">
        <v>602</v>
      </c>
      <c r="Q661" s="35">
        <v>3.0</v>
      </c>
      <c r="R661" s="35">
        <v>3.0</v>
      </c>
      <c r="S661" s="36">
        <v>5.0</v>
      </c>
      <c r="T661" s="36">
        <v>5.6667</v>
      </c>
      <c r="U661" s="36">
        <v>4.0</v>
      </c>
      <c r="V661" s="36">
        <v>9.815</v>
      </c>
      <c r="W661" s="36" t="s">
        <v>780</v>
      </c>
      <c r="X661" s="31">
        <v>1.925</v>
      </c>
      <c r="Y661" s="36">
        <v>-0.12369440994447423</v>
      </c>
      <c r="Z661" s="36">
        <v>1.213330824677726</v>
      </c>
      <c r="AA661" s="29" t="s">
        <v>820</v>
      </c>
      <c r="AB661" s="31">
        <v>0.290982544422</v>
      </c>
      <c r="AC661" s="38">
        <v>348.0</v>
      </c>
    </row>
    <row r="662" ht="14.25" customHeight="1">
      <c r="A662" s="29" t="s">
        <v>69</v>
      </c>
      <c r="B662" s="29">
        <v>35.0</v>
      </c>
      <c r="C662" s="29" t="s">
        <v>593</v>
      </c>
      <c r="D662" s="29" t="s">
        <v>1021</v>
      </c>
      <c r="E662" s="29">
        <v>116.0</v>
      </c>
      <c r="F662" s="30" t="s">
        <v>1022</v>
      </c>
      <c r="G662" s="29" t="s">
        <v>607</v>
      </c>
      <c r="H662" s="31">
        <v>0.32</v>
      </c>
      <c r="I662" s="29" t="s">
        <v>597</v>
      </c>
      <c r="J662" s="32" t="s">
        <v>598</v>
      </c>
      <c r="K662" s="29" t="s">
        <v>840</v>
      </c>
      <c r="L662" s="29" t="s">
        <v>954</v>
      </c>
      <c r="M662" s="33">
        <v>-85.0</v>
      </c>
      <c r="N662" s="33">
        <v>14.969</v>
      </c>
      <c r="O662" s="34" t="s">
        <v>601</v>
      </c>
      <c r="P662" s="32" t="s">
        <v>602</v>
      </c>
      <c r="Q662" s="35">
        <v>3.0</v>
      </c>
      <c r="R662" s="35">
        <v>3.0</v>
      </c>
      <c r="S662" s="36">
        <v>1.0</v>
      </c>
      <c r="T662" s="36">
        <v>1.0</v>
      </c>
      <c r="U662" s="36">
        <v>1.0</v>
      </c>
      <c r="V662" s="36">
        <v>1.7321</v>
      </c>
      <c r="W662" s="36" t="s">
        <v>780</v>
      </c>
      <c r="X662" s="31">
        <v>0.675</v>
      </c>
      <c r="Y662" s="36">
        <v>0.001301236357971734</v>
      </c>
      <c r="Z662" s="36">
        <v>1.3333901366666665</v>
      </c>
      <c r="AA662" s="29" t="s">
        <v>820</v>
      </c>
      <c r="AB662" s="31">
        <v>0.290982544422</v>
      </c>
      <c r="AC662" s="38">
        <v>348.0</v>
      </c>
    </row>
    <row r="663" ht="14.25" customHeight="1">
      <c r="A663" s="29" t="s">
        <v>69</v>
      </c>
      <c r="B663" s="29">
        <v>35.0</v>
      </c>
      <c r="C663" s="29" t="s">
        <v>593</v>
      </c>
      <c r="D663" s="29" t="s">
        <v>1021</v>
      </c>
      <c r="E663" s="29">
        <v>116.0</v>
      </c>
      <c r="F663" s="30" t="s">
        <v>1022</v>
      </c>
      <c r="G663" s="29" t="s">
        <v>607</v>
      </c>
      <c r="H663" s="31">
        <v>0.32</v>
      </c>
      <c r="I663" s="29" t="s">
        <v>597</v>
      </c>
      <c r="J663" s="32" t="s">
        <v>598</v>
      </c>
      <c r="K663" s="29" t="s">
        <v>840</v>
      </c>
      <c r="L663" s="29" t="s">
        <v>954</v>
      </c>
      <c r="M663" s="33">
        <v>-85.0</v>
      </c>
      <c r="N663" s="33">
        <v>14.969</v>
      </c>
      <c r="O663" s="34" t="s">
        <v>601</v>
      </c>
      <c r="P663" s="32" t="s">
        <v>602</v>
      </c>
      <c r="Q663" s="35">
        <v>3.0</v>
      </c>
      <c r="R663" s="35">
        <v>3.0</v>
      </c>
      <c r="S663" s="36">
        <v>2.3333</v>
      </c>
      <c r="T663" s="36">
        <v>1.0</v>
      </c>
      <c r="U663" s="36">
        <v>2.5166</v>
      </c>
      <c r="V663" s="36">
        <v>1.7321</v>
      </c>
      <c r="W663" s="36" t="s">
        <v>780</v>
      </c>
      <c r="X663" s="31">
        <v>1.925</v>
      </c>
      <c r="Y663" s="36">
        <v>0.8478414626087397</v>
      </c>
      <c r="Z663" s="36">
        <v>1.3878194470848357</v>
      </c>
      <c r="AA663" s="29" t="s">
        <v>820</v>
      </c>
      <c r="AB663" s="31">
        <v>0.290982544422</v>
      </c>
      <c r="AC663" s="38">
        <v>348.0</v>
      </c>
    </row>
    <row r="664" ht="14.25" customHeight="1">
      <c r="A664" s="29" t="s">
        <v>69</v>
      </c>
      <c r="B664" s="29">
        <v>35.0</v>
      </c>
      <c r="C664" s="29" t="s">
        <v>593</v>
      </c>
      <c r="D664" s="29" t="s">
        <v>844</v>
      </c>
      <c r="E664" s="29">
        <v>120.0</v>
      </c>
      <c r="F664" s="30" t="s">
        <v>845</v>
      </c>
      <c r="G664" s="29" t="s">
        <v>607</v>
      </c>
      <c r="H664" s="31">
        <v>0.56</v>
      </c>
      <c r="I664" s="29" t="s">
        <v>597</v>
      </c>
      <c r="J664" s="32" t="s">
        <v>598</v>
      </c>
      <c r="K664" s="29" t="s">
        <v>840</v>
      </c>
      <c r="L664" s="29" t="s">
        <v>954</v>
      </c>
      <c r="M664" s="33">
        <v>-85.0</v>
      </c>
      <c r="N664" s="33">
        <v>14.969</v>
      </c>
      <c r="O664" s="34" t="s">
        <v>601</v>
      </c>
      <c r="P664" s="32" t="s">
        <v>602</v>
      </c>
      <c r="Q664" s="35">
        <v>3.0</v>
      </c>
      <c r="R664" s="35">
        <v>3.0</v>
      </c>
      <c r="S664" s="36">
        <v>0.3333</v>
      </c>
      <c r="T664" s="36">
        <v>0.3333</v>
      </c>
      <c r="U664" s="36">
        <v>0.5774</v>
      </c>
      <c r="V664" s="36">
        <v>0.5774</v>
      </c>
      <c r="W664" s="36" t="s">
        <v>780</v>
      </c>
      <c r="X664" s="31">
        <v>0.675</v>
      </c>
      <c r="Y664" s="36">
        <v>0.001301236357971734</v>
      </c>
      <c r="Z664" s="36">
        <v>2.0007446889303395</v>
      </c>
      <c r="AA664" s="29" t="s">
        <v>820</v>
      </c>
      <c r="AB664" s="31">
        <v>0.290982544422</v>
      </c>
      <c r="AC664" s="38">
        <v>348.0</v>
      </c>
    </row>
    <row r="665" ht="14.25" customHeight="1">
      <c r="A665" s="29" t="s">
        <v>69</v>
      </c>
      <c r="B665" s="29">
        <v>35.0</v>
      </c>
      <c r="C665" s="29" t="s">
        <v>593</v>
      </c>
      <c r="D665" s="29" t="s">
        <v>844</v>
      </c>
      <c r="E665" s="29">
        <v>120.0</v>
      </c>
      <c r="F665" s="30" t="s">
        <v>845</v>
      </c>
      <c r="G665" s="29" t="s">
        <v>607</v>
      </c>
      <c r="H665" s="31">
        <v>0.56</v>
      </c>
      <c r="I665" s="29" t="s">
        <v>597</v>
      </c>
      <c r="J665" s="32" t="s">
        <v>598</v>
      </c>
      <c r="K665" s="29" t="s">
        <v>840</v>
      </c>
      <c r="L665" s="29" t="s">
        <v>954</v>
      </c>
      <c r="M665" s="33">
        <v>-85.0</v>
      </c>
      <c r="N665" s="33">
        <v>14.969</v>
      </c>
      <c r="O665" s="34" t="s">
        <v>601</v>
      </c>
      <c r="P665" s="32" t="s">
        <v>602</v>
      </c>
      <c r="Q665" s="35">
        <v>3.0</v>
      </c>
      <c r="R665" s="35">
        <v>3.0</v>
      </c>
      <c r="S665" s="36">
        <v>0.6667</v>
      </c>
      <c r="T665" s="36">
        <v>0.3333</v>
      </c>
      <c r="U665" s="36">
        <v>1.1547</v>
      </c>
      <c r="V665" s="36">
        <v>0.5774</v>
      </c>
      <c r="W665" s="36" t="s">
        <v>780</v>
      </c>
      <c r="X665" s="31">
        <v>1.925</v>
      </c>
      <c r="Y665" s="36">
        <v>0.6939479165534603</v>
      </c>
      <c r="Z665" s="36">
        <v>2.000271419557913</v>
      </c>
      <c r="AA665" s="29" t="s">
        <v>820</v>
      </c>
      <c r="AB665" s="31">
        <v>0.290982544422</v>
      </c>
      <c r="AC665" s="38">
        <v>348.0</v>
      </c>
    </row>
    <row r="666" ht="14.25" customHeight="1">
      <c r="A666" s="29" t="s">
        <v>69</v>
      </c>
      <c r="B666" s="29">
        <v>35.0</v>
      </c>
      <c r="C666" s="29" t="s">
        <v>593</v>
      </c>
      <c r="D666" s="29" t="s">
        <v>847</v>
      </c>
      <c r="E666" s="29">
        <v>132.0</v>
      </c>
      <c r="F666" s="30" t="s">
        <v>1023</v>
      </c>
      <c r="G666" s="29" t="s">
        <v>607</v>
      </c>
      <c r="H666" s="31">
        <v>2.06</v>
      </c>
      <c r="I666" s="29" t="s">
        <v>597</v>
      </c>
      <c r="J666" s="32" t="s">
        <v>598</v>
      </c>
      <c r="K666" s="29" t="s">
        <v>840</v>
      </c>
      <c r="L666" s="29" t="s">
        <v>954</v>
      </c>
      <c r="M666" s="33">
        <v>-85.0</v>
      </c>
      <c r="N666" s="33">
        <v>14.969</v>
      </c>
      <c r="O666" s="34" t="s">
        <v>601</v>
      </c>
      <c r="P666" s="32" t="s">
        <v>602</v>
      </c>
      <c r="Q666" s="35">
        <v>3.0</v>
      </c>
      <c r="R666" s="35">
        <v>3.0</v>
      </c>
      <c r="S666" s="36">
        <v>2.6667</v>
      </c>
      <c r="T666" s="36">
        <v>12.6667</v>
      </c>
      <c r="U666" s="36">
        <v>2.0817</v>
      </c>
      <c r="V666" s="36">
        <v>5.1316</v>
      </c>
      <c r="W666" s="36" t="s">
        <v>780</v>
      </c>
      <c r="X666" s="31">
        <v>0.675</v>
      </c>
      <c r="Y666" s="36">
        <v>-1.5519689624948296</v>
      </c>
      <c r="Z666" s="36">
        <v>0.25783537991324645</v>
      </c>
      <c r="AA666" s="29" t="s">
        <v>820</v>
      </c>
      <c r="AB666" s="31">
        <v>0.290982544422</v>
      </c>
      <c r="AC666" s="38">
        <v>348.0</v>
      </c>
    </row>
    <row r="667" ht="14.25" customHeight="1">
      <c r="A667" s="29" t="s">
        <v>69</v>
      </c>
      <c r="B667" s="29">
        <v>35.0</v>
      </c>
      <c r="C667" s="29" t="s">
        <v>593</v>
      </c>
      <c r="D667" s="29" t="s">
        <v>847</v>
      </c>
      <c r="E667" s="29">
        <v>132.0</v>
      </c>
      <c r="F667" s="30" t="s">
        <v>1023</v>
      </c>
      <c r="G667" s="29" t="s">
        <v>607</v>
      </c>
      <c r="H667" s="31">
        <v>2.06</v>
      </c>
      <c r="I667" s="29" t="s">
        <v>597</v>
      </c>
      <c r="J667" s="32" t="s">
        <v>598</v>
      </c>
      <c r="K667" s="29" t="s">
        <v>840</v>
      </c>
      <c r="L667" s="29" t="s">
        <v>954</v>
      </c>
      <c r="M667" s="33">
        <v>-85.0</v>
      </c>
      <c r="N667" s="33">
        <v>14.969</v>
      </c>
      <c r="O667" s="34" t="s">
        <v>601</v>
      </c>
      <c r="P667" s="32" t="s">
        <v>602</v>
      </c>
      <c r="Q667" s="35">
        <v>3.0</v>
      </c>
      <c r="R667" s="35">
        <v>3.0</v>
      </c>
      <c r="S667" s="36">
        <v>12.3333</v>
      </c>
      <c r="T667" s="36">
        <v>12.6667</v>
      </c>
      <c r="U667" s="36">
        <v>9.4516</v>
      </c>
      <c r="V667" s="36">
        <v>5.1316</v>
      </c>
      <c r="W667" s="36" t="s">
        <v>780</v>
      </c>
      <c r="X667" s="31">
        <v>1.925</v>
      </c>
      <c r="Y667" s="36">
        <v>-0.02533719282089251</v>
      </c>
      <c r="Z667" s="36">
        <v>0.25047191710688804</v>
      </c>
      <c r="AA667" s="29" t="s">
        <v>820</v>
      </c>
      <c r="AB667" s="31">
        <v>0.290982544422</v>
      </c>
      <c r="AC667" s="38">
        <v>348.0</v>
      </c>
    </row>
    <row r="668" ht="14.25" customHeight="1">
      <c r="A668" s="29" t="s">
        <v>69</v>
      </c>
      <c r="B668" s="29">
        <v>35.0</v>
      </c>
      <c r="C668" s="29" t="s">
        <v>593</v>
      </c>
      <c r="D668" s="29" t="s">
        <v>1024</v>
      </c>
      <c r="E668" s="29">
        <v>137.0</v>
      </c>
      <c r="F668" s="30" t="s">
        <v>1025</v>
      </c>
      <c r="G668" s="29" t="s">
        <v>886</v>
      </c>
      <c r="H668" s="31">
        <v>0.21</v>
      </c>
      <c r="I668" s="29" t="s">
        <v>597</v>
      </c>
      <c r="J668" s="32" t="s">
        <v>598</v>
      </c>
      <c r="K668" s="29" t="s">
        <v>840</v>
      </c>
      <c r="L668" s="29" t="s">
        <v>954</v>
      </c>
      <c r="M668" s="33">
        <v>-85.0</v>
      </c>
      <c r="N668" s="33">
        <v>14.969</v>
      </c>
      <c r="O668" s="34" t="s">
        <v>601</v>
      </c>
      <c r="P668" s="32" t="s">
        <v>602</v>
      </c>
      <c r="Q668" s="35">
        <v>3.0</v>
      </c>
      <c r="R668" s="35">
        <v>3.0</v>
      </c>
      <c r="S668" s="36">
        <v>0.0</v>
      </c>
      <c r="T668" s="36">
        <v>0.3333</v>
      </c>
      <c r="U668" s="36">
        <v>0.0</v>
      </c>
      <c r="V668" s="36">
        <v>0.5774</v>
      </c>
      <c r="W668" s="36" t="s">
        <v>780</v>
      </c>
      <c r="X668" s="31">
        <v>0.675</v>
      </c>
      <c r="Y668" s="36">
        <v>-6.643789733147672</v>
      </c>
      <c r="Z668" s="36">
        <v>0.8905574751731218</v>
      </c>
      <c r="AA668" s="29" t="s">
        <v>820</v>
      </c>
      <c r="AB668" s="31">
        <v>0.290982544422</v>
      </c>
      <c r="AC668" s="38">
        <v>348.0</v>
      </c>
    </row>
    <row r="669" ht="14.25" customHeight="1">
      <c r="A669" s="29" t="s">
        <v>69</v>
      </c>
      <c r="B669" s="29">
        <v>35.0</v>
      </c>
      <c r="C669" s="29" t="s">
        <v>593</v>
      </c>
      <c r="D669" s="29" t="s">
        <v>1024</v>
      </c>
      <c r="E669" s="29">
        <v>137.0</v>
      </c>
      <c r="F669" s="30" t="s">
        <v>1025</v>
      </c>
      <c r="G669" s="29" t="s">
        <v>886</v>
      </c>
      <c r="H669" s="31">
        <v>0.21</v>
      </c>
      <c r="I669" s="29" t="s">
        <v>597</v>
      </c>
      <c r="J669" s="32" t="s">
        <v>598</v>
      </c>
      <c r="K669" s="29" t="s">
        <v>840</v>
      </c>
      <c r="L669" s="29" t="s">
        <v>954</v>
      </c>
      <c r="M669" s="33">
        <v>-85.0</v>
      </c>
      <c r="N669" s="33">
        <v>14.969</v>
      </c>
      <c r="O669" s="34" t="s">
        <v>601</v>
      </c>
      <c r="P669" s="32" t="s">
        <v>602</v>
      </c>
      <c r="Q669" s="35">
        <v>3.0</v>
      </c>
      <c r="R669" s="35">
        <v>3.0</v>
      </c>
      <c r="S669" s="36">
        <v>0.0</v>
      </c>
      <c r="T669" s="36">
        <v>0.3333</v>
      </c>
      <c r="U669" s="36">
        <v>0.0</v>
      </c>
      <c r="V669" s="36">
        <v>0.5774</v>
      </c>
      <c r="W669" s="36" t="s">
        <v>780</v>
      </c>
      <c r="X669" s="31">
        <v>1.925</v>
      </c>
      <c r="Y669" s="36">
        <v>-6.643789733147672</v>
      </c>
      <c r="Z669" s="36">
        <v>0.8905574751731218</v>
      </c>
      <c r="AA669" s="29" t="s">
        <v>820</v>
      </c>
      <c r="AB669" s="31">
        <v>0.290982544422</v>
      </c>
      <c r="AC669" s="38">
        <v>348.0</v>
      </c>
    </row>
    <row r="670" ht="14.25" customHeight="1">
      <c r="A670" s="29" t="s">
        <v>69</v>
      </c>
      <c r="B670" s="29">
        <v>35.0</v>
      </c>
      <c r="C670" s="29" t="s">
        <v>593</v>
      </c>
      <c r="D670" s="29" t="s">
        <v>1026</v>
      </c>
      <c r="E670" s="29">
        <v>157.0</v>
      </c>
      <c r="F670" s="30" t="s">
        <v>1027</v>
      </c>
      <c r="G670" s="29" t="s">
        <v>909</v>
      </c>
      <c r="H670" s="31">
        <v>0.219</v>
      </c>
      <c r="I670" s="29" t="s">
        <v>597</v>
      </c>
      <c r="J670" s="32" t="s">
        <v>598</v>
      </c>
      <c r="K670" s="29" t="s">
        <v>840</v>
      </c>
      <c r="L670" s="29" t="s">
        <v>954</v>
      </c>
      <c r="M670" s="33">
        <v>-85.0</v>
      </c>
      <c r="N670" s="33">
        <v>14.969</v>
      </c>
      <c r="O670" s="34" t="s">
        <v>601</v>
      </c>
      <c r="P670" s="32" t="s">
        <v>602</v>
      </c>
      <c r="Q670" s="35">
        <v>3.0</v>
      </c>
      <c r="R670" s="35">
        <v>3.0</v>
      </c>
      <c r="S670" s="36">
        <v>1.0</v>
      </c>
      <c r="T670" s="36">
        <v>1.0</v>
      </c>
      <c r="U670" s="36">
        <v>1.0</v>
      </c>
      <c r="V670" s="36">
        <v>1.7321</v>
      </c>
      <c r="W670" s="36" t="s">
        <v>780</v>
      </c>
      <c r="X670" s="31">
        <v>0.675</v>
      </c>
      <c r="Y670" s="36">
        <v>0.001301236357971734</v>
      </c>
      <c r="Z670" s="36">
        <v>1.3333901366666665</v>
      </c>
      <c r="AA670" s="29" t="s">
        <v>820</v>
      </c>
      <c r="AB670" s="31">
        <v>0.290982544422</v>
      </c>
      <c r="AC670" s="38">
        <v>348.0</v>
      </c>
    </row>
    <row r="671" ht="14.25" customHeight="1">
      <c r="A671" s="29" t="s">
        <v>69</v>
      </c>
      <c r="B671" s="29">
        <v>35.0</v>
      </c>
      <c r="C671" s="29" t="s">
        <v>593</v>
      </c>
      <c r="D671" s="29" t="s">
        <v>1026</v>
      </c>
      <c r="E671" s="29">
        <v>157.0</v>
      </c>
      <c r="F671" s="30" t="s">
        <v>1027</v>
      </c>
      <c r="G671" s="29" t="s">
        <v>909</v>
      </c>
      <c r="H671" s="31">
        <v>0.219</v>
      </c>
      <c r="I671" s="29" t="s">
        <v>597</v>
      </c>
      <c r="J671" s="32" t="s">
        <v>598</v>
      </c>
      <c r="K671" s="29" t="s">
        <v>840</v>
      </c>
      <c r="L671" s="29" t="s">
        <v>954</v>
      </c>
      <c r="M671" s="33">
        <v>-85.0</v>
      </c>
      <c r="N671" s="33">
        <v>14.969</v>
      </c>
      <c r="O671" s="34" t="s">
        <v>601</v>
      </c>
      <c r="P671" s="32" t="s">
        <v>602</v>
      </c>
      <c r="Q671" s="35">
        <v>3.0</v>
      </c>
      <c r="R671" s="35">
        <v>3.0</v>
      </c>
      <c r="S671" s="36">
        <v>0.6667</v>
      </c>
      <c r="T671" s="36">
        <v>1.0</v>
      </c>
      <c r="U671" s="36">
        <v>0.5774</v>
      </c>
      <c r="V671" s="36">
        <v>1.7321</v>
      </c>
      <c r="W671" s="36" t="s">
        <v>780</v>
      </c>
      <c r="X671" s="31">
        <v>1.925</v>
      </c>
      <c r="Y671" s="36">
        <v>-0.40346398668787975</v>
      </c>
      <c r="Z671" s="36">
        <v>1.2500748709015312</v>
      </c>
      <c r="AA671" s="29" t="s">
        <v>820</v>
      </c>
      <c r="AB671" s="31">
        <v>0.290982544422</v>
      </c>
      <c r="AC671" s="38">
        <v>348.0</v>
      </c>
    </row>
    <row r="672" ht="14.25" customHeight="1">
      <c r="A672" s="29" t="s">
        <v>69</v>
      </c>
      <c r="B672" s="29">
        <v>35.0</v>
      </c>
      <c r="C672" s="29" t="s">
        <v>593</v>
      </c>
      <c r="D672" s="29" t="s">
        <v>1028</v>
      </c>
      <c r="E672" s="29">
        <v>159.0</v>
      </c>
      <c r="F672" s="30" t="s">
        <v>1029</v>
      </c>
      <c r="G672" s="29" t="s">
        <v>909</v>
      </c>
      <c r="H672" s="31">
        <v>0.651</v>
      </c>
      <c r="I672" s="29" t="s">
        <v>597</v>
      </c>
      <c r="J672" s="32" t="s">
        <v>598</v>
      </c>
      <c r="K672" s="29" t="s">
        <v>840</v>
      </c>
      <c r="L672" s="29" t="s">
        <v>954</v>
      </c>
      <c r="M672" s="33">
        <v>-85.0</v>
      </c>
      <c r="N672" s="33">
        <v>14.969</v>
      </c>
      <c r="O672" s="34" t="s">
        <v>601</v>
      </c>
      <c r="P672" s="32" t="s">
        <v>602</v>
      </c>
      <c r="Q672" s="35">
        <v>3.0</v>
      </c>
      <c r="R672" s="35">
        <v>3.0</v>
      </c>
      <c r="S672" s="36">
        <v>3.6667</v>
      </c>
      <c r="T672" s="36">
        <v>7.6667</v>
      </c>
      <c r="U672" s="36">
        <v>2.0817</v>
      </c>
      <c r="V672" s="36">
        <v>4.1633</v>
      </c>
      <c r="W672" s="36" t="s">
        <v>780</v>
      </c>
      <c r="X672" s="31">
        <v>0.675</v>
      </c>
      <c r="Y672" s="36">
        <v>-0.7348753744721821</v>
      </c>
      <c r="Z672" s="36">
        <v>0.2057358837180906</v>
      </c>
      <c r="AA672" s="29" t="s">
        <v>820</v>
      </c>
      <c r="AB672" s="31">
        <v>0.290982544422</v>
      </c>
      <c r="AC672" s="38">
        <v>348.0</v>
      </c>
    </row>
    <row r="673" ht="14.25" customHeight="1">
      <c r="A673" s="29" t="s">
        <v>69</v>
      </c>
      <c r="B673" s="29">
        <v>35.0</v>
      </c>
      <c r="C673" s="29" t="s">
        <v>593</v>
      </c>
      <c r="D673" s="29" t="s">
        <v>1028</v>
      </c>
      <c r="E673" s="29">
        <v>159.0</v>
      </c>
      <c r="F673" s="30" t="s">
        <v>1029</v>
      </c>
      <c r="G673" s="29" t="s">
        <v>909</v>
      </c>
      <c r="H673" s="31">
        <v>0.651</v>
      </c>
      <c r="I673" s="29" t="s">
        <v>597</v>
      </c>
      <c r="J673" s="32" t="s">
        <v>598</v>
      </c>
      <c r="K673" s="29" t="s">
        <v>840</v>
      </c>
      <c r="L673" s="29" t="s">
        <v>954</v>
      </c>
      <c r="M673" s="33">
        <v>-85.0</v>
      </c>
      <c r="N673" s="33">
        <v>14.969</v>
      </c>
      <c r="O673" s="34" t="s">
        <v>601</v>
      </c>
      <c r="P673" s="32" t="s">
        <v>602</v>
      </c>
      <c r="Q673" s="35">
        <v>3.0</v>
      </c>
      <c r="R673" s="35">
        <v>3.0</v>
      </c>
      <c r="S673" s="36">
        <v>5.0</v>
      </c>
      <c r="T673" s="36">
        <v>7.6667</v>
      </c>
      <c r="U673" s="36">
        <v>6.245</v>
      </c>
      <c r="V673" s="36">
        <v>4.1633</v>
      </c>
      <c r="W673" s="36" t="s">
        <v>780</v>
      </c>
      <c r="X673" s="31">
        <v>1.925</v>
      </c>
      <c r="Y673" s="36">
        <v>-0.4254538166152857</v>
      </c>
      <c r="Z673" s="36">
        <v>0.6182966443087333</v>
      </c>
      <c r="AA673" s="29" t="s">
        <v>820</v>
      </c>
      <c r="AB673" s="31">
        <v>0.290982544422</v>
      </c>
      <c r="AC673" s="38">
        <v>348.0</v>
      </c>
    </row>
    <row r="674" ht="14.25" customHeight="1">
      <c r="A674" s="29" t="s">
        <v>69</v>
      </c>
      <c r="B674" s="29">
        <v>35.0</v>
      </c>
      <c r="C674" s="29" t="s">
        <v>593</v>
      </c>
      <c r="D674" s="29" t="s">
        <v>1030</v>
      </c>
      <c r="E674" s="29">
        <v>161.0</v>
      </c>
      <c r="F674" s="30" t="s">
        <v>1031</v>
      </c>
      <c r="G674" s="29" t="s">
        <v>909</v>
      </c>
      <c r="H674" s="31">
        <v>0.41</v>
      </c>
      <c r="I674" s="29" t="s">
        <v>597</v>
      </c>
      <c r="J674" s="32" t="s">
        <v>598</v>
      </c>
      <c r="K674" s="29" t="s">
        <v>840</v>
      </c>
      <c r="L674" s="29" t="s">
        <v>954</v>
      </c>
      <c r="M674" s="33">
        <v>-85.0</v>
      </c>
      <c r="N674" s="33">
        <v>14.969</v>
      </c>
      <c r="O674" s="34" t="s">
        <v>601</v>
      </c>
      <c r="P674" s="32" t="s">
        <v>602</v>
      </c>
      <c r="Q674" s="35">
        <v>3.0</v>
      </c>
      <c r="R674" s="35">
        <v>3.0</v>
      </c>
      <c r="S674" s="36">
        <v>0.0</v>
      </c>
      <c r="T674" s="36">
        <v>0.3333</v>
      </c>
      <c r="U674" s="36">
        <v>0.0</v>
      </c>
      <c r="V674" s="36">
        <v>0.5774</v>
      </c>
      <c r="W674" s="36" t="s">
        <v>780</v>
      </c>
      <c r="X674" s="31">
        <v>0.675</v>
      </c>
      <c r="Y674" s="36">
        <v>-6.643789733147672</v>
      </c>
      <c r="Z674" s="36">
        <v>0.8905574751731218</v>
      </c>
      <c r="AA674" s="29" t="s">
        <v>820</v>
      </c>
      <c r="AB674" s="31">
        <v>0.290982544422</v>
      </c>
      <c r="AC674" s="38">
        <v>348.0</v>
      </c>
    </row>
    <row r="675" ht="14.25" customHeight="1">
      <c r="A675" s="29" t="s">
        <v>69</v>
      </c>
      <c r="B675" s="29">
        <v>35.0</v>
      </c>
      <c r="C675" s="29" t="s">
        <v>593</v>
      </c>
      <c r="D675" s="29" t="s">
        <v>1030</v>
      </c>
      <c r="E675" s="29">
        <v>161.0</v>
      </c>
      <c r="F675" s="30" t="s">
        <v>1031</v>
      </c>
      <c r="G675" s="29" t="s">
        <v>909</v>
      </c>
      <c r="H675" s="31">
        <v>0.41</v>
      </c>
      <c r="I675" s="29" t="s">
        <v>597</v>
      </c>
      <c r="J675" s="32" t="s">
        <v>598</v>
      </c>
      <c r="K675" s="29" t="s">
        <v>840</v>
      </c>
      <c r="L675" s="29" t="s">
        <v>954</v>
      </c>
      <c r="M675" s="33">
        <v>-85.0</v>
      </c>
      <c r="N675" s="33">
        <v>14.969</v>
      </c>
      <c r="O675" s="34" t="s">
        <v>601</v>
      </c>
      <c r="P675" s="32" t="s">
        <v>602</v>
      </c>
      <c r="Q675" s="35">
        <v>3.0</v>
      </c>
      <c r="R675" s="35">
        <v>3.0</v>
      </c>
      <c r="S675" s="36">
        <v>1.0</v>
      </c>
      <c r="T675" s="36">
        <v>0.3333</v>
      </c>
      <c r="U675" s="36">
        <v>1.0</v>
      </c>
      <c r="V675" s="36">
        <v>0.5774</v>
      </c>
      <c r="W675" s="36" t="s">
        <v>780</v>
      </c>
      <c r="X675" s="31">
        <v>1.925</v>
      </c>
      <c r="Y675" s="36">
        <v>1.0991461838994612</v>
      </c>
      <c r="Z675" s="36">
        <v>1.333705677798503</v>
      </c>
      <c r="AA675" s="29" t="s">
        <v>820</v>
      </c>
      <c r="AB675" s="31">
        <v>0.290982544422</v>
      </c>
      <c r="AC675" s="38">
        <v>348.0</v>
      </c>
    </row>
    <row r="676" ht="14.25" customHeight="1">
      <c r="A676" s="29" t="s">
        <v>69</v>
      </c>
      <c r="B676" s="29">
        <v>35.0</v>
      </c>
      <c r="C676" s="29" t="s">
        <v>593</v>
      </c>
      <c r="D676" s="29" t="s">
        <v>849</v>
      </c>
      <c r="E676" s="29">
        <v>193.0</v>
      </c>
      <c r="F676" s="30" t="s">
        <v>850</v>
      </c>
      <c r="G676" s="29" t="s">
        <v>596</v>
      </c>
      <c r="H676" s="31">
        <v>1.03</v>
      </c>
      <c r="I676" s="29" t="s">
        <v>597</v>
      </c>
      <c r="J676" s="32" t="s">
        <v>598</v>
      </c>
      <c r="K676" s="29" t="s">
        <v>840</v>
      </c>
      <c r="L676" s="29" t="s">
        <v>954</v>
      </c>
      <c r="M676" s="33">
        <v>-85.0</v>
      </c>
      <c r="N676" s="33">
        <v>14.969</v>
      </c>
      <c r="O676" s="34" t="s">
        <v>601</v>
      </c>
      <c r="P676" s="32" t="s">
        <v>602</v>
      </c>
      <c r="Q676" s="35">
        <v>3.0</v>
      </c>
      <c r="R676" s="35">
        <v>3.0</v>
      </c>
      <c r="S676" s="36">
        <v>15.0</v>
      </c>
      <c r="T676" s="36">
        <v>10.3333</v>
      </c>
      <c r="U676" s="36">
        <v>5.2915</v>
      </c>
      <c r="V676" s="36">
        <v>9.0738</v>
      </c>
      <c r="W676" s="36" t="s">
        <v>780</v>
      </c>
      <c r="X676" s="31">
        <v>0.675</v>
      </c>
      <c r="Y676" s="36">
        <v>0.3735750968908579</v>
      </c>
      <c r="Z676" s="36">
        <v>0.29850863380016124</v>
      </c>
      <c r="AA676" s="29" t="s">
        <v>820</v>
      </c>
      <c r="AB676" s="31">
        <v>0.290982544422</v>
      </c>
      <c r="AC676" s="38">
        <v>348.0</v>
      </c>
    </row>
    <row r="677" ht="14.25" customHeight="1">
      <c r="A677" s="29" t="s">
        <v>69</v>
      </c>
      <c r="B677" s="29">
        <v>35.0</v>
      </c>
      <c r="C677" s="29" t="s">
        <v>593</v>
      </c>
      <c r="D677" s="29" t="s">
        <v>849</v>
      </c>
      <c r="E677" s="29">
        <v>193.0</v>
      </c>
      <c r="F677" s="30" t="s">
        <v>850</v>
      </c>
      <c r="G677" s="29" t="s">
        <v>596</v>
      </c>
      <c r="H677" s="31">
        <v>1.03</v>
      </c>
      <c r="I677" s="29" t="s">
        <v>597</v>
      </c>
      <c r="J677" s="32" t="s">
        <v>598</v>
      </c>
      <c r="K677" s="29" t="s">
        <v>840</v>
      </c>
      <c r="L677" s="29" t="s">
        <v>954</v>
      </c>
      <c r="M677" s="33">
        <v>-85.0</v>
      </c>
      <c r="N677" s="33">
        <v>14.969</v>
      </c>
      <c r="O677" s="34" t="s">
        <v>601</v>
      </c>
      <c r="P677" s="32" t="s">
        <v>602</v>
      </c>
      <c r="Q677" s="35">
        <v>3.0</v>
      </c>
      <c r="R677" s="35">
        <v>3.0</v>
      </c>
      <c r="S677" s="36">
        <v>8.0</v>
      </c>
      <c r="T677" s="36">
        <v>10.3333</v>
      </c>
      <c r="U677" s="36">
        <v>7.0</v>
      </c>
      <c r="V677" s="36">
        <v>9.0738</v>
      </c>
      <c r="W677" s="36" t="s">
        <v>780</v>
      </c>
      <c r="X677" s="31">
        <v>1.925</v>
      </c>
      <c r="Y677" s="36">
        <v>-0.2542497088416587</v>
      </c>
      <c r="Z677" s="36">
        <v>0.5122355267631242</v>
      </c>
      <c r="AA677" s="29" t="s">
        <v>820</v>
      </c>
      <c r="AB677" s="31">
        <v>0.290982544422</v>
      </c>
      <c r="AC677" s="38">
        <v>348.0</v>
      </c>
    </row>
    <row r="678" ht="14.25" customHeight="1">
      <c r="A678" s="29" t="s">
        <v>69</v>
      </c>
      <c r="B678" s="29">
        <v>35.0</v>
      </c>
      <c r="C678" s="29" t="s">
        <v>608</v>
      </c>
      <c r="D678" s="29" t="s">
        <v>955</v>
      </c>
      <c r="E678" s="29">
        <v>3.0</v>
      </c>
      <c r="F678" s="30" t="s">
        <v>956</v>
      </c>
      <c r="G678" s="29" t="s">
        <v>611</v>
      </c>
      <c r="H678" s="31">
        <v>7.27</v>
      </c>
      <c r="I678" s="29" t="s">
        <v>612</v>
      </c>
      <c r="J678" s="32" t="s">
        <v>598</v>
      </c>
      <c r="K678" s="29" t="s">
        <v>840</v>
      </c>
      <c r="L678" s="29" t="s">
        <v>954</v>
      </c>
      <c r="M678" s="33">
        <v>-85.0</v>
      </c>
      <c r="N678" s="33">
        <v>14.969</v>
      </c>
      <c r="O678" s="34" t="s">
        <v>601</v>
      </c>
      <c r="P678" s="32" t="s">
        <v>602</v>
      </c>
      <c r="Q678" s="35">
        <v>3.0</v>
      </c>
      <c r="R678" s="35">
        <v>3.0</v>
      </c>
      <c r="S678" s="36">
        <v>5.6667</v>
      </c>
      <c r="T678" s="36">
        <v>5.0</v>
      </c>
      <c r="U678" s="36">
        <v>8.9629</v>
      </c>
      <c r="V678" s="36">
        <v>5.0</v>
      </c>
      <c r="W678" s="36" t="s">
        <v>780</v>
      </c>
      <c r="X678" s="31">
        <v>0.675</v>
      </c>
      <c r="Y678" s="36">
        <v>0.12539664328128558</v>
      </c>
      <c r="Z678" s="36">
        <v>1.1672360805731963</v>
      </c>
      <c r="AA678" s="29" t="s">
        <v>820</v>
      </c>
      <c r="AB678" s="31">
        <v>0.290982544422</v>
      </c>
      <c r="AC678" s="38">
        <v>348.0</v>
      </c>
    </row>
    <row r="679" ht="14.25" customHeight="1">
      <c r="A679" s="29" t="s">
        <v>69</v>
      </c>
      <c r="B679" s="29">
        <v>35.0</v>
      </c>
      <c r="C679" s="29" t="s">
        <v>608</v>
      </c>
      <c r="D679" s="29" t="s">
        <v>955</v>
      </c>
      <c r="E679" s="29">
        <v>3.0</v>
      </c>
      <c r="F679" s="30" t="s">
        <v>956</v>
      </c>
      <c r="G679" s="29" t="s">
        <v>611</v>
      </c>
      <c r="H679" s="31">
        <v>7.27</v>
      </c>
      <c r="I679" s="29" t="s">
        <v>612</v>
      </c>
      <c r="J679" s="32" t="s">
        <v>598</v>
      </c>
      <c r="K679" s="29" t="s">
        <v>840</v>
      </c>
      <c r="L679" s="29" t="s">
        <v>954</v>
      </c>
      <c r="M679" s="33">
        <v>-85.0</v>
      </c>
      <c r="N679" s="33">
        <v>14.969</v>
      </c>
      <c r="O679" s="34" t="s">
        <v>601</v>
      </c>
      <c r="P679" s="32" t="s">
        <v>602</v>
      </c>
      <c r="Q679" s="35">
        <v>3.0</v>
      </c>
      <c r="R679" s="35">
        <v>3.0</v>
      </c>
      <c r="S679" s="36">
        <v>3.0</v>
      </c>
      <c r="T679" s="36">
        <v>5.0</v>
      </c>
      <c r="U679" s="36">
        <v>5.1962</v>
      </c>
      <c r="V679" s="36">
        <v>5.0</v>
      </c>
      <c r="W679" s="36" t="s">
        <v>780</v>
      </c>
      <c r="X679" s="31">
        <v>1.925</v>
      </c>
      <c r="Y679" s="36">
        <v>-0.5103957196279908</v>
      </c>
      <c r="Z679" s="36">
        <v>1.3333516459259258</v>
      </c>
      <c r="AA679" s="29" t="s">
        <v>820</v>
      </c>
      <c r="AB679" s="31">
        <v>0.290982544422</v>
      </c>
      <c r="AC679" s="38">
        <v>348.0</v>
      </c>
    </row>
    <row r="680" ht="14.25" customHeight="1">
      <c r="A680" s="29" t="s">
        <v>69</v>
      </c>
      <c r="B680" s="29">
        <v>35.0</v>
      </c>
      <c r="C680" s="29" t="s">
        <v>608</v>
      </c>
      <c r="D680" s="29" t="s">
        <v>957</v>
      </c>
      <c r="E680" s="29">
        <v>16.0</v>
      </c>
      <c r="F680" s="30" t="s">
        <v>958</v>
      </c>
      <c r="G680" s="29" t="s">
        <v>611</v>
      </c>
      <c r="H680" s="31">
        <v>5.28</v>
      </c>
      <c r="I680" s="29" t="s">
        <v>597</v>
      </c>
      <c r="J680" s="32" t="s">
        <v>598</v>
      </c>
      <c r="K680" s="29" t="s">
        <v>840</v>
      </c>
      <c r="L680" s="29" t="s">
        <v>954</v>
      </c>
      <c r="M680" s="33">
        <v>-85.0</v>
      </c>
      <c r="N680" s="33">
        <v>14.969</v>
      </c>
      <c r="O680" s="34" t="s">
        <v>601</v>
      </c>
      <c r="P680" s="32" t="s">
        <v>602</v>
      </c>
      <c r="Q680" s="35">
        <v>3.0</v>
      </c>
      <c r="R680" s="35">
        <v>3.0</v>
      </c>
      <c r="S680" s="36">
        <v>0.0</v>
      </c>
      <c r="T680" s="36">
        <v>2.0</v>
      </c>
      <c r="U680" s="36">
        <v>0.0</v>
      </c>
      <c r="V680" s="36">
        <v>2.6458</v>
      </c>
      <c r="W680" s="36" t="s">
        <v>780</v>
      </c>
      <c r="X680" s="31">
        <v>0.675</v>
      </c>
      <c r="Y680" s="36">
        <v>-8.262558973010657</v>
      </c>
      <c r="Z680" s="36">
        <v>0.8611230741333333</v>
      </c>
      <c r="AA680" s="29" t="s">
        <v>820</v>
      </c>
      <c r="AB680" s="31">
        <v>0.290982544422</v>
      </c>
      <c r="AC680" s="38">
        <v>348.0</v>
      </c>
    </row>
    <row r="681" ht="14.25" customHeight="1">
      <c r="A681" s="29" t="s">
        <v>69</v>
      </c>
      <c r="B681" s="29">
        <v>35.0</v>
      </c>
      <c r="C681" s="29" t="s">
        <v>608</v>
      </c>
      <c r="D681" s="29" t="s">
        <v>957</v>
      </c>
      <c r="E681" s="29">
        <v>16.0</v>
      </c>
      <c r="F681" s="30" t="s">
        <v>958</v>
      </c>
      <c r="G681" s="29" t="s">
        <v>611</v>
      </c>
      <c r="H681" s="31">
        <v>5.28</v>
      </c>
      <c r="I681" s="29" t="s">
        <v>597</v>
      </c>
      <c r="J681" s="32" t="s">
        <v>598</v>
      </c>
      <c r="K681" s="29" t="s">
        <v>840</v>
      </c>
      <c r="L681" s="29" t="s">
        <v>954</v>
      </c>
      <c r="M681" s="33">
        <v>-85.0</v>
      </c>
      <c r="N681" s="33">
        <v>14.969</v>
      </c>
      <c r="O681" s="34" t="s">
        <v>601</v>
      </c>
      <c r="P681" s="32" t="s">
        <v>602</v>
      </c>
      <c r="Q681" s="35">
        <v>3.0</v>
      </c>
      <c r="R681" s="35">
        <v>3.0</v>
      </c>
      <c r="S681" s="36">
        <v>0.6667</v>
      </c>
      <c r="T681" s="36">
        <v>2.0</v>
      </c>
      <c r="U681" s="36">
        <v>0.5774</v>
      </c>
      <c r="V681" s="36">
        <v>2.6458</v>
      </c>
      <c r="W681" s="36" t="s">
        <v>780</v>
      </c>
      <c r="X681" s="31">
        <v>1.925</v>
      </c>
      <c r="Y681" s="36">
        <v>-1.0977886341565855</v>
      </c>
      <c r="Z681" s="36">
        <v>0.8333728709015313</v>
      </c>
      <c r="AA681" s="29" t="s">
        <v>820</v>
      </c>
      <c r="AB681" s="31">
        <v>0.290982544422</v>
      </c>
      <c r="AC681" s="38">
        <v>348.0</v>
      </c>
    </row>
    <row r="682" ht="14.25" customHeight="1">
      <c r="A682" s="29" t="s">
        <v>69</v>
      </c>
      <c r="B682" s="29">
        <v>35.0</v>
      </c>
      <c r="C682" s="29" t="s">
        <v>608</v>
      </c>
      <c r="D682" s="29" t="s">
        <v>959</v>
      </c>
      <c r="E682" s="29">
        <v>31.0</v>
      </c>
      <c r="F682" s="30" t="s">
        <v>960</v>
      </c>
      <c r="G682" s="29" t="s">
        <v>611</v>
      </c>
      <c r="H682" s="31">
        <v>2.73</v>
      </c>
      <c r="I682" s="29" t="s">
        <v>616</v>
      </c>
      <c r="J682" s="32" t="s">
        <v>598</v>
      </c>
      <c r="K682" s="29" t="s">
        <v>840</v>
      </c>
      <c r="L682" s="29" t="s">
        <v>954</v>
      </c>
      <c r="M682" s="33">
        <v>-85.0</v>
      </c>
      <c r="N682" s="33">
        <v>14.969</v>
      </c>
      <c r="O682" s="34" t="s">
        <v>601</v>
      </c>
      <c r="P682" s="32" t="s">
        <v>602</v>
      </c>
      <c r="Q682" s="35">
        <v>3.0</v>
      </c>
      <c r="R682" s="35">
        <v>3.0</v>
      </c>
      <c r="S682" s="36">
        <v>0.0</v>
      </c>
      <c r="T682" s="36">
        <v>0.6667</v>
      </c>
      <c r="U682" s="36">
        <v>0.0</v>
      </c>
      <c r="V682" s="36">
        <v>0.5774</v>
      </c>
      <c r="W682" s="36" t="s">
        <v>780</v>
      </c>
      <c r="X682" s="31">
        <v>0.675</v>
      </c>
      <c r="Y682" s="36">
        <v>-8.262558973010657</v>
      </c>
      <c r="Z682" s="36">
        <v>0.6175923778905756</v>
      </c>
      <c r="AA682" s="29" t="s">
        <v>820</v>
      </c>
      <c r="AB682" s="31">
        <v>0.290982544422</v>
      </c>
      <c r="AC682" s="38">
        <v>348.0</v>
      </c>
    </row>
    <row r="683" ht="14.25" customHeight="1">
      <c r="A683" s="29" t="s">
        <v>69</v>
      </c>
      <c r="B683" s="29">
        <v>35.0</v>
      </c>
      <c r="C683" s="29" t="s">
        <v>608</v>
      </c>
      <c r="D683" s="29" t="s">
        <v>959</v>
      </c>
      <c r="E683" s="29">
        <v>31.0</v>
      </c>
      <c r="F683" s="30" t="s">
        <v>960</v>
      </c>
      <c r="G683" s="29" t="s">
        <v>611</v>
      </c>
      <c r="H683" s="31">
        <v>2.73</v>
      </c>
      <c r="I683" s="29" t="s">
        <v>616</v>
      </c>
      <c r="J683" s="32" t="s">
        <v>598</v>
      </c>
      <c r="K683" s="29" t="s">
        <v>840</v>
      </c>
      <c r="L683" s="29" t="s">
        <v>954</v>
      </c>
      <c r="M683" s="33">
        <v>-85.0</v>
      </c>
      <c r="N683" s="33">
        <v>14.969</v>
      </c>
      <c r="O683" s="34" t="s">
        <v>601</v>
      </c>
      <c r="P683" s="32" t="s">
        <v>602</v>
      </c>
      <c r="Q683" s="35">
        <v>3.0</v>
      </c>
      <c r="R683" s="35">
        <v>3.0</v>
      </c>
      <c r="S683" s="36">
        <v>0.0</v>
      </c>
      <c r="T683" s="36">
        <v>0.6667</v>
      </c>
      <c r="U683" s="36">
        <v>0.0</v>
      </c>
      <c r="V683" s="36">
        <v>0.5774</v>
      </c>
      <c r="W683" s="36" t="s">
        <v>780</v>
      </c>
      <c r="X683" s="31">
        <v>1.925</v>
      </c>
      <c r="Y683" s="36">
        <v>-8.262558973010657</v>
      </c>
      <c r="Z683" s="36">
        <v>0.6175923778905756</v>
      </c>
      <c r="AA683" s="29" t="s">
        <v>820</v>
      </c>
      <c r="AB683" s="31">
        <v>0.290982544422</v>
      </c>
      <c r="AC683" s="38">
        <v>348.0</v>
      </c>
    </row>
    <row r="684" ht="14.25" customHeight="1">
      <c r="A684" s="29" t="s">
        <v>69</v>
      </c>
      <c r="B684" s="29">
        <v>35.0</v>
      </c>
      <c r="C684" s="29" t="s">
        <v>608</v>
      </c>
      <c r="D684" s="29" t="s">
        <v>1032</v>
      </c>
      <c r="E684" s="29">
        <v>59.0</v>
      </c>
      <c r="F684" s="30" t="s">
        <v>1033</v>
      </c>
      <c r="G684" s="29" t="s">
        <v>629</v>
      </c>
      <c r="H684" s="31">
        <v>1.2</v>
      </c>
      <c r="I684" s="29" t="s">
        <v>657</v>
      </c>
      <c r="J684" s="32" t="s">
        <v>598</v>
      </c>
      <c r="K684" s="29" t="s">
        <v>840</v>
      </c>
      <c r="L684" s="29" t="s">
        <v>954</v>
      </c>
      <c r="M684" s="33">
        <v>-85.0</v>
      </c>
      <c r="N684" s="33">
        <v>14.969</v>
      </c>
      <c r="O684" s="34" t="s">
        <v>601</v>
      </c>
      <c r="P684" s="32" t="s">
        <v>602</v>
      </c>
      <c r="Q684" s="35">
        <v>3.0</v>
      </c>
      <c r="R684" s="35">
        <v>3.0</v>
      </c>
      <c r="S684" s="36">
        <v>0.0</v>
      </c>
      <c r="T684" s="36">
        <v>0.3333</v>
      </c>
      <c r="U684" s="36">
        <v>0.0</v>
      </c>
      <c r="V684" s="36">
        <v>0.5774</v>
      </c>
      <c r="W684" s="36" t="s">
        <v>780</v>
      </c>
      <c r="X684" s="31">
        <v>0.675</v>
      </c>
      <c r="Y684" s="36">
        <v>-8.262558973010657</v>
      </c>
      <c r="Z684" s="36">
        <v>0.8905574751731218</v>
      </c>
      <c r="AA684" s="29" t="s">
        <v>820</v>
      </c>
      <c r="AB684" s="31">
        <v>0.290982544422</v>
      </c>
      <c r="AC684" s="38">
        <v>348.0</v>
      </c>
    </row>
    <row r="685" ht="14.25" customHeight="1">
      <c r="A685" s="29" t="s">
        <v>69</v>
      </c>
      <c r="B685" s="29">
        <v>35.0</v>
      </c>
      <c r="C685" s="29" t="s">
        <v>608</v>
      </c>
      <c r="D685" s="29" t="s">
        <v>1032</v>
      </c>
      <c r="E685" s="29">
        <v>59.0</v>
      </c>
      <c r="F685" s="30" t="s">
        <v>1033</v>
      </c>
      <c r="G685" s="29" t="s">
        <v>629</v>
      </c>
      <c r="H685" s="31">
        <v>1.2</v>
      </c>
      <c r="I685" s="29" t="s">
        <v>657</v>
      </c>
      <c r="J685" s="32" t="s">
        <v>598</v>
      </c>
      <c r="K685" s="29" t="s">
        <v>840</v>
      </c>
      <c r="L685" s="29" t="s">
        <v>954</v>
      </c>
      <c r="M685" s="33">
        <v>-85.0</v>
      </c>
      <c r="N685" s="33">
        <v>14.969</v>
      </c>
      <c r="O685" s="34" t="s">
        <v>601</v>
      </c>
      <c r="P685" s="32" t="s">
        <v>602</v>
      </c>
      <c r="Q685" s="35">
        <v>3.0</v>
      </c>
      <c r="R685" s="35">
        <v>3.0</v>
      </c>
      <c r="S685" s="36">
        <v>0.0</v>
      </c>
      <c r="T685" s="36">
        <v>0.3333</v>
      </c>
      <c r="U685" s="36">
        <v>0.0</v>
      </c>
      <c r="V685" s="36">
        <v>0.5774</v>
      </c>
      <c r="W685" s="36" t="s">
        <v>780</v>
      </c>
      <c r="X685" s="31">
        <v>1.925</v>
      </c>
      <c r="Y685" s="36">
        <v>-8.262558973010657</v>
      </c>
      <c r="Z685" s="36">
        <v>0.8905574751731218</v>
      </c>
      <c r="AA685" s="29" t="s">
        <v>820</v>
      </c>
      <c r="AB685" s="31">
        <v>0.290982544422</v>
      </c>
      <c r="AC685" s="38">
        <v>348.0</v>
      </c>
    </row>
    <row r="686" ht="14.25" customHeight="1">
      <c r="A686" s="29" t="s">
        <v>69</v>
      </c>
      <c r="B686" s="29">
        <v>35.0</v>
      </c>
      <c r="C686" s="29" t="s">
        <v>608</v>
      </c>
      <c r="D686" s="29" t="s">
        <v>961</v>
      </c>
      <c r="E686" s="29">
        <v>73.0</v>
      </c>
      <c r="F686" s="30" t="s">
        <v>962</v>
      </c>
      <c r="G686" s="29" t="s">
        <v>615</v>
      </c>
      <c r="H686" s="31">
        <v>2.67</v>
      </c>
      <c r="I686" s="29" t="s">
        <v>616</v>
      </c>
      <c r="J686" s="32" t="s">
        <v>598</v>
      </c>
      <c r="K686" s="29" t="s">
        <v>840</v>
      </c>
      <c r="L686" s="29" t="s">
        <v>954</v>
      </c>
      <c r="M686" s="33">
        <v>-85.0</v>
      </c>
      <c r="N686" s="33">
        <v>14.969</v>
      </c>
      <c r="O686" s="34" t="s">
        <v>601</v>
      </c>
      <c r="P686" s="32" t="s">
        <v>602</v>
      </c>
      <c r="Q686" s="35">
        <v>3.0</v>
      </c>
      <c r="R686" s="35">
        <v>3.0</v>
      </c>
      <c r="S686" s="36">
        <v>0.6667</v>
      </c>
      <c r="T686" s="36">
        <v>1.3333</v>
      </c>
      <c r="U686" s="36">
        <v>0.5774</v>
      </c>
      <c r="V686" s="36">
        <v>1.5275</v>
      </c>
      <c r="W686" s="36" t="s">
        <v>780</v>
      </c>
      <c r="X686" s="31">
        <v>0.675</v>
      </c>
      <c r="Y686" s="36">
        <v>-0.6925563573832568</v>
      </c>
      <c r="Z686" s="36">
        <v>0.6875254895408547</v>
      </c>
      <c r="AA686" s="29" t="s">
        <v>820</v>
      </c>
      <c r="AB686" s="31">
        <v>0.290982544422</v>
      </c>
      <c r="AC686" s="38">
        <v>348.0</v>
      </c>
    </row>
    <row r="687" ht="14.25" customHeight="1">
      <c r="A687" s="29" t="s">
        <v>69</v>
      </c>
      <c r="B687" s="29">
        <v>35.0</v>
      </c>
      <c r="C687" s="29" t="s">
        <v>608</v>
      </c>
      <c r="D687" s="29" t="s">
        <v>961</v>
      </c>
      <c r="E687" s="29">
        <v>73.0</v>
      </c>
      <c r="F687" s="30" t="s">
        <v>962</v>
      </c>
      <c r="G687" s="29" t="s">
        <v>615</v>
      </c>
      <c r="H687" s="31">
        <v>2.67</v>
      </c>
      <c r="I687" s="29" t="s">
        <v>616</v>
      </c>
      <c r="J687" s="32" t="s">
        <v>598</v>
      </c>
      <c r="K687" s="29" t="s">
        <v>840</v>
      </c>
      <c r="L687" s="29" t="s">
        <v>954</v>
      </c>
      <c r="M687" s="33">
        <v>-85.0</v>
      </c>
      <c r="N687" s="33">
        <v>14.969</v>
      </c>
      <c r="O687" s="34" t="s">
        <v>601</v>
      </c>
      <c r="P687" s="32" t="s">
        <v>602</v>
      </c>
      <c r="Q687" s="35">
        <v>3.0</v>
      </c>
      <c r="R687" s="35">
        <v>3.0</v>
      </c>
      <c r="S687" s="36">
        <v>1.0</v>
      </c>
      <c r="T687" s="36">
        <v>1.3333</v>
      </c>
      <c r="U687" s="36">
        <v>1.0</v>
      </c>
      <c r="V687" s="36">
        <v>1.5275</v>
      </c>
      <c r="W687" s="36" t="s">
        <v>780</v>
      </c>
      <c r="X687" s="31">
        <v>1.925</v>
      </c>
      <c r="Y687" s="36">
        <v>-0.2873131426417154</v>
      </c>
      <c r="Z687" s="36">
        <v>0.7708407553059899</v>
      </c>
      <c r="AA687" s="29" t="s">
        <v>820</v>
      </c>
      <c r="AB687" s="31">
        <v>0.290982544422</v>
      </c>
      <c r="AC687" s="38">
        <v>348.0</v>
      </c>
    </row>
    <row r="688" ht="14.25" customHeight="1">
      <c r="A688" s="29" t="s">
        <v>69</v>
      </c>
      <c r="B688" s="29">
        <v>35.0</v>
      </c>
      <c r="C688" s="29" t="s">
        <v>608</v>
      </c>
      <c r="D688" s="29" t="s">
        <v>617</v>
      </c>
      <c r="E688" s="29">
        <v>75.0</v>
      </c>
      <c r="F688" s="30" t="s">
        <v>618</v>
      </c>
      <c r="G688" s="29" t="s">
        <v>619</v>
      </c>
      <c r="H688" s="31">
        <v>4.2</v>
      </c>
      <c r="I688" s="29" t="s">
        <v>620</v>
      </c>
      <c r="J688" s="32" t="s">
        <v>598</v>
      </c>
      <c r="K688" s="29" t="s">
        <v>840</v>
      </c>
      <c r="L688" s="29" t="s">
        <v>954</v>
      </c>
      <c r="M688" s="33">
        <v>-85.0</v>
      </c>
      <c r="N688" s="33">
        <v>14.969</v>
      </c>
      <c r="O688" s="34" t="s">
        <v>601</v>
      </c>
      <c r="P688" s="32" t="s">
        <v>602</v>
      </c>
      <c r="Q688" s="35">
        <v>3.0</v>
      </c>
      <c r="R688" s="35">
        <v>3.0</v>
      </c>
      <c r="S688" s="36">
        <v>0.0</v>
      </c>
      <c r="T688" s="36">
        <v>0.3333</v>
      </c>
      <c r="U688" s="36">
        <v>0.0</v>
      </c>
      <c r="V688" s="36">
        <v>0.5774</v>
      </c>
      <c r="W688" s="36" t="s">
        <v>780</v>
      </c>
      <c r="X688" s="31">
        <v>0.675</v>
      </c>
      <c r="Y688" s="36">
        <v>-8.262558973010657</v>
      </c>
      <c r="Z688" s="36">
        <v>0.8905574751731218</v>
      </c>
      <c r="AA688" s="29" t="s">
        <v>820</v>
      </c>
      <c r="AB688" s="31">
        <v>0.290982544422</v>
      </c>
      <c r="AC688" s="38">
        <v>348.0</v>
      </c>
    </row>
    <row r="689" ht="14.25" customHeight="1">
      <c r="A689" s="29" t="s">
        <v>69</v>
      </c>
      <c r="B689" s="29">
        <v>35.0</v>
      </c>
      <c r="C689" s="29" t="s">
        <v>608</v>
      </c>
      <c r="D689" s="29" t="s">
        <v>617</v>
      </c>
      <c r="E689" s="29">
        <v>75.0</v>
      </c>
      <c r="F689" s="30" t="s">
        <v>618</v>
      </c>
      <c r="G689" s="29" t="s">
        <v>619</v>
      </c>
      <c r="H689" s="31">
        <v>4.2</v>
      </c>
      <c r="I689" s="29" t="s">
        <v>620</v>
      </c>
      <c r="J689" s="32" t="s">
        <v>598</v>
      </c>
      <c r="K689" s="29" t="s">
        <v>840</v>
      </c>
      <c r="L689" s="29" t="s">
        <v>954</v>
      </c>
      <c r="M689" s="33">
        <v>-85.0</v>
      </c>
      <c r="N689" s="33">
        <v>14.969</v>
      </c>
      <c r="O689" s="34" t="s">
        <v>601</v>
      </c>
      <c r="P689" s="32" t="s">
        <v>602</v>
      </c>
      <c r="Q689" s="35">
        <v>3.0</v>
      </c>
      <c r="R689" s="35">
        <v>3.0</v>
      </c>
      <c r="S689" s="36">
        <v>0.0</v>
      </c>
      <c r="T689" s="36">
        <v>0.3333</v>
      </c>
      <c r="U689" s="36">
        <v>0.0</v>
      </c>
      <c r="V689" s="36">
        <v>0.5774</v>
      </c>
      <c r="W689" s="36" t="s">
        <v>780</v>
      </c>
      <c r="X689" s="31">
        <v>1.925</v>
      </c>
      <c r="Y689" s="36">
        <v>-8.262558973010657</v>
      </c>
      <c r="Z689" s="36">
        <v>0.8905574751731218</v>
      </c>
      <c r="AA689" s="29" t="s">
        <v>820</v>
      </c>
      <c r="AB689" s="31">
        <v>0.290982544422</v>
      </c>
      <c r="AC689" s="38">
        <v>348.0</v>
      </c>
    </row>
    <row r="690" ht="14.25" customHeight="1">
      <c r="A690" s="29" t="s">
        <v>69</v>
      </c>
      <c r="B690" s="29">
        <v>35.0</v>
      </c>
      <c r="C690" s="29" t="s">
        <v>608</v>
      </c>
      <c r="D690" s="29" t="s">
        <v>821</v>
      </c>
      <c r="E690" s="29">
        <v>103.0</v>
      </c>
      <c r="F690" s="30" t="s">
        <v>822</v>
      </c>
      <c r="G690" s="29" t="s">
        <v>626</v>
      </c>
      <c r="H690" s="31">
        <v>16.63</v>
      </c>
      <c r="I690" s="29" t="s">
        <v>616</v>
      </c>
      <c r="J690" s="32" t="s">
        <v>598</v>
      </c>
      <c r="K690" s="29" t="s">
        <v>840</v>
      </c>
      <c r="L690" s="29" t="s">
        <v>954</v>
      </c>
      <c r="M690" s="33">
        <v>-85.0</v>
      </c>
      <c r="N690" s="33">
        <v>14.969</v>
      </c>
      <c r="O690" s="34" t="s">
        <v>601</v>
      </c>
      <c r="P690" s="32" t="s">
        <v>602</v>
      </c>
      <c r="Q690" s="35">
        <v>3.0</v>
      </c>
      <c r="R690" s="35">
        <v>3.0</v>
      </c>
      <c r="S690" s="36">
        <v>0.3333</v>
      </c>
      <c r="T690" s="36">
        <v>0.3333</v>
      </c>
      <c r="U690" s="36">
        <v>0.5774</v>
      </c>
      <c r="V690" s="36">
        <v>0.5774</v>
      </c>
      <c r="W690" s="36" t="s">
        <v>780</v>
      </c>
      <c r="X690" s="31">
        <v>0.675</v>
      </c>
      <c r="Y690" s="36">
        <v>2.5796466027220563E-4</v>
      </c>
      <c r="Z690" s="36">
        <v>2.0007446889303395</v>
      </c>
      <c r="AA690" s="29" t="s">
        <v>820</v>
      </c>
      <c r="AB690" s="31">
        <v>0.290982544422</v>
      </c>
      <c r="AC690" s="38">
        <v>348.0</v>
      </c>
    </row>
    <row r="691" ht="14.25" customHeight="1">
      <c r="A691" s="29" t="s">
        <v>69</v>
      </c>
      <c r="B691" s="29">
        <v>35.0</v>
      </c>
      <c r="C691" s="29" t="s">
        <v>608</v>
      </c>
      <c r="D691" s="29" t="s">
        <v>821</v>
      </c>
      <c r="E691" s="29">
        <v>103.0</v>
      </c>
      <c r="F691" s="30" t="s">
        <v>822</v>
      </c>
      <c r="G691" s="29" t="s">
        <v>626</v>
      </c>
      <c r="H691" s="31">
        <v>16.63</v>
      </c>
      <c r="I691" s="29" t="s">
        <v>616</v>
      </c>
      <c r="J691" s="32" t="s">
        <v>598</v>
      </c>
      <c r="K691" s="29" t="s">
        <v>840</v>
      </c>
      <c r="L691" s="29" t="s">
        <v>954</v>
      </c>
      <c r="M691" s="33">
        <v>-85.0</v>
      </c>
      <c r="N691" s="33">
        <v>14.969</v>
      </c>
      <c r="O691" s="34" t="s">
        <v>601</v>
      </c>
      <c r="P691" s="32" t="s">
        <v>602</v>
      </c>
      <c r="Q691" s="35">
        <v>3.0</v>
      </c>
      <c r="R691" s="35">
        <v>3.0</v>
      </c>
      <c r="S691" s="36">
        <v>0.3333</v>
      </c>
      <c r="T691" s="36">
        <v>0.3333</v>
      </c>
      <c r="U691" s="36">
        <v>0.5774</v>
      </c>
      <c r="V691" s="36">
        <v>0.5774</v>
      </c>
      <c r="W691" s="36" t="s">
        <v>780</v>
      </c>
      <c r="X691" s="31">
        <v>1.925</v>
      </c>
      <c r="Y691" s="36">
        <v>2.5796466027220563E-4</v>
      </c>
      <c r="Z691" s="36">
        <v>2.0007446889303395</v>
      </c>
      <c r="AA691" s="29" t="s">
        <v>820</v>
      </c>
      <c r="AB691" s="31">
        <v>0.290982544422</v>
      </c>
      <c r="AC691" s="38">
        <v>348.0</v>
      </c>
    </row>
    <row r="692" ht="14.25" customHeight="1">
      <c r="A692" s="29" t="s">
        <v>69</v>
      </c>
      <c r="B692" s="29">
        <v>35.0</v>
      </c>
      <c r="C692" s="29" t="s">
        <v>608</v>
      </c>
      <c r="D692" s="29" t="s">
        <v>1034</v>
      </c>
      <c r="E692" s="29">
        <v>110.0</v>
      </c>
      <c r="F692" s="30" t="s">
        <v>854</v>
      </c>
      <c r="G692" s="29" t="s">
        <v>629</v>
      </c>
      <c r="H692" s="31">
        <v>4.03</v>
      </c>
      <c r="I692" s="29" t="s">
        <v>597</v>
      </c>
      <c r="J692" s="32" t="s">
        <v>598</v>
      </c>
      <c r="K692" s="29" t="s">
        <v>840</v>
      </c>
      <c r="L692" s="29" t="s">
        <v>954</v>
      </c>
      <c r="M692" s="33">
        <v>-85.0</v>
      </c>
      <c r="N692" s="33">
        <v>14.969</v>
      </c>
      <c r="O692" s="34" t="s">
        <v>601</v>
      </c>
      <c r="P692" s="32" t="s">
        <v>602</v>
      </c>
      <c r="Q692" s="35">
        <v>3.0</v>
      </c>
      <c r="R692" s="35">
        <v>3.0</v>
      </c>
      <c r="S692" s="36">
        <v>0.0</v>
      </c>
      <c r="T692" s="36">
        <v>1.0</v>
      </c>
      <c r="U692" s="36">
        <v>0.0</v>
      </c>
      <c r="V692" s="36">
        <v>1.0</v>
      </c>
      <c r="W692" s="36" t="s">
        <v>780</v>
      </c>
      <c r="X692" s="31">
        <v>0.675</v>
      </c>
      <c r="Y692" s="36">
        <v>-8.262558973010657</v>
      </c>
      <c r="Z692" s="36">
        <v>0.6666666666666666</v>
      </c>
      <c r="AA692" s="29" t="s">
        <v>820</v>
      </c>
      <c r="AB692" s="31">
        <v>0.290982544422</v>
      </c>
      <c r="AC692" s="38">
        <v>348.0</v>
      </c>
    </row>
    <row r="693" ht="14.25" customHeight="1">
      <c r="A693" s="29" t="s">
        <v>69</v>
      </c>
      <c r="B693" s="29">
        <v>35.0</v>
      </c>
      <c r="C693" s="29" t="s">
        <v>608</v>
      </c>
      <c r="D693" s="29" t="s">
        <v>1034</v>
      </c>
      <c r="E693" s="29">
        <v>110.0</v>
      </c>
      <c r="F693" s="30" t="s">
        <v>854</v>
      </c>
      <c r="G693" s="29" t="s">
        <v>629</v>
      </c>
      <c r="H693" s="31">
        <v>4.03</v>
      </c>
      <c r="I693" s="29" t="s">
        <v>597</v>
      </c>
      <c r="J693" s="32" t="s">
        <v>598</v>
      </c>
      <c r="K693" s="29" t="s">
        <v>840</v>
      </c>
      <c r="L693" s="29" t="s">
        <v>954</v>
      </c>
      <c r="M693" s="33">
        <v>-85.0</v>
      </c>
      <c r="N693" s="33">
        <v>14.969</v>
      </c>
      <c r="O693" s="34" t="s">
        <v>601</v>
      </c>
      <c r="P693" s="32" t="s">
        <v>602</v>
      </c>
      <c r="Q693" s="35">
        <v>3.0</v>
      </c>
      <c r="R693" s="35">
        <v>3.0</v>
      </c>
      <c r="S693" s="36">
        <v>0.3333</v>
      </c>
      <c r="T693" s="36">
        <v>1.0</v>
      </c>
      <c r="U693" s="36">
        <v>0.5774</v>
      </c>
      <c r="V693" s="36">
        <v>1.0</v>
      </c>
      <c r="W693" s="36" t="s">
        <v>780</v>
      </c>
      <c r="X693" s="31">
        <v>1.925</v>
      </c>
      <c r="Y693" s="36">
        <v>-1.0979385218918807</v>
      </c>
      <c r="Z693" s="36">
        <v>1.333705677798503</v>
      </c>
      <c r="AA693" s="29" t="s">
        <v>820</v>
      </c>
      <c r="AB693" s="31">
        <v>0.290982544422</v>
      </c>
      <c r="AC693" s="38">
        <v>348.0</v>
      </c>
    </row>
    <row r="694" ht="14.25" customHeight="1">
      <c r="A694" s="29" t="s">
        <v>69</v>
      </c>
      <c r="B694" s="29">
        <v>35.0</v>
      </c>
      <c r="C694" s="29" t="s">
        <v>608</v>
      </c>
      <c r="D694" s="29" t="s">
        <v>683</v>
      </c>
      <c r="E694" s="29">
        <v>122.0</v>
      </c>
      <c r="F694" s="30" t="s">
        <v>684</v>
      </c>
      <c r="G694" s="29" t="s">
        <v>629</v>
      </c>
      <c r="H694" s="31">
        <v>100.0</v>
      </c>
      <c r="I694" s="29" t="s">
        <v>657</v>
      </c>
      <c r="J694" s="32" t="s">
        <v>598</v>
      </c>
      <c r="K694" s="29" t="s">
        <v>840</v>
      </c>
      <c r="L694" s="29" t="s">
        <v>954</v>
      </c>
      <c r="M694" s="33">
        <v>-85.0</v>
      </c>
      <c r="N694" s="33">
        <v>14.969</v>
      </c>
      <c r="O694" s="34" t="s">
        <v>601</v>
      </c>
      <c r="P694" s="32" t="s">
        <v>602</v>
      </c>
      <c r="Q694" s="35">
        <v>3.0</v>
      </c>
      <c r="R694" s="35">
        <v>3.0</v>
      </c>
      <c r="S694" s="36">
        <v>0.0</v>
      </c>
      <c r="T694" s="36">
        <v>0.3333</v>
      </c>
      <c r="U694" s="36">
        <v>0.0</v>
      </c>
      <c r="V694" s="36">
        <v>0.5774</v>
      </c>
      <c r="W694" s="36" t="s">
        <v>780</v>
      </c>
      <c r="X694" s="31">
        <v>0.675</v>
      </c>
      <c r="Y694" s="36">
        <v>-8.262558973010657</v>
      </c>
      <c r="Z694" s="36">
        <v>0.8905574751731218</v>
      </c>
      <c r="AA694" s="29" t="s">
        <v>820</v>
      </c>
      <c r="AB694" s="31">
        <v>0.290982544422</v>
      </c>
      <c r="AC694" s="38">
        <v>348.0</v>
      </c>
    </row>
    <row r="695" ht="14.25" customHeight="1">
      <c r="A695" s="29" t="s">
        <v>69</v>
      </c>
      <c r="B695" s="29">
        <v>35.0</v>
      </c>
      <c r="C695" s="29" t="s">
        <v>608</v>
      </c>
      <c r="D695" s="29" t="s">
        <v>683</v>
      </c>
      <c r="E695" s="29">
        <v>122.0</v>
      </c>
      <c r="F695" s="30" t="s">
        <v>684</v>
      </c>
      <c r="G695" s="29" t="s">
        <v>629</v>
      </c>
      <c r="H695" s="31">
        <v>100.0</v>
      </c>
      <c r="I695" s="29" t="s">
        <v>657</v>
      </c>
      <c r="J695" s="32" t="s">
        <v>598</v>
      </c>
      <c r="K695" s="29" t="s">
        <v>840</v>
      </c>
      <c r="L695" s="29" t="s">
        <v>954</v>
      </c>
      <c r="M695" s="33">
        <v>-85.0</v>
      </c>
      <c r="N695" s="33">
        <v>14.969</v>
      </c>
      <c r="O695" s="34" t="s">
        <v>601</v>
      </c>
      <c r="P695" s="32" t="s">
        <v>602</v>
      </c>
      <c r="Q695" s="35">
        <v>3.0</v>
      </c>
      <c r="R695" s="35">
        <v>3.0</v>
      </c>
      <c r="S695" s="36">
        <v>0.0</v>
      </c>
      <c r="T695" s="36">
        <v>0.3333</v>
      </c>
      <c r="U695" s="36">
        <v>0.0</v>
      </c>
      <c r="V695" s="36">
        <v>0.5774</v>
      </c>
      <c r="W695" s="36" t="s">
        <v>780</v>
      </c>
      <c r="X695" s="31">
        <v>1.925</v>
      </c>
      <c r="Y695" s="36">
        <v>-8.262558973010657</v>
      </c>
      <c r="Z695" s="36">
        <v>0.8905574751731218</v>
      </c>
      <c r="AA695" s="29" t="s">
        <v>820</v>
      </c>
      <c r="AB695" s="31">
        <v>0.290982544422</v>
      </c>
      <c r="AC695" s="38">
        <v>348.0</v>
      </c>
    </row>
    <row r="696" ht="14.25" customHeight="1">
      <c r="A696" s="29" t="s">
        <v>69</v>
      </c>
      <c r="B696" s="29">
        <v>35.0</v>
      </c>
      <c r="C696" s="29" t="s">
        <v>608</v>
      </c>
      <c r="D696" s="29" t="s">
        <v>630</v>
      </c>
      <c r="E696" s="29">
        <v>129.0</v>
      </c>
      <c r="F696" s="30" t="s">
        <v>631</v>
      </c>
      <c r="G696" s="29" t="s">
        <v>626</v>
      </c>
      <c r="H696" s="31">
        <v>21.27</v>
      </c>
      <c r="I696" s="29" t="s">
        <v>612</v>
      </c>
      <c r="J696" s="32" t="s">
        <v>598</v>
      </c>
      <c r="K696" s="29" t="s">
        <v>840</v>
      </c>
      <c r="L696" s="29" t="s">
        <v>954</v>
      </c>
      <c r="M696" s="33">
        <v>-85.0</v>
      </c>
      <c r="N696" s="33">
        <v>14.969</v>
      </c>
      <c r="O696" s="34" t="s">
        <v>601</v>
      </c>
      <c r="P696" s="32" t="s">
        <v>602</v>
      </c>
      <c r="Q696" s="35">
        <v>3.0</v>
      </c>
      <c r="R696" s="35">
        <v>3.0</v>
      </c>
      <c r="S696" s="36">
        <v>4.3333</v>
      </c>
      <c r="T696" s="36">
        <v>7.6667</v>
      </c>
      <c r="U696" s="36">
        <v>4.9329</v>
      </c>
      <c r="V696" s="36">
        <v>4.6188</v>
      </c>
      <c r="W696" s="36" t="s">
        <v>780</v>
      </c>
      <c r="X696" s="31">
        <v>0.675</v>
      </c>
      <c r="Y696" s="36">
        <v>-0.5701005393865897</v>
      </c>
      <c r="Z696" s="36">
        <v>0.5529441315639954</v>
      </c>
      <c r="AA696" s="29" t="s">
        <v>820</v>
      </c>
      <c r="AB696" s="31">
        <v>0.290982544422</v>
      </c>
      <c r="AC696" s="38">
        <v>348.0</v>
      </c>
    </row>
    <row r="697" ht="14.25" customHeight="1">
      <c r="A697" s="29" t="s">
        <v>69</v>
      </c>
      <c r="B697" s="29">
        <v>35.0</v>
      </c>
      <c r="C697" s="29" t="s">
        <v>608</v>
      </c>
      <c r="D697" s="29" t="s">
        <v>630</v>
      </c>
      <c r="E697" s="29">
        <v>129.0</v>
      </c>
      <c r="F697" s="30" t="s">
        <v>631</v>
      </c>
      <c r="G697" s="29" t="s">
        <v>626</v>
      </c>
      <c r="H697" s="31">
        <v>21.27</v>
      </c>
      <c r="I697" s="29" t="s">
        <v>612</v>
      </c>
      <c r="J697" s="32" t="s">
        <v>598</v>
      </c>
      <c r="K697" s="29" t="s">
        <v>840</v>
      </c>
      <c r="L697" s="29" t="s">
        <v>954</v>
      </c>
      <c r="M697" s="33">
        <v>-85.0</v>
      </c>
      <c r="N697" s="33">
        <v>14.969</v>
      </c>
      <c r="O697" s="34" t="s">
        <v>601</v>
      </c>
      <c r="P697" s="32" t="s">
        <v>602</v>
      </c>
      <c r="Q697" s="35">
        <v>3.0</v>
      </c>
      <c r="R697" s="35">
        <v>3.0</v>
      </c>
      <c r="S697" s="36">
        <v>1.0</v>
      </c>
      <c r="T697" s="36">
        <v>7.6667</v>
      </c>
      <c r="U697" s="36">
        <v>1.0</v>
      </c>
      <c r="V697" s="36">
        <v>4.6188</v>
      </c>
      <c r="W697" s="36" t="s">
        <v>780</v>
      </c>
      <c r="X697" s="31">
        <v>1.925</v>
      </c>
      <c r="Y697" s="36">
        <v>-2.0349102359535465</v>
      </c>
      <c r="Z697" s="36">
        <v>0.45431515526605415</v>
      </c>
      <c r="AA697" s="29" t="s">
        <v>820</v>
      </c>
      <c r="AB697" s="31">
        <v>0.290982544422</v>
      </c>
      <c r="AC697" s="38">
        <v>348.0</v>
      </c>
    </row>
    <row r="698" ht="14.25" customHeight="1">
      <c r="A698" s="29" t="s">
        <v>69</v>
      </c>
      <c r="B698" s="29">
        <v>35.0</v>
      </c>
      <c r="C698" s="29" t="s">
        <v>608</v>
      </c>
      <c r="D698" s="29" t="s">
        <v>1035</v>
      </c>
      <c r="E698" s="29">
        <v>176.0</v>
      </c>
      <c r="F698" s="30" t="s">
        <v>1036</v>
      </c>
      <c r="G698" s="29" t="s">
        <v>615</v>
      </c>
      <c r="H698" s="31">
        <v>0.6</v>
      </c>
      <c r="I698" s="29" t="s">
        <v>597</v>
      </c>
      <c r="J698" s="32" t="s">
        <v>598</v>
      </c>
      <c r="K698" s="29" t="s">
        <v>840</v>
      </c>
      <c r="L698" s="29" t="s">
        <v>954</v>
      </c>
      <c r="M698" s="33">
        <v>-85.0</v>
      </c>
      <c r="N698" s="33">
        <v>14.969</v>
      </c>
      <c r="O698" s="34" t="s">
        <v>601</v>
      </c>
      <c r="P698" s="32" t="s">
        <v>602</v>
      </c>
      <c r="Q698" s="35">
        <v>3.0</v>
      </c>
      <c r="R698" s="35">
        <v>3.0</v>
      </c>
      <c r="S698" s="36">
        <v>3.6667</v>
      </c>
      <c r="T698" s="36">
        <v>0.6667</v>
      </c>
      <c r="U698" s="36">
        <v>5.5076</v>
      </c>
      <c r="V698" s="36">
        <v>0.5774</v>
      </c>
      <c r="W698" s="36" t="s">
        <v>780</v>
      </c>
      <c r="X698" s="31">
        <v>0.675</v>
      </c>
      <c r="Y698" s="36">
        <v>1.7047540938904981</v>
      </c>
      <c r="Z698" s="36">
        <v>1.002078553017879</v>
      </c>
      <c r="AA698" s="29" t="s">
        <v>820</v>
      </c>
      <c r="AB698" s="31">
        <v>0.290982544422</v>
      </c>
      <c r="AC698" s="38">
        <v>348.0</v>
      </c>
    </row>
    <row r="699" ht="14.25" customHeight="1">
      <c r="A699" s="29" t="s">
        <v>69</v>
      </c>
      <c r="B699" s="29">
        <v>35.0</v>
      </c>
      <c r="C699" s="29" t="s">
        <v>608</v>
      </c>
      <c r="D699" s="29" t="s">
        <v>1035</v>
      </c>
      <c r="E699" s="29">
        <v>176.0</v>
      </c>
      <c r="F699" s="30" t="s">
        <v>1036</v>
      </c>
      <c r="G699" s="29" t="s">
        <v>615</v>
      </c>
      <c r="H699" s="31">
        <v>0.6</v>
      </c>
      <c r="I699" s="29" t="s">
        <v>597</v>
      </c>
      <c r="J699" s="32" t="s">
        <v>598</v>
      </c>
      <c r="K699" s="29" t="s">
        <v>840</v>
      </c>
      <c r="L699" s="29" t="s">
        <v>954</v>
      </c>
      <c r="M699" s="33">
        <v>-85.0</v>
      </c>
      <c r="N699" s="33">
        <v>14.969</v>
      </c>
      <c r="O699" s="34" t="s">
        <v>601</v>
      </c>
      <c r="P699" s="32" t="s">
        <v>602</v>
      </c>
      <c r="Q699" s="35">
        <v>3.0</v>
      </c>
      <c r="R699" s="35">
        <v>3.0</v>
      </c>
      <c r="S699" s="36">
        <v>0.3333</v>
      </c>
      <c r="T699" s="36">
        <v>0.6667</v>
      </c>
      <c r="U699" s="36">
        <v>0.5774</v>
      </c>
      <c r="V699" s="36">
        <v>0.5774</v>
      </c>
      <c r="W699" s="36" t="s">
        <v>780</v>
      </c>
      <c r="X699" s="31">
        <v>1.925</v>
      </c>
      <c r="Y699" s="36">
        <v>-0.6927812441511826</v>
      </c>
      <c r="Z699" s="36">
        <v>1.2503904120333678</v>
      </c>
      <c r="AA699" s="29" t="s">
        <v>820</v>
      </c>
      <c r="AB699" s="31">
        <v>0.290982544422</v>
      </c>
      <c r="AC699" s="38">
        <v>348.0</v>
      </c>
    </row>
    <row r="700" ht="14.25" customHeight="1">
      <c r="A700" s="29" t="s">
        <v>69</v>
      </c>
      <c r="B700" s="29">
        <v>35.0</v>
      </c>
      <c r="C700" s="29" t="s">
        <v>608</v>
      </c>
      <c r="D700" s="29" t="s">
        <v>860</v>
      </c>
      <c r="E700" s="29">
        <v>187.0</v>
      </c>
      <c r="F700" s="30" t="s">
        <v>861</v>
      </c>
      <c r="G700" s="29" t="s">
        <v>638</v>
      </c>
      <c r="H700" s="31">
        <v>300.0</v>
      </c>
      <c r="I700" s="29" t="s">
        <v>612</v>
      </c>
      <c r="J700" s="32" t="s">
        <v>598</v>
      </c>
      <c r="K700" s="29" t="s">
        <v>840</v>
      </c>
      <c r="L700" s="29" t="s">
        <v>954</v>
      </c>
      <c r="M700" s="33">
        <v>-85.0</v>
      </c>
      <c r="N700" s="33">
        <v>14.969</v>
      </c>
      <c r="O700" s="34" t="s">
        <v>601</v>
      </c>
      <c r="P700" s="32" t="s">
        <v>602</v>
      </c>
      <c r="Q700" s="35">
        <v>3.0</v>
      </c>
      <c r="R700" s="35">
        <v>3.0</v>
      </c>
      <c r="S700" s="36">
        <v>0.3333</v>
      </c>
      <c r="T700" s="36">
        <v>0.3333</v>
      </c>
      <c r="U700" s="36">
        <v>0.5774</v>
      </c>
      <c r="V700" s="36">
        <v>0.5774</v>
      </c>
      <c r="W700" s="36" t="s">
        <v>780</v>
      </c>
      <c r="X700" s="31">
        <v>0.675</v>
      </c>
      <c r="Y700" s="36">
        <v>2.5796466027220563E-4</v>
      </c>
      <c r="Z700" s="36">
        <v>2.0007446889303395</v>
      </c>
      <c r="AA700" s="29" t="s">
        <v>820</v>
      </c>
      <c r="AB700" s="31">
        <v>0.290982544422</v>
      </c>
      <c r="AC700" s="38">
        <v>348.0</v>
      </c>
    </row>
    <row r="701" ht="14.25" customHeight="1">
      <c r="A701" s="29" t="s">
        <v>69</v>
      </c>
      <c r="B701" s="29">
        <v>35.0</v>
      </c>
      <c r="C701" s="29" t="s">
        <v>608</v>
      </c>
      <c r="D701" s="29" t="s">
        <v>860</v>
      </c>
      <c r="E701" s="29">
        <v>187.0</v>
      </c>
      <c r="F701" s="30" t="s">
        <v>861</v>
      </c>
      <c r="G701" s="29" t="s">
        <v>638</v>
      </c>
      <c r="H701" s="31">
        <v>300.0</v>
      </c>
      <c r="I701" s="29" t="s">
        <v>612</v>
      </c>
      <c r="J701" s="32" t="s">
        <v>598</v>
      </c>
      <c r="K701" s="29" t="s">
        <v>840</v>
      </c>
      <c r="L701" s="29" t="s">
        <v>954</v>
      </c>
      <c r="M701" s="33">
        <v>-85.0</v>
      </c>
      <c r="N701" s="33">
        <v>14.969</v>
      </c>
      <c r="O701" s="34" t="s">
        <v>601</v>
      </c>
      <c r="P701" s="32" t="s">
        <v>602</v>
      </c>
      <c r="Q701" s="35">
        <v>3.0</v>
      </c>
      <c r="R701" s="35">
        <v>3.0</v>
      </c>
      <c r="S701" s="36">
        <v>0.0</v>
      </c>
      <c r="T701" s="36">
        <v>0.3333</v>
      </c>
      <c r="U701" s="36">
        <v>0.0</v>
      </c>
      <c r="V701" s="36">
        <v>0.5774</v>
      </c>
      <c r="W701" s="36" t="s">
        <v>780</v>
      </c>
      <c r="X701" s="31">
        <v>1.925</v>
      </c>
      <c r="Y701" s="36">
        <v>-8.262558973010657</v>
      </c>
      <c r="Z701" s="36">
        <v>0.8905574751731218</v>
      </c>
      <c r="AA701" s="29" t="s">
        <v>820</v>
      </c>
      <c r="AB701" s="31">
        <v>0.290982544422</v>
      </c>
      <c r="AC701" s="38">
        <v>348.0</v>
      </c>
    </row>
    <row r="702" ht="14.25" customHeight="1">
      <c r="A702" s="29" t="s">
        <v>69</v>
      </c>
      <c r="B702" s="29">
        <v>35.0</v>
      </c>
      <c r="C702" s="29" t="s">
        <v>608</v>
      </c>
      <c r="D702" s="29" t="s">
        <v>639</v>
      </c>
      <c r="E702" s="29">
        <v>190.0</v>
      </c>
      <c r="F702" s="30" t="s">
        <v>640</v>
      </c>
      <c r="G702" s="29" t="s">
        <v>626</v>
      </c>
      <c r="H702" s="31">
        <v>32.23</v>
      </c>
      <c r="I702" s="29" t="s">
        <v>597</v>
      </c>
      <c r="J702" s="32" t="s">
        <v>598</v>
      </c>
      <c r="K702" s="29" t="s">
        <v>840</v>
      </c>
      <c r="L702" s="29" t="s">
        <v>954</v>
      </c>
      <c r="M702" s="33">
        <v>-85.0</v>
      </c>
      <c r="N702" s="33">
        <v>14.969</v>
      </c>
      <c r="O702" s="34" t="s">
        <v>601</v>
      </c>
      <c r="P702" s="32" t="s">
        <v>602</v>
      </c>
      <c r="Q702" s="35">
        <v>3.0</v>
      </c>
      <c r="R702" s="35">
        <v>3.0</v>
      </c>
      <c r="S702" s="36">
        <v>0.0</v>
      </c>
      <c r="T702" s="36">
        <v>1.0</v>
      </c>
      <c r="U702" s="36">
        <v>0.0</v>
      </c>
      <c r="V702" s="36">
        <v>1.0</v>
      </c>
      <c r="W702" s="36" t="s">
        <v>780</v>
      </c>
      <c r="X702" s="31">
        <v>0.675</v>
      </c>
      <c r="Y702" s="36">
        <v>-8.262558973010657</v>
      </c>
      <c r="Z702" s="36">
        <v>0.6666666666666666</v>
      </c>
      <c r="AA702" s="29" t="s">
        <v>820</v>
      </c>
      <c r="AB702" s="31">
        <v>0.290982544422</v>
      </c>
      <c r="AC702" s="38">
        <v>348.0</v>
      </c>
    </row>
    <row r="703" ht="14.25" customHeight="1">
      <c r="A703" s="29" t="s">
        <v>69</v>
      </c>
      <c r="B703" s="29">
        <v>35.0</v>
      </c>
      <c r="C703" s="29" t="s">
        <v>608</v>
      </c>
      <c r="D703" s="29" t="s">
        <v>639</v>
      </c>
      <c r="E703" s="29">
        <v>190.0</v>
      </c>
      <c r="F703" s="30" t="s">
        <v>640</v>
      </c>
      <c r="G703" s="29" t="s">
        <v>626</v>
      </c>
      <c r="H703" s="31">
        <v>32.23</v>
      </c>
      <c r="I703" s="29" t="s">
        <v>597</v>
      </c>
      <c r="J703" s="32" t="s">
        <v>598</v>
      </c>
      <c r="K703" s="29" t="s">
        <v>840</v>
      </c>
      <c r="L703" s="29" t="s">
        <v>954</v>
      </c>
      <c r="M703" s="33">
        <v>-85.0</v>
      </c>
      <c r="N703" s="33">
        <v>14.969</v>
      </c>
      <c r="O703" s="34" t="s">
        <v>601</v>
      </c>
      <c r="P703" s="32" t="s">
        <v>602</v>
      </c>
      <c r="Q703" s="35">
        <v>3.0</v>
      </c>
      <c r="R703" s="35">
        <v>3.0</v>
      </c>
      <c r="S703" s="36">
        <v>0.0</v>
      </c>
      <c r="T703" s="36">
        <v>1.0</v>
      </c>
      <c r="U703" s="36">
        <v>0.0</v>
      </c>
      <c r="V703" s="36">
        <v>1.0</v>
      </c>
      <c r="W703" s="36" t="s">
        <v>780</v>
      </c>
      <c r="X703" s="31">
        <v>1.925</v>
      </c>
      <c r="Y703" s="36">
        <v>-8.262558973010657</v>
      </c>
      <c r="Z703" s="36">
        <v>0.6666666666666666</v>
      </c>
      <c r="AA703" s="29" t="s">
        <v>820</v>
      </c>
      <c r="AB703" s="31">
        <v>0.290982544422</v>
      </c>
      <c r="AC703" s="38">
        <v>348.0</v>
      </c>
    </row>
    <row r="704" ht="14.25" customHeight="1">
      <c r="A704" s="29" t="s">
        <v>69</v>
      </c>
      <c r="B704" s="29">
        <v>36.0</v>
      </c>
      <c r="C704" s="29" t="s">
        <v>593</v>
      </c>
      <c r="D704" s="35" t="s">
        <v>1011</v>
      </c>
      <c r="E704" s="29">
        <v>212.0</v>
      </c>
      <c r="F704" s="30" t="s">
        <v>1012</v>
      </c>
      <c r="G704" s="29" t="s">
        <v>886</v>
      </c>
      <c r="H704" s="31">
        <v>0.48</v>
      </c>
      <c r="I704" s="29" t="s">
        <v>597</v>
      </c>
      <c r="J704" s="32" t="s">
        <v>598</v>
      </c>
      <c r="K704" s="29" t="s">
        <v>840</v>
      </c>
      <c r="L704" s="29" t="s">
        <v>954</v>
      </c>
      <c r="M704" s="33">
        <v>-84.875</v>
      </c>
      <c r="N704" s="33">
        <v>15.045</v>
      </c>
      <c r="O704" s="34" t="s">
        <v>601</v>
      </c>
      <c r="P704" s="32" t="s">
        <v>602</v>
      </c>
      <c r="Q704" s="35">
        <v>3.0</v>
      </c>
      <c r="R704" s="35">
        <v>3.0</v>
      </c>
      <c r="S704" s="36">
        <v>3.6667</v>
      </c>
      <c r="T704" s="36">
        <v>4.0</v>
      </c>
      <c r="U704" s="36">
        <v>2.3094</v>
      </c>
      <c r="V704" s="36">
        <v>6.9282</v>
      </c>
      <c r="W704" s="36" t="s">
        <v>780</v>
      </c>
      <c r="X704" s="31">
        <v>0.675</v>
      </c>
      <c r="Y704" s="36">
        <v>-0.0855828523624241</v>
      </c>
      <c r="Z704" s="36">
        <v>1.132227944980556</v>
      </c>
      <c r="AA704" s="29" t="s">
        <v>820</v>
      </c>
      <c r="AB704" s="31">
        <v>0.365709215403</v>
      </c>
      <c r="AC704" s="38">
        <v>399.0</v>
      </c>
    </row>
    <row r="705" ht="14.25" customHeight="1">
      <c r="A705" s="29" t="s">
        <v>69</v>
      </c>
      <c r="B705" s="29">
        <v>36.0</v>
      </c>
      <c r="C705" s="29" t="s">
        <v>593</v>
      </c>
      <c r="D705" s="35" t="s">
        <v>1011</v>
      </c>
      <c r="E705" s="29">
        <v>212.0</v>
      </c>
      <c r="F705" s="30" t="s">
        <v>1012</v>
      </c>
      <c r="G705" s="29" t="s">
        <v>886</v>
      </c>
      <c r="H705" s="31">
        <v>0.48</v>
      </c>
      <c r="I705" s="29" t="s">
        <v>597</v>
      </c>
      <c r="J705" s="32" t="s">
        <v>598</v>
      </c>
      <c r="K705" s="29" t="s">
        <v>840</v>
      </c>
      <c r="L705" s="29" t="s">
        <v>954</v>
      </c>
      <c r="M705" s="33">
        <v>-84.875</v>
      </c>
      <c r="N705" s="33">
        <v>15.045</v>
      </c>
      <c r="O705" s="34" t="s">
        <v>601</v>
      </c>
      <c r="P705" s="32" t="s">
        <v>602</v>
      </c>
      <c r="Q705" s="35">
        <v>3.0</v>
      </c>
      <c r="R705" s="35">
        <v>3.0</v>
      </c>
      <c r="S705" s="36">
        <v>2.6667</v>
      </c>
      <c r="T705" s="36">
        <v>4.0</v>
      </c>
      <c r="U705" s="36">
        <v>3.0551</v>
      </c>
      <c r="V705" s="36">
        <v>6.9282</v>
      </c>
      <c r="W705" s="36" t="s">
        <v>780</v>
      </c>
      <c r="X705" s="31">
        <v>1.925</v>
      </c>
      <c r="Y705" s="36">
        <v>-0.4035014124211945</v>
      </c>
      <c r="Z705" s="36">
        <v>1.4375023178191322</v>
      </c>
      <c r="AA705" s="29" t="s">
        <v>820</v>
      </c>
      <c r="AB705" s="31">
        <v>0.365709215403</v>
      </c>
      <c r="AC705" s="38">
        <v>399.0</v>
      </c>
    </row>
    <row r="706" ht="14.25" customHeight="1">
      <c r="A706" s="29" t="s">
        <v>69</v>
      </c>
      <c r="B706" s="29">
        <v>36.0</v>
      </c>
      <c r="C706" s="29" t="s">
        <v>593</v>
      </c>
      <c r="D706" s="35" t="s">
        <v>1015</v>
      </c>
      <c r="E706" s="29">
        <v>11.0</v>
      </c>
      <c r="F706" s="30" t="s">
        <v>1016</v>
      </c>
      <c r="G706" s="29" t="s">
        <v>886</v>
      </c>
      <c r="H706" s="31">
        <v>1.02</v>
      </c>
      <c r="I706" s="29" t="s">
        <v>616</v>
      </c>
      <c r="J706" s="32" t="s">
        <v>598</v>
      </c>
      <c r="K706" s="29" t="s">
        <v>840</v>
      </c>
      <c r="L706" s="29" t="s">
        <v>954</v>
      </c>
      <c r="M706" s="33">
        <v>-84.875</v>
      </c>
      <c r="N706" s="33">
        <v>15.045</v>
      </c>
      <c r="O706" s="34" t="s">
        <v>601</v>
      </c>
      <c r="P706" s="32" t="s">
        <v>602</v>
      </c>
      <c r="Q706" s="35">
        <v>3.0</v>
      </c>
      <c r="R706" s="35">
        <v>3.0</v>
      </c>
      <c r="S706" s="36">
        <v>1.0</v>
      </c>
      <c r="T706" s="36">
        <v>1.3333</v>
      </c>
      <c r="U706" s="36">
        <f>SQRT(S706)</f>
        <v>1</v>
      </c>
      <c r="V706" s="36">
        <v>1.1547</v>
      </c>
      <c r="W706" s="36" t="s">
        <v>780</v>
      </c>
      <c r="X706" s="31">
        <v>0.675</v>
      </c>
      <c r="Y706" s="36">
        <v>-0.28592250965462457</v>
      </c>
      <c r="Z706" s="36">
        <v>0.5833456006654423</v>
      </c>
      <c r="AA706" s="29" t="s">
        <v>820</v>
      </c>
      <c r="AB706" s="31">
        <v>0.365709215403</v>
      </c>
      <c r="AC706" s="38">
        <v>399.0</v>
      </c>
    </row>
    <row r="707" ht="14.25" customHeight="1">
      <c r="A707" s="29" t="s">
        <v>69</v>
      </c>
      <c r="B707" s="29">
        <v>36.0</v>
      </c>
      <c r="C707" s="29" t="s">
        <v>593</v>
      </c>
      <c r="D707" s="35" t="s">
        <v>1015</v>
      </c>
      <c r="E707" s="29">
        <v>11.0</v>
      </c>
      <c r="F707" s="30" t="s">
        <v>1016</v>
      </c>
      <c r="G707" s="29" t="s">
        <v>886</v>
      </c>
      <c r="H707" s="31">
        <v>1.02</v>
      </c>
      <c r="I707" s="29" t="s">
        <v>616</v>
      </c>
      <c r="J707" s="32" t="s">
        <v>598</v>
      </c>
      <c r="K707" s="29" t="s">
        <v>840</v>
      </c>
      <c r="L707" s="29" t="s">
        <v>954</v>
      </c>
      <c r="M707" s="33">
        <v>-84.875</v>
      </c>
      <c r="N707" s="33">
        <v>15.045</v>
      </c>
      <c r="O707" s="34" t="s">
        <v>601</v>
      </c>
      <c r="P707" s="32" t="s">
        <v>602</v>
      </c>
      <c r="Q707" s="35">
        <v>3.0</v>
      </c>
      <c r="R707" s="35">
        <v>3.0</v>
      </c>
      <c r="S707" s="36">
        <v>0.3333</v>
      </c>
      <c r="T707" s="36">
        <v>1.3333</v>
      </c>
      <c r="U707" s="36">
        <v>0.5774</v>
      </c>
      <c r="V707" s="36">
        <v>1.1547</v>
      </c>
      <c r="W707" s="36" t="s">
        <v>780</v>
      </c>
      <c r="X707" s="31">
        <v>1.925</v>
      </c>
      <c r="Y707" s="36">
        <v>-1.38117416029079</v>
      </c>
      <c r="Z707" s="36">
        <v>1.2503846117972788</v>
      </c>
      <c r="AA707" s="29" t="s">
        <v>820</v>
      </c>
      <c r="AB707" s="31">
        <v>0.365709215403</v>
      </c>
      <c r="AC707" s="38">
        <v>399.0</v>
      </c>
    </row>
    <row r="708" ht="14.25" customHeight="1">
      <c r="A708" s="29" t="s">
        <v>69</v>
      </c>
      <c r="B708" s="29">
        <v>36.0</v>
      </c>
      <c r="C708" s="29" t="s">
        <v>593</v>
      </c>
      <c r="D708" s="29" t="s">
        <v>1037</v>
      </c>
      <c r="E708" s="29">
        <v>211.0</v>
      </c>
      <c r="F708" s="30" t="s">
        <v>1038</v>
      </c>
      <c r="G708" s="29" t="s">
        <v>902</v>
      </c>
      <c r="H708" s="31">
        <v>0.04</v>
      </c>
      <c r="I708" s="29" t="s">
        <v>597</v>
      </c>
      <c r="J708" s="32" t="s">
        <v>598</v>
      </c>
      <c r="K708" s="29" t="s">
        <v>840</v>
      </c>
      <c r="L708" s="29" t="s">
        <v>954</v>
      </c>
      <c r="M708" s="33">
        <v>-84.875</v>
      </c>
      <c r="N708" s="33">
        <v>15.045</v>
      </c>
      <c r="O708" s="34" t="s">
        <v>601</v>
      </c>
      <c r="P708" s="32" t="s">
        <v>602</v>
      </c>
      <c r="Q708" s="35">
        <v>3.0</v>
      </c>
      <c r="R708" s="35">
        <v>3.0</v>
      </c>
      <c r="S708" s="36">
        <v>0.6667</v>
      </c>
      <c r="T708" s="36">
        <v>0.6667</v>
      </c>
      <c r="U708" s="36">
        <v>0.5774</v>
      </c>
      <c r="V708" s="36">
        <v>1.1547</v>
      </c>
      <c r="W708" s="36" t="s">
        <v>780</v>
      </c>
      <c r="X708" s="31">
        <v>0.675</v>
      </c>
      <c r="Y708" s="36">
        <v>0.001301236357971734</v>
      </c>
      <c r="Z708" s="36">
        <v>1.2499171426609412</v>
      </c>
      <c r="AA708" s="29" t="s">
        <v>820</v>
      </c>
      <c r="AB708" s="31">
        <v>0.365709215403</v>
      </c>
      <c r="AC708" s="38">
        <v>399.0</v>
      </c>
    </row>
    <row r="709" ht="14.25" customHeight="1">
      <c r="A709" s="29" t="s">
        <v>69</v>
      </c>
      <c r="B709" s="29">
        <v>36.0</v>
      </c>
      <c r="C709" s="29" t="s">
        <v>593</v>
      </c>
      <c r="D709" s="29" t="s">
        <v>1037</v>
      </c>
      <c r="E709" s="29">
        <v>211.0</v>
      </c>
      <c r="F709" s="30" t="s">
        <v>1038</v>
      </c>
      <c r="G709" s="29" t="s">
        <v>902</v>
      </c>
      <c r="H709" s="31">
        <v>0.04</v>
      </c>
      <c r="I709" s="29" t="s">
        <v>597</v>
      </c>
      <c r="J709" s="32" t="s">
        <v>598</v>
      </c>
      <c r="K709" s="29" t="s">
        <v>840</v>
      </c>
      <c r="L709" s="29" t="s">
        <v>954</v>
      </c>
      <c r="M709" s="33">
        <v>-84.875</v>
      </c>
      <c r="N709" s="33">
        <v>15.045</v>
      </c>
      <c r="O709" s="34" t="s">
        <v>601</v>
      </c>
      <c r="P709" s="32" t="s">
        <v>602</v>
      </c>
      <c r="Q709" s="35">
        <v>3.0</v>
      </c>
      <c r="R709" s="35">
        <v>3.0</v>
      </c>
      <c r="S709" s="36">
        <v>1.6667</v>
      </c>
      <c r="T709" s="36">
        <v>0.6667</v>
      </c>
      <c r="U709" s="36">
        <v>2.8868</v>
      </c>
      <c r="V709" s="36">
        <v>1.1547</v>
      </c>
      <c r="W709" s="36" t="s">
        <v>780</v>
      </c>
      <c r="X709" s="31">
        <v>1.925</v>
      </c>
      <c r="Y709" s="36">
        <v>0.9167814462873993</v>
      </c>
      <c r="Z709" s="36">
        <v>1.9998927837443996</v>
      </c>
      <c r="AA709" s="29" t="s">
        <v>820</v>
      </c>
      <c r="AB709" s="31">
        <v>0.365709215403</v>
      </c>
      <c r="AC709" s="38">
        <v>399.0</v>
      </c>
    </row>
    <row r="710" ht="14.25" customHeight="1">
      <c r="A710" s="29" t="s">
        <v>69</v>
      </c>
      <c r="B710" s="29">
        <v>36.0</v>
      </c>
      <c r="C710" s="29" t="s">
        <v>593</v>
      </c>
      <c r="D710" s="29" t="s">
        <v>838</v>
      </c>
      <c r="E710" s="29">
        <v>62.0</v>
      </c>
      <c r="F710" s="30" t="s">
        <v>839</v>
      </c>
      <c r="G710" s="29" t="s">
        <v>607</v>
      </c>
      <c r="H710" s="31">
        <v>4.13</v>
      </c>
      <c r="I710" s="29" t="s">
        <v>597</v>
      </c>
      <c r="J710" s="32" t="s">
        <v>598</v>
      </c>
      <c r="K710" s="29" t="s">
        <v>840</v>
      </c>
      <c r="L710" s="29" t="s">
        <v>954</v>
      </c>
      <c r="M710" s="33">
        <v>-84.875</v>
      </c>
      <c r="N710" s="33">
        <v>15.045</v>
      </c>
      <c r="O710" s="34" t="s">
        <v>601</v>
      </c>
      <c r="P710" s="32" t="s">
        <v>602</v>
      </c>
      <c r="Q710" s="35">
        <v>3.0</v>
      </c>
      <c r="R710" s="35">
        <v>3.0</v>
      </c>
      <c r="S710" s="36">
        <v>0.6667</v>
      </c>
      <c r="T710" s="36">
        <v>0.3333</v>
      </c>
      <c r="U710" s="36">
        <v>1.1547</v>
      </c>
      <c r="V710" s="36">
        <v>0.5774</v>
      </c>
      <c r="W710" s="36" t="s">
        <v>780</v>
      </c>
      <c r="X710" s="31">
        <v>0.675</v>
      </c>
      <c r="Y710" s="36">
        <v>0.6939479165534603</v>
      </c>
      <c r="Z710" s="36">
        <v>2.000271419557913</v>
      </c>
      <c r="AA710" s="29" t="s">
        <v>820</v>
      </c>
      <c r="AB710" s="31">
        <v>0.365709215403</v>
      </c>
      <c r="AC710" s="38">
        <v>399.0</v>
      </c>
    </row>
    <row r="711" ht="14.25" customHeight="1">
      <c r="A711" s="29" t="s">
        <v>69</v>
      </c>
      <c r="B711" s="29">
        <v>36.0</v>
      </c>
      <c r="C711" s="29" t="s">
        <v>593</v>
      </c>
      <c r="D711" s="29" t="s">
        <v>838</v>
      </c>
      <c r="E711" s="29">
        <v>62.0</v>
      </c>
      <c r="F711" s="30" t="s">
        <v>839</v>
      </c>
      <c r="G711" s="29" t="s">
        <v>607</v>
      </c>
      <c r="H711" s="31">
        <v>4.13</v>
      </c>
      <c r="I711" s="29" t="s">
        <v>597</v>
      </c>
      <c r="J711" s="32" t="s">
        <v>598</v>
      </c>
      <c r="K711" s="29" t="s">
        <v>840</v>
      </c>
      <c r="L711" s="29" t="s">
        <v>954</v>
      </c>
      <c r="M711" s="33">
        <v>-84.875</v>
      </c>
      <c r="N711" s="33">
        <v>15.045</v>
      </c>
      <c r="O711" s="34" t="s">
        <v>601</v>
      </c>
      <c r="P711" s="32" t="s">
        <v>602</v>
      </c>
      <c r="Q711" s="35">
        <v>3.0</v>
      </c>
      <c r="R711" s="35">
        <v>3.0</v>
      </c>
      <c r="S711" s="36">
        <v>1.0</v>
      </c>
      <c r="T711" s="36">
        <v>0.3333</v>
      </c>
      <c r="U711" s="36">
        <v>1.7321</v>
      </c>
      <c r="V711" s="36">
        <v>0.5774</v>
      </c>
      <c r="W711" s="36" t="s">
        <v>780</v>
      </c>
      <c r="X711" s="31">
        <v>1.925</v>
      </c>
      <c r="Y711" s="36">
        <v>1.0991461838994612</v>
      </c>
      <c r="Z711" s="36">
        <v>2.000429147798503</v>
      </c>
      <c r="AA711" s="29" t="s">
        <v>820</v>
      </c>
      <c r="AB711" s="31">
        <v>0.365709215403</v>
      </c>
      <c r="AC711" s="38">
        <v>399.0</v>
      </c>
    </row>
    <row r="712" ht="14.25" customHeight="1">
      <c r="A712" s="29" t="s">
        <v>69</v>
      </c>
      <c r="B712" s="29">
        <v>36.0</v>
      </c>
      <c r="C712" s="29" t="s">
        <v>593</v>
      </c>
      <c r="D712" s="29" t="s">
        <v>847</v>
      </c>
      <c r="E712" s="29">
        <v>132.0</v>
      </c>
      <c r="F712" s="30" t="s">
        <v>1023</v>
      </c>
      <c r="G712" s="29" t="s">
        <v>607</v>
      </c>
      <c r="H712" s="31">
        <v>2.06</v>
      </c>
      <c r="I712" s="29" t="s">
        <v>597</v>
      </c>
      <c r="J712" s="32" t="s">
        <v>598</v>
      </c>
      <c r="K712" s="29" t="s">
        <v>840</v>
      </c>
      <c r="L712" s="29" t="s">
        <v>954</v>
      </c>
      <c r="M712" s="33">
        <v>-84.875</v>
      </c>
      <c r="N712" s="33">
        <v>15.045</v>
      </c>
      <c r="O712" s="34" t="s">
        <v>601</v>
      </c>
      <c r="P712" s="32" t="s">
        <v>602</v>
      </c>
      <c r="Q712" s="35">
        <v>3.0</v>
      </c>
      <c r="R712" s="35">
        <v>3.0</v>
      </c>
      <c r="S712" s="36">
        <v>1.3333</v>
      </c>
      <c r="T712" s="36">
        <v>2.0</v>
      </c>
      <c r="U712" s="36">
        <v>2.3094</v>
      </c>
      <c r="V712" s="36">
        <v>1.7321</v>
      </c>
      <c r="W712" s="36" t="s">
        <v>780</v>
      </c>
      <c r="X712" s="31">
        <v>0.675</v>
      </c>
      <c r="Y712" s="36">
        <v>-0.4035388395552472</v>
      </c>
      <c r="Z712" s="36">
        <v>1.2500632701617693</v>
      </c>
      <c r="AA712" s="29" t="s">
        <v>820</v>
      </c>
      <c r="AB712" s="31">
        <v>0.365709215403</v>
      </c>
      <c r="AC712" s="38">
        <v>399.0</v>
      </c>
    </row>
    <row r="713" ht="14.25" customHeight="1">
      <c r="A713" s="29" t="s">
        <v>69</v>
      </c>
      <c r="B713" s="29">
        <v>36.0</v>
      </c>
      <c r="C713" s="29" t="s">
        <v>593</v>
      </c>
      <c r="D713" s="29" t="s">
        <v>847</v>
      </c>
      <c r="E713" s="29">
        <v>132.0</v>
      </c>
      <c r="F713" s="30" t="s">
        <v>1023</v>
      </c>
      <c r="G713" s="29" t="s">
        <v>607</v>
      </c>
      <c r="H713" s="31">
        <v>2.06</v>
      </c>
      <c r="I713" s="29" t="s">
        <v>597</v>
      </c>
      <c r="J713" s="32" t="s">
        <v>598</v>
      </c>
      <c r="K713" s="29" t="s">
        <v>840</v>
      </c>
      <c r="L713" s="29" t="s">
        <v>954</v>
      </c>
      <c r="M713" s="33">
        <v>-84.875</v>
      </c>
      <c r="N713" s="33">
        <v>15.045</v>
      </c>
      <c r="O713" s="34" t="s">
        <v>601</v>
      </c>
      <c r="P713" s="32" t="s">
        <v>602</v>
      </c>
      <c r="Q713" s="35">
        <v>3.0</v>
      </c>
      <c r="R713" s="35">
        <v>3.0</v>
      </c>
      <c r="S713" s="36">
        <v>2.3333</v>
      </c>
      <c r="T713" s="36">
        <v>2.0</v>
      </c>
      <c r="U713" s="36">
        <v>2.0817</v>
      </c>
      <c r="V713" s="36">
        <v>1.7321</v>
      </c>
      <c r="W713" s="36" t="s">
        <v>780</v>
      </c>
      <c r="X713" s="31">
        <v>1.925</v>
      </c>
      <c r="Y713" s="36">
        <v>0.15525185902112681</v>
      </c>
      <c r="Z713" s="36">
        <v>0.5153365706019957</v>
      </c>
      <c r="AA713" s="29" t="s">
        <v>820</v>
      </c>
      <c r="AB713" s="31">
        <v>0.365709215403</v>
      </c>
      <c r="AC713" s="38">
        <v>399.0</v>
      </c>
    </row>
    <row r="714" ht="14.25" customHeight="1">
      <c r="A714" s="29" t="s">
        <v>69</v>
      </c>
      <c r="B714" s="29">
        <v>36.0</v>
      </c>
      <c r="C714" s="29" t="s">
        <v>593</v>
      </c>
      <c r="D714" s="29" t="s">
        <v>1024</v>
      </c>
      <c r="E714" s="29">
        <v>137.0</v>
      </c>
      <c r="F714" s="30" t="s">
        <v>1025</v>
      </c>
      <c r="G714" s="29" t="s">
        <v>886</v>
      </c>
      <c r="H714" s="31">
        <v>0.21</v>
      </c>
      <c r="I714" s="29" t="s">
        <v>597</v>
      </c>
      <c r="J714" s="32" t="s">
        <v>598</v>
      </c>
      <c r="K714" s="29" t="s">
        <v>840</v>
      </c>
      <c r="L714" s="29" t="s">
        <v>954</v>
      </c>
      <c r="M714" s="33">
        <v>-84.875</v>
      </c>
      <c r="N714" s="33">
        <v>15.045</v>
      </c>
      <c r="O714" s="34" t="s">
        <v>601</v>
      </c>
      <c r="P714" s="32" t="s">
        <v>602</v>
      </c>
      <c r="Q714" s="35">
        <v>3.0</v>
      </c>
      <c r="R714" s="35">
        <v>3.0</v>
      </c>
      <c r="S714" s="36">
        <v>0.0</v>
      </c>
      <c r="T714" s="36">
        <v>1.0</v>
      </c>
      <c r="U714" s="36">
        <v>0.0</v>
      </c>
      <c r="V714" s="36">
        <v>1.0</v>
      </c>
      <c r="W714" s="36" t="s">
        <v>780</v>
      </c>
      <c r="X714" s="31">
        <v>0.675</v>
      </c>
      <c r="Y714" s="36">
        <v>-6.643789733147672</v>
      </c>
      <c r="Z714" s="36">
        <v>0.6666666666666666</v>
      </c>
      <c r="AA714" s="29" t="s">
        <v>820</v>
      </c>
      <c r="AB714" s="31">
        <v>0.365709215403</v>
      </c>
      <c r="AC714" s="38">
        <v>399.0</v>
      </c>
    </row>
    <row r="715" ht="14.25" customHeight="1">
      <c r="A715" s="29" t="s">
        <v>69</v>
      </c>
      <c r="B715" s="29">
        <v>36.0</v>
      </c>
      <c r="C715" s="29" t="s">
        <v>593</v>
      </c>
      <c r="D715" s="29" t="s">
        <v>1024</v>
      </c>
      <c r="E715" s="29">
        <v>137.0</v>
      </c>
      <c r="F715" s="30" t="s">
        <v>1025</v>
      </c>
      <c r="G715" s="29" t="s">
        <v>886</v>
      </c>
      <c r="H715" s="31">
        <v>0.21</v>
      </c>
      <c r="I715" s="29" t="s">
        <v>597</v>
      </c>
      <c r="J715" s="32" t="s">
        <v>598</v>
      </c>
      <c r="K715" s="29" t="s">
        <v>840</v>
      </c>
      <c r="L715" s="29" t="s">
        <v>954</v>
      </c>
      <c r="M715" s="33">
        <v>-84.875</v>
      </c>
      <c r="N715" s="33">
        <v>15.045</v>
      </c>
      <c r="O715" s="34" t="s">
        <v>601</v>
      </c>
      <c r="P715" s="32" t="s">
        <v>602</v>
      </c>
      <c r="Q715" s="35">
        <v>3.0</v>
      </c>
      <c r="R715" s="35">
        <v>3.0</v>
      </c>
      <c r="S715" s="36">
        <v>1.3333</v>
      </c>
      <c r="T715" s="36">
        <v>1.0</v>
      </c>
      <c r="U715" s="36">
        <v>0.5774</v>
      </c>
      <c r="V715" s="36">
        <v>1.0</v>
      </c>
      <c r="W715" s="36" t="s">
        <v>780</v>
      </c>
      <c r="X715" s="31">
        <v>1.925</v>
      </c>
      <c r="Y715" s="36">
        <v>0.2886331825031846</v>
      </c>
      <c r="Z715" s="36">
        <v>0.3958472264889199</v>
      </c>
      <c r="AA715" s="29" t="s">
        <v>820</v>
      </c>
      <c r="AB715" s="31">
        <v>0.365709215403</v>
      </c>
      <c r="AC715" s="38">
        <v>399.0</v>
      </c>
    </row>
    <row r="716" ht="14.25" customHeight="1">
      <c r="A716" s="29" t="s">
        <v>69</v>
      </c>
      <c r="B716" s="29">
        <v>36.0</v>
      </c>
      <c r="C716" s="29" t="s">
        <v>593</v>
      </c>
      <c r="D716" s="29" t="s">
        <v>1028</v>
      </c>
      <c r="E716" s="29">
        <v>159.0</v>
      </c>
      <c r="F716" s="30" t="s">
        <v>1029</v>
      </c>
      <c r="G716" s="29" t="s">
        <v>909</v>
      </c>
      <c r="H716" s="31">
        <v>0.651</v>
      </c>
      <c r="I716" s="29" t="s">
        <v>597</v>
      </c>
      <c r="J716" s="32" t="s">
        <v>598</v>
      </c>
      <c r="K716" s="29" t="s">
        <v>840</v>
      </c>
      <c r="L716" s="29" t="s">
        <v>954</v>
      </c>
      <c r="M716" s="33">
        <v>-84.875</v>
      </c>
      <c r="N716" s="33">
        <v>15.045</v>
      </c>
      <c r="O716" s="34" t="s">
        <v>601</v>
      </c>
      <c r="P716" s="32" t="s">
        <v>602</v>
      </c>
      <c r="Q716" s="35">
        <v>3.0</v>
      </c>
      <c r="R716" s="35">
        <v>3.0</v>
      </c>
      <c r="S716" s="36">
        <v>2.5</v>
      </c>
      <c r="T716" s="36">
        <v>2.0</v>
      </c>
      <c r="U716" s="36">
        <v>2.1213</v>
      </c>
      <c r="V716" s="36">
        <v>2.0</v>
      </c>
      <c r="W716" s="36" t="s">
        <v>780</v>
      </c>
      <c r="X716" s="31">
        <v>0.675</v>
      </c>
      <c r="Y716" s="36">
        <v>0.22418467582262028</v>
      </c>
      <c r="Z716" s="36">
        <v>0.5733287301333334</v>
      </c>
      <c r="AA716" s="29" t="s">
        <v>820</v>
      </c>
      <c r="AB716" s="31">
        <v>0.365709215403</v>
      </c>
      <c r="AC716" s="38">
        <v>399.0</v>
      </c>
    </row>
    <row r="717" ht="14.25" customHeight="1">
      <c r="A717" s="29" t="s">
        <v>69</v>
      </c>
      <c r="B717" s="29">
        <v>36.0</v>
      </c>
      <c r="C717" s="29" t="s">
        <v>593</v>
      </c>
      <c r="D717" s="29" t="s">
        <v>1028</v>
      </c>
      <c r="E717" s="29">
        <v>159.0</v>
      </c>
      <c r="F717" s="30" t="s">
        <v>1029</v>
      </c>
      <c r="G717" s="29" t="s">
        <v>909</v>
      </c>
      <c r="H717" s="31">
        <v>0.651</v>
      </c>
      <c r="I717" s="29" t="s">
        <v>597</v>
      </c>
      <c r="J717" s="32" t="s">
        <v>598</v>
      </c>
      <c r="K717" s="29" t="s">
        <v>840</v>
      </c>
      <c r="L717" s="29" t="s">
        <v>954</v>
      </c>
      <c r="M717" s="33">
        <v>-84.875</v>
      </c>
      <c r="N717" s="33">
        <v>15.045</v>
      </c>
      <c r="O717" s="34" t="s">
        <v>601</v>
      </c>
      <c r="P717" s="32" t="s">
        <v>602</v>
      </c>
      <c r="Q717" s="35">
        <v>3.0</v>
      </c>
      <c r="R717" s="35">
        <v>3.0</v>
      </c>
      <c r="S717" s="36">
        <v>1.3333</v>
      </c>
      <c r="T717" s="36">
        <v>2.0</v>
      </c>
      <c r="U717" s="36">
        <v>0.5774</v>
      </c>
      <c r="V717" s="36">
        <v>2.0</v>
      </c>
      <c r="W717" s="36" t="s">
        <v>780</v>
      </c>
      <c r="X717" s="31">
        <v>1.925</v>
      </c>
      <c r="Y717" s="36">
        <v>-0.4035388395552472</v>
      </c>
      <c r="Z717" s="36">
        <v>0.3958472264889199</v>
      </c>
      <c r="AA717" s="29" t="s">
        <v>820</v>
      </c>
      <c r="AB717" s="31">
        <v>0.365709215403</v>
      </c>
      <c r="AC717" s="38">
        <v>399.0</v>
      </c>
    </row>
    <row r="718" ht="14.25" customHeight="1">
      <c r="A718" s="29" t="s">
        <v>69</v>
      </c>
      <c r="B718" s="29">
        <v>36.0</v>
      </c>
      <c r="C718" s="29" t="s">
        <v>593</v>
      </c>
      <c r="D718" s="29" t="s">
        <v>1030</v>
      </c>
      <c r="E718" s="29">
        <v>161.0</v>
      </c>
      <c r="F718" s="30" t="s">
        <v>1031</v>
      </c>
      <c r="G718" s="29" t="s">
        <v>909</v>
      </c>
      <c r="H718" s="31">
        <v>0.41</v>
      </c>
      <c r="I718" s="29" t="s">
        <v>597</v>
      </c>
      <c r="J718" s="32" t="s">
        <v>598</v>
      </c>
      <c r="K718" s="29" t="s">
        <v>840</v>
      </c>
      <c r="L718" s="29" t="s">
        <v>954</v>
      </c>
      <c r="M718" s="33">
        <v>-84.875</v>
      </c>
      <c r="N718" s="33">
        <v>15.045</v>
      </c>
      <c r="O718" s="34" t="s">
        <v>601</v>
      </c>
      <c r="P718" s="32" t="s">
        <v>602</v>
      </c>
      <c r="Q718" s="35">
        <v>3.0</v>
      </c>
      <c r="R718" s="35">
        <v>3.0</v>
      </c>
      <c r="S718" s="36">
        <v>3.6667</v>
      </c>
      <c r="T718" s="36">
        <v>2.6667</v>
      </c>
      <c r="U718" s="36">
        <v>3.7859</v>
      </c>
      <c r="V718" s="36">
        <v>2.0817</v>
      </c>
      <c r="W718" s="36" t="s">
        <v>780</v>
      </c>
      <c r="X718" s="31">
        <v>0.675</v>
      </c>
      <c r="Y718" s="36">
        <v>0.319396846893681</v>
      </c>
      <c r="Z718" s="36">
        <v>0.5584846947817069</v>
      </c>
      <c r="AA718" s="29" t="s">
        <v>820</v>
      </c>
      <c r="AB718" s="31">
        <v>0.365709215403</v>
      </c>
      <c r="AC718" s="38">
        <v>399.0</v>
      </c>
    </row>
    <row r="719" ht="14.25" customHeight="1">
      <c r="A719" s="29" t="s">
        <v>69</v>
      </c>
      <c r="B719" s="29">
        <v>36.0</v>
      </c>
      <c r="C719" s="29" t="s">
        <v>593</v>
      </c>
      <c r="D719" s="29" t="s">
        <v>1030</v>
      </c>
      <c r="E719" s="29">
        <v>161.0</v>
      </c>
      <c r="F719" s="30" t="s">
        <v>1031</v>
      </c>
      <c r="G719" s="29" t="s">
        <v>909</v>
      </c>
      <c r="H719" s="31">
        <v>0.41</v>
      </c>
      <c r="I719" s="29" t="s">
        <v>597</v>
      </c>
      <c r="J719" s="32" t="s">
        <v>598</v>
      </c>
      <c r="K719" s="29" t="s">
        <v>840</v>
      </c>
      <c r="L719" s="29" t="s">
        <v>954</v>
      </c>
      <c r="M719" s="33">
        <v>-84.875</v>
      </c>
      <c r="N719" s="33">
        <v>15.045</v>
      </c>
      <c r="O719" s="34" t="s">
        <v>601</v>
      </c>
      <c r="P719" s="32" t="s">
        <v>602</v>
      </c>
      <c r="Q719" s="35">
        <v>3.0</v>
      </c>
      <c r="R719" s="35">
        <v>3.0</v>
      </c>
      <c r="S719" s="36">
        <v>2.0</v>
      </c>
      <c r="T719" s="36">
        <v>2.6667</v>
      </c>
      <c r="U719" s="36">
        <v>1.0</v>
      </c>
      <c r="V719" s="36">
        <v>2.0817</v>
      </c>
      <c r="W719" s="36" t="s">
        <v>780</v>
      </c>
      <c r="X719" s="31">
        <v>1.925</v>
      </c>
      <c r="Y719" s="36">
        <v>-0.28595994489767024</v>
      </c>
      <c r="Z719" s="36">
        <v>0.286459890606413</v>
      </c>
      <c r="AA719" s="29" t="s">
        <v>820</v>
      </c>
      <c r="AB719" s="31">
        <v>0.365709215403</v>
      </c>
      <c r="AC719" s="38">
        <v>399.0</v>
      </c>
    </row>
    <row r="720" ht="14.25" customHeight="1">
      <c r="A720" s="29" t="s">
        <v>69</v>
      </c>
      <c r="B720" s="29">
        <v>36.0</v>
      </c>
      <c r="C720" s="29" t="s">
        <v>593</v>
      </c>
      <c r="D720" s="29" t="s">
        <v>849</v>
      </c>
      <c r="E720" s="29">
        <v>193.0</v>
      </c>
      <c r="F720" s="30" t="s">
        <v>850</v>
      </c>
      <c r="G720" s="29" t="s">
        <v>596</v>
      </c>
      <c r="H720" s="31">
        <v>1.03</v>
      </c>
      <c r="I720" s="29" t="s">
        <v>597</v>
      </c>
      <c r="J720" s="32" t="s">
        <v>598</v>
      </c>
      <c r="K720" s="29" t="s">
        <v>840</v>
      </c>
      <c r="L720" s="29" t="s">
        <v>954</v>
      </c>
      <c r="M720" s="33">
        <v>-84.875</v>
      </c>
      <c r="N720" s="33">
        <v>15.045</v>
      </c>
      <c r="O720" s="34" t="s">
        <v>601</v>
      </c>
      <c r="P720" s="32" t="s">
        <v>602</v>
      </c>
      <c r="Q720" s="35">
        <v>3.0</v>
      </c>
      <c r="R720" s="35">
        <v>3.0</v>
      </c>
      <c r="S720" s="36">
        <v>5.6667</v>
      </c>
      <c r="T720" s="36">
        <v>11.0</v>
      </c>
      <c r="U720" s="36">
        <v>2.5166</v>
      </c>
      <c r="V720" s="36">
        <v>8.8882</v>
      </c>
      <c r="W720" s="36" t="s">
        <v>780</v>
      </c>
      <c r="X720" s="31">
        <v>0.675</v>
      </c>
      <c r="Y720" s="36">
        <v>-0.6607639653173</v>
      </c>
      <c r="Z720" s="36">
        <v>0.28337369885212277</v>
      </c>
      <c r="AA720" s="29" t="s">
        <v>820</v>
      </c>
      <c r="AB720" s="31">
        <v>0.365709215403</v>
      </c>
      <c r="AC720" s="38">
        <v>399.0</v>
      </c>
    </row>
    <row r="721" ht="14.25" customHeight="1">
      <c r="A721" s="29" t="s">
        <v>69</v>
      </c>
      <c r="B721" s="29">
        <v>36.0</v>
      </c>
      <c r="C721" s="29" t="s">
        <v>593</v>
      </c>
      <c r="D721" s="29" t="s">
        <v>849</v>
      </c>
      <c r="E721" s="29">
        <v>193.0</v>
      </c>
      <c r="F721" s="30" t="s">
        <v>850</v>
      </c>
      <c r="G721" s="29" t="s">
        <v>596</v>
      </c>
      <c r="H721" s="31">
        <v>1.03</v>
      </c>
      <c r="I721" s="29" t="s">
        <v>597</v>
      </c>
      <c r="J721" s="32" t="s">
        <v>598</v>
      </c>
      <c r="K721" s="29" t="s">
        <v>840</v>
      </c>
      <c r="L721" s="29" t="s">
        <v>954</v>
      </c>
      <c r="M721" s="33">
        <v>-84.875</v>
      </c>
      <c r="N721" s="33">
        <v>15.045</v>
      </c>
      <c r="O721" s="34" t="s">
        <v>601</v>
      </c>
      <c r="P721" s="32" t="s">
        <v>602</v>
      </c>
      <c r="Q721" s="35">
        <v>3.0</v>
      </c>
      <c r="R721" s="35">
        <v>3.0</v>
      </c>
      <c r="S721" s="36">
        <v>6.3333</v>
      </c>
      <c r="T721" s="36">
        <v>11.0</v>
      </c>
      <c r="U721" s="36">
        <v>5.0332</v>
      </c>
      <c r="V721" s="36">
        <v>8.8882</v>
      </c>
      <c r="W721" s="36" t="s">
        <v>780</v>
      </c>
      <c r="X721" s="31">
        <v>1.925</v>
      </c>
      <c r="Y721" s="36">
        <v>-0.5498148738099343</v>
      </c>
      <c r="Z721" s="36">
        <v>0.42815773879294244</v>
      </c>
      <c r="AA721" s="29" t="s">
        <v>820</v>
      </c>
      <c r="AB721" s="31">
        <v>0.365709215403</v>
      </c>
      <c r="AC721" s="38">
        <v>399.0</v>
      </c>
    </row>
    <row r="722" ht="14.25" customHeight="1">
      <c r="A722" s="29" t="s">
        <v>69</v>
      </c>
      <c r="B722" s="29">
        <v>36.0</v>
      </c>
      <c r="C722" s="29" t="s">
        <v>608</v>
      </c>
      <c r="D722" s="29" t="s">
        <v>955</v>
      </c>
      <c r="E722" s="29">
        <v>3.0</v>
      </c>
      <c r="F722" s="30" t="s">
        <v>956</v>
      </c>
      <c r="G722" s="29" t="s">
        <v>611</v>
      </c>
      <c r="H722" s="31">
        <v>7.27</v>
      </c>
      <c r="I722" s="29" t="s">
        <v>612</v>
      </c>
      <c r="J722" s="32" t="s">
        <v>598</v>
      </c>
      <c r="K722" s="29" t="s">
        <v>840</v>
      </c>
      <c r="L722" s="29" t="s">
        <v>954</v>
      </c>
      <c r="M722" s="33">
        <v>-84.875</v>
      </c>
      <c r="N722" s="33">
        <v>15.045</v>
      </c>
      <c r="O722" s="34" t="s">
        <v>601</v>
      </c>
      <c r="P722" s="32" t="s">
        <v>602</v>
      </c>
      <c r="Q722" s="35">
        <v>3.0</v>
      </c>
      <c r="R722" s="35">
        <v>3.0</v>
      </c>
      <c r="S722" s="36">
        <v>0.0</v>
      </c>
      <c r="T722" s="36">
        <v>1.0</v>
      </c>
      <c r="U722" s="36">
        <v>0.0</v>
      </c>
      <c r="V722" s="36">
        <v>1.7321</v>
      </c>
      <c r="W722" s="36" t="s">
        <v>780</v>
      </c>
      <c r="X722" s="31">
        <v>0.675</v>
      </c>
      <c r="Y722" s="36">
        <v>-8.262558973010657</v>
      </c>
      <c r="Z722" s="36">
        <v>1.071447468148148</v>
      </c>
      <c r="AA722" s="29" t="s">
        <v>820</v>
      </c>
      <c r="AB722" s="31">
        <v>0.365709215403</v>
      </c>
      <c r="AC722" s="38">
        <v>399.0</v>
      </c>
    </row>
    <row r="723" ht="14.25" customHeight="1">
      <c r="A723" s="29" t="s">
        <v>69</v>
      </c>
      <c r="B723" s="29">
        <v>36.0</v>
      </c>
      <c r="C723" s="29" t="s">
        <v>608</v>
      </c>
      <c r="D723" s="29" t="s">
        <v>955</v>
      </c>
      <c r="E723" s="29">
        <v>3.0</v>
      </c>
      <c r="F723" s="30" t="s">
        <v>956</v>
      </c>
      <c r="G723" s="29" t="s">
        <v>611</v>
      </c>
      <c r="H723" s="31">
        <v>7.27</v>
      </c>
      <c r="I723" s="29" t="s">
        <v>612</v>
      </c>
      <c r="J723" s="32" t="s">
        <v>598</v>
      </c>
      <c r="K723" s="29" t="s">
        <v>840</v>
      </c>
      <c r="L723" s="29" t="s">
        <v>954</v>
      </c>
      <c r="M723" s="33">
        <v>-84.875</v>
      </c>
      <c r="N723" s="33">
        <v>15.045</v>
      </c>
      <c r="O723" s="34" t="s">
        <v>601</v>
      </c>
      <c r="P723" s="32" t="s">
        <v>602</v>
      </c>
      <c r="Q723" s="35">
        <v>3.0</v>
      </c>
      <c r="R723" s="35">
        <v>3.0</v>
      </c>
      <c r="S723" s="36">
        <v>2.3333</v>
      </c>
      <c r="T723" s="36">
        <v>1.0</v>
      </c>
      <c r="U723" s="36">
        <v>4.0415</v>
      </c>
      <c r="V723" s="36">
        <v>1.7321</v>
      </c>
      <c r="W723" s="36" t="s">
        <v>780</v>
      </c>
      <c r="X723" s="31">
        <v>1.925</v>
      </c>
      <c r="Y723" s="36">
        <v>0.8473941405818384</v>
      </c>
      <c r="Z723" s="36">
        <v>2.0001091872789862</v>
      </c>
      <c r="AA723" s="29" t="s">
        <v>820</v>
      </c>
      <c r="AB723" s="31">
        <v>0.365709215403</v>
      </c>
      <c r="AC723" s="38">
        <v>399.0</v>
      </c>
    </row>
    <row r="724" ht="14.25" customHeight="1">
      <c r="A724" s="29" t="s">
        <v>69</v>
      </c>
      <c r="B724" s="29">
        <v>36.0</v>
      </c>
      <c r="C724" s="29" t="s">
        <v>608</v>
      </c>
      <c r="D724" s="29" t="s">
        <v>959</v>
      </c>
      <c r="E724" s="29">
        <v>31.0</v>
      </c>
      <c r="F724" s="30" t="s">
        <v>960</v>
      </c>
      <c r="G724" s="29" t="s">
        <v>611</v>
      </c>
      <c r="H724" s="31">
        <v>2.73</v>
      </c>
      <c r="I724" s="29" t="s">
        <v>616</v>
      </c>
      <c r="J724" s="32" t="s">
        <v>598</v>
      </c>
      <c r="K724" s="29" t="s">
        <v>840</v>
      </c>
      <c r="L724" s="29" t="s">
        <v>954</v>
      </c>
      <c r="M724" s="33">
        <v>-84.875</v>
      </c>
      <c r="N724" s="33">
        <v>15.045</v>
      </c>
      <c r="O724" s="34" t="s">
        <v>601</v>
      </c>
      <c r="P724" s="32" t="s">
        <v>602</v>
      </c>
      <c r="Q724" s="35">
        <v>3.0</v>
      </c>
      <c r="R724" s="35">
        <v>3.0</v>
      </c>
      <c r="S724" s="36">
        <v>0.0</v>
      </c>
      <c r="T724" s="36">
        <v>1.3333</v>
      </c>
      <c r="U724" s="36">
        <v>0.0</v>
      </c>
      <c r="V724" s="36">
        <v>2.3094</v>
      </c>
      <c r="W724" s="36" t="s">
        <v>780</v>
      </c>
      <c r="X724" s="31">
        <v>0.675</v>
      </c>
      <c r="Y724" s="36">
        <v>-8.262558973010657</v>
      </c>
      <c r="Z724" s="36">
        <v>1.1161117177430877</v>
      </c>
      <c r="AA724" s="29" t="s">
        <v>820</v>
      </c>
      <c r="AB724" s="31">
        <v>0.365709215403</v>
      </c>
      <c r="AC724" s="38">
        <v>399.0</v>
      </c>
    </row>
    <row r="725" ht="14.25" customHeight="1">
      <c r="A725" s="29" t="s">
        <v>69</v>
      </c>
      <c r="B725" s="29">
        <v>36.0</v>
      </c>
      <c r="C725" s="29" t="s">
        <v>608</v>
      </c>
      <c r="D725" s="29" t="s">
        <v>959</v>
      </c>
      <c r="E725" s="29">
        <v>31.0</v>
      </c>
      <c r="F725" s="30" t="s">
        <v>960</v>
      </c>
      <c r="G725" s="29" t="s">
        <v>611</v>
      </c>
      <c r="H725" s="31">
        <v>2.73</v>
      </c>
      <c r="I725" s="29" t="s">
        <v>616</v>
      </c>
      <c r="J725" s="32" t="s">
        <v>598</v>
      </c>
      <c r="K725" s="29" t="s">
        <v>840</v>
      </c>
      <c r="L725" s="29" t="s">
        <v>954</v>
      </c>
      <c r="M725" s="33">
        <v>-84.875</v>
      </c>
      <c r="N725" s="33">
        <v>15.045</v>
      </c>
      <c r="O725" s="34" t="s">
        <v>601</v>
      </c>
      <c r="P725" s="32" t="s">
        <v>602</v>
      </c>
      <c r="Q725" s="35">
        <v>3.0</v>
      </c>
      <c r="R725" s="35">
        <v>3.0</v>
      </c>
      <c r="S725" s="36">
        <v>0.3333</v>
      </c>
      <c r="T725" s="36">
        <v>1.3333</v>
      </c>
      <c r="U725" s="36">
        <v>0.5774</v>
      </c>
      <c r="V725" s="36">
        <v>2.3094</v>
      </c>
      <c r="W725" s="36" t="s">
        <v>780</v>
      </c>
      <c r="X725" s="31">
        <v>1.925</v>
      </c>
      <c r="Y725" s="36">
        <v>-1.3853378288737392</v>
      </c>
      <c r="Z725" s="36">
        <v>2.000421413793606</v>
      </c>
      <c r="AA725" s="29" t="s">
        <v>820</v>
      </c>
      <c r="AB725" s="31">
        <v>0.365709215403</v>
      </c>
      <c r="AC725" s="38">
        <v>399.0</v>
      </c>
    </row>
    <row r="726" ht="14.25" customHeight="1">
      <c r="A726" s="29" t="s">
        <v>69</v>
      </c>
      <c r="B726" s="29">
        <v>36.0</v>
      </c>
      <c r="C726" s="29" t="s">
        <v>608</v>
      </c>
      <c r="D726" s="29" t="s">
        <v>650</v>
      </c>
      <c r="E726" s="29">
        <v>70.0</v>
      </c>
      <c r="F726" s="30" t="s">
        <v>651</v>
      </c>
      <c r="G726" s="29" t="s">
        <v>615</v>
      </c>
      <c r="H726" s="31">
        <v>8.17</v>
      </c>
      <c r="I726" s="29" t="s">
        <v>616</v>
      </c>
      <c r="J726" s="32" t="s">
        <v>598</v>
      </c>
      <c r="K726" s="29" t="s">
        <v>840</v>
      </c>
      <c r="L726" s="29" t="s">
        <v>954</v>
      </c>
      <c r="M726" s="33">
        <v>-84.875</v>
      </c>
      <c r="N726" s="33">
        <v>15.045</v>
      </c>
      <c r="O726" s="34" t="s">
        <v>601</v>
      </c>
      <c r="P726" s="32" t="s">
        <v>602</v>
      </c>
      <c r="Q726" s="35">
        <v>3.0</v>
      </c>
      <c r="R726" s="35">
        <v>3.0</v>
      </c>
      <c r="S726" s="36">
        <v>0.0</v>
      </c>
      <c r="T726" s="36">
        <v>0.3333</v>
      </c>
      <c r="U726" s="36">
        <v>0.0</v>
      </c>
      <c r="V726" s="36">
        <v>0.5774</v>
      </c>
      <c r="W726" s="36" t="s">
        <v>780</v>
      </c>
      <c r="X726" s="31">
        <v>0.675</v>
      </c>
      <c r="Y726" s="36">
        <v>-8.262558973010657</v>
      </c>
      <c r="Z726" s="36">
        <v>0.8905574751731218</v>
      </c>
      <c r="AA726" s="29" t="s">
        <v>820</v>
      </c>
      <c r="AB726" s="31">
        <v>0.365709215403</v>
      </c>
      <c r="AC726" s="38">
        <v>399.0</v>
      </c>
    </row>
    <row r="727" ht="14.25" customHeight="1">
      <c r="A727" s="29" t="s">
        <v>69</v>
      </c>
      <c r="B727" s="29">
        <v>36.0</v>
      </c>
      <c r="C727" s="29" t="s">
        <v>608</v>
      </c>
      <c r="D727" s="29" t="s">
        <v>650</v>
      </c>
      <c r="E727" s="29">
        <v>70.0</v>
      </c>
      <c r="F727" s="30" t="s">
        <v>651</v>
      </c>
      <c r="G727" s="29" t="s">
        <v>615</v>
      </c>
      <c r="H727" s="31">
        <v>8.17</v>
      </c>
      <c r="I727" s="29" t="s">
        <v>616</v>
      </c>
      <c r="J727" s="32" t="s">
        <v>598</v>
      </c>
      <c r="K727" s="29" t="s">
        <v>840</v>
      </c>
      <c r="L727" s="29" t="s">
        <v>954</v>
      </c>
      <c r="M727" s="33">
        <v>-84.875</v>
      </c>
      <c r="N727" s="33">
        <v>15.045</v>
      </c>
      <c r="O727" s="34" t="s">
        <v>601</v>
      </c>
      <c r="P727" s="32" t="s">
        <v>602</v>
      </c>
      <c r="Q727" s="35">
        <v>3.0</v>
      </c>
      <c r="R727" s="35">
        <v>3.0</v>
      </c>
      <c r="S727" s="36">
        <v>0.0</v>
      </c>
      <c r="T727" s="36">
        <v>0.3333</v>
      </c>
      <c r="U727" s="36">
        <v>0.0</v>
      </c>
      <c r="V727" s="36">
        <v>0.5774</v>
      </c>
      <c r="W727" s="36" t="s">
        <v>780</v>
      </c>
      <c r="X727" s="31">
        <v>1.925</v>
      </c>
      <c r="Y727" s="36">
        <v>-8.262558973010657</v>
      </c>
      <c r="Z727" s="36">
        <v>0.8905574751731218</v>
      </c>
      <c r="AA727" s="29" t="s">
        <v>820</v>
      </c>
      <c r="AB727" s="31">
        <v>0.365709215403</v>
      </c>
      <c r="AC727" s="38">
        <v>399.0</v>
      </c>
    </row>
    <row r="728" ht="14.25" customHeight="1">
      <c r="A728" s="29" t="s">
        <v>69</v>
      </c>
      <c r="B728" s="29">
        <v>36.0</v>
      </c>
      <c r="C728" s="29" t="s">
        <v>608</v>
      </c>
      <c r="D728" s="29" t="s">
        <v>961</v>
      </c>
      <c r="E728" s="29">
        <v>73.0</v>
      </c>
      <c r="F728" s="30" t="s">
        <v>962</v>
      </c>
      <c r="G728" s="29" t="s">
        <v>615</v>
      </c>
      <c r="H728" s="31">
        <v>2.67</v>
      </c>
      <c r="I728" s="29" t="s">
        <v>616</v>
      </c>
      <c r="J728" s="32" t="s">
        <v>598</v>
      </c>
      <c r="K728" s="29" t="s">
        <v>840</v>
      </c>
      <c r="L728" s="29" t="s">
        <v>954</v>
      </c>
      <c r="M728" s="33">
        <v>-84.875</v>
      </c>
      <c r="N728" s="33">
        <v>15.045</v>
      </c>
      <c r="O728" s="34" t="s">
        <v>601</v>
      </c>
      <c r="P728" s="32" t="s">
        <v>602</v>
      </c>
      <c r="Q728" s="35">
        <v>3.0</v>
      </c>
      <c r="R728" s="35">
        <v>3.0</v>
      </c>
      <c r="S728" s="36">
        <v>2.0</v>
      </c>
      <c r="T728" s="36">
        <v>2.0</v>
      </c>
      <c r="U728" s="36">
        <v>2.6458</v>
      </c>
      <c r="V728" s="36">
        <v>2.6458</v>
      </c>
      <c r="W728" s="36" t="s">
        <v>780</v>
      </c>
      <c r="X728" s="31">
        <v>0.675</v>
      </c>
      <c r="Y728" s="36">
        <v>2.5796466027220563E-4</v>
      </c>
      <c r="Z728" s="36">
        <v>1.1667096066666667</v>
      </c>
      <c r="AA728" s="29" t="s">
        <v>820</v>
      </c>
      <c r="AB728" s="31">
        <v>0.365709215403</v>
      </c>
      <c r="AC728" s="38">
        <v>399.0</v>
      </c>
    </row>
    <row r="729" ht="14.25" customHeight="1">
      <c r="A729" s="29" t="s">
        <v>69</v>
      </c>
      <c r="B729" s="29">
        <v>36.0</v>
      </c>
      <c r="C729" s="29" t="s">
        <v>608</v>
      </c>
      <c r="D729" s="29" t="s">
        <v>961</v>
      </c>
      <c r="E729" s="29">
        <v>73.0</v>
      </c>
      <c r="F729" s="30" t="s">
        <v>962</v>
      </c>
      <c r="G729" s="29" t="s">
        <v>615</v>
      </c>
      <c r="H729" s="31">
        <v>2.67</v>
      </c>
      <c r="I729" s="29" t="s">
        <v>616</v>
      </c>
      <c r="J729" s="32" t="s">
        <v>598</v>
      </c>
      <c r="K729" s="29" t="s">
        <v>840</v>
      </c>
      <c r="L729" s="29" t="s">
        <v>954</v>
      </c>
      <c r="M729" s="33">
        <v>-84.875</v>
      </c>
      <c r="N729" s="33">
        <v>15.045</v>
      </c>
      <c r="O729" s="34" t="s">
        <v>601</v>
      </c>
      <c r="P729" s="32" t="s">
        <v>602</v>
      </c>
      <c r="Q729" s="35">
        <v>3.0</v>
      </c>
      <c r="R729" s="35">
        <v>3.0</v>
      </c>
      <c r="S729" s="36">
        <v>1.3333</v>
      </c>
      <c r="T729" s="36">
        <v>2.0</v>
      </c>
      <c r="U729" s="36">
        <v>1.1547</v>
      </c>
      <c r="V729" s="36">
        <v>2.6458</v>
      </c>
      <c r="W729" s="36" t="s">
        <v>780</v>
      </c>
      <c r="X729" s="31">
        <v>1.925</v>
      </c>
      <c r="Y729" s="36">
        <v>-0.4051031767092109</v>
      </c>
      <c r="Z729" s="36">
        <v>0.8333670706654424</v>
      </c>
      <c r="AA729" s="29" t="s">
        <v>820</v>
      </c>
      <c r="AB729" s="31">
        <v>0.365709215403</v>
      </c>
      <c r="AC729" s="38">
        <v>399.0</v>
      </c>
    </row>
    <row r="730" ht="14.25" customHeight="1">
      <c r="A730" s="29" t="s">
        <v>69</v>
      </c>
      <c r="B730" s="29">
        <v>36.0</v>
      </c>
      <c r="C730" s="29" t="s">
        <v>608</v>
      </c>
      <c r="D730" s="29" t="s">
        <v>1034</v>
      </c>
      <c r="E730" s="29">
        <v>110.0</v>
      </c>
      <c r="F730" s="30" t="s">
        <v>854</v>
      </c>
      <c r="G730" s="29" t="s">
        <v>629</v>
      </c>
      <c r="H730" s="31">
        <v>4.03</v>
      </c>
      <c r="I730" s="29" t="s">
        <v>597</v>
      </c>
      <c r="J730" s="32" t="s">
        <v>598</v>
      </c>
      <c r="K730" s="29" t="s">
        <v>840</v>
      </c>
      <c r="L730" s="29" t="s">
        <v>954</v>
      </c>
      <c r="M730" s="33">
        <v>-84.875</v>
      </c>
      <c r="N730" s="33">
        <v>15.045</v>
      </c>
      <c r="O730" s="34" t="s">
        <v>601</v>
      </c>
      <c r="P730" s="32" t="s">
        <v>602</v>
      </c>
      <c r="Q730" s="35">
        <v>3.0</v>
      </c>
      <c r="R730" s="35">
        <v>3.0</v>
      </c>
      <c r="S730" s="36">
        <v>1.3333</v>
      </c>
      <c r="T730" s="36">
        <v>1.0</v>
      </c>
      <c r="U730" s="36">
        <v>2.3094</v>
      </c>
      <c r="V730" s="36">
        <v>1.0</v>
      </c>
      <c r="W730" s="36" t="s">
        <v>780</v>
      </c>
      <c r="X730" s="31">
        <v>0.675</v>
      </c>
      <c r="Y730" s="36">
        <v>0.2878505567095235</v>
      </c>
      <c r="Z730" s="36">
        <v>1.3333824026617693</v>
      </c>
      <c r="AA730" s="29" t="s">
        <v>820</v>
      </c>
      <c r="AB730" s="31">
        <v>0.365709215403</v>
      </c>
      <c r="AC730" s="38">
        <v>399.0</v>
      </c>
    </row>
    <row r="731" ht="14.25" customHeight="1">
      <c r="A731" s="29" t="s">
        <v>69</v>
      </c>
      <c r="B731" s="29">
        <v>36.0</v>
      </c>
      <c r="C731" s="29" t="s">
        <v>608</v>
      </c>
      <c r="D731" s="29" t="s">
        <v>1034</v>
      </c>
      <c r="E731" s="29">
        <v>110.0</v>
      </c>
      <c r="F731" s="30" t="s">
        <v>854</v>
      </c>
      <c r="G731" s="29" t="s">
        <v>629</v>
      </c>
      <c r="H731" s="31">
        <v>4.03</v>
      </c>
      <c r="I731" s="29" t="s">
        <v>597</v>
      </c>
      <c r="J731" s="32" t="s">
        <v>598</v>
      </c>
      <c r="K731" s="29" t="s">
        <v>840</v>
      </c>
      <c r="L731" s="29" t="s">
        <v>954</v>
      </c>
      <c r="M731" s="33">
        <v>-84.875</v>
      </c>
      <c r="N731" s="33">
        <v>15.045</v>
      </c>
      <c r="O731" s="34" t="s">
        <v>601</v>
      </c>
      <c r="P731" s="32" t="s">
        <v>602</v>
      </c>
      <c r="Q731" s="35">
        <v>3.0</v>
      </c>
      <c r="R731" s="35">
        <v>3.0</v>
      </c>
      <c r="S731" s="36">
        <v>1.0</v>
      </c>
      <c r="T731" s="36">
        <v>1.0</v>
      </c>
      <c r="U731" s="36">
        <v>1.7321</v>
      </c>
      <c r="V731" s="36">
        <v>1.0</v>
      </c>
      <c r="W731" s="36" t="s">
        <v>780</v>
      </c>
      <c r="X731" s="31">
        <v>1.925</v>
      </c>
      <c r="Y731" s="36">
        <v>2.5796466027220563E-4</v>
      </c>
      <c r="Z731" s="36">
        <v>1.3333901366666665</v>
      </c>
      <c r="AA731" s="29" t="s">
        <v>820</v>
      </c>
      <c r="AB731" s="31">
        <v>0.365709215403</v>
      </c>
      <c r="AC731" s="38">
        <v>399.0</v>
      </c>
    </row>
    <row r="732" ht="14.25" customHeight="1">
      <c r="A732" s="29" t="s">
        <v>69</v>
      </c>
      <c r="B732" s="29">
        <v>36.0</v>
      </c>
      <c r="C732" s="29" t="s">
        <v>608</v>
      </c>
      <c r="D732" s="29" t="s">
        <v>630</v>
      </c>
      <c r="E732" s="29">
        <v>129.0</v>
      </c>
      <c r="F732" s="30" t="s">
        <v>631</v>
      </c>
      <c r="G732" s="29" t="s">
        <v>626</v>
      </c>
      <c r="H732" s="31">
        <v>21.27</v>
      </c>
      <c r="I732" s="29" t="s">
        <v>612</v>
      </c>
      <c r="J732" s="32" t="s">
        <v>598</v>
      </c>
      <c r="K732" s="29" t="s">
        <v>840</v>
      </c>
      <c r="L732" s="29" t="s">
        <v>954</v>
      </c>
      <c r="M732" s="33">
        <v>-84.875</v>
      </c>
      <c r="N732" s="33">
        <v>15.045</v>
      </c>
      <c r="O732" s="34" t="s">
        <v>601</v>
      </c>
      <c r="P732" s="32" t="s">
        <v>602</v>
      </c>
      <c r="Q732" s="35">
        <v>3.0</v>
      </c>
      <c r="R732" s="35">
        <v>3.0</v>
      </c>
      <c r="S732" s="36">
        <v>2.3333</v>
      </c>
      <c r="T732" s="36">
        <v>1.3333</v>
      </c>
      <c r="U732" s="36">
        <v>1.1547</v>
      </c>
      <c r="V732" s="36">
        <v>1.1547</v>
      </c>
      <c r="W732" s="36" t="s">
        <v>780</v>
      </c>
      <c r="X732" s="31">
        <v>0.675</v>
      </c>
      <c r="Y732" s="36">
        <v>0.5597739173778908</v>
      </c>
      <c r="Z732" s="36">
        <v>0.3316471766802057</v>
      </c>
      <c r="AA732" s="29" t="s">
        <v>820</v>
      </c>
      <c r="AB732" s="31">
        <v>0.365709215403</v>
      </c>
      <c r="AC732" s="38">
        <v>399.0</v>
      </c>
    </row>
    <row r="733" ht="14.25" customHeight="1">
      <c r="A733" s="29" t="s">
        <v>69</v>
      </c>
      <c r="B733" s="29">
        <v>36.0</v>
      </c>
      <c r="C733" s="29" t="s">
        <v>608</v>
      </c>
      <c r="D733" s="29" t="s">
        <v>630</v>
      </c>
      <c r="E733" s="29">
        <v>129.0</v>
      </c>
      <c r="F733" s="30" t="s">
        <v>631</v>
      </c>
      <c r="G733" s="29" t="s">
        <v>626</v>
      </c>
      <c r="H733" s="31">
        <v>21.27</v>
      </c>
      <c r="I733" s="29" t="s">
        <v>612</v>
      </c>
      <c r="J733" s="32" t="s">
        <v>598</v>
      </c>
      <c r="K733" s="29" t="s">
        <v>840</v>
      </c>
      <c r="L733" s="29" t="s">
        <v>954</v>
      </c>
      <c r="M733" s="33">
        <v>-84.875</v>
      </c>
      <c r="N733" s="33">
        <v>15.045</v>
      </c>
      <c r="O733" s="34" t="s">
        <v>601</v>
      </c>
      <c r="P733" s="32" t="s">
        <v>602</v>
      </c>
      <c r="Q733" s="35">
        <v>3.0</v>
      </c>
      <c r="R733" s="35">
        <v>3.0</v>
      </c>
      <c r="S733" s="36">
        <v>0.3333</v>
      </c>
      <c r="T733" s="36">
        <v>1.3333</v>
      </c>
      <c r="U733" s="36">
        <v>0.5774</v>
      </c>
      <c r="V733" s="36">
        <v>1.1547</v>
      </c>
      <c r="W733" s="36" t="s">
        <v>780</v>
      </c>
      <c r="X733" s="31">
        <v>1.925</v>
      </c>
      <c r="Y733" s="36">
        <v>-1.3853378288737392</v>
      </c>
      <c r="Z733" s="36">
        <v>1.2503846117972788</v>
      </c>
      <c r="AA733" s="29" t="s">
        <v>820</v>
      </c>
      <c r="AB733" s="31">
        <v>0.365709215403</v>
      </c>
      <c r="AC733" s="38">
        <v>399.0</v>
      </c>
    </row>
    <row r="734" ht="14.25" customHeight="1">
      <c r="A734" s="29" t="s">
        <v>69</v>
      </c>
      <c r="B734" s="29">
        <v>36.0</v>
      </c>
      <c r="C734" s="29" t="s">
        <v>608</v>
      </c>
      <c r="D734" s="29" t="s">
        <v>860</v>
      </c>
      <c r="E734" s="29">
        <v>187.0</v>
      </c>
      <c r="F734" s="30" t="s">
        <v>861</v>
      </c>
      <c r="G734" s="29" t="s">
        <v>638</v>
      </c>
      <c r="H734" s="31">
        <v>300.0</v>
      </c>
      <c r="I734" s="29" t="s">
        <v>612</v>
      </c>
      <c r="J734" s="32" t="s">
        <v>598</v>
      </c>
      <c r="K734" s="29" t="s">
        <v>840</v>
      </c>
      <c r="L734" s="29" t="s">
        <v>954</v>
      </c>
      <c r="M734" s="33">
        <v>-84.875</v>
      </c>
      <c r="N734" s="33">
        <v>15.045</v>
      </c>
      <c r="O734" s="34" t="s">
        <v>601</v>
      </c>
      <c r="P734" s="32" t="s">
        <v>602</v>
      </c>
      <c r="Q734" s="35">
        <v>3.0</v>
      </c>
      <c r="R734" s="35">
        <v>3.0</v>
      </c>
      <c r="S734" s="36">
        <v>0.3333</v>
      </c>
      <c r="T734" s="36">
        <v>0.6667</v>
      </c>
      <c r="U734" s="36">
        <v>0.5774</v>
      </c>
      <c r="V734" s="36">
        <v>1.1547</v>
      </c>
      <c r="W734" s="36" t="s">
        <v>780</v>
      </c>
      <c r="X734" s="31">
        <v>0.675</v>
      </c>
      <c r="Y734" s="36">
        <v>-0.6927812441511826</v>
      </c>
      <c r="Z734" s="36">
        <v>2.000271419557913</v>
      </c>
      <c r="AA734" s="29" t="s">
        <v>820</v>
      </c>
      <c r="AB734" s="31">
        <v>0.365709215403</v>
      </c>
      <c r="AC734" s="38">
        <v>399.0</v>
      </c>
    </row>
    <row r="735" ht="14.25" customHeight="1">
      <c r="A735" s="29" t="s">
        <v>69</v>
      </c>
      <c r="B735" s="29">
        <v>36.0</v>
      </c>
      <c r="C735" s="29" t="s">
        <v>608</v>
      </c>
      <c r="D735" s="29" t="s">
        <v>860</v>
      </c>
      <c r="E735" s="29">
        <v>187.0</v>
      </c>
      <c r="F735" s="30" t="s">
        <v>861</v>
      </c>
      <c r="G735" s="29" t="s">
        <v>638</v>
      </c>
      <c r="H735" s="31">
        <v>300.0</v>
      </c>
      <c r="I735" s="29" t="s">
        <v>612</v>
      </c>
      <c r="J735" s="32" t="s">
        <v>598</v>
      </c>
      <c r="K735" s="29" t="s">
        <v>840</v>
      </c>
      <c r="L735" s="29" t="s">
        <v>954</v>
      </c>
      <c r="M735" s="33">
        <v>-84.875</v>
      </c>
      <c r="N735" s="33">
        <v>15.045</v>
      </c>
      <c r="O735" s="34" t="s">
        <v>601</v>
      </c>
      <c r="P735" s="32" t="s">
        <v>602</v>
      </c>
      <c r="Q735" s="35">
        <v>3.0</v>
      </c>
      <c r="R735" s="35">
        <v>3.0</v>
      </c>
      <c r="S735" s="36">
        <v>0.0</v>
      </c>
      <c r="T735" s="36">
        <v>0.6667</v>
      </c>
      <c r="U735" s="36">
        <v>0.0</v>
      </c>
      <c r="V735" s="36">
        <v>1.1547</v>
      </c>
      <c r="W735" s="36" t="s">
        <v>780</v>
      </c>
      <c r="X735" s="31">
        <v>1.925</v>
      </c>
      <c r="Y735" s="36">
        <v>-8.262558973010657</v>
      </c>
      <c r="Z735" s="36">
        <v>1.0038334895117556</v>
      </c>
      <c r="AA735" s="29" t="s">
        <v>820</v>
      </c>
      <c r="AB735" s="31">
        <v>0.365709215403</v>
      </c>
      <c r="AC735" s="38">
        <v>399.0</v>
      </c>
    </row>
    <row r="736" ht="14.25" customHeight="1">
      <c r="A736" s="29" t="s">
        <v>195</v>
      </c>
      <c r="B736" s="29">
        <v>137.0</v>
      </c>
      <c r="C736" s="29" t="s">
        <v>608</v>
      </c>
      <c r="D736" s="29" t="s">
        <v>825</v>
      </c>
      <c r="E736" s="29">
        <v>5.0</v>
      </c>
      <c r="F736" s="30" t="s">
        <v>826</v>
      </c>
      <c r="G736" s="29" t="s">
        <v>611</v>
      </c>
      <c r="H736" s="31">
        <v>6.15</v>
      </c>
      <c r="I736" s="29" t="s">
        <v>612</v>
      </c>
      <c r="J736" s="32" t="s">
        <v>642</v>
      </c>
      <c r="K736" s="29" t="s">
        <v>599</v>
      </c>
      <c r="L736" s="29" t="s">
        <v>915</v>
      </c>
      <c r="M736" s="33">
        <v>-76.399</v>
      </c>
      <c r="N736" s="33">
        <v>-0.68</v>
      </c>
      <c r="O736" s="34" t="s">
        <v>601</v>
      </c>
      <c r="P736" s="32" t="s">
        <v>643</v>
      </c>
      <c r="Q736" s="29">
        <v>1.0</v>
      </c>
      <c r="R736" s="29">
        <v>1.0</v>
      </c>
      <c r="S736" s="36">
        <v>5.0</v>
      </c>
      <c r="T736" s="36">
        <v>11.45</v>
      </c>
      <c r="U736" s="36">
        <f t="shared" ref="U736:V736" si="118">SQRT(S736)</f>
        <v>2.236067977</v>
      </c>
      <c r="V736" s="36">
        <f t="shared" si="118"/>
        <v>3.383784863</v>
      </c>
      <c r="W736" s="37" t="s">
        <v>623</v>
      </c>
      <c r="X736" s="31">
        <v>1.0</v>
      </c>
      <c r="Y736" s="36">
        <v>-0.8279611767553008</v>
      </c>
      <c r="Z736" s="36">
        <v>0.28733624454148476</v>
      </c>
      <c r="AA736" s="29" t="s">
        <v>820</v>
      </c>
      <c r="AB736" s="31">
        <v>4.88</v>
      </c>
      <c r="AC736" s="38">
        <v>1706.0</v>
      </c>
    </row>
    <row r="737" ht="14.25" customHeight="1">
      <c r="A737" s="29" t="s">
        <v>195</v>
      </c>
      <c r="B737" s="29">
        <v>137.0</v>
      </c>
      <c r="C737" s="29" t="s">
        <v>608</v>
      </c>
      <c r="D737" s="29" t="s">
        <v>921</v>
      </c>
      <c r="E737" s="29">
        <v>228.0</v>
      </c>
      <c r="F737" s="30" t="s">
        <v>922</v>
      </c>
      <c r="G737" s="29" t="s">
        <v>611</v>
      </c>
      <c r="H737" s="31">
        <v>5.0</v>
      </c>
      <c r="I737" s="29" t="s">
        <v>597</v>
      </c>
      <c r="J737" s="32" t="s">
        <v>642</v>
      </c>
      <c r="K737" s="29" t="s">
        <v>599</v>
      </c>
      <c r="L737" s="29" t="s">
        <v>915</v>
      </c>
      <c r="M737" s="33">
        <v>-76.399</v>
      </c>
      <c r="N737" s="33">
        <v>-0.68</v>
      </c>
      <c r="O737" s="34" t="s">
        <v>601</v>
      </c>
      <c r="P737" s="32" t="s">
        <v>643</v>
      </c>
      <c r="Q737" s="29">
        <v>1.0</v>
      </c>
      <c r="R737" s="29">
        <v>1.0</v>
      </c>
      <c r="S737" s="36">
        <v>6.75</v>
      </c>
      <c r="T737" s="36">
        <v>7.81</v>
      </c>
      <c r="U737" s="36">
        <f t="shared" ref="U737:V737" si="119">SQRT(S737)</f>
        <v>2.598076211</v>
      </c>
      <c r="V737" s="36">
        <f t="shared" si="119"/>
        <v>2.794637722</v>
      </c>
      <c r="W737" s="37" t="s">
        <v>623</v>
      </c>
      <c r="X737" s="31">
        <v>1.0</v>
      </c>
      <c r="Y737" s="36">
        <v>-0.14556399034589648</v>
      </c>
      <c r="Z737" s="36">
        <v>0.27618912125954376</v>
      </c>
      <c r="AA737" s="29" t="s">
        <v>820</v>
      </c>
      <c r="AB737" s="31">
        <v>4.88</v>
      </c>
      <c r="AC737" s="38">
        <v>1706.0</v>
      </c>
    </row>
    <row r="738" ht="14.25" customHeight="1">
      <c r="A738" s="29" t="s">
        <v>195</v>
      </c>
      <c r="B738" s="29">
        <v>137.0</v>
      </c>
      <c r="C738" s="29" t="s">
        <v>608</v>
      </c>
      <c r="D738" s="29" t="s">
        <v>1039</v>
      </c>
      <c r="E738" s="29">
        <v>303.0</v>
      </c>
      <c r="F738" s="39" t="s">
        <v>1040</v>
      </c>
      <c r="G738" s="29" t="s">
        <v>611</v>
      </c>
      <c r="H738" s="31">
        <v>1.005</v>
      </c>
      <c r="I738" s="29" t="s">
        <v>616</v>
      </c>
      <c r="J738" s="32" t="s">
        <v>642</v>
      </c>
      <c r="K738" s="29" t="s">
        <v>599</v>
      </c>
      <c r="L738" s="29" t="s">
        <v>915</v>
      </c>
      <c r="M738" s="33">
        <v>-76.399</v>
      </c>
      <c r="N738" s="33">
        <v>-0.68</v>
      </c>
      <c r="O738" s="34" t="s">
        <v>601</v>
      </c>
      <c r="P738" s="32" t="s">
        <v>643</v>
      </c>
      <c r="Q738" s="29">
        <v>1.0</v>
      </c>
      <c r="R738" s="29">
        <v>1.0</v>
      </c>
      <c r="S738" s="36">
        <v>9.69</v>
      </c>
      <c r="T738" s="36">
        <v>10.8</v>
      </c>
      <c r="U738" s="36">
        <f t="shared" ref="U738:V738" si="120">SQRT(S738)</f>
        <v>3.112876483</v>
      </c>
      <c r="V738" s="36">
        <f t="shared" si="120"/>
        <v>3.286335345</v>
      </c>
      <c r="W738" s="37" t="s">
        <v>623</v>
      </c>
      <c r="X738" s="31">
        <v>1.0</v>
      </c>
      <c r="Y738" s="36">
        <v>-0.10816419768346545</v>
      </c>
      <c r="Z738" s="36">
        <v>0.19579176699919737</v>
      </c>
      <c r="AA738" s="29" t="s">
        <v>820</v>
      </c>
      <c r="AB738" s="31">
        <v>4.88</v>
      </c>
      <c r="AC738" s="38">
        <v>1706.0</v>
      </c>
    </row>
    <row r="739" ht="14.25" customHeight="1">
      <c r="A739" s="29" t="s">
        <v>195</v>
      </c>
      <c r="B739" s="29">
        <v>137.0</v>
      </c>
      <c r="C739" s="29" t="s">
        <v>608</v>
      </c>
      <c r="D739" s="29" t="s">
        <v>830</v>
      </c>
      <c r="E739" s="29">
        <v>30.0</v>
      </c>
      <c r="F739" s="30" t="s">
        <v>831</v>
      </c>
      <c r="G739" s="29" t="s">
        <v>611</v>
      </c>
      <c r="H739" s="31">
        <v>2.63</v>
      </c>
      <c r="I739" s="29" t="s">
        <v>616</v>
      </c>
      <c r="J739" s="32" t="s">
        <v>642</v>
      </c>
      <c r="K739" s="29" t="s">
        <v>599</v>
      </c>
      <c r="L739" s="29" t="s">
        <v>915</v>
      </c>
      <c r="M739" s="33">
        <v>-76.399</v>
      </c>
      <c r="N739" s="33">
        <v>-0.68</v>
      </c>
      <c r="O739" s="34" t="s">
        <v>601</v>
      </c>
      <c r="P739" s="32" t="s">
        <v>643</v>
      </c>
      <c r="Q739" s="29">
        <v>1.0</v>
      </c>
      <c r="R739" s="29">
        <v>1.0</v>
      </c>
      <c r="S739" s="36">
        <v>7.97</v>
      </c>
      <c r="T739" s="36">
        <v>7.29</v>
      </c>
      <c r="U739" s="36">
        <f t="shared" ref="U739:V739" si="121">SQRT(S739)</f>
        <v>2.823118843</v>
      </c>
      <c r="V739" s="36">
        <f t="shared" si="121"/>
        <v>2.7</v>
      </c>
      <c r="W739" s="37" t="s">
        <v>623</v>
      </c>
      <c r="X739" s="31">
        <v>1.0</v>
      </c>
      <c r="Y739" s="36">
        <v>0.0894169045064074</v>
      </c>
      <c r="Z739" s="36">
        <v>0.2626447256773945</v>
      </c>
      <c r="AA739" s="29" t="s">
        <v>820</v>
      </c>
      <c r="AB739" s="31">
        <v>4.88</v>
      </c>
      <c r="AC739" s="38">
        <v>1706.0</v>
      </c>
    </row>
    <row r="740" ht="14.25" customHeight="1">
      <c r="A740" s="29" t="s">
        <v>195</v>
      </c>
      <c r="B740" s="29">
        <v>137.0</v>
      </c>
      <c r="C740" s="29" t="s">
        <v>608</v>
      </c>
      <c r="D740" s="29" t="s">
        <v>1041</v>
      </c>
      <c r="E740" s="29">
        <v>304.0</v>
      </c>
      <c r="F740" s="39" t="s">
        <v>1042</v>
      </c>
      <c r="G740" s="29" t="s">
        <v>611</v>
      </c>
      <c r="H740" s="31">
        <v>7.1</v>
      </c>
      <c r="I740" s="29" t="s">
        <v>597</v>
      </c>
      <c r="J740" s="32" t="s">
        <v>642</v>
      </c>
      <c r="K740" s="29" t="s">
        <v>599</v>
      </c>
      <c r="L740" s="29" t="s">
        <v>915</v>
      </c>
      <c r="M740" s="33">
        <v>-76.399</v>
      </c>
      <c r="N740" s="33">
        <v>-0.68</v>
      </c>
      <c r="O740" s="34" t="s">
        <v>601</v>
      </c>
      <c r="P740" s="32" t="s">
        <v>643</v>
      </c>
      <c r="Q740" s="29">
        <v>1.0</v>
      </c>
      <c r="R740" s="29">
        <v>1.0</v>
      </c>
      <c r="S740" s="36">
        <v>20.4</v>
      </c>
      <c r="T740" s="36">
        <v>31.8</v>
      </c>
      <c r="U740" s="36">
        <f t="shared" ref="U740:V740" si="122">SQRT(S740)</f>
        <v>4.516635916</v>
      </c>
      <c r="V740" s="36">
        <f t="shared" si="122"/>
        <v>5.639148872</v>
      </c>
      <c r="W740" s="37" t="s">
        <v>623</v>
      </c>
      <c r="X740" s="31">
        <v>1.0</v>
      </c>
      <c r="Y740" s="36">
        <v>-0.4435292965327446</v>
      </c>
      <c r="Z740" s="36">
        <v>0.08046614872364038</v>
      </c>
      <c r="AA740" s="29" t="s">
        <v>820</v>
      </c>
      <c r="AB740" s="31">
        <v>4.88</v>
      </c>
      <c r="AC740" s="38">
        <v>1706.0</v>
      </c>
    </row>
    <row r="741" ht="14.25" customHeight="1">
      <c r="A741" s="29" t="s">
        <v>195</v>
      </c>
      <c r="B741" s="29">
        <v>137.0</v>
      </c>
      <c r="C741" s="29" t="s">
        <v>608</v>
      </c>
      <c r="D741" s="29" t="s">
        <v>1043</v>
      </c>
      <c r="E741" s="29">
        <v>262.0</v>
      </c>
      <c r="F741" s="30" t="s">
        <v>1044</v>
      </c>
      <c r="G741" s="29" t="s">
        <v>611</v>
      </c>
      <c r="H741" s="31">
        <v>0.39</v>
      </c>
      <c r="I741" s="29" t="s">
        <v>616</v>
      </c>
      <c r="J741" s="32" t="s">
        <v>642</v>
      </c>
      <c r="K741" s="29" t="s">
        <v>599</v>
      </c>
      <c r="L741" s="29" t="s">
        <v>915</v>
      </c>
      <c r="M741" s="33">
        <v>-76.399</v>
      </c>
      <c r="N741" s="33">
        <v>-0.68</v>
      </c>
      <c r="O741" s="34" t="s">
        <v>601</v>
      </c>
      <c r="P741" s="32" t="s">
        <v>643</v>
      </c>
      <c r="Q741" s="29">
        <v>1.0</v>
      </c>
      <c r="R741" s="29">
        <v>1.0</v>
      </c>
      <c r="S741" s="36">
        <v>18.75</v>
      </c>
      <c r="T741" s="36">
        <v>26.6</v>
      </c>
      <c r="U741" s="36">
        <f t="shared" ref="U741:V741" si="123">SQRT(S741)</f>
        <v>4.330127019</v>
      </c>
      <c r="V741" s="36">
        <f t="shared" si="123"/>
        <v>5.157518783</v>
      </c>
      <c r="W741" s="37" t="s">
        <v>623</v>
      </c>
      <c r="X741" s="31">
        <v>1.0</v>
      </c>
      <c r="Y741" s="36">
        <v>-0.34935151726578256</v>
      </c>
      <c r="Z741" s="36">
        <v>0.09092731829573936</v>
      </c>
      <c r="AA741" s="29" t="s">
        <v>820</v>
      </c>
      <c r="AB741" s="31">
        <v>4.88</v>
      </c>
      <c r="AC741" s="38">
        <v>1706.0</v>
      </c>
    </row>
    <row r="742" ht="14.25" customHeight="1">
      <c r="A742" s="29" t="s">
        <v>195</v>
      </c>
      <c r="B742" s="29">
        <v>137.0</v>
      </c>
      <c r="C742" s="29" t="s">
        <v>608</v>
      </c>
      <c r="D742" s="29" t="s">
        <v>691</v>
      </c>
      <c r="E742" s="29">
        <v>170.0</v>
      </c>
      <c r="F742" s="30" t="s">
        <v>692</v>
      </c>
      <c r="G742" s="29" t="s">
        <v>611</v>
      </c>
      <c r="H742" s="31">
        <v>0.74</v>
      </c>
      <c r="I742" s="29" t="s">
        <v>616</v>
      </c>
      <c r="J742" s="32" t="s">
        <v>642</v>
      </c>
      <c r="K742" s="29" t="s">
        <v>599</v>
      </c>
      <c r="L742" s="29" t="s">
        <v>915</v>
      </c>
      <c r="M742" s="33">
        <v>-76.399</v>
      </c>
      <c r="N742" s="33">
        <v>-0.68</v>
      </c>
      <c r="O742" s="34" t="s">
        <v>601</v>
      </c>
      <c r="P742" s="32" t="s">
        <v>643</v>
      </c>
      <c r="Q742" s="29">
        <v>1.0</v>
      </c>
      <c r="R742" s="29">
        <v>1.0</v>
      </c>
      <c r="S742" s="36">
        <v>32.75</v>
      </c>
      <c r="T742" s="36">
        <v>31.25</v>
      </c>
      <c r="U742" s="36">
        <f t="shared" ref="U742:V742" si="124">SQRT(S742)</f>
        <v>5.722761571</v>
      </c>
      <c r="V742" s="36">
        <f t="shared" si="124"/>
        <v>5.590169944</v>
      </c>
      <c r="W742" s="37" t="s">
        <v>623</v>
      </c>
      <c r="X742" s="31">
        <v>1.0</v>
      </c>
      <c r="Y742" s="36">
        <v>0.0471297368378791</v>
      </c>
      <c r="Z742" s="36">
        <v>0.06253435114503816</v>
      </c>
      <c r="AA742" s="29" t="s">
        <v>820</v>
      </c>
      <c r="AB742" s="31">
        <v>4.88</v>
      </c>
      <c r="AC742" s="38">
        <v>1706.0</v>
      </c>
    </row>
    <row r="743" ht="14.25" customHeight="1">
      <c r="A743" s="29" t="s">
        <v>197</v>
      </c>
      <c r="B743" s="29">
        <v>18.0</v>
      </c>
      <c r="C743" s="29" t="s">
        <v>608</v>
      </c>
      <c r="D743" s="29" t="s">
        <v>1045</v>
      </c>
      <c r="E743" s="29">
        <v>33.0</v>
      </c>
      <c r="F743" s="30" t="s">
        <v>1046</v>
      </c>
      <c r="G743" s="29" t="s">
        <v>626</v>
      </c>
      <c r="H743" s="31">
        <v>18.25</v>
      </c>
      <c r="I743" s="29" t="s">
        <v>612</v>
      </c>
      <c r="J743" s="32" t="s">
        <v>642</v>
      </c>
      <c r="K743" s="29" t="s">
        <v>698</v>
      </c>
      <c r="L743" s="29" t="s">
        <v>910</v>
      </c>
      <c r="M743" s="33">
        <v>13.017</v>
      </c>
      <c r="N743" s="33">
        <v>3.325</v>
      </c>
      <c r="O743" s="34" t="s">
        <v>601</v>
      </c>
      <c r="P743" s="32" t="s">
        <v>602</v>
      </c>
      <c r="Q743" s="35">
        <v>6.0</v>
      </c>
      <c r="R743" s="35">
        <v>6.0</v>
      </c>
      <c r="S743" s="36">
        <v>0.0</v>
      </c>
      <c r="T743" s="36">
        <v>2.5</v>
      </c>
      <c r="U743" s="36">
        <v>0.0</v>
      </c>
      <c r="V743" s="36">
        <v>1.5811</v>
      </c>
      <c r="W743" s="37" t="s">
        <v>780</v>
      </c>
      <c r="X743" s="31">
        <v>2.5</v>
      </c>
      <c r="Y743" s="36">
        <v>-8.262558973010657</v>
      </c>
      <c r="Z743" s="36">
        <v>0.2468699483333333</v>
      </c>
      <c r="AA743" s="29" t="s">
        <v>820</v>
      </c>
      <c r="AB743" s="31">
        <v>4.51044273376</v>
      </c>
      <c r="AC743" s="38">
        <v>232.0</v>
      </c>
    </row>
    <row r="744" ht="14.25" customHeight="1">
      <c r="A744" s="29" t="s">
        <v>197</v>
      </c>
      <c r="B744" s="29">
        <v>18.0</v>
      </c>
      <c r="C744" s="29" t="s">
        <v>608</v>
      </c>
      <c r="D744" s="29" t="s">
        <v>1045</v>
      </c>
      <c r="E744" s="29">
        <v>33.0</v>
      </c>
      <c r="F744" s="30" t="s">
        <v>1046</v>
      </c>
      <c r="G744" s="29" t="s">
        <v>626</v>
      </c>
      <c r="H744" s="31">
        <v>18.25</v>
      </c>
      <c r="I744" s="29" t="s">
        <v>612</v>
      </c>
      <c r="J744" s="32" t="s">
        <v>642</v>
      </c>
      <c r="K744" s="29" t="s">
        <v>698</v>
      </c>
      <c r="L744" s="29" t="s">
        <v>910</v>
      </c>
      <c r="M744" s="33">
        <v>13.017</v>
      </c>
      <c r="N744" s="33">
        <v>3.325</v>
      </c>
      <c r="O744" s="34" t="s">
        <v>601</v>
      </c>
      <c r="P744" s="32" t="s">
        <v>602</v>
      </c>
      <c r="Q744" s="35">
        <v>6.0</v>
      </c>
      <c r="R744" s="35">
        <v>6.0</v>
      </c>
      <c r="S744" s="36">
        <v>1.6</v>
      </c>
      <c r="T744" s="36">
        <v>2.5</v>
      </c>
      <c r="U744" s="36">
        <v>1.2649</v>
      </c>
      <c r="V744" s="36">
        <v>1.5811</v>
      </c>
      <c r="W744" s="37" t="s">
        <v>780</v>
      </c>
      <c r="X744" s="31">
        <v>7.5</v>
      </c>
      <c r="Y744" s="36">
        <v>-0.4458840620851464</v>
      </c>
      <c r="Z744" s="36">
        <v>0.1708282366677083</v>
      </c>
      <c r="AA744" s="29" t="s">
        <v>820</v>
      </c>
      <c r="AB744" s="31">
        <v>4.51044273376</v>
      </c>
      <c r="AC744" s="38">
        <v>232.0</v>
      </c>
    </row>
    <row r="745" ht="14.25" customHeight="1">
      <c r="A745" s="29" t="s">
        <v>197</v>
      </c>
      <c r="B745" s="29">
        <v>18.0</v>
      </c>
      <c r="C745" s="29" t="s">
        <v>608</v>
      </c>
      <c r="D745" s="29" t="s">
        <v>1045</v>
      </c>
      <c r="E745" s="29">
        <v>33.0</v>
      </c>
      <c r="F745" s="30" t="s">
        <v>1046</v>
      </c>
      <c r="G745" s="29" t="s">
        <v>626</v>
      </c>
      <c r="H745" s="31">
        <v>18.25</v>
      </c>
      <c r="I745" s="29" t="s">
        <v>612</v>
      </c>
      <c r="J745" s="32" t="s">
        <v>642</v>
      </c>
      <c r="K745" s="29" t="s">
        <v>698</v>
      </c>
      <c r="L745" s="29" t="s">
        <v>910</v>
      </c>
      <c r="M745" s="33">
        <v>13.017</v>
      </c>
      <c r="N745" s="33">
        <v>3.325</v>
      </c>
      <c r="O745" s="34" t="s">
        <v>601</v>
      </c>
      <c r="P745" s="32" t="s">
        <v>602</v>
      </c>
      <c r="Q745" s="35">
        <v>6.0</v>
      </c>
      <c r="R745" s="35">
        <v>6.0</v>
      </c>
      <c r="S745" s="36">
        <v>3.2</v>
      </c>
      <c r="T745" s="36">
        <v>2.5</v>
      </c>
      <c r="U745" s="36">
        <v>1.7889</v>
      </c>
      <c r="V745" s="36">
        <v>1.5811</v>
      </c>
      <c r="W745" s="37" t="s">
        <v>780</v>
      </c>
      <c r="X745" s="31">
        <v>12.5</v>
      </c>
      <c r="Y745" s="36">
        <v>0.24706161850837216</v>
      </c>
      <c r="Z745" s="36">
        <v>0.1187493820127604</v>
      </c>
      <c r="AA745" s="29" t="s">
        <v>820</v>
      </c>
      <c r="AB745" s="31">
        <v>4.51044273376</v>
      </c>
      <c r="AC745" s="38">
        <v>232.0</v>
      </c>
    </row>
    <row r="746" ht="14.25" customHeight="1">
      <c r="A746" s="29" t="s">
        <v>197</v>
      </c>
      <c r="B746" s="29">
        <v>18.0</v>
      </c>
      <c r="C746" s="29" t="s">
        <v>608</v>
      </c>
      <c r="D746" s="29" t="s">
        <v>1047</v>
      </c>
      <c r="E746" s="29">
        <v>37.0</v>
      </c>
      <c r="F746" s="30" t="s">
        <v>1048</v>
      </c>
      <c r="G746" s="29" t="s">
        <v>626</v>
      </c>
      <c r="H746" s="31">
        <v>20.0</v>
      </c>
      <c r="I746" s="29" t="s">
        <v>612</v>
      </c>
      <c r="J746" s="32" t="s">
        <v>642</v>
      </c>
      <c r="K746" s="29" t="s">
        <v>698</v>
      </c>
      <c r="L746" s="29" t="s">
        <v>910</v>
      </c>
      <c r="M746" s="33">
        <v>13.017</v>
      </c>
      <c r="N746" s="33">
        <v>3.325</v>
      </c>
      <c r="O746" s="34" t="s">
        <v>601</v>
      </c>
      <c r="P746" s="32" t="s">
        <v>602</v>
      </c>
      <c r="Q746" s="35">
        <v>6.0</v>
      </c>
      <c r="R746" s="35">
        <v>6.0</v>
      </c>
      <c r="S746" s="36">
        <v>0.1</v>
      </c>
      <c r="T746" s="36">
        <v>0.6</v>
      </c>
      <c r="U746" s="36">
        <v>0.3162</v>
      </c>
      <c r="V746" s="36">
        <v>0.7746</v>
      </c>
      <c r="W746" s="37" t="s">
        <v>780</v>
      </c>
      <c r="X746" s="31">
        <v>2.5</v>
      </c>
      <c r="Y746" s="36">
        <v>-1.790212678509756</v>
      </c>
      <c r="Z746" s="36">
        <v>1.9441541666666662</v>
      </c>
      <c r="AA746" s="29" t="s">
        <v>820</v>
      </c>
      <c r="AB746" s="31">
        <v>4.51044273376</v>
      </c>
      <c r="AC746" s="38">
        <v>232.0</v>
      </c>
    </row>
    <row r="747" ht="14.25" customHeight="1">
      <c r="A747" s="29" t="s">
        <v>197</v>
      </c>
      <c r="B747" s="29">
        <v>18.0</v>
      </c>
      <c r="C747" s="29" t="s">
        <v>608</v>
      </c>
      <c r="D747" s="29" t="s">
        <v>1047</v>
      </c>
      <c r="E747" s="29">
        <v>37.0</v>
      </c>
      <c r="F747" s="30" t="s">
        <v>1048</v>
      </c>
      <c r="G747" s="29" t="s">
        <v>626</v>
      </c>
      <c r="H747" s="31">
        <v>20.0</v>
      </c>
      <c r="I747" s="29" t="s">
        <v>612</v>
      </c>
      <c r="J747" s="32" t="s">
        <v>642</v>
      </c>
      <c r="K747" s="29" t="s">
        <v>698</v>
      </c>
      <c r="L747" s="29" t="s">
        <v>910</v>
      </c>
      <c r="M747" s="33">
        <v>13.017</v>
      </c>
      <c r="N747" s="33">
        <v>3.325</v>
      </c>
      <c r="O747" s="34" t="s">
        <v>601</v>
      </c>
      <c r="P747" s="32" t="s">
        <v>602</v>
      </c>
      <c r="Q747" s="35">
        <v>6.0</v>
      </c>
      <c r="R747" s="35">
        <v>6.0</v>
      </c>
      <c r="S747" s="36">
        <v>0.0</v>
      </c>
      <c r="T747" s="36">
        <v>0.6</v>
      </c>
      <c r="U747" s="36">
        <v>0.0</v>
      </c>
      <c r="V747" s="36">
        <v>0.7746</v>
      </c>
      <c r="W747" s="37" t="s">
        <v>780</v>
      </c>
      <c r="X747" s="31">
        <v>7.5</v>
      </c>
      <c r="Y747" s="36">
        <v>-8.262558973010657</v>
      </c>
      <c r="Z747" s="36">
        <v>0.39044148209366386</v>
      </c>
      <c r="AA747" s="29" t="s">
        <v>820</v>
      </c>
      <c r="AB747" s="31">
        <v>4.51044273376</v>
      </c>
      <c r="AC747" s="38">
        <v>232.0</v>
      </c>
    </row>
    <row r="748" ht="14.25" customHeight="1">
      <c r="A748" s="29" t="s">
        <v>197</v>
      </c>
      <c r="B748" s="29">
        <v>18.0</v>
      </c>
      <c r="C748" s="29" t="s">
        <v>608</v>
      </c>
      <c r="D748" s="29" t="s">
        <v>1047</v>
      </c>
      <c r="E748" s="29">
        <v>37.0</v>
      </c>
      <c r="F748" s="30" t="s">
        <v>1048</v>
      </c>
      <c r="G748" s="29" t="s">
        <v>626</v>
      </c>
      <c r="H748" s="31">
        <v>20.0</v>
      </c>
      <c r="I748" s="29" t="s">
        <v>612</v>
      </c>
      <c r="J748" s="32" t="s">
        <v>642</v>
      </c>
      <c r="K748" s="29" t="s">
        <v>698</v>
      </c>
      <c r="L748" s="29" t="s">
        <v>910</v>
      </c>
      <c r="M748" s="33">
        <v>13.017</v>
      </c>
      <c r="N748" s="33">
        <v>3.325</v>
      </c>
      <c r="O748" s="34" t="s">
        <v>601</v>
      </c>
      <c r="P748" s="32" t="s">
        <v>602</v>
      </c>
      <c r="Q748" s="35">
        <v>6.0</v>
      </c>
      <c r="R748" s="35">
        <v>6.0</v>
      </c>
      <c r="S748" s="36">
        <v>0.0</v>
      </c>
      <c r="T748" s="36">
        <v>0.6</v>
      </c>
      <c r="U748" s="36">
        <v>0.0</v>
      </c>
      <c r="V748" s="36">
        <v>0.7746</v>
      </c>
      <c r="W748" s="37" t="s">
        <v>780</v>
      </c>
      <c r="X748" s="31">
        <v>12.5</v>
      </c>
      <c r="Y748" s="36">
        <v>-8.262558973010657</v>
      </c>
      <c r="Z748" s="36">
        <v>0.39044148209366386</v>
      </c>
      <c r="AA748" s="29" t="s">
        <v>820</v>
      </c>
      <c r="AB748" s="31">
        <v>4.51044273376</v>
      </c>
      <c r="AC748" s="38">
        <v>232.0</v>
      </c>
    </row>
    <row r="749" ht="14.25" customHeight="1">
      <c r="A749" s="29" t="s">
        <v>197</v>
      </c>
      <c r="B749" s="29">
        <v>18.0</v>
      </c>
      <c r="C749" s="29" t="s">
        <v>608</v>
      </c>
      <c r="D749" s="29" t="s">
        <v>1049</v>
      </c>
      <c r="E749" s="29">
        <v>39.0</v>
      </c>
      <c r="F749" s="30" t="s">
        <v>1050</v>
      </c>
      <c r="G749" s="29" t="s">
        <v>626</v>
      </c>
      <c r="H749" s="31">
        <v>12.7</v>
      </c>
      <c r="I749" s="29" t="s">
        <v>612</v>
      </c>
      <c r="J749" s="32" t="s">
        <v>642</v>
      </c>
      <c r="K749" s="29" t="s">
        <v>698</v>
      </c>
      <c r="L749" s="29" t="s">
        <v>910</v>
      </c>
      <c r="M749" s="33">
        <v>13.017</v>
      </c>
      <c r="N749" s="33">
        <v>3.325</v>
      </c>
      <c r="O749" s="34" t="s">
        <v>601</v>
      </c>
      <c r="P749" s="32" t="s">
        <v>602</v>
      </c>
      <c r="Q749" s="35">
        <v>6.0</v>
      </c>
      <c r="R749" s="35">
        <v>6.0</v>
      </c>
      <c r="S749" s="36">
        <v>0.0</v>
      </c>
      <c r="T749" s="36">
        <v>0.2</v>
      </c>
      <c r="U749" s="36">
        <v>0.0</v>
      </c>
      <c r="V749" s="36">
        <v>0.4472</v>
      </c>
      <c r="W749" s="37" t="s">
        <v>780</v>
      </c>
      <c r="X749" s="31">
        <v>2.5</v>
      </c>
      <c r="Y749" s="36">
        <v>-8.262558973010657</v>
      </c>
      <c r="Z749" s="36">
        <v>0.4718325986394558</v>
      </c>
      <c r="AA749" s="29" t="s">
        <v>820</v>
      </c>
      <c r="AB749" s="31">
        <v>4.51044273376</v>
      </c>
      <c r="AC749" s="38">
        <v>232.0</v>
      </c>
    </row>
    <row r="750" ht="14.25" customHeight="1">
      <c r="A750" s="29" t="s">
        <v>197</v>
      </c>
      <c r="B750" s="29">
        <v>18.0</v>
      </c>
      <c r="C750" s="29" t="s">
        <v>608</v>
      </c>
      <c r="D750" s="29" t="s">
        <v>1049</v>
      </c>
      <c r="E750" s="29">
        <v>39.0</v>
      </c>
      <c r="F750" s="30" t="s">
        <v>1050</v>
      </c>
      <c r="G750" s="29" t="s">
        <v>626</v>
      </c>
      <c r="H750" s="31">
        <v>12.7</v>
      </c>
      <c r="I750" s="29" t="s">
        <v>612</v>
      </c>
      <c r="J750" s="32" t="s">
        <v>642</v>
      </c>
      <c r="K750" s="29" t="s">
        <v>698</v>
      </c>
      <c r="L750" s="29" t="s">
        <v>910</v>
      </c>
      <c r="M750" s="33">
        <v>13.017</v>
      </c>
      <c r="N750" s="33">
        <v>3.325</v>
      </c>
      <c r="O750" s="34" t="s">
        <v>601</v>
      </c>
      <c r="P750" s="32" t="s">
        <v>602</v>
      </c>
      <c r="Q750" s="35">
        <v>6.0</v>
      </c>
      <c r="R750" s="35">
        <v>6.0</v>
      </c>
      <c r="S750" s="36">
        <v>0.2</v>
      </c>
      <c r="T750" s="36">
        <v>0.2</v>
      </c>
      <c r="U750" s="36">
        <v>0.4472</v>
      </c>
      <c r="V750" s="36">
        <v>0.4472</v>
      </c>
      <c r="W750" s="37" t="s">
        <v>780</v>
      </c>
      <c r="X750" s="31">
        <v>7.5</v>
      </c>
      <c r="Y750" s="36">
        <v>2.5796466027220563E-4</v>
      </c>
      <c r="Z750" s="36">
        <v>1.666565333333333</v>
      </c>
      <c r="AA750" s="29" t="s">
        <v>820</v>
      </c>
      <c r="AB750" s="31">
        <v>4.51044273376</v>
      </c>
      <c r="AC750" s="38">
        <v>232.0</v>
      </c>
    </row>
    <row r="751" ht="14.25" customHeight="1">
      <c r="A751" s="29" t="s">
        <v>197</v>
      </c>
      <c r="B751" s="29">
        <v>18.0</v>
      </c>
      <c r="C751" s="29" t="s">
        <v>608</v>
      </c>
      <c r="D751" s="29" t="s">
        <v>1049</v>
      </c>
      <c r="E751" s="29">
        <v>39.0</v>
      </c>
      <c r="F751" s="30" t="s">
        <v>1050</v>
      </c>
      <c r="G751" s="29" t="s">
        <v>626</v>
      </c>
      <c r="H751" s="31">
        <v>12.7</v>
      </c>
      <c r="I751" s="29" t="s">
        <v>612</v>
      </c>
      <c r="J751" s="32" t="s">
        <v>642</v>
      </c>
      <c r="K751" s="29" t="s">
        <v>698</v>
      </c>
      <c r="L751" s="29" t="s">
        <v>910</v>
      </c>
      <c r="M751" s="33">
        <v>13.017</v>
      </c>
      <c r="N751" s="33">
        <v>3.325</v>
      </c>
      <c r="O751" s="34" t="s">
        <v>601</v>
      </c>
      <c r="P751" s="32" t="s">
        <v>602</v>
      </c>
      <c r="Q751" s="35">
        <v>6.0</v>
      </c>
      <c r="R751" s="35">
        <v>6.0</v>
      </c>
      <c r="S751" s="36">
        <v>0.0</v>
      </c>
      <c r="T751" s="36">
        <v>0.2</v>
      </c>
      <c r="U751" s="36">
        <v>0.0</v>
      </c>
      <c r="V751" s="36">
        <v>0.4472</v>
      </c>
      <c r="W751" s="37" t="s">
        <v>780</v>
      </c>
      <c r="X751" s="31">
        <v>12.5</v>
      </c>
      <c r="Y751" s="36">
        <v>-8.262558973010657</v>
      </c>
      <c r="Z751" s="36">
        <v>0.4718325986394558</v>
      </c>
      <c r="AA751" s="29" t="s">
        <v>820</v>
      </c>
      <c r="AB751" s="31">
        <v>4.51044273376</v>
      </c>
      <c r="AC751" s="38">
        <v>232.0</v>
      </c>
    </row>
    <row r="752" ht="14.25" customHeight="1">
      <c r="A752" s="29" t="s">
        <v>197</v>
      </c>
      <c r="B752" s="29">
        <v>18.0</v>
      </c>
      <c r="C752" s="29" t="s">
        <v>608</v>
      </c>
      <c r="D752" s="43" t="s">
        <v>1051</v>
      </c>
      <c r="E752" s="29">
        <v>40.0</v>
      </c>
      <c r="F752" s="30" t="s">
        <v>1052</v>
      </c>
      <c r="G752" s="29" t="s">
        <v>626</v>
      </c>
      <c r="H752" s="31">
        <f t="shared" ref="H752:H754" si="125">13.899</f>
        <v>13.899</v>
      </c>
      <c r="I752" s="29" t="s">
        <v>612</v>
      </c>
      <c r="J752" s="32" t="s">
        <v>642</v>
      </c>
      <c r="K752" s="29" t="s">
        <v>698</v>
      </c>
      <c r="L752" s="29" t="s">
        <v>910</v>
      </c>
      <c r="M752" s="33">
        <v>13.017</v>
      </c>
      <c r="N752" s="33">
        <v>3.325</v>
      </c>
      <c r="O752" s="34" t="s">
        <v>601</v>
      </c>
      <c r="P752" s="32" t="s">
        <v>602</v>
      </c>
      <c r="Q752" s="35">
        <v>6.0</v>
      </c>
      <c r="R752" s="35">
        <v>6.0</v>
      </c>
      <c r="S752" s="36">
        <v>0.2</v>
      </c>
      <c r="T752" s="36">
        <v>0.4</v>
      </c>
      <c r="U752" s="36">
        <v>0.4472</v>
      </c>
      <c r="V752" s="36">
        <v>0.6325</v>
      </c>
      <c r="W752" s="37" t="s">
        <v>780</v>
      </c>
      <c r="X752" s="31">
        <v>2.5</v>
      </c>
      <c r="Y752" s="36">
        <v>-0.692631317768005</v>
      </c>
      <c r="Z752" s="36">
        <v>1.250007927083333</v>
      </c>
      <c r="AA752" s="29" t="s">
        <v>820</v>
      </c>
      <c r="AB752" s="31">
        <v>4.51044273376</v>
      </c>
      <c r="AC752" s="38">
        <v>232.0</v>
      </c>
    </row>
    <row r="753" ht="14.25" customHeight="1">
      <c r="A753" s="29" t="s">
        <v>197</v>
      </c>
      <c r="B753" s="29">
        <v>18.0</v>
      </c>
      <c r="C753" s="29" t="s">
        <v>608</v>
      </c>
      <c r="D753" s="43" t="s">
        <v>1051</v>
      </c>
      <c r="E753" s="29">
        <v>40.0</v>
      </c>
      <c r="F753" s="30" t="s">
        <v>1052</v>
      </c>
      <c r="G753" s="29" t="s">
        <v>626</v>
      </c>
      <c r="H753" s="31">
        <f t="shared" si="125"/>
        <v>13.899</v>
      </c>
      <c r="I753" s="29" t="s">
        <v>612</v>
      </c>
      <c r="J753" s="32" t="s">
        <v>642</v>
      </c>
      <c r="K753" s="29" t="s">
        <v>698</v>
      </c>
      <c r="L753" s="29" t="s">
        <v>910</v>
      </c>
      <c r="M753" s="33">
        <v>13.017</v>
      </c>
      <c r="N753" s="33">
        <v>3.325</v>
      </c>
      <c r="O753" s="34" t="s">
        <v>601</v>
      </c>
      <c r="P753" s="32" t="s">
        <v>602</v>
      </c>
      <c r="Q753" s="35">
        <v>6.0</v>
      </c>
      <c r="R753" s="35">
        <v>6.0</v>
      </c>
      <c r="S753" s="36">
        <v>0.2</v>
      </c>
      <c r="T753" s="36">
        <v>0.4</v>
      </c>
      <c r="U753" s="36">
        <v>0.4472</v>
      </c>
      <c r="V753" s="36">
        <v>0.6325</v>
      </c>
      <c r="W753" s="37" t="s">
        <v>780</v>
      </c>
      <c r="X753" s="31">
        <v>7.5</v>
      </c>
      <c r="Y753" s="36">
        <v>-0.692631317768005</v>
      </c>
      <c r="Z753" s="36">
        <v>1.250007927083333</v>
      </c>
      <c r="AA753" s="29" t="s">
        <v>820</v>
      </c>
      <c r="AB753" s="31">
        <v>4.51044273376</v>
      </c>
      <c r="AC753" s="38">
        <v>232.0</v>
      </c>
    </row>
    <row r="754" ht="14.25" customHeight="1">
      <c r="A754" s="29" t="s">
        <v>197</v>
      </c>
      <c r="B754" s="29">
        <v>18.0</v>
      </c>
      <c r="C754" s="29" t="s">
        <v>608</v>
      </c>
      <c r="D754" s="43" t="s">
        <v>1051</v>
      </c>
      <c r="E754" s="29">
        <v>40.0</v>
      </c>
      <c r="F754" s="30" t="s">
        <v>1052</v>
      </c>
      <c r="G754" s="29" t="s">
        <v>626</v>
      </c>
      <c r="H754" s="31">
        <f t="shared" si="125"/>
        <v>13.899</v>
      </c>
      <c r="I754" s="29" t="s">
        <v>612</v>
      </c>
      <c r="J754" s="32" t="s">
        <v>642</v>
      </c>
      <c r="K754" s="29" t="s">
        <v>698</v>
      </c>
      <c r="L754" s="29" t="s">
        <v>910</v>
      </c>
      <c r="M754" s="33">
        <v>13.017</v>
      </c>
      <c r="N754" s="33">
        <v>3.325</v>
      </c>
      <c r="O754" s="34" t="s">
        <v>601</v>
      </c>
      <c r="P754" s="32" t="s">
        <v>602</v>
      </c>
      <c r="Q754" s="35">
        <v>6.0</v>
      </c>
      <c r="R754" s="35">
        <v>6.0</v>
      </c>
      <c r="S754" s="36">
        <v>0.0</v>
      </c>
      <c r="T754" s="36">
        <v>0.4</v>
      </c>
      <c r="U754" s="36">
        <v>0.0</v>
      </c>
      <c r="V754" s="36">
        <v>0.6325</v>
      </c>
      <c r="W754" s="37" t="s">
        <v>780</v>
      </c>
      <c r="X754" s="31">
        <v>12.5</v>
      </c>
      <c r="Y754" s="36">
        <v>-8.262558973010657</v>
      </c>
      <c r="Z754" s="36">
        <v>0.4305671296296295</v>
      </c>
      <c r="AA754" s="29" t="s">
        <v>820</v>
      </c>
      <c r="AB754" s="31">
        <v>4.51044273376</v>
      </c>
      <c r="AC754" s="38">
        <v>232.0</v>
      </c>
    </row>
    <row r="755" ht="14.25" customHeight="1">
      <c r="A755" s="29" t="s">
        <v>197</v>
      </c>
      <c r="B755" s="29">
        <v>18.0</v>
      </c>
      <c r="C755" s="29" t="s">
        <v>608</v>
      </c>
      <c r="D755" s="29" t="s">
        <v>1053</v>
      </c>
      <c r="E755" s="29">
        <v>41.0</v>
      </c>
      <c r="F755" s="30" t="s">
        <v>1054</v>
      </c>
      <c r="G755" s="29" t="s">
        <v>626</v>
      </c>
      <c r="H755" s="31">
        <v>72.5</v>
      </c>
      <c r="I755" s="29" t="s">
        <v>612</v>
      </c>
      <c r="J755" s="32" t="s">
        <v>642</v>
      </c>
      <c r="K755" s="29" t="s">
        <v>698</v>
      </c>
      <c r="L755" s="29" t="s">
        <v>910</v>
      </c>
      <c r="M755" s="33">
        <v>13.017</v>
      </c>
      <c r="N755" s="33">
        <v>3.325</v>
      </c>
      <c r="O755" s="34" t="s">
        <v>601</v>
      </c>
      <c r="P755" s="32" t="s">
        <v>602</v>
      </c>
      <c r="Q755" s="35">
        <v>6.0</v>
      </c>
      <c r="R755" s="35">
        <v>6.0</v>
      </c>
      <c r="S755" s="36">
        <v>0.0</v>
      </c>
      <c r="T755" s="36">
        <v>0.4</v>
      </c>
      <c r="U755" s="36">
        <v>0.0</v>
      </c>
      <c r="V755" s="36">
        <v>0.6325</v>
      </c>
      <c r="W755" s="37" t="s">
        <v>780</v>
      </c>
      <c r="X755" s="31">
        <v>2.5</v>
      </c>
      <c r="Y755" s="36">
        <v>-8.262558973010657</v>
      </c>
      <c r="Z755" s="36">
        <v>0.4305671296296295</v>
      </c>
      <c r="AA755" s="29" t="s">
        <v>820</v>
      </c>
      <c r="AB755" s="31">
        <v>4.51044273376</v>
      </c>
      <c r="AC755" s="38">
        <v>232.0</v>
      </c>
    </row>
    <row r="756" ht="14.25" customHeight="1">
      <c r="A756" s="29" t="s">
        <v>197</v>
      </c>
      <c r="B756" s="29">
        <v>18.0</v>
      </c>
      <c r="C756" s="29" t="s">
        <v>608</v>
      </c>
      <c r="D756" s="29" t="s">
        <v>1053</v>
      </c>
      <c r="E756" s="29">
        <v>41.0</v>
      </c>
      <c r="F756" s="30" t="s">
        <v>1054</v>
      </c>
      <c r="G756" s="29" t="s">
        <v>626</v>
      </c>
      <c r="H756" s="31">
        <v>72.5</v>
      </c>
      <c r="I756" s="29" t="s">
        <v>612</v>
      </c>
      <c r="J756" s="32" t="s">
        <v>642</v>
      </c>
      <c r="K756" s="29" t="s">
        <v>698</v>
      </c>
      <c r="L756" s="29" t="s">
        <v>910</v>
      </c>
      <c r="M756" s="33">
        <v>13.017</v>
      </c>
      <c r="N756" s="33">
        <v>3.325</v>
      </c>
      <c r="O756" s="34" t="s">
        <v>601</v>
      </c>
      <c r="P756" s="32" t="s">
        <v>602</v>
      </c>
      <c r="Q756" s="35">
        <v>6.0</v>
      </c>
      <c r="R756" s="35">
        <v>6.0</v>
      </c>
      <c r="S756" s="36">
        <v>0.0</v>
      </c>
      <c r="T756" s="36">
        <v>0.4</v>
      </c>
      <c r="U756" s="36">
        <v>0.0</v>
      </c>
      <c r="V756" s="36">
        <v>0.6325</v>
      </c>
      <c r="W756" s="37" t="s">
        <v>780</v>
      </c>
      <c r="X756" s="31">
        <v>7.5</v>
      </c>
      <c r="Y756" s="36">
        <v>-8.262558973010657</v>
      </c>
      <c r="Z756" s="36">
        <v>0.4305671296296295</v>
      </c>
      <c r="AA756" s="29" t="s">
        <v>820</v>
      </c>
      <c r="AB756" s="31">
        <v>4.51044273376</v>
      </c>
      <c r="AC756" s="38">
        <v>232.0</v>
      </c>
    </row>
    <row r="757" ht="14.25" customHeight="1">
      <c r="A757" s="29" t="s">
        <v>197</v>
      </c>
      <c r="B757" s="29">
        <v>18.0</v>
      </c>
      <c r="C757" s="29" t="s">
        <v>608</v>
      </c>
      <c r="D757" s="29" t="s">
        <v>1053</v>
      </c>
      <c r="E757" s="29">
        <v>41.0</v>
      </c>
      <c r="F757" s="30" t="s">
        <v>1054</v>
      </c>
      <c r="G757" s="29" t="s">
        <v>626</v>
      </c>
      <c r="H757" s="31">
        <v>72.5</v>
      </c>
      <c r="I757" s="29" t="s">
        <v>612</v>
      </c>
      <c r="J757" s="32" t="s">
        <v>642</v>
      </c>
      <c r="K757" s="29" t="s">
        <v>698</v>
      </c>
      <c r="L757" s="29" t="s">
        <v>910</v>
      </c>
      <c r="M757" s="33">
        <v>13.017</v>
      </c>
      <c r="N757" s="33">
        <v>3.325</v>
      </c>
      <c r="O757" s="34" t="s">
        <v>601</v>
      </c>
      <c r="P757" s="32" t="s">
        <v>602</v>
      </c>
      <c r="Q757" s="35">
        <v>6.0</v>
      </c>
      <c r="R757" s="35">
        <v>6.0</v>
      </c>
      <c r="S757" s="36">
        <v>0.0</v>
      </c>
      <c r="T757" s="36">
        <v>0.4</v>
      </c>
      <c r="U757" s="36">
        <v>0.0</v>
      </c>
      <c r="V757" s="36">
        <v>0.6325</v>
      </c>
      <c r="W757" s="37" t="s">
        <v>780</v>
      </c>
      <c r="X757" s="31">
        <v>12.5</v>
      </c>
      <c r="Y757" s="36">
        <v>-8.262558973010657</v>
      </c>
      <c r="Z757" s="36">
        <v>0.4305671296296295</v>
      </c>
      <c r="AA757" s="29" t="s">
        <v>820</v>
      </c>
      <c r="AB757" s="31">
        <v>4.51044273376</v>
      </c>
      <c r="AC757" s="38">
        <v>232.0</v>
      </c>
    </row>
    <row r="758" ht="14.25" customHeight="1">
      <c r="A758" s="29" t="s">
        <v>197</v>
      </c>
      <c r="B758" s="29">
        <v>18.0</v>
      </c>
      <c r="C758" s="29" t="s">
        <v>608</v>
      </c>
      <c r="D758" s="29" t="s">
        <v>781</v>
      </c>
      <c r="E758" s="29">
        <v>136.0</v>
      </c>
      <c r="F758" s="30" t="s">
        <v>782</v>
      </c>
      <c r="G758" s="29" t="s">
        <v>626</v>
      </c>
      <c r="H758" s="31">
        <v>4.9</v>
      </c>
      <c r="I758" s="29" t="s">
        <v>597</v>
      </c>
      <c r="J758" s="32" t="s">
        <v>642</v>
      </c>
      <c r="K758" s="29" t="s">
        <v>698</v>
      </c>
      <c r="L758" s="29" t="s">
        <v>910</v>
      </c>
      <c r="M758" s="33">
        <v>13.017</v>
      </c>
      <c r="N758" s="33">
        <v>3.325</v>
      </c>
      <c r="O758" s="34" t="s">
        <v>601</v>
      </c>
      <c r="P758" s="32" t="s">
        <v>602</v>
      </c>
      <c r="Q758" s="35">
        <v>6.0</v>
      </c>
      <c r="R758" s="35">
        <v>6.0</v>
      </c>
      <c r="S758" s="36">
        <v>2.3</v>
      </c>
      <c r="T758" s="36">
        <v>2.2</v>
      </c>
      <c r="U758" s="36">
        <v>1.5166</v>
      </c>
      <c r="V758" s="36">
        <v>1.4832</v>
      </c>
      <c r="W758" s="37" t="s">
        <v>780</v>
      </c>
      <c r="X758" s="31">
        <v>2.5</v>
      </c>
      <c r="Y758" s="36">
        <v>0.044698512759952104</v>
      </c>
      <c r="Z758" s="36">
        <v>0.1482196693694116</v>
      </c>
      <c r="AA758" s="29" t="s">
        <v>820</v>
      </c>
      <c r="AB758" s="31">
        <v>4.51044273376</v>
      </c>
      <c r="AC758" s="38">
        <v>232.0</v>
      </c>
    </row>
    <row r="759" ht="14.25" customHeight="1">
      <c r="A759" s="29" t="s">
        <v>197</v>
      </c>
      <c r="B759" s="29">
        <v>18.0</v>
      </c>
      <c r="C759" s="29" t="s">
        <v>608</v>
      </c>
      <c r="D759" s="29" t="s">
        <v>781</v>
      </c>
      <c r="E759" s="29">
        <v>136.0</v>
      </c>
      <c r="F759" s="30" t="s">
        <v>782</v>
      </c>
      <c r="G759" s="29" t="s">
        <v>626</v>
      </c>
      <c r="H759" s="31">
        <v>4.9</v>
      </c>
      <c r="I759" s="29" t="s">
        <v>597</v>
      </c>
      <c r="J759" s="32" t="s">
        <v>642</v>
      </c>
      <c r="K759" s="29" t="s">
        <v>698</v>
      </c>
      <c r="L759" s="29" t="s">
        <v>910</v>
      </c>
      <c r="M759" s="33">
        <v>13.017</v>
      </c>
      <c r="N759" s="33">
        <v>3.325</v>
      </c>
      <c r="O759" s="34" t="s">
        <v>601</v>
      </c>
      <c r="P759" s="32" t="s">
        <v>602</v>
      </c>
      <c r="Q759" s="35">
        <v>6.0</v>
      </c>
      <c r="R759" s="35">
        <v>6.0</v>
      </c>
      <c r="S759" s="36">
        <v>2.3</v>
      </c>
      <c r="T759" s="36">
        <v>2.2</v>
      </c>
      <c r="U759" s="36">
        <v>1.5166</v>
      </c>
      <c r="V759" s="36">
        <v>1.4832</v>
      </c>
      <c r="W759" s="37" t="s">
        <v>780</v>
      </c>
      <c r="X759" s="31">
        <v>7.5</v>
      </c>
      <c r="Y759" s="36">
        <v>0.044698512759952104</v>
      </c>
      <c r="Z759" s="36">
        <v>0.1482196693694116</v>
      </c>
      <c r="AA759" s="29" t="s">
        <v>820</v>
      </c>
      <c r="AB759" s="31">
        <v>4.51044273376</v>
      </c>
      <c r="AC759" s="38">
        <v>232.0</v>
      </c>
    </row>
    <row r="760" ht="14.25" customHeight="1">
      <c r="A760" s="29" t="s">
        <v>197</v>
      </c>
      <c r="B760" s="29">
        <v>18.0</v>
      </c>
      <c r="C760" s="29" t="s">
        <v>608</v>
      </c>
      <c r="D760" s="29" t="s">
        <v>781</v>
      </c>
      <c r="E760" s="29">
        <v>136.0</v>
      </c>
      <c r="F760" s="30" t="s">
        <v>782</v>
      </c>
      <c r="G760" s="29" t="s">
        <v>626</v>
      </c>
      <c r="H760" s="31">
        <v>4.9</v>
      </c>
      <c r="I760" s="29" t="s">
        <v>597</v>
      </c>
      <c r="J760" s="32" t="s">
        <v>642</v>
      </c>
      <c r="K760" s="29" t="s">
        <v>698</v>
      </c>
      <c r="L760" s="29" t="s">
        <v>910</v>
      </c>
      <c r="M760" s="33">
        <v>13.017</v>
      </c>
      <c r="N760" s="33">
        <v>3.325</v>
      </c>
      <c r="O760" s="34" t="s">
        <v>601</v>
      </c>
      <c r="P760" s="32" t="s">
        <v>602</v>
      </c>
      <c r="Q760" s="35">
        <v>6.0</v>
      </c>
      <c r="R760" s="35">
        <v>6.0</v>
      </c>
      <c r="S760" s="36">
        <v>1.2</v>
      </c>
      <c r="T760" s="36">
        <v>2.2</v>
      </c>
      <c r="U760" s="36">
        <v>1.0954</v>
      </c>
      <c r="V760" s="36">
        <v>1.4832</v>
      </c>
      <c r="W760" s="37" t="s">
        <v>780</v>
      </c>
      <c r="X760" s="31">
        <v>12.5</v>
      </c>
      <c r="Y760" s="36">
        <v>-0.6056629191817342</v>
      </c>
      <c r="Z760" s="36">
        <v>0.21463096973523105</v>
      </c>
      <c r="AA760" s="29" t="s">
        <v>820</v>
      </c>
      <c r="AB760" s="31">
        <v>4.51044273376</v>
      </c>
      <c r="AC760" s="38">
        <v>232.0</v>
      </c>
    </row>
    <row r="761" ht="14.25" customHeight="1">
      <c r="A761" s="29" t="s">
        <v>202</v>
      </c>
      <c r="B761" s="29">
        <v>139.0</v>
      </c>
      <c r="C761" s="29" t="s">
        <v>608</v>
      </c>
      <c r="D761" s="29" t="s">
        <v>650</v>
      </c>
      <c r="E761" s="29">
        <v>70.0</v>
      </c>
      <c r="F761" s="30" t="s">
        <v>651</v>
      </c>
      <c r="G761" s="29" t="s">
        <v>615</v>
      </c>
      <c r="H761" s="31">
        <v>8.17</v>
      </c>
      <c r="I761" s="29" t="s">
        <v>616</v>
      </c>
      <c r="J761" s="32" t="s">
        <v>598</v>
      </c>
      <c r="K761" s="29" t="s">
        <v>840</v>
      </c>
      <c r="L761" s="29" t="s">
        <v>252</v>
      </c>
      <c r="M761" s="36">
        <v>-89.118</v>
      </c>
      <c r="N761" s="36">
        <v>16.371</v>
      </c>
      <c r="O761" s="34" t="s">
        <v>601</v>
      </c>
      <c r="P761" s="32" t="s">
        <v>602</v>
      </c>
      <c r="Q761" s="29">
        <v>1.0</v>
      </c>
      <c r="R761" s="29">
        <v>1.0</v>
      </c>
      <c r="S761" s="36">
        <v>166.39</v>
      </c>
      <c r="T761" s="36">
        <v>16.22</v>
      </c>
      <c r="U761" s="36">
        <f t="shared" ref="U761:V761" si="126">SQRT(S761)</f>
        <v>12.89922478</v>
      </c>
      <c r="V761" s="36">
        <f t="shared" si="126"/>
        <v>4.027406113</v>
      </c>
      <c r="W761" s="37" t="s">
        <v>1055</v>
      </c>
      <c r="X761" s="31">
        <v>1.05</v>
      </c>
      <c r="Y761" s="36">
        <v>2.328114531532203</v>
      </c>
      <c r="Z761" s="36">
        <v>0.06766225769549339</v>
      </c>
      <c r="AA761" s="29" t="s">
        <v>820</v>
      </c>
      <c r="AB761" s="31">
        <v>3.96</v>
      </c>
      <c r="AC761" s="38">
        <v>559.76</v>
      </c>
    </row>
    <row r="762" ht="14.25" customHeight="1">
      <c r="A762" s="29" t="s">
        <v>202</v>
      </c>
      <c r="B762" s="29">
        <v>139.0</v>
      </c>
      <c r="C762" s="29" t="s">
        <v>608</v>
      </c>
      <c r="D762" s="29" t="s">
        <v>961</v>
      </c>
      <c r="E762" s="29">
        <v>73.0</v>
      </c>
      <c r="F762" s="30" t="s">
        <v>962</v>
      </c>
      <c r="G762" s="29" t="s">
        <v>615</v>
      </c>
      <c r="H762" s="31">
        <v>2.67</v>
      </c>
      <c r="I762" s="29" t="s">
        <v>616</v>
      </c>
      <c r="J762" s="32" t="s">
        <v>598</v>
      </c>
      <c r="K762" s="29" t="s">
        <v>840</v>
      </c>
      <c r="L762" s="29" t="s">
        <v>252</v>
      </c>
      <c r="M762" s="36">
        <v>-89.118</v>
      </c>
      <c r="N762" s="36">
        <v>16.371</v>
      </c>
      <c r="O762" s="34" t="s">
        <v>601</v>
      </c>
      <c r="P762" s="32" t="s">
        <v>602</v>
      </c>
      <c r="Q762" s="29">
        <v>1.0</v>
      </c>
      <c r="R762" s="29">
        <v>1.0</v>
      </c>
      <c r="S762" s="36">
        <v>507.79</v>
      </c>
      <c r="T762" s="36">
        <v>5.22</v>
      </c>
      <c r="U762" s="36">
        <f t="shared" ref="U762:V762" si="127">SQRT(S762)</f>
        <v>22.53419624</v>
      </c>
      <c r="V762" s="36">
        <f t="shared" si="127"/>
        <v>2.284731932</v>
      </c>
      <c r="W762" s="37" t="s">
        <v>1055</v>
      </c>
      <c r="X762" s="31">
        <v>1.05</v>
      </c>
      <c r="Y762" s="36">
        <v>4.577573226563697</v>
      </c>
      <c r="Z762" s="36">
        <v>0.1935401992512215</v>
      </c>
      <c r="AA762" s="29" t="s">
        <v>820</v>
      </c>
      <c r="AB762" s="31">
        <v>3.96</v>
      </c>
      <c r="AC762" s="38">
        <v>559.76</v>
      </c>
    </row>
    <row r="763" ht="14.25" customHeight="1">
      <c r="A763" s="29" t="s">
        <v>202</v>
      </c>
      <c r="B763" s="29">
        <v>139.0</v>
      </c>
      <c r="C763" s="29" t="s">
        <v>608</v>
      </c>
      <c r="D763" s="29" t="s">
        <v>1056</v>
      </c>
      <c r="E763" s="29">
        <v>203.0</v>
      </c>
      <c r="F763" s="30" t="s">
        <v>1057</v>
      </c>
      <c r="G763" s="29" t="s">
        <v>656</v>
      </c>
      <c r="H763" s="31">
        <v>1.43</v>
      </c>
      <c r="I763" s="29" t="s">
        <v>657</v>
      </c>
      <c r="J763" s="32" t="s">
        <v>598</v>
      </c>
      <c r="K763" s="29" t="s">
        <v>840</v>
      </c>
      <c r="L763" s="29" t="s">
        <v>252</v>
      </c>
      <c r="M763" s="36">
        <v>-89.118</v>
      </c>
      <c r="N763" s="36">
        <v>16.371</v>
      </c>
      <c r="O763" s="34" t="s">
        <v>601</v>
      </c>
      <c r="P763" s="32" t="s">
        <v>602</v>
      </c>
      <c r="Q763" s="29">
        <v>1.0</v>
      </c>
      <c r="R763" s="29">
        <v>1.0</v>
      </c>
      <c r="S763" s="36">
        <v>29.9656357388316</v>
      </c>
      <c r="T763" s="36">
        <v>5.2233676975945</v>
      </c>
      <c r="U763" s="36">
        <f t="shared" ref="U763:V763" si="128">SQRT(S763)</f>
        <v>5.474087663</v>
      </c>
      <c r="V763" s="36">
        <f t="shared" si="128"/>
        <v>2.285468814</v>
      </c>
      <c r="W763" s="37" t="s">
        <v>1055</v>
      </c>
      <c r="X763" s="31">
        <v>1.05</v>
      </c>
      <c r="Y763" s="36">
        <v>1.7469538741687751</v>
      </c>
      <c r="Z763" s="36">
        <v>0.22481892805408027</v>
      </c>
      <c r="AA763" s="29" t="s">
        <v>820</v>
      </c>
      <c r="AB763" s="31">
        <v>3.96</v>
      </c>
      <c r="AC763" s="38">
        <v>559.76</v>
      </c>
    </row>
    <row r="764" ht="14.25" customHeight="1">
      <c r="A764" s="29" t="s">
        <v>202</v>
      </c>
      <c r="B764" s="29">
        <v>139.0</v>
      </c>
      <c r="C764" s="29" t="s">
        <v>608</v>
      </c>
      <c r="D764" s="29" t="s">
        <v>675</v>
      </c>
      <c r="E764" s="29">
        <v>204.0</v>
      </c>
      <c r="F764" s="30" t="s">
        <v>676</v>
      </c>
      <c r="G764" s="29" t="s">
        <v>629</v>
      </c>
      <c r="H764" s="31">
        <v>3.91</v>
      </c>
      <c r="I764" s="29" t="s">
        <v>657</v>
      </c>
      <c r="J764" s="32" t="s">
        <v>598</v>
      </c>
      <c r="K764" s="29" t="s">
        <v>840</v>
      </c>
      <c r="L764" s="29" t="s">
        <v>252</v>
      </c>
      <c r="M764" s="36">
        <v>-89.118</v>
      </c>
      <c r="N764" s="36">
        <v>16.371</v>
      </c>
      <c r="O764" s="34" t="s">
        <v>601</v>
      </c>
      <c r="P764" s="32" t="s">
        <v>602</v>
      </c>
      <c r="Q764" s="29">
        <v>1.0</v>
      </c>
      <c r="R764" s="29">
        <v>1.0</v>
      </c>
      <c r="S764" s="36">
        <v>2.74914089347079</v>
      </c>
      <c r="T764" s="36">
        <v>5.49828178694158</v>
      </c>
      <c r="U764" s="36">
        <f t="shared" ref="U764:V764" si="129">SQRT(S764)</f>
        <v>1.658053345</v>
      </c>
      <c r="V764" s="36">
        <f t="shared" si="129"/>
        <v>2.344841527</v>
      </c>
      <c r="W764" s="37" t="s">
        <v>1055</v>
      </c>
      <c r="X764" s="31">
        <v>1.05</v>
      </c>
      <c r="Y764" s="36">
        <v>-0.692631317768005</v>
      </c>
      <c r="Z764" s="36">
        <v>0.545625</v>
      </c>
      <c r="AA764" s="29" t="s">
        <v>820</v>
      </c>
      <c r="AB764" s="31">
        <v>3.96</v>
      </c>
      <c r="AC764" s="38">
        <v>559.76</v>
      </c>
    </row>
    <row r="765" ht="14.25" customHeight="1">
      <c r="A765" s="29" t="s">
        <v>202</v>
      </c>
      <c r="B765" s="29">
        <v>139.0</v>
      </c>
      <c r="C765" s="29" t="s">
        <v>608</v>
      </c>
      <c r="D765" s="29" t="s">
        <v>975</v>
      </c>
      <c r="E765" s="29">
        <v>206.0</v>
      </c>
      <c r="F765" s="30" t="s">
        <v>976</v>
      </c>
      <c r="G765" s="29" t="s">
        <v>629</v>
      </c>
      <c r="H765" s="31">
        <v>3.25</v>
      </c>
      <c r="I765" s="29" t="s">
        <v>657</v>
      </c>
      <c r="J765" s="32" t="s">
        <v>598</v>
      </c>
      <c r="K765" s="29" t="s">
        <v>840</v>
      </c>
      <c r="L765" s="29" t="s">
        <v>252</v>
      </c>
      <c r="M765" s="36">
        <v>-89.118</v>
      </c>
      <c r="N765" s="36">
        <v>16.371</v>
      </c>
      <c r="O765" s="34" t="s">
        <v>601</v>
      </c>
      <c r="P765" s="32" t="s">
        <v>602</v>
      </c>
      <c r="Q765" s="29">
        <v>1.0</v>
      </c>
      <c r="R765" s="29">
        <v>1.0</v>
      </c>
      <c r="S765" s="36">
        <v>5.2233676975945</v>
      </c>
      <c r="T765" s="36">
        <v>2.74914089347079</v>
      </c>
      <c r="U765" s="36">
        <f t="shared" ref="U765:V765" si="130">SQRT(S765)</f>
        <v>2.285468814</v>
      </c>
      <c r="V765" s="36">
        <f t="shared" si="130"/>
        <v>1.658053345</v>
      </c>
      <c r="W765" s="37" t="s">
        <v>1055</v>
      </c>
      <c r="X765" s="31">
        <v>1.05</v>
      </c>
      <c r="Y765" s="36">
        <v>0.6419896653413631</v>
      </c>
      <c r="Z765" s="36">
        <v>0.5551973684210528</v>
      </c>
      <c r="AA765" s="29" t="s">
        <v>820</v>
      </c>
      <c r="AB765" s="31">
        <v>3.96</v>
      </c>
      <c r="AC765" s="38">
        <v>559.76</v>
      </c>
    </row>
    <row r="766" ht="14.25" customHeight="1">
      <c r="A766" s="29" t="s">
        <v>202</v>
      </c>
      <c r="B766" s="29">
        <v>139.0</v>
      </c>
      <c r="C766" s="29" t="s">
        <v>608</v>
      </c>
      <c r="D766" s="29" t="s">
        <v>677</v>
      </c>
      <c r="E766" s="29">
        <v>100.0</v>
      </c>
      <c r="F766" s="30" t="s">
        <v>678</v>
      </c>
      <c r="G766" s="29" t="s">
        <v>626</v>
      </c>
      <c r="H766" s="31">
        <v>22.8</v>
      </c>
      <c r="I766" s="29" t="s">
        <v>612</v>
      </c>
      <c r="J766" s="32" t="s">
        <v>598</v>
      </c>
      <c r="K766" s="29" t="s">
        <v>840</v>
      </c>
      <c r="L766" s="29" t="s">
        <v>252</v>
      </c>
      <c r="M766" s="36">
        <v>-89.118</v>
      </c>
      <c r="N766" s="36">
        <v>16.371</v>
      </c>
      <c r="O766" s="34" t="s">
        <v>601</v>
      </c>
      <c r="P766" s="32" t="s">
        <v>602</v>
      </c>
      <c r="Q766" s="29">
        <v>1.0</v>
      </c>
      <c r="R766" s="29">
        <v>1.0</v>
      </c>
      <c r="S766" s="36">
        <v>32.7147766323024</v>
      </c>
      <c r="T766" s="36">
        <v>16.2199312714776</v>
      </c>
      <c r="U766" s="36">
        <f t="shared" ref="U766:V766" si="131">SQRT(S766)</f>
        <v>5.719683263</v>
      </c>
      <c r="V766" s="36">
        <f t="shared" si="131"/>
        <v>4.027397581</v>
      </c>
      <c r="W766" s="37" t="s">
        <v>1055</v>
      </c>
      <c r="X766" s="31">
        <v>1.05</v>
      </c>
      <c r="Y766" s="36">
        <v>0.7017139559684621</v>
      </c>
      <c r="Z766" s="36">
        <v>0.0922197692636379</v>
      </c>
      <c r="AA766" s="29" t="s">
        <v>820</v>
      </c>
      <c r="AB766" s="31">
        <v>3.96</v>
      </c>
      <c r="AC766" s="38">
        <v>559.76</v>
      </c>
    </row>
    <row r="767" ht="14.25" customHeight="1">
      <c r="A767" s="29" t="s">
        <v>202</v>
      </c>
      <c r="B767" s="29">
        <v>139.0</v>
      </c>
      <c r="C767" s="29" t="s">
        <v>608</v>
      </c>
      <c r="D767" s="29" t="s">
        <v>853</v>
      </c>
      <c r="E767" s="29">
        <v>110.0</v>
      </c>
      <c r="F767" s="30" t="s">
        <v>854</v>
      </c>
      <c r="G767" s="29" t="s">
        <v>629</v>
      </c>
      <c r="H767" s="31">
        <v>4.03</v>
      </c>
      <c r="I767" s="29" t="s">
        <v>597</v>
      </c>
      <c r="J767" s="32" t="s">
        <v>598</v>
      </c>
      <c r="K767" s="29" t="s">
        <v>840</v>
      </c>
      <c r="L767" s="29" t="s">
        <v>252</v>
      </c>
      <c r="M767" s="36">
        <v>-89.118</v>
      </c>
      <c r="N767" s="36">
        <v>16.371</v>
      </c>
      <c r="O767" s="34" t="s">
        <v>601</v>
      </c>
      <c r="P767" s="32" t="s">
        <v>602</v>
      </c>
      <c r="Q767" s="29">
        <v>1.0</v>
      </c>
      <c r="R767" s="29">
        <v>1.0</v>
      </c>
      <c r="S767" s="36">
        <v>2.74914089347079</v>
      </c>
      <c r="T767" s="36">
        <v>37.6632302405498</v>
      </c>
      <c r="U767" s="36">
        <f t="shared" ref="U767:V767" si="132">SQRT(S767)</f>
        <v>1.658053345</v>
      </c>
      <c r="V767" s="36">
        <f t="shared" si="132"/>
        <v>6.137037579</v>
      </c>
      <c r="W767" s="37" t="s">
        <v>1055</v>
      </c>
      <c r="X767" s="31">
        <v>1.05</v>
      </c>
      <c r="Y767" s="36">
        <v>-2.6138674930288293</v>
      </c>
      <c r="Z767" s="36">
        <v>0.390301094890511</v>
      </c>
      <c r="AA767" s="29" t="s">
        <v>820</v>
      </c>
      <c r="AB767" s="31">
        <v>3.96</v>
      </c>
      <c r="AC767" s="38">
        <v>559.76</v>
      </c>
    </row>
    <row r="768" ht="14.25" customHeight="1">
      <c r="A768" s="29" t="s">
        <v>202</v>
      </c>
      <c r="B768" s="29">
        <v>139.0</v>
      </c>
      <c r="C768" s="29" t="s">
        <v>608</v>
      </c>
      <c r="D768" s="29" t="s">
        <v>630</v>
      </c>
      <c r="E768" s="29">
        <v>129.0</v>
      </c>
      <c r="F768" s="30" t="s">
        <v>631</v>
      </c>
      <c r="G768" s="29" t="s">
        <v>626</v>
      </c>
      <c r="H768" s="31">
        <v>21.27</v>
      </c>
      <c r="I768" s="29" t="s">
        <v>612</v>
      </c>
      <c r="J768" s="32" t="s">
        <v>598</v>
      </c>
      <c r="K768" s="29" t="s">
        <v>840</v>
      </c>
      <c r="L768" s="29" t="s">
        <v>252</v>
      </c>
      <c r="M768" s="36">
        <v>-89.118</v>
      </c>
      <c r="N768" s="36">
        <v>16.371</v>
      </c>
      <c r="O768" s="34" t="s">
        <v>601</v>
      </c>
      <c r="P768" s="32" t="s">
        <v>602</v>
      </c>
      <c r="Q768" s="29">
        <v>1.0</v>
      </c>
      <c r="R768" s="29">
        <v>1.0</v>
      </c>
      <c r="S768" s="36">
        <v>16.2199312714776</v>
      </c>
      <c r="T768" s="36">
        <v>13.4707903780068</v>
      </c>
      <c r="U768" s="36">
        <f t="shared" ref="U768:V768" si="133">SQRT(S768)</f>
        <v>4.027397581</v>
      </c>
      <c r="V768" s="36">
        <f t="shared" si="133"/>
        <v>3.670257536</v>
      </c>
      <c r="W768" s="37" t="s">
        <v>1055</v>
      </c>
      <c r="X768" s="31">
        <v>1.05</v>
      </c>
      <c r="Y768" s="36">
        <v>0.1859313923149544</v>
      </c>
      <c r="Z768" s="36">
        <v>0.13588723625043303</v>
      </c>
      <c r="AA768" s="29" t="s">
        <v>820</v>
      </c>
      <c r="AB768" s="31">
        <v>3.96</v>
      </c>
      <c r="AC768" s="38">
        <v>559.76</v>
      </c>
    </row>
    <row r="769" ht="14.25" customHeight="1">
      <c r="A769" s="29" t="s">
        <v>202</v>
      </c>
      <c r="B769" s="29">
        <v>139.0</v>
      </c>
      <c r="C769" s="29" t="s">
        <v>608</v>
      </c>
      <c r="D769" s="29" t="s">
        <v>968</v>
      </c>
      <c r="E769" s="29">
        <v>186.0</v>
      </c>
      <c r="F769" s="30" t="s">
        <v>969</v>
      </c>
      <c r="G769" s="29" t="s">
        <v>695</v>
      </c>
      <c r="H769" s="31">
        <v>4.21</v>
      </c>
      <c r="I769" s="29" t="s">
        <v>620</v>
      </c>
      <c r="J769" s="32" t="s">
        <v>598</v>
      </c>
      <c r="K769" s="29" t="s">
        <v>840</v>
      </c>
      <c r="L769" s="29" t="s">
        <v>252</v>
      </c>
      <c r="M769" s="36">
        <v>-89.118</v>
      </c>
      <c r="N769" s="36">
        <v>16.371</v>
      </c>
      <c r="O769" s="34" t="s">
        <v>601</v>
      </c>
      <c r="P769" s="32" t="s">
        <v>602</v>
      </c>
      <c r="Q769" s="29">
        <v>1.0</v>
      </c>
      <c r="R769" s="29">
        <v>1.0</v>
      </c>
      <c r="S769" s="36">
        <v>0.0</v>
      </c>
      <c r="T769" s="36">
        <v>2.74914089347079</v>
      </c>
      <c r="U769" s="36">
        <f t="shared" ref="U769:V769" si="134">SQRT(S769)</f>
        <v>0</v>
      </c>
      <c r="V769" s="36">
        <f t="shared" si="134"/>
        <v>1.658053345</v>
      </c>
      <c r="W769" s="37" t="s">
        <v>1055</v>
      </c>
      <c r="X769" s="31">
        <v>1.05</v>
      </c>
      <c r="Y769" s="36">
        <v>-8.262558973010657</v>
      </c>
      <c r="Z769" s="36">
        <v>1.4411509949825785</v>
      </c>
      <c r="AA769" s="29" t="s">
        <v>820</v>
      </c>
      <c r="AB769" s="31">
        <v>3.96</v>
      </c>
      <c r="AC769" s="38">
        <v>559.76</v>
      </c>
    </row>
    <row r="770" ht="14.25" customHeight="1">
      <c r="A770" s="29" t="s">
        <v>202</v>
      </c>
      <c r="B770" s="29">
        <v>139.0</v>
      </c>
      <c r="C770" s="29" t="s">
        <v>608</v>
      </c>
      <c r="D770" s="29" t="s">
        <v>639</v>
      </c>
      <c r="E770" s="29">
        <v>190.0</v>
      </c>
      <c r="F770" s="30" t="s">
        <v>640</v>
      </c>
      <c r="G770" s="29" t="s">
        <v>626</v>
      </c>
      <c r="H770" s="31">
        <v>32.23</v>
      </c>
      <c r="I770" s="29" t="s">
        <v>597</v>
      </c>
      <c r="J770" s="32" t="s">
        <v>598</v>
      </c>
      <c r="K770" s="29" t="s">
        <v>840</v>
      </c>
      <c r="L770" s="29" t="s">
        <v>252</v>
      </c>
      <c r="M770" s="36">
        <v>-89.118</v>
      </c>
      <c r="N770" s="36">
        <v>16.371</v>
      </c>
      <c r="O770" s="34" t="s">
        <v>601</v>
      </c>
      <c r="P770" s="32" t="s">
        <v>602</v>
      </c>
      <c r="Q770" s="29">
        <v>1.0</v>
      </c>
      <c r="R770" s="29">
        <v>1.0</v>
      </c>
      <c r="S770" s="36">
        <v>0.0</v>
      </c>
      <c r="T770" s="36">
        <v>460.44</v>
      </c>
      <c r="U770" s="36">
        <f t="shared" ref="U770:V770" si="135">SQRT(S770)</f>
        <v>0</v>
      </c>
      <c r="V770" s="36">
        <f t="shared" si="135"/>
        <v>21.45786569</v>
      </c>
      <c r="W770" s="37" t="s">
        <v>1055</v>
      </c>
      <c r="X770" s="31">
        <v>1.05</v>
      </c>
      <c r="Y770" s="36">
        <v>-8.262558973010657</v>
      </c>
      <c r="Z770" s="36">
        <v>1.0022692975991285</v>
      </c>
      <c r="AA770" s="29" t="s">
        <v>820</v>
      </c>
      <c r="AB770" s="31">
        <v>3.96</v>
      </c>
      <c r="AC770" s="38">
        <v>559.76</v>
      </c>
    </row>
    <row r="771" ht="14.25" customHeight="1">
      <c r="A771" s="29" t="s">
        <v>202</v>
      </c>
      <c r="B771" s="29">
        <v>139.0</v>
      </c>
      <c r="C771" s="29" t="s">
        <v>608</v>
      </c>
      <c r="D771" s="29" t="s">
        <v>650</v>
      </c>
      <c r="E771" s="29">
        <v>70.0</v>
      </c>
      <c r="F771" s="30" t="s">
        <v>651</v>
      </c>
      <c r="G771" s="29" t="s">
        <v>615</v>
      </c>
      <c r="H771" s="31">
        <v>8.17</v>
      </c>
      <c r="I771" s="29" t="s">
        <v>616</v>
      </c>
      <c r="J771" s="32" t="s">
        <v>598</v>
      </c>
      <c r="K771" s="29" t="s">
        <v>840</v>
      </c>
      <c r="L771" s="29" t="s">
        <v>252</v>
      </c>
      <c r="M771" s="36">
        <v>-88.991</v>
      </c>
      <c r="N771" s="36">
        <v>16.697</v>
      </c>
      <c r="O771" s="34" t="s">
        <v>601</v>
      </c>
      <c r="P771" s="32" t="s">
        <v>602</v>
      </c>
      <c r="Q771" s="29">
        <v>1.0</v>
      </c>
      <c r="R771" s="29">
        <v>1.0</v>
      </c>
      <c r="S771" s="36">
        <v>3.57</v>
      </c>
      <c r="T771" s="36">
        <v>16.22</v>
      </c>
      <c r="U771" s="36">
        <f t="shared" ref="U771:V771" si="136">SQRT(S771)</f>
        <v>1.889444363</v>
      </c>
      <c r="V771" s="36">
        <f t="shared" si="136"/>
        <v>4.027406113</v>
      </c>
      <c r="W771" s="37" t="s">
        <v>1055</v>
      </c>
      <c r="X771" s="31">
        <v>11.676</v>
      </c>
      <c r="Y771" s="36">
        <v>-1.512507947073577</v>
      </c>
      <c r="Z771" s="36">
        <v>0.34176432595232914</v>
      </c>
      <c r="AA771" s="29" t="s">
        <v>820</v>
      </c>
      <c r="AB771" s="31">
        <v>4.4</v>
      </c>
      <c r="AC771" s="38">
        <v>348.0</v>
      </c>
    </row>
    <row r="772" ht="14.25" customHeight="1">
      <c r="A772" s="29" t="s">
        <v>202</v>
      </c>
      <c r="B772" s="29">
        <v>139.0</v>
      </c>
      <c r="C772" s="29" t="s">
        <v>608</v>
      </c>
      <c r="D772" s="29" t="s">
        <v>961</v>
      </c>
      <c r="E772" s="29">
        <v>73.0</v>
      </c>
      <c r="F772" s="30" t="s">
        <v>962</v>
      </c>
      <c r="G772" s="29" t="s">
        <v>615</v>
      </c>
      <c r="H772" s="31">
        <v>2.67</v>
      </c>
      <c r="I772" s="29" t="s">
        <v>616</v>
      </c>
      <c r="J772" s="32" t="s">
        <v>598</v>
      </c>
      <c r="K772" s="29" t="s">
        <v>840</v>
      </c>
      <c r="L772" s="29" t="s">
        <v>252</v>
      </c>
      <c r="M772" s="36">
        <v>-88.991</v>
      </c>
      <c r="N772" s="36">
        <v>16.697</v>
      </c>
      <c r="O772" s="34" t="s">
        <v>601</v>
      </c>
      <c r="P772" s="32" t="s">
        <v>602</v>
      </c>
      <c r="Q772" s="29">
        <v>1.0</v>
      </c>
      <c r="R772" s="29">
        <v>1.0</v>
      </c>
      <c r="S772" s="36">
        <v>0.0</v>
      </c>
      <c r="T772" s="36">
        <v>5.22</v>
      </c>
      <c r="U772" s="36">
        <f t="shared" ref="U772:V772" si="137">SQRT(S772)</f>
        <v>0</v>
      </c>
      <c r="V772" s="36">
        <f t="shared" si="137"/>
        <v>2.284731932</v>
      </c>
      <c r="W772" s="37" t="s">
        <v>1055</v>
      </c>
      <c r="X772" s="31">
        <v>11.676</v>
      </c>
      <c r="Y772" s="36">
        <v>-8.262558973010657</v>
      </c>
      <c r="Z772" s="36">
        <v>1.237014399596532</v>
      </c>
      <c r="AA772" s="29" t="s">
        <v>820</v>
      </c>
      <c r="AB772" s="31">
        <v>4.4</v>
      </c>
      <c r="AC772" s="38">
        <v>348.0</v>
      </c>
    </row>
    <row r="773" ht="14.25" customHeight="1">
      <c r="A773" s="29" t="s">
        <v>202</v>
      </c>
      <c r="B773" s="29">
        <v>139.0</v>
      </c>
      <c r="C773" s="29" t="s">
        <v>608</v>
      </c>
      <c r="D773" s="29" t="s">
        <v>1056</v>
      </c>
      <c r="E773" s="29">
        <v>203.0</v>
      </c>
      <c r="F773" s="30" t="s">
        <v>1057</v>
      </c>
      <c r="G773" s="29" t="s">
        <v>656</v>
      </c>
      <c r="H773" s="31">
        <v>1.43</v>
      </c>
      <c r="I773" s="29" t="s">
        <v>657</v>
      </c>
      <c r="J773" s="32" t="s">
        <v>598</v>
      </c>
      <c r="K773" s="29" t="s">
        <v>840</v>
      </c>
      <c r="L773" s="29" t="s">
        <v>252</v>
      </c>
      <c r="M773" s="36">
        <v>-88.991</v>
      </c>
      <c r="N773" s="36">
        <v>16.697</v>
      </c>
      <c r="O773" s="34" t="s">
        <v>601</v>
      </c>
      <c r="P773" s="32" t="s">
        <v>602</v>
      </c>
      <c r="Q773" s="29">
        <v>1.0</v>
      </c>
      <c r="R773" s="29">
        <v>1.0</v>
      </c>
      <c r="S773" s="36">
        <v>3.57388316151202</v>
      </c>
      <c r="T773" s="36">
        <v>5.2233676975945</v>
      </c>
      <c r="U773" s="36">
        <f t="shared" ref="U773:V773" si="138">SQRT(S773)</f>
        <v>1.890471677</v>
      </c>
      <c r="V773" s="36">
        <f t="shared" si="138"/>
        <v>2.285468814</v>
      </c>
      <c r="W773" s="37" t="s">
        <v>1055</v>
      </c>
      <c r="X773" s="31">
        <v>11.676</v>
      </c>
      <c r="Y773" s="36">
        <v>-0.3791126188729189</v>
      </c>
      <c r="Z773" s="36">
        <v>0.4712550607287457</v>
      </c>
      <c r="AA773" s="29" t="s">
        <v>820</v>
      </c>
      <c r="AB773" s="31">
        <v>4.4</v>
      </c>
      <c r="AC773" s="38">
        <v>348.0</v>
      </c>
    </row>
    <row r="774" ht="14.25" customHeight="1">
      <c r="A774" s="29" t="s">
        <v>202</v>
      </c>
      <c r="B774" s="29">
        <v>139.0</v>
      </c>
      <c r="C774" s="29" t="s">
        <v>608</v>
      </c>
      <c r="D774" s="29" t="s">
        <v>675</v>
      </c>
      <c r="E774" s="29">
        <v>204.0</v>
      </c>
      <c r="F774" s="30" t="s">
        <v>676</v>
      </c>
      <c r="G774" s="29" t="s">
        <v>629</v>
      </c>
      <c r="H774" s="31">
        <v>3.91</v>
      </c>
      <c r="I774" s="29" t="s">
        <v>657</v>
      </c>
      <c r="J774" s="32" t="s">
        <v>598</v>
      </c>
      <c r="K774" s="29" t="s">
        <v>840</v>
      </c>
      <c r="L774" s="29" t="s">
        <v>252</v>
      </c>
      <c r="M774" s="36">
        <v>-88.991</v>
      </c>
      <c r="N774" s="36">
        <v>16.697</v>
      </c>
      <c r="O774" s="34" t="s">
        <v>601</v>
      </c>
      <c r="P774" s="32" t="s">
        <v>602</v>
      </c>
      <c r="Q774" s="29">
        <v>1.0</v>
      </c>
      <c r="R774" s="29">
        <v>1.0</v>
      </c>
      <c r="S774" s="36">
        <v>27.4914089347079</v>
      </c>
      <c r="T774" s="36">
        <v>5.49828178694158</v>
      </c>
      <c r="U774" s="36">
        <f t="shared" ref="U774:V774" si="139">SQRT(S774)</f>
        <v>5.243225051</v>
      </c>
      <c r="V774" s="36">
        <f t="shared" si="139"/>
        <v>2.344841527</v>
      </c>
      <c r="W774" s="37" t="s">
        <v>1055</v>
      </c>
      <c r="X774" s="31">
        <v>11.676</v>
      </c>
      <c r="Y774" s="36">
        <v>1.6094895106900908</v>
      </c>
      <c r="Z774" s="36">
        <v>0.21825</v>
      </c>
      <c r="AA774" s="29" t="s">
        <v>820</v>
      </c>
      <c r="AB774" s="31">
        <v>4.4</v>
      </c>
      <c r="AC774" s="38">
        <v>348.0</v>
      </c>
    </row>
    <row r="775" ht="14.25" customHeight="1">
      <c r="A775" s="29" t="s">
        <v>202</v>
      </c>
      <c r="B775" s="29">
        <v>139.0</v>
      </c>
      <c r="C775" s="29" t="s">
        <v>608</v>
      </c>
      <c r="D775" s="29" t="s">
        <v>975</v>
      </c>
      <c r="E775" s="29">
        <v>206.0</v>
      </c>
      <c r="F775" s="30" t="s">
        <v>976</v>
      </c>
      <c r="G775" s="29" t="s">
        <v>629</v>
      </c>
      <c r="H775" s="31">
        <v>3.25</v>
      </c>
      <c r="I775" s="29" t="s">
        <v>657</v>
      </c>
      <c r="J775" s="32" t="s">
        <v>598</v>
      </c>
      <c r="K775" s="29" t="s">
        <v>840</v>
      </c>
      <c r="L775" s="29" t="s">
        <v>252</v>
      </c>
      <c r="M775" s="36">
        <v>-88.991</v>
      </c>
      <c r="N775" s="36">
        <v>16.697</v>
      </c>
      <c r="O775" s="34" t="s">
        <v>601</v>
      </c>
      <c r="P775" s="32" t="s">
        <v>602</v>
      </c>
      <c r="Q775" s="29">
        <v>1.0</v>
      </c>
      <c r="R775" s="29">
        <v>1.0</v>
      </c>
      <c r="S775" s="36">
        <v>0.0</v>
      </c>
      <c r="T775" s="36">
        <v>2.74914089347079</v>
      </c>
      <c r="U775" s="36">
        <f t="shared" ref="U775:V775" si="140">SQRT(S775)</f>
        <v>0</v>
      </c>
      <c r="V775" s="36">
        <f t="shared" si="140"/>
        <v>1.658053345</v>
      </c>
      <c r="W775" s="37" t="s">
        <v>1055</v>
      </c>
      <c r="X775" s="31">
        <v>11.676</v>
      </c>
      <c r="Y775" s="36">
        <v>-8.262558973010657</v>
      </c>
      <c r="Z775" s="36">
        <v>1.4411509949825785</v>
      </c>
      <c r="AA775" s="29" t="s">
        <v>820</v>
      </c>
      <c r="AB775" s="31">
        <v>4.4</v>
      </c>
      <c r="AC775" s="38">
        <v>348.0</v>
      </c>
    </row>
    <row r="776" ht="14.25" customHeight="1">
      <c r="A776" s="29" t="s">
        <v>202</v>
      </c>
      <c r="B776" s="29">
        <v>139.0</v>
      </c>
      <c r="C776" s="29" t="s">
        <v>608</v>
      </c>
      <c r="D776" s="29" t="s">
        <v>677</v>
      </c>
      <c r="E776" s="29">
        <v>100.0</v>
      </c>
      <c r="F776" s="30" t="s">
        <v>678</v>
      </c>
      <c r="G776" s="29" t="s">
        <v>626</v>
      </c>
      <c r="H776" s="31">
        <v>22.8</v>
      </c>
      <c r="I776" s="29" t="s">
        <v>612</v>
      </c>
      <c r="J776" s="32" t="s">
        <v>598</v>
      </c>
      <c r="K776" s="29" t="s">
        <v>840</v>
      </c>
      <c r="L776" s="29" t="s">
        <v>252</v>
      </c>
      <c r="M776" s="36">
        <v>-88.991</v>
      </c>
      <c r="N776" s="36">
        <v>16.697</v>
      </c>
      <c r="O776" s="34" t="s">
        <v>601</v>
      </c>
      <c r="P776" s="32" t="s">
        <v>602</v>
      </c>
      <c r="Q776" s="29">
        <v>1.0</v>
      </c>
      <c r="R776" s="29">
        <v>1.0</v>
      </c>
      <c r="S776" s="36">
        <v>0.274914089347076</v>
      </c>
      <c r="T776" s="36">
        <v>16.2199312714776</v>
      </c>
      <c r="U776" s="36">
        <f t="shared" ref="U776:V776" si="141">SQRT(S776)</f>
        <v>0.5243225051</v>
      </c>
      <c r="V776" s="36">
        <f t="shared" si="141"/>
        <v>4.027397581</v>
      </c>
      <c r="W776" s="37" t="s">
        <v>1055</v>
      </c>
      <c r="X776" s="31">
        <v>11.676</v>
      </c>
      <c r="Y776" s="36">
        <v>-4.0624302560648795</v>
      </c>
      <c r="Z776" s="36">
        <v>3.699152542372922</v>
      </c>
      <c r="AA776" s="29" t="s">
        <v>820</v>
      </c>
      <c r="AB776" s="31">
        <v>4.4</v>
      </c>
      <c r="AC776" s="38">
        <v>348.0</v>
      </c>
    </row>
    <row r="777" ht="14.25" customHeight="1">
      <c r="A777" s="29" t="s">
        <v>202</v>
      </c>
      <c r="B777" s="29">
        <v>139.0</v>
      </c>
      <c r="C777" s="29" t="s">
        <v>608</v>
      </c>
      <c r="D777" s="29" t="s">
        <v>853</v>
      </c>
      <c r="E777" s="29">
        <v>110.0</v>
      </c>
      <c r="F777" s="30" t="s">
        <v>854</v>
      </c>
      <c r="G777" s="29" t="s">
        <v>629</v>
      </c>
      <c r="H777" s="31">
        <v>4.03</v>
      </c>
      <c r="I777" s="29" t="s">
        <v>597</v>
      </c>
      <c r="J777" s="32" t="s">
        <v>598</v>
      </c>
      <c r="K777" s="29" t="s">
        <v>840</v>
      </c>
      <c r="L777" s="29" t="s">
        <v>252</v>
      </c>
      <c r="M777" s="36">
        <v>-88.991</v>
      </c>
      <c r="N777" s="36">
        <v>16.697</v>
      </c>
      <c r="O777" s="34" t="s">
        <v>601</v>
      </c>
      <c r="P777" s="32" t="s">
        <v>602</v>
      </c>
      <c r="Q777" s="29">
        <v>1.0</v>
      </c>
      <c r="R777" s="29">
        <v>1.0</v>
      </c>
      <c r="S777" s="36">
        <v>79.1752577319587</v>
      </c>
      <c r="T777" s="36">
        <v>37.6632302405498</v>
      </c>
      <c r="U777" s="36">
        <f t="shared" ref="U777:V777" si="142">SQRT(S777)</f>
        <v>8.898047973</v>
      </c>
      <c r="V777" s="36">
        <f t="shared" si="142"/>
        <v>6.137037579</v>
      </c>
      <c r="W777" s="37" t="s">
        <v>1055</v>
      </c>
      <c r="X777" s="31">
        <v>11.676</v>
      </c>
      <c r="Y777" s="36">
        <v>0.7431022749621744</v>
      </c>
      <c r="Z777" s="36">
        <v>0.039181303223844305</v>
      </c>
      <c r="AA777" s="29" t="s">
        <v>820</v>
      </c>
      <c r="AB777" s="31">
        <v>4.4</v>
      </c>
      <c r="AC777" s="38">
        <v>348.0</v>
      </c>
    </row>
    <row r="778" ht="14.25" customHeight="1">
      <c r="A778" s="29" t="s">
        <v>202</v>
      </c>
      <c r="B778" s="29">
        <v>139.0</v>
      </c>
      <c r="C778" s="29" t="s">
        <v>608</v>
      </c>
      <c r="D778" s="29" t="s">
        <v>630</v>
      </c>
      <c r="E778" s="29">
        <v>129.0</v>
      </c>
      <c r="F778" s="30" t="s">
        <v>631</v>
      </c>
      <c r="G778" s="29" t="s">
        <v>626</v>
      </c>
      <c r="H778" s="31">
        <v>21.27</v>
      </c>
      <c r="I778" s="29" t="s">
        <v>612</v>
      </c>
      <c r="J778" s="32" t="s">
        <v>598</v>
      </c>
      <c r="K778" s="29" t="s">
        <v>840</v>
      </c>
      <c r="L778" s="29" t="s">
        <v>252</v>
      </c>
      <c r="M778" s="36">
        <v>-88.991</v>
      </c>
      <c r="N778" s="36">
        <v>16.697</v>
      </c>
      <c r="O778" s="34" t="s">
        <v>601</v>
      </c>
      <c r="P778" s="32" t="s">
        <v>602</v>
      </c>
      <c r="Q778" s="29">
        <v>1.0</v>
      </c>
      <c r="R778" s="29">
        <v>1.0</v>
      </c>
      <c r="S778" s="36">
        <v>17.3195876288659</v>
      </c>
      <c r="T778" s="36">
        <v>13.4707903780068</v>
      </c>
      <c r="U778" s="36">
        <f t="shared" ref="U778:V778" si="143">SQRT(S778)</f>
        <v>4.161680866</v>
      </c>
      <c r="V778" s="36">
        <f t="shared" si="143"/>
        <v>3.670257536</v>
      </c>
      <c r="W778" s="37" t="s">
        <v>1055</v>
      </c>
      <c r="X778" s="31">
        <v>11.676</v>
      </c>
      <c r="Y778" s="36">
        <v>0.2515150732117125</v>
      </c>
      <c r="Z778" s="36">
        <v>0.13197278911564692</v>
      </c>
      <c r="AA778" s="29" t="s">
        <v>820</v>
      </c>
      <c r="AB778" s="31">
        <v>4.4</v>
      </c>
      <c r="AC778" s="38">
        <v>348.0</v>
      </c>
    </row>
    <row r="779" ht="14.25" customHeight="1">
      <c r="A779" s="29" t="s">
        <v>202</v>
      </c>
      <c r="B779" s="29">
        <v>139.0</v>
      </c>
      <c r="C779" s="29" t="s">
        <v>608</v>
      </c>
      <c r="D779" s="29" t="s">
        <v>968</v>
      </c>
      <c r="E779" s="29">
        <v>186.0</v>
      </c>
      <c r="F779" s="30" t="s">
        <v>969</v>
      </c>
      <c r="G779" s="29" t="s">
        <v>695</v>
      </c>
      <c r="H779" s="31">
        <v>4.21</v>
      </c>
      <c r="I779" s="29" t="s">
        <v>620</v>
      </c>
      <c r="J779" s="32" t="s">
        <v>598</v>
      </c>
      <c r="K779" s="29" t="s">
        <v>840</v>
      </c>
      <c r="L779" s="29" t="s">
        <v>252</v>
      </c>
      <c r="M779" s="36">
        <v>-88.991</v>
      </c>
      <c r="N779" s="36">
        <v>16.697</v>
      </c>
      <c r="O779" s="34" t="s">
        <v>601</v>
      </c>
      <c r="P779" s="32" t="s">
        <v>602</v>
      </c>
      <c r="Q779" s="29">
        <v>1.0</v>
      </c>
      <c r="R779" s="29">
        <v>1.0</v>
      </c>
      <c r="S779" s="36">
        <v>0.0</v>
      </c>
      <c r="T779" s="36">
        <v>2.74914089347079</v>
      </c>
      <c r="U779" s="36">
        <f t="shared" ref="U779:V779" si="144">SQRT(S779)</f>
        <v>0</v>
      </c>
      <c r="V779" s="36">
        <f t="shared" si="144"/>
        <v>1.658053345</v>
      </c>
      <c r="W779" s="37" t="s">
        <v>1055</v>
      </c>
      <c r="X779" s="31">
        <v>11.676</v>
      </c>
      <c r="Y779" s="36">
        <v>-8.262558973010657</v>
      </c>
      <c r="Z779" s="36">
        <v>1.4411509949825785</v>
      </c>
      <c r="AA779" s="29" t="s">
        <v>820</v>
      </c>
      <c r="AB779" s="31">
        <v>4.4</v>
      </c>
      <c r="AC779" s="38">
        <v>348.0</v>
      </c>
    </row>
    <row r="780" ht="14.25" customHeight="1">
      <c r="A780" s="29" t="s">
        <v>202</v>
      </c>
      <c r="B780" s="29">
        <v>139.0</v>
      </c>
      <c r="C780" s="29" t="s">
        <v>608</v>
      </c>
      <c r="D780" s="29" t="s">
        <v>639</v>
      </c>
      <c r="E780" s="29">
        <v>190.0</v>
      </c>
      <c r="F780" s="30" t="s">
        <v>640</v>
      </c>
      <c r="G780" s="29" t="s">
        <v>626</v>
      </c>
      <c r="H780" s="31">
        <v>32.23</v>
      </c>
      <c r="I780" s="29" t="s">
        <v>597</v>
      </c>
      <c r="J780" s="32" t="s">
        <v>598</v>
      </c>
      <c r="K780" s="29" t="s">
        <v>840</v>
      </c>
      <c r="L780" s="29" t="s">
        <v>252</v>
      </c>
      <c r="M780" s="36">
        <v>-88.991</v>
      </c>
      <c r="N780" s="36">
        <v>16.697</v>
      </c>
      <c r="O780" s="34" t="s">
        <v>601</v>
      </c>
      <c r="P780" s="32" t="s">
        <v>602</v>
      </c>
      <c r="Q780" s="29">
        <v>1.0</v>
      </c>
      <c r="R780" s="29">
        <v>1.0</v>
      </c>
      <c r="S780" s="36">
        <v>0.0</v>
      </c>
      <c r="T780" s="36">
        <v>460.44</v>
      </c>
      <c r="U780" s="36">
        <f t="shared" ref="U780:V780" si="145">SQRT(S780)</f>
        <v>0</v>
      </c>
      <c r="V780" s="36">
        <f t="shared" si="145"/>
        <v>21.45786569</v>
      </c>
      <c r="W780" s="37" t="s">
        <v>1055</v>
      </c>
      <c r="X780" s="31">
        <v>11.676</v>
      </c>
      <c r="Y780" s="36">
        <v>-8.262558973010657</v>
      </c>
      <c r="Z780" s="36">
        <v>1.0022692975991285</v>
      </c>
      <c r="AA780" s="29" t="s">
        <v>820</v>
      </c>
      <c r="AB780" s="31">
        <v>4.4</v>
      </c>
      <c r="AC780" s="38">
        <v>348.0</v>
      </c>
    </row>
    <row r="781" ht="14.25" customHeight="1">
      <c r="A781" s="35" t="s">
        <v>207</v>
      </c>
      <c r="B781" s="35">
        <v>154.0</v>
      </c>
      <c r="C781" s="35" t="s">
        <v>608</v>
      </c>
      <c r="D781" s="35" t="s">
        <v>1058</v>
      </c>
      <c r="E781" s="35">
        <v>359.0</v>
      </c>
      <c r="F781" s="39" t="s">
        <v>1059</v>
      </c>
      <c r="G781" s="29" t="s">
        <v>626</v>
      </c>
      <c r="H781" s="31">
        <v>27.486108823529417</v>
      </c>
      <c r="I781" s="29" t="s">
        <v>612</v>
      </c>
      <c r="J781" s="35" t="s">
        <v>642</v>
      </c>
      <c r="K781" s="35" t="s">
        <v>698</v>
      </c>
      <c r="L781" s="35" t="s">
        <v>1060</v>
      </c>
      <c r="M781" s="44">
        <v>9.07527935973</v>
      </c>
      <c r="N781" s="44">
        <v>6.25875045696</v>
      </c>
      <c r="O781" s="34" t="s">
        <v>601</v>
      </c>
      <c r="P781" s="32" t="s">
        <v>602</v>
      </c>
      <c r="Q781" s="29">
        <v>12.0</v>
      </c>
      <c r="R781" s="29">
        <v>12.0</v>
      </c>
      <c r="S781" s="36">
        <v>0.8333333333333334</v>
      </c>
      <c r="T781" s="36">
        <v>0.4166666666666667</v>
      </c>
      <c r="U781" s="36">
        <v>0.8348471099367218</v>
      </c>
      <c r="V781" s="36">
        <v>0.8348471099367218</v>
      </c>
      <c r="W781" s="37" t="s">
        <v>777</v>
      </c>
      <c r="X781" s="31">
        <v>4.22</v>
      </c>
      <c r="Y781" s="36">
        <v>0.6932761712083021</v>
      </c>
      <c r="Z781" s="36">
        <v>0.4181818181818181</v>
      </c>
      <c r="AA781" s="29" t="s">
        <v>820</v>
      </c>
      <c r="AB781" s="31">
        <v>67.8221</v>
      </c>
      <c r="AC781" s="38">
        <v>605.6666666666666</v>
      </c>
    </row>
    <row r="782" ht="14.25" customHeight="1">
      <c r="A782" s="35" t="s">
        <v>211</v>
      </c>
      <c r="B782" s="35">
        <v>153.0</v>
      </c>
      <c r="C782" s="35" t="s">
        <v>608</v>
      </c>
      <c r="D782" s="35" t="s">
        <v>1061</v>
      </c>
      <c r="E782" s="35">
        <v>334.0</v>
      </c>
      <c r="F782" s="39" t="s">
        <v>1062</v>
      </c>
      <c r="G782" s="35" t="s">
        <v>615</v>
      </c>
      <c r="H782" s="31">
        <v>0.764745</v>
      </c>
      <c r="I782" s="35" t="s">
        <v>616</v>
      </c>
      <c r="J782" s="35" t="s">
        <v>642</v>
      </c>
      <c r="K782" s="35" t="s">
        <v>698</v>
      </c>
      <c r="L782" s="35" t="s">
        <v>1060</v>
      </c>
      <c r="M782" s="44">
        <v>9.07527935973</v>
      </c>
      <c r="N782" s="44">
        <v>6.25875045696</v>
      </c>
      <c r="O782" s="34" t="s">
        <v>601</v>
      </c>
      <c r="P782" s="32" t="s">
        <v>602</v>
      </c>
      <c r="Q782" s="29">
        <v>12.0</v>
      </c>
      <c r="R782" s="29">
        <v>12.0</v>
      </c>
      <c r="S782" s="36">
        <v>3.2</v>
      </c>
      <c r="T782" s="36">
        <v>0.5</v>
      </c>
      <c r="U782" s="36">
        <f t="shared" ref="U782:V782" si="146">SQRT(S782)</f>
        <v>1.788854382</v>
      </c>
      <c r="V782" s="36">
        <f t="shared" si="146"/>
        <v>0.7071067812</v>
      </c>
      <c r="W782" s="37" t="s">
        <v>1063</v>
      </c>
      <c r="X782" s="31">
        <v>4.22</v>
      </c>
      <c r="Y782" s="36">
        <v>1.856338301730615</v>
      </c>
      <c r="Z782" s="36">
        <v>0.19270833333333337</v>
      </c>
      <c r="AA782" s="29" t="s">
        <v>820</v>
      </c>
      <c r="AB782" s="31">
        <v>67.8221</v>
      </c>
      <c r="AC782" s="38">
        <v>605.6666666666666</v>
      </c>
    </row>
    <row r="783" ht="14.25" customHeight="1">
      <c r="A783" s="35" t="s">
        <v>211</v>
      </c>
      <c r="B783" s="35">
        <v>153.0</v>
      </c>
      <c r="C783" s="35" t="s">
        <v>608</v>
      </c>
      <c r="D783" s="29" t="s">
        <v>1064</v>
      </c>
      <c r="E783" s="29">
        <v>18.0</v>
      </c>
      <c r="F783" s="39" t="s">
        <v>1065</v>
      </c>
      <c r="G783" s="35" t="s">
        <v>615</v>
      </c>
      <c r="H783" s="31">
        <v>1.93</v>
      </c>
      <c r="I783" s="29" t="s">
        <v>612</v>
      </c>
      <c r="J783" s="35" t="s">
        <v>642</v>
      </c>
      <c r="K783" s="35" t="s">
        <v>698</v>
      </c>
      <c r="L783" s="35" t="s">
        <v>1060</v>
      </c>
      <c r="M783" s="44">
        <v>9.07527935973</v>
      </c>
      <c r="N783" s="44">
        <v>6.25875045696</v>
      </c>
      <c r="O783" s="34" t="s">
        <v>601</v>
      </c>
      <c r="P783" s="32" t="s">
        <v>602</v>
      </c>
      <c r="Q783" s="29">
        <v>12.0</v>
      </c>
      <c r="R783" s="29">
        <v>12.0</v>
      </c>
      <c r="S783" s="36">
        <v>2.8</v>
      </c>
      <c r="T783" s="36">
        <v>0.8</v>
      </c>
      <c r="U783" s="36">
        <f t="shared" ref="U783:V783" si="147">SQRT(S783)</f>
        <v>1.673320053</v>
      </c>
      <c r="V783" s="36">
        <f t="shared" si="147"/>
        <v>0.894427191</v>
      </c>
      <c r="W783" s="37" t="s">
        <v>1063</v>
      </c>
      <c r="X783" s="31">
        <v>4.22</v>
      </c>
      <c r="Y783" s="36">
        <v>1.2528366794746515</v>
      </c>
      <c r="Z783" s="36">
        <v>0.13392857142857142</v>
      </c>
      <c r="AA783" s="29" t="s">
        <v>820</v>
      </c>
      <c r="AB783" s="31">
        <v>67.8221</v>
      </c>
      <c r="AC783" s="38">
        <v>605.6666666666666</v>
      </c>
    </row>
    <row r="784" ht="14.25" customHeight="1">
      <c r="A784" s="35" t="s">
        <v>211</v>
      </c>
      <c r="B784" s="35">
        <v>153.0</v>
      </c>
      <c r="C784" s="35" t="s">
        <v>608</v>
      </c>
      <c r="D784" s="35" t="s">
        <v>1066</v>
      </c>
      <c r="E784" s="29">
        <v>306.0</v>
      </c>
      <c r="F784" s="39" t="s">
        <v>1067</v>
      </c>
      <c r="G784" s="29" t="s">
        <v>611</v>
      </c>
      <c r="H784" s="31">
        <v>4.20833</v>
      </c>
      <c r="I784" s="29" t="s">
        <v>597</v>
      </c>
      <c r="J784" s="35" t="s">
        <v>642</v>
      </c>
      <c r="K784" s="35" t="s">
        <v>698</v>
      </c>
      <c r="L784" s="35" t="s">
        <v>1060</v>
      </c>
      <c r="M784" s="44">
        <v>9.07527935973</v>
      </c>
      <c r="N784" s="44">
        <v>6.25875045696</v>
      </c>
      <c r="O784" s="34" t="s">
        <v>601</v>
      </c>
      <c r="P784" s="32" t="s">
        <v>602</v>
      </c>
      <c r="Q784" s="29">
        <v>12.0</v>
      </c>
      <c r="R784" s="29">
        <v>12.0</v>
      </c>
      <c r="S784" s="36">
        <v>6.9</v>
      </c>
      <c r="T784" s="36">
        <v>24.4</v>
      </c>
      <c r="U784" s="36">
        <f t="shared" ref="U784:V784" si="148">SQRT(S784)</f>
        <v>2.626785107</v>
      </c>
      <c r="V784" s="36">
        <f t="shared" si="148"/>
        <v>4.939635614</v>
      </c>
      <c r="W784" s="37" t="s">
        <v>1063</v>
      </c>
      <c r="X784" s="31">
        <v>4.22</v>
      </c>
      <c r="Y784" s="36">
        <v>-1.2621497960982382</v>
      </c>
      <c r="Z784" s="36">
        <v>0.015492595232438426</v>
      </c>
      <c r="AA784" s="29" t="s">
        <v>820</v>
      </c>
      <c r="AB784" s="31">
        <v>67.8221</v>
      </c>
      <c r="AC784" s="38">
        <v>605.6666666666666</v>
      </c>
    </row>
    <row r="785" ht="14.25" customHeight="1">
      <c r="A785" s="35" t="s">
        <v>211</v>
      </c>
      <c r="B785" s="35">
        <v>153.0</v>
      </c>
      <c r="C785" s="35" t="s">
        <v>608</v>
      </c>
      <c r="D785" s="29" t="s">
        <v>941</v>
      </c>
      <c r="E785" s="29">
        <v>48.0</v>
      </c>
      <c r="F785" s="30" t="s">
        <v>942</v>
      </c>
      <c r="G785" s="29" t="s">
        <v>611</v>
      </c>
      <c r="H785" s="31">
        <v>5.8</v>
      </c>
      <c r="I785" s="29" t="s">
        <v>597</v>
      </c>
      <c r="J785" s="35" t="s">
        <v>642</v>
      </c>
      <c r="K785" s="35" t="s">
        <v>698</v>
      </c>
      <c r="L785" s="35" t="s">
        <v>1060</v>
      </c>
      <c r="M785" s="44">
        <v>9.07527935973</v>
      </c>
      <c r="N785" s="44">
        <v>6.25875045696</v>
      </c>
      <c r="O785" s="34" t="s">
        <v>601</v>
      </c>
      <c r="P785" s="32" t="s">
        <v>602</v>
      </c>
      <c r="Q785" s="29">
        <v>12.0</v>
      </c>
      <c r="R785" s="29">
        <v>12.0</v>
      </c>
      <c r="S785" s="36">
        <v>7.5</v>
      </c>
      <c r="T785" s="36">
        <v>26.3</v>
      </c>
      <c r="U785" s="36">
        <f t="shared" ref="U785:V785" si="149">SQRT(S785)</f>
        <v>2.738612788</v>
      </c>
      <c r="V785" s="36">
        <f t="shared" si="149"/>
        <v>5.128352562</v>
      </c>
      <c r="W785" s="37" t="s">
        <v>1063</v>
      </c>
      <c r="X785" s="31">
        <v>4.22</v>
      </c>
      <c r="Y785" s="36">
        <v>-1.2537616148850774</v>
      </c>
      <c r="Z785" s="36">
        <v>0.014279678918462189</v>
      </c>
      <c r="AA785" s="29" t="s">
        <v>820</v>
      </c>
      <c r="AB785" s="31">
        <v>67.8221</v>
      </c>
      <c r="AC785" s="38">
        <v>605.6666666666666</v>
      </c>
    </row>
    <row r="786" ht="14.25" customHeight="1">
      <c r="A786" s="35" t="s">
        <v>211</v>
      </c>
      <c r="B786" s="35">
        <v>153.0</v>
      </c>
      <c r="C786" s="35" t="s">
        <v>608</v>
      </c>
      <c r="D786" s="35" t="s">
        <v>989</v>
      </c>
      <c r="E786" s="29">
        <v>99.0</v>
      </c>
      <c r="F786" s="30" t="s">
        <v>990</v>
      </c>
      <c r="G786" s="29" t="s">
        <v>611</v>
      </c>
      <c r="H786" s="31">
        <v>15.0</v>
      </c>
      <c r="I786" s="29" t="s">
        <v>597</v>
      </c>
      <c r="J786" s="35" t="s">
        <v>642</v>
      </c>
      <c r="K786" s="35" t="s">
        <v>698</v>
      </c>
      <c r="L786" s="35" t="s">
        <v>1060</v>
      </c>
      <c r="M786" s="44">
        <v>9.07527935973</v>
      </c>
      <c r="N786" s="44">
        <v>6.25875045696</v>
      </c>
      <c r="O786" s="34" t="s">
        <v>601</v>
      </c>
      <c r="P786" s="32" t="s">
        <v>602</v>
      </c>
      <c r="Q786" s="29">
        <v>12.0</v>
      </c>
      <c r="R786" s="29">
        <v>12.0</v>
      </c>
      <c r="S786" s="36">
        <v>1.9</v>
      </c>
      <c r="T786" s="36">
        <v>15.4</v>
      </c>
      <c r="U786" s="36">
        <f t="shared" ref="U786:V786" si="150">SQRT(S786)</f>
        <v>1.378404875</v>
      </c>
      <c r="V786" s="36">
        <f t="shared" si="150"/>
        <v>3.924283374</v>
      </c>
      <c r="W786" s="37" t="s">
        <v>1063</v>
      </c>
      <c r="X786" s="31">
        <v>4.22</v>
      </c>
      <c r="Y786" s="36">
        <v>-2.090424665473944</v>
      </c>
      <c r="Z786" s="36">
        <v>0.049270904534062424</v>
      </c>
      <c r="AA786" s="29" t="s">
        <v>820</v>
      </c>
      <c r="AB786" s="31">
        <v>67.8221</v>
      </c>
      <c r="AC786" s="38">
        <v>605.6666666666666</v>
      </c>
    </row>
    <row r="787" ht="14.25" customHeight="1">
      <c r="A787" s="35" t="s">
        <v>211</v>
      </c>
      <c r="B787" s="35">
        <v>153.0</v>
      </c>
      <c r="C787" s="35" t="s">
        <v>608</v>
      </c>
      <c r="D787" s="35" t="s">
        <v>1068</v>
      </c>
      <c r="E787" s="35">
        <v>361.0</v>
      </c>
      <c r="F787" s="39" t="s">
        <v>1069</v>
      </c>
      <c r="G787" s="35" t="s">
        <v>748</v>
      </c>
      <c r="H787" s="31">
        <v>3.02998</v>
      </c>
      <c r="I787" s="35" t="s">
        <v>612</v>
      </c>
      <c r="J787" s="35" t="s">
        <v>642</v>
      </c>
      <c r="K787" s="35" t="s">
        <v>698</v>
      </c>
      <c r="L787" s="35" t="s">
        <v>1060</v>
      </c>
      <c r="M787" s="44">
        <v>9.07527935973</v>
      </c>
      <c r="N787" s="44">
        <v>6.25875045696</v>
      </c>
      <c r="O787" s="34" t="s">
        <v>601</v>
      </c>
      <c r="P787" s="32" t="s">
        <v>602</v>
      </c>
      <c r="Q787" s="29">
        <v>12.0</v>
      </c>
      <c r="R787" s="29">
        <v>12.0</v>
      </c>
      <c r="S787" s="36">
        <v>1.5</v>
      </c>
      <c r="T787" s="36">
        <v>1.3</v>
      </c>
      <c r="U787" s="36">
        <f t="shared" ref="U787:V787" si="151">SQRT(S787)</f>
        <v>1.224744871</v>
      </c>
      <c r="V787" s="36">
        <f t="shared" si="151"/>
        <v>1.140175425</v>
      </c>
      <c r="W787" s="37" t="s">
        <v>1063</v>
      </c>
      <c r="X787" s="31">
        <v>4.22</v>
      </c>
      <c r="Y787" s="36">
        <v>0.1433244168575332</v>
      </c>
      <c r="Z787" s="36">
        <v>0.11965811965811965</v>
      </c>
      <c r="AA787" s="29" t="s">
        <v>820</v>
      </c>
      <c r="AB787" s="31">
        <v>67.8221</v>
      </c>
      <c r="AC787" s="38">
        <v>605.6666666666666</v>
      </c>
    </row>
    <row r="788" ht="14.25" customHeight="1">
      <c r="A788" s="35" t="s">
        <v>215</v>
      </c>
      <c r="B788" s="35">
        <v>152.0</v>
      </c>
      <c r="C788" s="35" t="s">
        <v>608</v>
      </c>
      <c r="D788" s="29" t="s">
        <v>1070</v>
      </c>
      <c r="E788" s="29">
        <v>6.0</v>
      </c>
      <c r="F788" s="30" t="s">
        <v>1071</v>
      </c>
      <c r="G788" s="29" t="s">
        <v>611</v>
      </c>
      <c r="H788" s="31">
        <v>6.5</v>
      </c>
      <c r="I788" s="29" t="s">
        <v>612</v>
      </c>
      <c r="J788" s="35" t="s">
        <v>598</v>
      </c>
      <c r="K788" s="35" t="s">
        <v>599</v>
      </c>
      <c r="L788" s="35" t="s">
        <v>819</v>
      </c>
      <c r="M788" s="35">
        <v>-69.716667</v>
      </c>
      <c r="N788" s="35">
        <v>-12.816667</v>
      </c>
      <c r="O788" s="34" t="s">
        <v>641</v>
      </c>
      <c r="P788" s="32" t="s">
        <v>643</v>
      </c>
      <c r="Q788" s="29">
        <v>1.0</v>
      </c>
      <c r="R788" s="29">
        <v>1.0</v>
      </c>
      <c r="S788" s="36">
        <v>0.0</v>
      </c>
      <c r="T788" s="36">
        <v>1.0</v>
      </c>
      <c r="U788" s="36">
        <f t="shared" ref="U788:V788" si="152">SQRT(S788)</f>
        <v>0</v>
      </c>
      <c r="V788" s="36">
        <f t="shared" si="152"/>
        <v>1</v>
      </c>
      <c r="W788" s="37" t="s">
        <v>1072</v>
      </c>
      <c r="X788" s="31">
        <v>5.9</v>
      </c>
      <c r="Y788" s="36">
        <v>-8.262558973010657</v>
      </c>
      <c r="Z788" s="36">
        <v>2.0</v>
      </c>
      <c r="AA788" s="29" t="s">
        <v>820</v>
      </c>
      <c r="AB788" s="35">
        <v>1.37</v>
      </c>
      <c r="AC788" s="35">
        <v>424.0</v>
      </c>
    </row>
    <row r="789" ht="14.25" customHeight="1">
      <c r="A789" s="35" t="s">
        <v>215</v>
      </c>
      <c r="B789" s="35">
        <v>152.0</v>
      </c>
      <c r="C789" s="35" t="s">
        <v>608</v>
      </c>
      <c r="D789" s="35" t="s">
        <v>667</v>
      </c>
      <c r="E789" s="29">
        <v>213.0</v>
      </c>
      <c r="F789" s="30" t="s">
        <v>668</v>
      </c>
      <c r="G789" s="29" t="s">
        <v>611</v>
      </c>
      <c r="H789" s="31">
        <v>0.9</v>
      </c>
      <c r="I789" s="29" t="s">
        <v>616</v>
      </c>
      <c r="J789" s="35" t="s">
        <v>598</v>
      </c>
      <c r="K789" s="35" t="s">
        <v>599</v>
      </c>
      <c r="L789" s="35" t="s">
        <v>819</v>
      </c>
      <c r="M789" s="35">
        <v>-69.716667</v>
      </c>
      <c r="N789" s="35">
        <v>-12.816667</v>
      </c>
      <c r="O789" s="34" t="s">
        <v>641</v>
      </c>
      <c r="P789" s="32" t="s">
        <v>643</v>
      </c>
      <c r="Q789" s="29">
        <v>1.0</v>
      </c>
      <c r="R789" s="29">
        <v>1.0</v>
      </c>
      <c r="S789" s="36">
        <v>0.7</v>
      </c>
      <c r="T789" s="36">
        <v>1.0</v>
      </c>
      <c r="U789" s="36">
        <f t="shared" ref="U789:V789" si="153">SQRT(S789)</f>
        <v>0.8366600265</v>
      </c>
      <c r="V789" s="36">
        <f t="shared" si="153"/>
        <v>1</v>
      </c>
      <c r="W789" s="37" t="s">
        <v>603</v>
      </c>
      <c r="X789" s="31">
        <v>5.9</v>
      </c>
      <c r="Y789" s="36">
        <v>-0.3563064433633865</v>
      </c>
      <c r="Z789" s="36">
        <v>2.428571428571429</v>
      </c>
      <c r="AA789" s="29" t="s">
        <v>820</v>
      </c>
      <c r="AB789" s="35">
        <v>1.37</v>
      </c>
      <c r="AC789" s="35">
        <v>424.0</v>
      </c>
    </row>
    <row r="790" ht="14.25" customHeight="1">
      <c r="A790" s="35" t="s">
        <v>215</v>
      </c>
      <c r="B790" s="35">
        <v>152.0</v>
      </c>
      <c r="C790" s="35" t="s">
        <v>608</v>
      </c>
      <c r="D790" s="35" t="s">
        <v>957</v>
      </c>
      <c r="E790" s="35">
        <v>336.0</v>
      </c>
      <c r="F790" s="39" t="s">
        <v>1073</v>
      </c>
      <c r="G790" s="35" t="s">
        <v>611</v>
      </c>
      <c r="H790" s="31">
        <v>6.525685714285714</v>
      </c>
      <c r="I790" s="29" t="s">
        <v>597</v>
      </c>
      <c r="J790" s="35" t="s">
        <v>598</v>
      </c>
      <c r="K790" s="35" t="s">
        <v>599</v>
      </c>
      <c r="L790" s="35" t="s">
        <v>819</v>
      </c>
      <c r="M790" s="35">
        <v>-69.716667</v>
      </c>
      <c r="N790" s="35">
        <v>-12.816667</v>
      </c>
      <c r="O790" s="34" t="s">
        <v>641</v>
      </c>
      <c r="P790" s="32" t="s">
        <v>643</v>
      </c>
      <c r="Q790" s="29">
        <v>1.0</v>
      </c>
      <c r="R790" s="29">
        <v>1.0</v>
      </c>
      <c r="S790" s="36">
        <v>0.0</v>
      </c>
      <c r="T790" s="36">
        <v>1.6</v>
      </c>
      <c r="U790" s="36">
        <f t="shared" ref="U790:V790" si="154">SQRT(S790)</f>
        <v>0</v>
      </c>
      <c r="V790" s="36">
        <f t="shared" si="154"/>
        <v>1.264911064</v>
      </c>
      <c r="W790" s="37" t="s">
        <v>1072</v>
      </c>
      <c r="X790" s="31">
        <v>5.9</v>
      </c>
      <c r="Y790" s="36">
        <v>-8.262558973010657</v>
      </c>
      <c r="Z790" s="36">
        <v>1.7063290394710546</v>
      </c>
      <c r="AA790" s="29" t="s">
        <v>820</v>
      </c>
      <c r="AB790" s="35">
        <v>1.37</v>
      </c>
      <c r="AC790" s="35">
        <v>424.0</v>
      </c>
    </row>
    <row r="791" ht="14.25" customHeight="1">
      <c r="A791" s="35" t="s">
        <v>215</v>
      </c>
      <c r="B791" s="35">
        <v>152.0</v>
      </c>
      <c r="C791" s="35" t="s">
        <v>608</v>
      </c>
      <c r="D791" s="35" t="s">
        <v>1074</v>
      </c>
      <c r="E791" s="35">
        <v>337.0</v>
      </c>
      <c r="F791" s="39" t="s">
        <v>1075</v>
      </c>
      <c r="G791" s="29" t="s">
        <v>629</v>
      </c>
      <c r="H791" s="31">
        <v>1.05</v>
      </c>
      <c r="I791" s="29" t="s">
        <v>597</v>
      </c>
      <c r="J791" s="35" t="s">
        <v>598</v>
      </c>
      <c r="K791" s="35" t="s">
        <v>599</v>
      </c>
      <c r="L791" s="35" t="s">
        <v>819</v>
      </c>
      <c r="M791" s="35">
        <v>-69.716667</v>
      </c>
      <c r="N791" s="35">
        <v>-12.816667</v>
      </c>
      <c r="O791" s="34" t="s">
        <v>641</v>
      </c>
      <c r="P791" s="32" t="s">
        <v>643</v>
      </c>
      <c r="Q791" s="29">
        <v>1.0</v>
      </c>
      <c r="R791" s="29">
        <v>1.0</v>
      </c>
      <c r="S791" s="36">
        <v>0.4</v>
      </c>
      <c r="T791" s="36">
        <v>0.3</v>
      </c>
      <c r="U791" s="36">
        <f t="shared" ref="U791:V791" si="155">SQRT(S791)</f>
        <v>0.632455532</v>
      </c>
      <c r="V791" s="36">
        <f t="shared" si="155"/>
        <v>0.5477225575</v>
      </c>
      <c r="W791" s="37" t="s">
        <v>603</v>
      </c>
      <c r="X791" s="31">
        <v>5.9</v>
      </c>
      <c r="Y791" s="36">
        <v>0.2878755521853827</v>
      </c>
      <c r="Z791" s="36">
        <v>5.833333333333332</v>
      </c>
      <c r="AA791" s="29" t="s">
        <v>820</v>
      </c>
      <c r="AB791" s="35">
        <v>1.37</v>
      </c>
      <c r="AC791" s="35">
        <v>424.0</v>
      </c>
    </row>
    <row r="792" ht="14.25" customHeight="1">
      <c r="A792" s="35" t="s">
        <v>215</v>
      </c>
      <c r="B792" s="35">
        <v>152.0</v>
      </c>
      <c r="C792" s="35" t="s">
        <v>608</v>
      </c>
      <c r="D792" s="35" t="s">
        <v>1076</v>
      </c>
      <c r="E792" s="35">
        <v>338.0</v>
      </c>
      <c r="F792" s="39" t="s">
        <v>1077</v>
      </c>
      <c r="G792" s="35" t="s">
        <v>695</v>
      </c>
      <c r="H792" s="31">
        <v>4.3350100000000005</v>
      </c>
      <c r="I792" s="29" t="s">
        <v>612</v>
      </c>
      <c r="J792" s="35" t="s">
        <v>598</v>
      </c>
      <c r="K792" s="35" t="s">
        <v>599</v>
      </c>
      <c r="L792" s="35" t="s">
        <v>819</v>
      </c>
      <c r="M792" s="35">
        <v>-69.716667</v>
      </c>
      <c r="N792" s="35">
        <v>-12.816667</v>
      </c>
      <c r="O792" s="34" t="s">
        <v>641</v>
      </c>
      <c r="P792" s="32" t="s">
        <v>643</v>
      </c>
      <c r="Q792" s="29">
        <v>1.0</v>
      </c>
      <c r="R792" s="29">
        <v>1.0</v>
      </c>
      <c r="S792" s="36">
        <v>0.4</v>
      </c>
      <c r="T792" s="36">
        <v>0.1</v>
      </c>
      <c r="U792" s="36">
        <f t="shared" ref="U792:V792" si="156">SQRT(S792)</f>
        <v>0.632455532</v>
      </c>
      <c r="V792" s="36">
        <f t="shared" si="156"/>
        <v>0.316227766</v>
      </c>
      <c r="W792" s="37" t="s">
        <v>603</v>
      </c>
      <c r="X792" s="31">
        <v>5.9</v>
      </c>
      <c r="Y792" s="36">
        <v>1.3863588585238926</v>
      </c>
      <c r="Z792" s="36">
        <v>12.499999999999998</v>
      </c>
      <c r="AA792" s="29" t="s">
        <v>820</v>
      </c>
      <c r="AB792" s="35">
        <v>1.37</v>
      </c>
      <c r="AC792" s="35">
        <v>424.0</v>
      </c>
    </row>
    <row r="793" ht="14.25" customHeight="1">
      <c r="A793" s="35" t="s">
        <v>215</v>
      </c>
      <c r="B793" s="35">
        <v>152.0</v>
      </c>
      <c r="C793" s="35" t="s">
        <v>608</v>
      </c>
      <c r="D793" s="35" t="s">
        <v>1078</v>
      </c>
      <c r="E793" s="35">
        <v>342.0</v>
      </c>
      <c r="F793" s="39" t="s">
        <v>1079</v>
      </c>
      <c r="G793" s="35" t="s">
        <v>611</v>
      </c>
      <c r="H793" s="31">
        <v>1.024</v>
      </c>
      <c r="I793" s="29" t="s">
        <v>616</v>
      </c>
      <c r="J793" s="35" t="s">
        <v>598</v>
      </c>
      <c r="K793" s="35" t="s">
        <v>599</v>
      </c>
      <c r="L793" s="35" t="s">
        <v>819</v>
      </c>
      <c r="M793" s="35">
        <v>-69.716667</v>
      </c>
      <c r="N793" s="35">
        <v>-12.816667</v>
      </c>
      <c r="O793" s="34" t="s">
        <v>641</v>
      </c>
      <c r="P793" s="32" t="s">
        <v>643</v>
      </c>
      <c r="Q793" s="29">
        <v>1.0</v>
      </c>
      <c r="R793" s="29">
        <v>1.0</v>
      </c>
      <c r="S793" s="36">
        <v>0.2</v>
      </c>
      <c r="T793" s="36">
        <v>1.2</v>
      </c>
      <c r="U793" s="36">
        <f t="shared" ref="U793:V793" si="157">SQRT(S793)</f>
        <v>0.4472135955</v>
      </c>
      <c r="V793" s="36">
        <f t="shared" si="157"/>
        <v>1.095445115</v>
      </c>
      <c r="W793" s="37" t="s">
        <v>1072</v>
      </c>
      <c r="X793" s="31">
        <v>5.9</v>
      </c>
      <c r="Y793" s="36">
        <v>-1.790212678509756</v>
      </c>
      <c r="Z793" s="36">
        <v>5.833333333333331</v>
      </c>
      <c r="AA793" s="29" t="s">
        <v>820</v>
      </c>
      <c r="AB793" s="35">
        <v>1.37</v>
      </c>
      <c r="AC793" s="35">
        <v>424.0</v>
      </c>
    </row>
    <row r="794" ht="14.25" customHeight="1">
      <c r="A794" s="35" t="s">
        <v>215</v>
      </c>
      <c r="B794" s="35">
        <v>152.0</v>
      </c>
      <c r="C794" s="35" t="s">
        <v>608</v>
      </c>
      <c r="D794" s="35" t="s">
        <v>1080</v>
      </c>
      <c r="E794" s="35">
        <v>344.0</v>
      </c>
      <c r="F794" s="39" t="s">
        <v>1081</v>
      </c>
      <c r="G794" s="35" t="s">
        <v>656</v>
      </c>
      <c r="H794" s="31">
        <v>0.25</v>
      </c>
      <c r="I794" s="29" t="s">
        <v>616</v>
      </c>
      <c r="J794" s="35" t="s">
        <v>598</v>
      </c>
      <c r="K794" s="35" t="s">
        <v>599</v>
      </c>
      <c r="L794" s="35" t="s">
        <v>819</v>
      </c>
      <c r="M794" s="35">
        <v>-69.716667</v>
      </c>
      <c r="N794" s="35">
        <v>-12.816667</v>
      </c>
      <c r="O794" s="34" t="s">
        <v>641</v>
      </c>
      <c r="P794" s="32" t="s">
        <v>643</v>
      </c>
      <c r="Q794" s="29">
        <v>1.0</v>
      </c>
      <c r="R794" s="29">
        <v>1.0</v>
      </c>
      <c r="S794" s="36">
        <v>0.0</v>
      </c>
      <c r="T794" s="36">
        <v>0.3</v>
      </c>
      <c r="U794" s="36">
        <f t="shared" ref="U794:V794" si="158">SQRT(S794)</f>
        <v>0</v>
      </c>
      <c r="V794" s="36">
        <f t="shared" si="158"/>
        <v>0.5477225575</v>
      </c>
      <c r="W794" s="37" t="s">
        <v>603</v>
      </c>
      <c r="X794" s="31">
        <v>5.9</v>
      </c>
      <c r="Y794" s="36">
        <v>-8.262558973010657</v>
      </c>
      <c r="Z794" s="36">
        <v>2.7151914961018218</v>
      </c>
      <c r="AA794" s="29" t="s">
        <v>820</v>
      </c>
      <c r="AB794" s="35">
        <v>1.37</v>
      </c>
      <c r="AC794" s="35">
        <v>424.0</v>
      </c>
    </row>
    <row r="795" ht="14.25" customHeight="1">
      <c r="A795" s="35" t="s">
        <v>215</v>
      </c>
      <c r="B795" s="35">
        <v>152.0</v>
      </c>
      <c r="C795" s="35" t="s">
        <v>608</v>
      </c>
      <c r="D795" s="29" t="s">
        <v>1082</v>
      </c>
      <c r="E795" s="29">
        <v>29.0</v>
      </c>
      <c r="F795" s="30" t="s">
        <v>1083</v>
      </c>
      <c r="G795" s="35" t="s">
        <v>611</v>
      </c>
      <c r="H795" s="31">
        <v>0.125</v>
      </c>
      <c r="I795" s="29" t="s">
        <v>616</v>
      </c>
      <c r="J795" s="35" t="s">
        <v>598</v>
      </c>
      <c r="K795" s="35" t="s">
        <v>599</v>
      </c>
      <c r="L795" s="35" t="s">
        <v>819</v>
      </c>
      <c r="M795" s="35">
        <v>-69.716667</v>
      </c>
      <c r="N795" s="35">
        <v>-12.816667</v>
      </c>
      <c r="O795" s="34" t="s">
        <v>641</v>
      </c>
      <c r="P795" s="32" t="s">
        <v>643</v>
      </c>
      <c r="Q795" s="29">
        <v>1.0</v>
      </c>
      <c r="R795" s="29">
        <v>1.0</v>
      </c>
      <c r="S795" s="36">
        <v>0.0</v>
      </c>
      <c r="T795" s="36">
        <v>0.2</v>
      </c>
      <c r="U795" s="36">
        <f t="shared" ref="U795:V795" si="159">SQRT(S795)</f>
        <v>0</v>
      </c>
      <c r="V795" s="36">
        <f t="shared" si="159"/>
        <v>0.4472135955</v>
      </c>
      <c r="W795" s="37" t="s">
        <v>1072</v>
      </c>
      <c r="X795" s="31">
        <v>5.9</v>
      </c>
      <c r="Y795" s="36">
        <v>-8.262558973010657</v>
      </c>
      <c r="Z795" s="36">
        <v>2.8310481540815466</v>
      </c>
      <c r="AA795" s="29" t="s">
        <v>820</v>
      </c>
      <c r="AB795" s="35">
        <v>1.37</v>
      </c>
      <c r="AC795" s="35">
        <v>424.0</v>
      </c>
    </row>
    <row r="796" ht="14.25" customHeight="1">
      <c r="A796" s="35" t="s">
        <v>215</v>
      </c>
      <c r="B796" s="35">
        <v>152.0</v>
      </c>
      <c r="C796" s="35" t="s">
        <v>608</v>
      </c>
      <c r="D796" s="29" t="s">
        <v>830</v>
      </c>
      <c r="E796" s="29">
        <v>30.0</v>
      </c>
      <c r="F796" s="30" t="s">
        <v>831</v>
      </c>
      <c r="G796" s="29" t="s">
        <v>611</v>
      </c>
      <c r="H796" s="31">
        <v>2.63</v>
      </c>
      <c r="I796" s="29" t="s">
        <v>616</v>
      </c>
      <c r="J796" s="35" t="s">
        <v>598</v>
      </c>
      <c r="K796" s="35" t="s">
        <v>599</v>
      </c>
      <c r="L796" s="35" t="s">
        <v>819</v>
      </c>
      <c r="M796" s="35">
        <v>-69.716667</v>
      </c>
      <c r="N796" s="35">
        <v>-12.816667</v>
      </c>
      <c r="O796" s="34" t="s">
        <v>641</v>
      </c>
      <c r="P796" s="32" t="s">
        <v>643</v>
      </c>
      <c r="Q796" s="29">
        <v>1.0</v>
      </c>
      <c r="R796" s="29">
        <v>1.0</v>
      </c>
      <c r="S796" s="36">
        <v>0.0</v>
      </c>
      <c r="T796" s="36">
        <v>1.9</v>
      </c>
      <c r="U796" s="36">
        <f t="shared" ref="U796:V796" si="160">SQRT(S796)</f>
        <v>0</v>
      </c>
      <c r="V796" s="36">
        <f t="shared" si="160"/>
        <v>1.378404875</v>
      </c>
      <c r="W796" s="37" t="s">
        <v>1072</v>
      </c>
      <c r="X796" s="31">
        <v>5.9</v>
      </c>
      <c r="Y796" s="36">
        <v>-8.262558973010657</v>
      </c>
      <c r="Z796" s="36">
        <v>1.6125702908348996</v>
      </c>
      <c r="AA796" s="29" t="s">
        <v>820</v>
      </c>
      <c r="AB796" s="35">
        <v>1.37</v>
      </c>
      <c r="AC796" s="35">
        <v>424.0</v>
      </c>
    </row>
    <row r="797" ht="14.25" customHeight="1">
      <c r="A797" s="35" t="s">
        <v>215</v>
      </c>
      <c r="B797" s="35">
        <v>152.0</v>
      </c>
      <c r="C797" s="35" t="s">
        <v>608</v>
      </c>
      <c r="D797" s="29" t="s">
        <v>650</v>
      </c>
      <c r="E797" s="29">
        <v>70.0</v>
      </c>
      <c r="F797" s="30" t="s">
        <v>651</v>
      </c>
      <c r="G797" s="29" t="s">
        <v>615</v>
      </c>
      <c r="H797" s="31">
        <v>8.17</v>
      </c>
      <c r="I797" s="29" t="s">
        <v>616</v>
      </c>
      <c r="J797" s="35" t="s">
        <v>598</v>
      </c>
      <c r="K797" s="35" t="s">
        <v>599</v>
      </c>
      <c r="L797" s="35" t="s">
        <v>819</v>
      </c>
      <c r="M797" s="35">
        <v>-69.716667</v>
      </c>
      <c r="N797" s="35">
        <v>-12.816667</v>
      </c>
      <c r="O797" s="34" t="s">
        <v>641</v>
      </c>
      <c r="P797" s="32" t="s">
        <v>643</v>
      </c>
      <c r="Q797" s="29">
        <v>1.0</v>
      </c>
      <c r="R797" s="29">
        <v>1.0</v>
      </c>
      <c r="S797" s="36">
        <v>1.1</v>
      </c>
      <c r="T797" s="36">
        <v>0.8</v>
      </c>
      <c r="U797" s="36">
        <f t="shared" ref="U797:V797" si="161">SQRT(S797)</f>
        <v>1.048808848</v>
      </c>
      <c r="V797" s="36">
        <f t="shared" si="161"/>
        <v>0.894427191</v>
      </c>
      <c r="W797" s="37" t="s">
        <v>603</v>
      </c>
      <c r="X797" s="31">
        <v>5.9</v>
      </c>
      <c r="Y797" s="36">
        <v>0.3186413483798729</v>
      </c>
      <c r="Z797" s="36">
        <v>2.1590909090909087</v>
      </c>
      <c r="AA797" s="29" t="s">
        <v>820</v>
      </c>
      <c r="AB797" s="35">
        <v>1.37</v>
      </c>
      <c r="AC797" s="35">
        <v>424.0</v>
      </c>
    </row>
    <row r="798" ht="14.25" customHeight="1">
      <c r="A798" s="35" t="s">
        <v>215</v>
      </c>
      <c r="B798" s="35">
        <v>152.0</v>
      </c>
      <c r="C798" s="35" t="s">
        <v>608</v>
      </c>
      <c r="D798" s="42" t="s">
        <v>1084</v>
      </c>
      <c r="E798" s="35">
        <v>349.0</v>
      </c>
      <c r="F798" s="39" t="s">
        <v>1085</v>
      </c>
      <c r="G798" s="35" t="s">
        <v>615</v>
      </c>
      <c r="H798" s="31">
        <v>0.64999</v>
      </c>
      <c r="I798" s="35" t="s">
        <v>612</v>
      </c>
      <c r="J798" s="35" t="s">
        <v>598</v>
      </c>
      <c r="K798" s="35" t="s">
        <v>599</v>
      </c>
      <c r="L798" s="35" t="s">
        <v>819</v>
      </c>
      <c r="M798" s="35">
        <v>-69.716667</v>
      </c>
      <c r="N798" s="35">
        <v>-12.816667</v>
      </c>
      <c r="O798" s="34" t="s">
        <v>641</v>
      </c>
      <c r="P798" s="32" t="s">
        <v>643</v>
      </c>
      <c r="Q798" s="29">
        <v>1.0</v>
      </c>
      <c r="R798" s="29">
        <v>1.0</v>
      </c>
      <c r="S798" s="36">
        <v>0.0</v>
      </c>
      <c r="T798" s="36">
        <v>0.9</v>
      </c>
      <c r="U798" s="36">
        <f t="shared" ref="U798:V798" si="162">SQRT(S798)</f>
        <v>0</v>
      </c>
      <c r="V798" s="36">
        <f t="shared" si="162"/>
        <v>0.9486832981</v>
      </c>
      <c r="W798" s="37" t="s">
        <v>603</v>
      </c>
      <c r="X798" s="31">
        <v>5.9</v>
      </c>
      <c r="Y798" s="36">
        <v>-8.262558973010657</v>
      </c>
      <c r="Z798" s="36">
        <v>2.0707567847196504</v>
      </c>
      <c r="AA798" s="29" t="s">
        <v>820</v>
      </c>
      <c r="AB798" s="35">
        <v>1.37</v>
      </c>
      <c r="AC798" s="35">
        <v>424.0</v>
      </c>
    </row>
    <row r="799" ht="14.25" customHeight="1">
      <c r="A799" s="35" t="s">
        <v>215</v>
      </c>
      <c r="B799" s="35">
        <v>152.0</v>
      </c>
      <c r="C799" s="35" t="s">
        <v>608</v>
      </c>
      <c r="D799" s="29" t="s">
        <v>617</v>
      </c>
      <c r="E799" s="29">
        <v>75.0</v>
      </c>
      <c r="F799" s="30" t="s">
        <v>618</v>
      </c>
      <c r="G799" s="29" t="s">
        <v>619</v>
      </c>
      <c r="H799" s="31">
        <v>4.2</v>
      </c>
      <c r="I799" s="29" t="s">
        <v>620</v>
      </c>
      <c r="J799" s="35" t="s">
        <v>598</v>
      </c>
      <c r="K799" s="35" t="s">
        <v>599</v>
      </c>
      <c r="L799" s="35" t="s">
        <v>819</v>
      </c>
      <c r="M799" s="35">
        <v>-69.716667</v>
      </c>
      <c r="N799" s="35">
        <v>-12.816667</v>
      </c>
      <c r="O799" s="34" t="s">
        <v>641</v>
      </c>
      <c r="P799" s="32" t="s">
        <v>643</v>
      </c>
      <c r="Q799" s="29">
        <v>1.0</v>
      </c>
      <c r="R799" s="29">
        <v>1.0</v>
      </c>
      <c r="S799" s="36">
        <v>0.4</v>
      </c>
      <c r="T799" s="36">
        <v>0.3</v>
      </c>
      <c r="U799" s="36">
        <f t="shared" ref="U799:V799" si="163">SQRT(S799)</f>
        <v>0.632455532</v>
      </c>
      <c r="V799" s="36">
        <f t="shared" si="163"/>
        <v>0.5477225575</v>
      </c>
      <c r="W799" s="37" t="s">
        <v>603</v>
      </c>
      <c r="X799" s="31">
        <v>5.9</v>
      </c>
      <c r="Y799" s="36">
        <v>0.2878755521853827</v>
      </c>
      <c r="Z799" s="36">
        <v>5.833333333333332</v>
      </c>
      <c r="AA799" s="29" t="s">
        <v>820</v>
      </c>
      <c r="AB799" s="35">
        <v>1.37</v>
      </c>
      <c r="AC799" s="35">
        <v>424.0</v>
      </c>
    </row>
    <row r="800" ht="14.25" customHeight="1">
      <c r="A800" s="35" t="s">
        <v>215</v>
      </c>
      <c r="B800" s="35">
        <v>152.0</v>
      </c>
      <c r="C800" s="35" t="s">
        <v>608</v>
      </c>
      <c r="D800" s="29" t="s">
        <v>973</v>
      </c>
      <c r="E800" s="29">
        <v>243.0</v>
      </c>
      <c r="F800" s="30" t="s">
        <v>974</v>
      </c>
      <c r="G800" s="29" t="s">
        <v>656</v>
      </c>
      <c r="H800" s="31">
        <v>1.09</v>
      </c>
      <c r="I800" s="29" t="s">
        <v>657</v>
      </c>
      <c r="J800" s="35" t="s">
        <v>598</v>
      </c>
      <c r="K800" s="35" t="s">
        <v>599</v>
      </c>
      <c r="L800" s="35" t="s">
        <v>819</v>
      </c>
      <c r="M800" s="35">
        <v>-69.716667</v>
      </c>
      <c r="N800" s="35">
        <v>-12.816667</v>
      </c>
      <c r="O800" s="34" t="s">
        <v>641</v>
      </c>
      <c r="P800" s="32" t="s">
        <v>643</v>
      </c>
      <c r="Q800" s="29">
        <v>1.0</v>
      </c>
      <c r="R800" s="29">
        <v>1.0</v>
      </c>
      <c r="S800" s="36">
        <v>0.0</v>
      </c>
      <c r="T800" s="36">
        <v>1.5</v>
      </c>
      <c r="U800" s="36">
        <f t="shared" ref="U800:V800" si="164">SQRT(S800)</f>
        <v>0</v>
      </c>
      <c r="V800" s="36">
        <f t="shared" si="164"/>
        <v>1.224744871</v>
      </c>
      <c r="W800" s="37" t="s">
        <v>603</v>
      </c>
      <c r="X800" s="31">
        <v>5.9</v>
      </c>
      <c r="Y800" s="36">
        <v>-8.262558973010657</v>
      </c>
      <c r="Z800" s="36">
        <v>1.7436862178478971</v>
      </c>
      <c r="AA800" s="29" t="s">
        <v>820</v>
      </c>
      <c r="AB800" s="35">
        <v>1.37</v>
      </c>
      <c r="AC800" s="35">
        <v>424.0</v>
      </c>
    </row>
    <row r="801" ht="14.25" customHeight="1">
      <c r="A801" s="35" t="s">
        <v>215</v>
      </c>
      <c r="B801" s="35">
        <v>152.0</v>
      </c>
      <c r="C801" s="35" t="s">
        <v>608</v>
      </c>
      <c r="D801" s="35" t="s">
        <v>1086</v>
      </c>
      <c r="E801" s="35">
        <v>353.0</v>
      </c>
      <c r="F801" s="39" t="s">
        <v>1087</v>
      </c>
      <c r="G801" s="29" t="s">
        <v>629</v>
      </c>
      <c r="H801" s="31">
        <v>7.575</v>
      </c>
      <c r="I801" s="29" t="s">
        <v>657</v>
      </c>
      <c r="J801" s="35" t="s">
        <v>598</v>
      </c>
      <c r="K801" s="35" t="s">
        <v>599</v>
      </c>
      <c r="L801" s="35" t="s">
        <v>819</v>
      </c>
      <c r="M801" s="35">
        <v>-69.716667</v>
      </c>
      <c r="N801" s="35">
        <v>-12.816667</v>
      </c>
      <c r="O801" s="34" t="s">
        <v>641</v>
      </c>
      <c r="P801" s="32" t="s">
        <v>643</v>
      </c>
      <c r="Q801" s="29">
        <v>1.0</v>
      </c>
      <c r="R801" s="29">
        <v>1.0</v>
      </c>
      <c r="S801" s="36">
        <v>0.0</v>
      </c>
      <c r="T801" s="36">
        <v>0.3</v>
      </c>
      <c r="U801" s="36">
        <f t="shared" ref="U801:V801" si="165">SQRT(S801)</f>
        <v>0</v>
      </c>
      <c r="V801" s="36">
        <f t="shared" si="165"/>
        <v>0.5477225575</v>
      </c>
      <c r="W801" s="37" t="s">
        <v>603</v>
      </c>
      <c r="X801" s="31">
        <v>5.9</v>
      </c>
      <c r="Y801" s="36">
        <v>-8.262558973010657</v>
      </c>
      <c r="Z801" s="36">
        <v>2.7151914961018218</v>
      </c>
      <c r="AA801" s="29" t="s">
        <v>820</v>
      </c>
      <c r="AB801" s="35">
        <v>1.37</v>
      </c>
      <c r="AC801" s="35">
        <v>424.0</v>
      </c>
    </row>
    <row r="802" ht="14.25" customHeight="1">
      <c r="A802" s="35" t="s">
        <v>215</v>
      </c>
      <c r="B802" s="35">
        <v>152.0</v>
      </c>
      <c r="C802" s="35" t="s">
        <v>608</v>
      </c>
      <c r="D802" s="35" t="s">
        <v>1088</v>
      </c>
      <c r="E802" s="35">
        <v>354.0</v>
      </c>
      <c r="F802" s="39" t="s">
        <v>1089</v>
      </c>
      <c r="G802" s="35" t="s">
        <v>656</v>
      </c>
      <c r="H802" s="31">
        <v>0.07575</v>
      </c>
      <c r="I802" s="35" t="s">
        <v>620</v>
      </c>
      <c r="J802" s="35" t="s">
        <v>598</v>
      </c>
      <c r="K802" s="35" t="s">
        <v>599</v>
      </c>
      <c r="L802" s="35" t="s">
        <v>819</v>
      </c>
      <c r="M802" s="35">
        <v>-69.716667</v>
      </c>
      <c r="N802" s="35">
        <v>-12.816667</v>
      </c>
      <c r="O802" s="34" t="s">
        <v>641</v>
      </c>
      <c r="P802" s="32" t="s">
        <v>643</v>
      </c>
      <c r="Q802" s="29">
        <v>1.0</v>
      </c>
      <c r="R802" s="29">
        <v>1.0</v>
      </c>
      <c r="S802" s="36">
        <v>0.4</v>
      </c>
      <c r="T802" s="36">
        <v>0.4</v>
      </c>
      <c r="U802" s="36">
        <f t="shared" ref="U802:V802" si="166">SQRT(S802)</f>
        <v>0.632455532</v>
      </c>
      <c r="V802" s="36">
        <f t="shared" si="166"/>
        <v>0.632455532</v>
      </c>
      <c r="W802" s="37" t="s">
        <v>603</v>
      </c>
      <c r="X802" s="31">
        <v>5.9</v>
      </c>
      <c r="Y802" s="36">
        <v>2.5796466027220563E-4</v>
      </c>
      <c r="Z802" s="36">
        <v>4.999999999999999</v>
      </c>
      <c r="AA802" s="29" t="s">
        <v>820</v>
      </c>
      <c r="AB802" s="35">
        <v>1.37</v>
      </c>
      <c r="AC802" s="35">
        <v>424.0</v>
      </c>
    </row>
    <row r="803" ht="14.25" customHeight="1">
      <c r="A803" s="35" t="s">
        <v>215</v>
      </c>
      <c r="B803" s="35">
        <v>152.0</v>
      </c>
      <c r="C803" s="35" t="s">
        <v>608</v>
      </c>
      <c r="D803" s="35" t="s">
        <v>1090</v>
      </c>
      <c r="E803" s="35">
        <v>355.0</v>
      </c>
      <c r="F803" s="39" t="s">
        <v>1091</v>
      </c>
      <c r="G803" s="35" t="s">
        <v>656</v>
      </c>
      <c r="H803" s="31">
        <v>0.04148333333333334</v>
      </c>
      <c r="I803" s="35" t="s">
        <v>616</v>
      </c>
      <c r="J803" s="35" t="s">
        <v>598</v>
      </c>
      <c r="K803" s="35" t="s">
        <v>599</v>
      </c>
      <c r="L803" s="35" t="s">
        <v>819</v>
      </c>
      <c r="M803" s="35">
        <v>-69.716667</v>
      </c>
      <c r="N803" s="35">
        <v>-12.816667</v>
      </c>
      <c r="O803" s="34" t="s">
        <v>641</v>
      </c>
      <c r="P803" s="32" t="s">
        <v>643</v>
      </c>
      <c r="Q803" s="29">
        <v>1.0</v>
      </c>
      <c r="R803" s="29">
        <v>1.0</v>
      </c>
      <c r="S803" s="36">
        <v>0.7</v>
      </c>
      <c r="T803" s="36">
        <v>0.1</v>
      </c>
      <c r="U803" s="36">
        <f t="shared" ref="U803:V803" si="167">SQRT(S803)</f>
        <v>0.8366600265</v>
      </c>
      <c r="V803" s="36">
        <f t="shared" si="167"/>
        <v>0.316227766</v>
      </c>
      <c r="W803" s="37" t="s">
        <v>603</v>
      </c>
      <c r="X803" s="31">
        <v>5.9</v>
      </c>
      <c r="Y803" s="36">
        <v>1.9459470052241186</v>
      </c>
      <c r="Z803" s="36">
        <v>11.428571428571427</v>
      </c>
      <c r="AA803" s="29" t="s">
        <v>820</v>
      </c>
      <c r="AB803" s="35">
        <v>1.37</v>
      </c>
      <c r="AC803" s="35">
        <v>424.0</v>
      </c>
    </row>
    <row r="804" ht="14.25" customHeight="1">
      <c r="A804" s="35" t="s">
        <v>215</v>
      </c>
      <c r="B804" s="35">
        <v>152.0</v>
      </c>
      <c r="C804" s="35" t="s">
        <v>608</v>
      </c>
      <c r="D804" s="35" t="s">
        <v>1092</v>
      </c>
      <c r="E804" s="35">
        <v>356.0</v>
      </c>
      <c r="F804" s="39" t="s">
        <v>1093</v>
      </c>
      <c r="G804" s="35" t="s">
        <v>656</v>
      </c>
      <c r="H804" s="31">
        <f>AVERAGE(0.021,0.015)</f>
        <v>0.018</v>
      </c>
      <c r="I804" s="35" t="s">
        <v>616</v>
      </c>
      <c r="J804" s="35" t="s">
        <v>598</v>
      </c>
      <c r="K804" s="35" t="s">
        <v>599</v>
      </c>
      <c r="L804" s="35" t="s">
        <v>819</v>
      </c>
      <c r="M804" s="35">
        <v>-69.716667</v>
      </c>
      <c r="N804" s="35">
        <v>-12.816667</v>
      </c>
      <c r="O804" s="34" t="s">
        <v>641</v>
      </c>
      <c r="P804" s="32" t="s">
        <v>643</v>
      </c>
      <c r="Q804" s="29">
        <v>1.0</v>
      </c>
      <c r="R804" s="29">
        <v>1.0</v>
      </c>
      <c r="S804" s="36">
        <v>1.0</v>
      </c>
      <c r="T804" s="36">
        <v>0.4</v>
      </c>
      <c r="U804" s="36">
        <f t="shared" ref="U804:V804" si="168">SQRT(S804)</f>
        <v>1</v>
      </c>
      <c r="V804" s="36">
        <f t="shared" si="168"/>
        <v>0.632455532</v>
      </c>
      <c r="W804" s="37" t="s">
        <v>603</v>
      </c>
      <c r="X804" s="31">
        <v>5.9</v>
      </c>
      <c r="Y804" s="36">
        <v>0.9163939257238932</v>
      </c>
      <c r="Z804" s="36">
        <v>3.4999999999999996</v>
      </c>
      <c r="AA804" s="29" t="s">
        <v>820</v>
      </c>
      <c r="AB804" s="35">
        <v>1.37</v>
      </c>
      <c r="AC804" s="35">
        <v>424.0</v>
      </c>
    </row>
    <row r="805" ht="14.25" customHeight="1">
      <c r="A805" s="35" t="s">
        <v>215</v>
      </c>
      <c r="B805" s="35">
        <v>152.0</v>
      </c>
      <c r="C805" s="35" t="s">
        <v>608</v>
      </c>
      <c r="D805" s="29" t="s">
        <v>677</v>
      </c>
      <c r="E805" s="29">
        <v>100.0</v>
      </c>
      <c r="F805" s="30" t="s">
        <v>678</v>
      </c>
      <c r="G805" s="29" t="s">
        <v>626</v>
      </c>
      <c r="H805" s="31">
        <v>22.8</v>
      </c>
      <c r="I805" s="29" t="s">
        <v>612</v>
      </c>
      <c r="J805" s="35" t="s">
        <v>598</v>
      </c>
      <c r="K805" s="35" t="s">
        <v>599</v>
      </c>
      <c r="L805" s="35" t="s">
        <v>819</v>
      </c>
      <c r="M805" s="35">
        <v>-69.716667</v>
      </c>
      <c r="N805" s="35">
        <v>-12.816667</v>
      </c>
      <c r="O805" s="34" t="s">
        <v>641</v>
      </c>
      <c r="P805" s="32" t="s">
        <v>643</v>
      </c>
      <c r="Q805" s="29">
        <v>1.0</v>
      </c>
      <c r="R805" s="29">
        <v>1.0</v>
      </c>
      <c r="S805" s="36">
        <v>0.4</v>
      </c>
      <c r="T805" s="36">
        <v>0.2</v>
      </c>
      <c r="U805" s="36">
        <f t="shared" ref="U805:V805" si="169">SQRT(S805)</f>
        <v>0.632455532</v>
      </c>
      <c r="V805" s="36">
        <f t="shared" si="169"/>
        <v>0.4472135955</v>
      </c>
      <c r="W805" s="37" t="s">
        <v>603</v>
      </c>
      <c r="X805" s="31">
        <v>5.9</v>
      </c>
      <c r="Y805" s="36">
        <v>0.6932761712083021</v>
      </c>
      <c r="Z805" s="36">
        <v>7.499999999999998</v>
      </c>
      <c r="AA805" s="29" t="s">
        <v>820</v>
      </c>
      <c r="AB805" s="35">
        <v>1.37</v>
      </c>
      <c r="AC805" s="35">
        <v>424.0</v>
      </c>
    </row>
    <row r="806" ht="14.25" customHeight="1">
      <c r="A806" s="35" t="s">
        <v>215</v>
      </c>
      <c r="B806" s="35">
        <v>152.0</v>
      </c>
      <c r="C806" s="35" t="s">
        <v>608</v>
      </c>
      <c r="D806" s="35" t="s">
        <v>1094</v>
      </c>
      <c r="E806" s="35">
        <v>357.0</v>
      </c>
      <c r="F806" s="39" t="s">
        <v>1095</v>
      </c>
      <c r="G806" s="35" t="s">
        <v>656</v>
      </c>
      <c r="H806" s="31">
        <v>0.375</v>
      </c>
      <c r="I806" s="35" t="s">
        <v>616</v>
      </c>
      <c r="J806" s="35" t="s">
        <v>598</v>
      </c>
      <c r="K806" s="35" t="s">
        <v>599</v>
      </c>
      <c r="L806" s="35" t="s">
        <v>819</v>
      </c>
      <c r="M806" s="35">
        <v>-69.716667</v>
      </c>
      <c r="N806" s="35">
        <v>-12.816667</v>
      </c>
      <c r="O806" s="34" t="s">
        <v>641</v>
      </c>
      <c r="P806" s="32" t="s">
        <v>643</v>
      </c>
      <c r="Q806" s="29">
        <v>1.0</v>
      </c>
      <c r="R806" s="29">
        <v>1.0</v>
      </c>
      <c r="S806" s="36">
        <v>0.0</v>
      </c>
      <c r="T806" s="36">
        <v>0.3</v>
      </c>
      <c r="U806" s="36">
        <f t="shared" ref="U806:V806" si="170">SQRT(S806)</f>
        <v>0</v>
      </c>
      <c r="V806" s="36">
        <f t="shared" si="170"/>
        <v>0.5477225575</v>
      </c>
      <c r="W806" s="37" t="s">
        <v>603</v>
      </c>
      <c r="X806" s="31">
        <v>5.9</v>
      </c>
      <c r="Y806" s="36">
        <v>-8.262558973010657</v>
      </c>
      <c r="Z806" s="36">
        <v>2.7151914961018218</v>
      </c>
      <c r="AA806" s="29" t="s">
        <v>820</v>
      </c>
      <c r="AB806" s="35">
        <v>1.37</v>
      </c>
      <c r="AC806" s="35">
        <v>424.0</v>
      </c>
    </row>
    <row r="807" ht="14.25" customHeight="1">
      <c r="A807" s="35" t="s">
        <v>215</v>
      </c>
      <c r="B807" s="35">
        <v>152.0</v>
      </c>
      <c r="C807" s="35" t="s">
        <v>608</v>
      </c>
      <c r="D807" s="35" t="s">
        <v>1096</v>
      </c>
      <c r="E807" s="29">
        <v>244.0</v>
      </c>
      <c r="F807" s="30" t="s">
        <v>1097</v>
      </c>
      <c r="G807" s="29" t="s">
        <v>615</v>
      </c>
      <c r="H807" s="31">
        <v>0.06</v>
      </c>
      <c r="I807" s="29" t="s">
        <v>616</v>
      </c>
      <c r="J807" s="35" t="s">
        <v>598</v>
      </c>
      <c r="K807" s="35" t="s">
        <v>599</v>
      </c>
      <c r="L807" s="35" t="s">
        <v>819</v>
      </c>
      <c r="M807" s="35">
        <v>-69.716667</v>
      </c>
      <c r="N807" s="35">
        <v>-12.816667</v>
      </c>
      <c r="O807" s="34" t="s">
        <v>641</v>
      </c>
      <c r="P807" s="32" t="s">
        <v>643</v>
      </c>
      <c r="Q807" s="29">
        <v>1.0</v>
      </c>
      <c r="R807" s="29">
        <v>1.0</v>
      </c>
      <c r="S807" s="36">
        <v>1.8</v>
      </c>
      <c r="T807" s="36">
        <v>1.4</v>
      </c>
      <c r="U807" s="36">
        <f t="shared" ref="U807:V807" si="171">SQRT(S807)</f>
        <v>1.341640786</v>
      </c>
      <c r="V807" s="36">
        <f t="shared" si="171"/>
        <v>1.183215957</v>
      </c>
      <c r="W807" s="37" t="s">
        <v>603</v>
      </c>
      <c r="X807" s="31">
        <v>5.9</v>
      </c>
      <c r="Y807" s="36">
        <v>0.2515150732117118</v>
      </c>
      <c r="Z807" s="36">
        <v>1.2698412698412698</v>
      </c>
      <c r="AA807" s="29" t="s">
        <v>820</v>
      </c>
      <c r="AB807" s="35">
        <v>1.37</v>
      </c>
      <c r="AC807" s="35">
        <v>424.0</v>
      </c>
    </row>
    <row r="808" ht="14.25" customHeight="1">
      <c r="A808" s="35" t="s">
        <v>215</v>
      </c>
      <c r="B808" s="35">
        <v>152.0</v>
      </c>
      <c r="C808" s="35" t="s">
        <v>608</v>
      </c>
      <c r="D808" s="29" t="s">
        <v>683</v>
      </c>
      <c r="E808" s="29">
        <v>122.0</v>
      </c>
      <c r="F808" s="30" t="s">
        <v>684</v>
      </c>
      <c r="G808" s="29" t="s">
        <v>629</v>
      </c>
      <c r="H808" s="31">
        <v>100.0</v>
      </c>
      <c r="I808" s="29" t="s">
        <v>657</v>
      </c>
      <c r="J808" s="35" t="s">
        <v>598</v>
      </c>
      <c r="K808" s="35" t="s">
        <v>599</v>
      </c>
      <c r="L808" s="35" t="s">
        <v>819</v>
      </c>
      <c r="M808" s="35">
        <v>-69.716667</v>
      </c>
      <c r="N808" s="35">
        <v>-12.816667</v>
      </c>
      <c r="O808" s="34" t="s">
        <v>641</v>
      </c>
      <c r="P808" s="32" t="s">
        <v>643</v>
      </c>
      <c r="Q808" s="29">
        <v>1.0</v>
      </c>
      <c r="R808" s="29">
        <v>1.0</v>
      </c>
      <c r="S808" s="36">
        <v>0.0</v>
      </c>
      <c r="T808" s="36">
        <v>0.1</v>
      </c>
      <c r="U808" s="36">
        <f t="shared" ref="U808:V808" si="172">SQRT(S808)</f>
        <v>0</v>
      </c>
      <c r="V808" s="36">
        <f t="shared" si="172"/>
        <v>0.316227766</v>
      </c>
      <c r="W808" s="37" t="s">
        <v>603</v>
      </c>
      <c r="X808" s="31">
        <v>5.9</v>
      </c>
      <c r="Y808" s="36">
        <v>-8.262558973010657</v>
      </c>
      <c r="Z808" s="36">
        <v>2.850632683380106</v>
      </c>
      <c r="AA808" s="29" t="s">
        <v>820</v>
      </c>
      <c r="AB808" s="35">
        <v>1.37</v>
      </c>
      <c r="AC808" s="35">
        <v>424.0</v>
      </c>
    </row>
    <row r="809" ht="14.25" customHeight="1">
      <c r="A809" s="35" t="s">
        <v>215</v>
      </c>
      <c r="B809" s="35">
        <v>152.0</v>
      </c>
      <c r="C809" s="35" t="s">
        <v>608</v>
      </c>
      <c r="D809" s="35" t="s">
        <v>1098</v>
      </c>
      <c r="E809" s="35">
        <v>358.0</v>
      </c>
      <c r="F809" s="39" t="s">
        <v>1099</v>
      </c>
      <c r="G809" s="35" t="s">
        <v>656</v>
      </c>
      <c r="H809" s="31">
        <v>0.5855</v>
      </c>
      <c r="I809" s="29" t="s">
        <v>657</v>
      </c>
      <c r="J809" s="35" t="s">
        <v>598</v>
      </c>
      <c r="K809" s="35" t="s">
        <v>599</v>
      </c>
      <c r="L809" s="35" t="s">
        <v>819</v>
      </c>
      <c r="M809" s="35">
        <v>-69.716667</v>
      </c>
      <c r="N809" s="35">
        <v>-12.816667</v>
      </c>
      <c r="O809" s="34" t="s">
        <v>641</v>
      </c>
      <c r="P809" s="32" t="s">
        <v>643</v>
      </c>
      <c r="Q809" s="29">
        <v>1.0</v>
      </c>
      <c r="R809" s="29">
        <v>1.0</v>
      </c>
      <c r="S809" s="36">
        <v>0.0</v>
      </c>
      <c r="T809" s="36">
        <v>0.5</v>
      </c>
      <c r="U809" s="36">
        <f t="shared" ref="U809:V809" si="173">SQRT(S809)</f>
        <v>0</v>
      </c>
      <c r="V809" s="36">
        <f t="shared" si="173"/>
        <v>0.7071067812</v>
      </c>
      <c r="W809" s="37" t="s">
        <v>603</v>
      </c>
      <c r="X809" s="31">
        <v>5.9</v>
      </c>
      <c r="Y809" s="36">
        <v>-8.262558973010657</v>
      </c>
      <c r="Z809" s="36">
        <v>2.4571067811865475</v>
      </c>
      <c r="AA809" s="29" t="s">
        <v>820</v>
      </c>
      <c r="AB809" s="35">
        <v>1.37</v>
      </c>
      <c r="AC809" s="35">
        <v>424.0</v>
      </c>
    </row>
    <row r="810" ht="14.25" customHeight="1">
      <c r="A810" s="35" t="s">
        <v>215</v>
      </c>
      <c r="B810" s="35">
        <v>152.0</v>
      </c>
      <c r="C810" s="35" t="s">
        <v>608</v>
      </c>
      <c r="D810" s="29" t="s">
        <v>687</v>
      </c>
      <c r="E810" s="29">
        <v>217.0</v>
      </c>
      <c r="F810" s="30" t="s">
        <v>688</v>
      </c>
      <c r="G810" s="29" t="s">
        <v>629</v>
      </c>
      <c r="H810" s="31">
        <v>3.0</v>
      </c>
      <c r="I810" s="29" t="s">
        <v>597</v>
      </c>
      <c r="J810" s="35" t="s">
        <v>598</v>
      </c>
      <c r="K810" s="35" t="s">
        <v>599</v>
      </c>
      <c r="L810" s="35" t="s">
        <v>819</v>
      </c>
      <c r="M810" s="35">
        <v>-69.716667</v>
      </c>
      <c r="N810" s="35">
        <v>-12.816667</v>
      </c>
      <c r="O810" s="34" t="s">
        <v>641</v>
      </c>
      <c r="P810" s="32" t="s">
        <v>643</v>
      </c>
      <c r="Q810" s="29">
        <v>1.0</v>
      </c>
      <c r="R810" s="29">
        <v>1.0</v>
      </c>
      <c r="S810" s="36">
        <v>0.0</v>
      </c>
      <c r="T810" s="36">
        <v>1.9</v>
      </c>
      <c r="U810" s="36">
        <f t="shared" ref="U810:V810" si="174">SQRT(S810)</f>
        <v>0</v>
      </c>
      <c r="V810" s="36">
        <f t="shared" si="174"/>
        <v>1.378404875</v>
      </c>
      <c r="W810" s="37" t="s">
        <v>603</v>
      </c>
      <c r="X810" s="31">
        <v>5.9</v>
      </c>
      <c r="Y810" s="36">
        <v>-8.262558973010657</v>
      </c>
      <c r="Z810" s="36">
        <v>1.6125702908348996</v>
      </c>
      <c r="AA810" s="29" t="s">
        <v>820</v>
      </c>
      <c r="AB810" s="35">
        <v>1.37</v>
      </c>
      <c r="AC810" s="35">
        <v>424.0</v>
      </c>
    </row>
    <row r="811" ht="14.25" customHeight="1">
      <c r="A811" s="35" t="s">
        <v>215</v>
      </c>
      <c r="B811" s="35">
        <v>152.0</v>
      </c>
      <c r="C811" s="35" t="s">
        <v>608</v>
      </c>
      <c r="D811" s="35" t="s">
        <v>1100</v>
      </c>
      <c r="E811" s="35">
        <v>360.0</v>
      </c>
      <c r="F811" s="39" t="s">
        <v>1101</v>
      </c>
      <c r="G811" s="29" t="s">
        <v>629</v>
      </c>
      <c r="H811" s="31">
        <f>AVERAGE(1.2,1.2,1.25,1.25,3)</f>
        <v>1.58</v>
      </c>
      <c r="I811" s="29" t="s">
        <v>597</v>
      </c>
      <c r="J811" s="35" t="s">
        <v>598</v>
      </c>
      <c r="K811" s="35" t="s">
        <v>599</v>
      </c>
      <c r="L811" s="35" t="s">
        <v>819</v>
      </c>
      <c r="M811" s="35">
        <v>-69.716667</v>
      </c>
      <c r="N811" s="35">
        <v>-12.816667</v>
      </c>
      <c r="O811" s="34" t="s">
        <v>641</v>
      </c>
      <c r="P811" s="32" t="s">
        <v>643</v>
      </c>
      <c r="Q811" s="29">
        <v>1.0</v>
      </c>
      <c r="R811" s="29">
        <v>1.0</v>
      </c>
      <c r="S811" s="36">
        <v>0.7</v>
      </c>
      <c r="T811" s="36">
        <v>0.4</v>
      </c>
      <c r="U811" s="36">
        <f t="shared" ref="U811:V811" si="175">SQRT(S811)</f>
        <v>0.8366600265</v>
      </c>
      <c r="V811" s="36">
        <f t="shared" si="175"/>
        <v>0.632455532</v>
      </c>
      <c r="W811" s="37" t="s">
        <v>603</v>
      </c>
      <c r="X811" s="31">
        <v>5.9</v>
      </c>
      <c r="Y811" s="36">
        <v>0.559763204461082</v>
      </c>
      <c r="Z811" s="36">
        <v>3.9285714285714284</v>
      </c>
      <c r="AA811" s="29" t="s">
        <v>820</v>
      </c>
      <c r="AB811" s="35">
        <v>1.37</v>
      </c>
      <c r="AC811" s="35">
        <v>424.0</v>
      </c>
    </row>
    <row r="812" ht="14.25" customHeight="1">
      <c r="A812" s="35" t="s">
        <v>215</v>
      </c>
      <c r="B812" s="35">
        <v>152.0</v>
      </c>
      <c r="C812" s="35" t="s">
        <v>608</v>
      </c>
      <c r="D812" s="35" t="s">
        <v>1102</v>
      </c>
      <c r="E812" s="29">
        <v>246.0</v>
      </c>
      <c r="F812" s="30" t="s">
        <v>1103</v>
      </c>
      <c r="G812" s="35" t="s">
        <v>615</v>
      </c>
      <c r="H812" s="31">
        <v>0.29</v>
      </c>
      <c r="I812" s="29" t="s">
        <v>612</v>
      </c>
      <c r="J812" s="35" t="s">
        <v>598</v>
      </c>
      <c r="K812" s="35" t="s">
        <v>599</v>
      </c>
      <c r="L812" s="35" t="s">
        <v>819</v>
      </c>
      <c r="M812" s="35">
        <v>-69.716667</v>
      </c>
      <c r="N812" s="35">
        <v>-12.816667</v>
      </c>
      <c r="O812" s="34" t="s">
        <v>641</v>
      </c>
      <c r="P812" s="32" t="s">
        <v>643</v>
      </c>
      <c r="Q812" s="29">
        <v>1.0</v>
      </c>
      <c r="R812" s="29">
        <v>1.0</v>
      </c>
      <c r="S812" s="36">
        <v>7.0</v>
      </c>
      <c r="T812" s="36">
        <v>14.8</v>
      </c>
      <c r="U812" s="36">
        <f t="shared" ref="U812:V812" si="176">SQRT(S812)</f>
        <v>2.645751311</v>
      </c>
      <c r="V812" s="36">
        <f t="shared" si="176"/>
        <v>3.847076812</v>
      </c>
      <c r="W812" s="37" t="s">
        <v>603</v>
      </c>
      <c r="X812" s="31">
        <v>5.9</v>
      </c>
      <c r="Y812" s="36">
        <v>-0.7481716990851924</v>
      </c>
      <c r="Z812" s="36">
        <v>0.21042471042471045</v>
      </c>
      <c r="AA812" s="29" t="s">
        <v>820</v>
      </c>
      <c r="AB812" s="35">
        <v>1.37</v>
      </c>
      <c r="AC812" s="35">
        <v>424.0</v>
      </c>
    </row>
    <row r="813" ht="14.25" customHeight="1">
      <c r="A813" s="35" t="s">
        <v>215</v>
      </c>
      <c r="B813" s="35">
        <v>152.0</v>
      </c>
      <c r="C813" s="35" t="s">
        <v>608</v>
      </c>
      <c r="D813" s="35" t="s">
        <v>723</v>
      </c>
      <c r="E813" s="35">
        <v>158.0</v>
      </c>
      <c r="F813" s="39" t="s">
        <v>724</v>
      </c>
      <c r="G813" s="29" t="s">
        <v>629</v>
      </c>
      <c r="H813" s="31">
        <v>51.6</v>
      </c>
      <c r="I813" s="29" t="s">
        <v>657</v>
      </c>
      <c r="J813" s="35" t="s">
        <v>598</v>
      </c>
      <c r="K813" s="35" t="s">
        <v>599</v>
      </c>
      <c r="L813" s="35" t="s">
        <v>819</v>
      </c>
      <c r="M813" s="35">
        <v>-69.716667</v>
      </c>
      <c r="N813" s="35">
        <v>-12.816667</v>
      </c>
      <c r="O813" s="34" t="s">
        <v>641</v>
      </c>
      <c r="P813" s="32" t="s">
        <v>643</v>
      </c>
      <c r="Q813" s="29">
        <v>1.0</v>
      </c>
      <c r="R813" s="29">
        <v>1.0</v>
      </c>
      <c r="S813" s="36">
        <v>0.4</v>
      </c>
      <c r="T813" s="36">
        <v>0.1</v>
      </c>
      <c r="U813" s="36">
        <f t="shared" ref="U813:V813" si="177">SQRT(S813)</f>
        <v>0.632455532</v>
      </c>
      <c r="V813" s="36">
        <f t="shared" si="177"/>
        <v>0.316227766</v>
      </c>
      <c r="W813" s="37" t="s">
        <v>603</v>
      </c>
      <c r="X813" s="31">
        <v>5.9</v>
      </c>
      <c r="Y813" s="36">
        <v>1.3863588585238926</v>
      </c>
      <c r="Z813" s="36">
        <v>12.499999999999998</v>
      </c>
      <c r="AA813" s="29" t="s">
        <v>820</v>
      </c>
      <c r="AB813" s="35">
        <v>1.37</v>
      </c>
      <c r="AC813" s="35">
        <v>424.0</v>
      </c>
    </row>
    <row r="814" ht="14.25" customHeight="1">
      <c r="A814" s="35" t="s">
        <v>215</v>
      </c>
      <c r="B814" s="35">
        <v>152.0</v>
      </c>
      <c r="C814" s="35" t="s">
        <v>608</v>
      </c>
      <c r="D814" s="35" t="s">
        <v>836</v>
      </c>
      <c r="E814" s="29">
        <v>218.0</v>
      </c>
      <c r="F814" s="39" t="s">
        <v>837</v>
      </c>
      <c r="G814" s="35" t="s">
        <v>611</v>
      </c>
      <c r="H814" s="31">
        <v>0.47</v>
      </c>
      <c r="I814" s="29" t="s">
        <v>616</v>
      </c>
      <c r="J814" s="35" t="s">
        <v>598</v>
      </c>
      <c r="K814" s="35" t="s">
        <v>599</v>
      </c>
      <c r="L814" s="35" t="s">
        <v>819</v>
      </c>
      <c r="M814" s="35">
        <v>-69.716667</v>
      </c>
      <c r="N814" s="35">
        <v>-12.816667</v>
      </c>
      <c r="O814" s="34" t="s">
        <v>641</v>
      </c>
      <c r="P814" s="32" t="s">
        <v>643</v>
      </c>
      <c r="Q814" s="29">
        <v>1.0</v>
      </c>
      <c r="R814" s="29">
        <v>1.0</v>
      </c>
      <c r="S814" s="36">
        <v>1.7</v>
      </c>
      <c r="T814" s="36">
        <v>0.4</v>
      </c>
      <c r="U814" s="36">
        <f t="shared" ref="U814:V814" si="178">SQRT(S814)</f>
        <v>1.303840481</v>
      </c>
      <c r="V814" s="36">
        <f t="shared" si="178"/>
        <v>0.632455532</v>
      </c>
      <c r="W814" s="37" t="s">
        <v>1072</v>
      </c>
      <c r="X814" s="31">
        <v>5.9</v>
      </c>
      <c r="Y814" s="36">
        <v>1.4469796864905373</v>
      </c>
      <c r="Z814" s="36">
        <v>3.0882352941176467</v>
      </c>
      <c r="AA814" s="29" t="s">
        <v>820</v>
      </c>
      <c r="AB814" s="35">
        <v>1.37</v>
      </c>
      <c r="AC814" s="35">
        <v>424.0</v>
      </c>
    </row>
    <row r="815" ht="14.25" customHeight="1">
      <c r="A815" s="35" t="s">
        <v>215</v>
      </c>
      <c r="B815" s="35">
        <v>152.0</v>
      </c>
      <c r="C815" s="35" t="s">
        <v>608</v>
      </c>
      <c r="D815" s="29" t="s">
        <v>1104</v>
      </c>
      <c r="E815" s="29">
        <v>171.0</v>
      </c>
      <c r="F815" s="30" t="s">
        <v>1105</v>
      </c>
      <c r="G815" s="35" t="s">
        <v>611</v>
      </c>
      <c r="H815" s="31">
        <v>0.68</v>
      </c>
      <c r="I815" s="29" t="s">
        <v>616</v>
      </c>
      <c r="J815" s="35" t="s">
        <v>598</v>
      </c>
      <c r="K815" s="35" t="s">
        <v>599</v>
      </c>
      <c r="L815" s="35" t="s">
        <v>819</v>
      </c>
      <c r="M815" s="35">
        <v>-69.716667</v>
      </c>
      <c r="N815" s="35">
        <v>-12.816667</v>
      </c>
      <c r="O815" s="34" t="s">
        <v>641</v>
      </c>
      <c r="P815" s="32" t="s">
        <v>643</v>
      </c>
      <c r="Q815" s="29">
        <v>1.0</v>
      </c>
      <c r="R815" s="29">
        <v>1.0</v>
      </c>
      <c r="S815" s="36">
        <v>0.2</v>
      </c>
      <c r="T815" s="36">
        <v>2.1</v>
      </c>
      <c r="U815" s="36">
        <f t="shared" ref="U815:V815" si="179">SQRT(S815)</f>
        <v>0.4472135955</v>
      </c>
      <c r="V815" s="36">
        <f t="shared" si="179"/>
        <v>1.449137675</v>
      </c>
      <c r="W815" s="37" t="s">
        <v>1072</v>
      </c>
      <c r="X815" s="31">
        <v>5.9</v>
      </c>
      <c r="Y815" s="36">
        <v>-2.3486699415038603</v>
      </c>
      <c r="Z815" s="36">
        <v>5.4761904761904745</v>
      </c>
      <c r="AA815" s="29" t="s">
        <v>820</v>
      </c>
      <c r="AB815" s="35">
        <v>1.37</v>
      </c>
      <c r="AC815" s="35">
        <v>424.0</v>
      </c>
    </row>
    <row r="816" ht="14.25" customHeight="1">
      <c r="A816" s="35" t="s">
        <v>215</v>
      </c>
      <c r="B816" s="35">
        <v>152.0</v>
      </c>
      <c r="C816" s="35" t="s">
        <v>608</v>
      </c>
      <c r="D816" s="29" t="s">
        <v>632</v>
      </c>
      <c r="E816" s="29">
        <v>173.0</v>
      </c>
      <c r="F816" s="30" t="s">
        <v>633</v>
      </c>
      <c r="G816" s="29" t="s">
        <v>611</v>
      </c>
      <c r="H816" s="31">
        <v>2.5</v>
      </c>
      <c r="I816" s="29" t="s">
        <v>616</v>
      </c>
      <c r="J816" s="35" t="s">
        <v>598</v>
      </c>
      <c r="K816" s="35" t="s">
        <v>599</v>
      </c>
      <c r="L816" s="35" t="s">
        <v>819</v>
      </c>
      <c r="M816" s="35">
        <v>-69.716667</v>
      </c>
      <c r="N816" s="35">
        <v>-12.816667</v>
      </c>
      <c r="O816" s="34" t="s">
        <v>641</v>
      </c>
      <c r="P816" s="32" t="s">
        <v>643</v>
      </c>
      <c r="Q816" s="29">
        <v>1.0</v>
      </c>
      <c r="R816" s="29">
        <v>1.0</v>
      </c>
      <c r="S816" s="36">
        <v>0.4</v>
      </c>
      <c r="T816" s="36">
        <v>1.9</v>
      </c>
      <c r="U816" s="36">
        <f t="shared" ref="U816:V816" si="180">SQRT(S816)</f>
        <v>0.632455532</v>
      </c>
      <c r="V816" s="36">
        <f t="shared" si="180"/>
        <v>1.378404875</v>
      </c>
      <c r="W816" s="37" t="s">
        <v>1072</v>
      </c>
      <c r="X816" s="31">
        <v>5.9</v>
      </c>
      <c r="Y816" s="36">
        <v>-1.556919878150654</v>
      </c>
      <c r="Z816" s="36">
        <v>3.0263157894736836</v>
      </c>
      <c r="AA816" s="29" t="s">
        <v>820</v>
      </c>
      <c r="AB816" s="35">
        <v>1.37</v>
      </c>
      <c r="AC816" s="35">
        <v>424.0</v>
      </c>
    </row>
    <row r="817" ht="14.25" customHeight="1">
      <c r="A817" s="35" t="s">
        <v>215</v>
      </c>
      <c r="B817" s="35">
        <v>152.0</v>
      </c>
      <c r="C817" s="35" t="s">
        <v>608</v>
      </c>
      <c r="D817" s="29" t="s">
        <v>1035</v>
      </c>
      <c r="E817" s="29">
        <v>176.0</v>
      </c>
      <c r="F817" s="30" t="s">
        <v>1036</v>
      </c>
      <c r="G817" s="29" t="s">
        <v>615</v>
      </c>
      <c r="H817" s="31">
        <v>0.6</v>
      </c>
      <c r="I817" s="29" t="s">
        <v>597</v>
      </c>
      <c r="J817" s="35" t="s">
        <v>598</v>
      </c>
      <c r="K817" s="35" t="s">
        <v>599</v>
      </c>
      <c r="L817" s="35" t="s">
        <v>819</v>
      </c>
      <c r="M817" s="35">
        <v>-69.716667</v>
      </c>
      <c r="N817" s="35">
        <v>-12.816667</v>
      </c>
      <c r="O817" s="34" t="s">
        <v>641</v>
      </c>
      <c r="P817" s="32" t="s">
        <v>643</v>
      </c>
      <c r="Q817" s="29">
        <v>1.0</v>
      </c>
      <c r="R817" s="29">
        <v>1.0</v>
      </c>
      <c r="S817" s="36">
        <v>3.6</v>
      </c>
      <c r="T817" s="36">
        <v>4.5</v>
      </c>
      <c r="U817" s="36">
        <f t="shared" ref="U817:V817" si="181">SQRT(S817)</f>
        <v>1.897366596</v>
      </c>
      <c r="V817" s="36">
        <f t="shared" si="181"/>
        <v>2.121320344</v>
      </c>
      <c r="W817" s="37" t="s">
        <v>603</v>
      </c>
      <c r="X817" s="31">
        <v>5.9</v>
      </c>
      <c r="Y817" s="36">
        <v>-0.22282110588530427</v>
      </c>
      <c r="Z817" s="36">
        <v>0.4999999999999999</v>
      </c>
      <c r="AA817" s="29" t="s">
        <v>820</v>
      </c>
      <c r="AB817" s="35">
        <v>1.37</v>
      </c>
      <c r="AC817" s="35">
        <v>424.0</v>
      </c>
    </row>
    <row r="818" ht="14.25" customHeight="1">
      <c r="A818" s="35" t="s">
        <v>215</v>
      </c>
      <c r="B818" s="35">
        <v>152.0</v>
      </c>
      <c r="C818" s="35" t="s">
        <v>608</v>
      </c>
      <c r="D818" s="35" t="s">
        <v>1106</v>
      </c>
      <c r="E818" s="35">
        <v>362.0</v>
      </c>
      <c r="F818" s="39" t="s">
        <v>1107</v>
      </c>
      <c r="G818" s="29" t="s">
        <v>615</v>
      </c>
      <c r="H818" s="31">
        <v>0.2</v>
      </c>
      <c r="I818" s="29" t="s">
        <v>597</v>
      </c>
      <c r="J818" s="35" t="s">
        <v>598</v>
      </c>
      <c r="K818" s="35" t="s">
        <v>599</v>
      </c>
      <c r="L818" s="35" t="s">
        <v>819</v>
      </c>
      <c r="M818" s="35">
        <v>-69.716667</v>
      </c>
      <c r="N818" s="35">
        <v>-12.816667</v>
      </c>
      <c r="O818" s="34" t="s">
        <v>641</v>
      </c>
      <c r="P818" s="32" t="s">
        <v>643</v>
      </c>
      <c r="Q818" s="29">
        <v>1.0</v>
      </c>
      <c r="R818" s="29">
        <v>1.0</v>
      </c>
      <c r="S818" s="36">
        <v>0.0</v>
      </c>
      <c r="T818" s="36">
        <v>0.4</v>
      </c>
      <c r="U818" s="36">
        <f t="shared" ref="U818:V818" si="182">SQRT(S818)</f>
        <v>0</v>
      </c>
      <c r="V818" s="36">
        <f t="shared" si="182"/>
        <v>0.632455532</v>
      </c>
      <c r="W818" s="37" t="s">
        <v>603</v>
      </c>
      <c r="X818" s="31">
        <v>5.9</v>
      </c>
      <c r="Y818" s="36">
        <v>-8.262558973010657</v>
      </c>
      <c r="Z818" s="36">
        <v>2.5832784346094764</v>
      </c>
      <c r="AA818" s="29" t="s">
        <v>820</v>
      </c>
      <c r="AB818" s="35">
        <v>1.37</v>
      </c>
      <c r="AC818" s="35">
        <v>424.0</v>
      </c>
    </row>
    <row r="819" ht="14.25" customHeight="1">
      <c r="A819" s="29" t="s">
        <v>220</v>
      </c>
      <c r="B819" s="29">
        <v>57.0</v>
      </c>
      <c r="C819" s="29" t="s">
        <v>593</v>
      </c>
      <c r="D819" s="29" t="s">
        <v>1108</v>
      </c>
      <c r="E819" s="29">
        <v>67.0</v>
      </c>
      <c r="F819" s="30" t="s">
        <v>1109</v>
      </c>
      <c r="G819" s="29" t="s">
        <v>596</v>
      </c>
      <c r="H819" s="31">
        <v>0.4</v>
      </c>
      <c r="I819" s="29" t="s">
        <v>597</v>
      </c>
      <c r="J819" s="32" t="s">
        <v>598</v>
      </c>
      <c r="K819" s="29" t="s">
        <v>599</v>
      </c>
      <c r="L819" s="29" t="s">
        <v>819</v>
      </c>
      <c r="M819" s="33">
        <v>-71.63</v>
      </c>
      <c r="N819" s="33">
        <v>-11.864</v>
      </c>
      <c r="O819" s="34" t="s">
        <v>601</v>
      </c>
      <c r="P819" s="32" t="s">
        <v>602</v>
      </c>
      <c r="Q819" s="35">
        <v>3.0</v>
      </c>
      <c r="R819" s="35">
        <v>3.0</v>
      </c>
      <c r="S819" s="36">
        <v>15.3</v>
      </c>
      <c r="T819" s="36">
        <v>15.9</v>
      </c>
      <c r="U819" s="36">
        <v>3.4731</v>
      </c>
      <c r="V819" s="36">
        <v>3.6093</v>
      </c>
      <c r="W819" s="37" t="s">
        <v>623</v>
      </c>
      <c r="X819" s="31">
        <v>15.0</v>
      </c>
      <c r="Y819" s="36">
        <v>-0.037114050079196124</v>
      </c>
      <c r="Z819" s="36">
        <v>0.03435266666666667</v>
      </c>
      <c r="AA819" s="29" t="s">
        <v>820</v>
      </c>
      <c r="AB819" s="31">
        <v>0.0774280056357</v>
      </c>
      <c r="AC819" s="38">
        <v>1667.0</v>
      </c>
    </row>
    <row r="820" ht="14.25" customHeight="1">
      <c r="A820" s="29" t="s">
        <v>220</v>
      </c>
      <c r="B820" s="29">
        <v>57.0</v>
      </c>
      <c r="C820" s="29" t="s">
        <v>593</v>
      </c>
      <c r="D820" s="29" t="s">
        <v>862</v>
      </c>
      <c r="E820" s="29">
        <v>104.0</v>
      </c>
      <c r="F820" s="30" t="s">
        <v>863</v>
      </c>
      <c r="G820" s="29" t="s">
        <v>607</v>
      </c>
      <c r="H820" s="31">
        <v>2.77</v>
      </c>
      <c r="I820" s="29" t="s">
        <v>597</v>
      </c>
      <c r="J820" s="32" t="s">
        <v>598</v>
      </c>
      <c r="K820" s="29" t="s">
        <v>599</v>
      </c>
      <c r="L820" s="29" t="s">
        <v>819</v>
      </c>
      <c r="M820" s="33">
        <v>-71.63</v>
      </c>
      <c r="N820" s="33">
        <v>-11.864</v>
      </c>
      <c r="O820" s="34" t="s">
        <v>601</v>
      </c>
      <c r="P820" s="32" t="s">
        <v>602</v>
      </c>
      <c r="Q820" s="35">
        <v>3.0</v>
      </c>
      <c r="R820" s="35">
        <v>3.0</v>
      </c>
      <c r="S820" s="36">
        <v>7.89</v>
      </c>
      <c r="T820" s="36">
        <v>8.9</v>
      </c>
      <c r="U820" s="36">
        <v>1.6332</v>
      </c>
      <c r="V820" s="36">
        <v>1.6287</v>
      </c>
      <c r="W820" s="37" t="s">
        <v>623</v>
      </c>
      <c r="X820" s="31">
        <v>15.0</v>
      </c>
      <c r="Y820" s="36">
        <v>-0.11898745625560923</v>
      </c>
      <c r="Z820" s="36">
        <v>0.025445475289990218</v>
      </c>
      <c r="AA820" s="29" t="s">
        <v>820</v>
      </c>
      <c r="AB820" s="31">
        <v>0.0774280056357</v>
      </c>
      <c r="AC820" s="38">
        <v>1667.0</v>
      </c>
    </row>
    <row r="821" ht="14.25" customHeight="1">
      <c r="A821" s="29" t="s">
        <v>220</v>
      </c>
      <c r="B821" s="29">
        <v>57.0</v>
      </c>
      <c r="C821" s="29" t="s">
        <v>593</v>
      </c>
      <c r="D821" s="29" t="s">
        <v>1110</v>
      </c>
      <c r="E821" s="29">
        <v>115.0</v>
      </c>
      <c r="F821" s="30" t="s">
        <v>1111</v>
      </c>
      <c r="G821" s="29" t="s">
        <v>607</v>
      </c>
      <c r="H821" s="31">
        <v>0.31</v>
      </c>
      <c r="I821" s="29" t="s">
        <v>616</v>
      </c>
      <c r="J821" s="32" t="s">
        <v>598</v>
      </c>
      <c r="K821" s="29" t="s">
        <v>599</v>
      </c>
      <c r="L821" s="29" t="s">
        <v>819</v>
      </c>
      <c r="M821" s="33">
        <v>-71.63</v>
      </c>
      <c r="N821" s="33">
        <v>-11.864</v>
      </c>
      <c r="O821" s="34" t="s">
        <v>601</v>
      </c>
      <c r="P821" s="32" t="s">
        <v>602</v>
      </c>
      <c r="Q821" s="35">
        <v>3.0</v>
      </c>
      <c r="R821" s="35">
        <v>3.0</v>
      </c>
      <c r="S821" s="36">
        <v>86.8</v>
      </c>
      <c r="T821" s="36">
        <v>48.6</v>
      </c>
      <c r="U821" s="36">
        <v>28.3836</v>
      </c>
      <c r="V821" s="36">
        <v>15.309</v>
      </c>
      <c r="W821" s="37" t="s">
        <v>623</v>
      </c>
      <c r="X821" s="31">
        <v>15.0</v>
      </c>
      <c r="Y821" s="36">
        <v>0.5807118717934214</v>
      </c>
      <c r="Z821" s="36">
        <v>0.068718</v>
      </c>
      <c r="AA821" s="29" t="s">
        <v>820</v>
      </c>
      <c r="AB821" s="31">
        <v>0.0774280056357</v>
      </c>
      <c r="AC821" s="38">
        <v>1667.0</v>
      </c>
    </row>
    <row r="822" ht="14.25" customHeight="1">
      <c r="A822" s="29" t="s">
        <v>220</v>
      </c>
      <c r="B822" s="29">
        <v>57.0</v>
      </c>
      <c r="C822" s="29" t="s">
        <v>593</v>
      </c>
      <c r="D822" s="29" t="s">
        <v>1112</v>
      </c>
      <c r="E822" s="29">
        <v>130.0</v>
      </c>
      <c r="F822" s="30" t="s">
        <v>867</v>
      </c>
      <c r="G822" s="29" t="s">
        <v>607</v>
      </c>
      <c r="H822" s="31">
        <v>1.49</v>
      </c>
      <c r="I822" s="29" t="s">
        <v>597</v>
      </c>
      <c r="J822" s="32" t="s">
        <v>598</v>
      </c>
      <c r="K822" s="29" t="s">
        <v>599</v>
      </c>
      <c r="L822" s="29" t="s">
        <v>819</v>
      </c>
      <c r="M822" s="33">
        <v>-71.63</v>
      </c>
      <c r="N822" s="33">
        <v>-11.864</v>
      </c>
      <c r="O822" s="34" t="s">
        <v>601</v>
      </c>
      <c r="P822" s="32" t="s">
        <v>602</v>
      </c>
      <c r="Q822" s="35">
        <v>3.0</v>
      </c>
      <c r="R822" s="35">
        <v>3.0</v>
      </c>
      <c r="S822" s="36">
        <v>29.3</v>
      </c>
      <c r="T822" s="36">
        <v>13.7</v>
      </c>
      <c r="U822" s="36">
        <v>5.5963</v>
      </c>
      <c r="V822" s="36">
        <v>3.0962</v>
      </c>
      <c r="W822" s="37" t="s">
        <v>623</v>
      </c>
      <c r="X822" s="31">
        <v>15.0</v>
      </c>
      <c r="Y822" s="36">
        <v>0.7608003218784999</v>
      </c>
      <c r="Z822" s="36">
        <v>0.029185666666666672</v>
      </c>
      <c r="AA822" s="29" t="s">
        <v>820</v>
      </c>
      <c r="AB822" s="31">
        <v>0.0774280056357</v>
      </c>
      <c r="AC822" s="38">
        <v>1667.0</v>
      </c>
    </row>
    <row r="823" ht="14.25" customHeight="1">
      <c r="A823" s="29" t="s">
        <v>220</v>
      </c>
      <c r="B823" s="29">
        <v>57.0</v>
      </c>
      <c r="C823" s="29" t="s">
        <v>593</v>
      </c>
      <c r="D823" s="29" t="s">
        <v>1113</v>
      </c>
      <c r="E823" s="29">
        <v>139.0</v>
      </c>
      <c r="F823" s="30" t="s">
        <v>869</v>
      </c>
      <c r="G823" s="29" t="s">
        <v>607</v>
      </c>
      <c r="H823" s="31">
        <v>1.24</v>
      </c>
      <c r="I823" s="29" t="s">
        <v>597</v>
      </c>
      <c r="J823" s="32" t="s">
        <v>598</v>
      </c>
      <c r="K823" s="29" t="s">
        <v>599</v>
      </c>
      <c r="L823" s="29" t="s">
        <v>819</v>
      </c>
      <c r="M823" s="33">
        <v>-71.63</v>
      </c>
      <c r="N823" s="33">
        <v>-11.864</v>
      </c>
      <c r="O823" s="34" t="s">
        <v>601</v>
      </c>
      <c r="P823" s="32" t="s">
        <v>602</v>
      </c>
      <c r="Q823" s="35">
        <v>3.0</v>
      </c>
      <c r="R823" s="35">
        <v>3.0</v>
      </c>
      <c r="S823" s="36">
        <v>1.07</v>
      </c>
      <c r="T823" s="36">
        <v>1.55</v>
      </c>
      <c r="U823" s="36">
        <v>0.8164</v>
      </c>
      <c r="V823" s="36">
        <v>0.8246</v>
      </c>
      <c r="W823" s="37" t="s">
        <v>623</v>
      </c>
      <c r="X823" s="31">
        <v>15.0</v>
      </c>
      <c r="Y823" s="36">
        <v>-0.3687118636074737</v>
      </c>
      <c r="Z823" s="36">
        <v>0.28839291280170026</v>
      </c>
      <c r="AA823" s="29" t="s">
        <v>820</v>
      </c>
      <c r="AB823" s="31">
        <v>0.0774280056357</v>
      </c>
      <c r="AC823" s="38">
        <v>1667.0</v>
      </c>
    </row>
    <row r="824" ht="14.25" customHeight="1">
      <c r="A824" s="29" t="s">
        <v>220</v>
      </c>
      <c r="B824" s="29">
        <v>57.0</v>
      </c>
      <c r="C824" s="29" t="s">
        <v>593</v>
      </c>
      <c r="D824" s="29" t="s">
        <v>875</v>
      </c>
      <c r="E824" s="29">
        <v>154.0</v>
      </c>
      <c r="F824" s="30" t="s">
        <v>876</v>
      </c>
      <c r="G824" s="29" t="s">
        <v>877</v>
      </c>
      <c r="H824" s="31">
        <v>1.32</v>
      </c>
      <c r="I824" s="29" t="s">
        <v>597</v>
      </c>
      <c r="J824" s="32" t="s">
        <v>598</v>
      </c>
      <c r="K824" s="29" t="s">
        <v>599</v>
      </c>
      <c r="L824" s="29" t="s">
        <v>819</v>
      </c>
      <c r="M824" s="33">
        <v>-71.63</v>
      </c>
      <c r="N824" s="33">
        <v>-11.864</v>
      </c>
      <c r="O824" s="34" t="s">
        <v>601</v>
      </c>
      <c r="P824" s="32" t="s">
        <v>602</v>
      </c>
      <c r="Q824" s="35">
        <v>3.0</v>
      </c>
      <c r="R824" s="35">
        <v>3.0</v>
      </c>
      <c r="S824" s="36">
        <v>20.4</v>
      </c>
      <c r="T824" s="36">
        <v>37.4</v>
      </c>
      <c r="U824" s="36">
        <v>5.2428</v>
      </c>
      <c r="V824" s="36">
        <v>7.9288</v>
      </c>
      <c r="W824" s="37" t="s">
        <v>623</v>
      </c>
      <c r="X824" s="31">
        <v>15.0</v>
      </c>
      <c r="Y824" s="36">
        <v>-0.6037514955154373</v>
      </c>
      <c r="Z824" s="36">
        <v>0.036997666666666665</v>
      </c>
      <c r="AA824" s="29" t="s">
        <v>820</v>
      </c>
      <c r="AB824" s="31">
        <v>0.0774280056357</v>
      </c>
      <c r="AC824" s="38">
        <v>1667.0</v>
      </c>
    </row>
    <row r="825" ht="14.25" customHeight="1">
      <c r="A825" s="29" t="s">
        <v>220</v>
      </c>
      <c r="B825" s="29">
        <v>57.0</v>
      </c>
      <c r="C825" s="29" t="s">
        <v>593</v>
      </c>
      <c r="D825" s="29" t="s">
        <v>1114</v>
      </c>
      <c r="E825" s="29">
        <v>195.0</v>
      </c>
      <c r="F825" s="30" t="s">
        <v>1115</v>
      </c>
      <c r="G825" s="29" t="s">
        <v>596</v>
      </c>
      <c r="H825" s="31">
        <v>1.11</v>
      </c>
      <c r="I825" s="29" t="s">
        <v>597</v>
      </c>
      <c r="J825" s="32" t="s">
        <v>598</v>
      </c>
      <c r="K825" s="29" t="s">
        <v>599</v>
      </c>
      <c r="L825" s="29" t="s">
        <v>819</v>
      </c>
      <c r="M825" s="33">
        <v>-71.63</v>
      </c>
      <c r="N825" s="33">
        <v>-11.864</v>
      </c>
      <c r="O825" s="34" t="s">
        <v>601</v>
      </c>
      <c r="P825" s="32" t="s">
        <v>602</v>
      </c>
      <c r="Q825" s="35">
        <v>3.0</v>
      </c>
      <c r="R825" s="35">
        <v>3.0</v>
      </c>
      <c r="S825" s="36">
        <v>26.9</v>
      </c>
      <c r="T825" s="36">
        <v>7.32</v>
      </c>
      <c r="U825" s="36">
        <v>6.8864</v>
      </c>
      <c r="V825" s="36">
        <v>2.3863</v>
      </c>
      <c r="W825" s="37" t="s">
        <v>623</v>
      </c>
      <c r="X825" s="31">
        <v>15.0</v>
      </c>
      <c r="Y825" s="36">
        <v>1.3018702174388506</v>
      </c>
      <c r="Z825" s="36">
        <v>0.057270072862233366</v>
      </c>
      <c r="AA825" s="29" t="s">
        <v>820</v>
      </c>
      <c r="AB825" s="31">
        <v>0.0774280056357</v>
      </c>
      <c r="AC825" s="38">
        <v>1667.0</v>
      </c>
    </row>
    <row r="826" ht="14.25" customHeight="1">
      <c r="A826" s="29" t="s">
        <v>220</v>
      </c>
      <c r="B826" s="29">
        <v>57.0</v>
      </c>
      <c r="C826" s="29" t="s">
        <v>608</v>
      </c>
      <c r="D826" s="29" t="s">
        <v>1116</v>
      </c>
      <c r="E826" s="29">
        <v>5.0</v>
      </c>
      <c r="F826" s="30" t="s">
        <v>1117</v>
      </c>
      <c r="G826" s="29" t="s">
        <v>611</v>
      </c>
      <c r="H826" s="31">
        <v>6.61</v>
      </c>
      <c r="I826" s="29" t="s">
        <v>612</v>
      </c>
      <c r="J826" s="32" t="s">
        <v>598</v>
      </c>
      <c r="K826" s="29" t="s">
        <v>599</v>
      </c>
      <c r="L826" s="29" t="s">
        <v>819</v>
      </c>
      <c r="M826" s="33">
        <v>-71.63</v>
      </c>
      <c r="N826" s="33">
        <v>-11.864</v>
      </c>
      <c r="O826" s="34" t="s">
        <v>601</v>
      </c>
      <c r="P826" s="32" t="s">
        <v>602</v>
      </c>
      <c r="Q826" s="35">
        <v>3.0</v>
      </c>
      <c r="R826" s="35">
        <v>3.0</v>
      </c>
      <c r="S826" s="36">
        <v>17.0</v>
      </c>
      <c r="T826" s="36">
        <v>11.4</v>
      </c>
      <c r="U826" s="36">
        <v>2.38</v>
      </c>
      <c r="V826" s="36">
        <v>1.596</v>
      </c>
      <c r="W826" s="37" t="s">
        <v>623</v>
      </c>
      <c r="X826" s="31">
        <v>15.0</v>
      </c>
      <c r="Y826" s="36">
        <v>0.39977298407181916</v>
      </c>
      <c r="Z826" s="36">
        <v>0.013066666666666667</v>
      </c>
      <c r="AA826" s="29" t="s">
        <v>820</v>
      </c>
      <c r="AB826" s="31">
        <v>0.0774280056357</v>
      </c>
      <c r="AC826" s="38">
        <v>1667.0</v>
      </c>
    </row>
    <row r="827" ht="14.25" customHeight="1">
      <c r="A827" s="29" t="s">
        <v>220</v>
      </c>
      <c r="B827" s="29">
        <v>57.0</v>
      </c>
      <c r="C827" s="29" t="s">
        <v>608</v>
      </c>
      <c r="D827" s="29" t="s">
        <v>1118</v>
      </c>
      <c r="E827" s="29">
        <v>15.0</v>
      </c>
      <c r="F827" s="30" t="s">
        <v>1119</v>
      </c>
      <c r="G827" s="29" t="s">
        <v>611</v>
      </c>
      <c r="H827" s="31">
        <v>6.0</v>
      </c>
      <c r="I827" s="29" t="s">
        <v>597</v>
      </c>
      <c r="J827" s="32" t="s">
        <v>598</v>
      </c>
      <c r="K827" s="29" t="s">
        <v>599</v>
      </c>
      <c r="L827" s="29" t="s">
        <v>819</v>
      </c>
      <c r="M827" s="33">
        <v>-71.63</v>
      </c>
      <c r="N827" s="33">
        <v>-11.864</v>
      </c>
      <c r="O827" s="34" t="s">
        <v>601</v>
      </c>
      <c r="P827" s="32" t="s">
        <v>602</v>
      </c>
      <c r="Q827" s="35">
        <v>3.0</v>
      </c>
      <c r="R827" s="35">
        <v>3.0</v>
      </c>
      <c r="S827" s="36">
        <v>49.0</v>
      </c>
      <c r="T827" s="36">
        <v>41.7</v>
      </c>
      <c r="U827" s="36">
        <v>1.519</v>
      </c>
      <c r="V827" s="36">
        <v>1.2927</v>
      </c>
      <c r="W827" s="37" t="s">
        <v>623</v>
      </c>
      <c r="X827" s="31">
        <v>15.0</v>
      </c>
      <c r="Y827" s="36">
        <v>0.16153870671458434</v>
      </c>
      <c r="Z827" s="36">
        <v>6.406666666666666E-4</v>
      </c>
      <c r="AA827" s="29" t="s">
        <v>820</v>
      </c>
      <c r="AB827" s="31">
        <v>0.0774280056357</v>
      </c>
      <c r="AC827" s="38">
        <v>1667.0</v>
      </c>
    </row>
    <row r="828" ht="14.25" customHeight="1">
      <c r="A828" s="29" t="s">
        <v>220</v>
      </c>
      <c r="B828" s="29">
        <v>57.0</v>
      </c>
      <c r="C828" s="29" t="s">
        <v>608</v>
      </c>
      <c r="D828" s="29" t="s">
        <v>1120</v>
      </c>
      <c r="E828" s="29">
        <v>23.0</v>
      </c>
      <c r="F828" s="30" t="s">
        <v>1121</v>
      </c>
      <c r="G828" s="29" t="s">
        <v>611</v>
      </c>
      <c r="H828" s="31">
        <v>0.99</v>
      </c>
      <c r="I828" s="29" t="s">
        <v>616</v>
      </c>
      <c r="J828" s="32" t="s">
        <v>598</v>
      </c>
      <c r="K828" s="29" t="s">
        <v>599</v>
      </c>
      <c r="L828" s="29" t="s">
        <v>819</v>
      </c>
      <c r="M828" s="33">
        <v>-71.63</v>
      </c>
      <c r="N828" s="33">
        <v>-11.864</v>
      </c>
      <c r="O828" s="34" t="s">
        <v>601</v>
      </c>
      <c r="P828" s="32" t="s">
        <v>602</v>
      </c>
      <c r="Q828" s="35">
        <v>3.0</v>
      </c>
      <c r="R828" s="35">
        <v>3.0</v>
      </c>
      <c r="S828" s="36">
        <v>12.3</v>
      </c>
      <c r="T828" s="36">
        <v>20.2</v>
      </c>
      <c r="U828" s="36">
        <v>1.4883</v>
      </c>
      <c r="V828" s="36">
        <v>2.4442</v>
      </c>
      <c r="W828" s="37" t="s">
        <v>623</v>
      </c>
      <c r="X828" s="31">
        <v>15.0</v>
      </c>
      <c r="Y828" s="36">
        <v>-0.49565972783850726</v>
      </c>
      <c r="Z828" s="36">
        <v>0.009760666666666667</v>
      </c>
      <c r="AA828" s="29" t="s">
        <v>820</v>
      </c>
      <c r="AB828" s="31">
        <v>0.0774280056357</v>
      </c>
      <c r="AC828" s="38">
        <v>1667.0</v>
      </c>
    </row>
    <row r="829" ht="14.25" customHeight="1">
      <c r="A829" s="29" t="s">
        <v>220</v>
      </c>
      <c r="B829" s="29">
        <v>57.0</v>
      </c>
      <c r="C829" s="29" t="s">
        <v>608</v>
      </c>
      <c r="D829" s="29" t="s">
        <v>830</v>
      </c>
      <c r="E829" s="29">
        <v>30.0</v>
      </c>
      <c r="F829" s="30" t="s">
        <v>831</v>
      </c>
      <c r="G829" s="29" t="s">
        <v>611</v>
      </c>
      <c r="H829" s="31">
        <v>2.63</v>
      </c>
      <c r="I829" s="29" t="s">
        <v>616</v>
      </c>
      <c r="J829" s="32" t="s">
        <v>598</v>
      </c>
      <c r="K829" s="29" t="s">
        <v>599</v>
      </c>
      <c r="L829" s="29" t="s">
        <v>819</v>
      </c>
      <c r="M829" s="33">
        <v>-71.63</v>
      </c>
      <c r="N829" s="33">
        <v>-11.864</v>
      </c>
      <c r="O829" s="34" t="s">
        <v>601</v>
      </c>
      <c r="P829" s="32" t="s">
        <v>602</v>
      </c>
      <c r="Q829" s="35">
        <v>3.0</v>
      </c>
      <c r="R829" s="35">
        <v>3.0</v>
      </c>
      <c r="S829" s="36">
        <v>7.4</v>
      </c>
      <c r="T829" s="36">
        <v>10.1</v>
      </c>
      <c r="U829" s="36">
        <v>0.4292</v>
      </c>
      <c r="V829" s="36">
        <v>0.5858</v>
      </c>
      <c r="W829" s="37" t="s">
        <v>623</v>
      </c>
      <c r="X829" s="31">
        <v>15.0</v>
      </c>
      <c r="Y829" s="36">
        <v>-0.31070335330304716</v>
      </c>
      <c r="Z829" s="36">
        <v>0.0022426666666666662</v>
      </c>
      <c r="AA829" s="29" t="s">
        <v>820</v>
      </c>
      <c r="AB829" s="31">
        <v>0.0774280056357</v>
      </c>
      <c r="AC829" s="38">
        <v>1667.0</v>
      </c>
    </row>
    <row r="830" ht="14.25" customHeight="1">
      <c r="A830" s="29" t="s">
        <v>220</v>
      </c>
      <c r="B830" s="29">
        <v>57.0</v>
      </c>
      <c r="C830" s="29" t="s">
        <v>608</v>
      </c>
      <c r="D830" s="29" t="s">
        <v>961</v>
      </c>
      <c r="E830" s="29">
        <v>73.0</v>
      </c>
      <c r="F830" s="30" t="s">
        <v>962</v>
      </c>
      <c r="G830" s="29" t="s">
        <v>615</v>
      </c>
      <c r="H830" s="31">
        <v>2.67</v>
      </c>
      <c r="I830" s="29" t="s">
        <v>616</v>
      </c>
      <c r="J830" s="32" t="s">
        <v>598</v>
      </c>
      <c r="K830" s="29" t="s">
        <v>599</v>
      </c>
      <c r="L830" s="29" t="s">
        <v>819</v>
      </c>
      <c r="M830" s="33">
        <v>-71.63</v>
      </c>
      <c r="N830" s="33">
        <v>-11.864</v>
      </c>
      <c r="O830" s="34" t="s">
        <v>601</v>
      </c>
      <c r="P830" s="32" t="s">
        <v>602</v>
      </c>
      <c r="Q830" s="35">
        <v>3.0</v>
      </c>
      <c r="R830" s="35">
        <v>3.0</v>
      </c>
      <c r="S830" s="36">
        <v>1.72</v>
      </c>
      <c r="T830" s="36">
        <v>1.88</v>
      </c>
      <c r="U830" s="36">
        <v>0.8841</v>
      </c>
      <c r="V830" s="36">
        <v>0.799</v>
      </c>
      <c r="W830" s="37" t="s">
        <v>623</v>
      </c>
      <c r="X830" s="31">
        <v>15.0</v>
      </c>
      <c r="Y830" s="36">
        <v>-0.0886655280263684</v>
      </c>
      <c r="Z830" s="36">
        <v>0.14827765120786013</v>
      </c>
      <c r="AA830" s="29" t="s">
        <v>820</v>
      </c>
      <c r="AB830" s="31">
        <v>0.0774280056357</v>
      </c>
      <c r="AC830" s="38">
        <v>1667.0</v>
      </c>
    </row>
    <row r="831" ht="14.25" customHeight="1">
      <c r="A831" s="29" t="s">
        <v>220</v>
      </c>
      <c r="B831" s="29">
        <v>57.0</v>
      </c>
      <c r="C831" s="29" t="s">
        <v>608</v>
      </c>
      <c r="D831" s="29" t="s">
        <v>1122</v>
      </c>
      <c r="E831" s="29">
        <v>89.0</v>
      </c>
      <c r="F831" s="30" t="s">
        <v>1123</v>
      </c>
      <c r="G831" s="29" t="s">
        <v>611</v>
      </c>
      <c r="H831" s="31">
        <v>6.4</v>
      </c>
      <c r="I831" s="29" t="s">
        <v>597</v>
      </c>
      <c r="J831" s="32" t="s">
        <v>598</v>
      </c>
      <c r="K831" s="29" t="s">
        <v>599</v>
      </c>
      <c r="L831" s="29" t="s">
        <v>819</v>
      </c>
      <c r="M831" s="33">
        <v>-71.63</v>
      </c>
      <c r="N831" s="33">
        <v>-11.864</v>
      </c>
      <c r="O831" s="34" t="s">
        <v>601</v>
      </c>
      <c r="P831" s="32" t="s">
        <v>602</v>
      </c>
      <c r="Q831" s="35">
        <v>3.0</v>
      </c>
      <c r="R831" s="35">
        <v>3.0</v>
      </c>
      <c r="S831" s="36">
        <v>34.1</v>
      </c>
      <c r="T831" s="36">
        <v>39.1</v>
      </c>
      <c r="U831" s="36">
        <v>1.4322</v>
      </c>
      <c r="V831" s="36">
        <v>1.6422</v>
      </c>
      <c r="W831" s="37" t="s">
        <v>623</v>
      </c>
      <c r="X831" s="31">
        <v>15.0</v>
      </c>
      <c r="Y831" s="36">
        <v>-0.1365292989047865</v>
      </c>
      <c r="Z831" s="36">
        <v>0.001176</v>
      </c>
      <c r="AA831" s="29" t="s">
        <v>820</v>
      </c>
      <c r="AB831" s="31">
        <v>0.0774280056357</v>
      </c>
      <c r="AC831" s="38">
        <v>1667.0</v>
      </c>
    </row>
    <row r="832" ht="14.25" customHeight="1">
      <c r="A832" s="29" t="s">
        <v>220</v>
      </c>
      <c r="B832" s="29">
        <v>57.0</v>
      </c>
      <c r="C832" s="29" t="s">
        <v>608</v>
      </c>
      <c r="D832" s="29" t="s">
        <v>624</v>
      </c>
      <c r="E832" s="29">
        <v>101.0</v>
      </c>
      <c r="F832" s="30" t="s">
        <v>625</v>
      </c>
      <c r="G832" s="29" t="s">
        <v>626</v>
      </c>
      <c r="H832" s="31">
        <v>18.59</v>
      </c>
      <c r="I832" s="29" t="s">
        <v>612</v>
      </c>
      <c r="J832" s="32" t="s">
        <v>598</v>
      </c>
      <c r="K832" s="29" t="s">
        <v>599</v>
      </c>
      <c r="L832" s="29" t="s">
        <v>819</v>
      </c>
      <c r="M832" s="33">
        <v>-71.63</v>
      </c>
      <c r="N832" s="33">
        <v>-11.864</v>
      </c>
      <c r="O832" s="34" t="s">
        <v>601</v>
      </c>
      <c r="P832" s="32" t="s">
        <v>602</v>
      </c>
      <c r="Q832" s="35">
        <v>3.0</v>
      </c>
      <c r="R832" s="35">
        <v>3.0</v>
      </c>
      <c r="S832" s="36">
        <v>4.68</v>
      </c>
      <c r="T832" s="36">
        <v>1.45</v>
      </c>
      <c r="U832" s="36">
        <v>1.741</v>
      </c>
      <c r="V832" s="36">
        <v>0.6902</v>
      </c>
      <c r="W832" s="37" t="s">
        <v>623</v>
      </c>
      <c r="X832" s="31">
        <v>15.0</v>
      </c>
      <c r="Y832" s="36">
        <v>1.1718144855603736</v>
      </c>
      <c r="Z832" s="36">
        <v>0.12165545301580347</v>
      </c>
      <c r="AA832" s="29" t="s">
        <v>820</v>
      </c>
      <c r="AB832" s="31">
        <v>0.0774280056357</v>
      </c>
      <c r="AC832" s="38">
        <v>1667.0</v>
      </c>
    </row>
    <row r="833" ht="14.25" customHeight="1">
      <c r="A833" s="29" t="s">
        <v>220</v>
      </c>
      <c r="B833" s="29">
        <v>57.0</v>
      </c>
      <c r="C833" s="29" t="s">
        <v>608</v>
      </c>
      <c r="D833" s="29" t="s">
        <v>925</v>
      </c>
      <c r="E833" s="29">
        <v>108.0</v>
      </c>
      <c r="F833" s="30" t="s">
        <v>926</v>
      </c>
      <c r="G833" s="29" t="s">
        <v>615</v>
      </c>
      <c r="H833" s="31">
        <v>0.97</v>
      </c>
      <c r="I833" s="29" t="s">
        <v>616</v>
      </c>
      <c r="J833" s="32" t="s">
        <v>598</v>
      </c>
      <c r="K833" s="29" t="s">
        <v>599</v>
      </c>
      <c r="L833" s="29" t="s">
        <v>819</v>
      </c>
      <c r="M833" s="33">
        <v>-71.63</v>
      </c>
      <c r="N833" s="33">
        <v>-11.864</v>
      </c>
      <c r="O833" s="34" t="s">
        <v>601</v>
      </c>
      <c r="P833" s="32" t="s">
        <v>602</v>
      </c>
      <c r="Q833" s="35">
        <v>3.0</v>
      </c>
      <c r="R833" s="35">
        <v>3.0</v>
      </c>
      <c r="S833" s="36">
        <v>1.65</v>
      </c>
      <c r="T833" s="36">
        <v>0.53</v>
      </c>
      <c r="U833" s="36">
        <v>1.0907</v>
      </c>
      <c r="V833" s="36">
        <v>0.5565</v>
      </c>
      <c r="W833" s="37" t="s">
        <v>623</v>
      </c>
      <c r="X833" s="31">
        <v>15.0</v>
      </c>
      <c r="Y833" s="36">
        <v>1.135736428979055</v>
      </c>
      <c r="Z833" s="36">
        <v>0.513153687174778</v>
      </c>
      <c r="AA833" s="29" t="s">
        <v>820</v>
      </c>
      <c r="AB833" s="31">
        <v>0.0774280056357</v>
      </c>
      <c r="AC833" s="38">
        <v>1667.0</v>
      </c>
    </row>
    <row r="834" ht="14.25" customHeight="1">
      <c r="A834" s="29" t="s">
        <v>220</v>
      </c>
      <c r="B834" s="29">
        <v>57.0</v>
      </c>
      <c r="C834" s="29" t="s">
        <v>608</v>
      </c>
      <c r="D834" s="29" t="s">
        <v>630</v>
      </c>
      <c r="E834" s="29">
        <v>129.0</v>
      </c>
      <c r="F834" s="30" t="s">
        <v>631</v>
      </c>
      <c r="G834" s="29" t="s">
        <v>626</v>
      </c>
      <c r="H834" s="31">
        <v>21.27</v>
      </c>
      <c r="I834" s="29" t="s">
        <v>612</v>
      </c>
      <c r="J834" s="32" t="s">
        <v>598</v>
      </c>
      <c r="K834" s="29" t="s">
        <v>599</v>
      </c>
      <c r="L834" s="29" t="s">
        <v>819</v>
      </c>
      <c r="M834" s="33">
        <v>-71.63</v>
      </c>
      <c r="N834" s="33">
        <v>-11.864</v>
      </c>
      <c r="O834" s="34" t="s">
        <v>601</v>
      </c>
      <c r="P834" s="32" t="s">
        <v>602</v>
      </c>
      <c r="Q834" s="35">
        <v>3.0</v>
      </c>
      <c r="R834" s="35">
        <v>3.0</v>
      </c>
      <c r="S834" s="36">
        <v>5.8</v>
      </c>
      <c r="T834" s="36">
        <v>5.17</v>
      </c>
      <c r="U834" s="36">
        <v>2.7492</v>
      </c>
      <c r="V834" s="36">
        <v>2.2593</v>
      </c>
      <c r="W834" s="37" t="s">
        <v>623</v>
      </c>
      <c r="X834" s="31">
        <v>15.0</v>
      </c>
      <c r="Y834" s="36">
        <v>0.11521517661434069</v>
      </c>
      <c r="Z834" s="36">
        <v>0.138548896841995</v>
      </c>
      <c r="AA834" s="29" t="s">
        <v>820</v>
      </c>
      <c r="AB834" s="31">
        <v>0.0774280056357</v>
      </c>
      <c r="AC834" s="38">
        <v>1667.0</v>
      </c>
    </row>
    <row r="835" ht="14.25" customHeight="1">
      <c r="A835" s="29" t="s">
        <v>220</v>
      </c>
      <c r="B835" s="29">
        <v>57.0</v>
      </c>
      <c r="C835" s="29" t="s">
        <v>608</v>
      </c>
      <c r="D835" s="29" t="s">
        <v>1124</v>
      </c>
      <c r="E835" s="29">
        <v>164.0</v>
      </c>
      <c r="F835" s="30" t="s">
        <v>1125</v>
      </c>
      <c r="G835" s="29" t="s">
        <v>611</v>
      </c>
      <c r="H835" s="31">
        <v>0.39</v>
      </c>
      <c r="I835" s="29" t="s">
        <v>616</v>
      </c>
      <c r="J835" s="32" t="s">
        <v>598</v>
      </c>
      <c r="K835" s="29" t="s">
        <v>599</v>
      </c>
      <c r="L835" s="29" t="s">
        <v>819</v>
      </c>
      <c r="M835" s="33">
        <v>-71.63</v>
      </c>
      <c r="N835" s="33">
        <v>-11.864</v>
      </c>
      <c r="O835" s="34" t="s">
        <v>601</v>
      </c>
      <c r="P835" s="32" t="s">
        <v>602</v>
      </c>
      <c r="Q835" s="35">
        <v>3.0</v>
      </c>
      <c r="R835" s="35">
        <v>3.0</v>
      </c>
      <c r="S835" s="36">
        <v>43.0</v>
      </c>
      <c r="T835" s="36">
        <v>53.3</v>
      </c>
      <c r="U835" s="36">
        <v>2.58</v>
      </c>
      <c r="V835" s="36">
        <v>3.198</v>
      </c>
      <c r="W835" s="37" t="s">
        <v>623</v>
      </c>
      <c r="X835" s="31">
        <v>15.0</v>
      </c>
      <c r="Y835" s="36">
        <v>-0.21441646916091858</v>
      </c>
      <c r="Z835" s="36">
        <v>0.0024000000000000002</v>
      </c>
      <c r="AA835" s="29" t="s">
        <v>820</v>
      </c>
      <c r="AB835" s="31">
        <v>0.0774280056357</v>
      </c>
      <c r="AC835" s="38">
        <v>1667.0</v>
      </c>
    </row>
    <row r="836" ht="14.25" customHeight="1">
      <c r="A836" s="29" t="s">
        <v>220</v>
      </c>
      <c r="B836" s="29">
        <v>57.0</v>
      </c>
      <c r="C836" s="29" t="s">
        <v>608</v>
      </c>
      <c r="D836" s="29" t="s">
        <v>1126</v>
      </c>
      <c r="E836" s="29">
        <v>169.0</v>
      </c>
      <c r="F836" s="30" t="s">
        <v>1127</v>
      </c>
      <c r="G836" s="29" t="s">
        <v>611</v>
      </c>
      <c r="H836" s="31">
        <v>0.62</v>
      </c>
      <c r="I836" s="29" t="s">
        <v>616</v>
      </c>
      <c r="J836" s="32" t="s">
        <v>598</v>
      </c>
      <c r="K836" s="29" t="s">
        <v>599</v>
      </c>
      <c r="L836" s="29" t="s">
        <v>819</v>
      </c>
      <c r="M836" s="33">
        <v>-71.63</v>
      </c>
      <c r="N836" s="33">
        <v>-11.864</v>
      </c>
      <c r="O836" s="34" t="s">
        <v>601</v>
      </c>
      <c r="P836" s="32" t="s">
        <v>602</v>
      </c>
      <c r="Q836" s="35">
        <v>3.0</v>
      </c>
      <c r="R836" s="35">
        <v>3.0</v>
      </c>
      <c r="S836" s="36">
        <v>15.8</v>
      </c>
      <c r="T836" s="36">
        <v>29.3</v>
      </c>
      <c r="U836" s="36">
        <v>2.923</v>
      </c>
      <c r="V836" s="36">
        <v>5.4205</v>
      </c>
      <c r="W836" s="37" t="s">
        <v>623</v>
      </c>
      <c r="X836" s="31">
        <v>15.0</v>
      </c>
      <c r="Y836" s="36">
        <v>-0.6170992511951859</v>
      </c>
      <c r="Z836" s="36">
        <v>0.022816666666666666</v>
      </c>
      <c r="AA836" s="29" t="s">
        <v>820</v>
      </c>
      <c r="AB836" s="31">
        <v>0.0774280056357</v>
      </c>
      <c r="AC836" s="38">
        <v>1667.0</v>
      </c>
    </row>
    <row r="837" ht="14.25" customHeight="1">
      <c r="A837" s="29" t="s">
        <v>220</v>
      </c>
      <c r="B837" s="29">
        <v>57.0</v>
      </c>
      <c r="C837" s="29" t="s">
        <v>608</v>
      </c>
      <c r="D837" s="29" t="s">
        <v>1128</v>
      </c>
      <c r="E837" s="29">
        <v>173.0</v>
      </c>
      <c r="F837" s="30" t="s">
        <v>633</v>
      </c>
      <c r="G837" s="29" t="s">
        <v>611</v>
      </c>
      <c r="H837" s="31">
        <v>2.5</v>
      </c>
      <c r="I837" s="29" t="s">
        <v>616</v>
      </c>
      <c r="J837" s="32" t="s">
        <v>598</v>
      </c>
      <c r="K837" s="29" t="s">
        <v>599</v>
      </c>
      <c r="L837" s="29" t="s">
        <v>819</v>
      </c>
      <c r="M837" s="33">
        <v>-71.63</v>
      </c>
      <c r="N837" s="33">
        <v>-11.864</v>
      </c>
      <c r="O837" s="34" t="s">
        <v>601</v>
      </c>
      <c r="P837" s="32" t="s">
        <v>602</v>
      </c>
      <c r="Q837" s="35">
        <v>3.0</v>
      </c>
      <c r="R837" s="35">
        <v>3.0</v>
      </c>
      <c r="S837" s="36">
        <v>17.1</v>
      </c>
      <c r="T837" s="36">
        <v>30.1</v>
      </c>
      <c r="U837" s="36">
        <v>1.0089</v>
      </c>
      <c r="V837" s="36">
        <v>1.7759</v>
      </c>
      <c r="W837" s="37" t="s">
        <v>623</v>
      </c>
      <c r="X837" s="31">
        <v>15.0</v>
      </c>
      <c r="Y837" s="36">
        <v>-0.5649926746173018</v>
      </c>
      <c r="Z837" s="36">
        <v>0.002320666666666666</v>
      </c>
      <c r="AA837" s="29" t="s">
        <v>820</v>
      </c>
      <c r="AB837" s="31">
        <v>0.0774280056357</v>
      </c>
      <c r="AC837" s="38">
        <v>1667.0</v>
      </c>
    </row>
    <row r="838" ht="14.25" customHeight="1">
      <c r="A838" s="29" t="s">
        <v>220</v>
      </c>
      <c r="B838" s="29">
        <v>57.0</v>
      </c>
      <c r="C838" s="29" t="s">
        <v>608</v>
      </c>
      <c r="D838" s="29" t="s">
        <v>1129</v>
      </c>
      <c r="E838" s="29">
        <v>177.0</v>
      </c>
      <c r="F838" s="30" t="s">
        <v>1130</v>
      </c>
      <c r="G838" s="29" t="s">
        <v>615</v>
      </c>
      <c r="H838" s="31">
        <v>0.27</v>
      </c>
      <c r="I838" s="29" t="s">
        <v>597</v>
      </c>
      <c r="J838" s="32" t="s">
        <v>598</v>
      </c>
      <c r="K838" s="29" t="s">
        <v>599</v>
      </c>
      <c r="L838" s="29" t="s">
        <v>819</v>
      </c>
      <c r="M838" s="33">
        <v>-71.63</v>
      </c>
      <c r="N838" s="33">
        <v>-11.864</v>
      </c>
      <c r="O838" s="34" t="s">
        <v>601</v>
      </c>
      <c r="P838" s="32" t="s">
        <v>602</v>
      </c>
      <c r="Q838" s="35">
        <v>3.0</v>
      </c>
      <c r="R838" s="35">
        <v>3.0</v>
      </c>
      <c r="S838" s="36">
        <v>14.8</v>
      </c>
      <c r="T838" s="36">
        <v>16.4</v>
      </c>
      <c r="U838" s="36">
        <v>4.218</v>
      </c>
      <c r="V838" s="36">
        <v>4.7888</v>
      </c>
      <c r="W838" s="37" t="s">
        <v>623</v>
      </c>
      <c r="X838" s="31">
        <v>15.0</v>
      </c>
      <c r="Y838" s="36">
        <v>-0.10236830531395398</v>
      </c>
      <c r="Z838" s="36">
        <v>0.055496333333333335</v>
      </c>
      <c r="AA838" s="29" t="s">
        <v>820</v>
      </c>
      <c r="AB838" s="31">
        <v>0.0774280056357</v>
      </c>
      <c r="AC838" s="38">
        <v>1667.0</v>
      </c>
    </row>
    <row r="839" ht="14.25" customHeight="1">
      <c r="A839" s="29" t="s">
        <v>220</v>
      </c>
      <c r="B839" s="29">
        <v>57.0</v>
      </c>
      <c r="C839" s="29" t="s">
        <v>608</v>
      </c>
      <c r="D839" s="29" t="s">
        <v>1131</v>
      </c>
      <c r="E839" s="29">
        <v>180.0</v>
      </c>
      <c r="F839" s="30" t="s">
        <v>1132</v>
      </c>
      <c r="G839" s="29" t="s">
        <v>629</v>
      </c>
      <c r="H839" s="31">
        <v>6.0</v>
      </c>
      <c r="I839" s="29" t="s">
        <v>657</v>
      </c>
      <c r="J839" s="32" t="s">
        <v>598</v>
      </c>
      <c r="K839" s="29" t="s">
        <v>599</v>
      </c>
      <c r="L839" s="29" t="s">
        <v>819</v>
      </c>
      <c r="M839" s="33">
        <v>-71.63</v>
      </c>
      <c r="N839" s="33">
        <v>-11.864</v>
      </c>
      <c r="O839" s="34" t="s">
        <v>601</v>
      </c>
      <c r="P839" s="32" t="s">
        <v>602</v>
      </c>
      <c r="Q839" s="35">
        <v>3.0</v>
      </c>
      <c r="R839" s="35">
        <v>3.0</v>
      </c>
      <c r="S839" s="36">
        <v>0.0</v>
      </c>
      <c r="T839" s="36">
        <v>0.07</v>
      </c>
      <c r="U839" s="36">
        <v>0.0</v>
      </c>
      <c r="V839" s="36">
        <v>0.2646</v>
      </c>
      <c r="W839" s="37" t="s">
        <v>623</v>
      </c>
      <c r="X839" s="31">
        <v>15.0</v>
      </c>
      <c r="Y839" s="36">
        <v>-8.262558973010657</v>
      </c>
      <c r="Z839" s="36">
        <v>0.933121124448548</v>
      </c>
      <c r="AA839" s="29" t="s">
        <v>820</v>
      </c>
      <c r="AB839" s="31">
        <v>0.0774280056357</v>
      </c>
      <c r="AC839" s="38">
        <v>1667.0</v>
      </c>
    </row>
    <row r="840" ht="14.25" customHeight="1">
      <c r="A840" s="29" t="s">
        <v>220</v>
      </c>
      <c r="B840" s="29">
        <v>57.0</v>
      </c>
      <c r="C840" s="29" t="s">
        <v>608</v>
      </c>
      <c r="D840" s="29" t="s">
        <v>663</v>
      </c>
      <c r="E840" s="29">
        <v>189.0</v>
      </c>
      <c r="F840" s="30" t="s">
        <v>637</v>
      </c>
      <c r="G840" s="29" t="s">
        <v>638</v>
      </c>
      <c r="H840" s="31">
        <v>207.5</v>
      </c>
      <c r="I840" s="29" t="s">
        <v>612</v>
      </c>
      <c r="J840" s="32" t="s">
        <v>598</v>
      </c>
      <c r="K840" s="29" t="s">
        <v>599</v>
      </c>
      <c r="L840" s="29" t="s">
        <v>819</v>
      </c>
      <c r="M840" s="33">
        <v>-71.63</v>
      </c>
      <c r="N840" s="33">
        <v>-11.864</v>
      </c>
      <c r="O840" s="34" t="s">
        <v>601</v>
      </c>
      <c r="P840" s="32" t="s">
        <v>602</v>
      </c>
      <c r="Q840" s="35">
        <v>3.0</v>
      </c>
      <c r="R840" s="35">
        <v>3.0</v>
      </c>
      <c r="S840" s="36">
        <v>0.0</v>
      </c>
      <c r="T840" s="36">
        <v>0.04</v>
      </c>
      <c r="U840" s="36">
        <v>0.0</v>
      </c>
      <c r="V840" s="36">
        <v>0.2</v>
      </c>
      <c r="W840" s="37" t="s">
        <v>623</v>
      </c>
      <c r="X840" s="31">
        <v>15.0</v>
      </c>
      <c r="Y840" s="36">
        <v>-8.262558973010657</v>
      </c>
      <c r="Z840" s="36">
        <v>0.893461362597165</v>
      </c>
      <c r="AA840" s="29" t="s">
        <v>820</v>
      </c>
      <c r="AB840" s="31">
        <v>0.0774280056357</v>
      </c>
      <c r="AC840" s="38">
        <v>1667.0</v>
      </c>
    </row>
    <row r="841" ht="14.25" customHeight="1">
      <c r="A841" s="29" t="s">
        <v>220</v>
      </c>
      <c r="B841" s="29">
        <v>57.0</v>
      </c>
      <c r="C841" s="29" t="s">
        <v>608</v>
      </c>
      <c r="D841" s="29" t="s">
        <v>639</v>
      </c>
      <c r="E841" s="29">
        <v>190.0</v>
      </c>
      <c r="F841" s="30" t="s">
        <v>640</v>
      </c>
      <c r="G841" s="29" t="s">
        <v>626</v>
      </c>
      <c r="H841" s="31">
        <v>32.23</v>
      </c>
      <c r="I841" s="29" t="s">
        <v>597</v>
      </c>
      <c r="J841" s="32" t="s">
        <v>598</v>
      </c>
      <c r="K841" s="29" t="s">
        <v>599</v>
      </c>
      <c r="L841" s="29" t="s">
        <v>819</v>
      </c>
      <c r="M841" s="33">
        <v>-71.63</v>
      </c>
      <c r="N841" s="33">
        <v>-11.864</v>
      </c>
      <c r="O841" s="34" t="s">
        <v>601</v>
      </c>
      <c r="P841" s="32" t="s">
        <v>602</v>
      </c>
      <c r="Q841" s="35">
        <v>3.0</v>
      </c>
      <c r="R841" s="35">
        <v>3.0</v>
      </c>
      <c r="S841" s="36">
        <v>32.4</v>
      </c>
      <c r="T841" s="36">
        <v>21.7</v>
      </c>
      <c r="U841" s="36">
        <v>7.3224</v>
      </c>
      <c r="V841" s="36">
        <v>6.5317</v>
      </c>
      <c r="W841" s="37" t="s">
        <v>623</v>
      </c>
      <c r="X841" s="31">
        <v>15.0</v>
      </c>
      <c r="Y841" s="36">
        <v>0.40101894223848517</v>
      </c>
      <c r="Z841" s="36">
        <v>0.047225666666666666</v>
      </c>
      <c r="AA841" s="29" t="s">
        <v>820</v>
      </c>
      <c r="AB841" s="31">
        <v>0.0774280056357</v>
      </c>
      <c r="AC841" s="38">
        <v>1667.0</v>
      </c>
    </row>
    <row r="842" ht="14.25" customHeight="1">
      <c r="A842" s="29" t="s">
        <v>220</v>
      </c>
      <c r="B842" s="29">
        <v>57.0</v>
      </c>
      <c r="C842" s="29" t="s">
        <v>593</v>
      </c>
      <c r="D842" s="29" t="s">
        <v>1108</v>
      </c>
      <c r="E842" s="29">
        <v>67.0</v>
      </c>
      <c r="F842" s="30" t="s">
        <v>1109</v>
      </c>
      <c r="G842" s="29" t="s">
        <v>596</v>
      </c>
      <c r="H842" s="31">
        <v>0.4</v>
      </c>
      <c r="I842" s="29" t="s">
        <v>597</v>
      </c>
      <c r="J842" s="32" t="s">
        <v>598</v>
      </c>
      <c r="K842" s="29" t="s">
        <v>599</v>
      </c>
      <c r="L842" s="29" t="s">
        <v>819</v>
      </c>
      <c r="M842" s="33">
        <v>-71.656</v>
      </c>
      <c r="N842" s="33">
        <v>-11.732</v>
      </c>
      <c r="O842" s="34" t="s">
        <v>601</v>
      </c>
      <c r="P842" s="32" t="s">
        <v>602</v>
      </c>
      <c r="Q842" s="35">
        <v>3.0</v>
      </c>
      <c r="R842" s="35">
        <v>3.0</v>
      </c>
      <c r="S842" s="36">
        <v>12.8</v>
      </c>
      <c r="T842" s="36">
        <v>15.9</v>
      </c>
      <c r="U842" s="36">
        <v>3.2256</v>
      </c>
      <c r="V842" s="36">
        <v>3.6093</v>
      </c>
      <c r="W842" s="37" t="s">
        <v>623</v>
      </c>
      <c r="X842" s="31">
        <v>2.7</v>
      </c>
      <c r="Y842" s="36">
        <v>-0.2152578132938078</v>
      </c>
      <c r="Z842" s="36">
        <v>0.03834433333333333</v>
      </c>
      <c r="AA842" s="29" t="s">
        <v>820</v>
      </c>
      <c r="AB842" s="31">
        <v>0.0774280130863</v>
      </c>
      <c r="AC842" s="38">
        <v>1135.0</v>
      </c>
    </row>
    <row r="843" ht="14.25" customHeight="1">
      <c r="A843" s="29" t="s">
        <v>220</v>
      </c>
      <c r="B843" s="29">
        <v>57.0</v>
      </c>
      <c r="C843" s="29" t="s">
        <v>593</v>
      </c>
      <c r="D843" s="29" t="s">
        <v>1108</v>
      </c>
      <c r="E843" s="29">
        <v>67.0</v>
      </c>
      <c r="F843" s="30" t="s">
        <v>1109</v>
      </c>
      <c r="G843" s="29" t="s">
        <v>596</v>
      </c>
      <c r="H843" s="31">
        <v>0.4</v>
      </c>
      <c r="I843" s="29" t="s">
        <v>597</v>
      </c>
      <c r="J843" s="32" t="s">
        <v>598</v>
      </c>
      <c r="K843" s="29" t="s">
        <v>599</v>
      </c>
      <c r="L843" s="29" t="s">
        <v>819</v>
      </c>
      <c r="M843" s="33">
        <v>-71.509</v>
      </c>
      <c r="N843" s="33">
        <v>-11.964</v>
      </c>
      <c r="O843" s="34" t="s">
        <v>601</v>
      </c>
      <c r="P843" s="32" t="s">
        <v>602</v>
      </c>
      <c r="Q843" s="35">
        <v>3.0</v>
      </c>
      <c r="R843" s="35">
        <v>3.0</v>
      </c>
      <c r="S843" s="36">
        <v>16.1</v>
      </c>
      <c r="T843" s="36">
        <v>4.5402</v>
      </c>
      <c r="U843" s="36">
        <v>3.4731</v>
      </c>
      <c r="V843" s="36">
        <v>3.6093</v>
      </c>
      <c r="W843" s="37" t="s">
        <v>623</v>
      </c>
      <c r="X843" s="31">
        <v>30.0</v>
      </c>
      <c r="Y843" s="36">
        <v>1.266215328147191</v>
      </c>
      <c r="Z843" s="36">
        <v>0.2261682171459186</v>
      </c>
      <c r="AA843" s="29" t="s">
        <v>820</v>
      </c>
      <c r="AB843" s="31">
        <v>0.0774280130863</v>
      </c>
      <c r="AC843" s="38">
        <v>1706.0</v>
      </c>
    </row>
    <row r="844" ht="14.25" customHeight="1">
      <c r="A844" s="29" t="s">
        <v>220</v>
      </c>
      <c r="B844" s="29">
        <v>57.0</v>
      </c>
      <c r="C844" s="29" t="s">
        <v>593</v>
      </c>
      <c r="D844" s="29" t="s">
        <v>1108</v>
      </c>
      <c r="E844" s="29">
        <v>67.0</v>
      </c>
      <c r="F844" s="30" t="s">
        <v>1109</v>
      </c>
      <c r="G844" s="29" t="s">
        <v>596</v>
      </c>
      <c r="H844" s="31">
        <v>0.4</v>
      </c>
      <c r="I844" s="29" t="s">
        <v>597</v>
      </c>
      <c r="J844" s="32" t="s">
        <v>598</v>
      </c>
      <c r="K844" s="29" t="s">
        <v>599</v>
      </c>
      <c r="L844" s="29" t="s">
        <v>819</v>
      </c>
      <c r="M844" s="33">
        <v>-71.919</v>
      </c>
      <c r="N844" s="33">
        <v>-11.798</v>
      </c>
      <c r="O844" s="34" t="s">
        <v>601</v>
      </c>
      <c r="P844" s="32" t="s">
        <v>602</v>
      </c>
      <c r="Q844" s="35">
        <v>3.0</v>
      </c>
      <c r="R844" s="35">
        <v>3.0</v>
      </c>
      <c r="S844" s="36">
        <v>17.7</v>
      </c>
      <c r="T844" s="36">
        <v>29.3</v>
      </c>
      <c r="U844" s="36">
        <v>3.5577</v>
      </c>
      <c r="V844" s="36">
        <v>5.4205</v>
      </c>
      <c r="W844" s="37" t="s">
        <v>623</v>
      </c>
      <c r="X844" s="31">
        <v>2.7</v>
      </c>
      <c r="Y844" s="36">
        <v>-0.5018697699586245</v>
      </c>
      <c r="Z844" s="36">
        <v>0.024875333333333333</v>
      </c>
      <c r="AA844" s="29" t="s">
        <v>820</v>
      </c>
      <c r="AB844" s="31">
        <v>0.0774280130863</v>
      </c>
      <c r="AC844" s="38">
        <v>1787.0</v>
      </c>
    </row>
    <row r="845" ht="14.25" customHeight="1">
      <c r="A845" s="29" t="s">
        <v>220</v>
      </c>
      <c r="B845" s="29">
        <v>57.0</v>
      </c>
      <c r="C845" s="29" t="s">
        <v>593</v>
      </c>
      <c r="D845" s="29" t="s">
        <v>862</v>
      </c>
      <c r="E845" s="29">
        <v>104.0</v>
      </c>
      <c r="F845" s="30" t="s">
        <v>863</v>
      </c>
      <c r="G845" s="29" t="s">
        <v>607</v>
      </c>
      <c r="H845" s="31">
        <v>2.77</v>
      </c>
      <c r="I845" s="29" t="s">
        <v>597</v>
      </c>
      <c r="J845" s="32" t="s">
        <v>598</v>
      </c>
      <c r="K845" s="29" t="s">
        <v>599</v>
      </c>
      <c r="L845" s="29" t="s">
        <v>819</v>
      </c>
      <c r="M845" s="33">
        <v>-71.656</v>
      </c>
      <c r="N845" s="33">
        <v>-11.732</v>
      </c>
      <c r="O845" s="34" t="s">
        <v>601</v>
      </c>
      <c r="P845" s="32" t="s">
        <v>602</v>
      </c>
      <c r="Q845" s="35">
        <v>3.0</v>
      </c>
      <c r="R845" s="35">
        <v>3.0</v>
      </c>
      <c r="S845" s="36">
        <v>2.12</v>
      </c>
      <c r="T845" s="36">
        <v>8.9</v>
      </c>
      <c r="U845" s="36">
        <v>0.9625</v>
      </c>
      <c r="V845" s="36">
        <v>1.6287</v>
      </c>
      <c r="W845" s="37" t="s">
        <v>623</v>
      </c>
      <c r="X845" s="31">
        <v>2.7</v>
      </c>
      <c r="Y845" s="36">
        <v>-1.429183780773364</v>
      </c>
      <c r="Z845" s="36">
        <v>0.07987118870891183</v>
      </c>
      <c r="AA845" s="29" t="s">
        <v>820</v>
      </c>
      <c r="AB845" s="31">
        <v>0.0774280130863</v>
      </c>
      <c r="AC845" s="38">
        <v>1135.0</v>
      </c>
    </row>
    <row r="846" ht="14.25" customHeight="1">
      <c r="A846" s="29" t="s">
        <v>220</v>
      </c>
      <c r="B846" s="29">
        <v>57.0</v>
      </c>
      <c r="C846" s="29" t="s">
        <v>593</v>
      </c>
      <c r="D846" s="29" t="s">
        <v>862</v>
      </c>
      <c r="E846" s="29">
        <v>104.0</v>
      </c>
      <c r="F846" s="30" t="s">
        <v>863</v>
      </c>
      <c r="G846" s="29" t="s">
        <v>607</v>
      </c>
      <c r="H846" s="31">
        <v>2.77</v>
      </c>
      <c r="I846" s="29" t="s">
        <v>597</v>
      </c>
      <c r="J846" s="32" t="s">
        <v>598</v>
      </c>
      <c r="K846" s="29" t="s">
        <v>599</v>
      </c>
      <c r="L846" s="29" t="s">
        <v>819</v>
      </c>
      <c r="M846" s="33">
        <v>-71.509</v>
      </c>
      <c r="N846" s="33">
        <v>-11.964</v>
      </c>
      <c r="O846" s="34" t="s">
        <v>601</v>
      </c>
      <c r="P846" s="32" t="s">
        <v>602</v>
      </c>
      <c r="Q846" s="35">
        <v>3.0</v>
      </c>
      <c r="R846" s="35">
        <v>3.0</v>
      </c>
      <c r="S846" s="36">
        <v>5.9</v>
      </c>
      <c r="T846" s="36">
        <v>1.5399</v>
      </c>
      <c r="U846" s="36">
        <v>1.6332</v>
      </c>
      <c r="V846" s="36">
        <v>1.6287</v>
      </c>
      <c r="W846" s="37" t="s">
        <v>623</v>
      </c>
      <c r="X846" s="31">
        <v>30.0</v>
      </c>
      <c r="Y846" s="36">
        <v>1.3435746576756362</v>
      </c>
      <c r="Z846" s="36">
        <v>0.39842776269620206</v>
      </c>
      <c r="AA846" s="29" t="s">
        <v>820</v>
      </c>
      <c r="AB846" s="31">
        <v>0.0774280130863</v>
      </c>
      <c r="AC846" s="38">
        <v>1706.0</v>
      </c>
    </row>
    <row r="847" ht="14.25" customHeight="1">
      <c r="A847" s="29" t="s">
        <v>220</v>
      </c>
      <c r="B847" s="29">
        <v>57.0</v>
      </c>
      <c r="C847" s="29" t="s">
        <v>593</v>
      </c>
      <c r="D847" s="29" t="s">
        <v>862</v>
      </c>
      <c r="E847" s="29">
        <v>104.0</v>
      </c>
      <c r="F847" s="30" t="s">
        <v>863</v>
      </c>
      <c r="G847" s="29" t="s">
        <v>607</v>
      </c>
      <c r="H847" s="31">
        <v>2.77</v>
      </c>
      <c r="I847" s="29" t="s">
        <v>597</v>
      </c>
      <c r="J847" s="32" t="s">
        <v>598</v>
      </c>
      <c r="K847" s="29" t="s">
        <v>599</v>
      </c>
      <c r="L847" s="29" t="s">
        <v>819</v>
      </c>
      <c r="M847" s="33">
        <v>-71.919</v>
      </c>
      <c r="N847" s="33">
        <v>-11.798</v>
      </c>
      <c r="O847" s="34" t="s">
        <v>601</v>
      </c>
      <c r="P847" s="32" t="s">
        <v>602</v>
      </c>
      <c r="Q847" s="35">
        <v>3.0</v>
      </c>
      <c r="R847" s="35">
        <v>3.0</v>
      </c>
      <c r="S847" s="36">
        <v>0.62</v>
      </c>
      <c r="T847" s="36">
        <v>20.2</v>
      </c>
      <c r="U847" s="36">
        <v>0.62</v>
      </c>
      <c r="V847" s="36">
        <v>2.4442</v>
      </c>
      <c r="W847" s="37" t="s">
        <v>623</v>
      </c>
      <c r="X847" s="31">
        <v>2.7</v>
      </c>
      <c r="Y847" s="36">
        <v>-3.442170867648412</v>
      </c>
      <c r="Z847" s="36">
        <v>0.3382136666666667</v>
      </c>
      <c r="AA847" s="29" t="s">
        <v>820</v>
      </c>
      <c r="AB847" s="31">
        <v>0.0774280130863</v>
      </c>
      <c r="AC847" s="38">
        <v>1787.0</v>
      </c>
    </row>
    <row r="848" ht="14.25" customHeight="1">
      <c r="A848" s="29" t="s">
        <v>220</v>
      </c>
      <c r="B848" s="29">
        <v>57.0</v>
      </c>
      <c r="C848" s="29" t="s">
        <v>593</v>
      </c>
      <c r="D848" s="29" t="s">
        <v>1110</v>
      </c>
      <c r="E848" s="29">
        <v>115.0</v>
      </c>
      <c r="F848" s="30" t="s">
        <v>1111</v>
      </c>
      <c r="G848" s="29" t="s">
        <v>607</v>
      </c>
      <c r="H848" s="31">
        <v>0.31</v>
      </c>
      <c r="I848" s="29" t="s">
        <v>616</v>
      </c>
      <c r="J848" s="32" t="s">
        <v>598</v>
      </c>
      <c r="K848" s="29" t="s">
        <v>599</v>
      </c>
      <c r="L848" s="29" t="s">
        <v>819</v>
      </c>
      <c r="M848" s="33">
        <v>-71.656</v>
      </c>
      <c r="N848" s="33">
        <v>-11.732</v>
      </c>
      <c r="O848" s="34" t="s">
        <v>601</v>
      </c>
      <c r="P848" s="32" t="s">
        <v>602</v>
      </c>
      <c r="Q848" s="35">
        <v>3.0</v>
      </c>
      <c r="R848" s="35">
        <v>3.0</v>
      </c>
      <c r="S848" s="36">
        <v>69.1</v>
      </c>
      <c r="T848" s="36">
        <v>48.6</v>
      </c>
      <c r="U848" s="36">
        <v>18.1042</v>
      </c>
      <c r="V848" s="36">
        <v>15.309</v>
      </c>
      <c r="W848" s="37" t="s">
        <v>623</v>
      </c>
      <c r="X848" s="31">
        <v>2.7</v>
      </c>
      <c r="Y848" s="36">
        <v>0.3528465731151787</v>
      </c>
      <c r="Z848" s="36">
        <v>0.05595633333333333</v>
      </c>
      <c r="AA848" s="29" t="s">
        <v>820</v>
      </c>
      <c r="AB848" s="31">
        <v>0.0774280130863</v>
      </c>
      <c r="AC848" s="38">
        <v>1135.0</v>
      </c>
    </row>
    <row r="849" ht="14.25" customHeight="1">
      <c r="A849" s="29" t="s">
        <v>220</v>
      </c>
      <c r="B849" s="29">
        <v>57.0</v>
      </c>
      <c r="C849" s="29" t="s">
        <v>593</v>
      </c>
      <c r="D849" s="29" t="s">
        <v>1110</v>
      </c>
      <c r="E849" s="29">
        <v>115.0</v>
      </c>
      <c r="F849" s="30" t="s">
        <v>1111</v>
      </c>
      <c r="G849" s="29" t="s">
        <v>607</v>
      </c>
      <c r="H849" s="31">
        <v>0.31</v>
      </c>
      <c r="I849" s="29" t="s">
        <v>616</v>
      </c>
      <c r="J849" s="32" t="s">
        <v>598</v>
      </c>
      <c r="K849" s="29" t="s">
        <v>599</v>
      </c>
      <c r="L849" s="29" t="s">
        <v>819</v>
      </c>
      <c r="M849" s="33">
        <v>-71.509</v>
      </c>
      <c r="N849" s="33">
        <v>-11.964</v>
      </c>
      <c r="O849" s="34" t="s">
        <v>601</v>
      </c>
      <c r="P849" s="32" t="s">
        <v>602</v>
      </c>
      <c r="Q849" s="35">
        <v>3.0</v>
      </c>
      <c r="R849" s="35">
        <v>3.0</v>
      </c>
      <c r="S849" s="36">
        <v>50.2</v>
      </c>
      <c r="T849" s="36">
        <v>18.825</v>
      </c>
      <c r="U849" s="36">
        <v>28.3836</v>
      </c>
      <c r="V849" s="36">
        <v>15.309</v>
      </c>
      <c r="W849" s="37" t="s">
        <v>623</v>
      </c>
      <c r="X849" s="31">
        <v>30.0</v>
      </c>
      <c r="Y849" s="36">
        <v>0.9813174150912276</v>
      </c>
      <c r="Z849" s="36">
        <v>0.3270090587133538</v>
      </c>
      <c r="AA849" s="29" t="s">
        <v>820</v>
      </c>
      <c r="AB849" s="31">
        <v>0.0774280130863</v>
      </c>
      <c r="AC849" s="38">
        <v>1706.0</v>
      </c>
    </row>
    <row r="850" ht="14.25" customHeight="1">
      <c r="A850" s="29" t="s">
        <v>220</v>
      </c>
      <c r="B850" s="29">
        <v>57.0</v>
      </c>
      <c r="C850" s="29" t="s">
        <v>593</v>
      </c>
      <c r="D850" s="29" t="s">
        <v>1110</v>
      </c>
      <c r="E850" s="29">
        <v>115.0</v>
      </c>
      <c r="F850" s="30" t="s">
        <v>1111</v>
      </c>
      <c r="G850" s="29" t="s">
        <v>607</v>
      </c>
      <c r="H850" s="31">
        <v>0.31</v>
      </c>
      <c r="I850" s="29" t="s">
        <v>616</v>
      </c>
      <c r="J850" s="32" t="s">
        <v>598</v>
      </c>
      <c r="K850" s="29" t="s">
        <v>599</v>
      </c>
      <c r="L850" s="29" t="s">
        <v>819</v>
      </c>
      <c r="M850" s="33">
        <v>-71.919</v>
      </c>
      <c r="N850" s="33">
        <v>-11.798</v>
      </c>
      <c r="O850" s="34" t="s">
        <v>601</v>
      </c>
      <c r="P850" s="32" t="s">
        <v>602</v>
      </c>
      <c r="Q850" s="35">
        <v>3.0</v>
      </c>
      <c r="R850" s="35">
        <v>3.0</v>
      </c>
      <c r="S850" s="36">
        <v>89.3</v>
      </c>
      <c r="T850" s="36">
        <v>30.1</v>
      </c>
      <c r="U850" s="36">
        <v>22.5036</v>
      </c>
      <c r="V850" s="36">
        <v>1.7759</v>
      </c>
      <c r="W850" s="37" t="s">
        <v>623</v>
      </c>
      <c r="X850" s="31">
        <v>2.7</v>
      </c>
      <c r="Y850" s="36">
        <v>1.0879151079556422</v>
      </c>
      <c r="Z850" s="36">
        <v>0.022328333333333332</v>
      </c>
      <c r="AA850" s="29" t="s">
        <v>820</v>
      </c>
      <c r="AB850" s="31">
        <v>0.0774280130863</v>
      </c>
      <c r="AC850" s="38">
        <v>1787.0</v>
      </c>
    </row>
    <row r="851" ht="14.25" customHeight="1">
      <c r="A851" s="29" t="s">
        <v>220</v>
      </c>
      <c r="B851" s="29">
        <v>57.0</v>
      </c>
      <c r="C851" s="29" t="s">
        <v>593</v>
      </c>
      <c r="D851" s="29" t="s">
        <v>1112</v>
      </c>
      <c r="E851" s="29">
        <v>130.0</v>
      </c>
      <c r="F851" s="30" t="s">
        <v>867</v>
      </c>
      <c r="G851" s="29" t="s">
        <v>607</v>
      </c>
      <c r="H851" s="31">
        <v>1.49</v>
      </c>
      <c r="I851" s="29" t="s">
        <v>597</v>
      </c>
      <c r="J851" s="32" t="s">
        <v>598</v>
      </c>
      <c r="K851" s="29" t="s">
        <v>599</v>
      </c>
      <c r="L851" s="29" t="s">
        <v>819</v>
      </c>
      <c r="M851" s="33">
        <v>-71.656</v>
      </c>
      <c r="N851" s="33">
        <v>-11.732</v>
      </c>
      <c r="O851" s="34" t="s">
        <v>601</v>
      </c>
      <c r="P851" s="32" t="s">
        <v>602</v>
      </c>
      <c r="Q851" s="35">
        <v>3.0</v>
      </c>
      <c r="R851" s="35">
        <v>3.0</v>
      </c>
      <c r="S851" s="36">
        <v>12.6</v>
      </c>
      <c r="T851" s="36">
        <v>13.7</v>
      </c>
      <c r="U851" s="36">
        <v>3.3768</v>
      </c>
      <c r="V851" s="36">
        <v>3.0962</v>
      </c>
      <c r="W851" s="37" t="s">
        <v>623</v>
      </c>
      <c r="X851" s="31">
        <v>2.7</v>
      </c>
      <c r="Y851" s="36">
        <v>-0.08228426284094906</v>
      </c>
      <c r="Z851" s="36">
        <v>0.040966666666666665</v>
      </c>
      <c r="AA851" s="29" t="s">
        <v>820</v>
      </c>
      <c r="AB851" s="31">
        <v>0.0774280130863</v>
      </c>
      <c r="AC851" s="38">
        <v>1135.0</v>
      </c>
    </row>
    <row r="852" ht="14.25" customHeight="1">
      <c r="A852" s="29" t="s">
        <v>220</v>
      </c>
      <c r="B852" s="29">
        <v>57.0</v>
      </c>
      <c r="C852" s="29" t="s">
        <v>593</v>
      </c>
      <c r="D852" s="29" t="s">
        <v>1112</v>
      </c>
      <c r="E852" s="29">
        <v>130.0</v>
      </c>
      <c r="F852" s="30" t="s">
        <v>867</v>
      </c>
      <c r="G852" s="29" t="s">
        <v>607</v>
      </c>
      <c r="H852" s="31">
        <v>1.49</v>
      </c>
      <c r="I852" s="29" t="s">
        <v>597</v>
      </c>
      <c r="J852" s="32" t="s">
        <v>598</v>
      </c>
      <c r="K852" s="29" t="s">
        <v>599</v>
      </c>
      <c r="L852" s="29" t="s">
        <v>819</v>
      </c>
      <c r="M852" s="33">
        <v>-71.509</v>
      </c>
      <c r="N852" s="33">
        <v>-11.964</v>
      </c>
      <c r="O852" s="34" t="s">
        <v>601</v>
      </c>
      <c r="P852" s="32" t="s">
        <v>602</v>
      </c>
      <c r="Q852" s="35">
        <v>3.0</v>
      </c>
      <c r="R852" s="35">
        <v>3.0</v>
      </c>
      <c r="S852" s="36">
        <v>20.2</v>
      </c>
      <c r="T852" s="36">
        <v>4.8278</v>
      </c>
      <c r="U852" s="36">
        <v>5.5963</v>
      </c>
      <c r="V852" s="36">
        <v>3.0962</v>
      </c>
      <c r="W852" s="37" t="s">
        <v>623</v>
      </c>
      <c r="X852" s="31">
        <v>30.0</v>
      </c>
      <c r="Y852" s="36">
        <v>1.4316028765552649</v>
      </c>
      <c r="Z852" s="36">
        <v>0.16268480236706226</v>
      </c>
      <c r="AA852" s="29" t="s">
        <v>820</v>
      </c>
      <c r="AB852" s="31">
        <v>0.0774280130863</v>
      </c>
      <c r="AC852" s="38">
        <v>1706.0</v>
      </c>
    </row>
    <row r="853" ht="14.25" customHeight="1">
      <c r="A853" s="29" t="s">
        <v>220</v>
      </c>
      <c r="B853" s="29">
        <v>57.0</v>
      </c>
      <c r="C853" s="29" t="s">
        <v>593</v>
      </c>
      <c r="D853" s="29" t="s">
        <v>1112</v>
      </c>
      <c r="E853" s="29">
        <v>130.0</v>
      </c>
      <c r="F853" s="30" t="s">
        <v>867</v>
      </c>
      <c r="G853" s="29" t="s">
        <v>607</v>
      </c>
      <c r="H853" s="31">
        <v>1.49</v>
      </c>
      <c r="I853" s="29" t="s">
        <v>597</v>
      </c>
      <c r="J853" s="32" t="s">
        <v>598</v>
      </c>
      <c r="K853" s="29" t="s">
        <v>599</v>
      </c>
      <c r="L853" s="29" t="s">
        <v>819</v>
      </c>
      <c r="M853" s="33">
        <v>-71.919</v>
      </c>
      <c r="N853" s="33">
        <v>-11.798</v>
      </c>
      <c r="O853" s="34" t="s">
        <v>601</v>
      </c>
      <c r="P853" s="32" t="s">
        <v>602</v>
      </c>
      <c r="Q853" s="35">
        <v>3.0</v>
      </c>
      <c r="R853" s="35">
        <v>3.0</v>
      </c>
      <c r="S853" s="36">
        <v>34.7</v>
      </c>
      <c r="T853" s="36">
        <v>10.1</v>
      </c>
      <c r="U853" s="36">
        <v>7.8422</v>
      </c>
      <c r="V853" s="36">
        <v>0.5858</v>
      </c>
      <c r="W853" s="37" t="s">
        <v>623</v>
      </c>
      <c r="X853" s="31">
        <v>2.7</v>
      </c>
      <c r="Y853" s="36">
        <v>1.2345831838612973</v>
      </c>
      <c r="Z853" s="36">
        <v>0.018146666666666665</v>
      </c>
      <c r="AA853" s="29" t="s">
        <v>820</v>
      </c>
      <c r="AB853" s="31">
        <v>0.0774280130863</v>
      </c>
      <c r="AC853" s="38">
        <v>1787.0</v>
      </c>
    </row>
    <row r="854" ht="14.25" customHeight="1">
      <c r="A854" s="29" t="s">
        <v>220</v>
      </c>
      <c r="B854" s="29">
        <v>57.0</v>
      </c>
      <c r="C854" s="29" t="s">
        <v>593</v>
      </c>
      <c r="D854" s="29" t="s">
        <v>1113</v>
      </c>
      <c r="E854" s="29">
        <v>139.0</v>
      </c>
      <c r="F854" s="30" t="s">
        <v>869</v>
      </c>
      <c r="G854" s="29" t="s">
        <v>607</v>
      </c>
      <c r="H854" s="31">
        <v>1.24</v>
      </c>
      <c r="I854" s="29" t="s">
        <v>597</v>
      </c>
      <c r="J854" s="32" t="s">
        <v>598</v>
      </c>
      <c r="K854" s="29" t="s">
        <v>599</v>
      </c>
      <c r="L854" s="29" t="s">
        <v>819</v>
      </c>
      <c r="M854" s="33">
        <v>-71.656</v>
      </c>
      <c r="N854" s="33">
        <v>-11.732</v>
      </c>
      <c r="O854" s="34" t="s">
        <v>601</v>
      </c>
      <c r="P854" s="32" t="s">
        <v>602</v>
      </c>
      <c r="Q854" s="35">
        <v>3.0</v>
      </c>
      <c r="R854" s="35">
        <v>3.0</v>
      </c>
      <c r="S854" s="36">
        <v>1.55</v>
      </c>
      <c r="T854" s="36">
        <v>1.55</v>
      </c>
      <c r="U854" s="36">
        <v>0.9998</v>
      </c>
      <c r="V854" s="36">
        <v>0.8246</v>
      </c>
      <c r="W854" s="37" t="s">
        <v>623</v>
      </c>
      <c r="X854" s="31">
        <v>2.7</v>
      </c>
      <c r="Y854" s="36">
        <v>0.001301236357971734</v>
      </c>
      <c r="Z854" s="36">
        <v>0.23303020464793614</v>
      </c>
      <c r="AA854" s="29" t="s">
        <v>820</v>
      </c>
      <c r="AB854" s="31">
        <v>0.0774280130863</v>
      </c>
      <c r="AC854" s="38">
        <v>1135.0</v>
      </c>
    </row>
    <row r="855" ht="14.25" customHeight="1">
      <c r="A855" s="29" t="s">
        <v>220</v>
      </c>
      <c r="B855" s="29">
        <v>57.0</v>
      </c>
      <c r="C855" s="29" t="s">
        <v>593</v>
      </c>
      <c r="D855" s="29" t="s">
        <v>1113</v>
      </c>
      <c r="E855" s="29">
        <v>139.0</v>
      </c>
      <c r="F855" s="30" t="s">
        <v>869</v>
      </c>
      <c r="G855" s="29" t="s">
        <v>607</v>
      </c>
      <c r="H855" s="31">
        <v>1.24</v>
      </c>
      <c r="I855" s="29" t="s">
        <v>597</v>
      </c>
      <c r="J855" s="32" t="s">
        <v>598</v>
      </c>
      <c r="K855" s="29" t="s">
        <v>599</v>
      </c>
      <c r="L855" s="29" t="s">
        <v>819</v>
      </c>
      <c r="M855" s="33">
        <v>-71.509</v>
      </c>
      <c r="N855" s="33">
        <v>-11.964</v>
      </c>
      <c r="O855" s="34" t="s">
        <v>601</v>
      </c>
      <c r="P855" s="32" t="s">
        <v>602</v>
      </c>
      <c r="Q855" s="35">
        <v>3.0</v>
      </c>
      <c r="R855" s="35">
        <v>3.0</v>
      </c>
      <c r="S855" s="36">
        <v>0.53</v>
      </c>
      <c r="T855" s="36">
        <v>0.5512</v>
      </c>
      <c r="U855" s="36">
        <v>0.8164</v>
      </c>
      <c r="V855" s="36">
        <v>0.8246</v>
      </c>
      <c r="W855" s="37" t="s">
        <v>623</v>
      </c>
      <c r="X855" s="31">
        <v>30.0</v>
      </c>
      <c r="Y855" s="36">
        <v>-0.03786746254339279</v>
      </c>
      <c r="Z855" s="36">
        <v>1.5369348205928675</v>
      </c>
      <c r="AA855" s="29" t="s">
        <v>820</v>
      </c>
      <c r="AB855" s="31">
        <v>0.0774280130863</v>
      </c>
      <c r="AC855" s="38">
        <v>1706.0</v>
      </c>
    </row>
    <row r="856" ht="14.25" customHeight="1">
      <c r="A856" s="29" t="s">
        <v>220</v>
      </c>
      <c r="B856" s="29">
        <v>57.0</v>
      </c>
      <c r="C856" s="29" t="s">
        <v>593</v>
      </c>
      <c r="D856" s="29" t="s">
        <v>1113</v>
      </c>
      <c r="E856" s="29">
        <v>139.0</v>
      </c>
      <c r="F856" s="30" t="s">
        <v>869</v>
      </c>
      <c r="G856" s="29" t="s">
        <v>607</v>
      </c>
      <c r="H856" s="31">
        <v>1.24</v>
      </c>
      <c r="I856" s="29" t="s">
        <v>597</v>
      </c>
      <c r="J856" s="32" t="s">
        <v>598</v>
      </c>
      <c r="K856" s="29" t="s">
        <v>599</v>
      </c>
      <c r="L856" s="29" t="s">
        <v>819</v>
      </c>
      <c r="M856" s="33">
        <v>-71.919</v>
      </c>
      <c r="N856" s="33">
        <v>-11.798</v>
      </c>
      <c r="O856" s="34" t="s">
        <v>601</v>
      </c>
      <c r="P856" s="32" t="s">
        <v>602</v>
      </c>
      <c r="Q856" s="35">
        <v>3.0</v>
      </c>
      <c r="R856" s="35">
        <v>3.0</v>
      </c>
      <c r="S856" s="36">
        <v>0.0</v>
      </c>
      <c r="T856" s="36">
        <v>11.4</v>
      </c>
      <c r="U856" s="36">
        <v>0.0</v>
      </c>
      <c r="V856" s="36">
        <v>1.596</v>
      </c>
      <c r="W856" s="37" t="s">
        <v>623</v>
      </c>
      <c r="X856" s="31">
        <v>2.7</v>
      </c>
      <c r="Y856" s="36">
        <v>-6.643789733147672</v>
      </c>
      <c r="Z856" s="36">
        <v>0.3436744486029706</v>
      </c>
      <c r="AA856" s="29" t="s">
        <v>820</v>
      </c>
      <c r="AB856" s="31">
        <v>0.0774280130863</v>
      </c>
      <c r="AC856" s="38">
        <v>1787.0</v>
      </c>
    </row>
    <row r="857" ht="14.25" customHeight="1">
      <c r="A857" s="29" t="s">
        <v>220</v>
      </c>
      <c r="B857" s="29">
        <v>57.0</v>
      </c>
      <c r="C857" s="29" t="s">
        <v>593</v>
      </c>
      <c r="D857" s="29" t="s">
        <v>875</v>
      </c>
      <c r="E857" s="29">
        <v>154.0</v>
      </c>
      <c r="F857" s="30" t="s">
        <v>876</v>
      </c>
      <c r="G857" s="29" t="s">
        <v>877</v>
      </c>
      <c r="H857" s="31">
        <v>1.32</v>
      </c>
      <c r="I857" s="29" t="s">
        <v>597</v>
      </c>
      <c r="J857" s="32" t="s">
        <v>598</v>
      </c>
      <c r="K857" s="29" t="s">
        <v>599</v>
      </c>
      <c r="L857" s="29" t="s">
        <v>819</v>
      </c>
      <c r="M857" s="33">
        <v>-71.656</v>
      </c>
      <c r="N857" s="33">
        <v>-11.732</v>
      </c>
      <c r="O857" s="34" t="s">
        <v>601</v>
      </c>
      <c r="P857" s="32" t="s">
        <v>602</v>
      </c>
      <c r="Q857" s="35">
        <v>3.0</v>
      </c>
      <c r="R857" s="35">
        <v>3.0</v>
      </c>
      <c r="S857" s="36">
        <v>13.7</v>
      </c>
      <c r="T857" s="36">
        <v>37.4</v>
      </c>
      <c r="U857" s="36">
        <v>6.2883</v>
      </c>
      <c r="V857" s="36">
        <v>7.9288</v>
      </c>
      <c r="W857" s="37" t="s">
        <v>623</v>
      </c>
      <c r="X857" s="31">
        <v>2.7</v>
      </c>
      <c r="Y857" s="36">
        <v>-1.000726581761644</v>
      </c>
      <c r="Z857" s="36">
        <v>0.08520833333333333</v>
      </c>
      <c r="AA857" s="29" t="s">
        <v>820</v>
      </c>
      <c r="AB857" s="31">
        <v>0.0774280130863</v>
      </c>
      <c r="AC857" s="38">
        <v>1135.0</v>
      </c>
    </row>
    <row r="858" ht="14.25" customHeight="1">
      <c r="A858" s="29" t="s">
        <v>220</v>
      </c>
      <c r="B858" s="29">
        <v>57.0</v>
      </c>
      <c r="C858" s="29" t="s">
        <v>593</v>
      </c>
      <c r="D858" s="29" t="s">
        <v>875</v>
      </c>
      <c r="E858" s="29">
        <v>154.0</v>
      </c>
      <c r="F858" s="30" t="s">
        <v>876</v>
      </c>
      <c r="G858" s="29" t="s">
        <v>877</v>
      </c>
      <c r="H858" s="31">
        <v>1.32</v>
      </c>
      <c r="I858" s="29" t="s">
        <v>597</v>
      </c>
      <c r="J858" s="32" t="s">
        <v>598</v>
      </c>
      <c r="K858" s="29" t="s">
        <v>599</v>
      </c>
      <c r="L858" s="29" t="s">
        <v>819</v>
      </c>
      <c r="M858" s="33">
        <v>-71.509</v>
      </c>
      <c r="N858" s="33">
        <v>-11.964</v>
      </c>
      <c r="O858" s="34" t="s">
        <v>601</v>
      </c>
      <c r="P858" s="32" t="s">
        <v>602</v>
      </c>
      <c r="Q858" s="35">
        <v>3.0</v>
      </c>
      <c r="R858" s="35">
        <v>3.0</v>
      </c>
      <c r="S858" s="36">
        <v>52.7</v>
      </c>
      <c r="T858" s="36">
        <v>11.1724</v>
      </c>
      <c r="U858" s="36">
        <v>5.2428</v>
      </c>
      <c r="V858" s="36">
        <v>7.9288</v>
      </c>
      <c r="W858" s="37" t="s">
        <v>623</v>
      </c>
      <c r="X858" s="31">
        <v>30.0</v>
      </c>
      <c r="Y858" s="36">
        <v>1.5514450078843005</v>
      </c>
      <c r="Z858" s="36">
        <v>0.17117969337495664</v>
      </c>
      <c r="AA858" s="29" t="s">
        <v>820</v>
      </c>
      <c r="AB858" s="31">
        <v>0.0774280130863</v>
      </c>
      <c r="AC858" s="38">
        <v>1706.0</v>
      </c>
    </row>
    <row r="859" ht="14.25" customHeight="1">
      <c r="A859" s="29" t="s">
        <v>220</v>
      </c>
      <c r="B859" s="29">
        <v>57.0</v>
      </c>
      <c r="C859" s="29" t="s">
        <v>593</v>
      </c>
      <c r="D859" s="29" t="s">
        <v>875</v>
      </c>
      <c r="E859" s="29">
        <v>154.0</v>
      </c>
      <c r="F859" s="30" t="s">
        <v>876</v>
      </c>
      <c r="G859" s="29" t="s">
        <v>877</v>
      </c>
      <c r="H859" s="31">
        <v>1.32</v>
      </c>
      <c r="I859" s="29" t="s">
        <v>597</v>
      </c>
      <c r="J859" s="32" t="s">
        <v>598</v>
      </c>
      <c r="K859" s="29" t="s">
        <v>599</v>
      </c>
      <c r="L859" s="29" t="s">
        <v>819</v>
      </c>
      <c r="M859" s="33">
        <v>-71.919</v>
      </c>
      <c r="N859" s="33">
        <v>-11.798</v>
      </c>
      <c r="O859" s="34" t="s">
        <v>601</v>
      </c>
      <c r="P859" s="32" t="s">
        <v>602</v>
      </c>
      <c r="Q859" s="35">
        <v>3.0</v>
      </c>
      <c r="R859" s="35">
        <v>3.0</v>
      </c>
      <c r="S859" s="36">
        <v>5.42</v>
      </c>
      <c r="T859" s="36">
        <v>39.1</v>
      </c>
      <c r="U859" s="36">
        <v>2.2818</v>
      </c>
      <c r="V859" s="36">
        <v>1.6422</v>
      </c>
      <c r="W859" s="37" t="s">
        <v>623</v>
      </c>
      <c r="X859" s="31">
        <v>2.7</v>
      </c>
      <c r="Y859" s="36">
        <v>-1.9666772358582965</v>
      </c>
      <c r="Z859" s="36">
        <v>0.05966729766751542</v>
      </c>
      <c r="AA859" s="29" t="s">
        <v>820</v>
      </c>
      <c r="AB859" s="31">
        <v>0.0774280130863</v>
      </c>
      <c r="AC859" s="38">
        <v>1787.0</v>
      </c>
    </row>
    <row r="860" ht="14.25" customHeight="1">
      <c r="A860" s="29" t="s">
        <v>220</v>
      </c>
      <c r="B860" s="29">
        <v>57.0</v>
      </c>
      <c r="C860" s="29" t="s">
        <v>593</v>
      </c>
      <c r="D860" s="29" t="s">
        <v>1114</v>
      </c>
      <c r="E860" s="29">
        <v>195.0</v>
      </c>
      <c r="F860" s="30" t="s">
        <v>1115</v>
      </c>
      <c r="G860" s="29" t="s">
        <v>596</v>
      </c>
      <c r="H860" s="31">
        <v>1.11</v>
      </c>
      <c r="I860" s="29" t="s">
        <v>597</v>
      </c>
      <c r="J860" s="32" t="s">
        <v>598</v>
      </c>
      <c r="K860" s="29" t="s">
        <v>599</v>
      </c>
      <c r="L860" s="29" t="s">
        <v>819</v>
      </c>
      <c r="M860" s="33">
        <v>-71.656</v>
      </c>
      <c r="N860" s="33">
        <v>-11.732</v>
      </c>
      <c r="O860" s="34" t="s">
        <v>601</v>
      </c>
      <c r="P860" s="32" t="s">
        <v>602</v>
      </c>
      <c r="Q860" s="35">
        <v>3.0</v>
      </c>
      <c r="R860" s="35">
        <v>3.0</v>
      </c>
      <c r="S860" s="36">
        <v>8.27</v>
      </c>
      <c r="T860" s="36">
        <v>7.32</v>
      </c>
      <c r="U860" s="36">
        <v>2.2494</v>
      </c>
      <c r="V860" s="36">
        <v>2.3863</v>
      </c>
      <c r="W860" s="37" t="s">
        <v>623</v>
      </c>
      <c r="X860" s="31">
        <v>2.7</v>
      </c>
      <c r="Y860" s="36">
        <v>0.12317602650256956</v>
      </c>
      <c r="Z860" s="36">
        <v>0.06008519580433214</v>
      </c>
      <c r="AA860" s="29" t="s">
        <v>820</v>
      </c>
      <c r="AB860" s="31">
        <v>0.0774280130863</v>
      </c>
      <c r="AC860" s="38">
        <v>1135.0</v>
      </c>
    </row>
    <row r="861" ht="14.25" customHeight="1">
      <c r="A861" s="29" t="s">
        <v>220</v>
      </c>
      <c r="B861" s="29">
        <v>57.0</v>
      </c>
      <c r="C861" s="29" t="s">
        <v>593</v>
      </c>
      <c r="D861" s="29" t="s">
        <v>1114</v>
      </c>
      <c r="E861" s="29">
        <v>195.0</v>
      </c>
      <c r="F861" s="30" t="s">
        <v>1115</v>
      </c>
      <c r="G861" s="29" t="s">
        <v>596</v>
      </c>
      <c r="H861" s="31">
        <v>1.11</v>
      </c>
      <c r="I861" s="29" t="s">
        <v>597</v>
      </c>
      <c r="J861" s="32" t="s">
        <v>598</v>
      </c>
      <c r="K861" s="29" t="s">
        <v>599</v>
      </c>
      <c r="L861" s="29" t="s">
        <v>819</v>
      </c>
      <c r="M861" s="33">
        <v>-71.509</v>
      </c>
      <c r="N861" s="33">
        <v>-11.964</v>
      </c>
      <c r="O861" s="34" t="s">
        <v>601</v>
      </c>
      <c r="P861" s="32" t="s">
        <v>602</v>
      </c>
      <c r="Q861" s="35">
        <v>3.0</v>
      </c>
      <c r="R861" s="35">
        <v>3.0</v>
      </c>
      <c r="S861" s="36">
        <v>6.46</v>
      </c>
      <c r="T861" s="36">
        <v>2.4225</v>
      </c>
      <c r="U861" s="36">
        <v>6.8864</v>
      </c>
      <c r="V861" s="36">
        <v>2.3863</v>
      </c>
      <c r="W861" s="37" t="s">
        <v>623</v>
      </c>
      <c r="X861" s="31">
        <v>30.0</v>
      </c>
      <c r="Y861" s="36">
        <v>0.9813174150912276</v>
      </c>
      <c r="Z861" s="36">
        <v>0.7022353402679486</v>
      </c>
      <c r="AA861" s="29" t="s">
        <v>820</v>
      </c>
      <c r="AB861" s="31">
        <v>0.0774280130863</v>
      </c>
      <c r="AC861" s="38">
        <v>1706.0</v>
      </c>
    </row>
    <row r="862" ht="14.25" customHeight="1">
      <c r="A862" s="29" t="s">
        <v>220</v>
      </c>
      <c r="B862" s="29">
        <v>57.0</v>
      </c>
      <c r="C862" s="29" t="s">
        <v>593</v>
      </c>
      <c r="D862" s="29" t="s">
        <v>1114</v>
      </c>
      <c r="E862" s="29">
        <v>195.0</v>
      </c>
      <c r="F862" s="30" t="s">
        <v>1115</v>
      </c>
      <c r="G862" s="29" t="s">
        <v>596</v>
      </c>
      <c r="H862" s="31">
        <v>1.11</v>
      </c>
      <c r="I862" s="29" t="s">
        <v>597</v>
      </c>
      <c r="J862" s="32" t="s">
        <v>598</v>
      </c>
      <c r="K862" s="29" t="s">
        <v>599</v>
      </c>
      <c r="L862" s="29" t="s">
        <v>819</v>
      </c>
      <c r="M862" s="33">
        <v>-71.919</v>
      </c>
      <c r="N862" s="33">
        <v>-11.798</v>
      </c>
      <c r="O862" s="34" t="s">
        <v>601</v>
      </c>
      <c r="P862" s="32" t="s">
        <v>602</v>
      </c>
      <c r="Q862" s="35">
        <v>3.0</v>
      </c>
      <c r="R862" s="35">
        <v>3.0</v>
      </c>
      <c r="S862" s="36">
        <v>5.52</v>
      </c>
      <c r="T862" s="36">
        <v>53.3</v>
      </c>
      <c r="U862" s="36">
        <v>1.7333</v>
      </c>
      <c r="V862" s="36">
        <v>3.198</v>
      </c>
      <c r="W862" s="37" t="s">
        <v>623</v>
      </c>
      <c r="X862" s="31">
        <v>2.7</v>
      </c>
      <c r="Y862" s="36">
        <v>-2.2550641979268433</v>
      </c>
      <c r="Z862" s="36">
        <v>0.03406609179181545</v>
      </c>
      <c r="AA862" s="29" t="s">
        <v>820</v>
      </c>
      <c r="AB862" s="31">
        <v>0.0774280130863</v>
      </c>
      <c r="AC862" s="38">
        <v>1787.0</v>
      </c>
    </row>
    <row r="863" ht="14.25" customHeight="1">
      <c r="A863" s="29" t="s">
        <v>220</v>
      </c>
      <c r="B863" s="29">
        <v>57.0</v>
      </c>
      <c r="C863" s="29" t="s">
        <v>608</v>
      </c>
      <c r="D863" s="29" t="s">
        <v>1116</v>
      </c>
      <c r="E863" s="29">
        <v>5.0</v>
      </c>
      <c r="F863" s="30" t="s">
        <v>1117</v>
      </c>
      <c r="G863" s="29" t="s">
        <v>611</v>
      </c>
      <c r="H863" s="31">
        <v>6.61</v>
      </c>
      <c r="I863" s="29" t="s">
        <v>612</v>
      </c>
      <c r="J863" s="32" t="s">
        <v>598</v>
      </c>
      <c r="K863" s="29" t="s">
        <v>599</v>
      </c>
      <c r="L863" s="29" t="s">
        <v>819</v>
      </c>
      <c r="M863" s="33">
        <v>-71.656</v>
      </c>
      <c r="N863" s="33">
        <v>-11.732</v>
      </c>
      <c r="O863" s="34" t="s">
        <v>601</v>
      </c>
      <c r="P863" s="32" t="s">
        <v>602</v>
      </c>
      <c r="Q863" s="35">
        <v>3.0</v>
      </c>
      <c r="R863" s="35">
        <v>3.0</v>
      </c>
      <c r="S863" s="36">
        <v>8.3</v>
      </c>
      <c r="T863" s="36">
        <v>11.4</v>
      </c>
      <c r="U863" s="36">
        <v>1.162</v>
      </c>
      <c r="V863" s="36">
        <v>1.596</v>
      </c>
      <c r="W863" s="37" t="s">
        <v>623</v>
      </c>
      <c r="X863" s="31">
        <v>2.7</v>
      </c>
      <c r="Y863" s="36">
        <v>-0.3170035447571676</v>
      </c>
      <c r="Z863" s="36">
        <v>0.013066666666666664</v>
      </c>
      <c r="AA863" s="29" t="s">
        <v>820</v>
      </c>
      <c r="AB863" s="31">
        <v>0.0774280130863</v>
      </c>
      <c r="AC863" s="38">
        <v>1135.0</v>
      </c>
    </row>
    <row r="864" ht="14.25" customHeight="1">
      <c r="A864" s="29" t="s">
        <v>220</v>
      </c>
      <c r="B864" s="29">
        <v>57.0</v>
      </c>
      <c r="C864" s="29" t="s">
        <v>608</v>
      </c>
      <c r="D864" s="29" t="s">
        <v>1116</v>
      </c>
      <c r="E864" s="29">
        <v>5.0</v>
      </c>
      <c r="F864" s="30" t="s">
        <v>1117</v>
      </c>
      <c r="G864" s="29" t="s">
        <v>611</v>
      </c>
      <c r="H864" s="31">
        <v>6.61</v>
      </c>
      <c r="I864" s="29" t="s">
        <v>612</v>
      </c>
      <c r="J864" s="32" t="s">
        <v>598</v>
      </c>
      <c r="K864" s="29" t="s">
        <v>599</v>
      </c>
      <c r="L864" s="29" t="s">
        <v>819</v>
      </c>
      <c r="M864" s="33">
        <v>-71.509</v>
      </c>
      <c r="N864" s="33">
        <v>-11.964</v>
      </c>
      <c r="O864" s="34" t="s">
        <v>601</v>
      </c>
      <c r="P864" s="32" t="s">
        <v>602</v>
      </c>
      <c r="Q864" s="35">
        <v>3.0</v>
      </c>
      <c r="R864" s="35">
        <v>3.0</v>
      </c>
      <c r="S864" s="36">
        <v>12.2</v>
      </c>
      <c r="T864" s="36">
        <v>11.4</v>
      </c>
      <c r="U864" s="36">
        <v>1.708</v>
      </c>
      <c r="V864" s="36">
        <v>1.596</v>
      </c>
      <c r="W864" s="37" t="s">
        <v>623</v>
      </c>
      <c r="X864" s="31">
        <v>30.0</v>
      </c>
      <c r="Y864" s="36">
        <v>0.06806364732221099</v>
      </c>
      <c r="Z864" s="36">
        <v>0.013066666666666667</v>
      </c>
      <c r="AA864" s="29" t="s">
        <v>820</v>
      </c>
      <c r="AB864" s="31">
        <v>0.0774280130863</v>
      </c>
      <c r="AC864" s="38">
        <v>1706.0</v>
      </c>
    </row>
    <row r="865" ht="14.25" customHeight="1">
      <c r="A865" s="29" t="s">
        <v>220</v>
      </c>
      <c r="B865" s="29">
        <v>57.0</v>
      </c>
      <c r="C865" s="29" t="s">
        <v>608</v>
      </c>
      <c r="D865" s="29" t="s">
        <v>1116</v>
      </c>
      <c r="E865" s="29">
        <v>5.0</v>
      </c>
      <c r="F865" s="30" t="s">
        <v>1117</v>
      </c>
      <c r="G865" s="29" t="s">
        <v>611</v>
      </c>
      <c r="H865" s="31">
        <v>6.61</v>
      </c>
      <c r="I865" s="29" t="s">
        <v>612</v>
      </c>
      <c r="J865" s="32" t="s">
        <v>598</v>
      </c>
      <c r="K865" s="29" t="s">
        <v>599</v>
      </c>
      <c r="L865" s="29" t="s">
        <v>819</v>
      </c>
      <c r="M865" s="33">
        <v>-71.919</v>
      </c>
      <c r="N865" s="33">
        <v>-11.798</v>
      </c>
      <c r="O865" s="34" t="s">
        <v>601</v>
      </c>
      <c r="P865" s="32" t="s">
        <v>602</v>
      </c>
      <c r="Q865" s="35">
        <v>3.0</v>
      </c>
      <c r="R865" s="35">
        <v>3.0</v>
      </c>
      <c r="S865" s="36">
        <v>0.7</v>
      </c>
      <c r="T865" s="36">
        <v>11.4</v>
      </c>
      <c r="U865" s="36">
        <v>0.098</v>
      </c>
      <c r="V865" s="36">
        <v>1.596</v>
      </c>
      <c r="W865" s="37" t="s">
        <v>623</v>
      </c>
      <c r="X865" s="31">
        <v>2.7</v>
      </c>
      <c r="Y865" s="36">
        <v>-2.786095421079146</v>
      </c>
      <c r="Z865" s="36">
        <v>0.01306666666666667</v>
      </c>
      <c r="AA865" s="29" t="s">
        <v>820</v>
      </c>
      <c r="AB865" s="31">
        <v>0.0774280130863</v>
      </c>
      <c r="AC865" s="38">
        <v>1787.0</v>
      </c>
    </row>
    <row r="866" ht="14.25" customHeight="1">
      <c r="A866" s="29" t="s">
        <v>220</v>
      </c>
      <c r="B866" s="29">
        <v>57.0</v>
      </c>
      <c r="C866" s="29" t="s">
        <v>608</v>
      </c>
      <c r="D866" s="29" t="s">
        <v>1118</v>
      </c>
      <c r="E866" s="29">
        <v>15.0</v>
      </c>
      <c r="F866" s="30" t="s">
        <v>1119</v>
      </c>
      <c r="G866" s="29" t="s">
        <v>611</v>
      </c>
      <c r="H866" s="31">
        <v>6.0</v>
      </c>
      <c r="I866" s="29" t="s">
        <v>597</v>
      </c>
      <c r="J866" s="32" t="s">
        <v>598</v>
      </c>
      <c r="K866" s="29" t="s">
        <v>599</v>
      </c>
      <c r="L866" s="29" t="s">
        <v>819</v>
      </c>
      <c r="M866" s="33">
        <v>-71.656</v>
      </c>
      <c r="N866" s="33">
        <v>-11.732</v>
      </c>
      <c r="O866" s="34" t="s">
        <v>601</v>
      </c>
      <c r="P866" s="32" t="s">
        <v>602</v>
      </c>
      <c r="Q866" s="35">
        <v>3.0</v>
      </c>
      <c r="R866" s="35">
        <v>3.0</v>
      </c>
      <c r="S866" s="36">
        <v>7.8</v>
      </c>
      <c r="T866" s="36">
        <v>41.7</v>
      </c>
      <c r="U866" s="36">
        <v>0.2418</v>
      </c>
      <c r="V866" s="36">
        <v>1.2927</v>
      </c>
      <c r="W866" s="37" t="s">
        <v>623</v>
      </c>
      <c r="X866" s="31">
        <v>2.7</v>
      </c>
      <c r="Y866" s="36">
        <v>-1.6749990488071294</v>
      </c>
      <c r="Z866" s="36">
        <v>6.406666666666666E-4</v>
      </c>
      <c r="AA866" s="29" t="s">
        <v>820</v>
      </c>
      <c r="AB866" s="31">
        <v>0.0774280130863</v>
      </c>
      <c r="AC866" s="38">
        <v>1135.0</v>
      </c>
    </row>
    <row r="867" ht="14.25" customHeight="1">
      <c r="A867" s="29" t="s">
        <v>220</v>
      </c>
      <c r="B867" s="29">
        <v>57.0</v>
      </c>
      <c r="C867" s="29" t="s">
        <v>608</v>
      </c>
      <c r="D867" s="29" t="s">
        <v>1118</v>
      </c>
      <c r="E867" s="29">
        <v>15.0</v>
      </c>
      <c r="F867" s="30" t="s">
        <v>1119</v>
      </c>
      <c r="G867" s="29" t="s">
        <v>611</v>
      </c>
      <c r="H867" s="31">
        <v>6.0</v>
      </c>
      <c r="I867" s="29" t="s">
        <v>597</v>
      </c>
      <c r="J867" s="32" t="s">
        <v>598</v>
      </c>
      <c r="K867" s="29" t="s">
        <v>599</v>
      </c>
      <c r="L867" s="29" t="s">
        <v>819</v>
      </c>
      <c r="M867" s="33">
        <v>-71.509</v>
      </c>
      <c r="N867" s="33">
        <v>-11.964</v>
      </c>
      <c r="O867" s="34" t="s">
        <v>601</v>
      </c>
      <c r="P867" s="32" t="s">
        <v>602</v>
      </c>
      <c r="Q867" s="35">
        <v>3.0</v>
      </c>
      <c r="R867" s="35">
        <v>3.0</v>
      </c>
      <c r="S867" s="36">
        <v>45.9</v>
      </c>
      <c r="T867" s="36">
        <v>41.7</v>
      </c>
      <c r="U867" s="36">
        <v>1.4229</v>
      </c>
      <c r="V867" s="36">
        <v>1.2927</v>
      </c>
      <c r="W867" s="37" t="s">
        <v>623</v>
      </c>
      <c r="X867" s="31">
        <v>30.0</v>
      </c>
      <c r="Y867" s="36">
        <v>0.0961983510783737</v>
      </c>
      <c r="Z867" s="36">
        <v>6.406666666666666E-4</v>
      </c>
      <c r="AA867" s="29" t="s">
        <v>820</v>
      </c>
      <c r="AB867" s="31">
        <v>0.0774280130863</v>
      </c>
      <c r="AC867" s="38">
        <v>1706.0</v>
      </c>
    </row>
    <row r="868" ht="14.25" customHeight="1">
      <c r="A868" s="29" t="s">
        <v>220</v>
      </c>
      <c r="B868" s="29">
        <v>57.0</v>
      </c>
      <c r="C868" s="29" t="s">
        <v>608</v>
      </c>
      <c r="D868" s="29" t="s">
        <v>1118</v>
      </c>
      <c r="E868" s="29">
        <v>15.0</v>
      </c>
      <c r="F868" s="30" t="s">
        <v>1119</v>
      </c>
      <c r="G868" s="29" t="s">
        <v>611</v>
      </c>
      <c r="H868" s="31">
        <v>6.0</v>
      </c>
      <c r="I868" s="29" t="s">
        <v>597</v>
      </c>
      <c r="J868" s="32" t="s">
        <v>598</v>
      </c>
      <c r="K868" s="29" t="s">
        <v>599</v>
      </c>
      <c r="L868" s="29" t="s">
        <v>819</v>
      </c>
      <c r="M868" s="33">
        <v>-71.919</v>
      </c>
      <c r="N868" s="33">
        <v>-11.798</v>
      </c>
      <c r="O868" s="34" t="s">
        <v>601</v>
      </c>
      <c r="P868" s="32" t="s">
        <v>602</v>
      </c>
      <c r="Q868" s="35">
        <v>3.0</v>
      </c>
      <c r="R868" s="35">
        <v>3.0</v>
      </c>
      <c r="S868" s="36">
        <v>2.3</v>
      </c>
      <c r="T868" s="36">
        <v>41.7</v>
      </c>
      <c r="U868" s="36">
        <v>0.0713</v>
      </c>
      <c r="V868" s="36">
        <v>1.2927</v>
      </c>
      <c r="W868" s="37" t="s">
        <v>623</v>
      </c>
      <c r="X868" s="31">
        <v>2.7</v>
      </c>
      <c r="Y868" s="36">
        <v>-2.892925297160256</v>
      </c>
      <c r="Z868" s="36">
        <v>6.406666666666666E-4</v>
      </c>
      <c r="AA868" s="29" t="s">
        <v>820</v>
      </c>
      <c r="AB868" s="31">
        <v>0.0774280130863</v>
      </c>
      <c r="AC868" s="38">
        <v>1787.0</v>
      </c>
    </row>
    <row r="869" ht="14.25" customHeight="1">
      <c r="A869" s="29" t="s">
        <v>220</v>
      </c>
      <c r="B869" s="29">
        <v>57.0</v>
      </c>
      <c r="C869" s="29" t="s">
        <v>608</v>
      </c>
      <c r="D869" s="29" t="s">
        <v>1120</v>
      </c>
      <c r="E869" s="29">
        <v>23.0</v>
      </c>
      <c r="F869" s="30" t="s">
        <v>1121</v>
      </c>
      <c r="G869" s="29" t="s">
        <v>611</v>
      </c>
      <c r="H869" s="31">
        <v>0.99</v>
      </c>
      <c r="I869" s="29" t="s">
        <v>616</v>
      </c>
      <c r="J869" s="32" t="s">
        <v>598</v>
      </c>
      <c r="K869" s="29" t="s">
        <v>599</v>
      </c>
      <c r="L869" s="29" t="s">
        <v>819</v>
      </c>
      <c r="M869" s="33">
        <v>-71.656</v>
      </c>
      <c r="N869" s="33">
        <v>-11.732</v>
      </c>
      <c r="O869" s="34" t="s">
        <v>601</v>
      </c>
      <c r="P869" s="32" t="s">
        <v>602</v>
      </c>
      <c r="Q869" s="35">
        <v>3.0</v>
      </c>
      <c r="R869" s="35">
        <v>3.0</v>
      </c>
      <c r="S869" s="36">
        <v>5.2</v>
      </c>
      <c r="T869" s="36">
        <v>20.2</v>
      </c>
      <c r="U869" s="36">
        <v>0.6292</v>
      </c>
      <c r="V869" s="36">
        <v>2.4442</v>
      </c>
      <c r="W869" s="37" t="s">
        <v>623</v>
      </c>
      <c r="X869" s="31">
        <v>2.7</v>
      </c>
      <c r="Y869" s="36">
        <v>-1.3560222579582415</v>
      </c>
      <c r="Z869" s="36">
        <v>0.009760666666666667</v>
      </c>
      <c r="AA869" s="29" t="s">
        <v>820</v>
      </c>
      <c r="AB869" s="31">
        <v>0.0774280130863</v>
      </c>
      <c r="AC869" s="38">
        <v>1135.0</v>
      </c>
    </row>
    <row r="870" ht="14.25" customHeight="1">
      <c r="A870" s="29" t="s">
        <v>220</v>
      </c>
      <c r="B870" s="29">
        <v>57.0</v>
      </c>
      <c r="C870" s="29" t="s">
        <v>608</v>
      </c>
      <c r="D870" s="29" t="s">
        <v>1120</v>
      </c>
      <c r="E870" s="29">
        <v>23.0</v>
      </c>
      <c r="F870" s="30" t="s">
        <v>1121</v>
      </c>
      <c r="G870" s="29" t="s">
        <v>611</v>
      </c>
      <c r="H870" s="31">
        <v>0.99</v>
      </c>
      <c r="I870" s="29" t="s">
        <v>616</v>
      </c>
      <c r="J870" s="32" t="s">
        <v>598</v>
      </c>
      <c r="K870" s="29" t="s">
        <v>599</v>
      </c>
      <c r="L870" s="29" t="s">
        <v>819</v>
      </c>
      <c r="M870" s="33">
        <v>-71.509</v>
      </c>
      <c r="N870" s="33">
        <v>-11.964</v>
      </c>
      <c r="O870" s="34" t="s">
        <v>601</v>
      </c>
      <c r="P870" s="32" t="s">
        <v>602</v>
      </c>
      <c r="Q870" s="35">
        <v>3.0</v>
      </c>
      <c r="R870" s="35">
        <v>3.0</v>
      </c>
      <c r="S870" s="36">
        <v>18.6</v>
      </c>
      <c r="T870" s="36">
        <v>20.2</v>
      </c>
      <c r="U870" s="36">
        <v>2.2506</v>
      </c>
      <c r="V870" s="36">
        <v>2.4442</v>
      </c>
      <c r="W870" s="37" t="s">
        <v>623</v>
      </c>
      <c r="X870" s="31">
        <v>30.0</v>
      </c>
      <c r="Y870" s="36">
        <v>-0.08224087162740008</v>
      </c>
      <c r="Z870" s="36">
        <v>0.009760666666666666</v>
      </c>
      <c r="AA870" s="29" t="s">
        <v>820</v>
      </c>
      <c r="AB870" s="31">
        <v>0.0774280130863</v>
      </c>
      <c r="AC870" s="38">
        <v>1706.0</v>
      </c>
    </row>
    <row r="871" ht="14.25" customHeight="1">
      <c r="A871" s="29" t="s">
        <v>220</v>
      </c>
      <c r="B871" s="29">
        <v>57.0</v>
      </c>
      <c r="C871" s="29" t="s">
        <v>608</v>
      </c>
      <c r="D871" s="29" t="s">
        <v>830</v>
      </c>
      <c r="E871" s="29">
        <v>30.0</v>
      </c>
      <c r="F871" s="30" t="s">
        <v>831</v>
      </c>
      <c r="G871" s="29" t="s">
        <v>611</v>
      </c>
      <c r="H871" s="31">
        <v>2.63</v>
      </c>
      <c r="I871" s="29" t="s">
        <v>616</v>
      </c>
      <c r="J871" s="32" t="s">
        <v>598</v>
      </c>
      <c r="K871" s="29" t="s">
        <v>599</v>
      </c>
      <c r="L871" s="29" t="s">
        <v>819</v>
      </c>
      <c r="M871" s="33">
        <v>-71.656</v>
      </c>
      <c r="N871" s="33">
        <v>-11.732</v>
      </c>
      <c r="O871" s="34" t="s">
        <v>601</v>
      </c>
      <c r="P871" s="32" t="s">
        <v>602</v>
      </c>
      <c r="Q871" s="35">
        <v>3.0</v>
      </c>
      <c r="R871" s="35">
        <v>3.0</v>
      </c>
      <c r="S871" s="36">
        <v>2.5</v>
      </c>
      <c r="T871" s="36">
        <v>10.1</v>
      </c>
      <c r="U871" s="36">
        <v>0.145</v>
      </c>
      <c r="V871" s="36">
        <v>0.5858</v>
      </c>
      <c r="W871" s="37" t="s">
        <v>623</v>
      </c>
      <c r="X871" s="31">
        <v>2.7</v>
      </c>
      <c r="Y871" s="36">
        <v>-1.3952029231411862</v>
      </c>
      <c r="Z871" s="36">
        <v>0.0022426666666666667</v>
      </c>
      <c r="AA871" s="29" t="s">
        <v>820</v>
      </c>
      <c r="AB871" s="31">
        <v>0.0774280130863</v>
      </c>
      <c r="AC871" s="38">
        <v>1135.0</v>
      </c>
    </row>
    <row r="872" ht="14.25" customHeight="1">
      <c r="A872" s="29" t="s">
        <v>220</v>
      </c>
      <c r="B872" s="29">
        <v>57.0</v>
      </c>
      <c r="C872" s="29" t="s">
        <v>608</v>
      </c>
      <c r="D872" s="29" t="s">
        <v>830</v>
      </c>
      <c r="E872" s="29">
        <v>30.0</v>
      </c>
      <c r="F872" s="30" t="s">
        <v>831</v>
      </c>
      <c r="G872" s="29" t="s">
        <v>611</v>
      </c>
      <c r="H872" s="31">
        <v>2.63</v>
      </c>
      <c r="I872" s="29" t="s">
        <v>616</v>
      </c>
      <c r="J872" s="32" t="s">
        <v>598</v>
      </c>
      <c r="K872" s="29" t="s">
        <v>599</v>
      </c>
      <c r="L872" s="29" t="s">
        <v>819</v>
      </c>
      <c r="M872" s="33">
        <v>-71.509</v>
      </c>
      <c r="N872" s="33">
        <v>-11.964</v>
      </c>
      <c r="O872" s="34" t="s">
        <v>601</v>
      </c>
      <c r="P872" s="32" t="s">
        <v>602</v>
      </c>
      <c r="Q872" s="35">
        <v>3.0</v>
      </c>
      <c r="R872" s="35">
        <v>3.0</v>
      </c>
      <c r="S872" s="36">
        <v>11.9</v>
      </c>
      <c r="T872" s="36">
        <v>10.1</v>
      </c>
      <c r="U872" s="36">
        <v>0.6902</v>
      </c>
      <c r="V872" s="36">
        <v>0.5858</v>
      </c>
      <c r="W872" s="37" t="s">
        <v>623</v>
      </c>
      <c r="X872" s="31">
        <v>30.0</v>
      </c>
      <c r="Y872" s="36">
        <v>0.16422192533730523</v>
      </c>
      <c r="Z872" s="36">
        <v>0.0022426666666666667</v>
      </c>
      <c r="AA872" s="29" t="s">
        <v>820</v>
      </c>
      <c r="AB872" s="31">
        <v>0.0774280130863</v>
      </c>
      <c r="AC872" s="38">
        <v>1706.0</v>
      </c>
    </row>
    <row r="873" ht="14.25" customHeight="1">
      <c r="A873" s="29" t="s">
        <v>220</v>
      </c>
      <c r="B873" s="29">
        <v>57.0</v>
      </c>
      <c r="C873" s="29" t="s">
        <v>608</v>
      </c>
      <c r="D873" s="29" t="s">
        <v>830</v>
      </c>
      <c r="E873" s="29">
        <v>30.0</v>
      </c>
      <c r="F873" s="30" t="s">
        <v>831</v>
      </c>
      <c r="G873" s="29" t="s">
        <v>611</v>
      </c>
      <c r="H873" s="31">
        <v>2.63</v>
      </c>
      <c r="I873" s="29" t="s">
        <v>616</v>
      </c>
      <c r="J873" s="32" t="s">
        <v>598</v>
      </c>
      <c r="K873" s="29" t="s">
        <v>599</v>
      </c>
      <c r="L873" s="29" t="s">
        <v>819</v>
      </c>
      <c r="M873" s="33">
        <v>-71.919</v>
      </c>
      <c r="N873" s="33">
        <v>-11.798</v>
      </c>
      <c r="O873" s="34" t="s">
        <v>601</v>
      </c>
      <c r="P873" s="32" t="s">
        <v>602</v>
      </c>
      <c r="Q873" s="35">
        <v>3.0</v>
      </c>
      <c r="R873" s="35">
        <v>3.0</v>
      </c>
      <c r="S873" s="36">
        <v>1.8</v>
      </c>
      <c r="T873" s="36">
        <v>10.1</v>
      </c>
      <c r="U873" s="36">
        <v>0.1044</v>
      </c>
      <c r="V873" s="36">
        <v>0.5858</v>
      </c>
      <c r="W873" s="37" t="s">
        <v>623</v>
      </c>
      <c r="X873" s="31">
        <v>2.7</v>
      </c>
      <c r="Y873" s="36">
        <v>-1.7233021507021025</v>
      </c>
      <c r="Z873" s="36">
        <v>0.002242666666666667</v>
      </c>
      <c r="AA873" s="29" t="s">
        <v>820</v>
      </c>
      <c r="AB873" s="31">
        <v>0.0774280130863</v>
      </c>
      <c r="AC873" s="38">
        <v>1787.0</v>
      </c>
    </row>
    <row r="874" ht="14.25" customHeight="1">
      <c r="A874" s="29" t="s">
        <v>220</v>
      </c>
      <c r="B874" s="29">
        <v>57.0</v>
      </c>
      <c r="C874" s="29" t="s">
        <v>608</v>
      </c>
      <c r="D874" s="29" t="s">
        <v>961</v>
      </c>
      <c r="E874" s="29">
        <v>73.0</v>
      </c>
      <c r="F874" s="30" t="s">
        <v>962</v>
      </c>
      <c r="G874" s="29" t="s">
        <v>615</v>
      </c>
      <c r="H874" s="31">
        <v>2.67</v>
      </c>
      <c r="I874" s="29" t="s">
        <v>616</v>
      </c>
      <c r="J874" s="32" t="s">
        <v>598</v>
      </c>
      <c r="K874" s="29" t="s">
        <v>599</v>
      </c>
      <c r="L874" s="29" t="s">
        <v>819</v>
      </c>
      <c r="M874" s="33">
        <v>-71.656</v>
      </c>
      <c r="N874" s="33">
        <v>-11.732</v>
      </c>
      <c r="O874" s="34" t="s">
        <v>601</v>
      </c>
      <c r="P874" s="32" t="s">
        <v>602</v>
      </c>
      <c r="Q874" s="35">
        <v>3.0</v>
      </c>
      <c r="R874" s="35">
        <v>3.0</v>
      </c>
      <c r="S874" s="36">
        <v>1.64</v>
      </c>
      <c r="T874" s="36">
        <v>1.88</v>
      </c>
      <c r="U874" s="36">
        <v>0.6117</v>
      </c>
      <c r="V874" s="36">
        <v>0.799</v>
      </c>
      <c r="W874" s="37" t="s">
        <v>623</v>
      </c>
      <c r="X874" s="31">
        <v>2.7</v>
      </c>
      <c r="Y874" s="36">
        <v>-0.13627982500073313</v>
      </c>
      <c r="Z874" s="36">
        <v>0.10658163419591515</v>
      </c>
      <c r="AA874" s="29" t="s">
        <v>820</v>
      </c>
      <c r="AB874" s="31">
        <v>0.0774280130863</v>
      </c>
      <c r="AC874" s="38">
        <v>1135.0</v>
      </c>
    </row>
    <row r="875" ht="14.25" customHeight="1">
      <c r="A875" s="29" t="s">
        <v>220</v>
      </c>
      <c r="B875" s="29">
        <v>57.0</v>
      </c>
      <c r="C875" s="29" t="s">
        <v>608</v>
      </c>
      <c r="D875" s="29" t="s">
        <v>961</v>
      </c>
      <c r="E875" s="29">
        <v>73.0</v>
      </c>
      <c r="F875" s="30" t="s">
        <v>962</v>
      </c>
      <c r="G875" s="29" t="s">
        <v>615</v>
      </c>
      <c r="H875" s="31">
        <v>2.67</v>
      </c>
      <c r="I875" s="29" t="s">
        <v>616</v>
      </c>
      <c r="J875" s="32" t="s">
        <v>598</v>
      </c>
      <c r="K875" s="29" t="s">
        <v>599</v>
      </c>
      <c r="L875" s="29" t="s">
        <v>819</v>
      </c>
      <c r="M875" s="33">
        <v>-71.509</v>
      </c>
      <c r="N875" s="33">
        <v>-11.964</v>
      </c>
      <c r="O875" s="34" t="s">
        <v>601</v>
      </c>
      <c r="P875" s="32" t="s">
        <v>602</v>
      </c>
      <c r="Q875" s="35">
        <v>3.0</v>
      </c>
      <c r="R875" s="35">
        <v>3.0</v>
      </c>
      <c r="S875" s="36">
        <v>0.99</v>
      </c>
      <c r="T875" s="36">
        <v>1.88</v>
      </c>
      <c r="U875" s="36">
        <v>0.5089</v>
      </c>
      <c r="V875" s="36">
        <v>0.799</v>
      </c>
      <c r="W875" s="37" t="s">
        <v>623</v>
      </c>
      <c r="X875" s="31">
        <v>30.0</v>
      </c>
      <c r="Y875" s="36">
        <v>-0.6408322972001018</v>
      </c>
      <c r="Z875" s="36">
        <v>0.148287512328674</v>
      </c>
      <c r="AA875" s="29" t="s">
        <v>820</v>
      </c>
      <c r="AB875" s="31">
        <v>0.0774280130863</v>
      </c>
      <c r="AC875" s="38">
        <v>1706.0</v>
      </c>
    </row>
    <row r="876" ht="14.25" customHeight="1">
      <c r="A876" s="29" t="s">
        <v>220</v>
      </c>
      <c r="B876" s="29">
        <v>57.0</v>
      </c>
      <c r="C876" s="29" t="s">
        <v>608</v>
      </c>
      <c r="D876" s="29" t="s">
        <v>961</v>
      </c>
      <c r="E876" s="29">
        <v>73.0</v>
      </c>
      <c r="F876" s="30" t="s">
        <v>962</v>
      </c>
      <c r="G876" s="29" t="s">
        <v>615</v>
      </c>
      <c r="H876" s="31">
        <v>2.67</v>
      </c>
      <c r="I876" s="29" t="s">
        <v>616</v>
      </c>
      <c r="J876" s="32" t="s">
        <v>598</v>
      </c>
      <c r="K876" s="29" t="s">
        <v>599</v>
      </c>
      <c r="L876" s="29" t="s">
        <v>819</v>
      </c>
      <c r="M876" s="33">
        <v>-71.919</v>
      </c>
      <c r="N876" s="33">
        <v>-11.798</v>
      </c>
      <c r="O876" s="34" t="s">
        <v>601</v>
      </c>
      <c r="P876" s="32" t="s">
        <v>602</v>
      </c>
      <c r="Q876" s="35">
        <v>3.0</v>
      </c>
      <c r="R876" s="35">
        <v>3.0</v>
      </c>
      <c r="S876" s="36">
        <v>0.0</v>
      </c>
      <c r="T876" s="36">
        <v>1.88</v>
      </c>
      <c r="U876" s="36">
        <v>0.0</v>
      </c>
      <c r="V876" s="36">
        <v>0.799</v>
      </c>
      <c r="W876" s="37" t="s">
        <v>623</v>
      </c>
      <c r="X876" s="31">
        <v>2.7</v>
      </c>
      <c r="Y876" s="36">
        <v>-8.262558973010657</v>
      </c>
      <c r="Z876" s="36">
        <v>0.43263193512699194</v>
      </c>
      <c r="AA876" s="29" t="s">
        <v>820</v>
      </c>
      <c r="AB876" s="31">
        <v>0.0774280130863</v>
      </c>
      <c r="AC876" s="38">
        <v>1787.0</v>
      </c>
    </row>
    <row r="877" ht="14.25" customHeight="1">
      <c r="A877" s="29" t="s">
        <v>220</v>
      </c>
      <c r="B877" s="29">
        <v>57.0</v>
      </c>
      <c r="C877" s="29" t="s">
        <v>608</v>
      </c>
      <c r="D877" s="29" t="s">
        <v>1122</v>
      </c>
      <c r="E877" s="29">
        <v>89.0</v>
      </c>
      <c r="F877" s="30" t="s">
        <v>1123</v>
      </c>
      <c r="G877" s="29" t="s">
        <v>611</v>
      </c>
      <c r="H877" s="31">
        <v>6.4</v>
      </c>
      <c r="I877" s="29" t="s">
        <v>597</v>
      </c>
      <c r="J877" s="32" t="s">
        <v>598</v>
      </c>
      <c r="K877" s="29" t="s">
        <v>599</v>
      </c>
      <c r="L877" s="29" t="s">
        <v>819</v>
      </c>
      <c r="M877" s="33">
        <v>-71.656</v>
      </c>
      <c r="N877" s="33">
        <v>-11.732</v>
      </c>
      <c r="O877" s="34" t="s">
        <v>601</v>
      </c>
      <c r="P877" s="32" t="s">
        <v>602</v>
      </c>
      <c r="Q877" s="35">
        <v>3.0</v>
      </c>
      <c r="R877" s="35">
        <v>3.0</v>
      </c>
      <c r="S877" s="36">
        <v>9.7</v>
      </c>
      <c r="T877" s="36">
        <v>39.1</v>
      </c>
      <c r="U877" s="36">
        <v>0.4074</v>
      </c>
      <c r="V877" s="36">
        <v>1.6422</v>
      </c>
      <c r="W877" s="37" t="s">
        <v>623</v>
      </c>
      <c r="X877" s="31">
        <v>2.7</v>
      </c>
      <c r="Y877" s="36">
        <v>-1.3929571508155816</v>
      </c>
      <c r="Z877" s="36">
        <v>0.001176</v>
      </c>
      <c r="AA877" s="29" t="s">
        <v>820</v>
      </c>
      <c r="AB877" s="31">
        <v>0.0774280130863</v>
      </c>
      <c r="AC877" s="38">
        <v>1135.0</v>
      </c>
    </row>
    <row r="878" ht="14.25" customHeight="1">
      <c r="A878" s="29" t="s">
        <v>220</v>
      </c>
      <c r="B878" s="29">
        <v>57.0</v>
      </c>
      <c r="C878" s="29" t="s">
        <v>608</v>
      </c>
      <c r="D878" s="29" t="s">
        <v>1122</v>
      </c>
      <c r="E878" s="29">
        <v>89.0</v>
      </c>
      <c r="F878" s="30" t="s">
        <v>1123</v>
      </c>
      <c r="G878" s="29" t="s">
        <v>611</v>
      </c>
      <c r="H878" s="31">
        <v>6.4</v>
      </c>
      <c r="I878" s="29" t="s">
        <v>597</v>
      </c>
      <c r="J878" s="32" t="s">
        <v>598</v>
      </c>
      <c r="K878" s="29" t="s">
        <v>599</v>
      </c>
      <c r="L878" s="29" t="s">
        <v>819</v>
      </c>
      <c r="M878" s="33">
        <v>-71.509</v>
      </c>
      <c r="N878" s="33">
        <v>-11.964</v>
      </c>
      <c r="O878" s="34" t="s">
        <v>601</v>
      </c>
      <c r="P878" s="32" t="s">
        <v>602</v>
      </c>
      <c r="Q878" s="35">
        <v>3.0</v>
      </c>
      <c r="R878" s="35">
        <v>3.0</v>
      </c>
      <c r="S878" s="36">
        <v>13.2</v>
      </c>
      <c r="T878" s="36">
        <v>39.1</v>
      </c>
      <c r="U878" s="36">
        <v>0.5544</v>
      </c>
      <c r="V878" s="36">
        <v>1.6422</v>
      </c>
      <c r="W878" s="37" t="s">
        <v>623</v>
      </c>
      <c r="X878" s="31">
        <v>30.0</v>
      </c>
      <c r="Y878" s="36">
        <v>-1.085141708108335</v>
      </c>
      <c r="Z878" s="36">
        <v>0.0011760000000000004</v>
      </c>
      <c r="AA878" s="29" t="s">
        <v>820</v>
      </c>
      <c r="AB878" s="31">
        <v>0.0774280130863</v>
      </c>
      <c r="AC878" s="38">
        <v>1706.0</v>
      </c>
    </row>
    <row r="879" ht="14.25" customHeight="1">
      <c r="A879" s="29" t="s">
        <v>220</v>
      </c>
      <c r="B879" s="29">
        <v>57.0</v>
      </c>
      <c r="C879" s="29" t="s">
        <v>608</v>
      </c>
      <c r="D879" s="29" t="s">
        <v>1122</v>
      </c>
      <c r="E879" s="29">
        <v>89.0</v>
      </c>
      <c r="F879" s="30" t="s">
        <v>1123</v>
      </c>
      <c r="G879" s="29" t="s">
        <v>611</v>
      </c>
      <c r="H879" s="31">
        <v>6.4</v>
      </c>
      <c r="I879" s="29" t="s">
        <v>597</v>
      </c>
      <c r="J879" s="32" t="s">
        <v>598</v>
      </c>
      <c r="K879" s="29" t="s">
        <v>599</v>
      </c>
      <c r="L879" s="29" t="s">
        <v>819</v>
      </c>
      <c r="M879" s="33">
        <v>-71.919</v>
      </c>
      <c r="N879" s="33">
        <v>-11.798</v>
      </c>
      <c r="O879" s="34" t="s">
        <v>601</v>
      </c>
      <c r="P879" s="32" t="s">
        <v>602</v>
      </c>
      <c r="Q879" s="35">
        <v>3.0</v>
      </c>
      <c r="R879" s="35">
        <v>3.0</v>
      </c>
      <c r="S879" s="36">
        <v>7.6</v>
      </c>
      <c r="T879" s="36">
        <v>39.1</v>
      </c>
      <c r="U879" s="36">
        <v>0.3192</v>
      </c>
      <c r="V879" s="36">
        <v>1.6422</v>
      </c>
      <c r="W879" s="37" t="s">
        <v>623</v>
      </c>
      <c r="X879" s="31">
        <v>2.7</v>
      </c>
      <c r="Y879" s="36">
        <v>-1.6366477683381349</v>
      </c>
      <c r="Z879" s="36">
        <v>0.001176</v>
      </c>
      <c r="AA879" s="29" t="s">
        <v>820</v>
      </c>
      <c r="AB879" s="31">
        <v>0.0774280130863</v>
      </c>
      <c r="AC879" s="38">
        <v>1787.0</v>
      </c>
    </row>
    <row r="880" ht="14.25" customHeight="1">
      <c r="A880" s="29" t="s">
        <v>220</v>
      </c>
      <c r="B880" s="29">
        <v>57.0</v>
      </c>
      <c r="C880" s="29" t="s">
        <v>608</v>
      </c>
      <c r="D880" s="29" t="s">
        <v>624</v>
      </c>
      <c r="E880" s="29">
        <v>101.0</v>
      </c>
      <c r="F880" s="30" t="s">
        <v>625</v>
      </c>
      <c r="G880" s="29" t="s">
        <v>626</v>
      </c>
      <c r="H880" s="31">
        <v>18.59</v>
      </c>
      <c r="I880" s="29" t="s">
        <v>612</v>
      </c>
      <c r="J880" s="32" t="s">
        <v>598</v>
      </c>
      <c r="K880" s="29" t="s">
        <v>599</v>
      </c>
      <c r="L880" s="29" t="s">
        <v>819</v>
      </c>
      <c r="M880" s="33">
        <v>-71.656</v>
      </c>
      <c r="N880" s="33">
        <v>-11.732</v>
      </c>
      <c r="O880" s="34" t="s">
        <v>601</v>
      </c>
      <c r="P880" s="32" t="s">
        <v>602</v>
      </c>
      <c r="Q880" s="35">
        <v>3.0</v>
      </c>
      <c r="R880" s="35">
        <v>3.0</v>
      </c>
      <c r="S880" s="36">
        <v>2.7</v>
      </c>
      <c r="T880" s="36">
        <v>1.45</v>
      </c>
      <c r="U880" s="36">
        <v>1.4202</v>
      </c>
      <c r="V880" s="36">
        <v>0.6902</v>
      </c>
      <c r="W880" s="37" t="s">
        <v>623</v>
      </c>
      <c r="X880" s="31">
        <v>2.7</v>
      </c>
      <c r="Y880" s="36">
        <v>0.6218267614271396</v>
      </c>
      <c r="Z880" s="36">
        <v>0.16775066666666666</v>
      </c>
      <c r="AA880" s="29" t="s">
        <v>820</v>
      </c>
      <c r="AB880" s="31">
        <v>0.0774280130863</v>
      </c>
      <c r="AC880" s="38">
        <v>1135.0</v>
      </c>
    </row>
    <row r="881" ht="14.25" customHeight="1">
      <c r="A881" s="29" t="s">
        <v>220</v>
      </c>
      <c r="B881" s="29">
        <v>57.0</v>
      </c>
      <c r="C881" s="29" t="s">
        <v>608</v>
      </c>
      <c r="D881" s="29" t="s">
        <v>624</v>
      </c>
      <c r="E881" s="29">
        <v>101.0</v>
      </c>
      <c r="F881" s="30" t="s">
        <v>625</v>
      </c>
      <c r="G881" s="29" t="s">
        <v>626</v>
      </c>
      <c r="H881" s="31">
        <v>18.59</v>
      </c>
      <c r="I881" s="29" t="s">
        <v>612</v>
      </c>
      <c r="J881" s="32" t="s">
        <v>598</v>
      </c>
      <c r="K881" s="29" t="s">
        <v>599</v>
      </c>
      <c r="L881" s="29" t="s">
        <v>819</v>
      </c>
      <c r="M881" s="33">
        <v>-71.509</v>
      </c>
      <c r="N881" s="33">
        <v>-11.964</v>
      </c>
      <c r="O881" s="34" t="s">
        <v>601</v>
      </c>
      <c r="P881" s="32" t="s">
        <v>602</v>
      </c>
      <c r="Q881" s="35">
        <v>3.0</v>
      </c>
      <c r="R881" s="35">
        <v>3.0</v>
      </c>
      <c r="S881" s="36">
        <v>3.21</v>
      </c>
      <c r="T881" s="36">
        <v>1.45</v>
      </c>
      <c r="U881" s="36">
        <v>1.528</v>
      </c>
      <c r="V881" s="36">
        <v>0.6902</v>
      </c>
      <c r="W881" s="37" t="s">
        <v>623</v>
      </c>
      <c r="X881" s="31">
        <v>30.0</v>
      </c>
      <c r="Y881" s="36">
        <v>0.7948239150427981</v>
      </c>
      <c r="Z881" s="36">
        <v>0.15105462102787565</v>
      </c>
      <c r="AA881" s="29" t="s">
        <v>820</v>
      </c>
      <c r="AB881" s="31">
        <v>0.0774280130863</v>
      </c>
      <c r="AC881" s="38">
        <v>1706.0</v>
      </c>
    </row>
    <row r="882" ht="14.25" customHeight="1">
      <c r="A882" s="29" t="s">
        <v>220</v>
      </c>
      <c r="B882" s="29">
        <v>57.0</v>
      </c>
      <c r="C882" s="29" t="s">
        <v>608</v>
      </c>
      <c r="D882" s="29" t="s">
        <v>624</v>
      </c>
      <c r="E882" s="29">
        <v>101.0</v>
      </c>
      <c r="F882" s="30" t="s">
        <v>625</v>
      </c>
      <c r="G882" s="29" t="s">
        <v>626</v>
      </c>
      <c r="H882" s="31">
        <v>18.59</v>
      </c>
      <c r="I882" s="29" t="s">
        <v>612</v>
      </c>
      <c r="J882" s="32" t="s">
        <v>598</v>
      </c>
      <c r="K882" s="29" t="s">
        <v>599</v>
      </c>
      <c r="L882" s="29" t="s">
        <v>819</v>
      </c>
      <c r="M882" s="33">
        <v>-71.919</v>
      </c>
      <c r="N882" s="33">
        <v>-11.798</v>
      </c>
      <c r="O882" s="34" t="s">
        <v>601</v>
      </c>
      <c r="P882" s="32" t="s">
        <v>602</v>
      </c>
      <c r="Q882" s="35">
        <v>3.0</v>
      </c>
      <c r="R882" s="35">
        <v>3.0</v>
      </c>
      <c r="S882" s="36">
        <v>1.0</v>
      </c>
      <c r="T882" s="36">
        <v>1.45</v>
      </c>
      <c r="U882" s="36">
        <v>0.726</v>
      </c>
      <c r="V882" s="36">
        <v>0.6902</v>
      </c>
      <c r="W882" s="37" t="s">
        <v>623</v>
      </c>
      <c r="X882" s="31">
        <v>2.7</v>
      </c>
      <c r="Y882" s="36">
        <v>-0.3711895293820978</v>
      </c>
      <c r="Z882" s="36">
        <v>0.25121733333333335</v>
      </c>
      <c r="AA882" s="29" t="s">
        <v>820</v>
      </c>
      <c r="AB882" s="31">
        <v>0.0774280130863</v>
      </c>
      <c r="AC882" s="38">
        <v>1787.0</v>
      </c>
    </row>
    <row r="883" ht="14.25" customHeight="1">
      <c r="A883" s="29" t="s">
        <v>220</v>
      </c>
      <c r="B883" s="29">
        <v>57.0</v>
      </c>
      <c r="C883" s="29" t="s">
        <v>608</v>
      </c>
      <c r="D883" s="29" t="s">
        <v>925</v>
      </c>
      <c r="E883" s="29">
        <v>108.0</v>
      </c>
      <c r="F883" s="30" t="s">
        <v>926</v>
      </c>
      <c r="G883" s="29" t="s">
        <v>615</v>
      </c>
      <c r="H883" s="31">
        <v>0.97</v>
      </c>
      <c r="I883" s="29" t="s">
        <v>616</v>
      </c>
      <c r="J883" s="32" t="s">
        <v>598</v>
      </c>
      <c r="K883" s="29" t="s">
        <v>599</v>
      </c>
      <c r="L883" s="29" t="s">
        <v>819</v>
      </c>
      <c r="M883" s="33">
        <v>-71.656</v>
      </c>
      <c r="N883" s="33">
        <v>-11.732</v>
      </c>
      <c r="O883" s="34" t="s">
        <v>601</v>
      </c>
      <c r="P883" s="32" t="s">
        <v>602</v>
      </c>
      <c r="Q883" s="35">
        <v>3.0</v>
      </c>
      <c r="R883" s="35">
        <v>3.0</v>
      </c>
      <c r="S883" s="36">
        <v>0.53</v>
      </c>
      <c r="T883" s="36">
        <v>0.53</v>
      </c>
      <c r="U883" s="36">
        <v>0.5565</v>
      </c>
      <c r="V883" s="36">
        <v>0.5565</v>
      </c>
      <c r="W883" s="37" t="s">
        <v>623</v>
      </c>
      <c r="X883" s="31">
        <v>2.7</v>
      </c>
      <c r="Y883" s="36">
        <v>2.5796466027220563E-4</v>
      </c>
      <c r="Z883" s="36">
        <v>0.7349999999999999</v>
      </c>
      <c r="AA883" s="29" t="s">
        <v>820</v>
      </c>
      <c r="AB883" s="31">
        <v>0.0774280130863</v>
      </c>
      <c r="AC883" s="38">
        <v>1135.0</v>
      </c>
    </row>
    <row r="884" ht="14.25" customHeight="1">
      <c r="A884" s="29" t="s">
        <v>220</v>
      </c>
      <c r="B884" s="29">
        <v>57.0</v>
      </c>
      <c r="C884" s="29" t="s">
        <v>608</v>
      </c>
      <c r="D884" s="29" t="s">
        <v>925</v>
      </c>
      <c r="E884" s="29">
        <v>108.0</v>
      </c>
      <c r="F884" s="30" t="s">
        <v>926</v>
      </c>
      <c r="G884" s="29" t="s">
        <v>615</v>
      </c>
      <c r="H884" s="31">
        <v>0.97</v>
      </c>
      <c r="I884" s="29" t="s">
        <v>616</v>
      </c>
      <c r="J884" s="32" t="s">
        <v>598</v>
      </c>
      <c r="K884" s="29" t="s">
        <v>599</v>
      </c>
      <c r="L884" s="29" t="s">
        <v>819</v>
      </c>
      <c r="M884" s="33">
        <v>-71.509</v>
      </c>
      <c r="N884" s="33">
        <v>-11.964</v>
      </c>
      <c r="O884" s="34" t="s">
        <v>601</v>
      </c>
      <c r="P884" s="32" t="s">
        <v>602</v>
      </c>
      <c r="Q884" s="35">
        <v>3.0</v>
      </c>
      <c r="R884" s="35">
        <v>3.0</v>
      </c>
      <c r="S884" s="36">
        <v>2.2</v>
      </c>
      <c r="T884" s="36">
        <v>0.53</v>
      </c>
      <c r="U884" s="36">
        <v>1.4542</v>
      </c>
      <c r="V884" s="36">
        <v>0.5565</v>
      </c>
      <c r="W884" s="37" t="s">
        <v>623</v>
      </c>
      <c r="X884" s="31">
        <v>30.0</v>
      </c>
      <c r="Y884" s="36">
        <v>1.423397784916979</v>
      </c>
      <c r="Z884" s="36">
        <v>0.5131403333333332</v>
      </c>
      <c r="AA884" s="29" t="s">
        <v>820</v>
      </c>
      <c r="AB884" s="31">
        <v>0.0774280130863</v>
      </c>
      <c r="AC884" s="38">
        <v>1706.0</v>
      </c>
    </row>
    <row r="885" ht="14.25" customHeight="1">
      <c r="A885" s="29" t="s">
        <v>220</v>
      </c>
      <c r="B885" s="29">
        <v>57.0</v>
      </c>
      <c r="C885" s="29" t="s">
        <v>608</v>
      </c>
      <c r="D885" s="29" t="s">
        <v>925</v>
      </c>
      <c r="E885" s="29">
        <v>108.0</v>
      </c>
      <c r="F885" s="30" t="s">
        <v>926</v>
      </c>
      <c r="G885" s="29" t="s">
        <v>615</v>
      </c>
      <c r="H885" s="31">
        <v>0.97</v>
      </c>
      <c r="I885" s="29" t="s">
        <v>616</v>
      </c>
      <c r="J885" s="32" t="s">
        <v>598</v>
      </c>
      <c r="K885" s="29" t="s">
        <v>599</v>
      </c>
      <c r="L885" s="29" t="s">
        <v>819</v>
      </c>
      <c r="M885" s="33">
        <v>-71.919</v>
      </c>
      <c r="N885" s="33">
        <v>-11.798</v>
      </c>
      <c r="O885" s="34" t="s">
        <v>601</v>
      </c>
      <c r="P885" s="32" t="s">
        <v>602</v>
      </c>
      <c r="Q885" s="35">
        <v>3.0</v>
      </c>
      <c r="R885" s="35">
        <v>3.0</v>
      </c>
      <c r="S885" s="36">
        <v>0.5</v>
      </c>
      <c r="T885" s="36">
        <v>0.53</v>
      </c>
      <c r="U885" s="36">
        <v>0.525</v>
      </c>
      <c r="V885" s="36">
        <v>0.5565</v>
      </c>
      <c r="W885" s="37" t="s">
        <v>623</v>
      </c>
      <c r="X885" s="31">
        <v>2.7</v>
      </c>
      <c r="Y885" s="36">
        <v>-0.0579954677000388</v>
      </c>
      <c r="Z885" s="36">
        <v>0.7349999999999999</v>
      </c>
      <c r="AA885" s="29" t="s">
        <v>820</v>
      </c>
      <c r="AB885" s="31">
        <v>0.0774280130863</v>
      </c>
      <c r="AC885" s="38">
        <v>1787.0</v>
      </c>
    </row>
    <row r="886" ht="14.25" customHeight="1">
      <c r="A886" s="29" t="s">
        <v>220</v>
      </c>
      <c r="B886" s="29">
        <v>57.0</v>
      </c>
      <c r="C886" s="29" t="s">
        <v>608</v>
      </c>
      <c r="D886" s="29" t="s">
        <v>630</v>
      </c>
      <c r="E886" s="29">
        <v>129.0</v>
      </c>
      <c r="F886" s="30" t="s">
        <v>631</v>
      </c>
      <c r="G886" s="29" t="s">
        <v>626</v>
      </c>
      <c r="H886" s="31">
        <v>21.27</v>
      </c>
      <c r="I886" s="29" t="s">
        <v>612</v>
      </c>
      <c r="J886" s="32" t="s">
        <v>598</v>
      </c>
      <c r="K886" s="29" t="s">
        <v>599</v>
      </c>
      <c r="L886" s="29" t="s">
        <v>819</v>
      </c>
      <c r="M886" s="33">
        <v>-71.656</v>
      </c>
      <c r="N886" s="33">
        <v>-11.732</v>
      </c>
      <c r="O886" s="34" t="s">
        <v>601</v>
      </c>
      <c r="P886" s="32" t="s">
        <v>602</v>
      </c>
      <c r="Q886" s="35">
        <v>3.0</v>
      </c>
      <c r="R886" s="35">
        <v>3.0</v>
      </c>
      <c r="S886" s="36">
        <v>3.78</v>
      </c>
      <c r="T886" s="36">
        <v>5.17</v>
      </c>
      <c r="U886" s="36">
        <v>1.9807</v>
      </c>
      <c r="V886" s="36">
        <v>2.2593</v>
      </c>
      <c r="W886" s="37" t="s">
        <v>623</v>
      </c>
      <c r="X886" s="31">
        <v>2.7</v>
      </c>
      <c r="Y886" s="36">
        <v>-0.3127958709399742</v>
      </c>
      <c r="Z886" s="36">
        <v>0.1551803818601449</v>
      </c>
      <c r="AA886" s="29" t="s">
        <v>820</v>
      </c>
      <c r="AB886" s="31">
        <v>0.0774280130863</v>
      </c>
      <c r="AC886" s="38">
        <v>1135.0</v>
      </c>
    </row>
    <row r="887" ht="14.25" customHeight="1">
      <c r="A887" s="29" t="s">
        <v>220</v>
      </c>
      <c r="B887" s="29">
        <v>57.0</v>
      </c>
      <c r="C887" s="29" t="s">
        <v>608</v>
      </c>
      <c r="D887" s="29" t="s">
        <v>630</v>
      </c>
      <c r="E887" s="29">
        <v>129.0</v>
      </c>
      <c r="F887" s="30" t="s">
        <v>631</v>
      </c>
      <c r="G887" s="29" t="s">
        <v>626</v>
      </c>
      <c r="H887" s="31">
        <v>21.27</v>
      </c>
      <c r="I887" s="29" t="s">
        <v>612</v>
      </c>
      <c r="J887" s="32" t="s">
        <v>598</v>
      </c>
      <c r="K887" s="29" t="s">
        <v>599</v>
      </c>
      <c r="L887" s="29" t="s">
        <v>819</v>
      </c>
      <c r="M887" s="33">
        <v>-71.509</v>
      </c>
      <c r="N887" s="33">
        <v>-11.964</v>
      </c>
      <c r="O887" s="34" t="s">
        <v>601</v>
      </c>
      <c r="P887" s="32" t="s">
        <v>602</v>
      </c>
      <c r="Q887" s="35">
        <v>3.0</v>
      </c>
      <c r="R887" s="35">
        <v>3.0</v>
      </c>
      <c r="S887" s="36">
        <v>8.2</v>
      </c>
      <c r="T887" s="36">
        <v>5.17</v>
      </c>
      <c r="U887" s="36">
        <v>3.0176</v>
      </c>
      <c r="V887" s="36">
        <v>2.2593</v>
      </c>
      <c r="W887" s="37" t="s">
        <v>623</v>
      </c>
      <c r="X887" s="31">
        <v>30.0</v>
      </c>
      <c r="Y887" s="36">
        <v>0.46142411707376785</v>
      </c>
      <c r="Z887" s="36">
        <v>0.10879823017532833</v>
      </c>
      <c r="AA887" s="29" t="s">
        <v>820</v>
      </c>
      <c r="AB887" s="31">
        <v>0.0774280130863</v>
      </c>
      <c r="AC887" s="38">
        <v>1706.0</v>
      </c>
    </row>
    <row r="888" ht="14.25" customHeight="1">
      <c r="A888" s="29" t="s">
        <v>220</v>
      </c>
      <c r="B888" s="29">
        <v>57.0</v>
      </c>
      <c r="C888" s="29" t="s">
        <v>608</v>
      </c>
      <c r="D888" s="29" t="s">
        <v>630</v>
      </c>
      <c r="E888" s="29">
        <v>129.0</v>
      </c>
      <c r="F888" s="30" t="s">
        <v>631</v>
      </c>
      <c r="G888" s="29" t="s">
        <v>626</v>
      </c>
      <c r="H888" s="31">
        <v>21.27</v>
      </c>
      <c r="I888" s="29" t="s">
        <v>612</v>
      </c>
      <c r="J888" s="32" t="s">
        <v>598</v>
      </c>
      <c r="K888" s="29" t="s">
        <v>599</v>
      </c>
      <c r="L888" s="29" t="s">
        <v>819</v>
      </c>
      <c r="M888" s="33">
        <v>-71.919</v>
      </c>
      <c r="N888" s="33">
        <v>-11.798</v>
      </c>
      <c r="O888" s="34" t="s">
        <v>601</v>
      </c>
      <c r="P888" s="32" t="s">
        <v>602</v>
      </c>
      <c r="Q888" s="35">
        <v>3.0</v>
      </c>
      <c r="R888" s="35">
        <v>3.0</v>
      </c>
      <c r="S888" s="36">
        <v>7.8</v>
      </c>
      <c r="T888" s="36">
        <v>5.17</v>
      </c>
      <c r="U888" s="36">
        <v>3.0186</v>
      </c>
      <c r="V888" s="36">
        <v>2.2593</v>
      </c>
      <c r="W888" s="37" t="s">
        <v>623</v>
      </c>
      <c r="X888" s="31">
        <v>2.7</v>
      </c>
      <c r="Y888" s="36">
        <v>0.41142203687955053</v>
      </c>
      <c r="Z888" s="36">
        <v>0.11357989684199502</v>
      </c>
      <c r="AA888" s="29" t="s">
        <v>820</v>
      </c>
      <c r="AB888" s="31">
        <v>0.0774280130863</v>
      </c>
      <c r="AC888" s="38">
        <v>1787.0</v>
      </c>
    </row>
    <row r="889" ht="14.25" customHeight="1">
      <c r="A889" s="29" t="s">
        <v>220</v>
      </c>
      <c r="B889" s="29">
        <v>57.0</v>
      </c>
      <c r="C889" s="29" t="s">
        <v>608</v>
      </c>
      <c r="D889" s="29" t="s">
        <v>1124</v>
      </c>
      <c r="E889" s="29">
        <v>164.0</v>
      </c>
      <c r="F889" s="30" t="s">
        <v>1125</v>
      </c>
      <c r="G889" s="29" t="s">
        <v>611</v>
      </c>
      <c r="H889" s="31">
        <v>0.39</v>
      </c>
      <c r="I889" s="29" t="s">
        <v>616</v>
      </c>
      <c r="J889" s="32" t="s">
        <v>598</v>
      </c>
      <c r="K889" s="29" t="s">
        <v>599</v>
      </c>
      <c r="L889" s="29" t="s">
        <v>819</v>
      </c>
      <c r="M889" s="33">
        <v>-71.656</v>
      </c>
      <c r="N889" s="33">
        <v>-11.732</v>
      </c>
      <c r="O889" s="34" t="s">
        <v>601</v>
      </c>
      <c r="P889" s="32" t="s">
        <v>602</v>
      </c>
      <c r="Q889" s="35">
        <v>3.0</v>
      </c>
      <c r="R889" s="35">
        <v>3.0</v>
      </c>
      <c r="S889" s="36">
        <v>5.3</v>
      </c>
      <c r="T889" s="36">
        <v>53.3</v>
      </c>
      <c r="U889" s="36">
        <v>0.318</v>
      </c>
      <c r="V889" s="36">
        <v>3.198</v>
      </c>
      <c r="W889" s="37" t="s">
        <v>623</v>
      </c>
      <c r="X889" s="31">
        <v>2.7</v>
      </c>
      <c r="Y889" s="36">
        <v>-2.3056382877164996</v>
      </c>
      <c r="Z889" s="36">
        <v>0.0024000000000000002</v>
      </c>
      <c r="AA889" s="29" t="s">
        <v>820</v>
      </c>
      <c r="AB889" s="31">
        <v>0.0774280130863</v>
      </c>
      <c r="AC889" s="38">
        <v>1135.0</v>
      </c>
    </row>
    <row r="890" ht="14.25" customHeight="1">
      <c r="A890" s="29" t="s">
        <v>220</v>
      </c>
      <c r="B890" s="29">
        <v>57.0</v>
      </c>
      <c r="C890" s="29" t="s">
        <v>608</v>
      </c>
      <c r="D890" s="29" t="s">
        <v>1124</v>
      </c>
      <c r="E890" s="29">
        <v>164.0</v>
      </c>
      <c r="F890" s="30" t="s">
        <v>1125</v>
      </c>
      <c r="G890" s="29" t="s">
        <v>611</v>
      </c>
      <c r="H890" s="31">
        <v>0.39</v>
      </c>
      <c r="I890" s="29" t="s">
        <v>616</v>
      </c>
      <c r="J890" s="32" t="s">
        <v>598</v>
      </c>
      <c r="K890" s="29" t="s">
        <v>599</v>
      </c>
      <c r="L890" s="29" t="s">
        <v>819</v>
      </c>
      <c r="M890" s="33">
        <v>-71.509</v>
      </c>
      <c r="N890" s="33">
        <v>-11.964</v>
      </c>
      <c r="O890" s="34" t="s">
        <v>601</v>
      </c>
      <c r="P890" s="32" t="s">
        <v>602</v>
      </c>
      <c r="Q890" s="35">
        <v>3.0</v>
      </c>
      <c r="R890" s="35">
        <v>3.0</v>
      </c>
      <c r="S890" s="36">
        <v>37.8</v>
      </c>
      <c r="T890" s="36">
        <v>53.3</v>
      </c>
      <c r="U890" s="36">
        <v>2.268</v>
      </c>
      <c r="V890" s="36">
        <v>3.198</v>
      </c>
      <c r="W890" s="37" t="s">
        <v>623</v>
      </c>
      <c r="X890" s="31">
        <v>30.0</v>
      </c>
      <c r="Y890" s="36">
        <v>-0.3432635039615964</v>
      </c>
      <c r="Z890" s="36">
        <v>0.0024000000000000002</v>
      </c>
      <c r="AA890" s="29" t="s">
        <v>820</v>
      </c>
      <c r="AB890" s="31">
        <v>0.0774280130863</v>
      </c>
      <c r="AC890" s="38">
        <v>1706.0</v>
      </c>
    </row>
    <row r="891" ht="14.25" customHeight="1">
      <c r="A891" s="29" t="s">
        <v>220</v>
      </c>
      <c r="B891" s="29">
        <v>57.0</v>
      </c>
      <c r="C891" s="29" t="s">
        <v>608</v>
      </c>
      <c r="D891" s="29" t="s">
        <v>1124</v>
      </c>
      <c r="E891" s="29">
        <v>164.0</v>
      </c>
      <c r="F891" s="30" t="s">
        <v>1125</v>
      </c>
      <c r="G891" s="29" t="s">
        <v>611</v>
      </c>
      <c r="H891" s="31">
        <v>0.39</v>
      </c>
      <c r="I891" s="29" t="s">
        <v>616</v>
      </c>
      <c r="J891" s="32" t="s">
        <v>598</v>
      </c>
      <c r="K891" s="29" t="s">
        <v>599</v>
      </c>
      <c r="L891" s="29" t="s">
        <v>819</v>
      </c>
      <c r="M891" s="33">
        <v>-71.919</v>
      </c>
      <c r="N891" s="33">
        <v>-11.798</v>
      </c>
      <c r="O891" s="34" t="s">
        <v>601</v>
      </c>
      <c r="P891" s="32" t="s">
        <v>602</v>
      </c>
      <c r="Q891" s="35">
        <v>3.0</v>
      </c>
      <c r="R891" s="35">
        <v>3.0</v>
      </c>
      <c r="S891" s="36">
        <v>37.0</v>
      </c>
      <c r="T891" s="36">
        <v>53.3</v>
      </c>
      <c r="U891" s="36">
        <v>2.22</v>
      </c>
      <c r="V891" s="36">
        <v>3.198</v>
      </c>
      <c r="W891" s="37" t="s">
        <v>623</v>
      </c>
      <c r="X891" s="31">
        <v>2.7</v>
      </c>
      <c r="Y891" s="36">
        <v>-0.3646468310885314</v>
      </c>
      <c r="Z891" s="36">
        <v>0.0024000000000000002</v>
      </c>
      <c r="AA891" s="29" t="s">
        <v>820</v>
      </c>
      <c r="AB891" s="31">
        <v>0.0774280130863</v>
      </c>
      <c r="AC891" s="38">
        <v>1787.0</v>
      </c>
    </row>
    <row r="892" ht="14.25" customHeight="1">
      <c r="A892" s="29" t="s">
        <v>220</v>
      </c>
      <c r="B892" s="29">
        <v>57.0</v>
      </c>
      <c r="C892" s="29" t="s">
        <v>608</v>
      </c>
      <c r="D892" s="29" t="s">
        <v>1126</v>
      </c>
      <c r="E892" s="29">
        <v>169.0</v>
      </c>
      <c r="F892" s="30" t="s">
        <v>1127</v>
      </c>
      <c r="G892" s="29" t="s">
        <v>611</v>
      </c>
      <c r="H892" s="31">
        <v>0.62</v>
      </c>
      <c r="I892" s="29" t="s">
        <v>616</v>
      </c>
      <c r="J892" s="32" t="s">
        <v>598</v>
      </c>
      <c r="K892" s="29" t="s">
        <v>599</v>
      </c>
      <c r="L892" s="29" t="s">
        <v>819</v>
      </c>
      <c r="M892" s="33">
        <v>-71.656</v>
      </c>
      <c r="N892" s="33">
        <v>-11.732</v>
      </c>
      <c r="O892" s="34" t="s">
        <v>601</v>
      </c>
      <c r="P892" s="32" t="s">
        <v>602</v>
      </c>
      <c r="Q892" s="35">
        <v>3.0</v>
      </c>
      <c r="R892" s="35">
        <v>3.0</v>
      </c>
      <c r="S892" s="36">
        <v>4.0</v>
      </c>
      <c r="T892" s="36">
        <v>29.3</v>
      </c>
      <c r="U892" s="36">
        <v>0.74</v>
      </c>
      <c r="V892" s="36">
        <v>5.4205</v>
      </c>
      <c r="W892" s="37" t="s">
        <v>623</v>
      </c>
      <c r="X892" s="31">
        <v>2.7</v>
      </c>
      <c r="Y892" s="36">
        <v>-1.9894051035131002</v>
      </c>
      <c r="Z892" s="36">
        <v>0.022816666666666666</v>
      </c>
      <c r="AA892" s="29" t="s">
        <v>820</v>
      </c>
      <c r="AB892" s="31">
        <v>0.0774280130863</v>
      </c>
      <c r="AC892" s="38">
        <v>1135.0</v>
      </c>
    </row>
    <row r="893" ht="14.25" customHeight="1">
      <c r="A893" s="29" t="s">
        <v>220</v>
      </c>
      <c r="B893" s="29">
        <v>57.0</v>
      </c>
      <c r="C893" s="29" t="s">
        <v>608</v>
      </c>
      <c r="D893" s="29" t="s">
        <v>1126</v>
      </c>
      <c r="E893" s="29">
        <v>169.0</v>
      </c>
      <c r="F893" s="30" t="s">
        <v>1127</v>
      </c>
      <c r="G893" s="29" t="s">
        <v>611</v>
      </c>
      <c r="H893" s="31">
        <v>0.62</v>
      </c>
      <c r="I893" s="29" t="s">
        <v>616</v>
      </c>
      <c r="J893" s="32" t="s">
        <v>598</v>
      </c>
      <c r="K893" s="29" t="s">
        <v>599</v>
      </c>
      <c r="L893" s="29" t="s">
        <v>819</v>
      </c>
      <c r="M893" s="33">
        <v>-71.509</v>
      </c>
      <c r="N893" s="33">
        <v>-11.964</v>
      </c>
      <c r="O893" s="34" t="s">
        <v>601</v>
      </c>
      <c r="P893" s="32" t="s">
        <v>602</v>
      </c>
      <c r="Q893" s="35">
        <v>3.0</v>
      </c>
      <c r="R893" s="35">
        <v>3.0</v>
      </c>
      <c r="S893" s="36">
        <v>10.8</v>
      </c>
      <c r="T893" s="36">
        <v>29.3</v>
      </c>
      <c r="U893" s="36">
        <v>1.998</v>
      </c>
      <c r="V893" s="36">
        <v>5.4205</v>
      </c>
      <c r="W893" s="37" t="s">
        <v>623</v>
      </c>
      <c r="X893" s="31">
        <v>30.0</v>
      </c>
      <c r="Y893" s="36">
        <v>-0.997341687890864</v>
      </c>
      <c r="Z893" s="36">
        <v>0.022816666666666662</v>
      </c>
      <c r="AA893" s="29" t="s">
        <v>820</v>
      </c>
      <c r="AB893" s="31">
        <v>0.0774280130863</v>
      </c>
      <c r="AC893" s="38">
        <v>1706.0</v>
      </c>
    </row>
    <row r="894" ht="14.25" customHeight="1">
      <c r="A894" s="29" t="s">
        <v>220</v>
      </c>
      <c r="B894" s="29">
        <v>57.0</v>
      </c>
      <c r="C894" s="29" t="s">
        <v>608</v>
      </c>
      <c r="D894" s="29" t="s">
        <v>1126</v>
      </c>
      <c r="E894" s="29">
        <v>169.0</v>
      </c>
      <c r="F894" s="30" t="s">
        <v>1127</v>
      </c>
      <c r="G894" s="29" t="s">
        <v>611</v>
      </c>
      <c r="H894" s="31">
        <v>0.62</v>
      </c>
      <c r="I894" s="29" t="s">
        <v>616</v>
      </c>
      <c r="J894" s="32" t="s">
        <v>598</v>
      </c>
      <c r="K894" s="29" t="s">
        <v>599</v>
      </c>
      <c r="L894" s="29" t="s">
        <v>819</v>
      </c>
      <c r="M894" s="33">
        <v>-71.919</v>
      </c>
      <c r="N894" s="33">
        <v>-11.798</v>
      </c>
      <c r="O894" s="34" t="s">
        <v>601</v>
      </c>
      <c r="P894" s="32" t="s">
        <v>602</v>
      </c>
      <c r="Q894" s="35">
        <v>3.0</v>
      </c>
      <c r="R894" s="35">
        <v>3.0</v>
      </c>
      <c r="S894" s="36">
        <v>0.0</v>
      </c>
      <c r="T894" s="36">
        <v>29.3</v>
      </c>
      <c r="U894" s="36">
        <v>0.0</v>
      </c>
      <c r="V894" s="36">
        <v>5.4205</v>
      </c>
      <c r="W894" s="37" t="s">
        <v>623</v>
      </c>
      <c r="X894" s="31">
        <v>2.7</v>
      </c>
      <c r="Y894" s="36">
        <v>-8.262558973010657</v>
      </c>
      <c r="Z894" s="36">
        <v>0.3464905185389547</v>
      </c>
      <c r="AA894" s="29" t="s">
        <v>820</v>
      </c>
      <c r="AB894" s="31">
        <v>0.0774280130863</v>
      </c>
      <c r="AC894" s="38">
        <v>1787.0</v>
      </c>
    </row>
    <row r="895" ht="14.25" customHeight="1">
      <c r="A895" s="29" t="s">
        <v>220</v>
      </c>
      <c r="B895" s="29">
        <v>57.0</v>
      </c>
      <c r="C895" s="29" t="s">
        <v>608</v>
      </c>
      <c r="D895" s="29" t="s">
        <v>1128</v>
      </c>
      <c r="E895" s="29">
        <v>173.0</v>
      </c>
      <c r="F895" s="30" t="s">
        <v>633</v>
      </c>
      <c r="G895" s="29" t="s">
        <v>611</v>
      </c>
      <c r="H895" s="31">
        <v>2.5</v>
      </c>
      <c r="I895" s="29" t="s">
        <v>616</v>
      </c>
      <c r="J895" s="32" t="s">
        <v>598</v>
      </c>
      <c r="K895" s="29" t="s">
        <v>599</v>
      </c>
      <c r="L895" s="29" t="s">
        <v>819</v>
      </c>
      <c r="M895" s="33">
        <v>-71.656</v>
      </c>
      <c r="N895" s="33">
        <v>-11.732</v>
      </c>
      <c r="O895" s="34" t="s">
        <v>601</v>
      </c>
      <c r="P895" s="32" t="s">
        <v>602</v>
      </c>
      <c r="Q895" s="35">
        <v>3.0</v>
      </c>
      <c r="R895" s="35">
        <v>3.0</v>
      </c>
      <c r="S895" s="36">
        <v>6.0</v>
      </c>
      <c r="T895" s="36">
        <v>30.1</v>
      </c>
      <c r="U895" s="36">
        <v>0.354</v>
      </c>
      <c r="V895" s="36">
        <v>1.7759</v>
      </c>
      <c r="W895" s="37" t="s">
        <v>623</v>
      </c>
      <c r="X895" s="31">
        <v>2.7</v>
      </c>
      <c r="Y895" s="36">
        <v>-1.6114722497519114</v>
      </c>
      <c r="Z895" s="36">
        <v>0.002320666666666666</v>
      </c>
      <c r="AA895" s="29" t="s">
        <v>820</v>
      </c>
      <c r="AB895" s="31">
        <v>0.0774280130863</v>
      </c>
      <c r="AC895" s="38">
        <v>1135.0</v>
      </c>
    </row>
    <row r="896" ht="14.25" customHeight="1">
      <c r="A896" s="29" t="s">
        <v>220</v>
      </c>
      <c r="B896" s="29">
        <v>57.0</v>
      </c>
      <c r="C896" s="29" t="s">
        <v>608</v>
      </c>
      <c r="D896" s="29" t="s">
        <v>1128</v>
      </c>
      <c r="E896" s="29">
        <v>173.0</v>
      </c>
      <c r="F896" s="30" t="s">
        <v>633</v>
      </c>
      <c r="G896" s="29" t="s">
        <v>611</v>
      </c>
      <c r="H896" s="31">
        <v>2.5</v>
      </c>
      <c r="I896" s="29" t="s">
        <v>616</v>
      </c>
      <c r="J896" s="32" t="s">
        <v>598</v>
      </c>
      <c r="K896" s="29" t="s">
        <v>599</v>
      </c>
      <c r="L896" s="29" t="s">
        <v>819</v>
      </c>
      <c r="M896" s="33">
        <v>-71.509</v>
      </c>
      <c r="N896" s="33">
        <v>-11.964</v>
      </c>
      <c r="O896" s="34" t="s">
        <v>601</v>
      </c>
      <c r="P896" s="32" t="s">
        <v>602</v>
      </c>
      <c r="Q896" s="35">
        <v>3.0</v>
      </c>
      <c r="R896" s="35">
        <v>3.0</v>
      </c>
      <c r="S896" s="36">
        <v>15.5</v>
      </c>
      <c r="T896" s="36">
        <v>30.1</v>
      </c>
      <c r="U896" s="36">
        <v>0.9145</v>
      </c>
      <c r="V896" s="36">
        <v>1.7759</v>
      </c>
      <c r="W896" s="37" t="s">
        <v>623</v>
      </c>
      <c r="X896" s="31">
        <v>30.0</v>
      </c>
      <c r="Y896" s="36">
        <v>-0.6631842579491968</v>
      </c>
      <c r="Z896" s="36">
        <v>0.0023206666666666666</v>
      </c>
      <c r="AA896" s="29" t="s">
        <v>820</v>
      </c>
      <c r="AB896" s="31">
        <v>0.0774280130863</v>
      </c>
      <c r="AC896" s="38">
        <v>1706.0</v>
      </c>
    </row>
    <row r="897" ht="14.25" customHeight="1">
      <c r="A897" s="29" t="s">
        <v>220</v>
      </c>
      <c r="B897" s="29">
        <v>57.0</v>
      </c>
      <c r="C897" s="29" t="s">
        <v>608</v>
      </c>
      <c r="D897" s="29" t="s">
        <v>1128</v>
      </c>
      <c r="E897" s="29">
        <v>173.0</v>
      </c>
      <c r="F897" s="30" t="s">
        <v>633</v>
      </c>
      <c r="G897" s="29" t="s">
        <v>611</v>
      </c>
      <c r="H897" s="31">
        <v>2.5</v>
      </c>
      <c r="I897" s="29" t="s">
        <v>616</v>
      </c>
      <c r="J897" s="32" t="s">
        <v>598</v>
      </c>
      <c r="K897" s="29" t="s">
        <v>599</v>
      </c>
      <c r="L897" s="29" t="s">
        <v>819</v>
      </c>
      <c r="M897" s="33">
        <v>-71.919</v>
      </c>
      <c r="N897" s="33">
        <v>-11.798</v>
      </c>
      <c r="O897" s="34" t="s">
        <v>601</v>
      </c>
      <c r="P897" s="32" t="s">
        <v>602</v>
      </c>
      <c r="Q897" s="35">
        <v>3.0</v>
      </c>
      <c r="R897" s="35">
        <v>3.0</v>
      </c>
      <c r="S897" s="36">
        <v>11.2</v>
      </c>
      <c r="T897" s="36">
        <v>30.1</v>
      </c>
      <c r="U897" s="36">
        <v>0.6608</v>
      </c>
      <c r="V897" s="36">
        <v>1.7759</v>
      </c>
      <c r="W897" s="37" t="s">
        <v>623</v>
      </c>
      <c r="X897" s="31">
        <v>2.7</v>
      </c>
      <c r="Y897" s="36">
        <v>-0.987918264270279</v>
      </c>
      <c r="Z897" s="36">
        <v>0.002320666666666667</v>
      </c>
      <c r="AA897" s="29" t="s">
        <v>820</v>
      </c>
      <c r="AB897" s="31">
        <v>0.0774280130863</v>
      </c>
      <c r="AC897" s="38">
        <v>1787.0</v>
      </c>
    </row>
    <row r="898" ht="14.25" customHeight="1">
      <c r="A898" s="29" t="s">
        <v>220</v>
      </c>
      <c r="B898" s="29">
        <v>57.0</v>
      </c>
      <c r="C898" s="29" t="s">
        <v>608</v>
      </c>
      <c r="D898" s="29" t="s">
        <v>1129</v>
      </c>
      <c r="E898" s="29">
        <v>177.0</v>
      </c>
      <c r="F898" s="30" t="s">
        <v>1130</v>
      </c>
      <c r="G898" s="29" t="s">
        <v>615</v>
      </c>
      <c r="H898" s="31">
        <v>0.27</v>
      </c>
      <c r="I898" s="29" t="s">
        <v>597</v>
      </c>
      <c r="J898" s="32" t="s">
        <v>598</v>
      </c>
      <c r="K898" s="29" t="s">
        <v>599</v>
      </c>
      <c r="L898" s="29" t="s">
        <v>819</v>
      </c>
      <c r="M898" s="33">
        <v>-71.656</v>
      </c>
      <c r="N898" s="33">
        <v>-11.732</v>
      </c>
      <c r="O898" s="34" t="s">
        <v>601</v>
      </c>
      <c r="P898" s="32" t="s">
        <v>602</v>
      </c>
      <c r="Q898" s="35">
        <v>3.0</v>
      </c>
      <c r="R898" s="35">
        <v>3.0</v>
      </c>
      <c r="S898" s="36">
        <v>15.0</v>
      </c>
      <c r="T898" s="36">
        <v>16.4</v>
      </c>
      <c r="U898" s="36">
        <v>4.635</v>
      </c>
      <c r="V898" s="36">
        <v>4.7888</v>
      </c>
      <c r="W898" s="37" t="s">
        <v>623</v>
      </c>
      <c r="X898" s="31">
        <v>2.7</v>
      </c>
      <c r="Y898" s="36">
        <v>-0.08894909576101133</v>
      </c>
      <c r="Z898" s="36">
        <v>0.060248333333333334</v>
      </c>
      <c r="AA898" s="29" t="s">
        <v>820</v>
      </c>
      <c r="AB898" s="31">
        <v>0.0774280130863</v>
      </c>
      <c r="AC898" s="38">
        <v>1135.0</v>
      </c>
    </row>
    <row r="899" ht="14.25" customHeight="1">
      <c r="A899" s="29" t="s">
        <v>220</v>
      </c>
      <c r="B899" s="29">
        <v>57.0</v>
      </c>
      <c r="C899" s="29" t="s">
        <v>608</v>
      </c>
      <c r="D899" s="29" t="s">
        <v>1129</v>
      </c>
      <c r="E899" s="29">
        <v>177.0</v>
      </c>
      <c r="F899" s="30" t="s">
        <v>1130</v>
      </c>
      <c r="G899" s="29" t="s">
        <v>615</v>
      </c>
      <c r="H899" s="31">
        <v>0.27</v>
      </c>
      <c r="I899" s="29" t="s">
        <v>597</v>
      </c>
      <c r="J899" s="32" t="s">
        <v>598</v>
      </c>
      <c r="K899" s="29" t="s">
        <v>599</v>
      </c>
      <c r="L899" s="29" t="s">
        <v>819</v>
      </c>
      <c r="M899" s="33">
        <v>-71.509</v>
      </c>
      <c r="N899" s="33">
        <v>-11.964</v>
      </c>
      <c r="O899" s="34" t="s">
        <v>601</v>
      </c>
      <c r="P899" s="32" t="s">
        <v>602</v>
      </c>
      <c r="Q899" s="35">
        <v>3.0</v>
      </c>
      <c r="R899" s="35">
        <v>3.0</v>
      </c>
      <c r="S899" s="36">
        <v>39.7</v>
      </c>
      <c r="T899" s="36">
        <v>16.4</v>
      </c>
      <c r="U899" s="36">
        <v>11.5924</v>
      </c>
      <c r="V899" s="36">
        <v>4.7888</v>
      </c>
      <c r="W899" s="37" t="s">
        <v>623</v>
      </c>
      <c r="X899" s="31">
        <v>30.0</v>
      </c>
      <c r="Y899" s="36">
        <v>0.8841764256763684</v>
      </c>
      <c r="Z899" s="36">
        <v>0.056842666666666666</v>
      </c>
      <c r="AA899" s="29" t="s">
        <v>820</v>
      </c>
      <c r="AB899" s="31">
        <v>0.0774280130863</v>
      </c>
      <c r="AC899" s="38">
        <v>1706.0</v>
      </c>
    </row>
    <row r="900" ht="14.25" customHeight="1">
      <c r="A900" s="29" t="s">
        <v>220</v>
      </c>
      <c r="B900" s="29">
        <v>57.0</v>
      </c>
      <c r="C900" s="29" t="s">
        <v>608</v>
      </c>
      <c r="D900" s="29" t="s">
        <v>1129</v>
      </c>
      <c r="E900" s="29">
        <v>177.0</v>
      </c>
      <c r="F900" s="30" t="s">
        <v>1130</v>
      </c>
      <c r="G900" s="29" t="s">
        <v>615</v>
      </c>
      <c r="H900" s="31">
        <v>0.27</v>
      </c>
      <c r="I900" s="29" t="s">
        <v>597</v>
      </c>
      <c r="J900" s="32" t="s">
        <v>598</v>
      </c>
      <c r="K900" s="29" t="s">
        <v>599</v>
      </c>
      <c r="L900" s="29" t="s">
        <v>819</v>
      </c>
      <c r="M900" s="33">
        <v>-71.919</v>
      </c>
      <c r="N900" s="33">
        <v>-11.798</v>
      </c>
      <c r="O900" s="34" t="s">
        <v>601</v>
      </c>
      <c r="P900" s="32" t="s">
        <v>602</v>
      </c>
      <c r="Q900" s="35">
        <v>3.0</v>
      </c>
      <c r="R900" s="35">
        <v>3.0</v>
      </c>
      <c r="S900" s="36">
        <v>2.49</v>
      </c>
      <c r="T900" s="36">
        <v>16.4</v>
      </c>
      <c r="U900" s="36">
        <v>1.4766</v>
      </c>
      <c r="V900" s="36">
        <v>4.7888</v>
      </c>
      <c r="W900" s="37" t="s">
        <v>623</v>
      </c>
      <c r="X900" s="31">
        <v>2.7</v>
      </c>
      <c r="Y900" s="36">
        <v>-1.8833008029539986</v>
      </c>
      <c r="Z900" s="36">
        <v>0.1456424297672618</v>
      </c>
      <c r="AA900" s="29" t="s">
        <v>820</v>
      </c>
      <c r="AB900" s="31">
        <v>0.0774280130863</v>
      </c>
      <c r="AC900" s="38">
        <v>1787.0</v>
      </c>
    </row>
    <row r="901" ht="14.25" customHeight="1">
      <c r="A901" s="29" t="s">
        <v>220</v>
      </c>
      <c r="B901" s="29">
        <v>57.0</v>
      </c>
      <c r="C901" s="29" t="s">
        <v>608</v>
      </c>
      <c r="D901" s="29" t="s">
        <v>1131</v>
      </c>
      <c r="E901" s="29">
        <v>180.0</v>
      </c>
      <c r="F901" s="30" t="s">
        <v>1132</v>
      </c>
      <c r="G901" s="29" t="s">
        <v>629</v>
      </c>
      <c r="H901" s="31">
        <v>6.0</v>
      </c>
      <c r="I901" s="29" t="s">
        <v>657</v>
      </c>
      <c r="J901" s="32" t="s">
        <v>598</v>
      </c>
      <c r="K901" s="29" t="s">
        <v>599</v>
      </c>
      <c r="L901" s="29" t="s">
        <v>819</v>
      </c>
      <c r="M901" s="33">
        <v>-71.656</v>
      </c>
      <c r="N901" s="33">
        <v>-11.732</v>
      </c>
      <c r="O901" s="34" t="s">
        <v>601</v>
      </c>
      <c r="P901" s="32" t="s">
        <v>602</v>
      </c>
      <c r="Q901" s="35">
        <v>3.0</v>
      </c>
      <c r="R901" s="35">
        <v>3.0</v>
      </c>
      <c r="S901" s="36">
        <v>0.0</v>
      </c>
      <c r="T901" s="36">
        <v>0.07</v>
      </c>
      <c r="U901" s="36">
        <v>0.0</v>
      </c>
      <c r="V901" s="36">
        <v>0.2646</v>
      </c>
      <c r="W901" s="37" t="s">
        <v>623</v>
      </c>
      <c r="X901" s="31">
        <v>2.7</v>
      </c>
      <c r="Y901" s="36">
        <v>-8.262558973010657</v>
      </c>
      <c r="Z901" s="36">
        <v>0.933121124448548</v>
      </c>
      <c r="AA901" s="29" t="s">
        <v>820</v>
      </c>
      <c r="AB901" s="31">
        <v>0.0774280130863</v>
      </c>
      <c r="AC901" s="38">
        <v>1135.0</v>
      </c>
    </row>
    <row r="902" ht="14.25" customHeight="1">
      <c r="A902" s="29" t="s">
        <v>220</v>
      </c>
      <c r="B902" s="29">
        <v>57.0</v>
      </c>
      <c r="C902" s="29" t="s">
        <v>608</v>
      </c>
      <c r="D902" s="29" t="s">
        <v>1131</v>
      </c>
      <c r="E902" s="29">
        <v>180.0</v>
      </c>
      <c r="F902" s="30" t="s">
        <v>1132</v>
      </c>
      <c r="G902" s="29" t="s">
        <v>629</v>
      </c>
      <c r="H902" s="31">
        <v>6.0</v>
      </c>
      <c r="I902" s="29" t="s">
        <v>657</v>
      </c>
      <c r="J902" s="32" t="s">
        <v>598</v>
      </c>
      <c r="K902" s="29" t="s">
        <v>599</v>
      </c>
      <c r="L902" s="29" t="s">
        <v>819</v>
      </c>
      <c r="M902" s="33">
        <v>-71.509</v>
      </c>
      <c r="N902" s="33">
        <v>-11.964</v>
      </c>
      <c r="O902" s="34" t="s">
        <v>601</v>
      </c>
      <c r="P902" s="32" t="s">
        <v>602</v>
      </c>
      <c r="Q902" s="35">
        <v>3.0</v>
      </c>
      <c r="R902" s="35">
        <v>3.0</v>
      </c>
      <c r="S902" s="36">
        <v>0.0</v>
      </c>
      <c r="T902" s="36">
        <v>0.07</v>
      </c>
      <c r="U902" s="36">
        <v>0.0</v>
      </c>
      <c r="V902" s="36">
        <v>0.2646</v>
      </c>
      <c r="W902" s="37" t="s">
        <v>623</v>
      </c>
      <c r="X902" s="31">
        <v>30.0</v>
      </c>
      <c r="Y902" s="36">
        <v>-8.262558973010657</v>
      </c>
      <c r="Z902" s="36">
        <v>0.933121124448548</v>
      </c>
      <c r="AA902" s="29" t="s">
        <v>820</v>
      </c>
      <c r="AB902" s="31">
        <v>0.0774280130863</v>
      </c>
      <c r="AC902" s="38">
        <v>1706.0</v>
      </c>
    </row>
    <row r="903" ht="14.25" customHeight="1">
      <c r="A903" s="29" t="s">
        <v>220</v>
      </c>
      <c r="B903" s="29">
        <v>57.0</v>
      </c>
      <c r="C903" s="29" t="s">
        <v>608</v>
      </c>
      <c r="D903" s="29" t="s">
        <v>1131</v>
      </c>
      <c r="E903" s="29">
        <v>180.0</v>
      </c>
      <c r="F903" s="30" t="s">
        <v>1132</v>
      </c>
      <c r="G903" s="29" t="s">
        <v>629</v>
      </c>
      <c r="H903" s="31">
        <v>6.0</v>
      </c>
      <c r="I903" s="29" t="s">
        <v>657</v>
      </c>
      <c r="J903" s="32" t="s">
        <v>598</v>
      </c>
      <c r="K903" s="29" t="s">
        <v>599</v>
      </c>
      <c r="L903" s="29" t="s">
        <v>819</v>
      </c>
      <c r="M903" s="33">
        <v>-71.919</v>
      </c>
      <c r="N903" s="33">
        <v>-11.798</v>
      </c>
      <c r="O903" s="34" t="s">
        <v>601</v>
      </c>
      <c r="P903" s="32" t="s">
        <v>602</v>
      </c>
      <c r="Q903" s="35">
        <v>3.0</v>
      </c>
      <c r="R903" s="35">
        <v>3.0</v>
      </c>
      <c r="S903" s="36">
        <v>0.0</v>
      </c>
      <c r="T903" s="36">
        <v>0.07</v>
      </c>
      <c r="U903" s="36">
        <v>0.0</v>
      </c>
      <c r="V903" s="36">
        <v>0.2646</v>
      </c>
      <c r="W903" s="37" t="s">
        <v>623</v>
      </c>
      <c r="X903" s="31">
        <v>2.7</v>
      </c>
      <c r="Y903" s="36">
        <v>-8.262558973010657</v>
      </c>
      <c r="Z903" s="36">
        <v>0.933121124448548</v>
      </c>
      <c r="AA903" s="29" t="s">
        <v>820</v>
      </c>
      <c r="AB903" s="31">
        <v>0.0774280130863</v>
      </c>
      <c r="AC903" s="38">
        <v>1787.0</v>
      </c>
    </row>
    <row r="904" ht="14.25" customHeight="1">
      <c r="A904" s="29" t="s">
        <v>220</v>
      </c>
      <c r="B904" s="29">
        <v>57.0</v>
      </c>
      <c r="C904" s="29" t="s">
        <v>608</v>
      </c>
      <c r="D904" s="29" t="s">
        <v>663</v>
      </c>
      <c r="E904" s="29">
        <v>189.0</v>
      </c>
      <c r="F904" s="30" t="s">
        <v>637</v>
      </c>
      <c r="G904" s="29" t="s">
        <v>638</v>
      </c>
      <c r="H904" s="31">
        <v>207.5</v>
      </c>
      <c r="I904" s="29" t="s">
        <v>612</v>
      </c>
      <c r="J904" s="32" t="s">
        <v>598</v>
      </c>
      <c r="K904" s="29" t="s">
        <v>599</v>
      </c>
      <c r="L904" s="29" t="s">
        <v>819</v>
      </c>
      <c r="M904" s="33">
        <v>-71.656</v>
      </c>
      <c r="N904" s="33">
        <v>-11.732</v>
      </c>
      <c r="O904" s="34" t="s">
        <v>601</v>
      </c>
      <c r="P904" s="32" t="s">
        <v>602</v>
      </c>
      <c r="Q904" s="35">
        <v>3.0</v>
      </c>
      <c r="R904" s="35">
        <v>3.0</v>
      </c>
      <c r="S904" s="36">
        <v>0.08</v>
      </c>
      <c r="T904" s="36">
        <v>0.04</v>
      </c>
      <c r="U904" s="36">
        <v>0.2828</v>
      </c>
      <c r="V904" s="36">
        <v>0.2</v>
      </c>
      <c r="W904" s="37" t="s">
        <v>623</v>
      </c>
      <c r="X904" s="31">
        <v>2.7</v>
      </c>
      <c r="Y904" s="36">
        <v>0.6932761712083021</v>
      </c>
      <c r="Z904" s="36">
        <v>12.498741666666668</v>
      </c>
      <c r="AA904" s="29" t="s">
        <v>820</v>
      </c>
      <c r="AB904" s="31">
        <v>0.0774280130863</v>
      </c>
      <c r="AC904" s="38">
        <v>1135.0</v>
      </c>
    </row>
    <row r="905" ht="14.25" customHeight="1">
      <c r="A905" s="29" t="s">
        <v>220</v>
      </c>
      <c r="B905" s="29">
        <v>57.0</v>
      </c>
      <c r="C905" s="29" t="s">
        <v>608</v>
      </c>
      <c r="D905" s="29" t="s">
        <v>663</v>
      </c>
      <c r="E905" s="29">
        <v>189.0</v>
      </c>
      <c r="F905" s="30" t="s">
        <v>637</v>
      </c>
      <c r="G905" s="29" t="s">
        <v>638</v>
      </c>
      <c r="H905" s="31">
        <v>207.5</v>
      </c>
      <c r="I905" s="29" t="s">
        <v>612</v>
      </c>
      <c r="J905" s="32" t="s">
        <v>598</v>
      </c>
      <c r="K905" s="29" t="s">
        <v>599</v>
      </c>
      <c r="L905" s="29" t="s">
        <v>819</v>
      </c>
      <c r="M905" s="33">
        <v>-71.509</v>
      </c>
      <c r="N905" s="33">
        <v>-11.964</v>
      </c>
      <c r="O905" s="34" t="s">
        <v>601</v>
      </c>
      <c r="P905" s="32" t="s">
        <v>602</v>
      </c>
      <c r="Q905" s="35">
        <v>3.0</v>
      </c>
      <c r="R905" s="35">
        <v>3.0</v>
      </c>
      <c r="S905" s="36">
        <v>0.0</v>
      </c>
      <c r="T905" s="36">
        <v>0.04</v>
      </c>
      <c r="U905" s="36">
        <v>0.0</v>
      </c>
      <c r="V905" s="36">
        <v>0.2</v>
      </c>
      <c r="W905" s="37" t="s">
        <v>623</v>
      </c>
      <c r="X905" s="31">
        <v>30.0</v>
      </c>
      <c r="Y905" s="36">
        <v>-8.262558973010657</v>
      </c>
      <c r="Z905" s="36">
        <v>0.893461362597165</v>
      </c>
      <c r="AA905" s="29" t="s">
        <v>820</v>
      </c>
      <c r="AB905" s="31">
        <v>0.0774280130863</v>
      </c>
      <c r="AC905" s="38">
        <v>1706.0</v>
      </c>
    </row>
    <row r="906" ht="14.25" customHeight="1">
      <c r="A906" s="29" t="s">
        <v>220</v>
      </c>
      <c r="B906" s="29">
        <v>57.0</v>
      </c>
      <c r="C906" s="29" t="s">
        <v>608</v>
      </c>
      <c r="D906" s="29" t="s">
        <v>663</v>
      </c>
      <c r="E906" s="29">
        <v>189.0</v>
      </c>
      <c r="F906" s="30" t="s">
        <v>637</v>
      </c>
      <c r="G906" s="29" t="s">
        <v>638</v>
      </c>
      <c r="H906" s="31">
        <v>207.5</v>
      </c>
      <c r="I906" s="29" t="s">
        <v>612</v>
      </c>
      <c r="J906" s="32" t="s">
        <v>598</v>
      </c>
      <c r="K906" s="29" t="s">
        <v>599</v>
      </c>
      <c r="L906" s="29" t="s">
        <v>819</v>
      </c>
      <c r="M906" s="33">
        <v>-71.919</v>
      </c>
      <c r="N906" s="33">
        <v>-11.798</v>
      </c>
      <c r="O906" s="34" t="s">
        <v>601</v>
      </c>
      <c r="P906" s="32" t="s">
        <v>602</v>
      </c>
      <c r="Q906" s="35">
        <v>3.0</v>
      </c>
      <c r="R906" s="35">
        <v>3.0</v>
      </c>
      <c r="S906" s="36">
        <v>0.0</v>
      </c>
      <c r="T906" s="36">
        <v>0.04</v>
      </c>
      <c r="U906" s="36">
        <v>0.0</v>
      </c>
      <c r="V906" s="36">
        <v>0.2</v>
      </c>
      <c r="W906" s="37" t="s">
        <v>623</v>
      </c>
      <c r="X906" s="31">
        <v>2.7</v>
      </c>
      <c r="Y906" s="36">
        <v>-8.262558973010657</v>
      </c>
      <c r="Z906" s="36">
        <v>0.893461362597165</v>
      </c>
      <c r="AA906" s="29" t="s">
        <v>820</v>
      </c>
      <c r="AB906" s="31">
        <v>0.0774280130863</v>
      </c>
      <c r="AC906" s="38">
        <v>1787.0</v>
      </c>
    </row>
    <row r="907" ht="14.25" customHeight="1">
      <c r="A907" s="29" t="s">
        <v>220</v>
      </c>
      <c r="B907" s="29">
        <v>57.0</v>
      </c>
      <c r="C907" s="29" t="s">
        <v>608</v>
      </c>
      <c r="D907" s="29" t="s">
        <v>639</v>
      </c>
      <c r="E907" s="29">
        <v>190.0</v>
      </c>
      <c r="F907" s="30" t="s">
        <v>640</v>
      </c>
      <c r="G907" s="29" t="s">
        <v>626</v>
      </c>
      <c r="H907" s="31">
        <v>32.23</v>
      </c>
      <c r="I907" s="29" t="s">
        <v>597</v>
      </c>
      <c r="J907" s="32" t="s">
        <v>598</v>
      </c>
      <c r="K907" s="29" t="s">
        <v>599</v>
      </c>
      <c r="L907" s="29" t="s">
        <v>819</v>
      </c>
      <c r="M907" s="33">
        <v>-71.656</v>
      </c>
      <c r="N907" s="33">
        <v>-11.732</v>
      </c>
      <c r="O907" s="34" t="s">
        <v>601</v>
      </c>
      <c r="P907" s="32" t="s">
        <v>602</v>
      </c>
      <c r="Q907" s="35">
        <v>3.0</v>
      </c>
      <c r="R907" s="35">
        <v>3.0</v>
      </c>
      <c r="S907" s="36">
        <v>5.8</v>
      </c>
      <c r="T907" s="36">
        <v>21.7</v>
      </c>
      <c r="U907" s="36">
        <v>2.5926</v>
      </c>
      <c r="V907" s="36">
        <v>6.5317</v>
      </c>
      <c r="W907" s="37" t="s">
        <v>623</v>
      </c>
      <c r="X907" s="31">
        <v>2.7</v>
      </c>
      <c r="Y907" s="36">
        <v>-1.3184895404258303</v>
      </c>
      <c r="Z907" s="36">
        <v>0.09680333333333332</v>
      </c>
      <c r="AA907" s="29" t="s">
        <v>820</v>
      </c>
      <c r="AB907" s="31">
        <v>0.0774280130863</v>
      </c>
      <c r="AC907" s="38">
        <v>1135.0</v>
      </c>
    </row>
    <row r="908" ht="14.25" customHeight="1">
      <c r="A908" s="29" t="s">
        <v>220</v>
      </c>
      <c r="B908" s="29">
        <v>57.0</v>
      </c>
      <c r="C908" s="29" t="s">
        <v>608</v>
      </c>
      <c r="D908" s="29" t="s">
        <v>639</v>
      </c>
      <c r="E908" s="29">
        <v>190.0</v>
      </c>
      <c r="F908" s="30" t="s">
        <v>640</v>
      </c>
      <c r="G908" s="29" t="s">
        <v>626</v>
      </c>
      <c r="H908" s="31">
        <v>32.23</v>
      </c>
      <c r="I908" s="29" t="s">
        <v>597</v>
      </c>
      <c r="J908" s="32" t="s">
        <v>598</v>
      </c>
      <c r="K908" s="29" t="s">
        <v>599</v>
      </c>
      <c r="L908" s="29" t="s">
        <v>819</v>
      </c>
      <c r="M908" s="33">
        <v>-71.509</v>
      </c>
      <c r="N908" s="33">
        <v>-11.964</v>
      </c>
      <c r="O908" s="34" t="s">
        <v>601</v>
      </c>
      <c r="P908" s="32" t="s">
        <v>602</v>
      </c>
      <c r="Q908" s="35">
        <v>3.0</v>
      </c>
      <c r="R908" s="35">
        <v>3.0</v>
      </c>
      <c r="S908" s="36">
        <v>9.2</v>
      </c>
      <c r="T908" s="36">
        <v>21.7</v>
      </c>
      <c r="U908" s="36">
        <v>4.2596</v>
      </c>
      <c r="V908" s="36">
        <v>6.5317</v>
      </c>
      <c r="W908" s="37" t="s">
        <v>623</v>
      </c>
      <c r="X908" s="31">
        <v>30.0</v>
      </c>
      <c r="Y908" s="36">
        <v>-0.8575004229660036</v>
      </c>
      <c r="Z908" s="36">
        <v>0.10165666666666667</v>
      </c>
      <c r="AA908" s="29" t="s">
        <v>820</v>
      </c>
      <c r="AB908" s="31">
        <v>0.0774280130863</v>
      </c>
      <c r="AC908" s="38">
        <v>1706.0</v>
      </c>
    </row>
    <row r="909" ht="14.25" customHeight="1">
      <c r="A909" s="29" t="s">
        <v>220</v>
      </c>
      <c r="B909" s="29">
        <v>57.0</v>
      </c>
      <c r="C909" s="29" t="s">
        <v>608</v>
      </c>
      <c r="D909" s="29" t="s">
        <v>639</v>
      </c>
      <c r="E909" s="29">
        <v>190.0</v>
      </c>
      <c r="F909" s="30" t="s">
        <v>640</v>
      </c>
      <c r="G909" s="29" t="s">
        <v>626</v>
      </c>
      <c r="H909" s="31">
        <v>32.23</v>
      </c>
      <c r="I909" s="29" t="s">
        <v>597</v>
      </c>
      <c r="J909" s="32" t="s">
        <v>598</v>
      </c>
      <c r="K909" s="29" t="s">
        <v>599</v>
      </c>
      <c r="L909" s="29" t="s">
        <v>819</v>
      </c>
      <c r="M909" s="33">
        <v>-71.919</v>
      </c>
      <c r="N909" s="33">
        <v>-11.798</v>
      </c>
      <c r="O909" s="34" t="s">
        <v>601</v>
      </c>
      <c r="P909" s="32" t="s">
        <v>602</v>
      </c>
      <c r="Q909" s="35">
        <v>3.0</v>
      </c>
      <c r="R909" s="35">
        <v>3.0</v>
      </c>
      <c r="S909" s="36">
        <v>1.1</v>
      </c>
      <c r="T909" s="36">
        <v>21.7</v>
      </c>
      <c r="U909" s="36">
        <v>1.1</v>
      </c>
      <c r="V909" s="36">
        <v>6.5317</v>
      </c>
      <c r="W909" s="37" t="s">
        <v>623</v>
      </c>
      <c r="X909" s="31">
        <v>2.7</v>
      </c>
      <c r="Y909" s="36">
        <v>-2.9769253933072815</v>
      </c>
      <c r="Z909" s="36">
        <v>0.36353366666666664</v>
      </c>
      <c r="AA909" s="29" t="s">
        <v>820</v>
      </c>
      <c r="AB909" s="31">
        <v>0.0774280130863</v>
      </c>
      <c r="AC909" s="38">
        <v>1787.0</v>
      </c>
    </row>
    <row r="910" ht="14.25" customHeight="1">
      <c r="A910" s="29" t="s">
        <v>220</v>
      </c>
      <c r="B910" s="29">
        <v>58.0</v>
      </c>
      <c r="C910" s="29" t="s">
        <v>608</v>
      </c>
      <c r="D910" s="29" t="s">
        <v>1120</v>
      </c>
      <c r="E910" s="29">
        <v>23.0</v>
      </c>
      <c r="F910" s="30" t="s">
        <v>1121</v>
      </c>
      <c r="G910" s="29" t="s">
        <v>611</v>
      </c>
      <c r="H910" s="31">
        <v>0.99</v>
      </c>
      <c r="I910" s="29" t="s">
        <v>616</v>
      </c>
      <c r="J910" s="32" t="s">
        <v>598</v>
      </c>
      <c r="K910" s="29" t="s">
        <v>599</v>
      </c>
      <c r="L910" s="29" t="s">
        <v>819</v>
      </c>
      <c r="M910" s="33">
        <v>-71.919</v>
      </c>
      <c r="N910" s="33">
        <v>-11.798</v>
      </c>
      <c r="O910" s="34" t="s">
        <v>601</v>
      </c>
      <c r="P910" s="32" t="s">
        <v>602</v>
      </c>
      <c r="Q910" s="35">
        <v>3.0</v>
      </c>
      <c r="R910" s="35">
        <v>3.0</v>
      </c>
      <c r="S910" s="36">
        <v>7.8</v>
      </c>
      <c r="T910" s="36">
        <v>20.2</v>
      </c>
      <c r="U910" s="36">
        <v>0.9438</v>
      </c>
      <c r="V910" s="36">
        <v>2.4442</v>
      </c>
      <c r="W910" s="37" t="s">
        <v>623</v>
      </c>
      <c r="X910" s="31">
        <v>2.7</v>
      </c>
      <c r="Y910" s="36">
        <v>-0.9508909453224812</v>
      </c>
      <c r="Z910" s="36">
        <v>0.009760666666666667</v>
      </c>
      <c r="AA910" s="29" t="s">
        <v>820</v>
      </c>
      <c r="AB910" s="31">
        <v>0.0774280130863</v>
      </c>
      <c r="AC910" s="38">
        <v>1787.0</v>
      </c>
    </row>
    <row r="911" ht="14.25" customHeight="1">
      <c r="A911" s="29" t="s">
        <v>226</v>
      </c>
      <c r="B911" s="29">
        <v>133.0</v>
      </c>
      <c r="C911" s="29" t="s">
        <v>593</v>
      </c>
      <c r="D911" s="29" t="s">
        <v>913</v>
      </c>
      <c r="E911" s="29">
        <v>230.0</v>
      </c>
      <c r="F911" s="30" t="s">
        <v>914</v>
      </c>
      <c r="G911" s="29" t="s">
        <v>607</v>
      </c>
      <c r="H911" s="31">
        <v>3.1</v>
      </c>
      <c r="I911" s="29" t="s">
        <v>597</v>
      </c>
      <c r="J911" s="32" t="s">
        <v>642</v>
      </c>
      <c r="K911" s="29" t="s">
        <v>599</v>
      </c>
      <c r="L911" s="29" t="s">
        <v>915</v>
      </c>
      <c r="M911" s="36">
        <v>-76.01</v>
      </c>
      <c r="N911" s="36">
        <v>-0.7</v>
      </c>
      <c r="O911" s="34" t="s">
        <v>601</v>
      </c>
      <c r="P911" s="32" t="s">
        <v>602</v>
      </c>
      <c r="Q911" s="29">
        <v>25.0</v>
      </c>
      <c r="R911" s="29">
        <v>26.0</v>
      </c>
      <c r="S911" s="36">
        <v>3.4290322580645163</v>
      </c>
      <c r="T911" s="36">
        <v>6.3032258064516125</v>
      </c>
      <c r="U911" s="36">
        <f t="shared" ref="U911:V911" si="183">SQRT(S911)</f>
        <v>1.851764634</v>
      </c>
      <c r="V911" s="36">
        <f t="shared" si="183"/>
        <v>2.510622593</v>
      </c>
      <c r="W911" s="37" t="s">
        <v>1133</v>
      </c>
      <c r="X911" s="31">
        <v>16.5</v>
      </c>
      <c r="Y911" s="36">
        <v>-0.606392832576354</v>
      </c>
      <c r="Z911" s="36">
        <v>0.017766980518641246</v>
      </c>
      <c r="AA911" s="29" t="s">
        <v>820</v>
      </c>
      <c r="AB911" s="31">
        <v>0.247</v>
      </c>
      <c r="AC911" s="35">
        <v>1784.0</v>
      </c>
    </row>
    <row r="912" ht="14.25" customHeight="1">
      <c r="A912" s="29" t="s">
        <v>226</v>
      </c>
      <c r="B912" s="29">
        <v>133.0</v>
      </c>
      <c r="C912" s="29" t="s">
        <v>593</v>
      </c>
      <c r="D912" s="29" t="s">
        <v>1134</v>
      </c>
      <c r="E912" s="29">
        <v>231.0</v>
      </c>
      <c r="F912" s="30" t="s">
        <v>1135</v>
      </c>
      <c r="G912" s="29" t="s">
        <v>607</v>
      </c>
      <c r="H912" s="31">
        <v>1.7</v>
      </c>
      <c r="I912" s="29" t="s">
        <v>597</v>
      </c>
      <c r="J912" s="32" t="s">
        <v>642</v>
      </c>
      <c r="K912" s="29" t="s">
        <v>599</v>
      </c>
      <c r="L912" s="29" t="s">
        <v>915</v>
      </c>
      <c r="M912" s="36">
        <v>-76.01</v>
      </c>
      <c r="N912" s="36">
        <v>-0.7</v>
      </c>
      <c r="O912" s="34" t="s">
        <v>601</v>
      </c>
      <c r="P912" s="32" t="s">
        <v>602</v>
      </c>
      <c r="Q912" s="29">
        <v>25.0</v>
      </c>
      <c r="R912" s="29">
        <v>26.0</v>
      </c>
      <c r="S912" s="36">
        <v>0.3</v>
      </c>
      <c r="T912" s="36">
        <v>0.12941176470588237</v>
      </c>
      <c r="U912" s="36">
        <f t="shared" ref="U912:V912" si="184">SQRT(S912)</f>
        <v>0.5477225575</v>
      </c>
      <c r="V912" s="36">
        <f t="shared" si="184"/>
        <v>0.3597384671</v>
      </c>
      <c r="W912" s="37" t="s">
        <v>1133</v>
      </c>
      <c r="X912" s="31">
        <v>16.5</v>
      </c>
      <c r="Y912" s="36">
        <v>0.8413447046876888</v>
      </c>
      <c r="Z912" s="36">
        <v>0.4305361305361304</v>
      </c>
      <c r="AA912" s="29" t="s">
        <v>820</v>
      </c>
      <c r="AB912" s="31">
        <v>0.247</v>
      </c>
      <c r="AC912" s="35">
        <v>1784.0</v>
      </c>
    </row>
    <row r="913" ht="14.25" customHeight="1">
      <c r="A913" s="29" t="s">
        <v>226</v>
      </c>
      <c r="B913" s="29">
        <v>133.0</v>
      </c>
      <c r="C913" s="29" t="s">
        <v>593</v>
      </c>
      <c r="D913" s="29" t="s">
        <v>1112</v>
      </c>
      <c r="E913" s="29">
        <v>130.0</v>
      </c>
      <c r="F913" s="30" t="s">
        <v>867</v>
      </c>
      <c r="G913" s="29" t="s">
        <v>607</v>
      </c>
      <c r="H913" s="31">
        <v>1.49</v>
      </c>
      <c r="I913" s="29" t="s">
        <v>597</v>
      </c>
      <c r="J913" s="32" t="s">
        <v>642</v>
      </c>
      <c r="K913" s="29" t="s">
        <v>599</v>
      </c>
      <c r="L913" s="29" t="s">
        <v>915</v>
      </c>
      <c r="M913" s="36">
        <v>-76.01</v>
      </c>
      <c r="N913" s="36">
        <v>-0.7</v>
      </c>
      <c r="O913" s="34" t="s">
        <v>601</v>
      </c>
      <c r="P913" s="32" t="s">
        <v>602</v>
      </c>
      <c r="Q913" s="29">
        <v>25.0</v>
      </c>
      <c r="R913" s="29">
        <v>26.0</v>
      </c>
      <c r="S913" s="36">
        <v>0.6510067114093959</v>
      </c>
      <c r="T913" s="36">
        <v>0.026845637583892617</v>
      </c>
      <c r="U913" s="36">
        <f t="shared" ref="U913:V913" si="185">SQRT(S913)</f>
        <v>0.8068498692</v>
      </c>
      <c r="V913" s="36">
        <f t="shared" si="185"/>
        <v>0.1638463841</v>
      </c>
      <c r="W913" s="37" t="s">
        <v>1133</v>
      </c>
      <c r="X913" s="31">
        <v>16.5</v>
      </c>
      <c r="Y913" s="36">
        <v>3.188470310100088</v>
      </c>
      <c r="Z913" s="36">
        <v>1.4941356066613796</v>
      </c>
      <c r="AA913" s="29" t="s">
        <v>820</v>
      </c>
      <c r="AB913" s="31">
        <v>0.247</v>
      </c>
      <c r="AC913" s="35">
        <v>1784.0</v>
      </c>
    </row>
    <row r="914" ht="14.25" customHeight="1">
      <c r="A914" s="29" t="s">
        <v>226</v>
      </c>
      <c r="B914" s="29">
        <v>133.0</v>
      </c>
      <c r="C914" s="29" t="s">
        <v>593</v>
      </c>
      <c r="D914" s="35" t="s">
        <v>1136</v>
      </c>
      <c r="E914" s="29">
        <v>153.0</v>
      </c>
      <c r="F914" s="30" t="s">
        <v>1137</v>
      </c>
      <c r="G914" s="29" t="s">
        <v>877</v>
      </c>
      <c r="H914" s="31">
        <v>1.03</v>
      </c>
      <c r="I914" s="29" t="s">
        <v>597</v>
      </c>
      <c r="J914" s="32" t="s">
        <v>642</v>
      </c>
      <c r="K914" s="29" t="s">
        <v>599</v>
      </c>
      <c r="L914" s="29" t="s">
        <v>915</v>
      </c>
      <c r="M914" s="36">
        <v>-76.01</v>
      </c>
      <c r="N914" s="36">
        <v>-0.7</v>
      </c>
      <c r="O914" s="34" t="s">
        <v>601</v>
      </c>
      <c r="P914" s="32" t="s">
        <v>602</v>
      </c>
      <c r="Q914" s="29">
        <v>25.0</v>
      </c>
      <c r="R914" s="29">
        <v>26.0</v>
      </c>
      <c r="S914" s="36">
        <v>13.36893203883495</v>
      </c>
      <c r="T914" s="36">
        <v>12.873786407766989</v>
      </c>
      <c r="U914" s="36">
        <f t="shared" ref="U914:V914" si="186">SQRT(S914)</f>
        <v>3.656355021</v>
      </c>
      <c r="V914" s="36">
        <f t="shared" si="186"/>
        <v>3.58800591</v>
      </c>
      <c r="W914" s="37" t="s">
        <v>1133</v>
      </c>
      <c r="X914" s="31">
        <v>16.5</v>
      </c>
      <c r="Y914" s="36">
        <v>0.03899340058403672</v>
      </c>
      <c r="Z914" s="36">
        <v>0.005979597186233688</v>
      </c>
      <c r="AA914" s="29" t="s">
        <v>820</v>
      </c>
      <c r="AB914" s="31">
        <v>0.247</v>
      </c>
      <c r="AC914" s="35">
        <v>1784.0</v>
      </c>
    </row>
    <row r="915" ht="14.25" customHeight="1">
      <c r="A915" s="29" t="s">
        <v>226</v>
      </c>
      <c r="B915" s="29">
        <v>133.0</v>
      </c>
      <c r="C915" s="29" t="s">
        <v>608</v>
      </c>
      <c r="D915" s="29" t="s">
        <v>1138</v>
      </c>
      <c r="E915" s="29">
        <v>241.0</v>
      </c>
      <c r="F915" s="30" t="s">
        <v>1139</v>
      </c>
      <c r="G915" s="29" t="s">
        <v>629</v>
      </c>
      <c r="H915" s="31">
        <v>7.75</v>
      </c>
      <c r="I915" s="29" t="s">
        <v>657</v>
      </c>
      <c r="J915" s="32" t="s">
        <v>642</v>
      </c>
      <c r="K915" s="29" t="s">
        <v>599</v>
      </c>
      <c r="L915" s="29" t="s">
        <v>915</v>
      </c>
      <c r="M915" s="36">
        <v>-76.01</v>
      </c>
      <c r="N915" s="36">
        <v>-0.7</v>
      </c>
      <c r="O915" s="34" t="s">
        <v>601</v>
      </c>
      <c r="P915" s="32" t="s">
        <v>602</v>
      </c>
      <c r="Q915" s="29">
        <v>25.0</v>
      </c>
      <c r="R915" s="29">
        <v>26.0</v>
      </c>
      <c r="S915" s="36">
        <v>0.31354838709677424</v>
      </c>
      <c r="T915" s="36">
        <v>0.48258064516129034</v>
      </c>
      <c r="U915" s="36">
        <f t="shared" ref="U915:V915" si="187">SQRT(S915)</f>
        <v>0.5599539152</v>
      </c>
      <c r="V915" s="36">
        <f t="shared" si="187"/>
        <v>0.6946802467</v>
      </c>
      <c r="W915" s="37" t="s">
        <v>1133</v>
      </c>
      <c r="X915" s="31">
        <v>16.5</v>
      </c>
      <c r="Y915" s="36">
        <v>-0.4307973496475833</v>
      </c>
      <c r="Z915" s="36">
        <v>0.20727172851355857</v>
      </c>
      <c r="AA915" s="29" t="s">
        <v>820</v>
      </c>
      <c r="AB915" s="31">
        <v>0.247</v>
      </c>
      <c r="AC915" s="35">
        <v>1784.0</v>
      </c>
    </row>
    <row r="916" ht="14.25" customHeight="1">
      <c r="A916" s="29" t="s">
        <v>226</v>
      </c>
      <c r="B916" s="29">
        <v>133.0</v>
      </c>
      <c r="C916" s="29" t="s">
        <v>608</v>
      </c>
      <c r="D916" s="29" t="s">
        <v>650</v>
      </c>
      <c r="E916" s="29">
        <v>70.0</v>
      </c>
      <c r="F916" s="30" t="s">
        <v>651</v>
      </c>
      <c r="G916" s="29" t="s">
        <v>615</v>
      </c>
      <c r="H916" s="31">
        <v>8.17</v>
      </c>
      <c r="I916" s="29" t="s">
        <v>616</v>
      </c>
      <c r="J916" s="32" t="s">
        <v>642</v>
      </c>
      <c r="K916" s="29" t="s">
        <v>599</v>
      </c>
      <c r="L916" s="29" t="s">
        <v>915</v>
      </c>
      <c r="M916" s="36">
        <v>-76.01</v>
      </c>
      <c r="N916" s="36">
        <v>-0.7</v>
      </c>
      <c r="O916" s="34" t="s">
        <v>601</v>
      </c>
      <c r="P916" s="32" t="s">
        <v>602</v>
      </c>
      <c r="Q916" s="29">
        <v>25.0</v>
      </c>
      <c r="R916" s="29">
        <v>26.0</v>
      </c>
      <c r="S916" s="36">
        <v>2.0171358629130967</v>
      </c>
      <c r="T916" s="36">
        <v>1.1860465116279069</v>
      </c>
      <c r="U916" s="36">
        <f t="shared" ref="U916:V916" si="188">SQRT(S916)</f>
        <v>1.420259083</v>
      </c>
      <c r="V916" s="36">
        <f t="shared" si="188"/>
        <v>1.089057625</v>
      </c>
      <c r="W916" s="37" t="s">
        <v>1133</v>
      </c>
      <c r="X916" s="31">
        <v>16.5</v>
      </c>
      <c r="Y916" s="36">
        <v>0.5312047861026428</v>
      </c>
      <c r="Z916" s="36">
        <v>0.052258453045146355</v>
      </c>
      <c r="AA916" s="29" t="s">
        <v>820</v>
      </c>
      <c r="AB916" s="31">
        <v>0.247</v>
      </c>
      <c r="AC916" s="35">
        <v>1784.0</v>
      </c>
    </row>
    <row r="917" ht="14.25" customHeight="1">
      <c r="A917" s="29" t="s">
        <v>226</v>
      </c>
      <c r="B917" s="29">
        <v>133.0</v>
      </c>
      <c r="C917" s="29" t="s">
        <v>608</v>
      </c>
      <c r="D917" s="29" t="s">
        <v>923</v>
      </c>
      <c r="E917" s="29">
        <v>229.0</v>
      </c>
      <c r="F917" s="30" t="s">
        <v>924</v>
      </c>
      <c r="G917" s="29" t="s">
        <v>615</v>
      </c>
      <c r="H917" s="31">
        <v>3.5</v>
      </c>
      <c r="I917" s="29" t="s">
        <v>616</v>
      </c>
      <c r="J917" s="32" t="s">
        <v>642</v>
      </c>
      <c r="K917" s="29" t="s">
        <v>599</v>
      </c>
      <c r="L917" s="29" t="s">
        <v>915</v>
      </c>
      <c r="M917" s="36">
        <v>-76.01</v>
      </c>
      <c r="N917" s="36">
        <v>-0.7</v>
      </c>
      <c r="O917" s="34" t="s">
        <v>601</v>
      </c>
      <c r="P917" s="32" t="s">
        <v>602</v>
      </c>
      <c r="Q917" s="29">
        <v>25.0</v>
      </c>
      <c r="R917" s="29">
        <v>26.0</v>
      </c>
      <c r="S917" s="36">
        <v>8.508571428571429</v>
      </c>
      <c r="T917" s="36">
        <v>9.131428571428572</v>
      </c>
      <c r="U917" s="36">
        <f t="shared" ref="U917:V917" si="189">SQRT(S917)</f>
        <v>2.916945565</v>
      </c>
      <c r="V917" s="36">
        <f t="shared" si="189"/>
        <v>3.021825371</v>
      </c>
      <c r="W917" s="37" t="s">
        <v>1133</v>
      </c>
      <c r="X917" s="31">
        <v>16.5</v>
      </c>
      <c r="Y917" s="36">
        <v>-0.07037124768165749</v>
      </c>
      <c r="Z917" s="36">
        <v>0.008913137469778534</v>
      </c>
      <c r="AA917" s="29" t="s">
        <v>820</v>
      </c>
      <c r="AB917" s="31">
        <v>0.247</v>
      </c>
      <c r="AC917" s="35">
        <v>1784.0</v>
      </c>
    </row>
    <row r="918" ht="14.25" customHeight="1">
      <c r="A918" s="29" t="s">
        <v>226</v>
      </c>
      <c r="B918" s="29">
        <v>133.0</v>
      </c>
      <c r="C918" s="29" t="s">
        <v>608</v>
      </c>
      <c r="D918" s="29" t="s">
        <v>617</v>
      </c>
      <c r="E918" s="29">
        <v>75.0</v>
      </c>
      <c r="F918" s="30" t="s">
        <v>618</v>
      </c>
      <c r="G918" s="29" t="s">
        <v>619</v>
      </c>
      <c r="H918" s="31">
        <v>4.2</v>
      </c>
      <c r="I918" s="29" t="s">
        <v>620</v>
      </c>
      <c r="J918" s="32" t="s">
        <v>642</v>
      </c>
      <c r="K918" s="29" t="s">
        <v>599</v>
      </c>
      <c r="L918" s="29" t="s">
        <v>915</v>
      </c>
      <c r="M918" s="36">
        <v>-76.01</v>
      </c>
      <c r="N918" s="36">
        <v>-0.7</v>
      </c>
      <c r="O918" s="34" t="s">
        <v>601</v>
      </c>
      <c r="P918" s="32" t="s">
        <v>602</v>
      </c>
      <c r="Q918" s="29">
        <v>25.0</v>
      </c>
      <c r="R918" s="29">
        <v>26.0</v>
      </c>
      <c r="S918" s="36">
        <v>2.964285714285714</v>
      </c>
      <c r="T918" s="36">
        <v>1.0714285714285714</v>
      </c>
      <c r="U918" s="36">
        <f t="shared" ref="U918:V918" si="190">SQRT(S918)</f>
        <v>1.721710113</v>
      </c>
      <c r="V918" s="36">
        <f t="shared" si="190"/>
        <v>1.035098339</v>
      </c>
      <c r="W918" s="37" t="s">
        <v>1133</v>
      </c>
      <c r="X918" s="31">
        <v>16.5</v>
      </c>
      <c r="Y918" s="36">
        <v>1.0177364740527504</v>
      </c>
      <c r="Z918" s="36">
        <v>0.04939141180105036</v>
      </c>
      <c r="AA918" s="29" t="s">
        <v>820</v>
      </c>
      <c r="AB918" s="31">
        <v>0.247</v>
      </c>
      <c r="AC918" s="35">
        <v>1784.0</v>
      </c>
    </row>
    <row r="919" ht="14.25" customHeight="1">
      <c r="A919" s="29" t="s">
        <v>226</v>
      </c>
      <c r="B919" s="29">
        <v>133.0</v>
      </c>
      <c r="C919" s="29" t="s">
        <v>608</v>
      </c>
      <c r="D919" s="29" t="s">
        <v>973</v>
      </c>
      <c r="E919" s="29">
        <v>243.0</v>
      </c>
      <c r="F919" s="30" t="s">
        <v>974</v>
      </c>
      <c r="G919" s="29" t="s">
        <v>656</v>
      </c>
      <c r="H919" s="31">
        <v>1.09</v>
      </c>
      <c r="I919" s="29" t="s">
        <v>657</v>
      </c>
      <c r="J919" s="32" t="s">
        <v>642</v>
      </c>
      <c r="K919" s="29" t="s">
        <v>599</v>
      </c>
      <c r="L919" s="29" t="s">
        <v>915</v>
      </c>
      <c r="M919" s="36">
        <v>-76.01</v>
      </c>
      <c r="N919" s="36">
        <v>-0.7</v>
      </c>
      <c r="O919" s="34" t="s">
        <v>601</v>
      </c>
      <c r="P919" s="32" t="s">
        <v>602</v>
      </c>
      <c r="Q919" s="29">
        <v>25.0</v>
      </c>
      <c r="R919" s="29">
        <v>26.0</v>
      </c>
      <c r="S919" s="36">
        <v>3.9724770642201834</v>
      </c>
      <c r="T919" s="36">
        <v>0.7614678899082568</v>
      </c>
      <c r="U919" s="36">
        <f t="shared" ref="U919:V919" si="191">SQRT(S919)</f>
        <v>1.993107389</v>
      </c>
      <c r="V919" s="36">
        <f t="shared" si="191"/>
        <v>0.8726212752</v>
      </c>
      <c r="W919" s="37" t="s">
        <v>1133</v>
      </c>
      <c r="X919" s="31">
        <v>16.5</v>
      </c>
      <c r="Y919" s="36">
        <v>1.6519465735527767</v>
      </c>
      <c r="Z919" s="36">
        <v>0.06057901529728793</v>
      </c>
      <c r="AA919" s="29" t="s">
        <v>820</v>
      </c>
      <c r="AB919" s="31">
        <v>0.247</v>
      </c>
      <c r="AC919" s="35">
        <v>1784.0</v>
      </c>
    </row>
    <row r="920" ht="14.25" customHeight="1">
      <c r="A920" s="29" t="s">
        <v>226</v>
      </c>
      <c r="B920" s="29">
        <v>133.0</v>
      </c>
      <c r="C920" s="29" t="s">
        <v>608</v>
      </c>
      <c r="D920" s="29" t="s">
        <v>675</v>
      </c>
      <c r="E920" s="29">
        <v>204.0</v>
      </c>
      <c r="F920" s="30" t="s">
        <v>676</v>
      </c>
      <c r="G920" s="29" t="s">
        <v>629</v>
      </c>
      <c r="H920" s="31">
        <v>3.91</v>
      </c>
      <c r="I920" s="29" t="s">
        <v>657</v>
      </c>
      <c r="J920" s="32" t="s">
        <v>642</v>
      </c>
      <c r="K920" s="29" t="s">
        <v>599</v>
      </c>
      <c r="L920" s="29" t="s">
        <v>915</v>
      </c>
      <c r="M920" s="36">
        <v>-76.01</v>
      </c>
      <c r="N920" s="36">
        <v>-0.7</v>
      </c>
      <c r="O920" s="34" t="s">
        <v>601</v>
      </c>
      <c r="P920" s="32" t="s">
        <v>602</v>
      </c>
      <c r="Q920" s="29">
        <v>25.0</v>
      </c>
      <c r="R920" s="29">
        <v>26.0</v>
      </c>
      <c r="S920" s="36">
        <v>1.2736572890025577</v>
      </c>
      <c r="T920" s="36">
        <v>0.3452685421994885</v>
      </c>
      <c r="U920" s="36">
        <f t="shared" ref="U920:V920" si="192">SQRT(S920)</f>
        <v>1.12856426</v>
      </c>
      <c r="V920" s="36">
        <f t="shared" si="192"/>
        <v>0.5875955601</v>
      </c>
      <c r="W920" s="37" t="s">
        <v>1133</v>
      </c>
      <c r="X920" s="31">
        <v>16.5</v>
      </c>
      <c r="Y920" s="36">
        <v>1.3053952353401144</v>
      </c>
      <c r="Z920" s="36">
        <v>0.14280163388597122</v>
      </c>
      <c r="AA920" s="29" t="s">
        <v>820</v>
      </c>
      <c r="AB920" s="31">
        <v>0.247</v>
      </c>
      <c r="AC920" s="35">
        <v>1784.0</v>
      </c>
    </row>
    <row r="921" ht="14.25" customHeight="1">
      <c r="A921" s="29" t="s">
        <v>226</v>
      </c>
      <c r="B921" s="29">
        <v>133.0</v>
      </c>
      <c r="C921" s="29" t="s">
        <v>608</v>
      </c>
      <c r="D921" s="29" t="s">
        <v>963</v>
      </c>
      <c r="E921" s="29">
        <v>92.0</v>
      </c>
      <c r="F921" s="30" t="s">
        <v>964</v>
      </c>
      <c r="G921" s="29" t="s">
        <v>629</v>
      </c>
      <c r="H921" s="31">
        <v>11.9</v>
      </c>
      <c r="I921" s="29" t="s">
        <v>657</v>
      </c>
      <c r="J921" s="32" t="s">
        <v>642</v>
      </c>
      <c r="K921" s="29" t="s">
        <v>599</v>
      </c>
      <c r="L921" s="29" t="s">
        <v>915</v>
      </c>
      <c r="M921" s="36">
        <v>-76.01</v>
      </c>
      <c r="N921" s="36">
        <v>-0.7</v>
      </c>
      <c r="O921" s="34" t="s">
        <v>601</v>
      </c>
      <c r="P921" s="32" t="s">
        <v>602</v>
      </c>
      <c r="Q921" s="29">
        <v>25.0</v>
      </c>
      <c r="R921" s="29">
        <v>26.0</v>
      </c>
      <c r="S921" s="36">
        <v>3.396638655462185</v>
      </c>
      <c r="T921" s="36">
        <v>4.792436974789916</v>
      </c>
      <c r="U921" s="36">
        <f t="shared" ref="U921:V921" si="193">SQRT(S921)</f>
        <v>1.842997194</v>
      </c>
      <c r="V921" s="36">
        <f t="shared" si="193"/>
        <v>2.189163533</v>
      </c>
      <c r="W921" s="37" t="s">
        <v>1133</v>
      </c>
      <c r="X921" s="31">
        <v>16.5</v>
      </c>
      <c r="Y921" s="36">
        <v>-0.3438887810671344</v>
      </c>
      <c r="Z921" s="36">
        <v>0.019801814021736818</v>
      </c>
      <c r="AA921" s="29" t="s">
        <v>820</v>
      </c>
      <c r="AB921" s="31">
        <v>0.247</v>
      </c>
      <c r="AC921" s="35">
        <v>1784.0</v>
      </c>
    </row>
    <row r="922" ht="14.25" customHeight="1">
      <c r="A922" s="29" t="s">
        <v>226</v>
      </c>
      <c r="B922" s="29">
        <v>133.0</v>
      </c>
      <c r="C922" s="29" t="s">
        <v>608</v>
      </c>
      <c r="D922" s="29" t="s">
        <v>975</v>
      </c>
      <c r="E922" s="29">
        <v>206.0</v>
      </c>
      <c r="F922" s="30" t="s">
        <v>976</v>
      </c>
      <c r="G922" s="29" t="s">
        <v>629</v>
      </c>
      <c r="H922" s="31">
        <v>3.25</v>
      </c>
      <c r="I922" s="29" t="s">
        <v>657</v>
      </c>
      <c r="J922" s="32" t="s">
        <v>642</v>
      </c>
      <c r="K922" s="29" t="s">
        <v>599</v>
      </c>
      <c r="L922" s="29" t="s">
        <v>915</v>
      </c>
      <c r="M922" s="36">
        <v>-76.01</v>
      </c>
      <c r="N922" s="36">
        <v>-0.7</v>
      </c>
      <c r="O922" s="34" t="s">
        <v>601</v>
      </c>
      <c r="P922" s="32" t="s">
        <v>602</v>
      </c>
      <c r="Q922" s="29">
        <v>25.0</v>
      </c>
      <c r="R922" s="29">
        <v>26.0</v>
      </c>
      <c r="S922" s="36">
        <v>0.37538461538461537</v>
      </c>
      <c r="T922" s="36">
        <v>0.12307692307692308</v>
      </c>
      <c r="U922" s="36">
        <f t="shared" ref="U922:V922" si="194">SQRT(S922)</f>
        <v>0.6126863924</v>
      </c>
      <c r="V922" s="36">
        <f t="shared" si="194"/>
        <v>0.3508232077</v>
      </c>
      <c r="W922" s="37" t="s">
        <v>1133</v>
      </c>
      <c r="X922" s="31">
        <v>16.5</v>
      </c>
      <c r="Y922" s="36">
        <v>1.1152261765290499</v>
      </c>
      <c r="Z922" s="36">
        <v>0.4190573770491803</v>
      </c>
      <c r="AA922" s="29" t="s">
        <v>820</v>
      </c>
      <c r="AB922" s="31">
        <v>0.247</v>
      </c>
      <c r="AC922" s="35">
        <v>1784.0</v>
      </c>
    </row>
    <row r="923" ht="14.25" customHeight="1">
      <c r="A923" s="29" t="s">
        <v>226</v>
      </c>
      <c r="B923" s="29">
        <v>133.0</v>
      </c>
      <c r="C923" s="29" t="s">
        <v>608</v>
      </c>
      <c r="D923" s="29" t="s">
        <v>677</v>
      </c>
      <c r="E923" s="29">
        <v>100.0</v>
      </c>
      <c r="F923" s="30" t="s">
        <v>678</v>
      </c>
      <c r="G923" s="29" t="s">
        <v>626</v>
      </c>
      <c r="H923" s="31">
        <v>22.8</v>
      </c>
      <c r="I923" s="29" t="s">
        <v>612</v>
      </c>
      <c r="J923" s="32" t="s">
        <v>642</v>
      </c>
      <c r="K923" s="29" t="s">
        <v>599</v>
      </c>
      <c r="L923" s="29" t="s">
        <v>915</v>
      </c>
      <c r="M923" s="36">
        <v>-76.01</v>
      </c>
      <c r="N923" s="36">
        <v>-0.7</v>
      </c>
      <c r="O923" s="34" t="s">
        <v>601</v>
      </c>
      <c r="P923" s="32" t="s">
        <v>602</v>
      </c>
      <c r="Q923" s="29">
        <v>25.0</v>
      </c>
      <c r="R923" s="29">
        <v>26.0</v>
      </c>
      <c r="S923" s="36">
        <v>6.257894736842105</v>
      </c>
      <c r="T923" s="36">
        <v>5.14780701754386</v>
      </c>
      <c r="U923" s="36">
        <f t="shared" ref="U923:V923" si="195">SQRT(S923)</f>
        <v>2.501578449</v>
      </c>
      <c r="V923" s="36">
        <f t="shared" si="195"/>
        <v>2.26887792</v>
      </c>
      <c r="W923" s="37" t="s">
        <v>1133</v>
      </c>
      <c r="X923" s="31">
        <v>16.5</v>
      </c>
      <c r="Y923" s="36">
        <v>0.19548523155224784</v>
      </c>
      <c r="Z923" s="36">
        <v>0.013863367386564643</v>
      </c>
      <c r="AA923" s="29" t="s">
        <v>820</v>
      </c>
      <c r="AB923" s="31">
        <v>0.247</v>
      </c>
      <c r="AC923" s="35">
        <v>1784.0</v>
      </c>
    </row>
    <row r="924" ht="14.25" customHeight="1">
      <c r="A924" s="29" t="s">
        <v>226</v>
      </c>
      <c r="B924" s="29">
        <v>133.0</v>
      </c>
      <c r="C924" s="29" t="s">
        <v>608</v>
      </c>
      <c r="D924" s="29" t="s">
        <v>821</v>
      </c>
      <c r="E924" s="29">
        <v>103.0</v>
      </c>
      <c r="F924" s="30" t="s">
        <v>822</v>
      </c>
      <c r="G924" s="29" t="s">
        <v>626</v>
      </c>
      <c r="H924" s="31">
        <v>16.63</v>
      </c>
      <c r="I924" s="29" t="s">
        <v>616</v>
      </c>
      <c r="J924" s="32" t="s">
        <v>642</v>
      </c>
      <c r="K924" s="29" t="s">
        <v>599</v>
      </c>
      <c r="L924" s="29" t="s">
        <v>915</v>
      </c>
      <c r="M924" s="36">
        <v>-76.01</v>
      </c>
      <c r="N924" s="36">
        <v>-0.7</v>
      </c>
      <c r="O924" s="34" t="s">
        <v>601</v>
      </c>
      <c r="P924" s="32" t="s">
        <v>602</v>
      </c>
      <c r="Q924" s="29">
        <v>25.0</v>
      </c>
      <c r="R924" s="29">
        <v>26.0</v>
      </c>
      <c r="S924" s="36">
        <v>1.7269993986770897</v>
      </c>
      <c r="T924" s="36">
        <v>0.6482260974143115</v>
      </c>
      <c r="U924" s="36">
        <f t="shared" ref="U924:V924" si="196">SQRT(S924)</f>
        <v>1.314153491</v>
      </c>
      <c r="V924" s="36">
        <f t="shared" si="196"/>
        <v>0.8051248955</v>
      </c>
      <c r="W924" s="37" t="s">
        <v>1133</v>
      </c>
      <c r="X924" s="31">
        <v>16.5</v>
      </c>
      <c r="Y924" s="36">
        <v>0.9799980130687301</v>
      </c>
      <c r="Z924" s="36">
        <v>0.08249508350781729</v>
      </c>
      <c r="AA924" s="29" t="s">
        <v>820</v>
      </c>
      <c r="AB924" s="31">
        <v>0.247</v>
      </c>
      <c r="AC924" s="35">
        <v>1784.0</v>
      </c>
    </row>
    <row r="925" ht="14.25" customHeight="1">
      <c r="A925" s="29" t="s">
        <v>226</v>
      </c>
      <c r="B925" s="29">
        <v>133.0</v>
      </c>
      <c r="C925" s="29" t="s">
        <v>608</v>
      </c>
      <c r="D925" s="29" t="s">
        <v>927</v>
      </c>
      <c r="E925" s="29">
        <v>109.0</v>
      </c>
      <c r="F925" s="30" t="s">
        <v>928</v>
      </c>
      <c r="G925" s="29" t="s">
        <v>695</v>
      </c>
      <c r="H925" s="31">
        <v>22.33</v>
      </c>
      <c r="I925" s="29" t="s">
        <v>620</v>
      </c>
      <c r="J925" s="32" t="s">
        <v>642</v>
      </c>
      <c r="K925" s="29" t="s">
        <v>599</v>
      </c>
      <c r="L925" s="29" t="s">
        <v>915</v>
      </c>
      <c r="M925" s="36">
        <v>-76.01</v>
      </c>
      <c r="N925" s="36">
        <v>-0.7</v>
      </c>
      <c r="O925" s="34" t="s">
        <v>601</v>
      </c>
      <c r="P925" s="32" t="s">
        <v>602</v>
      </c>
      <c r="Q925" s="29">
        <v>25.0</v>
      </c>
      <c r="R925" s="29">
        <v>26.0</v>
      </c>
      <c r="S925" s="36">
        <v>0.49395432154052843</v>
      </c>
      <c r="T925" s="36">
        <v>0.64576802507837</v>
      </c>
      <c r="U925" s="36">
        <f t="shared" ref="U925:V925" si="197">SQRT(S925)</f>
        <v>0.7028188398</v>
      </c>
      <c r="V925" s="36">
        <f t="shared" si="197"/>
        <v>0.8035969295</v>
      </c>
      <c r="W925" s="37" t="s">
        <v>1133</v>
      </c>
      <c r="X925" s="31">
        <v>16.5</v>
      </c>
      <c r="Y925" s="36">
        <v>-0.26766006350891863</v>
      </c>
      <c r="Z925" s="36">
        <v>0.14053852044495393</v>
      </c>
      <c r="AA925" s="29" t="s">
        <v>820</v>
      </c>
      <c r="AB925" s="31">
        <v>0.247</v>
      </c>
      <c r="AC925" s="35">
        <v>1784.0</v>
      </c>
    </row>
    <row r="926" ht="14.25" customHeight="1">
      <c r="A926" s="29" t="s">
        <v>226</v>
      </c>
      <c r="B926" s="29">
        <v>133.0</v>
      </c>
      <c r="C926" s="29" t="s">
        <v>608</v>
      </c>
      <c r="D926" s="35" t="s">
        <v>627</v>
      </c>
      <c r="E926" s="29">
        <v>111.0</v>
      </c>
      <c r="F926" s="39" t="s">
        <v>628</v>
      </c>
      <c r="G926" s="29" t="s">
        <v>629</v>
      </c>
      <c r="H926" s="31">
        <v>3.79</v>
      </c>
      <c r="I926" s="29" t="s">
        <v>597</v>
      </c>
      <c r="J926" s="32" t="s">
        <v>642</v>
      </c>
      <c r="K926" s="29" t="s">
        <v>599</v>
      </c>
      <c r="L926" s="29" t="s">
        <v>915</v>
      </c>
      <c r="M926" s="36">
        <v>-76.01</v>
      </c>
      <c r="N926" s="36">
        <v>-0.7</v>
      </c>
      <c r="O926" s="34" t="s">
        <v>601</v>
      </c>
      <c r="P926" s="32" t="s">
        <v>602</v>
      </c>
      <c r="Q926" s="29">
        <v>25.0</v>
      </c>
      <c r="R926" s="29">
        <v>26.0</v>
      </c>
      <c r="S926" s="36">
        <v>0.5382585751978892</v>
      </c>
      <c r="T926" s="36">
        <v>0.7282321899736147</v>
      </c>
      <c r="U926" s="36">
        <f t="shared" ref="U926:V926" si="198">SQRT(S926)</f>
        <v>0.7336610765</v>
      </c>
      <c r="V926" s="36">
        <f t="shared" si="198"/>
        <v>0.8533652149</v>
      </c>
      <c r="W926" s="37" t="s">
        <v>1133</v>
      </c>
      <c r="X926" s="31">
        <v>16.5</v>
      </c>
      <c r="Y926" s="36">
        <v>-0.30193187674773625</v>
      </c>
      <c r="Z926" s="36">
        <v>0.12712866417469998</v>
      </c>
      <c r="AA926" s="29" t="s">
        <v>820</v>
      </c>
      <c r="AB926" s="31">
        <v>0.247</v>
      </c>
      <c r="AC926" s="35">
        <v>1784.0</v>
      </c>
    </row>
    <row r="927" ht="14.25" customHeight="1">
      <c r="A927" s="29" t="s">
        <v>226</v>
      </c>
      <c r="B927" s="29">
        <v>133.0</v>
      </c>
      <c r="C927" s="29" t="s">
        <v>608</v>
      </c>
      <c r="D927" s="29" t="s">
        <v>683</v>
      </c>
      <c r="E927" s="29">
        <v>122.0</v>
      </c>
      <c r="F927" s="30" t="s">
        <v>684</v>
      </c>
      <c r="G927" s="29" t="s">
        <v>629</v>
      </c>
      <c r="H927" s="31">
        <v>100.0</v>
      </c>
      <c r="I927" s="29" t="s">
        <v>657</v>
      </c>
      <c r="J927" s="32" t="s">
        <v>642</v>
      </c>
      <c r="K927" s="29" t="s">
        <v>599</v>
      </c>
      <c r="L927" s="29" t="s">
        <v>915</v>
      </c>
      <c r="M927" s="36">
        <v>-76.01</v>
      </c>
      <c r="N927" s="36">
        <v>-0.7</v>
      </c>
      <c r="O927" s="34" t="s">
        <v>601</v>
      </c>
      <c r="P927" s="32" t="s">
        <v>602</v>
      </c>
      <c r="Q927" s="29">
        <v>25.0</v>
      </c>
      <c r="R927" s="29">
        <v>26.0</v>
      </c>
      <c r="S927" s="36">
        <v>1.5</v>
      </c>
      <c r="T927" s="36">
        <v>3.91</v>
      </c>
      <c r="U927" s="36" t="str">
        <f t="shared" ref="U927:V927" si="199">#REF!*SQRT(Q927)</f>
        <v>#REF!</v>
      </c>
      <c r="V927" s="36" t="str">
        <f t="shared" si="199"/>
        <v>#REF!</v>
      </c>
      <c r="W927" s="37" t="s">
        <v>1140</v>
      </c>
      <c r="X927" s="31">
        <v>16.5</v>
      </c>
      <c r="Y927" s="36">
        <v>-0.9573999773058476</v>
      </c>
      <c r="Z927" s="36" t="e">
        <v>#REF!</v>
      </c>
      <c r="AA927" s="29" t="s">
        <v>820</v>
      </c>
      <c r="AB927" s="31">
        <v>0.247</v>
      </c>
      <c r="AC927" s="35">
        <v>1784.0</v>
      </c>
    </row>
    <row r="928" ht="14.25" customHeight="1">
      <c r="A928" s="29" t="s">
        <v>226</v>
      </c>
      <c r="B928" s="29">
        <v>133.0</v>
      </c>
      <c r="C928" s="29" t="s">
        <v>608</v>
      </c>
      <c r="D928" s="29" t="s">
        <v>630</v>
      </c>
      <c r="E928" s="29">
        <v>129.0</v>
      </c>
      <c r="F928" s="30" t="s">
        <v>631</v>
      </c>
      <c r="G928" s="29" t="s">
        <v>626</v>
      </c>
      <c r="H928" s="31">
        <v>21.27</v>
      </c>
      <c r="I928" s="29" t="s">
        <v>612</v>
      </c>
      <c r="J928" s="32" t="s">
        <v>642</v>
      </c>
      <c r="K928" s="29" t="s">
        <v>599</v>
      </c>
      <c r="L928" s="29" t="s">
        <v>915</v>
      </c>
      <c r="M928" s="36">
        <v>-76.01</v>
      </c>
      <c r="N928" s="36">
        <v>-0.7</v>
      </c>
      <c r="O928" s="34" t="s">
        <v>601</v>
      </c>
      <c r="P928" s="32" t="s">
        <v>602</v>
      </c>
      <c r="Q928" s="29">
        <v>25.0</v>
      </c>
      <c r="R928" s="29">
        <v>26.0</v>
      </c>
      <c r="S928" s="36">
        <v>7.474847202632817</v>
      </c>
      <c r="T928" s="36">
        <v>9.179125528913964</v>
      </c>
      <c r="U928" s="36">
        <f t="shared" ref="U928:V928" si="200">SQRT(S928)</f>
        <v>2.734016679</v>
      </c>
      <c r="V928" s="36">
        <f t="shared" si="200"/>
        <v>3.029707169</v>
      </c>
      <c r="W928" s="37" t="s">
        <v>1133</v>
      </c>
      <c r="X928" s="31">
        <v>16.5</v>
      </c>
      <c r="Y928" s="36">
        <v>-0.20507149211600265</v>
      </c>
      <c r="Z928" s="36">
        <v>0.009541389169408474</v>
      </c>
      <c r="AA928" s="29" t="s">
        <v>820</v>
      </c>
      <c r="AB928" s="31">
        <v>0.247</v>
      </c>
      <c r="AC928" s="35">
        <v>1784.0</v>
      </c>
    </row>
    <row r="929" ht="14.25" customHeight="1">
      <c r="A929" s="29" t="s">
        <v>226</v>
      </c>
      <c r="B929" s="29">
        <v>133.0</v>
      </c>
      <c r="C929" s="29" t="s">
        <v>608</v>
      </c>
      <c r="D929" s="42" t="s">
        <v>1141</v>
      </c>
      <c r="E929" s="29">
        <v>150.0</v>
      </c>
      <c r="F929" s="30" t="s">
        <v>1142</v>
      </c>
      <c r="G929" s="29" t="s">
        <v>619</v>
      </c>
      <c r="H929" s="31">
        <v>45.36</v>
      </c>
      <c r="I929" s="29" t="s">
        <v>620</v>
      </c>
      <c r="J929" s="32" t="s">
        <v>642</v>
      </c>
      <c r="K929" s="29" t="s">
        <v>599</v>
      </c>
      <c r="L929" s="29" t="s">
        <v>915</v>
      </c>
      <c r="M929" s="36">
        <v>-76.01</v>
      </c>
      <c r="N929" s="36">
        <v>-0.7</v>
      </c>
      <c r="O929" s="34" t="s">
        <v>601</v>
      </c>
      <c r="P929" s="32" t="s">
        <v>602</v>
      </c>
      <c r="Q929" s="29">
        <v>25.0</v>
      </c>
      <c r="R929" s="29">
        <v>26.0</v>
      </c>
      <c r="S929" s="36">
        <v>0.5205026455026455</v>
      </c>
      <c r="T929" s="36">
        <v>0.4737654320987654</v>
      </c>
      <c r="U929" s="36">
        <f t="shared" ref="U929:V929" si="201">SQRT(S929)</f>
        <v>0.7214586929</v>
      </c>
      <c r="V929" s="36">
        <f t="shared" si="201"/>
        <v>0.6883062052</v>
      </c>
      <c r="W929" s="37" t="s">
        <v>1133</v>
      </c>
      <c r="X929" s="31">
        <v>16.5</v>
      </c>
      <c r="Y929" s="36">
        <v>0.09431744454081706</v>
      </c>
      <c r="Z929" s="36">
        <v>0.1580314538715923</v>
      </c>
      <c r="AA929" s="29" t="s">
        <v>820</v>
      </c>
      <c r="AB929" s="31">
        <v>0.247</v>
      </c>
      <c r="AC929" s="35">
        <v>1784.0</v>
      </c>
    </row>
    <row r="930" ht="14.25" customHeight="1">
      <c r="A930" s="29" t="s">
        <v>226</v>
      </c>
      <c r="B930" s="29">
        <v>133.0</v>
      </c>
      <c r="C930" s="29" t="s">
        <v>608</v>
      </c>
      <c r="D930" s="35" t="s">
        <v>658</v>
      </c>
      <c r="E930" s="29">
        <v>207.0</v>
      </c>
      <c r="F930" s="30" t="s">
        <v>659</v>
      </c>
      <c r="G930" s="29" t="s">
        <v>629</v>
      </c>
      <c r="H930" s="31">
        <v>6.88</v>
      </c>
      <c r="I930" s="29" t="s">
        <v>657</v>
      </c>
      <c r="J930" s="32" t="s">
        <v>642</v>
      </c>
      <c r="K930" s="29" t="s">
        <v>599</v>
      </c>
      <c r="L930" s="29" t="s">
        <v>915</v>
      </c>
      <c r="M930" s="36">
        <v>-76.01</v>
      </c>
      <c r="N930" s="36">
        <v>-0.7</v>
      </c>
      <c r="O930" s="34" t="s">
        <v>601</v>
      </c>
      <c r="P930" s="32" t="s">
        <v>602</v>
      </c>
      <c r="Q930" s="29">
        <v>25.0</v>
      </c>
      <c r="R930" s="29">
        <v>26.0</v>
      </c>
      <c r="S930" s="36">
        <v>0.2078488372093023</v>
      </c>
      <c r="T930" s="36">
        <v>0.16279069767441862</v>
      </c>
      <c r="U930" s="36">
        <f t="shared" ref="U930:V930" si="202">SQRT(S930)</f>
        <v>0.4559044167</v>
      </c>
      <c r="V930" s="36">
        <f t="shared" si="202"/>
        <v>0.4034732924</v>
      </c>
      <c r="W930" s="37" t="s">
        <v>1133</v>
      </c>
      <c r="X930" s="31">
        <v>16.5</v>
      </c>
      <c r="Y930" s="36">
        <v>0.2445478068652842</v>
      </c>
      <c r="Z930" s="36">
        <v>0.4287112887112886</v>
      </c>
      <c r="AA930" s="29" t="s">
        <v>820</v>
      </c>
      <c r="AB930" s="31">
        <v>0.247</v>
      </c>
      <c r="AC930" s="35">
        <v>1784.0</v>
      </c>
    </row>
    <row r="931" ht="14.25" customHeight="1">
      <c r="A931" s="29" t="s">
        <v>226</v>
      </c>
      <c r="B931" s="29">
        <v>133.0</v>
      </c>
      <c r="C931" s="29" t="s">
        <v>608</v>
      </c>
      <c r="D931" s="29" t="s">
        <v>1131</v>
      </c>
      <c r="E931" s="29">
        <v>180.0</v>
      </c>
      <c r="F931" s="30" t="s">
        <v>1132</v>
      </c>
      <c r="G931" s="29" t="s">
        <v>629</v>
      </c>
      <c r="H931" s="31">
        <v>6.0</v>
      </c>
      <c r="I931" s="29" t="s">
        <v>657</v>
      </c>
      <c r="J931" s="32" t="s">
        <v>642</v>
      </c>
      <c r="K931" s="29" t="s">
        <v>599</v>
      </c>
      <c r="L931" s="29" t="s">
        <v>915</v>
      </c>
      <c r="M931" s="36">
        <v>-76.01</v>
      </c>
      <c r="N931" s="36">
        <v>-0.7</v>
      </c>
      <c r="O931" s="34" t="s">
        <v>601</v>
      </c>
      <c r="P931" s="32" t="s">
        <v>602</v>
      </c>
      <c r="Q931" s="29">
        <v>25.0</v>
      </c>
      <c r="R931" s="29">
        <v>26.0</v>
      </c>
      <c r="S931" s="36">
        <v>0.0</v>
      </c>
      <c r="T931" s="36">
        <v>0.085</v>
      </c>
      <c r="U931" s="36">
        <f t="shared" ref="U931:V931" si="203">SQRT(S931)</f>
        <v>0</v>
      </c>
      <c r="V931" s="36">
        <f t="shared" si="203"/>
        <v>0.2915475947</v>
      </c>
      <c r="W931" s="37" t="s">
        <v>1133</v>
      </c>
      <c r="X931" s="31">
        <v>16.5</v>
      </c>
      <c r="Y931" s="36">
        <v>-8.262558973010657</v>
      </c>
      <c r="Z931" s="36">
        <v>0.11041561666495447</v>
      </c>
      <c r="AA931" s="29" t="s">
        <v>820</v>
      </c>
      <c r="AB931" s="31">
        <v>0.247</v>
      </c>
      <c r="AC931" s="35">
        <v>1784.0</v>
      </c>
    </row>
    <row r="932" ht="14.25" customHeight="1">
      <c r="A932" s="29" t="s">
        <v>226</v>
      </c>
      <c r="B932" s="29">
        <v>133.0</v>
      </c>
      <c r="C932" s="29" t="s">
        <v>608</v>
      </c>
      <c r="D932" s="29" t="s">
        <v>693</v>
      </c>
      <c r="E932" s="29">
        <v>209.0</v>
      </c>
      <c r="F932" s="30" t="s">
        <v>694</v>
      </c>
      <c r="G932" s="29" t="s">
        <v>695</v>
      </c>
      <c r="H932" s="31">
        <v>5.52</v>
      </c>
      <c r="I932" s="29" t="s">
        <v>620</v>
      </c>
      <c r="J932" s="32" t="s">
        <v>642</v>
      </c>
      <c r="K932" s="29" t="s">
        <v>599</v>
      </c>
      <c r="L932" s="29" t="s">
        <v>915</v>
      </c>
      <c r="M932" s="36">
        <v>-76.01</v>
      </c>
      <c r="N932" s="36">
        <v>-0.7</v>
      </c>
      <c r="O932" s="34" t="s">
        <v>601</v>
      </c>
      <c r="P932" s="32" t="s">
        <v>602</v>
      </c>
      <c r="Q932" s="29">
        <v>25.0</v>
      </c>
      <c r="R932" s="29">
        <v>26.0</v>
      </c>
      <c r="S932" s="36">
        <v>0.2173913043478261</v>
      </c>
      <c r="T932" s="36">
        <v>0.2481884057971015</v>
      </c>
      <c r="U932" s="36">
        <f t="shared" ref="U932:V932" si="204">SQRT(S932)</f>
        <v>0.4662524041</v>
      </c>
      <c r="V932" s="36">
        <f t="shared" si="204"/>
        <v>0.498185112</v>
      </c>
      <c r="W932" s="37" t="s">
        <v>1133</v>
      </c>
      <c r="X932" s="31">
        <v>16.5</v>
      </c>
      <c r="Y932" s="36">
        <v>-0.132194678773101</v>
      </c>
      <c r="Z932" s="36">
        <v>0.33896911847276806</v>
      </c>
      <c r="AA932" s="29" t="s">
        <v>820</v>
      </c>
      <c r="AB932" s="31">
        <v>0.247</v>
      </c>
      <c r="AC932" s="35">
        <v>1784.0</v>
      </c>
    </row>
    <row r="933" ht="14.25" customHeight="1">
      <c r="A933" s="29" t="s">
        <v>226</v>
      </c>
      <c r="B933" s="29">
        <v>133.0</v>
      </c>
      <c r="C933" s="29" t="s">
        <v>608</v>
      </c>
      <c r="D933" s="29" t="s">
        <v>663</v>
      </c>
      <c r="E933" s="29">
        <v>189.0</v>
      </c>
      <c r="F933" s="30" t="s">
        <v>637</v>
      </c>
      <c r="G933" s="29" t="s">
        <v>638</v>
      </c>
      <c r="H933" s="31">
        <v>207.5</v>
      </c>
      <c r="I933" s="29" t="s">
        <v>612</v>
      </c>
      <c r="J933" s="32" t="s">
        <v>642</v>
      </c>
      <c r="K933" s="29" t="s">
        <v>599</v>
      </c>
      <c r="L933" s="29" t="s">
        <v>915</v>
      </c>
      <c r="M933" s="36">
        <v>-76.01</v>
      </c>
      <c r="N933" s="36">
        <v>-0.7</v>
      </c>
      <c r="O933" s="34" t="s">
        <v>601</v>
      </c>
      <c r="P933" s="32" t="s">
        <v>602</v>
      </c>
      <c r="Q933" s="29">
        <v>25.0</v>
      </c>
      <c r="R933" s="29">
        <v>26.0</v>
      </c>
      <c r="S933" s="36">
        <v>2.544530120481928</v>
      </c>
      <c r="T933" s="36">
        <v>1.4969156626506024</v>
      </c>
      <c r="U933" s="36">
        <f t="shared" ref="U933:V933" si="205">SQRT(S933)</f>
        <v>1.595158337</v>
      </c>
      <c r="V933" s="36">
        <f t="shared" si="205"/>
        <v>1.223485048</v>
      </c>
      <c r="W933" s="37" t="s">
        <v>1133</v>
      </c>
      <c r="X933" s="31">
        <v>16.5</v>
      </c>
      <c r="Y933" s="36">
        <v>0.5306910036708107</v>
      </c>
      <c r="Z933" s="36">
        <v>0.041413852688463954</v>
      </c>
      <c r="AA933" s="29" t="s">
        <v>820</v>
      </c>
      <c r="AB933" s="31">
        <v>0.247</v>
      </c>
      <c r="AC933" s="35">
        <v>1784.0</v>
      </c>
    </row>
    <row r="934" ht="14.25" customHeight="1">
      <c r="A934" s="29" t="s">
        <v>226</v>
      </c>
      <c r="B934" s="29">
        <v>133.0</v>
      </c>
      <c r="C934" s="29" t="s">
        <v>608</v>
      </c>
      <c r="D934" s="29" t="s">
        <v>639</v>
      </c>
      <c r="E934" s="29">
        <v>190.0</v>
      </c>
      <c r="F934" s="30" t="s">
        <v>640</v>
      </c>
      <c r="G934" s="29" t="s">
        <v>626</v>
      </c>
      <c r="H934" s="31">
        <v>32.23</v>
      </c>
      <c r="I934" s="29" t="s">
        <v>597</v>
      </c>
      <c r="J934" s="32" t="s">
        <v>642</v>
      </c>
      <c r="K934" s="29" t="s">
        <v>599</v>
      </c>
      <c r="L934" s="29" t="s">
        <v>915</v>
      </c>
      <c r="M934" s="36">
        <v>-76.01</v>
      </c>
      <c r="N934" s="36">
        <v>-0.7</v>
      </c>
      <c r="O934" s="34" t="s">
        <v>601</v>
      </c>
      <c r="P934" s="32" t="s">
        <v>602</v>
      </c>
      <c r="Q934" s="29">
        <v>25.0</v>
      </c>
      <c r="R934" s="29">
        <v>26.0</v>
      </c>
      <c r="S934" s="36">
        <v>18.64567173440894</v>
      </c>
      <c r="T934" s="36">
        <v>6.1740614334471</v>
      </c>
      <c r="U934" s="36">
        <f t="shared" ref="U934:V934" si="206">SQRT(S934)</f>
        <v>4.318063424</v>
      </c>
      <c r="V934" s="36">
        <f t="shared" si="206"/>
        <v>2.484765871</v>
      </c>
      <c r="W934" s="37" t="s">
        <v>1133</v>
      </c>
      <c r="X934" s="31">
        <v>16.5</v>
      </c>
      <c r="Y934" s="36">
        <v>1.1053425902960166</v>
      </c>
      <c r="Z934" s="36">
        <v>0.00837480606946614</v>
      </c>
      <c r="AA934" s="29" t="s">
        <v>820</v>
      </c>
      <c r="AB934" s="31">
        <v>0.247</v>
      </c>
      <c r="AC934" s="35">
        <v>1784.0</v>
      </c>
    </row>
    <row r="935" ht="14.25" customHeight="1">
      <c r="A935" s="29" t="s">
        <v>226</v>
      </c>
      <c r="B935" s="29">
        <v>133.0</v>
      </c>
      <c r="C935" s="29" t="s">
        <v>593</v>
      </c>
      <c r="D935" s="29" t="s">
        <v>913</v>
      </c>
      <c r="E935" s="29">
        <v>230.0</v>
      </c>
      <c r="F935" s="30" t="s">
        <v>914</v>
      </c>
      <c r="G935" s="29" t="s">
        <v>607</v>
      </c>
      <c r="H935" s="31">
        <v>3.1</v>
      </c>
      <c r="I935" s="29" t="s">
        <v>597</v>
      </c>
      <c r="J935" s="32" t="s">
        <v>642</v>
      </c>
      <c r="K935" s="29" t="s">
        <v>599</v>
      </c>
      <c r="L935" s="29" t="s">
        <v>915</v>
      </c>
      <c r="M935" s="36">
        <v>-77.127</v>
      </c>
      <c r="N935" s="36">
        <v>-1.004</v>
      </c>
      <c r="O935" s="34" t="s">
        <v>641</v>
      </c>
      <c r="P935" s="32" t="s">
        <v>602</v>
      </c>
      <c r="Q935" s="29">
        <v>23.0</v>
      </c>
      <c r="R935" s="29">
        <v>26.0</v>
      </c>
      <c r="S935" s="36">
        <v>1.3935483870967742</v>
      </c>
      <c r="T935" s="36">
        <v>6.3032258064516125</v>
      </c>
      <c r="U935" s="36">
        <f t="shared" ref="U935:V935" si="207">SQRT(S935)</f>
        <v>1.180486504</v>
      </c>
      <c r="V935" s="36">
        <f t="shared" si="207"/>
        <v>2.510622593</v>
      </c>
      <c r="W935" s="37" t="s">
        <v>1133</v>
      </c>
      <c r="X935" s="31">
        <v>3.8</v>
      </c>
      <c r="Y935" s="36">
        <v>-1.503336003943017</v>
      </c>
      <c r="Z935" s="36">
        <v>0.03730155968040352</v>
      </c>
      <c r="AA935" s="29" t="s">
        <v>820</v>
      </c>
      <c r="AB935" s="31">
        <v>1.542</v>
      </c>
      <c r="AC935" s="35">
        <v>1484.0</v>
      </c>
    </row>
    <row r="936" ht="14.25" customHeight="1">
      <c r="A936" s="29" t="s">
        <v>226</v>
      </c>
      <c r="B936" s="29">
        <v>133.0</v>
      </c>
      <c r="C936" s="29" t="s">
        <v>593</v>
      </c>
      <c r="D936" s="29" t="s">
        <v>1134</v>
      </c>
      <c r="E936" s="29">
        <v>231.0</v>
      </c>
      <c r="F936" s="30" t="s">
        <v>1135</v>
      </c>
      <c r="G936" s="29" t="s">
        <v>607</v>
      </c>
      <c r="H936" s="31">
        <v>1.7</v>
      </c>
      <c r="I936" s="29" t="s">
        <v>597</v>
      </c>
      <c r="J936" s="32" t="s">
        <v>642</v>
      </c>
      <c r="K936" s="29" t="s">
        <v>599</v>
      </c>
      <c r="L936" s="29" t="s">
        <v>915</v>
      </c>
      <c r="M936" s="36">
        <v>-77.127</v>
      </c>
      <c r="N936" s="36">
        <v>-1.004</v>
      </c>
      <c r="O936" s="34" t="s">
        <v>641</v>
      </c>
      <c r="P936" s="32" t="s">
        <v>602</v>
      </c>
      <c r="Q936" s="29">
        <v>23.0</v>
      </c>
      <c r="R936" s="29">
        <v>26.0</v>
      </c>
      <c r="S936" s="36">
        <v>0.6</v>
      </c>
      <c r="T936" s="36">
        <v>0.12941176470588237</v>
      </c>
      <c r="U936" s="36">
        <f t="shared" ref="U936:V936" si="208">SQRT(S936)</f>
        <v>0.7745966692</v>
      </c>
      <c r="V936" s="36">
        <f t="shared" si="208"/>
        <v>0.3597384671</v>
      </c>
      <c r="W936" s="37" t="s">
        <v>1133</v>
      </c>
      <c r="X936" s="31">
        <v>3.8</v>
      </c>
      <c r="Y936" s="36">
        <v>1.53421116200063</v>
      </c>
      <c r="Z936" s="36">
        <v>0.3696665653187391</v>
      </c>
      <c r="AA936" s="29" t="s">
        <v>820</v>
      </c>
      <c r="AB936" s="31">
        <v>1.542</v>
      </c>
      <c r="AC936" s="35">
        <v>1484.0</v>
      </c>
    </row>
    <row r="937" ht="14.25" customHeight="1">
      <c r="A937" s="29" t="s">
        <v>226</v>
      </c>
      <c r="B937" s="29">
        <v>133.0</v>
      </c>
      <c r="C937" s="29" t="s">
        <v>593</v>
      </c>
      <c r="D937" s="29" t="s">
        <v>1112</v>
      </c>
      <c r="E937" s="29">
        <v>130.0</v>
      </c>
      <c r="F937" s="30" t="s">
        <v>867</v>
      </c>
      <c r="G937" s="29" t="s">
        <v>607</v>
      </c>
      <c r="H937" s="31">
        <v>1.49</v>
      </c>
      <c r="I937" s="29" t="s">
        <v>597</v>
      </c>
      <c r="J937" s="32" t="s">
        <v>642</v>
      </c>
      <c r="K937" s="29" t="s">
        <v>599</v>
      </c>
      <c r="L937" s="29" t="s">
        <v>915</v>
      </c>
      <c r="M937" s="36">
        <v>-77.127</v>
      </c>
      <c r="N937" s="36">
        <v>-1.004</v>
      </c>
      <c r="O937" s="34" t="s">
        <v>641</v>
      </c>
      <c r="P937" s="32" t="s">
        <v>602</v>
      </c>
      <c r="Q937" s="29">
        <v>23.0</v>
      </c>
      <c r="R937" s="29">
        <v>26.0</v>
      </c>
      <c r="S937" s="36">
        <v>0.33557046979865773</v>
      </c>
      <c r="T937" s="36">
        <v>0.026845637583892617</v>
      </c>
      <c r="U937" s="36">
        <f t="shared" ref="U937:V937" si="209">SQRT(S937)</f>
        <v>0.5792844464</v>
      </c>
      <c r="V937" s="36">
        <f t="shared" si="209"/>
        <v>0.1638463841</v>
      </c>
      <c r="W937" s="37" t="s">
        <v>1133</v>
      </c>
      <c r="X937" s="31">
        <v>3.8</v>
      </c>
      <c r="Y937" s="36">
        <v>2.5258328055499515</v>
      </c>
      <c r="Z937" s="36">
        <v>1.562257525083612</v>
      </c>
      <c r="AA937" s="29" t="s">
        <v>820</v>
      </c>
      <c r="AB937" s="31">
        <v>1.542</v>
      </c>
      <c r="AC937" s="35">
        <v>1484.0</v>
      </c>
    </row>
    <row r="938" ht="14.25" customHeight="1">
      <c r="A938" s="29" t="s">
        <v>226</v>
      </c>
      <c r="B938" s="29">
        <v>133.0</v>
      </c>
      <c r="C938" s="29" t="s">
        <v>593</v>
      </c>
      <c r="D938" s="35" t="s">
        <v>1136</v>
      </c>
      <c r="E938" s="29">
        <v>153.0</v>
      </c>
      <c r="F938" s="30" t="s">
        <v>1137</v>
      </c>
      <c r="G938" s="29" t="s">
        <v>877</v>
      </c>
      <c r="H938" s="31">
        <v>1.03</v>
      </c>
      <c r="I938" s="29" t="s">
        <v>597</v>
      </c>
      <c r="J938" s="32" t="s">
        <v>642</v>
      </c>
      <c r="K938" s="29" t="s">
        <v>599</v>
      </c>
      <c r="L938" s="29" t="s">
        <v>915</v>
      </c>
      <c r="M938" s="36">
        <v>-77.127</v>
      </c>
      <c r="N938" s="36">
        <v>-1.004</v>
      </c>
      <c r="O938" s="34" t="s">
        <v>641</v>
      </c>
      <c r="P938" s="32" t="s">
        <v>602</v>
      </c>
      <c r="Q938" s="29">
        <v>23.0</v>
      </c>
      <c r="R938" s="29">
        <v>26.0</v>
      </c>
      <c r="S938" s="36">
        <v>14.689320388349515</v>
      </c>
      <c r="T938" s="36">
        <v>12.873786407766989</v>
      </c>
      <c r="U938" s="36">
        <f t="shared" ref="U938:V938" si="210">SQRT(S938)</f>
        <v>3.83266492</v>
      </c>
      <c r="V938" s="36">
        <f t="shared" si="210"/>
        <v>3.58800591</v>
      </c>
      <c r="W938" s="37" t="s">
        <v>1133</v>
      </c>
      <c r="X938" s="31">
        <v>3.8</v>
      </c>
      <c r="Y938" s="36">
        <v>0.13306804410927958</v>
      </c>
      <c r="Z938" s="36">
        <v>0.005947440735023048</v>
      </c>
      <c r="AA938" s="29" t="s">
        <v>820</v>
      </c>
      <c r="AB938" s="31">
        <v>1.542</v>
      </c>
      <c r="AC938" s="35">
        <v>1484.0</v>
      </c>
    </row>
    <row r="939" ht="14.25" customHeight="1">
      <c r="A939" s="29" t="s">
        <v>226</v>
      </c>
      <c r="B939" s="29">
        <v>133.0</v>
      </c>
      <c r="C939" s="29" t="s">
        <v>608</v>
      </c>
      <c r="D939" s="29" t="s">
        <v>1138</v>
      </c>
      <c r="E939" s="29">
        <v>241.0</v>
      </c>
      <c r="F939" s="30" t="s">
        <v>1139</v>
      </c>
      <c r="G939" s="29" t="s">
        <v>629</v>
      </c>
      <c r="H939" s="31">
        <v>7.75</v>
      </c>
      <c r="I939" s="29" t="s">
        <v>657</v>
      </c>
      <c r="J939" s="32" t="s">
        <v>642</v>
      </c>
      <c r="K939" s="29" t="s">
        <v>599</v>
      </c>
      <c r="L939" s="29" t="s">
        <v>915</v>
      </c>
      <c r="M939" s="36">
        <v>-77.127</v>
      </c>
      <c r="N939" s="36">
        <v>-1.004</v>
      </c>
      <c r="O939" s="34" t="s">
        <v>641</v>
      </c>
      <c r="P939" s="32" t="s">
        <v>602</v>
      </c>
      <c r="Q939" s="29">
        <v>23.0</v>
      </c>
      <c r="R939" s="29">
        <v>26.0</v>
      </c>
      <c r="S939" s="36">
        <v>1.063225806451613</v>
      </c>
      <c r="T939" s="36">
        <v>0.48258064516129034</v>
      </c>
      <c r="U939" s="36">
        <f t="shared" ref="U939:V939" si="211">SQRT(S939)</f>
        <v>1.031128414</v>
      </c>
      <c r="V939" s="36">
        <f t="shared" si="211"/>
        <v>0.6946802467</v>
      </c>
      <c r="W939" s="37" t="s">
        <v>1133</v>
      </c>
      <c r="X939" s="31">
        <v>3.8</v>
      </c>
      <c r="Y939" s="36">
        <v>0.790031826644092</v>
      </c>
      <c r="Z939" s="36">
        <v>0.1205924938171108</v>
      </c>
      <c r="AA939" s="29" t="s">
        <v>820</v>
      </c>
      <c r="AB939" s="31">
        <v>1.542</v>
      </c>
      <c r="AC939" s="35">
        <v>1484.0</v>
      </c>
    </row>
    <row r="940" ht="14.25" customHeight="1">
      <c r="A940" s="29" t="s">
        <v>226</v>
      </c>
      <c r="B940" s="29">
        <v>133.0</v>
      </c>
      <c r="C940" s="29" t="s">
        <v>608</v>
      </c>
      <c r="D940" s="29" t="s">
        <v>650</v>
      </c>
      <c r="E940" s="29">
        <v>70.0</v>
      </c>
      <c r="F940" s="30" t="s">
        <v>651</v>
      </c>
      <c r="G940" s="29" t="s">
        <v>615</v>
      </c>
      <c r="H940" s="31">
        <v>8.17</v>
      </c>
      <c r="I940" s="29" t="s">
        <v>616</v>
      </c>
      <c r="J940" s="32" t="s">
        <v>642</v>
      </c>
      <c r="K940" s="29" t="s">
        <v>599</v>
      </c>
      <c r="L940" s="29" t="s">
        <v>915</v>
      </c>
      <c r="M940" s="36">
        <v>-77.127</v>
      </c>
      <c r="N940" s="36">
        <v>-1.004</v>
      </c>
      <c r="O940" s="34" t="s">
        <v>641</v>
      </c>
      <c r="P940" s="32" t="s">
        <v>602</v>
      </c>
      <c r="Q940" s="29">
        <v>23.0</v>
      </c>
      <c r="R940" s="29">
        <v>26.0</v>
      </c>
      <c r="S940" s="36">
        <v>1.1652386780905752</v>
      </c>
      <c r="T940" s="36">
        <v>1.1860465116279069</v>
      </c>
      <c r="U940" s="36">
        <f t="shared" ref="U940:V940" si="212">SQRT(S940)</f>
        <v>1.079462217</v>
      </c>
      <c r="V940" s="36">
        <f t="shared" si="212"/>
        <v>1.089057625</v>
      </c>
      <c r="W940" s="37" t="s">
        <v>1133</v>
      </c>
      <c r="X940" s="31">
        <v>3.8</v>
      </c>
      <c r="Y940" s="36">
        <v>-0.017437006532052823</v>
      </c>
      <c r="Z940" s="36">
        <v>0.06974110714519922</v>
      </c>
      <c r="AA940" s="29" t="s">
        <v>820</v>
      </c>
      <c r="AB940" s="31">
        <v>1.542</v>
      </c>
      <c r="AC940" s="35">
        <v>1484.0</v>
      </c>
    </row>
    <row r="941" ht="14.25" customHeight="1">
      <c r="A941" s="29" t="s">
        <v>226</v>
      </c>
      <c r="B941" s="29">
        <v>133.0</v>
      </c>
      <c r="C941" s="29" t="s">
        <v>608</v>
      </c>
      <c r="D941" s="29" t="s">
        <v>923</v>
      </c>
      <c r="E941" s="29">
        <v>229.0</v>
      </c>
      <c r="F941" s="30" t="s">
        <v>924</v>
      </c>
      <c r="G941" s="29" t="s">
        <v>615</v>
      </c>
      <c r="H941" s="31">
        <v>3.5</v>
      </c>
      <c r="I941" s="29" t="s">
        <v>616</v>
      </c>
      <c r="J941" s="32" t="s">
        <v>642</v>
      </c>
      <c r="K941" s="29" t="s">
        <v>599</v>
      </c>
      <c r="L941" s="29" t="s">
        <v>915</v>
      </c>
      <c r="M941" s="36">
        <v>-77.127</v>
      </c>
      <c r="N941" s="36">
        <v>-1.004</v>
      </c>
      <c r="O941" s="34" t="s">
        <v>641</v>
      </c>
      <c r="P941" s="32" t="s">
        <v>602</v>
      </c>
      <c r="Q941" s="29">
        <v>23.0</v>
      </c>
      <c r="R941" s="29">
        <v>26.0</v>
      </c>
      <c r="S941" s="36">
        <v>7.0200000000000005</v>
      </c>
      <c r="T941" s="36">
        <v>9.131428571428572</v>
      </c>
      <c r="U941" s="36">
        <f t="shared" ref="U941:V941" si="213">SQRT(S941)</f>
        <v>2.64952826</v>
      </c>
      <c r="V941" s="36">
        <f t="shared" si="213"/>
        <v>3.021825371</v>
      </c>
      <c r="W941" s="37" t="s">
        <v>1133</v>
      </c>
      <c r="X941" s="31">
        <v>3.8</v>
      </c>
      <c r="Y941" s="36">
        <v>-0.2626233938381805</v>
      </c>
      <c r="Z941" s="36">
        <v>0.010405480218289704</v>
      </c>
      <c r="AA941" s="29" t="s">
        <v>820</v>
      </c>
      <c r="AB941" s="31">
        <v>1.542</v>
      </c>
      <c r="AC941" s="35">
        <v>1484.0</v>
      </c>
    </row>
    <row r="942" ht="14.25" customHeight="1">
      <c r="A942" s="29" t="s">
        <v>226</v>
      </c>
      <c r="B942" s="29">
        <v>133.0</v>
      </c>
      <c r="C942" s="29" t="s">
        <v>608</v>
      </c>
      <c r="D942" s="29" t="s">
        <v>617</v>
      </c>
      <c r="E942" s="29">
        <v>75.0</v>
      </c>
      <c r="F942" s="30" t="s">
        <v>618</v>
      </c>
      <c r="G942" s="29" t="s">
        <v>619</v>
      </c>
      <c r="H942" s="31">
        <v>4.2</v>
      </c>
      <c r="I942" s="29" t="s">
        <v>620</v>
      </c>
      <c r="J942" s="32" t="s">
        <v>642</v>
      </c>
      <c r="K942" s="29" t="s">
        <v>599</v>
      </c>
      <c r="L942" s="29" t="s">
        <v>915</v>
      </c>
      <c r="M942" s="36">
        <v>-77.127</v>
      </c>
      <c r="N942" s="36">
        <v>-1.004</v>
      </c>
      <c r="O942" s="34" t="s">
        <v>641</v>
      </c>
      <c r="P942" s="32" t="s">
        <v>602</v>
      </c>
      <c r="Q942" s="29">
        <v>23.0</v>
      </c>
      <c r="R942" s="29">
        <v>26.0</v>
      </c>
      <c r="S942" s="36">
        <v>0.8809523809523809</v>
      </c>
      <c r="T942" s="36">
        <v>1.0714285714285714</v>
      </c>
      <c r="U942" s="36">
        <f t="shared" ref="U942:V942" si="214">SQRT(S942)</f>
        <v>0.9385906354</v>
      </c>
      <c r="V942" s="36">
        <f t="shared" si="214"/>
        <v>1.035098339</v>
      </c>
      <c r="W942" s="37" t="s">
        <v>1133</v>
      </c>
      <c r="X942" s="31">
        <v>3.8</v>
      </c>
      <c r="Y942" s="36">
        <v>-0.1954308450716098</v>
      </c>
      <c r="Z942" s="36">
        <v>0.08525113742505047</v>
      </c>
      <c r="AA942" s="29" t="s">
        <v>820</v>
      </c>
      <c r="AB942" s="31">
        <v>1.542</v>
      </c>
      <c r="AC942" s="35">
        <v>1484.0</v>
      </c>
    </row>
    <row r="943" ht="14.25" customHeight="1">
      <c r="A943" s="29" t="s">
        <v>226</v>
      </c>
      <c r="B943" s="29">
        <v>133.0</v>
      </c>
      <c r="C943" s="29" t="s">
        <v>608</v>
      </c>
      <c r="D943" s="29" t="s">
        <v>973</v>
      </c>
      <c r="E943" s="29">
        <v>243.0</v>
      </c>
      <c r="F943" s="30" t="s">
        <v>974</v>
      </c>
      <c r="G943" s="29" t="s">
        <v>656</v>
      </c>
      <c r="H943" s="31">
        <v>1.09</v>
      </c>
      <c r="I943" s="29" t="s">
        <v>657</v>
      </c>
      <c r="J943" s="32" t="s">
        <v>642</v>
      </c>
      <c r="K943" s="29" t="s">
        <v>599</v>
      </c>
      <c r="L943" s="29" t="s">
        <v>915</v>
      </c>
      <c r="M943" s="36">
        <v>-77.127</v>
      </c>
      <c r="N943" s="36">
        <v>-1.004</v>
      </c>
      <c r="O943" s="34" t="s">
        <v>641</v>
      </c>
      <c r="P943" s="32" t="s">
        <v>602</v>
      </c>
      <c r="Q943" s="29">
        <v>23.0</v>
      </c>
      <c r="R943" s="29">
        <v>26.0</v>
      </c>
      <c r="S943" s="36">
        <v>1.2660550458715594</v>
      </c>
      <c r="T943" s="36">
        <v>0.7614678899082568</v>
      </c>
      <c r="U943" s="36">
        <f t="shared" ref="U943:V943" si="215">SQRT(S943)</f>
        <v>1.125191115</v>
      </c>
      <c r="V943" s="36">
        <f t="shared" si="215"/>
        <v>0.8726212752</v>
      </c>
      <c r="W943" s="37" t="s">
        <v>1133</v>
      </c>
      <c r="X943" s="31">
        <v>3.8</v>
      </c>
      <c r="Y943" s="36">
        <v>0.5085682379942351</v>
      </c>
      <c r="Z943" s="36">
        <v>0.08485125612235186</v>
      </c>
      <c r="AA943" s="29" t="s">
        <v>820</v>
      </c>
      <c r="AB943" s="31">
        <v>1.542</v>
      </c>
      <c r="AC943" s="35">
        <v>1484.0</v>
      </c>
    </row>
    <row r="944" ht="14.25" customHeight="1">
      <c r="A944" s="29" t="s">
        <v>226</v>
      </c>
      <c r="B944" s="29">
        <v>133.0</v>
      </c>
      <c r="C944" s="29" t="s">
        <v>608</v>
      </c>
      <c r="D944" s="29" t="s">
        <v>675</v>
      </c>
      <c r="E944" s="29">
        <v>204.0</v>
      </c>
      <c r="F944" s="30" t="s">
        <v>676</v>
      </c>
      <c r="G944" s="29" t="s">
        <v>629</v>
      </c>
      <c r="H944" s="31">
        <v>3.91</v>
      </c>
      <c r="I944" s="29" t="s">
        <v>657</v>
      </c>
      <c r="J944" s="32" t="s">
        <v>642</v>
      </c>
      <c r="K944" s="29" t="s">
        <v>599</v>
      </c>
      <c r="L944" s="29" t="s">
        <v>915</v>
      </c>
      <c r="M944" s="36">
        <v>-77.127</v>
      </c>
      <c r="N944" s="36">
        <v>-1.004</v>
      </c>
      <c r="O944" s="34" t="s">
        <v>641</v>
      </c>
      <c r="P944" s="32" t="s">
        <v>602</v>
      </c>
      <c r="Q944" s="29">
        <v>23.0</v>
      </c>
      <c r="R944" s="29">
        <v>26.0</v>
      </c>
      <c r="S944" s="36">
        <v>0.6445012787723785</v>
      </c>
      <c r="T944" s="36">
        <v>0.3452685421994885</v>
      </c>
      <c r="U944" s="36">
        <f t="shared" ref="U944:V944" si="216">SQRT(S944)</f>
        <v>0.8028083699</v>
      </c>
      <c r="V944" s="36">
        <f t="shared" si="216"/>
        <v>0.5875955601</v>
      </c>
      <c r="W944" s="37" t="s">
        <v>1133</v>
      </c>
      <c r="X944" s="31">
        <v>3.8</v>
      </c>
      <c r="Y944" s="36">
        <v>0.6242925127024411</v>
      </c>
      <c r="Z944" s="36">
        <v>0.17885632885632885</v>
      </c>
      <c r="AA944" s="29" t="s">
        <v>820</v>
      </c>
      <c r="AB944" s="31">
        <v>1.542</v>
      </c>
      <c r="AC944" s="35">
        <v>1484.0</v>
      </c>
    </row>
    <row r="945" ht="14.25" customHeight="1">
      <c r="A945" s="29" t="s">
        <v>226</v>
      </c>
      <c r="B945" s="29">
        <v>133.0</v>
      </c>
      <c r="C945" s="29" t="s">
        <v>608</v>
      </c>
      <c r="D945" s="29" t="s">
        <v>963</v>
      </c>
      <c r="E945" s="29">
        <v>92.0</v>
      </c>
      <c r="F945" s="30" t="s">
        <v>964</v>
      </c>
      <c r="G945" s="29" t="s">
        <v>629</v>
      </c>
      <c r="H945" s="31">
        <v>11.9</v>
      </c>
      <c r="I945" s="29" t="s">
        <v>657</v>
      </c>
      <c r="J945" s="32" t="s">
        <v>642</v>
      </c>
      <c r="K945" s="29" t="s">
        <v>599</v>
      </c>
      <c r="L945" s="29" t="s">
        <v>915</v>
      </c>
      <c r="M945" s="36">
        <v>-77.127</v>
      </c>
      <c r="N945" s="36">
        <v>-1.004</v>
      </c>
      <c r="O945" s="34" t="s">
        <v>641</v>
      </c>
      <c r="P945" s="32" t="s">
        <v>602</v>
      </c>
      <c r="Q945" s="29">
        <v>23.0</v>
      </c>
      <c r="R945" s="29">
        <v>26.0</v>
      </c>
      <c r="S945" s="36">
        <v>6.2747899159663865</v>
      </c>
      <c r="T945" s="36">
        <v>4.792436974789916</v>
      </c>
      <c r="U945" s="36">
        <f t="shared" ref="U945:V945" si="217">SQRT(S945)</f>
        <v>2.504953077</v>
      </c>
      <c r="V945" s="36">
        <f t="shared" si="217"/>
        <v>2.189163533</v>
      </c>
      <c r="W945" s="37" t="s">
        <v>1133</v>
      </c>
      <c r="X945" s="31">
        <v>3.8</v>
      </c>
      <c r="Y945" s="36">
        <v>0.26969798911221177</v>
      </c>
      <c r="Z945" s="36">
        <v>0.014954504173343399</v>
      </c>
      <c r="AA945" s="29" t="s">
        <v>820</v>
      </c>
      <c r="AB945" s="31">
        <v>1.542</v>
      </c>
      <c r="AC945" s="35">
        <v>1484.0</v>
      </c>
    </row>
    <row r="946" ht="14.25" customHeight="1">
      <c r="A946" s="29" t="s">
        <v>226</v>
      </c>
      <c r="B946" s="29">
        <v>133.0</v>
      </c>
      <c r="C946" s="29" t="s">
        <v>608</v>
      </c>
      <c r="D946" s="29" t="s">
        <v>975</v>
      </c>
      <c r="E946" s="29">
        <v>206.0</v>
      </c>
      <c r="F946" s="30" t="s">
        <v>976</v>
      </c>
      <c r="G946" s="29" t="s">
        <v>629</v>
      </c>
      <c r="H946" s="31">
        <v>3.25</v>
      </c>
      <c r="I946" s="29" t="s">
        <v>657</v>
      </c>
      <c r="J946" s="32" t="s">
        <v>642</v>
      </c>
      <c r="K946" s="29" t="s">
        <v>599</v>
      </c>
      <c r="L946" s="29" t="s">
        <v>915</v>
      </c>
      <c r="M946" s="36">
        <v>-77.127</v>
      </c>
      <c r="N946" s="36">
        <v>-1.004</v>
      </c>
      <c r="O946" s="34" t="s">
        <v>641</v>
      </c>
      <c r="P946" s="32" t="s">
        <v>602</v>
      </c>
      <c r="Q946" s="29">
        <v>23.0</v>
      </c>
      <c r="R946" s="29">
        <v>26.0</v>
      </c>
      <c r="S946" s="36">
        <v>0.18769230769230769</v>
      </c>
      <c r="T946" s="36">
        <v>0.12307692307692308</v>
      </c>
      <c r="U946" s="36">
        <f t="shared" ref="U946:V946" si="218">SQRT(S946)</f>
        <v>0.4332347028</v>
      </c>
      <c r="V946" s="36">
        <f t="shared" si="218"/>
        <v>0.3508232077</v>
      </c>
      <c r="W946" s="37" t="s">
        <v>1133</v>
      </c>
      <c r="X946" s="31">
        <v>3.8</v>
      </c>
      <c r="Y946" s="36">
        <v>0.42216357472466304</v>
      </c>
      <c r="Z946" s="36">
        <v>0.5441464718460441</v>
      </c>
      <c r="AA946" s="29" t="s">
        <v>820</v>
      </c>
      <c r="AB946" s="31">
        <v>1.542</v>
      </c>
      <c r="AC946" s="35">
        <v>1484.0</v>
      </c>
    </row>
    <row r="947" ht="14.25" customHeight="1">
      <c r="A947" s="29" t="s">
        <v>226</v>
      </c>
      <c r="B947" s="29">
        <v>133.0</v>
      </c>
      <c r="C947" s="29" t="s">
        <v>608</v>
      </c>
      <c r="D947" s="29" t="s">
        <v>677</v>
      </c>
      <c r="E947" s="29">
        <v>100.0</v>
      </c>
      <c r="F947" s="30" t="s">
        <v>678</v>
      </c>
      <c r="G947" s="29" t="s">
        <v>626</v>
      </c>
      <c r="H947" s="31">
        <v>22.8</v>
      </c>
      <c r="I947" s="29" t="s">
        <v>612</v>
      </c>
      <c r="J947" s="32" t="s">
        <v>642</v>
      </c>
      <c r="K947" s="29" t="s">
        <v>599</v>
      </c>
      <c r="L947" s="29" t="s">
        <v>915</v>
      </c>
      <c r="M947" s="36">
        <v>-77.127</v>
      </c>
      <c r="N947" s="36">
        <v>-1.004</v>
      </c>
      <c r="O947" s="34" t="s">
        <v>641</v>
      </c>
      <c r="P947" s="32" t="s">
        <v>602</v>
      </c>
      <c r="Q947" s="29">
        <v>23.0</v>
      </c>
      <c r="R947" s="29">
        <v>26.0</v>
      </c>
      <c r="S947" s="36">
        <v>2.637719298245614</v>
      </c>
      <c r="T947" s="36">
        <v>5.14780701754386</v>
      </c>
      <c r="U947" s="36">
        <f t="shared" ref="U947:V947" si="219">SQRT(S947)</f>
        <v>1.624105692</v>
      </c>
      <c r="V947" s="36">
        <f t="shared" si="219"/>
        <v>2.26887792</v>
      </c>
      <c r="W947" s="37" t="s">
        <v>1133</v>
      </c>
      <c r="X947" s="31">
        <v>3.8</v>
      </c>
      <c r="Y947" s="36">
        <v>-0.6681527751703972</v>
      </c>
      <c r="Z947" s="36">
        <v>0.02395471954642848</v>
      </c>
      <c r="AA947" s="29" t="s">
        <v>820</v>
      </c>
      <c r="AB947" s="31">
        <v>1.542</v>
      </c>
      <c r="AC947" s="35">
        <v>1484.0</v>
      </c>
    </row>
    <row r="948" ht="14.25" customHeight="1">
      <c r="A948" s="29" t="s">
        <v>226</v>
      </c>
      <c r="B948" s="29">
        <v>133.0</v>
      </c>
      <c r="C948" s="29" t="s">
        <v>608</v>
      </c>
      <c r="D948" s="29" t="s">
        <v>821</v>
      </c>
      <c r="E948" s="29">
        <v>103.0</v>
      </c>
      <c r="F948" s="30" t="s">
        <v>822</v>
      </c>
      <c r="G948" s="29" t="s">
        <v>626</v>
      </c>
      <c r="H948" s="31">
        <v>16.63</v>
      </c>
      <c r="I948" s="29" t="s">
        <v>616</v>
      </c>
      <c r="J948" s="32" t="s">
        <v>642</v>
      </c>
      <c r="K948" s="29" t="s">
        <v>599</v>
      </c>
      <c r="L948" s="29" t="s">
        <v>915</v>
      </c>
      <c r="M948" s="36">
        <v>-77.127</v>
      </c>
      <c r="N948" s="36">
        <v>-1.004</v>
      </c>
      <c r="O948" s="34" t="s">
        <v>641</v>
      </c>
      <c r="P948" s="32" t="s">
        <v>602</v>
      </c>
      <c r="Q948" s="29">
        <v>23.0</v>
      </c>
      <c r="R948" s="29">
        <v>26.0</v>
      </c>
      <c r="S948" s="36">
        <v>0.0</v>
      </c>
      <c r="T948" s="36">
        <v>0.6482260974143115</v>
      </c>
      <c r="U948" s="36">
        <f t="shared" ref="U948:V948" si="220">SQRT(S948)</f>
        <v>0</v>
      </c>
      <c r="V948" s="36">
        <f t="shared" si="220"/>
        <v>0.8051248955</v>
      </c>
      <c r="W948" s="37" t="s">
        <v>1133</v>
      </c>
      <c r="X948" s="31">
        <v>3.8</v>
      </c>
      <c r="Y948" s="36">
        <v>-8.262558973010657</v>
      </c>
      <c r="Z948" s="36">
        <v>0.0931690590751171</v>
      </c>
      <c r="AA948" s="29" t="s">
        <v>820</v>
      </c>
      <c r="AB948" s="31">
        <v>1.542</v>
      </c>
      <c r="AC948" s="35">
        <v>1484.0</v>
      </c>
    </row>
    <row r="949" ht="14.25" customHeight="1">
      <c r="A949" s="29" t="s">
        <v>226</v>
      </c>
      <c r="B949" s="29">
        <v>133.0</v>
      </c>
      <c r="C949" s="29" t="s">
        <v>608</v>
      </c>
      <c r="D949" s="29" t="s">
        <v>927</v>
      </c>
      <c r="E949" s="29">
        <v>109.0</v>
      </c>
      <c r="F949" s="30" t="s">
        <v>928</v>
      </c>
      <c r="G949" s="29" t="s">
        <v>695</v>
      </c>
      <c r="H949" s="31">
        <v>22.33</v>
      </c>
      <c r="I949" s="29" t="s">
        <v>620</v>
      </c>
      <c r="J949" s="32" t="s">
        <v>642</v>
      </c>
      <c r="K949" s="29" t="s">
        <v>599</v>
      </c>
      <c r="L949" s="29" t="s">
        <v>915</v>
      </c>
      <c r="M949" s="36">
        <v>-77.127</v>
      </c>
      <c r="N949" s="36">
        <v>-1.004</v>
      </c>
      <c r="O949" s="34" t="s">
        <v>641</v>
      </c>
      <c r="P949" s="32" t="s">
        <v>602</v>
      </c>
      <c r="Q949" s="29">
        <v>23.0</v>
      </c>
      <c r="R949" s="29">
        <v>26.0</v>
      </c>
      <c r="S949" s="36">
        <v>0.0</v>
      </c>
      <c r="T949" s="36">
        <v>0.64576802507837</v>
      </c>
      <c r="U949" s="36">
        <f t="shared" ref="U949:V949" si="221">SQRT(S949)</f>
        <v>0</v>
      </c>
      <c r="V949" s="36">
        <f t="shared" si="221"/>
        <v>0.8035969295</v>
      </c>
      <c r="W949" s="37" t="s">
        <v>1133</v>
      </c>
      <c r="X949" s="31">
        <v>3.8</v>
      </c>
      <c r="Y949" s="36">
        <v>-8.262558973010657</v>
      </c>
      <c r="Z949" s="36">
        <v>0.09326571430715466</v>
      </c>
      <c r="AA949" s="29" t="s">
        <v>820</v>
      </c>
      <c r="AB949" s="31">
        <v>1.542</v>
      </c>
      <c r="AC949" s="35">
        <v>1484.0</v>
      </c>
    </row>
    <row r="950" ht="14.25" customHeight="1">
      <c r="A950" s="29" t="s">
        <v>226</v>
      </c>
      <c r="B950" s="29">
        <v>133.0</v>
      </c>
      <c r="C950" s="29" t="s">
        <v>608</v>
      </c>
      <c r="D950" s="35" t="s">
        <v>627</v>
      </c>
      <c r="E950" s="29">
        <v>111.0</v>
      </c>
      <c r="F950" s="39" t="s">
        <v>628</v>
      </c>
      <c r="G950" s="29" t="s">
        <v>629</v>
      </c>
      <c r="H950" s="31">
        <v>3.79</v>
      </c>
      <c r="I950" s="29" t="s">
        <v>597</v>
      </c>
      <c r="J950" s="32" t="s">
        <v>642</v>
      </c>
      <c r="K950" s="29" t="s">
        <v>599</v>
      </c>
      <c r="L950" s="29" t="s">
        <v>915</v>
      </c>
      <c r="M950" s="36">
        <v>-77.127</v>
      </c>
      <c r="N950" s="36">
        <v>-1.004</v>
      </c>
      <c r="O950" s="34" t="s">
        <v>641</v>
      </c>
      <c r="P950" s="32" t="s">
        <v>602</v>
      </c>
      <c r="Q950" s="29">
        <v>23.0</v>
      </c>
      <c r="R950" s="29">
        <v>26.0</v>
      </c>
      <c r="S950" s="36">
        <v>0.2796833773087071</v>
      </c>
      <c r="T950" s="36">
        <v>0.7282321899736147</v>
      </c>
      <c r="U950" s="36">
        <f t="shared" ref="U950:V950" si="222">SQRT(S950)</f>
        <v>0.5288509973</v>
      </c>
      <c r="V950" s="36">
        <f t="shared" si="222"/>
        <v>0.8533652149</v>
      </c>
      <c r="W950" s="37" t="s">
        <v>1133</v>
      </c>
      <c r="X950" s="31">
        <v>3.8</v>
      </c>
      <c r="Y950" s="36">
        <v>-0.956290228929588</v>
      </c>
      <c r="Z950" s="36">
        <v>0.20827022990681723</v>
      </c>
      <c r="AA950" s="29" t="s">
        <v>820</v>
      </c>
      <c r="AB950" s="31">
        <v>1.542</v>
      </c>
      <c r="AC950" s="35">
        <v>1484.0</v>
      </c>
    </row>
    <row r="951" ht="14.25" customHeight="1">
      <c r="A951" s="29" t="s">
        <v>226</v>
      </c>
      <c r="B951" s="29">
        <v>133.0</v>
      </c>
      <c r="C951" s="29" t="s">
        <v>608</v>
      </c>
      <c r="D951" s="29" t="s">
        <v>683</v>
      </c>
      <c r="E951" s="29">
        <v>122.0</v>
      </c>
      <c r="F951" s="30" t="s">
        <v>684</v>
      </c>
      <c r="G951" s="29" t="s">
        <v>629</v>
      </c>
      <c r="H951" s="31">
        <v>100.0</v>
      </c>
      <c r="I951" s="29" t="s">
        <v>657</v>
      </c>
      <c r="J951" s="32" t="s">
        <v>642</v>
      </c>
      <c r="K951" s="29" t="s">
        <v>599</v>
      </c>
      <c r="L951" s="29" t="s">
        <v>915</v>
      </c>
      <c r="M951" s="36">
        <v>-77.127</v>
      </c>
      <c r="N951" s="36">
        <v>-1.004</v>
      </c>
      <c r="O951" s="34" t="s">
        <v>641</v>
      </c>
      <c r="P951" s="32" t="s">
        <v>602</v>
      </c>
      <c r="Q951" s="29">
        <v>23.0</v>
      </c>
      <c r="R951" s="29">
        <v>26.0</v>
      </c>
      <c r="S951" s="36">
        <v>2.18</v>
      </c>
      <c r="T951" s="36">
        <v>3.91</v>
      </c>
      <c r="U951" s="36" t="str">
        <f t="shared" ref="U951:V951" si="223">#REF!*SQRT(Q951)</f>
        <v>#REF!</v>
      </c>
      <c r="V951" s="36" t="str">
        <f t="shared" si="223"/>
        <v>#REF!</v>
      </c>
      <c r="W951" s="37" t="s">
        <v>1140</v>
      </c>
      <c r="X951" s="31">
        <v>3.8</v>
      </c>
      <c r="Y951" s="36">
        <v>-0.5837498648097931</v>
      </c>
      <c r="Z951" s="36" t="e">
        <v>#REF!</v>
      </c>
      <c r="AA951" s="29" t="s">
        <v>820</v>
      </c>
      <c r="AB951" s="31">
        <v>1.542</v>
      </c>
      <c r="AC951" s="35">
        <v>1484.0</v>
      </c>
    </row>
    <row r="952" ht="14.25" customHeight="1">
      <c r="A952" s="29" t="s">
        <v>226</v>
      </c>
      <c r="B952" s="29">
        <v>133.0</v>
      </c>
      <c r="C952" s="29" t="s">
        <v>608</v>
      </c>
      <c r="D952" s="29" t="s">
        <v>630</v>
      </c>
      <c r="E952" s="29">
        <v>129.0</v>
      </c>
      <c r="F952" s="30" t="s">
        <v>631</v>
      </c>
      <c r="G952" s="29" t="s">
        <v>626</v>
      </c>
      <c r="H952" s="31">
        <v>21.27</v>
      </c>
      <c r="I952" s="29" t="s">
        <v>612</v>
      </c>
      <c r="J952" s="32" t="s">
        <v>642</v>
      </c>
      <c r="K952" s="29" t="s">
        <v>599</v>
      </c>
      <c r="L952" s="29" t="s">
        <v>915</v>
      </c>
      <c r="M952" s="36">
        <v>-77.127</v>
      </c>
      <c r="N952" s="36">
        <v>-1.004</v>
      </c>
      <c r="O952" s="34" t="s">
        <v>641</v>
      </c>
      <c r="P952" s="32" t="s">
        <v>602</v>
      </c>
      <c r="Q952" s="29">
        <v>23.0</v>
      </c>
      <c r="R952" s="29">
        <v>26.0</v>
      </c>
      <c r="S952" s="36">
        <v>3.137282557592854</v>
      </c>
      <c r="T952" s="36">
        <v>9.179125528913964</v>
      </c>
      <c r="U952" s="36">
        <f t="shared" ref="U952:V952" si="224">SQRT(S952)</f>
        <v>1.771237578</v>
      </c>
      <c r="V952" s="36">
        <f t="shared" si="224"/>
        <v>3.029707169</v>
      </c>
      <c r="W952" s="37" t="s">
        <v>1133</v>
      </c>
      <c r="X952" s="31">
        <v>3.8</v>
      </c>
      <c r="Y952" s="36">
        <v>-1.0728203732211017</v>
      </c>
      <c r="Z952" s="36">
        <v>0.01804868270031778</v>
      </c>
      <c r="AA952" s="29" t="s">
        <v>820</v>
      </c>
      <c r="AB952" s="31">
        <v>1.542</v>
      </c>
      <c r="AC952" s="35">
        <v>1484.0</v>
      </c>
    </row>
    <row r="953" ht="14.25" customHeight="1">
      <c r="A953" s="29" t="s">
        <v>226</v>
      </c>
      <c r="B953" s="29">
        <v>133.0</v>
      </c>
      <c r="C953" s="29" t="s">
        <v>608</v>
      </c>
      <c r="D953" s="42" t="s">
        <v>1141</v>
      </c>
      <c r="E953" s="29">
        <v>150.0</v>
      </c>
      <c r="F953" s="30" t="s">
        <v>1142</v>
      </c>
      <c r="G953" s="29" t="s">
        <v>619</v>
      </c>
      <c r="H953" s="31">
        <v>45.36</v>
      </c>
      <c r="I953" s="29" t="s">
        <v>620</v>
      </c>
      <c r="J953" s="32" t="s">
        <v>642</v>
      </c>
      <c r="K953" s="29" t="s">
        <v>599</v>
      </c>
      <c r="L953" s="29" t="s">
        <v>915</v>
      </c>
      <c r="M953" s="36">
        <v>-77.127</v>
      </c>
      <c r="N953" s="36">
        <v>-1.004</v>
      </c>
      <c r="O953" s="34" t="s">
        <v>641</v>
      </c>
      <c r="P953" s="32" t="s">
        <v>602</v>
      </c>
      <c r="Q953" s="29">
        <v>23.0</v>
      </c>
      <c r="R953" s="29">
        <v>26.0</v>
      </c>
      <c r="S953" s="36">
        <v>0.5884038800705468</v>
      </c>
      <c r="T953" s="36">
        <v>0.4737654320987654</v>
      </c>
      <c r="U953" s="36">
        <f t="shared" ref="U953:V953" si="225">SQRT(S953)</f>
        <v>0.7670748856</v>
      </c>
      <c r="V953" s="36">
        <f t="shared" si="225"/>
        <v>0.6883062052</v>
      </c>
      <c r="W953" s="37" t="s">
        <v>1133</v>
      </c>
      <c r="X953" s="31">
        <v>3.8</v>
      </c>
      <c r="Y953" s="36">
        <v>0.21690896350954947</v>
      </c>
      <c r="Z953" s="36">
        <v>0.15507452734329014</v>
      </c>
      <c r="AA953" s="29" t="s">
        <v>820</v>
      </c>
      <c r="AB953" s="31">
        <v>1.542</v>
      </c>
      <c r="AC953" s="35">
        <v>1484.0</v>
      </c>
    </row>
    <row r="954" ht="14.25" customHeight="1">
      <c r="A954" s="29" t="s">
        <v>226</v>
      </c>
      <c r="B954" s="29">
        <v>133.0</v>
      </c>
      <c r="C954" s="29" t="s">
        <v>608</v>
      </c>
      <c r="D954" s="35" t="s">
        <v>658</v>
      </c>
      <c r="E954" s="29">
        <v>207.0</v>
      </c>
      <c r="F954" s="30" t="s">
        <v>659</v>
      </c>
      <c r="G954" s="29" t="s">
        <v>629</v>
      </c>
      <c r="H954" s="31">
        <v>6.88</v>
      </c>
      <c r="I954" s="29" t="s">
        <v>657</v>
      </c>
      <c r="J954" s="32" t="s">
        <v>642</v>
      </c>
      <c r="K954" s="29" t="s">
        <v>599</v>
      </c>
      <c r="L954" s="29" t="s">
        <v>915</v>
      </c>
      <c r="M954" s="36">
        <v>-77.127</v>
      </c>
      <c r="N954" s="36">
        <v>-1.004</v>
      </c>
      <c r="O954" s="34" t="s">
        <v>641</v>
      </c>
      <c r="P954" s="32" t="s">
        <v>602</v>
      </c>
      <c r="Q954" s="29">
        <v>23.0</v>
      </c>
      <c r="R954" s="29">
        <v>26.0</v>
      </c>
      <c r="S954" s="36">
        <v>0.1875</v>
      </c>
      <c r="T954" s="36">
        <v>0.16279069767441862</v>
      </c>
      <c r="U954" s="36">
        <f t="shared" ref="U954:V954" si="226">SQRT(S954)</f>
        <v>0.4330127019</v>
      </c>
      <c r="V954" s="36">
        <f t="shared" si="226"/>
        <v>0.4034732924</v>
      </c>
      <c r="W954" s="37" t="s">
        <v>1133</v>
      </c>
      <c r="X954" s="31">
        <v>3.8</v>
      </c>
      <c r="Y954" s="36">
        <v>0.14153750619073913</v>
      </c>
      <c r="Z954" s="36">
        <v>0.4681477942347507</v>
      </c>
      <c r="AA954" s="29" t="s">
        <v>820</v>
      </c>
      <c r="AB954" s="31">
        <v>1.542</v>
      </c>
      <c r="AC954" s="35">
        <v>1484.0</v>
      </c>
    </row>
    <row r="955" ht="14.25" customHeight="1">
      <c r="A955" s="29" t="s">
        <v>226</v>
      </c>
      <c r="B955" s="29">
        <v>133.0</v>
      </c>
      <c r="C955" s="29" t="s">
        <v>608</v>
      </c>
      <c r="D955" s="29" t="s">
        <v>1131</v>
      </c>
      <c r="E955" s="29">
        <v>180.0</v>
      </c>
      <c r="F955" s="30" t="s">
        <v>1132</v>
      </c>
      <c r="G955" s="29" t="s">
        <v>629</v>
      </c>
      <c r="H955" s="31">
        <v>6.0</v>
      </c>
      <c r="I955" s="29" t="s">
        <v>657</v>
      </c>
      <c r="J955" s="32" t="s">
        <v>642</v>
      </c>
      <c r="K955" s="29" t="s">
        <v>599</v>
      </c>
      <c r="L955" s="29" t="s">
        <v>915</v>
      </c>
      <c r="M955" s="36">
        <v>-77.127</v>
      </c>
      <c r="N955" s="36">
        <v>-1.004</v>
      </c>
      <c r="O955" s="34" t="s">
        <v>641</v>
      </c>
      <c r="P955" s="32" t="s">
        <v>602</v>
      </c>
      <c r="Q955" s="29">
        <v>23.0</v>
      </c>
      <c r="R955" s="29">
        <v>26.0</v>
      </c>
      <c r="S955" s="36">
        <v>0.0</v>
      </c>
      <c r="T955" s="36">
        <v>0.085</v>
      </c>
      <c r="U955" s="36">
        <f t="shared" ref="U955:V955" si="227">SQRT(S955)</f>
        <v>0</v>
      </c>
      <c r="V955" s="36">
        <f t="shared" si="227"/>
        <v>0.2915475947</v>
      </c>
      <c r="W955" s="37" t="s">
        <v>1133</v>
      </c>
      <c r="X955" s="31">
        <v>3.8</v>
      </c>
      <c r="Y955" s="36">
        <v>-8.262558973010657</v>
      </c>
      <c r="Z955" s="36">
        <v>0.11389387753451968</v>
      </c>
      <c r="AA955" s="29" t="s">
        <v>820</v>
      </c>
      <c r="AB955" s="31">
        <v>1.542</v>
      </c>
      <c r="AC955" s="35">
        <v>1484.0</v>
      </c>
    </row>
    <row r="956" ht="14.25" customHeight="1">
      <c r="A956" s="29" t="s">
        <v>226</v>
      </c>
      <c r="B956" s="29">
        <v>133.0</v>
      </c>
      <c r="C956" s="29" t="s">
        <v>608</v>
      </c>
      <c r="D956" s="29" t="s">
        <v>693</v>
      </c>
      <c r="E956" s="29">
        <v>209.0</v>
      </c>
      <c r="F956" s="30" t="s">
        <v>694</v>
      </c>
      <c r="G956" s="29" t="s">
        <v>695</v>
      </c>
      <c r="H956" s="31">
        <v>5.52</v>
      </c>
      <c r="I956" s="29" t="s">
        <v>620</v>
      </c>
      <c r="J956" s="32" t="s">
        <v>642</v>
      </c>
      <c r="K956" s="29" t="s">
        <v>599</v>
      </c>
      <c r="L956" s="29" t="s">
        <v>915</v>
      </c>
      <c r="M956" s="36">
        <v>-77.127</v>
      </c>
      <c r="N956" s="36">
        <v>-1.004</v>
      </c>
      <c r="O956" s="34" t="s">
        <v>641</v>
      </c>
      <c r="P956" s="32" t="s">
        <v>602</v>
      </c>
      <c r="Q956" s="29">
        <v>23.0</v>
      </c>
      <c r="R956" s="29">
        <v>26.0</v>
      </c>
      <c r="S956" s="36">
        <v>0.12318840579710147</v>
      </c>
      <c r="T956" s="36">
        <v>0.2481884057971015</v>
      </c>
      <c r="U956" s="36">
        <f t="shared" ref="U956:V956" si="228">SQRT(S956)</f>
        <v>0.3509820591</v>
      </c>
      <c r="V956" s="36">
        <f t="shared" si="228"/>
        <v>0.498185112</v>
      </c>
      <c r="W956" s="37" t="s">
        <v>1133</v>
      </c>
      <c r="X956" s="31">
        <v>3.8</v>
      </c>
      <c r="Y956" s="36">
        <v>-0.6999535657366974</v>
      </c>
      <c r="Z956" s="36">
        <v>0.5079102949433563</v>
      </c>
      <c r="AA956" s="29" t="s">
        <v>820</v>
      </c>
      <c r="AB956" s="31">
        <v>1.542</v>
      </c>
      <c r="AC956" s="35">
        <v>1484.0</v>
      </c>
    </row>
    <row r="957" ht="14.25" customHeight="1">
      <c r="A957" s="29" t="s">
        <v>226</v>
      </c>
      <c r="B957" s="29">
        <v>133.0</v>
      </c>
      <c r="C957" s="29" t="s">
        <v>608</v>
      </c>
      <c r="D957" s="29" t="s">
        <v>663</v>
      </c>
      <c r="E957" s="29">
        <v>189.0</v>
      </c>
      <c r="F957" s="30" t="s">
        <v>637</v>
      </c>
      <c r="G957" s="29" t="s">
        <v>638</v>
      </c>
      <c r="H957" s="31">
        <v>207.5</v>
      </c>
      <c r="I957" s="29" t="s">
        <v>612</v>
      </c>
      <c r="J957" s="32" t="s">
        <v>642</v>
      </c>
      <c r="K957" s="29" t="s">
        <v>599</v>
      </c>
      <c r="L957" s="29" t="s">
        <v>915</v>
      </c>
      <c r="M957" s="36">
        <v>-77.127</v>
      </c>
      <c r="N957" s="36">
        <v>-1.004</v>
      </c>
      <c r="O957" s="34" t="s">
        <v>641</v>
      </c>
      <c r="P957" s="32" t="s">
        <v>602</v>
      </c>
      <c r="Q957" s="29">
        <v>23.0</v>
      </c>
      <c r="R957" s="29">
        <v>26.0</v>
      </c>
      <c r="S957" s="36">
        <v>0.2876144578313253</v>
      </c>
      <c r="T957" s="36">
        <v>1.4969156626506024</v>
      </c>
      <c r="U957" s="36">
        <f t="shared" ref="U957:V957" si="229">SQRT(S957)</f>
        <v>0.5362969866</v>
      </c>
      <c r="V957" s="36">
        <f t="shared" si="229"/>
        <v>1.223485048</v>
      </c>
      <c r="W957" s="37" t="s">
        <v>1133</v>
      </c>
      <c r="X957" s="31">
        <v>3.8</v>
      </c>
      <c r="Y957" s="36">
        <v>-1.6481992769902263</v>
      </c>
      <c r="Z957" s="36">
        <v>0.17686240910477807</v>
      </c>
      <c r="AA957" s="29" t="s">
        <v>820</v>
      </c>
      <c r="AB957" s="31">
        <v>1.542</v>
      </c>
      <c r="AC957" s="35">
        <v>1484.0</v>
      </c>
    </row>
    <row r="958" ht="14.25" customHeight="1">
      <c r="A958" s="29" t="s">
        <v>226</v>
      </c>
      <c r="B958" s="29">
        <v>133.0</v>
      </c>
      <c r="C958" s="29" t="s">
        <v>608</v>
      </c>
      <c r="D958" s="29" t="s">
        <v>639</v>
      </c>
      <c r="E958" s="29">
        <v>190.0</v>
      </c>
      <c r="F958" s="30" t="s">
        <v>640</v>
      </c>
      <c r="G958" s="29" t="s">
        <v>626</v>
      </c>
      <c r="H958" s="31">
        <v>32.23</v>
      </c>
      <c r="I958" s="29" t="s">
        <v>597</v>
      </c>
      <c r="J958" s="32" t="s">
        <v>642</v>
      </c>
      <c r="K958" s="29" t="s">
        <v>599</v>
      </c>
      <c r="L958" s="29" t="s">
        <v>915</v>
      </c>
      <c r="M958" s="36">
        <v>-77.127</v>
      </c>
      <c r="N958" s="36">
        <v>-1.004</v>
      </c>
      <c r="O958" s="34" t="s">
        <v>641</v>
      </c>
      <c r="P958" s="32" t="s">
        <v>602</v>
      </c>
      <c r="Q958" s="29">
        <v>23.0</v>
      </c>
      <c r="R958" s="29">
        <v>26.0</v>
      </c>
      <c r="S958" s="36">
        <v>0.0</v>
      </c>
      <c r="T958" s="36">
        <v>6.1740614334471</v>
      </c>
      <c r="U958" s="36">
        <f t="shared" ref="U958:V958" si="230">SQRT(S958)</f>
        <v>0</v>
      </c>
      <c r="V958" s="36">
        <f t="shared" si="230"/>
        <v>2.484765871</v>
      </c>
      <c r="W958" s="37" t="s">
        <v>1133</v>
      </c>
      <c r="X958" s="31">
        <v>3.8</v>
      </c>
      <c r="Y958" s="36">
        <v>-8.262558973010657</v>
      </c>
      <c r="Z958" s="36">
        <v>0.05117074825035471</v>
      </c>
      <c r="AA958" s="29" t="s">
        <v>820</v>
      </c>
      <c r="AB958" s="31">
        <v>1.542</v>
      </c>
      <c r="AC958" s="35">
        <v>1484.0</v>
      </c>
    </row>
    <row r="959" ht="14.25" customHeight="1">
      <c r="A959" s="29" t="s">
        <v>226</v>
      </c>
      <c r="B959" s="29">
        <v>133.0</v>
      </c>
      <c r="C959" s="29" t="s">
        <v>593</v>
      </c>
      <c r="D959" s="29" t="s">
        <v>913</v>
      </c>
      <c r="E959" s="29">
        <v>230.0</v>
      </c>
      <c r="F959" s="30" t="s">
        <v>914</v>
      </c>
      <c r="G959" s="29" t="s">
        <v>607</v>
      </c>
      <c r="H959" s="31">
        <v>3.1</v>
      </c>
      <c r="I959" s="29" t="s">
        <v>597</v>
      </c>
      <c r="J959" s="32" t="s">
        <v>642</v>
      </c>
      <c r="K959" s="29" t="s">
        <v>599</v>
      </c>
      <c r="L959" s="29" t="s">
        <v>915</v>
      </c>
      <c r="M959" s="36">
        <v>-76.441</v>
      </c>
      <c r="N959" s="36">
        <v>-0.65</v>
      </c>
      <c r="O959" s="34" t="s">
        <v>601</v>
      </c>
      <c r="P959" s="32" t="s">
        <v>602</v>
      </c>
      <c r="Q959" s="29">
        <v>26.0</v>
      </c>
      <c r="R959" s="29">
        <v>26.0</v>
      </c>
      <c r="S959" s="36">
        <v>0.6193548387096773</v>
      </c>
      <c r="T959" s="36">
        <v>6.3032258064516125</v>
      </c>
      <c r="U959" s="36">
        <f t="shared" ref="U959:V959" si="231">SQRT(S959)</f>
        <v>0.7869910029</v>
      </c>
      <c r="V959" s="36">
        <f t="shared" si="231"/>
        <v>2.510622593</v>
      </c>
      <c r="W959" s="37" t="s">
        <v>1133</v>
      </c>
      <c r="X959" s="31">
        <v>3.9</v>
      </c>
      <c r="Y959" s="36">
        <v>-2.30697408190527</v>
      </c>
      <c r="Z959" s="36">
        <v>0.06820124071595415</v>
      </c>
      <c r="AA959" s="29" t="s">
        <v>820</v>
      </c>
      <c r="AB959" s="31">
        <v>3.814941</v>
      </c>
      <c r="AC959" s="35">
        <v>1701.0</v>
      </c>
    </row>
    <row r="960" ht="14.25" customHeight="1">
      <c r="A960" s="29" t="s">
        <v>226</v>
      </c>
      <c r="B960" s="29">
        <v>133.0</v>
      </c>
      <c r="C960" s="29" t="s">
        <v>593</v>
      </c>
      <c r="D960" s="29" t="s">
        <v>1134</v>
      </c>
      <c r="E960" s="29">
        <v>231.0</v>
      </c>
      <c r="F960" s="30" t="s">
        <v>1135</v>
      </c>
      <c r="G960" s="29" t="s">
        <v>607</v>
      </c>
      <c r="H960" s="31">
        <v>1.7</v>
      </c>
      <c r="I960" s="29" t="s">
        <v>597</v>
      </c>
      <c r="J960" s="32" t="s">
        <v>642</v>
      </c>
      <c r="K960" s="29" t="s">
        <v>599</v>
      </c>
      <c r="L960" s="29" t="s">
        <v>915</v>
      </c>
      <c r="M960" s="36">
        <v>-76.441</v>
      </c>
      <c r="N960" s="36">
        <v>-0.65</v>
      </c>
      <c r="O960" s="34" t="s">
        <v>601</v>
      </c>
      <c r="P960" s="32" t="s">
        <v>602</v>
      </c>
      <c r="Q960" s="29">
        <v>26.0</v>
      </c>
      <c r="R960" s="29">
        <v>26.0</v>
      </c>
      <c r="S960" s="36">
        <v>0.12941176470588237</v>
      </c>
      <c r="T960" s="36">
        <v>0.12941176470588237</v>
      </c>
      <c r="U960" s="36">
        <f t="shared" ref="U960:V960" si="232">SQRT(S960)</f>
        <v>0.3597384671</v>
      </c>
      <c r="V960" s="36">
        <f t="shared" si="232"/>
        <v>0.3597384671</v>
      </c>
      <c r="W960" s="37" t="s">
        <v>1133</v>
      </c>
      <c r="X960" s="31">
        <v>3.9</v>
      </c>
      <c r="Y960" s="36">
        <v>0.001301236357971734</v>
      </c>
      <c r="Z960" s="36">
        <v>0.5944055944055942</v>
      </c>
      <c r="AA960" s="29" t="s">
        <v>820</v>
      </c>
      <c r="AB960" s="31">
        <v>3.814941</v>
      </c>
      <c r="AC960" s="35">
        <v>1701.0</v>
      </c>
    </row>
    <row r="961" ht="14.25" customHeight="1">
      <c r="A961" s="29" t="s">
        <v>226</v>
      </c>
      <c r="B961" s="29">
        <v>133.0</v>
      </c>
      <c r="C961" s="29" t="s">
        <v>593</v>
      </c>
      <c r="D961" s="29" t="s">
        <v>1112</v>
      </c>
      <c r="E961" s="29">
        <v>130.0</v>
      </c>
      <c r="F961" s="30" t="s">
        <v>867</v>
      </c>
      <c r="G961" s="29" t="s">
        <v>607</v>
      </c>
      <c r="H961" s="31">
        <v>1.49</v>
      </c>
      <c r="I961" s="29" t="s">
        <v>597</v>
      </c>
      <c r="J961" s="32" t="s">
        <v>642</v>
      </c>
      <c r="K961" s="29" t="s">
        <v>599</v>
      </c>
      <c r="L961" s="29" t="s">
        <v>915</v>
      </c>
      <c r="M961" s="36">
        <v>-76.441</v>
      </c>
      <c r="N961" s="36">
        <v>-0.65</v>
      </c>
      <c r="O961" s="34" t="s">
        <v>601</v>
      </c>
      <c r="P961" s="32" t="s">
        <v>602</v>
      </c>
      <c r="Q961" s="29">
        <v>26.0</v>
      </c>
      <c r="R961" s="29">
        <v>26.0</v>
      </c>
      <c r="S961" s="36">
        <v>0.3422818791946309</v>
      </c>
      <c r="T961" s="36">
        <v>0.026845637583892617</v>
      </c>
      <c r="U961" s="36">
        <f t="shared" ref="U961:V961" si="233">SQRT(S961)</f>
        <v>0.5850486127</v>
      </c>
      <c r="V961" s="36">
        <f t="shared" si="233"/>
        <v>0.1638463841</v>
      </c>
      <c r="W961" s="37" t="s">
        <v>1133</v>
      </c>
      <c r="X961" s="31">
        <v>3.9</v>
      </c>
      <c r="Y961" s="36">
        <v>2.5456333905731223</v>
      </c>
      <c r="Z961" s="36">
        <v>1.5450603318250375</v>
      </c>
      <c r="AA961" s="29" t="s">
        <v>820</v>
      </c>
      <c r="AB961" s="31">
        <v>3.814941</v>
      </c>
      <c r="AC961" s="35">
        <v>1701.0</v>
      </c>
    </row>
    <row r="962" ht="14.25" customHeight="1">
      <c r="A962" s="29" t="s">
        <v>226</v>
      </c>
      <c r="B962" s="29">
        <v>133.0</v>
      </c>
      <c r="C962" s="29" t="s">
        <v>593</v>
      </c>
      <c r="D962" s="35" t="s">
        <v>1136</v>
      </c>
      <c r="E962" s="29">
        <v>153.0</v>
      </c>
      <c r="F962" s="30" t="s">
        <v>1137</v>
      </c>
      <c r="G962" s="29" t="s">
        <v>877</v>
      </c>
      <c r="H962" s="31">
        <v>1.03</v>
      </c>
      <c r="I962" s="29" t="s">
        <v>597</v>
      </c>
      <c r="J962" s="32" t="s">
        <v>642</v>
      </c>
      <c r="K962" s="29" t="s">
        <v>599</v>
      </c>
      <c r="L962" s="29" t="s">
        <v>915</v>
      </c>
      <c r="M962" s="36">
        <v>-76.441</v>
      </c>
      <c r="N962" s="36">
        <v>-0.65</v>
      </c>
      <c r="O962" s="34" t="s">
        <v>601</v>
      </c>
      <c r="P962" s="32" t="s">
        <v>602</v>
      </c>
      <c r="Q962" s="29">
        <v>26.0</v>
      </c>
      <c r="R962" s="29">
        <v>26.0</v>
      </c>
      <c r="S962" s="36">
        <v>15.45631067961165</v>
      </c>
      <c r="T962" s="36">
        <v>12.873786407766989</v>
      </c>
      <c r="U962" s="36">
        <f t="shared" ref="U962:V962" si="234">SQRT(S962)</f>
        <v>3.931451472</v>
      </c>
      <c r="V962" s="36">
        <f t="shared" si="234"/>
        <v>3.58800591</v>
      </c>
      <c r="W962" s="37" t="s">
        <v>1133</v>
      </c>
      <c r="X962" s="31">
        <v>3.9</v>
      </c>
      <c r="Y962" s="36">
        <v>0.18390813217044305</v>
      </c>
      <c r="Z962" s="36">
        <v>0.005475989123013839</v>
      </c>
      <c r="AA962" s="29" t="s">
        <v>820</v>
      </c>
      <c r="AB962" s="31">
        <v>3.814941</v>
      </c>
      <c r="AC962" s="35">
        <v>1701.0</v>
      </c>
    </row>
    <row r="963" ht="14.25" customHeight="1">
      <c r="A963" s="29" t="s">
        <v>226</v>
      </c>
      <c r="B963" s="29">
        <v>133.0</v>
      </c>
      <c r="C963" s="29" t="s">
        <v>608</v>
      </c>
      <c r="D963" s="29" t="s">
        <v>1138</v>
      </c>
      <c r="E963" s="29">
        <v>241.0</v>
      </c>
      <c r="F963" s="30" t="s">
        <v>1139</v>
      </c>
      <c r="G963" s="29" t="s">
        <v>629</v>
      </c>
      <c r="H963" s="31">
        <v>7.75</v>
      </c>
      <c r="I963" s="29" t="s">
        <v>657</v>
      </c>
      <c r="J963" s="32" t="s">
        <v>642</v>
      </c>
      <c r="K963" s="29" t="s">
        <v>599</v>
      </c>
      <c r="L963" s="29" t="s">
        <v>915</v>
      </c>
      <c r="M963" s="36">
        <v>-76.441</v>
      </c>
      <c r="N963" s="36">
        <v>-0.65</v>
      </c>
      <c r="O963" s="34" t="s">
        <v>601</v>
      </c>
      <c r="P963" s="32" t="s">
        <v>602</v>
      </c>
      <c r="Q963" s="29">
        <v>26.0</v>
      </c>
      <c r="R963" s="29">
        <v>26.0</v>
      </c>
      <c r="S963" s="36">
        <v>0.3870967741935484</v>
      </c>
      <c r="T963" s="36">
        <v>0.48258064516129034</v>
      </c>
      <c r="U963" s="36">
        <f t="shared" ref="U963:V963" si="235">SQRT(S963)</f>
        <v>0.6221710168</v>
      </c>
      <c r="V963" s="36">
        <f t="shared" si="235"/>
        <v>0.6946802467</v>
      </c>
      <c r="W963" s="37" t="s">
        <v>1133</v>
      </c>
      <c r="X963" s="31">
        <v>3.9</v>
      </c>
      <c r="Y963" s="36">
        <v>-0.22015173704565894</v>
      </c>
      <c r="Z963" s="36">
        <v>0.1790586864116276</v>
      </c>
      <c r="AA963" s="29" t="s">
        <v>820</v>
      </c>
      <c r="AB963" s="31">
        <v>3.814941</v>
      </c>
      <c r="AC963" s="35">
        <v>1701.0</v>
      </c>
    </row>
    <row r="964" ht="14.25" customHeight="1">
      <c r="A964" s="29" t="s">
        <v>226</v>
      </c>
      <c r="B964" s="29">
        <v>133.0</v>
      </c>
      <c r="C964" s="29" t="s">
        <v>608</v>
      </c>
      <c r="D964" s="29" t="s">
        <v>650</v>
      </c>
      <c r="E964" s="29">
        <v>70.0</v>
      </c>
      <c r="F964" s="30" t="s">
        <v>651</v>
      </c>
      <c r="G964" s="29" t="s">
        <v>615</v>
      </c>
      <c r="H964" s="31">
        <v>8.17</v>
      </c>
      <c r="I964" s="29" t="s">
        <v>616</v>
      </c>
      <c r="J964" s="32" t="s">
        <v>642</v>
      </c>
      <c r="K964" s="29" t="s">
        <v>599</v>
      </c>
      <c r="L964" s="29" t="s">
        <v>915</v>
      </c>
      <c r="M964" s="36">
        <v>-76.441</v>
      </c>
      <c r="N964" s="36">
        <v>-0.65</v>
      </c>
      <c r="O964" s="34" t="s">
        <v>601</v>
      </c>
      <c r="P964" s="32" t="s">
        <v>602</v>
      </c>
      <c r="Q964" s="29">
        <v>26.0</v>
      </c>
      <c r="R964" s="29">
        <v>26.0</v>
      </c>
      <c r="S964" s="36">
        <v>1.3794369645042839</v>
      </c>
      <c r="T964" s="36">
        <v>1.1860465116279069</v>
      </c>
      <c r="U964" s="36">
        <f t="shared" ref="U964:V964" si="236">SQRT(S964)</f>
        <v>1.174494344</v>
      </c>
      <c r="V964" s="36">
        <f t="shared" si="236"/>
        <v>1.089057625</v>
      </c>
      <c r="W964" s="37" t="s">
        <v>1133</v>
      </c>
      <c r="X964" s="31">
        <v>3.9</v>
      </c>
      <c r="Y964" s="36">
        <v>0.15127170541042742</v>
      </c>
      <c r="Z964" s="36">
        <v>0.06031041179013411</v>
      </c>
      <c r="AA964" s="29" t="s">
        <v>820</v>
      </c>
      <c r="AB964" s="31">
        <v>3.814941</v>
      </c>
      <c r="AC964" s="35">
        <v>1701.0</v>
      </c>
    </row>
    <row r="965" ht="14.25" customHeight="1">
      <c r="A965" s="29" t="s">
        <v>226</v>
      </c>
      <c r="B965" s="29">
        <v>133.0</v>
      </c>
      <c r="C965" s="29" t="s">
        <v>608</v>
      </c>
      <c r="D965" s="29" t="s">
        <v>923</v>
      </c>
      <c r="E965" s="29">
        <v>229.0</v>
      </c>
      <c r="F965" s="30" t="s">
        <v>924</v>
      </c>
      <c r="G965" s="29" t="s">
        <v>615</v>
      </c>
      <c r="H965" s="31">
        <v>3.5</v>
      </c>
      <c r="I965" s="29" t="s">
        <v>616</v>
      </c>
      <c r="J965" s="32" t="s">
        <v>642</v>
      </c>
      <c r="K965" s="29" t="s">
        <v>599</v>
      </c>
      <c r="L965" s="29" t="s">
        <v>915</v>
      </c>
      <c r="M965" s="36">
        <v>-76.441</v>
      </c>
      <c r="N965" s="36">
        <v>-0.65</v>
      </c>
      <c r="O965" s="34" t="s">
        <v>601</v>
      </c>
      <c r="P965" s="32" t="s">
        <v>602</v>
      </c>
      <c r="Q965" s="29">
        <v>26.0</v>
      </c>
      <c r="R965" s="29">
        <v>26.0</v>
      </c>
      <c r="S965" s="36">
        <v>6.468571428571429</v>
      </c>
      <c r="T965" s="36">
        <v>9.131428571428572</v>
      </c>
      <c r="U965" s="36">
        <f t="shared" ref="U965:V965" si="237">SQRT(S965)</f>
        <v>2.543338638</v>
      </c>
      <c r="V965" s="36">
        <f t="shared" si="237"/>
        <v>3.021825371</v>
      </c>
      <c r="W965" s="37" t="s">
        <v>1133</v>
      </c>
      <c r="X965" s="31">
        <v>3.9</v>
      </c>
      <c r="Y965" s="36">
        <v>-0.34440272830291924</v>
      </c>
      <c r="Z965" s="36">
        <v>0.010157904978396137</v>
      </c>
      <c r="AA965" s="29" t="s">
        <v>820</v>
      </c>
      <c r="AB965" s="31">
        <v>3.814941</v>
      </c>
      <c r="AC965" s="35">
        <v>1701.0</v>
      </c>
    </row>
    <row r="966" ht="14.25" customHeight="1">
      <c r="A966" s="29" t="s">
        <v>226</v>
      </c>
      <c r="B966" s="29">
        <v>133.0</v>
      </c>
      <c r="C966" s="29" t="s">
        <v>608</v>
      </c>
      <c r="D966" s="29" t="s">
        <v>617</v>
      </c>
      <c r="E966" s="29">
        <v>75.0</v>
      </c>
      <c r="F966" s="30" t="s">
        <v>618</v>
      </c>
      <c r="G966" s="29" t="s">
        <v>619</v>
      </c>
      <c r="H966" s="31">
        <v>4.2</v>
      </c>
      <c r="I966" s="29" t="s">
        <v>620</v>
      </c>
      <c r="J966" s="32" t="s">
        <v>642</v>
      </c>
      <c r="K966" s="29" t="s">
        <v>599</v>
      </c>
      <c r="L966" s="29" t="s">
        <v>915</v>
      </c>
      <c r="M966" s="36">
        <v>-76.441</v>
      </c>
      <c r="N966" s="36">
        <v>-0.65</v>
      </c>
      <c r="O966" s="34" t="s">
        <v>601</v>
      </c>
      <c r="P966" s="32" t="s">
        <v>602</v>
      </c>
      <c r="Q966" s="29">
        <v>26.0</v>
      </c>
      <c r="R966" s="29">
        <v>26.0</v>
      </c>
      <c r="S966" s="36">
        <v>2.5142857142857142</v>
      </c>
      <c r="T966" s="36">
        <v>1.0714285714285714</v>
      </c>
      <c r="U966" s="36">
        <f t="shared" ref="U966:V966" si="238">SQRT(S966)</f>
        <v>1.585649934</v>
      </c>
      <c r="V966" s="36">
        <f t="shared" si="238"/>
        <v>1.035098339</v>
      </c>
      <c r="W966" s="37" t="s">
        <v>1133</v>
      </c>
      <c r="X966" s="31">
        <v>3.9</v>
      </c>
      <c r="Y966" s="36">
        <v>0.8531058177609091</v>
      </c>
      <c r="Z966" s="36">
        <v>0.051194638694638694</v>
      </c>
      <c r="AA966" s="29" t="s">
        <v>820</v>
      </c>
      <c r="AB966" s="31">
        <v>3.814941</v>
      </c>
      <c r="AC966" s="35">
        <v>1701.0</v>
      </c>
    </row>
    <row r="967" ht="14.25" customHeight="1">
      <c r="A967" s="29" t="s">
        <v>226</v>
      </c>
      <c r="B967" s="29">
        <v>133.0</v>
      </c>
      <c r="C967" s="29" t="s">
        <v>608</v>
      </c>
      <c r="D967" s="29" t="s">
        <v>973</v>
      </c>
      <c r="E967" s="29">
        <v>243.0</v>
      </c>
      <c r="F967" s="30" t="s">
        <v>974</v>
      </c>
      <c r="G967" s="29" t="s">
        <v>656</v>
      </c>
      <c r="H967" s="31">
        <v>1.09</v>
      </c>
      <c r="I967" s="29" t="s">
        <v>657</v>
      </c>
      <c r="J967" s="32" t="s">
        <v>642</v>
      </c>
      <c r="K967" s="29" t="s">
        <v>599</v>
      </c>
      <c r="L967" s="29" t="s">
        <v>915</v>
      </c>
      <c r="M967" s="36">
        <v>-76.441</v>
      </c>
      <c r="N967" s="36">
        <v>-0.65</v>
      </c>
      <c r="O967" s="34" t="s">
        <v>601</v>
      </c>
      <c r="P967" s="32" t="s">
        <v>602</v>
      </c>
      <c r="Q967" s="29">
        <v>26.0</v>
      </c>
      <c r="R967" s="29">
        <v>26.0</v>
      </c>
      <c r="S967" s="36">
        <v>1.201834862385321</v>
      </c>
      <c r="T967" s="36">
        <v>0.7614678899082568</v>
      </c>
      <c r="U967" s="36">
        <f t="shared" ref="U967:V967" si="239">SQRT(S967)</f>
        <v>1.096282291</v>
      </c>
      <c r="V967" s="36">
        <f t="shared" si="239"/>
        <v>0.8726212752</v>
      </c>
      <c r="W967" s="37" t="s">
        <v>1133</v>
      </c>
      <c r="X967" s="31">
        <v>3.9</v>
      </c>
      <c r="Y967" s="36">
        <v>0.4565201663868544</v>
      </c>
      <c r="Z967" s="36">
        <v>0.08251208002886473</v>
      </c>
      <c r="AA967" s="29" t="s">
        <v>820</v>
      </c>
      <c r="AB967" s="31">
        <v>3.814941</v>
      </c>
      <c r="AC967" s="35">
        <v>1701.0</v>
      </c>
    </row>
    <row r="968" ht="14.25" customHeight="1">
      <c r="A968" s="29" t="s">
        <v>226</v>
      </c>
      <c r="B968" s="29">
        <v>133.0</v>
      </c>
      <c r="C968" s="29" t="s">
        <v>608</v>
      </c>
      <c r="D968" s="29" t="s">
        <v>675</v>
      </c>
      <c r="E968" s="29">
        <v>204.0</v>
      </c>
      <c r="F968" s="30" t="s">
        <v>676</v>
      </c>
      <c r="G968" s="29" t="s">
        <v>629</v>
      </c>
      <c r="H968" s="31">
        <v>3.91</v>
      </c>
      <c r="I968" s="29" t="s">
        <v>657</v>
      </c>
      <c r="J968" s="32" t="s">
        <v>642</v>
      </c>
      <c r="K968" s="29" t="s">
        <v>599</v>
      </c>
      <c r="L968" s="29" t="s">
        <v>915</v>
      </c>
      <c r="M968" s="36">
        <v>-76.441</v>
      </c>
      <c r="N968" s="36">
        <v>-0.65</v>
      </c>
      <c r="O968" s="34" t="s">
        <v>601</v>
      </c>
      <c r="P968" s="32" t="s">
        <v>602</v>
      </c>
      <c r="Q968" s="29">
        <v>26.0</v>
      </c>
      <c r="R968" s="29">
        <v>26.0</v>
      </c>
      <c r="S968" s="36">
        <v>0.38107416879795397</v>
      </c>
      <c r="T968" s="36">
        <v>0.3452685421994885</v>
      </c>
      <c r="U968" s="36">
        <f t="shared" ref="U968:V968" si="240">SQRT(S968)</f>
        <v>0.6173120514</v>
      </c>
      <c r="V968" s="36">
        <f t="shared" si="240"/>
        <v>0.5875955601</v>
      </c>
      <c r="W968" s="37" t="s">
        <v>1133</v>
      </c>
      <c r="X968" s="31">
        <v>3.9</v>
      </c>
      <c r="Y968" s="36">
        <v>0.09890525670944092</v>
      </c>
      <c r="Z968" s="36">
        <v>0.21232528346622304</v>
      </c>
      <c r="AA968" s="29" t="s">
        <v>820</v>
      </c>
      <c r="AB968" s="31">
        <v>3.814941</v>
      </c>
      <c r="AC968" s="35">
        <v>1701.0</v>
      </c>
    </row>
    <row r="969" ht="14.25" customHeight="1">
      <c r="A969" s="29" t="s">
        <v>226</v>
      </c>
      <c r="B969" s="29">
        <v>133.0</v>
      </c>
      <c r="C969" s="29" t="s">
        <v>608</v>
      </c>
      <c r="D969" s="29" t="s">
        <v>963</v>
      </c>
      <c r="E969" s="29">
        <v>92.0</v>
      </c>
      <c r="F969" s="30" t="s">
        <v>964</v>
      </c>
      <c r="G969" s="29" t="s">
        <v>629</v>
      </c>
      <c r="H969" s="31">
        <v>11.9</v>
      </c>
      <c r="I969" s="29" t="s">
        <v>657</v>
      </c>
      <c r="J969" s="32" t="s">
        <v>642</v>
      </c>
      <c r="K969" s="29" t="s">
        <v>599</v>
      </c>
      <c r="L969" s="29" t="s">
        <v>915</v>
      </c>
      <c r="M969" s="36">
        <v>-76.441</v>
      </c>
      <c r="N969" s="36">
        <v>-0.65</v>
      </c>
      <c r="O969" s="34" t="s">
        <v>601</v>
      </c>
      <c r="P969" s="32" t="s">
        <v>602</v>
      </c>
      <c r="Q969" s="29">
        <v>26.0</v>
      </c>
      <c r="R969" s="29">
        <v>26.0</v>
      </c>
      <c r="S969" s="36">
        <v>4.142857142857142</v>
      </c>
      <c r="T969" s="36">
        <v>4.792436974789916</v>
      </c>
      <c r="U969" s="36">
        <f t="shared" ref="U969:V969" si="241">SQRT(S969)</f>
        <v>2.035400978</v>
      </c>
      <c r="V969" s="36">
        <f t="shared" si="241"/>
        <v>2.189163533</v>
      </c>
      <c r="W969" s="37" t="s">
        <v>1133</v>
      </c>
      <c r="X969" s="31">
        <v>3.9</v>
      </c>
      <c r="Y969" s="36">
        <v>-0.14535495789096062</v>
      </c>
      <c r="Z969" s="36">
        <v>0.01730928530797928</v>
      </c>
      <c r="AA969" s="29" t="s">
        <v>820</v>
      </c>
      <c r="AB969" s="31">
        <v>3.814941</v>
      </c>
      <c r="AC969" s="35">
        <v>1701.0</v>
      </c>
    </row>
    <row r="970" ht="14.25" customHeight="1">
      <c r="A970" s="29" t="s">
        <v>226</v>
      </c>
      <c r="B970" s="29">
        <v>133.0</v>
      </c>
      <c r="C970" s="29" t="s">
        <v>608</v>
      </c>
      <c r="D970" s="29" t="s">
        <v>975</v>
      </c>
      <c r="E970" s="29">
        <v>206.0</v>
      </c>
      <c r="F970" s="30" t="s">
        <v>976</v>
      </c>
      <c r="G970" s="29" t="s">
        <v>629</v>
      </c>
      <c r="H970" s="31">
        <v>3.25</v>
      </c>
      <c r="I970" s="29" t="s">
        <v>657</v>
      </c>
      <c r="J970" s="32" t="s">
        <v>642</v>
      </c>
      <c r="K970" s="29" t="s">
        <v>599</v>
      </c>
      <c r="L970" s="29" t="s">
        <v>915</v>
      </c>
      <c r="M970" s="36">
        <v>-76.441</v>
      </c>
      <c r="N970" s="36">
        <v>-0.65</v>
      </c>
      <c r="O970" s="34" t="s">
        <v>601</v>
      </c>
      <c r="P970" s="32" t="s">
        <v>602</v>
      </c>
      <c r="Q970" s="29">
        <v>26.0</v>
      </c>
      <c r="R970" s="29">
        <v>26.0</v>
      </c>
      <c r="S970" s="36">
        <v>0.12000000000000001</v>
      </c>
      <c r="T970" s="36">
        <v>0.12307692307692308</v>
      </c>
      <c r="U970" s="36">
        <f t="shared" ref="U970:V970" si="242">SQRT(S970)</f>
        <v>0.3464101615</v>
      </c>
      <c r="V970" s="36">
        <f t="shared" si="242"/>
        <v>0.3508232077</v>
      </c>
      <c r="W970" s="37" t="s">
        <v>1133</v>
      </c>
      <c r="X970" s="31">
        <v>3.9</v>
      </c>
      <c r="Y970" s="36">
        <v>-0.025053229720496475</v>
      </c>
      <c r="Z970" s="36">
        <v>0.6330128205128204</v>
      </c>
      <c r="AA970" s="29" t="s">
        <v>820</v>
      </c>
      <c r="AB970" s="31">
        <v>3.814941</v>
      </c>
      <c r="AC970" s="35">
        <v>1701.0</v>
      </c>
    </row>
    <row r="971" ht="14.25" customHeight="1">
      <c r="A971" s="29" t="s">
        <v>226</v>
      </c>
      <c r="B971" s="29">
        <v>133.0</v>
      </c>
      <c r="C971" s="29" t="s">
        <v>608</v>
      </c>
      <c r="D971" s="29" t="s">
        <v>677</v>
      </c>
      <c r="E971" s="29">
        <v>100.0</v>
      </c>
      <c r="F971" s="30" t="s">
        <v>678</v>
      </c>
      <c r="G971" s="29" t="s">
        <v>626</v>
      </c>
      <c r="H971" s="31">
        <v>22.8</v>
      </c>
      <c r="I971" s="29" t="s">
        <v>612</v>
      </c>
      <c r="J971" s="32" t="s">
        <v>642</v>
      </c>
      <c r="K971" s="29" t="s">
        <v>599</v>
      </c>
      <c r="L971" s="29" t="s">
        <v>915</v>
      </c>
      <c r="M971" s="36">
        <v>-76.441</v>
      </c>
      <c r="N971" s="36">
        <v>-0.65</v>
      </c>
      <c r="O971" s="34" t="s">
        <v>601</v>
      </c>
      <c r="P971" s="32" t="s">
        <v>602</v>
      </c>
      <c r="Q971" s="29">
        <v>26.0</v>
      </c>
      <c r="R971" s="29">
        <v>26.0</v>
      </c>
      <c r="S971" s="36">
        <v>1.4789473684210526</v>
      </c>
      <c r="T971" s="36">
        <v>5.14780701754386</v>
      </c>
      <c r="U971" s="36">
        <f t="shared" ref="U971:V971" si="243">SQRT(S971)</f>
        <v>1.2161198</v>
      </c>
      <c r="V971" s="36">
        <f t="shared" si="243"/>
        <v>2.26887792</v>
      </c>
      <c r="W971" s="37" t="s">
        <v>1133</v>
      </c>
      <c r="X971" s="31">
        <v>3.9</v>
      </c>
      <c r="Y971" s="36">
        <v>-1.2463425884504225</v>
      </c>
      <c r="Z971" s="36">
        <v>0.033477463845642826</v>
      </c>
      <c r="AA971" s="29" t="s">
        <v>820</v>
      </c>
      <c r="AB971" s="31">
        <v>3.814941</v>
      </c>
      <c r="AC971" s="35">
        <v>1701.0</v>
      </c>
    </row>
    <row r="972" ht="14.25" customHeight="1">
      <c r="A972" s="29" t="s">
        <v>226</v>
      </c>
      <c r="B972" s="29">
        <v>133.0</v>
      </c>
      <c r="C972" s="29" t="s">
        <v>608</v>
      </c>
      <c r="D972" s="29" t="s">
        <v>821</v>
      </c>
      <c r="E972" s="29">
        <v>103.0</v>
      </c>
      <c r="F972" s="30" t="s">
        <v>822</v>
      </c>
      <c r="G972" s="29" t="s">
        <v>626</v>
      </c>
      <c r="H972" s="31">
        <v>16.63</v>
      </c>
      <c r="I972" s="29" t="s">
        <v>616</v>
      </c>
      <c r="J972" s="32" t="s">
        <v>642</v>
      </c>
      <c r="K972" s="29" t="s">
        <v>599</v>
      </c>
      <c r="L972" s="29" t="s">
        <v>915</v>
      </c>
      <c r="M972" s="36">
        <v>-76.441</v>
      </c>
      <c r="N972" s="36">
        <v>-0.65</v>
      </c>
      <c r="O972" s="34" t="s">
        <v>601</v>
      </c>
      <c r="P972" s="32" t="s">
        <v>602</v>
      </c>
      <c r="Q972" s="29">
        <v>26.0</v>
      </c>
      <c r="R972" s="29">
        <v>26.0</v>
      </c>
      <c r="S972" s="36">
        <v>0.6007215874924835</v>
      </c>
      <c r="T972" s="36">
        <v>0.6482260974143115</v>
      </c>
      <c r="U972" s="36">
        <f t="shared" ref="U972:V972" si="244">SQRT(S972)</f>
        <v>0.775062312</v>
      </c>
      <c r="V972" s="36">
        <f t="shared" si="244"/>
        <v>0.8051248955</v>
      </c>
      <c r="W972" s="37" t="s">
        <v>1133</v>
      </c>
      <c r="X972" s="31">
        <v>3.9</v>
      </c>
      <c r="Y972" s="36">
        <v>-0.07582961139132544</v>
      </c>
      <c r="Z972" s="36">
        <v>0.12335908764480193</v>
      </c>
      <c r="AA972" s="29" t="s">
        <v>820</v>
      </c>
      <c r="AB972" s="31">
        <v>3.814941</v>
      </c>
      <c r="AC972" s="35">
        <v>1701.0</v>
      </c>
    </row>
    <row r="973" ht="14.25" customHeight="1">
      <c r="A973" s="29" t="s">
        <v>226</v>
      </c>
      <c r="B973" s="29">
        <v>133.0</v>
      </c>
      <c r="C973" s="29" t="s">
        <v>608</v>
      </c>
      <c r="D973" s="29" t="s">
        <v>927</v>
      </c>
      <c r="E973" s="29">
        <v>109.0</v>
      </c>
      <c r="F973" s="30" t="s">
        <v>928</v>
      </c>
      <c r="G973" s="29" t="s">
        <v>695</v>
      </c>
      <c r="H973" s="31">
        <v>22.33</v>
      </c>
      <c r="I973" s="29" t="s">
        <v>620</v>
      </c>
      <c r="J973" s="32" t="s">
        <v>642</v>
      </c>
      <c r="K973" s="29" t="s">
        <v>599</v>
      </c>
      <c r="L973" s="29" t="s">
        <v>915</v>
      </c>
      <c r="M973" s="36">
        <v>-76.441</v>
      </c>
      <c r="N973" s="36">
        <v>-0.65</v>
      </c>
      <c r="O973" s="34" t="s">
        <v>601</v>
      </c>
      <c r="P973" s="32" t="s">
        <v>602</v>
      </c>
      <c r="Q973" s="29">
        <v>26.0</v>
      </c>
      <c r="R973" s="29">
        <v>26.0</v>
      </c>
      <c r="S973" s="36">
        <v>0.9498432601880878</v>
      </c>
      <c r="T973" s="36">
        <v>0.64576802507837</v>
      </c>
      <c r="U973" s="36">
        <f t="shared" ref="U973:V973" si="245">SQRT(S973)</f>
        <v>0.9745990253</v>
      </c>
      <c r="V973" s="36">
        <f t="shared" si="245"/>
        <v>0.8035969295</v>
      </c>
      <c r="W973" s="37" t="s">
        <v>1133</v>
      </c>
      <c r="X973" s="31">
        <v>3.9</v>
      </c>
      <c r="Y973" s="36">
        <v>0.38603202587556856</v>
      </c>
      <c r="Z973" s="36">
        <v>0.10005188345570928</v>
      </c>
      <c r="AA973" s="29" t="s">
        <v>820</v>
      </c>
      <c r="AB973" s="31">
        <v>3.814941</v>
      </c>
      <c r="AC973" s="35">
        <v>1701.0</v>
      </c>
    </row>
    <row r="974" ht="14.25" customHeight="1">
      <c r="A974" s="29" t="s">
        <v>226</v>
      </c>
      <c r="B974" s="29">
        <v>133.0</v>
      </c>
      <c r="C974" s="29" t="s">
        <v>608</v>
      </c>
      <c r="D974" s="35" t="s">
        <v>627</v>
      </c>
      <c r="E974" s="29">
        <v>111.0</v>
      </c>
      <c r="F974" s="39" t="s">
        <v>628</v>
      </c>
      <c r="G974" s="29" t="s">
        <v>629</v>
      </c>
      <c r="H974" s="31">
        <v>3.79</v>
      </c>
      <c r="I974" s="29" t="s">
        <v>597</v>
      </c>
      <c r="J974" s="32" t="s">
        <v>642</v>
      </c>
      <c r="K974" s="29" t="s">
        <v>599</v>
      </c>
      <c r="L974" s="29" t="s">
        <v>915</v>
      </c>
      <c r="M974" s="36">
        <v>-76.441</v>
      </c>
      <c r="N974" s="36">
        <v>-0.65</v>
      </c>
      <c r="O974" s="34" t="s">
        <v>601</v>
      </c>
      <c r="P974" s="32" t="s">
        <v>602</v>
      </c>
      <c r="Q974" s="29">
        <v>26.0</v>
      </c>
      <c r="R974" s="29">
        <v>26.0</v>
      </c>
      <c r="S974" s="36">
        <v>0.4379947229551451</v>
      </c>
      <c r="T974" s="36">
        <v>0.7282321899736147</v>
      </c>
      <c r="U974" s="36">
        <f t="shared" ref="U974:V974" si="246">SQRT(S974)</f>
        <v>0.6618116975</v>
      </c>
      <c r="V974" s="36">
        <f t="shared" si="246"/>
        <v>0.8533652149</v>
      </c>
      <c r="W974" s="37" t="s">
        <v>1133</v>
      </c>
      <c r="X974" s="31">
        <v>3.9</v>
      </c>
      <c r="Y974" s="36">
        <v>-0.5079842089140888</v>
      </c>
      <c r="Z974" s="36">
        <v>0.14062772830452244</v>
      </c>
      <c r="AA974" s="29" t="s">
        <v>820</v>
      </c>
      <c r="AB974" s="31">
        <v>3.814941</v>
      </c>
      <c r="AC974" s="35">
        <v>1701.0</v>
      </c>
    </row>
    <row r="975" ht="14.25" customHeight="1">
      <c r="A975" s="29" t="s">
        <v>226</v>
      </c>
      <c r="B975" s="29">
        <v>133.0</v>
      </c>
      <c r="C975" s="29" t="s">
        <v>608</v>
      </c>
      <c r="D975" s="29" t="s">
        <v>683</v>
      </c>
      <c r="E975" s="29">
        <v>122.0</v>
      </c>
      <c r="F975" s="30" t="s">
        <v>684</v>
      </c>
      <c r="G975" s="29" t="s">
        <v>629</v>
      </c>
      <c r="H975" s="31">
        <v>100.0</v>
      </c>
      <c r="I975" s="29" t="s">
        <v>657</v>
      </c>
      <c r="J975" s="32" t="s">
        <v>642</v>
      </c>
      <c r="K975" s="29" t="s">
        <v>599</v>
      </c>
      <c r="L975" s="29" t="s">
        <v>915</v>
      </c>
      <c r="M975" s="36">
        <v>-76.441</v>
      </c>
      <c r="N975" s="36">
        <v>-0.65</v>
      </c>
      <c r="O975" s="34" t="s">
        <v>601</v>
      </c>
      <c r="P975" s="32" t="s">
        <v>602</v>
      </c>
      <c r="Q975" s="29">
        <v>26.0</v>
      </c>
      <c r="R975" s="29">
        <v>26.0</v>
      </c>
      <c r="S975" s="36">
        <v>0.65</v>
      </c>
      <c r="T975" s="36">
        <v>3.91</v>
      </c>
      <c r="U975" s="36" t="str">
        <f t="shared" ref="U975:V975" si="247">#REF!*SQRT(Q975)</f>
        <v>#REF!</v>
      </c>
      <c r="V975" s="36" t="str">
        <f t="shared" si="247"/>
        <v>#REF!</v>
      </c>
      <c r="W975" s="37" t="s">
        <v>1140</v>
      </c>
      <c r="X975" s="31">
        <v>3.9</v>
      </c>
      <c r="Y975" s="36">
        <v>-1.7927695363150418</v>
      </c>
      <c r="Z975" s="36" t="e">
        <v>#REF!</v>
      </c>
      <c r="AA975" s="29" t="s">
        <v>820</v>
      </c>
      <c r="AB975" s="31">
        <v>3.814941</v>
      </c>
      <c r="AC975" s="35">
        <v>1701.0</v>
      </c>
    </row>
    <row r="976" ht="14.25" customHeight="1">
      <c r="A976" s="29" t="s">
        <v>226</v>
      </c>
      <c r="B976" s="29">
        <v>133.0</v>
      </c>
      <c r="C976" s="29" t="s">
        <v>608</v>
      </c>
      <c r="D976" s="29" t="s">
        <v>630</v>
      </c>
      <c r="E976" s="29">
        <v>129.0</v>
      </c>
      <c r="F976" s="30" t="s">
        <v>631</v>
      </c>
      <c r="G976" s="29" t="s">
        <v>626</v>
      </c>
      <c r="H976" s="31">
        <v>21.27</v>
      </c>
      <c r="I976" s="29" t="s">
        <v>612</v>
      </c>
      <c r="J976" s="32" t="s">
        <v>642</v>
      </c>
      <c r="K976" s="29" t="s">
        <v>599</v>
      </c>
      <c r="L976" s="29" t="s">
        <v>915</v>
      </c>
      <c r="M976" s="36">
        <v>-76.441</v>
      </c>
      <c r="N976" s="36">
        <v>-0.65</v>
      </c>
      <c r="O976" s="34" t="s">
        <v>601</v>
      </c>
      <c r="P976" s="32" t="s">
        <v>602</v>
      </c>
      <c r="Q976" s="29">
        <v>26.0</v>
      </c>
      <c r="R976" s="29">
        <v>26.0</v>
      </c>
      <c r="S976" s="36">
        <v>4.1278796426892335</v>
      </c>
      <c r="T976" s="36">
        <v>9.179125528913964</v>
      </c>
      <c r="U976" s="36">
        <f t="shared" ref="U976:V976" si="248">SQRT(S976)</f>
        <v>2.031718397</v>
      </c>
      <c r="V976" s="36">
        <f t="shared" si="248"/>
        <v>3.029707169</v>
      </c>
      <c r="W976" s="37" t="s">
        <v>1133</v>
      </c>
      <c r="X976" s="31">
        <v>3.9</v>
      </c>
      <c r="Y976" s="36">
        <v>-0.7985945274018647</v>
      </c>
      <c r="Z976" s="36">
        <v>0.013507614033338111</v>
      </c>
      <c r="AA976" s="29" t="s">
        <v>820</v>
      </c>
      <c r="AB976" s="31">
        <v>3.814941</v>
      </c>
      <c r="AC976" s="35">
        <v>1701.0</v>
      </c>
    </row>
    <row r="977" ht="14.25" customHeight="1">
      <c r="A977" s="29" t="s">
        <v>226</v>
      </c>
      <c r="B977" s="29">
        <v>133.0</v>
      </c>
      <c r="C977" s="29" t="s">
        <v>608</v>
      </c>
      <c r="D977" s="42" t="s">
        <v>1141</v>
      </c>
      <c r="E977" s="29">
        <v>150.0</v>
      </c>
      <c r="F977" s="30" t="s">
        <v>1142</v>
      </c>
      <c r="G977" s="29" t="s">
        <v>619</v>
      </c>
      <c r="H977" s="31">
        <v>45.36</v>
      </c>
      <c r="I977" s="29" t="s">
        <v>620</v>
      </c>
      <c r="J977" s="32" t="s">
        <v>642</v>
      </c>
      <c r="K977" s="29" t="s">
        <v>599</v>
      </c>
      <c r="L977" s="29" t="s">
        <v>915</v>
      </c>
      <c r="M977" s="36">
        <v>-76.441</v>
      </c>
      <c r="N977" s="36">
        <v>-0.65</v>
      </c>
      <c r="O977" s="34" t="s">
        <v>601</v>
      </c>
      <c r="P977" s="32" t="s">
        <v>602</v>
      </c>
      <c r="Q977" s="29">
        <v>26.0</v>
      </c>
      <c r="R977" s="29">
        <v>26.0</v>
      </c>
      <c r="S977" s="36">
        <v>0.464726631393298</v>
      </c>
      <c r="T977" s="36">
        <v>0.4737654320987654</v>
      </c>
      <c r="U977" s="36">
        <f t="shared" ref="U977:V977" si="249">SQRT(S977)</f>
        <v>0.6817086118</v>
      </c>
      <c r="V977" s="36">
        <f t="shared" si="249"/>
        <v>0.6883062052</v>
      </c>
      <c r="W977" s="37" t="s">
        <v>1133</v>
      </c>
      <c r="X977" s="31">
        <v>3.9</v>
      </c>
      <c r="Y977" s="36">
        <v>-0.0190000056414435</v>
      </c>
      <c r="Z977" s="36">
        <v>0.1639443016236247</v>
      </c>
      <c r="AA977" s="29" t="s">
        <v>820</v>
      </c>
      <c r="AB977" s="31">
        <v>3.814941</v>
      </c>
      <c r="AC977" s="35">
        <v>1701.0</v>
      </c>
    </row>
    <row r="978" ht="14.25" customHeight="1">
      <c r="A978" s="29" t="s">
        <v>226</v>
      </c>
      <c r="B978" s="29">
        <v>133.0</v>
      </c>
      <c r="C978" s="29" t="s">
        <v>608</v>
      </c>
      <c r="D978" s="35" t="s">
        <v>658</v>
      </c>
      <c r="E978" s="29">
        <v>207.0</v>
      </c>
      <c r="F978" s="30" t="s">
        <v>659</v>
      </c>
      <c r="G978" s="29" t="s">
        <v>629</v>
      </c>
      <c r="H978" s="31">
        <v>6.88</v>
      </c>
      <c r="I978" s="29" t="s">
        <v>657</v>
      </c>
      <c r="J978" s="32" t="s">
        <v>642</v>
      </c>
      <c r="K978" s="29" t="s">
        <v>599</v>
      </c>
      <c r="L978" s="29" t="s">
        <v>915</v>
      </c>
      <c r="M978" s="36">
        <v>-76.441</v>
      </c>
      <c r="N978" s="36">
        <v>-0.65</v>
      </c>
      <c r="O978" s="34" t="s">
        <v>601</v>
      </c>
      <c r="P978" s="32" t="s">
        <v>602</v>
      </c>
      <c r="Q978" s="29">
        <v>26.0</v>
      </c>
      <c r="R978" s="29">
        <v>26.0</v>
      </c>
      <c r="S978" s="36">
        <v>0.07994186046511628</v>
      </c>
      <c r="T978" s="36">
        <v>0.16279069767441862</v>
      </c>
      <c r="U978" s="36">
        <f t="shared" ref="U978:V978" si="250">SQRT(S978)</f>
        <v>0.2827399166</v>
      </c>
      <c r="V978" s="36">
        <f t="shared" si="250"/>
        <v>0.4034732924</v>
      </c>
      <c r="W978" s="37" t="s">
        <v>1133</v>
      </c>
      <c r="X978" s="31">
        <v>3.9</v>
      </c>
      <c r="Y978" s="36">
        <v>-0.7106404464099625</v>
      </c>
      <c r="Z978" s="36">
        <v>0.7173826173826173</v>
      </c>
      <c r="AA978" s="29" t="s">
        <v>820</v>
      </c>
      <c r="AB978" s="31">
        <v>3.814941</v>
      </c>
      <c r="AC978" s="35">
        <v>1701.0</v>
      </c>
    </row>
    <row r="979" ht="14.25" customHeight="1">
      <c r="A979" s="29" t="s">
        <v>226</v>
      </c>
      <c r="B979" s="29">
        <v>133.0</v>
      </c>
      <c r="C979" s="29" t="s">
        <v>608</v>
      </c>
      <c r="D979" s="29" t="s">
        <v>1131</v>
      </c>
      <c r="E979" s="29">
        <v>180.0</v>
      </c>
      <c r="F979" s="30" t="s">
        <v>1132</v>
      </c>
      <c r="G979" s="29" t="s">
        <v>629</v>
      </c>
      <c r="H979" s="31">
        <v>6.0</v>
      </c>
      <c r="I979" s="29" t="s">
        <v>657</v>
      </c>
      <c r="J979" s="32" t="s">
        <v>642</v>
      </c>
      <c r="K979" s="29" t="s">
        <v>599</v>
      </c>
      <c r="L979" s="29" t="s">
        <v>915</v>
      </c>
      <c r="M979" s="36">
        <v>-76.441</v>
      </c>
      <c r="N979" s="36">
        <v>-0.65</v>
      </c>
      <c r="O979" s="34" t="s">
        <v>601</v>
      </c>
      <c r="P979" s="32" t="s">
        <v>602</v>
      </c>
      <c r="Q979" s="29">
        <v>26.0</v>
      </c>
      <c r="R979" s="29">
        <v>26.0</v>
      </c>
      <c r="S979" s="36">
        <v>0.041666666666666664</v>
      </c>
      <c r="T979" s="36">
        <v>0.085</v>
      </c>
      <c r="U979" s="36">
        <f t="shared" ref="U979:V979" si="251">SQRT(S979)</f>
        <v>0.2041241452</v>
      </c>
      <c r="V979" s="36">
        <f t="shared" si="251"/>
        <v>0.2915475947</v>
      </c>
      <c r="W979" s="37" t="s">
        <v>1133</v>
      </c>
      <c r="X979" s="31">
        <v>3.9</v>
      </c>
      <c r="Y979" s="36">
        <v>-0.7124236305222278</v>
      </c>
      <c r="Z979" s="36">
        <v>1.3755656108597285</v>
      </c>
      <c r="AA979" s="29" t="s">
        <v>820</v>
      </c>
      <c r="AB979" s="31">
        <v>3.814941</v>
      </c>
      <c r="AC979" s="35">
        <v>1701.0</v>
      </c>
    </row>
    <row r="980" ht="14.25" customHeight="1">
      <c r="A980" s="29" t="s">
        <v>226</v>
      </c>
      <c r="B980" s="29">
        <v>133.0</v>
      </c>
      <c r="C980" s="29" t="s">
        <v>608</v>
      </c>
      <c r="D980" s="29" t="s">
        <v>693</v>
      </c>
      <c r="E980" s="29">
        <v>209.0</v>
      </c>
      <c r="F980" s="30" t="s">
        <v>694</v>
      </c>
      <c r="G980" s="29" t="s">
        <v>695</v>
      </c>
      <c r="H980" s="31">
        <v>5.52</v>
      </c>
      <c r="I980" s="29" t="s">
        <v>620</v>
      </c>
      <c r="J980" s="32" t="s">
        <v>642</v>
      </c>
      <c r="K980" s="29" t="s">
        <v>599</v>
      </c>
      <c r="L980" s="29" t="s">
        <v>915</v>
      </c>
      <c r="M980" s="36">
        <v>-76.441</v>
      </c>
      <c r="N980" s="36">
        <v>-0.65</v>
      </c>
      <c r="O980" s="34" t="s">
        <v>601</v>
      </c>
      <c r="P980" s="32" t="s">
        <v>602</v>
      </c>
      <c r="Q980" s="29">
        <v>26.0</v>
      </c>
      <c r="R980" s="29">
        <v>26.0</v>
      </c>
      <c r="S980" s="36">
        <v>0.27717391304347827</v>
      </c>
      <c r="T980" s="36">
        <v>0.2481884057971015</v>
      </c>
      <c r="U980" s="36">
        <f t="shared" ref="U980:V980" si="252">SQRT(S980)</f>
        <v>0.5264730886</v>
      </c>
      <c r="V980" s="36">
        <f t="shared" si="252"/>
        <v>0.498185112</v>
      </c>
      <c r="W980" s="37" t="s">
        <v>1133</v>
      </c>
      <c r="X980" s="31">
        <v>3.9</v>
      </c>
      <c r="Y980" s="36">
        <v>0.1106879866435178</v>
      </c>
      <c r="Z980" s="36">
        <v>0.293732316059495</v>
      </c>
      <c r="AA980" s="29" t="s">
        <v>820</v>
      </c>
      <c r="AB980" s="31">
        <v>3.814941</v>
      </c>
      <c r="AC980" s="35">
        <v>1701.0</v>
      </c>
    </row>
    <row r="981" ht="14.25" customHeight="1">
      <c r="A981" s="29" t="s">
        <v>226</v>
      </c>
      <c r="B981" s="29">
        <v>133.0</v>
      </c>
      <c r="C981" s="29" t="s">
        <v>608</v>
      </c>
      <c r="D981" s="29" t="s">
        <v>663</v>
      </c>
      <c r="E981" s="29">
        <v>189.0</v>
      </c>
      <c r="F981" s="30" t="s">
        <v>637</v>
      </c>
      <c r="G981" s="29" t="s">
        <v>638</v>
      </c>
      <c r="H981" s="31">
        <v>207.5</v>
      </c>
      <c r="I981" s="29" t="s">
        <v>612</v>
      </c>
      <c r="J981" s="32" t="s">
        <v>642</v>
      </c>
      <c r="K981" s="29" t="s">
        <v>599</v>
      </c>
      <c r="L981" s="29" t="s">
        <v>915</v>
      </c>
      <c r="M981" s="36">
        <v>-76.441</v>
      </c>
      <c r="N981" s="36">
        <v>-0.65</v>
      </c>
      <c r="O981" s="34" t="s">
        <v>601</v>
      </c>
      <c r="P981" s="32" t="s">
        <v>602</v>
      </c>
      <c r="Q981" s="29">
        <v>26.0</v>
      </c>
      <c r="R981" s="29">
        <v>26.0</v>
      </c>
      <c r="S981" s="36">
        <v>0.8972530120481929</v>
      </c>
      <c r="T981" s="36">
        <v>1.4969156626506024</v>
      </c>
      <c r="U981" s="36">
        <f t="shared" ref="U981:V981" si="253">SQRT(S981)</f>
        <v>0.9472344019</v>
      </c>
      <c r="V981" s="36">
        <f t="shared" si="253"/>
        <v>1.223485048</v>
      </c>
      <c r="W981" s="37" t="s">
        <v>1133</v>
      </c>
      <c r="X981" s="31">
        <v>3.9</v>
      </c>
      <c r="Y981" s="36">
        <v>-0.5113938247240262</v>
      </c>
      <c r="Z981" s="36">
        <v>0.06855973633926486</v>
      </c>
      <c r="AA981" s="29" t="s">
        <v>820</v>
      </c>
      <c r="AB981" s="31">
        <v>3.814941</v>
      </c>
      <c r="AC981" s="35">
        <v>1701.0</v>
      </c>
    </row>
    <row r="982" ht="14.25" customHeight="1">
      <c r="A982" s="29" t="s">
        <v>226</v>
      </c>
      <c r="B982" s="29">
        <v>133.0</v>
      </c>
      <c r="C982" s="29" t="s">
        <v>608</v>
      </c>
      <c r="D982" s="29" t="s">
        <v>639</v>
      </c>
      <c r="E982" s="29">
        <v>190.0</v>
      </c>
      <c r="F982" s="30" t="s">
        <v>640</v>
      </c>
      <c r="G982" s="29" t="s">
        <v>626</v>
      </c>
      <c r="H982" s="31">
        <v>32.23</v>
      </c>
      <c r="I982" s="29" t="s">
        <v>597</v>
      </c>
      <c r="J982" s="32" t="s">
        <v>642</v>
      </c>
      <c r="K982" s="29" t="s">
        <v>599</v>
      </c>
      <c r="L982" s="29" t="s">
        <v>915</v>
      </c>
      <c r="M982" s="36">
        <v>-76.441</v>
      </c>
      <c r="N982" s="36">
        <v>-0.65</v>
      </c>
      <c r="O982" s="34" t="s">
        <v>601</v>
      </c>
      <c r="P982" s="32" t="s">
        <v>602</v>
      </c>
      <c r="Q982" s="29">
        <v>26.0</v>
      </c>
      <c r="R982" s="29">
        <v>26.0</v>
      </c>
      <c r="S982" s="36">
        <v>0.40366118523115113</v>
      </c>
      <c r="T982" s="36">
        <v>6.1740614334471</v>
      </c>
      <c r="U982" s="36">
        <f t="shared" ref="U982:V982" si="254">SQRT(S982)</f>
        <v>0.6353433601</v>
      </c>
      <c r="V982" s="36">
        <f t="shared" si="254"/>
        <v>2.484765871</v>
      </c>
      <c r="W982" s="37" t="s">
        <v>1133</v>
      </c>
      <c r="X982" s="31">
        <v>3.9</v>
      </c>
      <c r="Y982" s="36">
        <v>-2.7235979261023147</v>
      </c>
      <c r="Z982" s="36">
        <v>0.10151127202304827</v>
      </c>
      <c r="AA982" s="29" t="s">
        <v>820</v>
      </c>
      <c r="AB982" s="31">
        <v>3.814941</v>
      </c>
      <c r="AC982" s="35">
        <v>1701.0</v>
      </c>
    </row>
    <row r="983" ht="14.25" customHeight="1">
      <c r="A983" s="29" t="s">
        <v>231</v>
      </c>
      <c r="B983" s="29">
        <v>96.0</v>
      </c>
      <c r="C983" s="29" t="s">
        <v>608</v>
      </c>
      <c r="D983" s="29" t="s">
        <v>935</v>
      </c>
      <c r="E983" s="29">
        <v>273.0</v>
      </c>
      <c r="F983" s="30" t="s">
        <v>1143</v>
      </c>
      <c r="G983" s="29" t="s">
        <v>626</v>
      </c>
      <c r="H983" s="31">
        <v>23.707</v>
      </c>
      <c r="I983" s="29" t="s">
        <v>612</v>
      </c>
      <c r="J983" s="32" t="s">
        <v>642</v>
      </c>
      <c r="K983" s="29" t="s">
        <v>698</v>
      </c>
      <c r="L983" s="29" t="s">
        <v>1144</v>
      </c>
      <c r="M983" s="33">
        <v>17.008</v>
      </c>
      <c r="N983" s="33">
        <v>3.28</v>
      </c>
      <c r="O983" s="34" t="s">
        <v>641</v>
      </c>
      <c r="P983" s="32" t="s">
        <v>602</v>
      </c>
      <c r="Q983" s="35">
        <v>200.0</v>
      </c>
      <c r="R983" s="35">
        <v>200.0</v>
      </c>
      <c r="S983" s="36">
        <v>0.132493778</v>
      </c>
      <c r="T983" s="36">
        <v>0.422086304</v>
      </c>
      <c r="U983" s="36">
        <v>0.363996948</v>
      </c>
      <c r="V983" s="36">
        <v>0.649681694</v>
      </c>
      <c r="W983" s="37" t="s">
        <v>1145</v>
      </c>
      <c r="X983" s="31">
        <v>5.0</v>
      </c>
      <c r="Y983" s="36">
        <v>-1.1578525509916475</v>
      </c>
      <c r="Z983" s="36">
        <v>0.04958353979001037</v>
      </c>
      <c r="AA983" s="29" t="s">
        <v>820</v>
      </c>
      <c r="AB983" s="31">
        <v>1.23047196865</v>
      </c>
      <c r="AC983" s="38">
        <v>603.0</v>
      </c>
    </row>
    <row r="984" ht="14.25" customHeight="1">
      <c r="A984" s="29" t="s">
        <v>231</v>
      </c>
      <c r="B984" s="29">
        <v>96.0</v>
      </c>
      <c r="C984" s="29" t="s">
        <v>608</v>
      </c>
      <c r="D984" s="29" t="s">
        <v>935</v>
      </c>
      <c r="E984" s="29">
        <v>273.0</v>
      </c>
      <c r="F984" s="30" t="s">
        <v>1143</v>
      </c>
      <c r="G984" s="29" t="s">
        <v>626</v>
      </c>
      <c r="H984" s="31">
        <v>23.707</v>
      </c>
      <c r="I984" s="29" t="s">
        <v>612</v>
      </c>
      <c r="J984" s="32" t="s">
        <v>642</v>
      </c>
      <c r="K984" s="29" t="s">
        <v>698</v>
      </c>
      <c r="L984" s="29" t="s">
        <v>1144</v>
      </c>
      <c r="M984" s="33">
        <v>17.008</v>
      </c>
      <c r="N984" s="33">
        <v>3.28</v>
      </c>
      <c r="O984" s="34" t="s">
        <v>641</v>
      </c>
      <c r="P984" s="32" t="s">
        <v>602</v>
      </c>
      <c r="Q984" s="35">
        <v>200.0</v>
      </c>
      <c r="R984" s="35">
        <v>200.0</v>
      </c>
      <c r="S984" s="36">
        <v>0.121136963</v>
      </c>
      <c r="T984" s="36">
        <v>0.422086304</v>
      </c>
      <c r="U984" s="36">
        <v>0.348047357</v>
      </c>
      <c r="V984" s="36">
        <v>0.649681694</v>
      </c>
      <c r="W984" s="37" t="s">
        <v>1145</v>
      </c>
      <c r="X984" s="31">
        <v>10.0</v>
      </c>
      <c r="Y984" s="36">
        <v>-1.2473894168099626</v>
      </c>
      <c r="Z984" s="36">
        <v>0.05312151163902329</v>
      </c>
      <c r="AA984" s="29" t="s">
        <v>820</v>
      </c>
      <c r="AB984" s="31">
        <v>1.23047196865</v>
      </c>
      <c r="AC984" s="38">
        <v>603.0</v>
      </c>
    </row>
    <row r="985" ht="14.25" customHeight="1">
      <c r="A985" s="29" t="s">
        <v>231</v>
      </c>
      <c r="B985" s="29">
        <v>96.0</v>
      </c>
      <c r="C985" s="29" t="s">
        <v>608</v>
      </c>
      <c r="D985" s="29" t="s">
        <v>935</v>
      </c>
      <c r="E985" s="29">
        <v>273.0</v>
      </c>
      <c r="F985" s="30" t="s">
        <v>1143</v>
      </c>
      <c r="G985" s="29" t="s">
        <v>626</v>
      </c>
      <c r="H985" s="31">
        <v>23.707</v>
      </c>
      <c r="I985" s="29" t="s">
        <v>612</v>
      </c>
      <c r="J985" s="32" t="s">
        <v>642</v>
      </c>
      <c r="K985" s="29" t="s">
        <v>698</v>
      </c>
      <c r="L985" s="29" t="s">
        <v>1144</v>
      </c>
      <c r="M985" s="33">
        <v>17.008</v>
      </c>
      <c r="N985" s="33">
        <v>3.28</v>
      </c>
      <c r="O985" s="34" t="s">
        <v>641</v>
      </c>
      <c r="P985" s="32" t="s">
        <v>602</v>
      </c>
      <c r="Q985" s="35">
        <v>200.0</v>
      </c>
      <c r="R985" s="35">
        <v>200.0</v>
      </c>
      <c r="S985" s="36">
        <v>0.289592947</v>
      </c>
      <c r="T985" s="36">
        <v>0.422086304</v>
      </c>
      <c r="U985" s="36">
        <v>0.538138409</v>
      </c>
      <c r="V985" s="36">
        <v>0.649681694</v>
      </c>
      <c r="W985" s="37" t="s">
        <v>1145</v>
      </c>
      <c r="X985" s="31">
        <v>15.0</v>
      </c>
      <c r="Y985" s="36">
        <v>-0.37635753364988056</v>
      </c>
      <c r="Z985" s="36">
        <v>0.029111532464173674</v>
      </c>
      <c r="AA985" s="29" t="s">
        <v>820</v>
      </c>
      <c r="AB985" s="31">
        <v>1.23047196865</v>
      </c>
      <c r="AC985" s="38">
        <v>603.0</v>
      </c>
    </row>
    <row r="986" ht="14.25" customHeight="1">
      <c r="A986" s="29" t="s">
        <v>231</v>
      </c>
      <c r="B986" s="29">
        <v>96.0</v>
      </c>
      <c r="C986" s="29" t="s">
        <v>608</v>
      </c>
      <c r="D986" s="29" t="s">
        <v>935</v>
      </c>
      <c r="E986" s="29">
        <v>273.0</v>
      </c>
      <c r="F986" s="30" t="s">
        <v>1143</v>
      </c>
      <c r="G986" s="29" t="s">
        <v>626</v>
      </c>
      <c r="H986" s="31">
        <v>23.707</v>
      </c>
      <c r="I986" s="29" t="s">
        <v>612</v>
      </c>
      <c r="J986" s="32" t="s">
        <v>642</v>
      </c>
      <c r="K986" s="29" t="s">
        <v>698</v>
      </c>
      <c r="L986" s="29" t="s">
        <v>1144</v>
      </c>
      <c r="M986" s="33">
        <v>17.008</v>
      </c>
      <c r="N986" s="33">
        <v>3.28</v>
      </c>
      <c r="O986" s="34" t="s">
        <v>641</v>
      </c>
      <c r="P986" s="32" t="s">
        <v>602</v>
      </c>
      <c r="Q986" s="35">
        <v>200.0</v>
      </c>
      <c r="R986" s="35">
        <v>200.0</v>
      </c>
      <c r="S986" s="36">
        <v>0.221453579</v>
      </c>
      <c r="T986" s="36">
        <v>0.422086304</v>
      </c>
      <c r="U986" s="36">
        <v>0.470588545</v>
      </c>
      <c r="V986" s="36">
        <v>0.649681694</v>
      </c>
      <c r="W986" s="37" t="s">
        <v>1145</v>
      </c>
      <c r="X986" s="31">
        <v>20.0</v>
      </c>
      <c r="Y986" s="36">
        <v>-0.6445051947858605</v>
      </c>
      <c r="Z986" s="36">
        <v>0.03442401380539699</v>
      </c>
      <c r="AA986" s="29" t="s">
        <v>820</v>
      </c>
      <c r="AB986" s="31">
        <v>1.23047196865</v>
      </c>
      <c r="AC986" s="38">
        <v>603.0</v>
      </c>
    </row>
    <row r="987" ht="14.25" customHeight="1">
      <c r="A987" s="29" t="s">
        <v>231</v>
      </c>
      <c r="B987" s="29">
        <v>97.0</v>
      </c>
      <c r="C987" s="29" t="s">
        <v>608</v>
      </c>
      <c r="D987" s="29" t="s">
        <v>935</v>
      </c>
      <c r="E987" s="29">
        <v>273.0</v>
      </c>
      <c r="F987" s="30" t="s">
        <v>1143</v>
      </c>
      <c r="G987" s="29" t="s">
        <v>626</v>
      </c>
      <c r="H987" s="31">
        <v>23.707</v>
      </c>
      <c r="I987" s="29" t="s">
        <v>612</v>
      </c>
      <c r="J987" s="32" t="s">
        <v>714</v>
      </c>
      <c r="K987" s="29" t="s">
        <v>698</v>
      </c>
      <c r="L987" s="29" t="s">
        <v>1144</v>
      </c>
      <c r="M987" s="33">
        <v>17.168</v>
      </c>
      <c r="N987" s="33">
        <v>2.595</v>
      </c>
      <c r="O987" s="34" t="s">
        <v>641</v>
      </c>
      <c r="P987" s="32" t="s">
        <v>602</v>
      </c>
      <c r="Q987" s="35">
        <v>200.0</v>
      </c>
      <c r="R987" s="35">
        <v>200.0</v>
      </c>
      <c r="S987" s="36">
        <v>0.0</v>
      </c>
      <c r="T987" s="36">
        <v>0.272558316</v>
      </c>
      <c r="U987" s="36">
        <v>0.0</v>
      </c>
      <c r="V987" s="36">
        <v>0.522071179</v>
      </c>
      <c r="W987" s="37" t="s">
        <v>1145</v>
      </c>
      <c r="X987" s="31">
        <v>5.0</v>
      </c>
      <c r="Y987" s="36">
        <v>-8.262558973010657</v>
      </c>
      <c r="Z987" s="36">
        <v>0.013751243030184605</v>
      </c>
      <c r="AA987" s="29" t="s">
        <v>820</v>
      </c>
      <c r="AB987" s="31">
        <v>1.23047196865</v>
      </c>
      <c r="AC987" s="38">
        <v>536.0</v>
      </c>
    </row>
    <row r="988" ht="14.25" customHeight="1">
      <c r="A988" s="29" t="s">
        <v>231</v>
      </c>
      <c r="B988" s="29">
        <v>97.0</v>
      </c>
      <c r="C988" s="29" t="s">
        <v>608</v>
      </c>
      <c r="D988" s="29" t="s">
        <v>935</v>
      </c>
      <c r="E988" s="29">
        <v>273.0</v>
      </c>
      <c r="F988" s="30" t="s">
        <v>1143</v>
      </c>
      <c r="G988" s="29" t="s">
        <v>626</v>
      </c>
      <c r="H988" s="31">
        <v>23.707</v>
      </c>
      <c r="I988" s="29" t="s">
        <v>612</v>
      </c>
      <c r="J988" s="32" t="s">
        <v>714</v>
      </c>
      <c r="K988" s="29" t="s">
        <v>698</v>
      </c>
      <c r="L988" s="29" t="s">
        <v>1144</v>
      </c>
      <c r="M988" s="33">
        <v>17.168</v>
      </c>
      <c r="N988" s="33">
        <v>2.595</v>
      </c>
      <c r="O988" s="34" t="s">
        <v>641</v>
      </c>
      <c r="P988" s="32" t="s">
        <v>602</v>
      </c>
      <c r="Q988" s="35">
        <v>200.0</v>
      </c>
      <c r="R988" s="35">
        <v>200.0</v>
      </c>
      <c r="S988" s="36">
        <v>0.0</v>
      </c>
      <c r="T988" s="36">
        <v>0.272558316</v>
      </c>
      <c r="U988" s="36">
        <v>0.0</v>
      </c>
      <c r="V988" s="36">
        <v>0.522071179</v>
      </c>
      <c r="W988" s="37" t="s">
        <v>1145</v>
      </c>
      <c r="X988" s="31">
        <v>10.0</v>
      </c>
      <c r="Y988" s="36">
        <v>-8.262558973010657</v>
      </c>
      <c r="Z988" s="36">
        <v>0.013751243030184605</v>
      </c>
      <c r="AA988" s="29" t="s">
        <v>820</v>
      </c>
      <c r="AB988" s="31">
        <v>1.23047196865</v>
      </c>
      <c r="AC988" s="38">
        <v>536.0</v>
      </c>
    </row>
    <row r="989" ht="14.25" customHeight="1">
      <c r="A989" s="29" t="s">
        <v>231</v>
      </c>
      <c r="B989" s="29">
        <v>97.0</v>
      </c>
      <c r="C989" s="29" t="s">
        <v>608</v>
      </c>
      <c r="D989" s="29" t="s">
        <v>935</v>
      </c>
      <c r="E989" s="29">
        <v>273.0</v>
      </c>
      <c r="F989" s="30" t="s">
        <v>1143</v>
      </c>
      <c r="G989" s="29" t="s">
        <v>626</v>
      </c>
      <c r="H989" s="31">
        <v>23.707</v>
      </c>
      <c r="I989" s="29" t="s">
        <v>612</v>
      </c>
      <c r="J989" s="32" t="s">
        <v>714</v>
      </c>
      <c r="K989" s="29" t="s">
        <v>698</v>
      </c>
      <c r="L989" s="29" t="s">
        <v>1144</v>
      </c>
      <c r="M989" s="33">
        <v>17.168</v>
      </c>
      <c r="N989" s="33">
        <v>2.595</v>
      </c>
      <c r="O989" s="34" t="s">
        <v>641</v>
      </c>
      <c r="P989" s="32" t="s">
        <v>602</v>
      </c>
      <c r="Q989" s="35">
        <v>200.0</v>
      </c>
      <c r="R989" s="35">
        <v>200.0</v>
      </c>
      <c r="S989" s="36">
        <v>0.079495508</v>
      </c>
      <c r="T989" s="36">
        <v>0.272558316</v>
      </c>
      <c r="U989" s="36">
        <v>0.281949477</v>
      </c>
      <c r="V989" s="36">
        <v>0.522071179</v>
      </c>
      <c r="W989" s="37" t="s">
        <v>1145</v>
      </c>
      <c r="X989" s="31">
        <v>15.0</v>
      </c>
      <c r="Y989" s="36">
        <v>-1.2312678971818098</v>
      </c>
      <c r="Z989" s="36">
        <v>0.08124133330349897</v>
      </c>
      <c r="AA989" s="29" t="s">
        <v>820</v>
      </c>
      <c r="AB989" s="31">
        <v>1.23047196865</v>
      </c>
      <c r="AC989" s="38">
        <v>536.0</v>
      </c>
    </row>
    <row r="990" ht="14.25" customHeight="1">
      <c r="A990" s="29" t="s">
        <v>231</v>
      </c>
      <c r="B990" s="29">
        <v>97.0</v>
      </c>
      <c r="C990" s="29" t="s">
        <v>608</v>
      </c>
      <c r="D990" s="29" t="s">
        <v>935</v>
      </c>
      <c r="E990" s="29">
        <v>273.0</v>
      </c>
      <c r="F990" s="30" t="s">
        <v>1143</v>
      </c>
      <c r="G990" s="29" t="s">
        <v>626</v>
      </c>
      <c r="H990" s="31">
        <v>23.707</v>
      </c>
      <c r="I990" s="29" t="s">
        <v>612</v>
      </c>
      <c r="J990" s="32" t="s">
        <v>714</v>
      </c>
      <c r="K990" s="29" t="s">
        <v>698</v>
      </c>
      <c r="L990" s="29" t="s">
        <v>1144</v>
      </c>
      <c r="M990" s="33">
        <v>17.168</v>
      </c>
      <c r="N990" s="33">
        <v>2.595</v>
      </c>
      <c r="O990" s="34" t="s">
        <v>641</v>
      </c>
      <c r="P990" s="32" t="s">
        <v>602</v>
      </c>
      <c r="Q990" s="35">
        <v>200.0</v>
      </c>
      <c r="R990" s="35">
        <v>200.0</v>
      </c>
      <c r="S990" s="36">
        <v>0.259307378</v>
      </c>
      <c r="T990" s="36">
        <v>0.272558316</v>
      </c>
      <c r="U990" s="36">
        <v>0.509222326</v>
      </c>
      <c r="V990" s="36">
        <v>0.522071179</v>
      </c>
      <c r="W990" s="37" t="s">
        <v>1145</v>
      </c>
      <c r="X990" s="31">
        <v>20.0</v>
      </c>
      <c r="Y990" s="36">
        <v>-0.04956730401227056</v>
      </c>
      <c r="Z990" s="36">
        <v>0.03762683346919191</v>
      </c>
      <c r="AA990" s="29" t="s">
        <v>820</v>
      </c>
      <c r="AB990" s="31">
        <v>1.23047196865</v>
      </c>
      <c r="AC990" s="38">
        <v>536.0</v>
      </c>
    </row>
    <row r="991" ht="14.25" customHeight="1">
      <c r="A991" s="29" t="s">
        <v>231</v>
      </c>
      <c r="B991" s="29">
        <v>98.0</v>
      </c>
      <c r="C991" s="29" t="s">
        <v>608</v>
      </c>
      <c r="D991" s="29" t="s">
        <v>935</v>
      </c>
      <c r="E991" s="29">
        <v>273.0</v>
      </c>
      <c r="F991" s="30" t="s">
        <v>1143</v>
      </c>
      <c r="G991" s="29" t="s">
        <v>626</v>
      </c>
      <c r="H991" s="31">
        <v>23.707</v>
      </c>
      <c r="I991" s="29" t="s">
        <v>612</v>
      </c>
      <c r="J991" s="32" t="s">
        <v>598</v>
      </c>
      <c r="K991" s="29" t="s">
        <v>698</v>
      </c>
      <c r="L991" s="29" t="s">
        <v>1144</v>
      </c>
      <c r="M991" s="33">
        <v>17.168</v>
      </c>
      <c r="N991" s="33">
        <v>2.595</v>
      </c>
      <c r="O991" s="34" t="s">
        <v>641</v>
      </c>
      <c r="P991" s="32" t="s">
        <v>602</v>
      </c>
      <c r="Q991" s="35">
        <v>148.0</v>
      </c>
      <c r="R991" s="35">
        <v>148.0</v>
      </c>
      <c r="S991" s="36">
        <v>0.115451133</v>
      </c>
      <c r="T991" s="36">
        <v>0.444801114</v>
      </c>
      <c r="U991" s="36">
        <v>0.339781007</v>
      </c>
      <c r="V991" s="36">
        <v>0.666934115</v>
      </c>
      <c r="W991" s="37" t="s">
        <v>1145</v>
      </c>
      <c r="X991" s="31">
        <v>5.0</v>
      </c>
      <c r="Y991" s="36">
        <v>-1.3477863972797577</v>
      </c>
      <c r="Z991" s="36">
        <v>0.0737153318856947</v>
      </c>
      <c r="AA991" s="29" t="s">
        <v>820</v>
      </c>
      <c r="AB991" s="31">
        <v>1.23047196865</v>
      </c>
      <c r="AC991" s="38">
        <v>536.0</v>
      </c>
    </row>
    <row r="992" ht="14.25" customHeight="1">
      <c r="A992" s="29" t="s">
        <v>231</v>
      </c>
      <c r="B992" s="29">
        <v>98.0</v>
      </c>
      <c r="C992" s="29" t="s">
        <v>608</v>
      </c>
      <c r="D992" s="29" t="s">
        <v>935</v>
      </c>
      <c r="E992" s="29">
        <v>273.0</v>
      </c>
      <c r="F992" s="30" t="s">
        <v>1143</v>
      </c>
      <c r="G992" s="29" t="s">
        <v>626</v>
      </c>
      <c r="H992" s="31">
        <v>23.707</v>
      </c>
      <c r="I992" s="29" t="s">
        <v>612</v>
      </c>
      <c r="J992" s="32" t="s">
        <v>598</v>
      </c>
      <c r="K992" s="29" t="s">
        <v>698</v>
      </c>
      <c r="L992" s="29" t="s">
        <v>1144</v>
      </c>
      <c r="M992" s="33">
        <v>17.168</v>
      </c>
      <c r="N992" s="33">
        <v>2.595</v>
      </c>
      <c r="O992" s="34" t="s">
        <v>641</v>
      </c>
      <c r="P992" s="32" t="s">
        <v>602</v>
      </c>
      <c r="Q992" s="35">
        <v>148.0</v>
      </c>
      <c r="R992" s="35">
        <v>148.0</v>
      </c>
      <c r="S992" s="36">
        <v>0.141957228</v>
      </c>
      <c r="T992" s="36">
        <v>0.444801114</v>
      </c>
      <c r="U992" s="36">
        <v>0.376772117</v>
      </c>
      <c r="V992" s="36">
        <v>0.666934115</v>
      </c>
      <c r="W992" s="37" t="s">
        <v>1145</v>
      </c>
      <c r="X992" s="31">
        <v>10.0</v>
      </c>
      <c r="Y992" s="36">
        <v>-1.1412933762424087</v>
      </c>
      <c r="Z992" s="36">
        <v>0.06278764311303141</v>
      </c>
      <c r="AA992" s="29" t="s">
        <v>820</v>
      </c>
      <c r="AB992" s="31">
        <v>1.23047196865</v>
      </c>
      <c r="AC992" s="38">
        <v>536.0</v>
      </c>
    </row>
    <row r="993" ht="14.25" customHeight="1">
      <c r="A993" s="29" t="s">
        <v>231</v>
      </c>
      <c r="B993" s="29">
        <v>98.0</v>
      </c>
      <c r="C993" s="29" t="s">
        <v>608</v>
      </c>
      <c r="D993" s="29" t="s">
        <v>935</v>
      </c>
      <c r="E993" s="29">
        <v>273.0</v>
      </c>
      <c r="F993" s="30" t="s">
        <v>1143</v>
      </c>
      <c r="G993" s="29" t="s">
        <v>626</v>
      </c>
      <c r="H993" s="31">
        <v>23.707</v>
      </c>
      <c r="I993" s="29" t="s">
        <v>612</v>
      </c>
      <c r="J993" s="32" t="s">
        <v>598</v>
      </c>
      <c r="K993" s="29" t="s">
        <v>698</v>
      </c>
      <c r="L993" s="29" t="s">
        <v>1144</v>
      </c>
      <c r="M993" s="33">
        <v>17.168</v>
      </c>
      <c r="N993" s="33">
        <v>2.595</v>
      </c>
      <c r="O993" s="34" t="s">
        <v>641</v>
      </c>
      <c r="P993" s="32" t="s">
        <v>602</v>
      </c>
      <c r="Q993" s="35">
        <v>148.0</v>
      </c>
      <c r="R993" s="35">
        <v>148.0</v>
      </c>
      <c r="S993" s="36">
        <v>0.422086304</v>
      </c>
      <c r="T993" s="36">
        <v>0.444801114</v>
      </c>
      <c r="U993" s="36">
        <v>0.649681694</v>
      </c>
      <c r="V993" s="36">
        <v>0.666934115</v>
      </c>
      <c r="W993" s="37" t="s">
        <v>1145</v>
      </c>
      <c r="X993" s="31">
        <v>15.0</v>
      </c>
      <c r="Y993" s="36">
        <v>-0.052145597169339405</v>
      </c>
      <c r="Z993" s="36">
        <v>0.031198510301307575</v>
      </c>
      <c r="AA993" s="29" t="s">
        <v>820</v>
      </c>
      <c r="AB993" s="31">
        <v>1.23047196865</v>
      </c>
      <c r="AC993" s="38">
        <v>536.0</v>
      </c>
    </row>
    <row r="994" ht="14.25" customHeight="1">
      <c r="A994" s="29" t="s">
        <v>231</v>
      </c>
      <c r="B994" s="29">
        <v>98.0</v>
      </c>
      <c r="C994" s="29" t="s">
        <v>608</v>
      </c>
      <c r="D994" s="29" t="s">
        <v>935</v>
      </c>
      <c r="E994" s="29">
        <v>273.0</v>
      </c>
      <c r="F994" s="30" t="s">
        <v>1143</v>
      </c>
      <c r="G994" s="29" t="s">
        <v>626</v>
      </c>
      <c r="H994" s="31">
        <v>23.707</v>
      </c>
      <c r="I994" s="29" t="s">
        <v>612</v>
      </c>
      <c r="J994" s="32" t="s">
        <v>598</v>
      </c>
      <c r="K994" s="29" t="s">
        <v>698</v>
      </c>
      <c r="L994" s="29" t="s">
        <v>1144</v>
      </c>
      <c r="M994" s="33">
        <v>17.168</v>
      </c>
      <c r="N994" s="33">
        <v>2.595</v>
      </c>
      <c r="O994" s="34" t="s">
        <v>641</v>
      </c>
      <c r="P994" s="32" t="s">
        <v>602</v>
      </c>
      <c r="Q994" s="35">
        <v>148.0</v>
      </c>
      <c r="R994" s="35">
        <v>148.0</v>
      </c>
      <c r="S994" s="36">
        <v>0.539439828</v>
      </c>
      <c r="T994" s="36">
        <v>0.444801114</v>
      </c>
      <c r="U994" s="36">
        <v>0.734465675</v>
      </c>
      <c r="V994" s="36">
        <v>0.666934115</v>
      </c>
      <c r="W994" s="37" t="s">
        <v>1145</v>
      </c>
      <c r="X994" s="31">
        <v>20.0</v>
      </c>
      <c r="Y994" s="36">
        <v>0.1931167105921545</v>
      </c>
      <c r="Z994" s="36">
        <v>0.02771601811932998</v>
      </c>
      <c r="AA994" s="29" t="s">
        <v>820</v>
      </c>
      <c r="AB994" s="31">
        <v>1.23047196865</v>
      </c>
      <c r="AC994" s="38">
        <v>536.0</v>
      </c>
    </row>
    <row r="995" ht="14.25" customHeight="1">
      <c r="A995" s="29" t="s">
        <v>236</v>
      </c>
      <c r="B995" s="29">
        <v>22.0</v>
      </c>
      <c r="C995" s="29" t="s">
        <v>608</v>
      </c>
      <c r="D995" s="29" t="s">
        <v>751</v>
      </c>
      <c r="E995" s="29">
        <v>97.0</v>
      </c>
      <c r="F995" s="30" t="s">
        <v>752</v>
      </c>
      <c r="G995" s="29" t="s">
        <v>753</v>
      </c>
      <c r="H995" s="31">
        <v>3940.03</v>
      </c>
      <c r="I995" s="29" t="s">
        <v>612</v>
      </c>
      <c r="J995" s="32" t="s">
        <v>714</v>
      </c>
      <c r="K995" s="29" t="s">
        <v>698</v>
      </c>
      <c r="L995" s="29" t="s">
        <v>1144</v>
      </c>
      <c r="M995" s="33">
        <v>16.375</v>
      </c>
      <c r="N995" s="33">
        <v>2.35</v>
      </c>
      <c r="O995" s="34" t="s">
        <v>641</v>
      </c>
      <c r="P995" s="32" t="s">
        <v>602</v>
      </c>
      <c r="Q995" s="35">
        <v>11.0</v>
      </c>
      <c r="R995" s="35">
        <v>11.0</v>
      </c>
      <c r="S995" s="36">
        <v>523.0</v>
      </c>
      <c r="T995" s="36">
        <v>620.0</v>
      </c>
      <c r="U995" s="36">
        <v>173.0</v>
      </c>
      <c r="V995" s="36">
        <v>461.0</v>
      </c>
      <c r="W995" s="37" t="s">
        <v>1146</v>
      </c>
      <c r="X995" s="31">
        <v>36.1</v>
      </c>
      <c r="Y995" s="36">
        <v>-0.16983221232267257</v>
      </c>
      <c r="Z995" s="36">
        <v>0.060207474375624556</v>
      </c>
      <c r="AA995" s="29" t="s">
        <v>820</v>
      </c>
      <c r="AB995" s="31">
        <v>0.371475607157</v>
      </c>
      <c r="AC995" s="38">
        <v>2859.0</v>
      </c>
    </row>
    <row r="996" ht="14.25" customHeight="1">
      <c r="A996" s="29" t="s">
        <v>236</v>
      </c>
      <c r="B996" s="29">
        <v>22.0</v>
      </c>
      <c r="C996" s="29" t="s">
        <v>608</v>
      </c>
      <c r="D996" s="29" t="s">
        <v>751</v>
      </c>
      <c r="E996" s="29">
        <v>97.0</v>
      </c>
      <c r="F996" s="30" t="s">
        <v>752</v>
      </c>
      <c r="G996" s="29" t="s">
        <v>753</v>
      </c>
      <c r="H996" s="31">
        <v>3940.03</v>
      </c>
      <c r="I996" s="29" t="s">
        <v>612</v>
      </c>
      <c r="J996" s="32" t="s">
        <v>714</v>
      </c>
      <c r="K996" s="29" t="s">
        <v>698</v>
      </c>
      <c r="L996" s="29" t="s">
        <v>1144</v>
      </c>
      <c r="M996" s="33">
        <v>17.417</v>
      </c>
      <c r="N996" s="33">
        <v>0.933</v>
      </c>
      <c r="O996" s="34" t="s">
        <v>641</v>
      </c>
      <c r="P996" s="32" t="s">
        <v>602</v>
      </c>
      <c r="Q996" s="35">
        <v>7.0</v>
      </c>
      <c r="R996" s="35">
        <v>11.0</v>
      </c>
      <c r="S996" s="36">
        <v>122.0</v>
      </c>
      <c r="T996" s="36">
        <v>620.0</v>
      </c>
      <c r="U996" s="36">
        <v>172.0</v>
      </c>
      <c r="V996" s="36">
        <v>461.0</v>
      </c>
      <c r="W996" s="37" t="s">
        <v>1146</v>
      </c>
      <c r="X996" s="31">
        <v>5.6</v>
      </c>
      <c r="Y996" s="36">
        <v>-1.6243881550435992</v>
      </c>
      <c r="Z996" s="36">
        <v>0.33420862957658853</v>
      </c>
      <c r="AA996" s="29" t="s">
        <v>820</v>
      </c>
      <c r="AB996" s="31">
        <v>0.848312497139</v>
      </c>
      <c r="AC996" s="38">
        <v>1985.0</v>
      </c>
    </row>
    <row r="997" ht="14.25" customHeight="1">
      <c r="A997" s="29" t="s">
        <v>236</v>
      </c>
      <c r="B997" s="29">
        <v>22.0</v>
      </c>
      <c r="C997" s="29" t="s">
        <v>608</v>
      </c>
      <c r="D997" s="29" t="s">
        <v>751</v>
      </c>
      <c r="E997" s="29">
        <v>97.0</v>
      </c>
      <c r="F997" s="30" t="s">
        <v>752</v>
      </c>
      <c r="G997" s="29" t="s">
        <v>753</v>
      </c>
      <c r="H997" s="31">
        <v>3940.03</v>
      </c>
      <c r="I997" s="29" t="s">
        <v>612</v>
      </c>
      <c r="J997" s="32" t="s">
        <v>714</v>
      </c>
      <c r="K997" s="29" t="s">
        <v>698</v>
      </c>
      <c r="L997" s="29" t="s">
        <v>1144</v>
      </c>
      <c r="M997" s="33">
        <v>17.25</v>
      </c>
      <c r="N997" s="33">
        <v>2.807</v>
      </c>
      <c r="O997" s="34" t="s">
        <v>641</v>
      </c>
      <c r="P997" s="32" t="s">
        <v>602</v>
      </c>
      <c r="Q997" s="35">
        <v>15.0</v>
      </c>
      <c r="R997" s="35">
        <v>11.0</v>
      </c>
      <c r="S997" s="36">
        <v>319.0</v>
      </c>
      <c r="T997" s="36">
        <v>620.0</v>
      </c>
      <c r="U997" s="36">
        <v>144.0</v>
      </c>
      <c r="V997" s="36">
        <v>461.0</v>
      </c>
      <c r="W997" s="37" t="s">
        <v>1146</v>
      </c>
      <c r="X997" s="31">
        <v>23.9</v>
      </c>
      <c r="Y997" s="36">
        <v>-0.6640270629375469</v>
      </c>
      <c r="Z997" s="36">
        <v>0.0638451543398791</v>
      </c>
      <c r="AA997" s="29" t="s">
        <v>820</v>
      </c>
      <c r="AB997" s="31">
        <v>1.23047208786</v>
      </c>
      <c r="AC997" s="38">
        <v>1058.0</v>
      </c>
    </row>
    <row r="998" ht="14.25" customHeight="1">
      <c r="A998" s="29" t="s">
        <v>240</v>
      </c>
      <c r="B998" s="29">
        <v>13.0</v>
      </c>
      <c r="C998" s="29" t="s">
        <v>608</v>
      </c>
      <c r="D998" s="29" t="s">
        <v>751</v>
      </c>
      <c r="E998" s="29">
        <v>97.0</v>
      </c>
      <c r="F998" s="30" t="s">
        <v>752</v>
      </c>
      <c r="G998" s="29" t="s">
        <v>753</v>
      </c>
      <c r="H998" s="31">
        <v>3940.03</v>
      </c>
      <c r="I998" s="29" t="s">
        <v>612</v>
      </c>
      <c r="J998" s="32" t="s">
        <v>714</v>
      </c>
      <c r="K998" s="29" t="s">
        <v>698</v>
      </c>
      <c r="L998" s="29" t="s">
        <v>933</v>
      </c>
      <c r="M998" s="33">
        <v>16.467</v>
      </c>
      <c r="N998" s="33">
        <v>2.7</v>
      </c>
      <c r="O998" s="34" t="s">
        <v>641</v>
      </c>
      <c r="P998" s="32" t="s">
        <v>602</v>
      </c>
      <c r="Q998" s="35">
        <v>1.0</v>
      </c>
      <c r="R998" s="35">
        <v>6.0</v>
      </c>
      <c r="S998" s="36">
        <v>2.1</v>
      </c>
      <c r="T998" s="36">
        <v>0.9117</v>
      </c>
      <c r="U998" s="36">
        <v>1.4491</v>
      </c>
      <c r="V998" s="36">
        <v>0.6006</v>
      </c>
      <c r="W998" s="37" t="s">
        <v>623</v>
      </c>
      <c r="X998" s="31">
        <v>25.0</v>
      </c>
      <c r="Y998" s="36">
        <v>0.8344936368093133</v>
      </c>
      <c r="Z998" s="36">
        <v>0.5484952220209998</v>
      </c>
      <c r="AA998" s="29" t="s">
        <v>820</v>
      </c>
      <c r="AB998" s="31">
        <v>0.492137312889</v>
      </c>
      <c r="AC998" s="38">
        <v>2140.0</v>
      </c>
    </row>
    <row r="999" ht="14.25" customHeight="1">
      <c r="A999" s="29" t="s">
        <v>240</v>
      </c>
      <c r="B999" s="29">
        <v>13.0</v>
      </c>
      <c r="C999" s="29" t="s">
        <v>608</v>
      </c>
      <c r="D999" s="29" t="s">
        <v>751</v>
      </c>
      <c r="E999" s="29">
        <v>97.0</v>
      </c>
      <c r="F999" s="30" t="s">
        <v>752</v>
      </c>
      <c r="G999" s="29" t="s">
        <v>753</v>
      </c>
      <c r="H999" s="31">
        <v>3940.03</v>
      </c>
      <c r="I999" s="29" t="s">
        <v>612</v>
      </c>
      <c r="J999" s="32" t="s">
        <v>714</v>
      </c>
      <c r="K999" s="29" t="s">
        <v>698</v>
      </c>
      <c r="L999" s="29" t="s">
        <v>933</v>
      </c>
      <c r="M999" s="33">
        <v>22.417</v>
      </c>
      <c r="N999" s="33">
        <v>5.165</v>
      </c>
      <c r="O999" s="34" t="s">
        <v>641</v>
      </c>
      <c r="P999" s="32" t="s">
        <v>602</v>
      </c>
      <c r="Q999" s="35">
        <v>4.0</v>
      </c>
      <c r="R999" s="35">
        <v>6.0</v>
      </c>
      <c r="S999" s="36">
        <v>0.515</v>
      </c>
      <c r="T999" s="36">
        <v>0.9117</v>
      </c>
      <c r="U999" s="36">
        <v>0.4495</v>
      </c>
      <c r="V999" s="36">
        <v>0.6006</v>
      </c>
      <c r="W999" s="37" t="s">
        <v>623</v>
      </c>
      <c r="X999" s="31">
        <v>18.5</v>
      </c>
      <c r="Y999" s="36">
        <v>-0.570687460705422</v>
      </c>
      <c r="Z999" s="36">
        <v>0.2627812445571641</v>
      </c>
      <c r="AA999" s="29" t="s">
        <v>820</v>
      </c>
      <c r="AB999" s="31">
        <v>1.19514203072</v>
      </c>
      <c r="AC999" s="38">
        <v>1938.0</v>
      </c>
    </row>
    <row r="1000" ht="14.25" customHeight="1">
      <c r="A1000" s="29" t="s">
        <v>240</v>
      </c>
      <c r="B1000" s="29">
        <v>13.0</v>
      </c>
      <c r="C1000" s="29" t="s">
        <v>608</v>
      </c>
      <c r="D1000" s="29" t="s">
        <v>751</v>
      </c>
      <c r="E1000" s="29">
        <v>97.0</v>
      </c>
      <c r="F1000" s="30" t="s">
        <v>752</v>
      </c>
      <c r="G1000" s="29" t="s">
        <v>753</v>
      </c>
      <c r="H1000" s="31">
        <v>3940.03</v>
      </c>
      <c r="I1000" s="29" t="s">
        <v>612</v>
      </c>
      <c r="J1000" s="32" t="s">
        <v>714</v>
      </c>
      <c r="K1000" s="29" t="s">
        <v>698</v>
      </c>
      <c r="L1000" s="29" t="s">
        <v>933</v>
      </c>
      <c r="M1000" s="33">
        <v>17.192</v>
      </c>
      <c r="N1000" s="33">
        <v>3.8</v>
      </c>
      <c r="O1000" s="34" t="s">
        <v>641</v>
      </c>
      <c r="P1000" s="32" t="s">
        <v>602</v>
      </c>
      <c r="Q1000" s="35">
        <v>3.0</v>
      </c>
      <c r="R1000" s="35">
        <v>6.0</v>
      </c>
      <c r="S1000" s="36">
        <v>0.0</v>
      </c>
      <c r="T1000" s="36">
        <v>0.9117</v>
      </c>
      <c r="U1000" s="36">
        <v>0.0</v>
      </c>
      <c r="V1000" s="36">
        <v>0.6006</v>
      </c>
      <c r="W1000" s="37" t="s">
        <v>623</v>
      </c>
      <c r="X1000" s="31">
        <v>12.3</v>
      </c>
      <c r="Y1000" s="36">
        <v>-8.262558973010657</v>
      </c>
      <c r="Z1000" s="36">
        <v>0.4346364803650228</v>
      </c>
      <c r="AA1000" s="29" t="s">
        <v>820</v>
      </c>
      <c r="AB1000" s="31">
        <v>1.75978696346</v>
      </c>
      <c r="AC1000" s="38">
        <v>711.0</v>
      </c>
    </row>
    <row r="1001" ht="14.25" customHeight="1">
      <c r="A1001" s="29" t="s">
        <v>244</v>
      </c>
      <c r="B1001" s="29">
        <v>70.0</v>
      </c>
      <c r="C1001" s="29" t="s">
        <v>608</v>
      </c>
      <c r="D1001" s="29" t="s">
        <v>935</v>
      </c>
      <c r="E1001" s="29">
        <v>35.0</v>
      </c>
      <c r="F1001" s="30" t="s">
        <v>936</v>
      </c>
      <c r="G1001" s="29" t="s">
        <v>626</v>
      </c>
      <c r="H1001" s="31">
        <v>16.74</v>
      </c>
      <c r="I1001" s="29" t="s">
        <v>612</v>
      </c>
      <c r="J1001" s="32" t="s">
        <v>642</v>
      </c>
      <c r="K1001" s="29" t="s">
        <v>698</v>
      </c>
      <c r="L1001" s="29" t="s">
        <v>910</v>
      </c>
      <c r="M1001" s="33">
        <v>15.37</v>
      </c>
      <c r="N1001" s="33">
        <v>2.32</v>
      </c>
      <c r="O1001" s="34" t="s">
        <v>641</v>
      </c>
      <c r="P1001" s="32" t="s">
        <v>643</v>
      </c>
      <c r="Q1001" s="35">
        <v>15.0</v>
      </c>
      <c r="R1001" s="35">
        <v>15.0</v>
      </c>
      <c r="S1001" s="36">
        <v>2.45</v>
      </c>
      <c r="T1001" s="36">
        <v>15.12</v>
      </c>
      <c r="U1001" s="36">
        <v>3.6951</v>
      </c>
      <c r="V1001" s="36">
        <v>36.6945</v>
      </c>
      <c r="W1001" s="37" t="s">
        <v>623</v>
      </c>
      <c r="X1001" s="31">
        <v>5.0</v>
      </c>
      <c r="Y1001" s="36">
        <v>-1.8183393965927819</v>
      </c>
      <c r="Z1001" s="36">
        <v>0.5442966646572371</v>
      </c>
      <c r="AA1001" s="29" t="s">
        <v>820</v>
      </c>
      <c r="AB1001" s="31">
        <v>2.97233271599</v>
      </c>
      <c r="AC1001" s="38">
        <v>632.0</v>
      </c>
    </row>
    <row r="1002" ht="14.25" customHeight="1">
      <c r="A1002" s="29" t="s">
        <v>244</v>
      </c>
      <c r="B1002" s="29">
        <v>70.0</v>
      </c>
      <c r="C1002" s="29" t="s">
        <v>608</v>
      </c>
      <c r="D1002" s="29" t="s">
        <v>935</v>
      </c>
      <c r="E1002" s="29">
        <v>35.0</v>
      </c>
      <c r="F1002" s="30" t="s">
        <v>936</v>
      </c>
      <c r="G1002" s="29" t="s">
        <v>626</v>
      </c>
      <c r="H1002" s="31">
        <v>16.74</v>
      </c>
      <c r="I1002" s="29" t="s">
        <v>612</v>
      </c>
      <c r="J1002" s="32" t="s">
        <v>642</v>
      </c>
      <c r="K1002" s="29" t="s">
        <v>698</v>
      </c>
      <c r="L1002" s="29" t="s">
        <v>910</v>
      </c>
      <c r="M1002" s="33">
        <v>15.37</v>
      </c>
      <c r="N1002" s="33">
        <v>2.32</v>
      </c>
      <c r="O1002" s="34" t="s">
        <v>641</v>
      </c>
      <c r="P1002" s="32" t="s">
        <v>643</v>
      </c>
      <c r="Q1002" s="35">
        <v>15.0</v>
      </c>
      <c r="R1002" s="35">
        <v>15.0</v>
      </c>
      <c r="S1002" s="36">
        <v>5.5</v>
      </c>
      <c r="T1002" s="36">
        <v>15.12</v>
      </c>
      <c r="U1002" s="36">
        <v>43.3735</v>
      </c>
      <c r="V1002" s="36">
        <v>36.6945</v>
      </c>
      <c r="W1002" s="37" t="s">
        <v>623</v>
      </c>
      <c r="X1002" s="31">
        <v>15.0</v>
      </c>
      <c r="Y1002" s="36">
        <v>-1.0105612701383448</v>
      </c>
      <c r="Z1002" s="36">
        <v>4.538680016296762</v>
      </c>
      <c r="AA1002" s="29" t="s">
        <v>820</v>
      </c>
      <c r="AB1002" s="31">
        <v>2.97233271599</v>
      </c>
      <c r="AC1002" s="38">
        <v>632.0</v>
      </c>
    </row>
    <row r="1003" ht="14.25" customHeight="1">
      <c r="A1003" s="29" t="s">
        <v>244</v>
      </c>
      <c r="B1003" s="29">
        <v>70.0</v>
      </c>
      <c r="C1003" s="29" t="s">
        <v>608</v>
      </c>
      <c r="D1003" s="29" t="s">
        <v>935</v>
      </c>
      <c r="E1003" s="29">
        <v>35.0</v>
      </c>
      <c r="F1003" s="30" t="s">
        <v>936</v>
      </c>
      <c r="G1003" s="29" t="s">
        <v>626</v>
      </c>
      <c r="H1003" s="31">
        <v>16.74</v>
      </c>
      <c r="I1003" s="29" t="s">
        <v>612</v>
      </c>
      <c r="J1003" s="32" t="s">
        <v>642</v>
      </c>
      <c r="K1003" s="29" t="s">
        <v>698</v>
      </c>
      <c r="L1003" s="29" t="s">
        <v>910</v>
      </c>
      <c r="M1003" s="33">
        <v>15.37</v>
      </c>
      <c r="N1003" s="33">
        <v>2.32</v>
      </c>
      <c r="O1003" s="34" t="s">
        <v>641</v>
      </c>
      <c r="P1003" s="32" t="s">
        <v>643</v>
      </c>
      <c r="Q1003" s="35">
        <v>15.0</v>
      </c>
      <c r="R1003" s="35">
        <v>15.0</v>
      </c>
      <c r="S1003" s="36">
        <v>6.31</v>
      </c>
      <c r="T1003" s="36">
        <v>15.12</v>
      </c>
      <c r="U1003" s="36">
        <v>14.1087</v>
      </c>
      <c r="V1003" s="36">
        <v>36.6945</v>
      </c>
      <c r="W1003" s="37" t="s">
        <v>623</v>
      </c>
      <c r="X1003" s="31">
        <v>25.0</v>
      </c>
      <c r="Y1003" s="36">
        <v>-0.8732646714589015</v>
      </c>
      <c r="Z1003" s="36">
        <v>0.7259426942540588</v>
      </c>
      <c r="AA1003" s="29" t="s">
        <v>820</v>
      </c>
      <c r="AB1003" s="31">
        <v>2.97233271599</v>
      </c>
      <c r="AC1003" s="38">
        <v>632.0</v>
      </c>
    </row>
    <row r="1004" ht="14.25" customHeight="1">
      <c r="A1004" s="29" t="s">
        <v>244</v>
      </c>
      <c r="B1004" s="29">
        <v>70.0</v>
      </c>
      <c r="C1004" s="29" t="s">
        <v>608</v>
      </c>
      <c r="D1004" s="29" t="s">
        <v>781</v>
      </c>
      <c r="E1004" s="29">
        <v>136.0</v>
      </c>
      <c r="F1004" s="30" t="s">
        <v>782</v>
      </c>
      <c r="G1004" s="29" t="s">
        <v>626</v>
      </c>
      <c r="H1004" s="31">
        <v>4.9</v>
      </c>
      <c r="I1004" s="29" t="s">
        <v>597</v>
      </c>
      <c r="J1004" s="32" t="s">
        <v>642</v>
      </c>
      <c r="K1004" s="29" t="s">
        <v>698</v>
      </c>
      <c r="L1004" s="29" t="s">
        <v>910</v>
      </c>
      <c r="M1004" s="33">
        <v>15.37</v>
      </c>
      <c r="N1004" s="33">
        <v>2.32</v>
      </c>
      <c r="O1004" s="34" t="s">
        <v>641</v>
      </c>
      <c r="P1004" s="32" t="s">
        <v>643</v>
      </c>
      <c r="Q1004" s="35">
        <v>15.0</v>
      </c>
      <c r="R1004" s="35">
        <v>15.0</v>
      </c>
      <c r="S1004" s="36">
        <v>3.61</v>
      </c>
      <c r="T1004" s="36">
        <v>3.82</v>
      </c>
      <c r="U1004" s="36">
        <v>3.8631</v>
      </c>
      <c r="V1004" s="36">
        <v>34.2146</v>
      </c>
      <c r="W1004" s="37" t="s">
        <v>623</v>
      </c>
      <c r="X1004" s="31">
        <v>5.0</v>
      </c>
      <c r="Y1004" s="36">
        <v>-0.056269681406885215</v>
      </c>
      <c r="Z1004" s="36">
        <v>5.424509343841585</v>
      </c>
      <c r="AA1004" s="29" t="s">
        <v>820</v>
      </c>
      <c r="AB1004" s="31">
        <v>2.97233271599</v>
      </c>
      <c r="AC1004" s="38">
        <v>632.0</v>
      </c>
    </row>
    <row r="1005" ht="14.25" customHeight="1">
      <c r="A1005" s="29" t="s">
        <v>244</v>
      </c>
      <c r="B1005" s="29">
        <v>70.0</v>
      </c>
      <c r="C1005" s="29" t="s">
        <v>608</v>
      </c>
      <c r="D1005" s="29" t="s">
        <v>781</v>
      </c>
      <c r="E1005" s="29">
        <v>136.0</v>
      </c>
      <c r="F1005" s="30" t="s">
        <v>782</v>
      </c>
      <c r="G1005" s="29" t="s">
        <v>626</v>
      </c>
      <c r="H1005" s="31">
        <v>4.9</v>
      </c>
      <c r="I1005" s="29" t="s">
        <v>597</v>
      </c>
      <c r="J1005" s="32" t="s">
        <v>642</v>
      </c>
      <c r="K1005" s="29" t="s">
        <v>698</v>
      </c>
      <c r="L1005" s="29" t="s">
        <v>910</v>
      </c>
      <c r="M1005" s="33">
        <v>15.37</v>
      </c>
      <c r="N1005" s="33">
        <v>2.32</v>
      </c>
      <c r="O1005" s="34" t="s">
        <v>641</v>
      </c>
      <c r="P1005" s="32" t="s">
        <v>643</v>
      </c>
      <c r="Q1005" s="35">
        <v>15.0</v>
      </c>
      <c r="R1005" s="35">
        <v>15.0</v>
      </c>
      <c r="S1005" s="36">
        <v>2.26</v>
      </c>
      <c r="T1005" s="36">
        <v>3.82</v>
      </c>
      <c r="U1005" s="36">
        <v>4.2385</v>
      </c>
      <c r="V1005" s="36">
        <v>34.2146</v>
      </c>
      <c r="W1005" s="37" t="s">
        <v>623</v>
      </c>
      <c r="X1005" s="31">
        <v>15.0</v>
      </c>
      <c r="Y1005" s="36">
        <v>-0.5244496193848265</v>
      </c>
      <c r="Z1005" s="36">
        <v>5.582652500936993</v>
      </c>
      <c r="AA1005" s="29" t="s">
        <v>820</v>
      </c>
      <c r="AB1005" s="31">
        <v>2.97233271599</v>
      </c>
      <c r="AC1005" s="38">
        <v>632.0</v>
      </c>
    </row>
    <row r="1006" ht="14.25" customHeight="1">
      <c r="A1006" s="29" t="s">
        <v>244</v>
      </c>
      <c r="B1006" s="29">
        <v>70.0</v>
      </c>
      <c r="C1006" s="29" t="s">
        <v>608</v>
      </c>
      <c r="D1006" s="29" t="s">
        <v>781</v>
      </c>
      <c r="E1006" s="29">
        <v>136.0</v>
      </c>
      <c r="F1006" s="30" t="s">
        <v>782</v>
      </c>
      <c r="G1006" s="29" t="s">
        <v>626</v>
      </c>
      <c r="H1006" s="31">
        <v>4.9</v>
      </c>
      <c r="I1006" s="29" t="s">
        <v>597</v>
      </c>
      <c r="J1006" s="32" t="s">
        <v>642</v>
      </c>
      <c r="K1006" s="29" t="s">
        <v>698</v>
      </c>
      <c r="L1006" s="29" t="s">
        <v>910</v>
      </c>
      <c r="M1006" s="33">
        <v>15.37</v>
      </c>
      <c r="N1006" s="33">
        <v>2.32</v>
      </c>
      <c r="O1006" s="34" t="s">
        <v>641</v>
      </c>
      <c r="P1006" s="32" t="s">
        <v>643</v>
      </c>
      <c r="Q1006" s="35">
        <v>15.0</v>
      </c>
      <c r="R1006" s="35">
        <v>15.0</v>
      </c>
      <c r="S1006" s="36">
        <v>1.41</v>
      </c>
      <c r="T1006" s="36">
        <v>3.82</v>
      </c>
      <c r="U1006" s="36">
        <v>2.5293</v>
      </c>
      <c r="V1006" s="36">
        <v>34.2146</v>
      </c>
      <c r="W1006" s="37" t="s">
        <v>623</v>
      </c>
      <c r="X1006" s="31">
        <v>25.0</v>
      </c>
      <c r="Y1006" s="36">
        <v>-0.9959619892647359</v>
      </c>
      <c r="Z1006" s="36">
        <v>5.562688555453397</v>
      </c>
      <c r="AA1006" s="29" t="s">
        <v>820</v>
      </c>
      <c r="AB1006" s="31">
        <v>2.97233271599</v>
      </c>
      <c r="AC1006" s="38">
        <v>632.0</v>
      </c>
    </row>
    <row r="1007" ht="14.25" customHeight="1">
      <c r="A1007" s="29" t="s">
        <v>250</v>
      </c>
      <c r="B1007" s="29">
        <v>69.0</v>
      </c>
      <c r="C1007" s="29" t="s">
        <v>608</v>
      </c>
      <c r="D1007" s="29" t="s">
        <v>860</v>
      </c>
      <c r="E1007" s="29">
        <v>187.0</v>
      </c>
      <c r="F1007" s="30" t="s">
        <v>861</v>
      </c>
      <c r="G1007" s="29" t="s">
        <v>638</v>
      </c>
      <c r="H1007" s="31">
        <v>300.0</v>
      </c>
      <c r="I1007" s="29" t="s">
        <v>612</v>
      </c>
      <c r="J1007" s="32" t="s">
        <v>598</v>
      </c>
      <c r="K1007" s="29" t="s">
        <v>840</v>
      </c>
      <c r="L1007" s="29" t="s">
        <v>252</v>
      </c>
      <c r="M1007" s="33">
        <v>-88.855</v>
      </c>
      <c r="N1007" s="33">
        <v>16.24</v>
      </c>
      <c r="O1007" s="34" t="s">
        <v>641</v>
      </c>
      <c r="P1007" s="32" t="s">
        <v>602</v>
      </c>
      <c r="Q1007" s="35">
        <v>14.0</v>
      </c>
      <c r="R1007" s="35">
        <v>14.0</v>
      </c>
      <c r="S1007" s="36">
        <v>2.0</v>
      </c>
      <c r="T1007" s="36">
        <v>8.0</v>
      </c>
      <c r="U1007" s="36">
        <v>1.4142</v>
      </c>
      <c r="V1007" s="36">
        <v>2.8284</v>
      </c>
      <c r="W1007" s="37" t="s">
        <v>603</v>
      </c>
      <c r="X1007" s="31">
        <v>2.0</v>
      </c>
      <c r="Y1007" s="36">
        <v>-1.3852629015132285</v>
      </c>
      <c r="Z1007" s="36">
        <v>0.04464200089285714</v>
      </c>
      <c r="AA1007" s="29" t="s">
        <v>820</v>
      </c>
      <c r="AB1007" s="31">
        <v>3.76642394066</v>
      </c>
      <c r="AC1007" s="38">
        <v>430.0</v>
      </c>
    </row>
    <row r="1008" ht="14.25" customHeight="1">
      <c r="A1008" s="35" t="s">
        <v>254</v>
      </c>
      <c r="B1008" s="35">
        <v>161.0</v>
      </c>
      <c r="C1008" s="35" t="s">
        <v>608</v>
      </c>
      <c r="D1008" s="29" t="s">
        <v>1070</v>
      </c>
      <c r="E1008" s="29">
        <v>6.0</v>
      </c>
      <c r="F1008" s="30" t="s">
        <v>1071</v>
      </c>
      <c r="G1008" s="29" t="s">
        <v>611</v>
      </c>
      <c r="H1008" s="31">
        <v>6.5</v>
      </c>
      <c r="I1008" s="29" t="s">
        <v>612</v>
      </c>
      <c r="J1008" s="35" t="s">
        <v>642</v>
      </c>
      <c r="K1008" s="35" t="s">
        <v>840</v>
      </c>
      <c r="L1008" s="35" t="s">
        <v>1147</v>
      </c>
      <c r="M1008" s="35">
        <v>-79.743333</v>
      </c>
      <c r="N1008" s="34">
        <v>9.159722</v>
      </c>
      <c r="O1008" s="35" t="s">
        <v>641</v>
      </c>
      <c r="P1008" s="32" t="s">
        <v>643</v>
      </c>
      <c r="Q1008" s="35">
        <v>6.0</v>
      </c>
      <c r="R1008" s="35">
        <v>43.0</v>
      </c>
      <c r="S1008" s="36">
        <v>0.07</v>
      </c>
      <c r="T1008" s="36">
        <v>0.56</v>
      </c>
      <c r="U1008" s="36">
        <f t="shared" ref="U1008:V1008" si="255">SQRT(S1008)</f>
        <v>0.2645751311</v>
      </c>
      <c r="V1008" s="36">
        <f t="shared" si="255"/>
        <v>0.7483314774</v>
      </c>
      <c r="W1008" s="35" t="s">
        <v>1148</v>
      </c>
      <c r="X1008" s="31">
        <v>4.2</v>
      </c>
      <c r="Y1008" s="36">
        <v>-2.077379685279277</v>
      </c>
      <c r="Z1008" s="36">
        <v>2.4224806201550386</v>
      </c>
      <c r="AA1008" s="35" t="s">
        <v>820</v>
      </c>
      <c r="AB1008" s="35">
        <v>2.068</v>
      </c>
      <c r="AC1008" s="35">
        <v>169.0</v>
      </c>
    </row>
    <row r="1009" ht="14.25" customHeight="1">
      <c r="A1009" s="35" t="s">
        <v>254</v>
      </c>
      <c r="B1009" s="35">
        <v>161.0</v>
      </c>
      <c r="C1009" s="35" t="s">
        <v>608</v>
      </c>
      <c r="D1009" s="35" t="s">
        <v>957</v>
      </c>
      <c r="E1009" s="35">
        <v>336.0</v>
      </c>
      <c r="F1009" s="39" t="s">
        <v>1073</v>
      </c>
      <c r="G1009" s="35" t="s">
        <v>611</v>
      </c>
      <c r="H1009" s="31">
        <v>6.525685714285714</v>
      </c>
      <c r="I1009" s="29" t="s">
        <v>597</v>
      </c>
      <c r="J1009" s="35" t="s">
        <v>642</v>
      </c>
      <c r="K1009" s="35" t="s">
        <v>840</v>
      </c>
      <c r="L1009" s="35" t="s">
        <v>1147</v>
      </c>
      <c r="M1009" s="35">
        <v>-79.743333</v>
      </c>
      <c r="N1009" s="34">
        <v>9.159722</v>
      </c>
      <c r="O1009" s="35" t="s">
        <v>641</v>
      </c>
      <c r="P1009" s="32" t="s">
        <v>643</v>
      </c>
      <c r="Q1009" s="35">
        <v>6.0</v>
      </c>
      <c r="R1009" s="35">
        <v>43.0</v>
      </c>
      <c r="S1009" s="36">
        <v>0.0</v>
      </c>
      <c r="T1009" s="36">
        <v>0.05</v>
      </c>
      <c r="U1009" s="36">
        <f t="shared" ref="U1009:V1009" si="256">SQRT(S1009)</f>
        <v>0</v>
      </c>
      <c r="V1009" s="36">
        <f t="shared" si="256"/>
        <v>0.2236067977</v>
      </c>
      <c r="W1009" s="35" t="s">
        <v>1148</v>
      </c>
      <c r="X1009" s="31">
        <v>4.2</v>
      </c>
      <c r="Y1009" s="36">
        <v>-8.262558973010657</v>
      </c>
      <c r="Z1009" s="36">
        <v>0.20692088905759334</v>
      </c>
      <c r="AA1009" s="35" t="s">
        <v>820</v>
      </c>
      <c r="AB1009" s="35">
        <v>2.068</v>
      </c>
      <c r="AC1009" s="35">
        <v>169.0</v>
      </c>
    </row>
    <row r="1010" ht="14.25" customHeight="1">
      <c r="A1010" s="35" t="s">
        <v>254</v>
      </c>
      <c r="B1010" s="35">
        <v>161.0</v>
      </c>
      <c r="C1010" s="35" t="s">
        <v>608</v>
      </c>
      <c r="D1010" s="35" t="s">
        <v>1149</v>
      </c>
      <c r="E1010" s="35">
        <v>339.0</v>
      </c>
      <c r="F1010" s="39" t="s">
        <v>1150</v>
      </c>
      <c r="G1010" s="35" t="s">
        <v>695</v>
      </c>
      <c r="H1010" s="31">
        <f>AVERAGE(4.75,4.34)</f>
        <v>4.545</v>
      </c>
      <c r="I1010" s="29" t="s">
        <v>612</v>
      </c>
      <c r="J1010" s="35" t="s">
        <v>642</v>
      </c>
      <c r="K1010" s="35" t="s">
        <v>840</v>
      </c>
      <c r="L1010" s="35" t="s">
        <v>1147</v>
      </c>
      <c r="M1010" s="35">
        <v>-79.743333</v>
      </c>
      <c r="N1010" s="34">
        <v>9.159722</v>
      </c>
      <c r="O1010" s="35" t="s">
        <v>641</v>
      </c>
      <c r="P1010" s="32" t="s">
        <v>643</v>
      </c>
      <c r="Q1010" s="35">
        <v>6.0</v>
      </c>
      <c r="R1010" s="35">
        <v>43.0</v>
      </c>
      <c r="S1010" s="36">
        <v>0.0</v>
      </c>
      <c r="T1010" s="36">
        <v>0.06</v>
      </c>
      <c r="U1010" s="36">
        <f t="shared" ref="U1010:V1010" si="257">SQRT(S1010)</f>
        <v>0</v>
      </c>
      <c r="V1010" s="36">
        <f t="shared" si="257"/>
        <v>0.2449489743</v>
      </c>
      <c r="W1010" s="35" t="s">
        <v>1148</v>
      </c>
      <c r="X1010" s="31">
        <v>4.2</v>
      </c>
      <c r="Y1010" s="36">
        <v>-8.262558973010657</v>
      </c>
      <c r="Z1010" s="36">
        <v>0.20782033407577302</v>
      </c>
      <c r="AA1010" s="35" t="s">
        <v>820</v>
      </c>
      <c r="AB1010" s="35">
        <v>2.068</v>
      </c>
      <c r="AC1010" s="35">
        <v>169.0</v>
      </c>
    </row>
    <row r="1011" ht="14.25" customHeight="1">
      <c r="A1011" s="35" t="s">
        <v>254</v>
      </c>
      <c r="B1011" s="35">
        <v>161.0</v>
      </c>
      <c r="C1011" s="35" t="s">
        <v>608</v>
      </c>
      <c r="D1011" s="35" t="s">
        <v>1151</v>
      </c>
      <c r="E1011" s="35">
        <v>346.0</v>
      </c>
      <c r="F1011" s="39" t="s">
        <v>1152</v>
      </c>
      <c r="G1011" s="35" t="s">
        <v>611</v>
      </c>
      <c r="H1011" s="31">
        <v>2.69049125</v>
      </c>
      <c r="I1011" s="29" t="s">
        <v>616</v>
      </c>
      <c r="J1011" s="35" t="s">
        <v>642</v>
      </c>
      <c r="K1011" s="35" t="s">
        <v>840</v>
      </c>
      <c r="L1011" s="35" t="s">
        <v>1147</v>
      </c>
      <c r="M1011" s="35">
        <v>-79.743333</v>
      </c>
      <c r="N1011" s="34">
        <v>9.159722</v>
      </c>
      <c r="O1011" s="35" t="s">
        <v>641</v>
      </c>
      <c r="P1011" s="32" t="s">
        <v>643</v>
      </c>
      <c r="Q1011" s="35">
        <v>6.0</v>
      </c>
      <c r="R1011" s="35">
        <v>43.0</v>
      </c>
      <c r="S1011" s="36">
        <v>0.07</v>
      </c>
      <c r="T1011" s="36">
        <v>0.1</v>
      </c>
      <c r="U1011" s="36">
        <f t="shared" ref="U1011:V1011" si="258">SQRT(S1011)</f>
        <v>0.2645751311</v>
      </c>
      <c r="V1011" s="36">
        <f t="shared" si="258"/>
        <v>0.316227766</v>
      </c>
      <c r="W1011" s="35" t="s">
        <v>1148</v>
      </c>
      <c r="X1011" s="31">
        <v>4.2</v>
      </c>
      <c r="Y1011" s="36">
        <v>-0.35630644336338635</v>
      </c>
      <c r="Z1011" s="36">
        <v>2.6135105204872646</v>
      </c>
      <c r="AA1011" s="35" t="s">
        <v>820</v>
      </c>
      <c r="AB1011" s="35">
        <v>2.068</v>
      </c>
      <c r="AC1011" s="35">
        <v>169.0</v>
      </c>
    </row>
    <row r="1012" ht="14.25" customHeight="1">
      <c r="A1012" s="35" t="s">
        <v>254</v>
      </c>
      <c r="B1012" s="35">
        <v>161.0</v>
      </c>
      <c r="C1012" s="35" t="s">
        <v>608</v>
      </c>
      <c r="D1012" s="29" t="s">
        <v>1153</v>
      </c>
      <c r="E1012" s="29">
        <v>74.0</v>
      </c>
      <c r="F1012" s="30" t="s">
        <v>1154</v>
      </c>
      <c r="G1012" s="29" t="s">
        <v>615</v>
      </c>
      <c r="H1012" s="31">
        <v>2.5</v>
      </c>
      <c r="I1012" s="29" t="s">
        <v>616</v>
      </c>
      <c r="J1012" s="35" t="s">
        <v>642</v>
      </c>
      <c r="K1012" s="35" t="s">
        <v>840</v>
      </c>
      <c r="L1012" s="35" t="s">
        <v>1147</v>
      </c>
      <c r="M1012" s="35">
        <v>-79.743333</v>
      </c>
      <c r="N1012" s="34">
        <v>9.159722</v>
      </c>
      <c r="O1012" s="35" t="s">
        <v>641</v>
      </c>
      <c r="P1012" s="32" t="s">
        <v>643</v>
      </c>
      <c r="Q1012" s="35">
        <v>6.0</v>
      </c>
      <c r="R1012" s="35">
        <v>43.0</v>
      </c>
      <c r="S1012" s="36">
        <v>0.14</v>
      </c>
      <c r="T1012" s="36">
        <v>3.26</v>
      </c>
      <c r="U1012" s="36">
        <f t="shared" ref="U1012:V1012" si="259">SQRT(S1012)</f>
        <v>0.3741657387</v>
      </c>
      <c r="V1012" s="36">
        <f t="shared" si="259"/>
        <v>1.805547009</v>
      </c>
      <c r="W1012" s="35" t="s">
        <v>1148</v>
      </c>
      <c r="X1012" s="31">
        <v>4.2</v>
      </c>
      <c r="Y1012" s="36">
        <v>-3.1418503596015612</v>
      </c>
      <c r="Z1012" s="36">
        <v>1.1976098757379967</v>
      </c>
      <c r="AA1012" s="35" t="s">
        <v>820</v>
      </c>
      <c r="AB1012" s="35">
        <v>2.068</v>
      </c>
      <c r="AC1012" s="35">
        <v>169.0</v>
      </c>
    </row>
    <row r="1013" ht="14.25" customHeight="1">
      <c r="A1013" s="35" t="s">
        <v>254</v>
      </c>
      <c r="B1013" s="35">
        <v>161.0</v>
      </c>
      <c r="C1013" s="35" t="s">
        <v>608</v>
      </c>
      <c r="D1013" s="35" t="s">
        <v>675</v>
      </c>
      <c r="E1013" s="29">
        <v>204.0</v>
      </c>
      <c r="F1013" s="30" t="s">
        <v>676</v>
      </c>
      <c r="G1013" s="29" t="s">
        <v>629</v>
      </c>
      <c r="H1013" s="31">
        <v>3.91</v>
      </c>
      <c r="I1013" s="29" t="s">
        <v>657</v>
      </c>
      <c r="J1013" s="35" t="s">
        <v>642</v>
      </c>
      <c r="K1013" s="35" t="s">
        <v>840</v>
      </c>
      <c r="L1013" s="35" t="s">
        <v>1147</v>
      </c>
      <c r="M1013" s="35">
        <v>-79.743333</v>
      </c>
      <c r="N1013" s="34">
        <v>9.159722</v>
      </c>
      <c r="O1013" s="35" t="s">
        <v>641</v>
      </c>
      <c r="P1013" s="32" t="s">
        <v>643</v>
      </c>
      <c r="Q1013" s="35">
        <v>6.0</v>
      </c>
      <c r="R1013" s="35">
        <v>43.0</v>
      </c>
      <c r="S1013" s="36">
        <v>0.0</v>
      </c>
      <c r="T1013" s="36">
        <v>0.01</v>
      </c>
      <c r="U1013" s="36">
        <f t="shared" ref="U1013:V1013" si="260">SQRT(S1013)</f>
        <v>0</v>
      </c>
      <c r="V1013" s="36">
        <f t="shared" si="260"/>
        <v>0.1</v>
      </c>
      <c r="W1013" s="35" t="s">
        <v>1148</v>
      </c>
      <c r="X1013" s="31">
        <v>4.2</v>
      </c>
      <c r="Y1013" s="36">
        <v>-8.262558973010657</v>
      </c>
      <c r="Z1013" s="36">
        <v>0.198854644456962</v>
      </c>
      <c r="AA1013" s="35" t="s">
        <v>820</v>
      </c>
      <c r="AB1013" s="35">
        <v>2.068</v>
      </c>
      <c r="AC1013" s="35">
        <v>169.0</v>
      </c>
    </row>
    <row r="1014" ht="14.25" customHeight="1">
      <c r="A1014" s="35" t="s">
        <v>254</v>
      </c>
      <c r="B1014" s="35">
        <v>161.0</v>
      </c>
      <c r="C1014" s="35" t="s">
        <v>608</v>
      </c>
      <c r="D1014" s="29" t="s">
        <v>1155</v>
      </c>
      <c r="E1014" s="29">
        <v>367.0</v>
      </c>
      <c r="F1014" s="30" t="s">
        <v>1156</v>
      </c>
      <c r="G1014" s="29" t="s">
        <v>626</v>
      </c>
      <c r="H1014" s="31">
        <f>AVERAGE(22.8,18.8)</f>
        <v>20.8</v>
      </c>
      <c r="I1014" s="29" t="s">
        <v>612</v>
      </c>
      <c r="J1014" s="35" t="s">
        <v>642</v>
      </c>
      <c r="K1014" s="35" t="s">
        <v>840</v>
      </c>
      <c r="L1014" s="35" t="s">
        <v>1147</v>
      </c>
      <c r="M1014" s="35">
        <v>-79.743333</v>
      </c>
      <c r="N1014" s="34">
        <v>9.159722</v>
      </c>
      <c r="O1014" s="35" t="s">
        <v>641</v>
      </c>
      <c r="P1014" s="32" t="s">
        <v>643</v>
      </c>
      <c r="Q1014" s="35">
        <v>6.0</v>
      </c>
      <c r="R1014" s="35">
        <v>43.0</v>
      </c>
      <c r="S1014" s="36">
        <v>0.0</v>
      </c>
      <c r="T1014" s="36">
        <v>0.04</v>
      </c>
      <c r="U1014" s="36">
        <f t="shared" ref="U1014:V1014" si="261">SQRT(S1014)</f>
        <v>0</v>
      </c>
      <c r="V1014" s="36">
        <f t="shared" si="261"/>
        <v>0.2</v>
      </c>
      <c r="W1014" s="35" t="s">
        <v>1148</v>
      </c>
      <c r="X1014" s="31">
        <v>4.2</v>
      </c>
      <c r="Y1014" s="36">
        <v>-8.262558973010657</v>
      </c>
      <c r="Z1014" s="36">
        <v>0.20574536638274793</v>
      </c>
      <c r="AA1014" s="35" t="s">
        <v>820</v>
      </c>
      <c r="AB1014" s="35">
        <v>2.068</v>
      </c>
      <c r="AC1014" s="35">
        <v>169.0</v>
      </c>
    </row>
    <row r="1015" ht="14.25" customHeight="1">
      <c r="A1015" s="35" t="s">
        <v>254</v>
      </c>
      <c r="B1015" s="35">
        <v>161.0</v>
      </c>
      <c r="C1015" s="35" t="s">
        <v>608</v>
      </c>
      <c r="D1015" s="29" t="s">
        <v>853</v>
      </c>
      <c r="E1015" s="29">
        <v>110.0</v>
      </c>
      <c r="F1015" s="30" t="s">
        <v>854</v>
      </c>
      <c r="G1015" s="29" t="s">
        <v>629</v>
      </c>
      <c r="H1015" s="31">
        <v>4.03</v>
      </c>
      <c r="I1015" s="29" t="s">
        <v>597</v>
      </c>
      <c r="J1015" s="35" t="s">
        <v>642</v>
      </c>
      <c r="K1015" s="35" t="s">
        <v>840</v>
      </c>
      <c r="L1015" s="35" t="s">
        <v>1147</v>
      </c>
      <c r="M1015" s="35">
        <v>-79.743333</v>
      </c>
      <c r="N1015" s="34">
        <v>9.159722</v>
      </c>
      <c r="O1015" s="35" t="s">
        <v>641</v>
      </c>
      <c r="P1015" s="32" t="s">
        <v>643</v>
      </c>
      <c r="Q1015" s="35">
        <v>6.0</v>
      </c>
      <c r="R1015" s="35">
        <v>43.0</v>
      </c>
      <c r="S1015" s="36">
        <v>0.07</v>
      </c>
      <c r="T1015" s="36">
        <v>0.22</v>
      </c>
      <c r="U1015" s="36">
        <f t="shared" ref="U1015:V1015" si="262">SQRT(S1015)</f>
        <v>0.2645751311</v>
      </c>
      <c r="V1015" s="36">
        <f t="shared" si="262"/>
        <v>0.469041576</v>
      </c>
      <c r="W1015" s="35" t="s">
        <v>1148</v>
      </c>
      <c r="X1015" s="31">
        <v>4.2</v>
      </c>
      <c r="Y1015" s="36">
        <v>-1.1443217822087461</v>
      </c>
      <c r="Z1015" s="36">
        <v>2.4866606261955098</v>
      </c>
      <c r="AA1015" s="35" t="s">
        <v>820</v>
      </c>
      <c r="AB1015" s="35">
        <v>2.068</v>
      </c>
      <c r="AC1015" s="35">
        <v>169.0</v>
      </c>
    </row>
    <row r="1016" ht="14.25" customHeight="1">
      <c r="A1016" s="35" t="s">
        <v>254</v>
      </c>
      <c r="B1016" s="35">
        <v>161.0</v>
      </c>
      <c r="C1016" s="35" t="s">
        <v>608</v>
      </c>
      <c r="D1016" s="29" t="s">
        <v>967</v>
      </c>
      <c r="E1016" s="29">
        <v>114.0</v>
      </c>
      <c r="F1016" s="30" t="s">
        <v>856</v>
      </c>
      <c r="G1016" s="29" t="s">
        <v>626</v>
      </c>
      <c r="H1016" s="31">
        <v>55.51</v>
      </c>
      <c r="I1016" s="29" t="s">
        <v>612</v>
      </c>
      <c r="J1016" s="35" t="s">
        <v>642</v>
      </c>
      <c r="K1016" s="35" t="s">
        <v>840</v>
      </c>
      <c r="L1016" s="35" t="s">
        <v>1147</v>
      </c>
      <c r="M1016" s="35">
        <v>-79.743333</v>
      </c>
      <c r="N1016" s="34">
        <v>9.159722</v>
      </c>
      <c r="O1016" s="35" t="s">
        <v>641</v>
      </c>
      <c r="P1016" s="32" t="s">
        <v>643</v>
      </c>
      <c r="Q1016" s="35">
        <v>6.0</v>
      </c>
      <c r="R1016" s="35">
        <v>43.0</v>
      </c>
      <c r="S1016" s="36">
        <v>0.0</v>
      </c>
      <c r="T1016" s="36">
        <v>0.01</v>
      </c>
      <c r="U1016" s="36">
        <f t="shared" ref="U1016:V1016" si="263">SQRT(S1016)</f>
        <v>0</v>
      </c>
      <c r="V1016" s="36">
        <f t="shared" si="263"/>
        <v>0.1</v>
      </c>
      <c r="W1016" s="35" t="s">
        <v>1148</v>
      </c>
      <c r="X1016" s="31">
        <v>4.2</v>
      </c>
      <c r="Y1016" s="36">
        <v>-8.262558973010657</v>
      </c>
      <c r="Z1016" s="36">
        <v>0.198854644456962</v>
      </c>
      <c r="AA1016" s="35" t="s">
        <v>820</v>
      </c>
      <c r="AB1016" s="35">
        <v>2.068</v>
      </c>
      <c r="AC1016" s="35">
        <v>169.0</v>
      </c>
    </row>
    <row r="1017" ht="14.25" customHeight="1">
      <c r="A1017" s="35" t="s">
        <v>254</v>
      </c>
      <c r="B1017" s="35">
        <v>161.0</v>
      </c>
      <c r="C1017" s="35" t="s">
        <v>608</v>
      </c>
      <c r="D1017" s="35" t="s">
        <v>836</v>
      </c>
      <c r="E1017" s="29">
        <v>218.0</v>
      </c>
      <c r="F1017" s="30" t="s">
        <v>837</v>
      </c>
      <c r="G1017" s="35" t="s">
        <v>611</v>
      </c>
      <c r="H1017" s="31">
        <v>0.47</v>
      </c>
      <c r="I1017" s="29" t="s">
        <v>616</v>
      </c>
      <c r="J1017" s="35" t="s">
        <v>642</v>
      </c>
      <c r="K1017" s="35" t="s">
        <v>840</v>
      </c>
      <c r="L1017" s="35" t="s">
        <v>1147</v>
      </c>
      <c r="M1017" s="35">
        <v>-79.743333</v>
      </c>
      <c r="N1017" s="34">
        <v>9.159722</v>
      </c>
      <c r="O1017" s="35" t="s">
        <v>641</v>
      </c>
      <c r="P1017" s="32" t="s">
        <v>643</v>
      </c>
      <c r="Q1017" s="35">
        <v>6.0</v>
      </c>
      <c r="R1017" s="35">
        <v>43.0</v>
      </c>
      <c r="S1017" s="36">
        <v>0.0</v>
      </c>
      <c r="T1017" s="36">
        <v>0.03</v>
      </c>
      <c r="U1017" s="36">
        <f t="shared" ref="U1017:V1017" si="264">SQRT(S1017)</f>
        <v>0</v>
      </c>
      <c r="V1017" s="36">
        <f t="shared" si="264"/>
        <v>0.1732050808</v>
      </c>
      <c r="W1017" s="35" t="s">
        <v>1148</v>
      </c>
      <c r="X1017" s="31">
        <v>4.2</v>
      </c>
      <c r="Y1017" s="36">
        <v>-8.262558973010657</v>
      </c>
      <c r="Z1017" s="36">
        <v>0.20418768140806165</v>
      </c>
      <c r="AA1017" s="35" t="s">
        <v>820</v>
      </c>
      <c r="AB1017" s="35">
        <v>2.068</v>
      </c>
      <c r="AC1017" s="35">
        <v>169.0</v>
      </c>
    </row>
    <row r="1018" ht="14.25" customHeight="1">
      <c r="A1018" s="35" t="s">
        <v>254</v>
      </c>
      <c r="B1018" s="35">
        <v>161.0</v>
      </c>
      <c r="C1018" s="35" t="s">
        <v>608</v>
      </c>
      <c r="D1018" s="29" t="s">
        <v>1035</v>
      </c>
      <c r="E1018" s="29">
        <v>176.0</v>
      </c>
      <c r="F1018" s="30" t="s">
        <v>1036</v>
      </c>
      <c r="G1018" s="29" t="s">
        <v>615</v>
      </c>
      <c r="H1018" s="31">
        <v>0.6</v>
      </c>
      <c r="I1018" s="29" t="s">
        <v>597</v>
      </c>
      <c r="J1018" s="35" t="s">
        <v>642</v>
      </c>
      <c r="K1018" s="35" t="s">
        <v>840</v>
      </c>
      <c r="L1018" s="35" t="s">
        <v>1147</v>
      </c>
      <c r="M1018" s="35">
        <v>-79.743333</v>
      </c>
      <c r="N1018" s="34">
        <v>9.159722</v>
      </c>
      <c r="O1018" s="35" t="s">
        <v>641</v>
      </c>
      <c r="P1018" s="32" t="s">
        <v>643</v>
      </c>
      <c r="Q1018" s="35">
        <v>6.0</v>
      </c>
      <c r="R1018" s="35">
        <v>43.0</v>
      </c>
      <c r="S1018" s="36">
        <v>0.07</v>
      </c>
      <c r="T1018" s="36">
        <v>2.51</v>
      </c>
      <c r="U1018" s="36">
        <f t="shared" ref="U1018:V1018" si="265">SQRT(S1018)</f>
        <v>0.2645751311</v>
      </c>
      <c r="V1018" s="36">
        <f t="shared" si="265"/>
        <v>1.584297952</v>
      </c>
      <c r="W1018" s="35" t="s">
        <v>1148</v>
      </c>
      <c r="X1018" s="31">
        <v>4.2</v>
      </c>
      <c r="Y1018" s="36">
        <v>-3.5703342502737603</v>
      </c>
      <c r="Z1018" s="36">
        <v>2.390217645475683</v>
      </c>
      <c r="AA1018" s="35" t="s">
        <v>820</v>
      </c>
      <c r="AB1018" s="35">
        <v>2.068</v>
      </c>
      <c r="AC1018" s="35">
        <v>169.0</v>
      </c>
    </row>
    <row r="1019" ht="14.25" customHeight="1">
      <c r="A1019" s="35" t="s">
        <v>254</v>
      </c>
      <c r="B1019" s="35">
        <v>161.0</v>
      </c>
      <c r="C1019" s="35" t="s">
        <v>608</v>
      </c>
      <c r="D1019" s="29" t="s">
        <v>968</v>
      </c>
      <c r="E1019" s="29">
        <v>186.0</v>
      </c>
      <c r="F1019" s="30" t="s">
        <v>969</v>
      </c>
      <c r="G1019" s="29" t="s">
        <v>695</v>
      </c>
      <c r="H1019" s="31">
        <v>4.21</v>
      </c>
      <c r="I1019" s="29" t="s">
        <v>620</v>
      </c>
      <c r="J1019" s="35" t="s">
        <v>642</v>
      </c>
      <c r="K1019" s="35" t="s">
        <v>840</v>
      </c>
      <c r="L1019" s="35" t="s">
        <v>1147</v>
      </c>
      <c r="M1019" s="35">
        <v>-79.743333</v>
      </c>
      <c r="N1019" s="34">
        <v>9.159722</v>
      </c>
      <c r="O1019" s="35" t="s">
        <v>641</v>
      </c>
      <c r="P1019" s="32" t="s">
        <v>643</v>
      </c>
      <c r="Q1019" s="35">
        <v>6.0</v>
      </c>
      <c r="R1019" s="35">
        <v>43.0</v>
      </c>
      <c r="S1019" s="36">
        <v>0.07</v>
      </c>
      <c r="T1019" s="36">
        <v>0.08</v>
      </c>
      <c r="U1019" s="36">
        <f t="shared" ref="U1019:V1019" si="266">SQRT(S1019)</f>
        <v>0.2645751311</v>
      </c>
      <c r="V1019" s="36">
        <f t="shared" si="266"/>
        <v>0.2828427125</v>
      </c>
      <c r="W1019" s="35" t="s">
        <v>1148</v>
      </c>
      <c r="X1019" s="31">
        <v>4.2</v>
      </c>
      <c r="Y1019" s="36">
        <v>-0.13323658130163246</v>
      </c>
      <c r="Z1019" s="36">
        <v>2.6716500553709857</v>
      </c>
      <c r="AA1019" s="35" t="s">
        <v>820</v>
      </c>
      <c r="AB1019" s="35">
        <v>2.068</v>
      </c>
      <c r="AC1019" s="35">
        <v>169.0</v>
      </c>
    </row>
    <row r="1020" ht="14.25" customHeight="1">
      <c r="A1020" s="35" t="s">
        <v>254</v>
      </c>
      <c r="B1020" s="35">
        <v>161.0</v>
      </c>
      <c r="C1020" s="35" t="s">
        <v>608</v>
      </c>
      <c r="D1020" s="29" t="s">
        <v>860</v>
      </c>
      <c r="E1020" s="29">
        <v>187.0</v>
      </c>
      <c r="F1020" s="30" t="s">
        <v>861</v>
      </c>
      <c r="G1020" s="29" t="s">
        <v>638</v>
      </c>
      <c r="H1020" s="31">
        <v>300.0</v>
      </c>
      <c r="I1020" s="29" t="s">
        <v>612</v>
      </c>
      <c r="J1020" s="35" t="s">
        <v>642</v>
      </c>
      <c r="K1020" s="35" t="s">
        <v>840</v>
      </c>
      <c r="L1020" s="35" t="s">
        <v>1147</v>
      </c>
      <c r="M1020" s="35">
        <v>-79.743333</v>
      </c>
      <c r="N1020" s="34">
        <v>9.159722</v>
      </c>
      <c r="O1020" s="35" t="s">
        <v>641</v>
      </c>
      <c r="P1020" s="32" t="s">
        <v>643</v>
      </c>
      <c r="Q1020" s="35">
        <v>6.0</v>
      </c>
      <c r="R1020" s="35">
        <v>43.0</v>
      </c>
      <c r="S1020" s="36">
        <v>0.0</v>
      </c>
      <c r="T1020" s="36">
        <v>0.01</v>
      </c>
      <c r="U1020" s="36">
        <f t="shared" ref="U1020:V1020" si="267">SQRT(S1020)</f>
        <v>0</v>
      </c>
      <c r="V1020" s="36">
        <f t="shared" si="267"/>
        <v>0.1</v>
      </c>
      <c r="W1020" s="35" t="s">
        <v>1148</v>
      </c>
      <c r="X1020" s="31">
        <v>4.2</v>
      </c>
      <c r="Y1020" s="36">
        <v>-8.262558973010657</v>
      </c>
      <c r="Z1020" s="36">
        <v>0.198854644456962</v>
      </c>
      <c r="AA1020" s="35" t="s">
        <v>820</v>
      </c>
      <c r="AB1020" s="35">
        <v>2.068</v>
      </c>
      <c r="AC1020" s="35">
        <v>169.0</v>
      </c>
    </row>
    <row r="1021" ht="14.25" customHeight="1">
      <c r="A1021" s="35" t="s">
        <v>254</v>
      </c>
      <c r="B1021" s="35">
        <v>161.0</v>
      </c>
      <c r="C1021" s="35" t="s">
        <v>608</v>
      </c>
      <c r="D1021" s="29" t="s">
        <v>1157</v>
      </c>
      <c r="E1021" s="35">
        <v>363.0</v>
      </c>
      <c r="F1021" s="39" t="s">
        <v>1158</v>
      </c>
      <c r="G1021" s="35" t="s">
        <v>626</v>
      </c>
      <c r="H1021" s="31">
        <f>AVERAGE(32.23,21.27)</f>
        <v>26.75</v>
      </c>
      <c r="I1021" s="35" t="s">
        <v>597</v>
      </c>
      <c r="J1021" s="35" t="s">
        <v>642</v>
      </c>
      <c r="K1021" s="35" t="s">
        <v>840</v>
      </c>
      <c r="L1021" s="35" t="s">
        <v>1147</v>
      </c>
      <c r="M1021" s="35">
        <v>-79.743333</v>
      </c>
      <c r="N1021" s="34">
        <v>9.159722</v>
      </c>
      <c r="O1021" s="35" t="s">
        <v>641</v>
      </c>
      <c r="P1021" s="32" t="s">
        <v>643</v>
      </c>
      <c r="Q1021" s="35">
        <v>6.0</v>
      </c>
      <c r="R1021" s="35">
        <v>43.0</v>
      </c>
      <c r="S1021" s="36">
        <v>0.0</v>
      </c>
      <c r="T1021" s="36">
        <v>0.09</v>
      </c>
      <c r="U1021" s="36">
        <f t="shared" ref="U1021:V1021" si="268">SQRT(S1021)</f>
        <v>0</v>
      </c>
      <c r="V1021" s="36">
        <f t="shared" si="268"/>
        <v>0.3</v>
      </c>
      <c r="W1021" s="35" t="s">
        <v>1148</v>
      </c>
      <c r="X1021" s="31">
        <v>4.2</v>
      </c>
      <c r="Y1021" s="36">
        <v>-8.262558973010657</v>
      </c>
      <c r="Z1021" s="36">
        <v>0.2094236931827039</v>
      </c>
      <c r="AA1021" s="35" t="s">
        <v>820</v>
      </c>
      <c r="AB1021" s="35">
        <v>2.068</v>
      </c>
      <c r="AC1021" s="35">
        <v>169.0</v>
      </c>
    </row>
    <row r="1022" ht="14.25" customHeight="1">
      <c r="A1022" s="29" t="s">
        <v>77</v>
      </c>
      <c r="B1022" s="29">
        <v>37.0</v>
      </c>
      <c r="C1022" s="29" t="s">
        <v>608</v>
      </c>
      <c r="D1022" s="29" t="s">
        <v>1159</v>
      </c>
      <c r="E1022" s="29">
        <v>20.0</v>
      </c>
      <c r="F1022" s="30" t="s">
        <v>1160</v>
      </c>
      <c r="G1022" s="29" t="s">
        <v>626</v>
      </c>
      <c r="H1022" s="31">
        <v>825.0</v>
      </c>
      <c r="I1022" s="29" t="s">
        <v>612</v>
      </c>
      <c r="J1022" s="32" t="s">
        <v>642</v>
      </c>
      <c r="K1022" s="29" t="s">
        <v>951</v>
      </c>
      <c r="L1022" s="29" t="s">
        <v>1161</v>
      </c>
      <c r="M1022" s="33">
        <v>107.0</v>
      </c>
      <c r="N1022" s="33">
        <v>12.71</v>
      </c>
      <c r="O1022" s="34" t="s">
        <v>601</v>
      </c>
      <c r="P1022" s="32" t="s">
        <v>602</v>
      </c>
      <c r="Q1022" s="35">
        <v>19.0</v>
      </c>
      <c r="R1022" s="35">
        <v>18.0</v>
      </c>
      <c r="S1022" s="36">
        <v>0.2</v>
      </c>
      <c r="T1022" s="36">
        <v>0.4843</v>
      </c>
      <c r="U1022" s="36">
        <v>0.5327</v>
      </c>
      <c r="V1022" s="36">
        <v>1.2293</v>
      </c>
      <c r="W1022" s="37" t="s">
        <v>1162</v>
      </c>
      <c r="X1022" s="31">
        <v>8.75</v>
      </c>
      <c r="Y1022" s="36">
        <v>-0.883762635929126</v>
      </c>
      <c r="Z1022" s="36">
        <v>0.731324012619071</v>
      </c>
      <c r="AA1022" s="29" t="s">
        <v>820</v>
      </c>
      <c r="AB1022" s="31">
        <v>0.455893039703</v>
      </c>
      <c r="AC1022" s="38">
        <v>865.0</v>
      </c>
    </row>
    <row r="1023" ht="14.25" customHeight="1">
      <c r="A1023" s="29" t="s">
        <v>77</v>
      </c>
      <c r="B1023" s="29">
        <v>37.0</v>
      </c>
      <c r="C1023" s="29" t="s">
        <v>608</v>
      </c>
      <c r="D1023" s="29" t="s">
        <v>1163</v>
      </c>
      <c r="E1023" s="29">
        <v>21.0</v>
      </c>
      <c r="F1023" s="30" t="s">
        <v>1164</v>
      </c>
      <c r="G1023" s="29" t="s">
        <v>626</v>
      </c>
      <c r="H1023" s="31">
        <v>625.0</v>
      </c>
      <c r="I1023" s="29" t="s">
        <v>612</v>
      </c>
      <c r="J1023" s="32" t="s">
        <v>642</v>
      </c>
      <c r="K1023" s="29" t="s">
        <v>951</v>
      </c>
      <c r="L1023" s="29" t="s">
        <v>1161</v>
      </c>
      <c r="M1023" s="33">
        <v>107.0</v>
      </c>
      <c r="N1023" s="33">
        <v>12.71</v>
      </c>
      <c r="O1023" s="34" t="s">
        <v>601</v>
      </c>
      <c r="P1023" s="32" t="s">
        <v>602</v>
      </c>
      <c r="Q1023" s="35">
        <v>19.0</v>
      </c>
      <c r="R1023" s="35">
        <v>18.0</v>
      </c>
      <c r="S1023" s="36">
        <v>2.3802</v>
      </c>
      <c r="T1023" s="36">
        <v>2.4191</v>
      </c>
      <c r="U1023" s="36">
        <v>4.0033</v>
      </c>
      <c r="V1023" s="36">
        <v>3.1249</v>
      </c>
      <c r="W1023" s="37" t="s">
        <v>1162</v>
      </c>
      <c r="X1023" s="31">
        <v>8.75</v>
      </c>
      <c r="Y1023" s="36">
        <v>-0.015948872337170815</v>
      </c>
      <c r="Z1023" s="36">
        <v>0.24158929371575782</v>
      </c>
      <c r="AA1023" s="29" t="s">
        <v>820</v>
      </c>
      <c r="AB1023" s="31">
        <v>0.455893039703</v>
      </c>
      <c r="AC1023" s="38">
        <v>865.0</v>
      </c>
    </row>
    <row r="1024" ht="14.25" customHeight="1">
      <c r="A1024" s="29" t="s">
        <v>77</v>
      </c>
      <c r="B1024" s="29">
        <v>37.0</v>
      </c>
      <c r="C1024" s="29" t="s">
        <v>608</v>
      </c>
      <c r="D1024" s="29" t="s">
        <v>1165</v>
      </c>
      <c r="E1024" s="29">
        <v>71.0</v>
      </c>
      <c r="F1024" s="30" t="s">
        <v>1166</v>
      </c>
      <c r="G1024" s="29" t="s">
        <v>629</v>
      </c>
      <c r="H1024" s="31">
        <v>14.17</v>
      </c>
      <c r="I1024" s="29" t="s">
        <v>657</v>
      </c>
      <c r="J1024" s="32" t="s">
        <v>642</v>
      </c>
      <c r="K1024" s="29" t="s">
        <v>951</v>
      </c>
      <c r="L1024" s="29" t="s">
        <v>1161</v>
      </c>
      <c r="M1024" s="33">
        <v>107.0</v>
      </c>
      <c r="N1024" s="33">
        <v>12.71</v>
      </c>
      <c r="O1024" s="34" t="s">
        <v>601</v>
      </c>
      <c r="P1024" s="32" t="s">
        <v>602</v>
      </c>
      <c r="Q1024" s="35">
        <v>19.0</v>
      </c>
      <c r="R1024" s="35">
        <v>18.0</v>
      </c>
      <c r="S1024" s="36">
        <v>0.7155</v>
      </c>
      <c r="T1024" s="36">
        <v>0.3584</v>
      </c>
      <c r="U1024" s="36">
        <v>1.1173</v>
      </c>
      <c r="V1024" s="36">
        <v>1.215</v>
      </c>
      <c r="W1024" s="37" t="s">
        <v>1162</v>
      </c>
      <c r="X1024" s="31">
        <v>8.75</v>
      </c>
      <c r="Y1024" s="36">
        <v>0.6914611428935051</v>
      </c>
      <c r="Z1024" s="36">
        <v>0.7668166080806875</v>
      </c>
      <c r="AA1024" s="29" t="s">
        <v>820</v>
      </c>
      <c r="AB1024" s="31">
        <v>0.455893039703</v>
      </c>
      <c r="AC1024" s="38">
        <v>865.0</v>
      </c>
    </row>
    <row r="1025" ht="14.25" customHeight="1">
      <c r="A1025" s="29" t="s">
        <v>77</v>
      </c>
      <c r="B1025" s="29">
        <v>37.0</v>
      </c>
      <c r="C1025" s="29" t="s">
        <v>608</v>
      </c>
      <c r="D1025" s="29" t="s">
        <v>1167</v>
      </c>
      <c r="E1025" s="29">
        <v>77.0</v>
      </c>
      <c r="F1025" s="30" t="s">
        <v>1168</v>
      </c>
      <c r="G1025" s="29" t="s">
        <v>753</v>
      </c>
      <c r="H1025" s="31">
        <v>2915.04</v>
      </c>
      <c r="I1025" s="29" t="s">
        <v>612</v>
      </c>
      <c r="J1025" s="32" t="s">
        <v>642</v>
      </c>
      <c r="K1025" s="29" t="s">
        <v>951</v>
      </c>
      <c r="L1025" s="29" t="s">
        <v>1161</v>
      </c>
      <c r="M1025" s="33">
        <v>107.0</v>
      </c>
      <c r="N1025" s="33">
        <v>12.71</v>
      </c>
      <c r="O1025" s="34" t="s">
        <v>601</v>
      </c>
      <c r="P1025" s="32" t="s">
        <v>602</v>
      </c>
      <c r="Q1025" s="35">
        <v>19.0</v>
      </c>
      <c r="R1025" s="35">
        <v>18.0</v>
      </c>
      <c r="S1025" s="36">
        <v>2.2135</v>
      </c>
      <c r="T1025" s="36">
        <v>4.5438</v>
      </c>
      <c r="U1025" s="36">
        <v>2.8501</v>
      </c>
      <c r="V1025" s="36">
        <v>6.0838</v>
      </c>
      <c r="W1025" s="37" t="s">
        <v>1162</v>
      </c>
      <c r="X1025" s="31">
        <v>8.75</v>
      </c>
      <c r="Y1025" s="36">
        <v>-0.718659223691608</v>
      </c>
      <c r="Z1025" s="36">
        <v>0.18685378117003576</v>
      </c>
      <c r="AA1025" s="29" t="s">
        <v>820</v>
      </c>
      <c r="AB1025" s="31">
        <v>0.455893039703</v>
      </c>
      <c r="AC1025" s="38">
        <v>865.0</v>
      </c>
    </row>
    <row r="1026" ht="14.25" customHeight="1">
      <c r="A1026" s="29" t="s">
        <v>77</v>
      </c>
      <c r="B1026" s="29">
        <v>37.0</v>
      </c>
      <c r="C1026" s="29" t="s">
        <v>608</v>
      </c>
      <c r="D1026" s="29" t="s">
        <v>1169</v>
      </c>
      <c r="E1026" s="29">
        <v>88.0</v>
      </c>
      <c r="F1026" s="30" t="s">
        <v>1170</v>
      </c>
      <c r="G1026" s="29" t="s">
        <v>615</v>
      </c>
      <c r="H1026" s="31">
        <v>8.45</v>
      </c>
      <c r="I1026" s="29" t="s">
        <v>612</v>
      </c>
      <c r="J1026" s="32" t="s">
        <v>642</v>
      </c>
      <c r="K1026" s="29" t="s">
        <v>951</v>
      </c>
      <c r="L1026" s="29" t="s">
        <v>1161</v>
      </c>
      <c r="M1026" s="33">
        <v>107.0</v>
      </c>
      <c r="N1026" s="33">
        <v>12.71</v>
      </c>
      <c r="O1026" s="34" t="s">
        <v>601</v>
      </c>
      <c r="P1026" s="32" t="s">
        <v>602</v>
      </c>
      <c r="Q1026" s="35">
        <v>19.0</v>
      </c>
      <c r="R1026" s="35">
        <v>18.0</v>
      </c>
      <c r="S1026" s="36">
        <v>1.1733</v>
      </c>
      <c r="T1026" s="36">
        <v>1.1811</v>
      </c>
      <c r="U1026" s="36">
        <v>2.2067</v>
      </c>
      <c r="V1026" s="36">
        <v>1.9059</v>
      </c>
      <c r="W1026" s="37" t="s">
        <v>1162</v>
      </c>
      <c r="X1026" s="31">
        <v>8.75</v>
      </c>
      <c r="Y1026" s="36">
        <v>-0.006366236823170462</v>
      </c>
      <c r="Z1026" s="36">
        <v>0.33083417756297057</v>
      </c>
      <c r="AA1026" s="29" t="s">
        <v>820</v>
      </c>
      <c r="AB1026" s="31">
        <v>0.455893039703</v>
      </c>
      <c r="AC1026" s="38">
        <v>865.0</v>
      </c>
    </row>
    <row r="1027" ht="14.25" customHeight="1">
      <c r="A1027" s="29" t="s">
        <v>77</v>
      </c>
      <c r="B1027" s="29">
        <v>37.0</v>
      </c>
      <c r="C1027" s="29" t="s">
        <v>608</v>
      </c>
      <c r="D1027" s="29" t="s">
        <v>1171</v>
      </c>
      <c r="E1027" s="29">
        <v>98.0</v>
      </c>
      <c r="F1027" s="30" t="s">
        <v>1172</v>
      </c>
      <c r="G1027" s="29" t="s">
        <v>611</v>
      </c>
      <c r="H1027" s="31">
        <v>6.3</v>
      </c>
      <c r="I1027" s="29" t="s">
        <v>597</v>
      </c>
      <c r="J1027" s="32" t="s">
        <v>642</v>
      </c>
      <c r="K1027" s="29" t="s">
        <v>951</v>
      </c>
      <c r="L1027" s="29" t="s">
        <v>1161</v>
      </c>
      <c r="M1027" s="33">
        <v>107.0</v>
      </c>
      <c r="N1027" s="33">
        <v>12.71</v>
      </c>
      <c r="O1027" s="34" t="s">
        <v>601</v>
      </c>
      <c r="P1027" s="32" t="s">
        <v>602</v>
      </c>
      <c r="Q1027" s="35">
        <v>19.0</v>
      </c>
      <c r="R1027" s="35">
        <v>18.0</v>
      </c>
      <c r="S1027" s="36">
        <v>0.0554</v>
      </c>
      <c r="T1027" s="36">
        <v>0.7495</v>
      </c>
      <c r="U1027" s="36">
        <v>0.2415</v>
      </c>
      <c r="V1027" s="36">
        <v>1.5658</v>
      </c>
      <c r="W1027" s="37" t="s">
        <v>1162</v>
      </c>
      <c r="X1027" s="31">
        <v>8.75</v>
      </c>
      <c r="Y1027" s="36">
        <v>-2.6013423778391402</v>
      </c>
      <c r="Z1027" s="36">
        <v>1.2426101113713117</v>
      </c>
      <c r="AA1027" s="29" t="s">
        <v>820</v>
      </c>
      <c r="AB1027" s="31">
        <v>0.455893039703</v>
      </c>
      <c r="AC1027" s="38">
        <v>865.0</v>
      </c>
    </row>
    <row r="1028" ht="14.25" customHeight="1">
      <c r="A1028" s="29" t="s">
        <v>77</v>
      </c>
      <c r="B1028" s="29">
        <v>37.0</v>
      </c>
      <c r="C1028" s="29" t="s">
        <v>608</v>
      </c>
      <c r="D1028" s="29" t="s">
        <v>1173</v>
      </c>
      <c r="E1028" s="29">
        <v>106.0</v>
      </c>
      <c r="F1028" s="30" t="s">
        <v>1174</v>
      </c>
      <c r="G1028" s="29" t="s">
        <v>626</v>
      </c>
      <c r="H1028" s="31">
        <v>15.93</v>
      </c>
      <c r="I1028" s="29" t="s">
        <v>612</v>
      </c>
      <c r="J1028" s="32" t="s">
        <v>642</v>
      </c>
      <c r="K1028" s="29" t="s">
        <v>951</v>
      </c>
      <c r="L1028" s="29" t="s">
        <v>1161</v>
      </c>
      <c r="M1028" s="33">
        <v>107.0</v>
      </c>
      <c r="N1028" s="33">
        <v>12.71</v>
      </c>
      <c r="O1028" s="34" t="s">
        <v>601</v>
      </c>
      <c r="P1028" s="32" t="s">
        <v>602</v>
      </c>
      <c r="Q1028" s="35">
        <v>19.0</v>
      </c>
      <c r="R1028" s="35">
        <v>18.0</v>
      </c>
      <c r="S1028" s="36">
        <v>5.0376</v>
      </c>
      <c r="T1028" s="36">
        <v>8.985</v>
      </c>
      <c r="U1028" s="36">
        <v>7.7018</v>
      </c>
      <c r="V1028" s="36">
        <v>7.6559</v>
      </c>
      <c r="W1028" s="37" t="s">
        <v>1162</v>
      </c>
      <c r="X1028" s="31">
        <v>8.75</v>
      </c>
      <c r="Y1028" s="36">
        <v>-0.5781666860114019</v>
      </c>
      <c r="Z1028" s="36">
        <v>0.16335737125969899</v>
      </c>
      <c r="AA1028" s="29" t="s">
        <v>820</v>
      </c>
      <c r="AB1028" s="31">
        <v>0.455893039703</v>
      </c>
      <c r="AC1028" s="38">
        <v>865.0</v>
      </c>
    </row>
    <row r="1029" ht="14.25" customHeight="1">
      <c r="A1029" s="29" t="s">
        <v>77</v>
      </c>
      <c r="B1029" s="29">
        <v>37.0</v>
      </c>
      <c r="C1029" s="29" t="s">
        <v>608</v>
      </c>
      <c r="D1029" s="29" t="s">
        <v>758</v>
      </c>
      <c r="E1029" s="29">
        <v>123.0</v>
      </c>
      <c r="F1029" s="30" t="s">
        <v>759</v>
      </c>
      <c r="G1029" s="29" t="s">
        <v>629</v>
      </c>
      <c r="H1029" s="31">
        <v>52.04</v>
      </c>
      <c r="I1029" s="29" t="s">
        <v>657</v>
      </c>
      <c r="J1029" s="32" t="s">
        <v>642</v>
      </c>
      <c r="K1029" s="29" t="s">
        <v>951</v>
      </c>
      <c r="L1029" s="29" t="s">
        <v>1161</v>
      </c>
      <c r="M1029" s="33">
        <v>107.0</v>
      </c>
      <c r="N1029" s="33">
        <v>12.71</v>
      </c>
      <c r="O1029" s="34" t="s">
        <v>601</v>
      </c>
      <c r="P1029" s="32" t="s">
        <v>602</v>
      </c>
      <c r="Q1029" s="35">
        <v>19.0</v>
      </c>
      <c r="R1029" s="35">
        <v>18.0</v>
      </c>
      <c r="S1029" s="36">
        <v>1.1332</v>
      </c>
      <c r="T1029" s="36">
        <v>0.583</v>
      </c>
      <c r="U1029" s="36">
        <v>2.2759</v>
      </c>
      <c r="V1029" s="36">
        <v>1.2354</v>
      </c>
      <c r="W1029" s="37" t="s">
        <v>1162</v>
      </c>
      <c r="X1029" s="31">
        <v>8.75</v>
      </c>
      <c r="Y1029" s="36">
        <v>0.6647463055868309</v>
      </c>
      <c r="Z1029" s="36">
        <v>0.4617576057970819</v>
      </c>
      <c r="AA1029" s="29" t="s">
        <v>820</v>
      </c>
      <c r="AB1029" s="31">
        <v>0.455893039703</v>
      </c>
      <c r="AC1029" s="38">
        <v>865.0</v>
      </c>
    </row>
    <row r="1030" ht="14.25" customHeight="1">
      <c r="A1030" s="29" t="s">
        <v>77</v>
      </c>
      <c r="B1030" s="29">
        <v>37.0</v>
      </c>
      <c r="C1030" s="29" t="s">
        <v>608</v>
      </c>
      <c r="D1030" s="29" t="s">
        <v>1175</v>
      </c>
      <c r="E1030" s="29">
        <v>126.0</v>
      </c>
      <c r="F1030" s="30" t="s">
        <v>1176</v>
      </c>
      <c r="G1030" s="29" t="s">
        <v>629</v>
      </c>
      <c r="H1030" s="31">
        <v>3.16</v>
      </c>
      <c r="I1030" s="29" t="s">
        <v>616</v>
      </c>
      <c r="J1030" s="32" t="s">
        <v>642</v>
      </c>
      <c r="K1030" s="29" t="s">
        <v>951</v>
      </c>
      <c r="L1030" s="29" t="s">
        <v>1161</v>
      </c>
      <c r="M1030" s="33">
        <v>107.0</v>
      </c>
      <c r="N1030" s="33">
        <v>12.71</v>
      </c>
      <c r="O1030" s="34" t="s">
        <v>601</v>
      </c>
      <c r="P1030" s="32" t="s">
        <v>602</v>
      </c>
      <c r="Q1030" s="35">
        <v>19.0</v>
      </c>
      <c r="R1030" s="35">
        <v>18.0</v>
      </c>
      <c r="S1030" s="36">
        <v>0.8707</v>
      </c>
      <c r="T1030" s="36">
        <v>0.5628</v>
      </c>
      <c r="U1030" s="36">
        <v>1.5018</v>
      </c>
      <c r="V1030" s="36">
        <v>0.8002</v>
      </c>
      <c r="W1030" s="37" t="s">
        <v>1162</v>
      </c>
      <c r="X1030" s="31">
        <v>8.75</v>
      </c>
      <c r="Y1030" s="36">
        <v>0.4365399104881927</v>
      </c>
      <c r="Z1030" s="36">
        <v>0.2688884769158498</v>
      </c>
      <c r="AA1030" s="29" t="s">
        <v>820</v>
      </c>
      <c r="AB1030" s="31">
        <v>0.455893039703</v>
      </c>
      <c r="AC1030" s="38">
        <v>865.0</v>
      </c>
    </row>
    <row r="1031" ht="14.25" customHeight="1">
      <c r="A1031" s="29" t="s">
        <v>77</v>
      </c>
      <c r="B1031" s="29">
        <v>37.0</v>
      </c>
      <c r="C1031" s="29" t="s">
        <v>608</v>
      </c>
      <c r="D1031" s="29" t="s">
        <v>1177</v>
      </c>
      <c r="E1031" s="29">
        <v>151.0</v>
      </c>
      <c r="F1031" s="30" t="s">
        <v>1178</v>
      </c>
      <c r="G1031" s="29" t="s">
        <v>629</v>
      </c>
      <c r="H1031" s="31">
        <v>3.3</v>
      </c>
      <c r="I1031" s="29" t="s">
        <v>657</v>
      </c>
      <c r="J1031" s="32" t="s">
        <v>642</v>
      </c>
      <c r="K1031" s="29" t="s">
        <v>951</v>
      </c>
      <c r="L1031" s="29" t="s">
        <v>1161</v>
      </c>
      <c r="M1031" s="33">
        <v>107.0</v>
      </c>
      <c r="N1031" s="33">
        <v>12.71</v>
      </c>
      <c r="O1031" s="34" t="s">
        <v>601</v>
      </c>
      <c r="P1031" s="32" t="s">
        <v>602</v>
      </c>
      <c r="Q1031" s="35">
        <v>19.0</v>
      </c>
      <c r="R1031" s="35">
        <v>18.0</v>
      </c>
      <c r="S1031" s="36">
        <v>0.4699</v>
      </c>
      <c r="T1031" s="36">
        <v>0.8365</v>
      </c>
      <c r="U1031" s="36">
        <v>0.7795</v>
      </c>
      <c r="V1031" s="36">
        <v>1.4229</v>
      </c>
      <c r="W1031" s="37" t="s">
        <v>1162</v>
      </c>
      <c r="X1031" s="31">
        <v>8.75</v>
      </c>
      <c r="Y1031" s="36">
        <v>-0.5762474406025965</v>
      </c>
      <c r="Z1031" s="36">
        <v>0.3055806240965043</v>
      </c>
      <c r="AA1031" s="29" t="s">
        <v>820</v>
      </c>
      <c r="AB1031" s="31">
        <v>0.455893039703</v>
      </c>
      <c r="AC1031" s="38">
        <v>865.0</v>
      </c>
    </row>
    <row r="1032" ht="14.25" customHeight="1">
      <c r="A1032" s="29" t="s">
        <v>77</v>
      </c>
      <c r="B1032" s="29">
        <v>37.0</v>
      </c>
      <c r="C1032" s="29" t="s">
        <v>608</v>
      </c>
      <c r="D1032" s="29" t="s">
        <v>1179</v>
      </c>
      <c r="E1032" s="29">
        <v>182.0</v>
      </c>
      <c r="F1032" s="30" t="s">
        <v>1180</v>
      </c>
      <c r="G1032" s="29" t="s">
        <v>626</v>
      </c>
      <c r="H1032" s="31">
        <v>96.12</v>
      </c>
      <c r="I1032" s="29" t="s">
        <v>612</v>
      </c>
      <c r="J1032" s="32" t="s">
        <v>642</v>
      </c>
      <c r="K1032" s="29" t="s">
        <v>951</v>
      </c>
      <c r="L1032" s="29" t="s">
        <v>1161</v>
      </c>
      <c r="M1032" s="33">
        <v>107.0</v>
      </c>
      <c r="N1032" s="33">
        <v>12.71</v>
      </c>
      <c r="O1032" s="34" t="s">
        <v>601</v>
      </c>
      <c r="P1032" s="32" t="s">
        <v>602</v>
      </c>
      <c r="Q1032" s="35">
        <v>19.0</v>
      </c>
      <c r="R1032" s="35">
        <v>18.0</v>
      </c>
      <c r="S1032" s="36">
        <v>4.6988</v>
      </c>
      <c r="T1032" s="36">
        <v>6.2063</v>
      </c>
      <c r="U1032" s="36">
        <v>7.1871</v>
      </c>
      <c r="V1032" s="36">
        <v>8.5169</v>
      </c>
      <c r="W1032" s="37" t="s">
        <v>1162</v>
      </c>
      <c r="X1032" s="31">
        <v>8.75</v>
      </c>
      <c r="Y1032" s="36">
        <v>-0.27791703572006005</v>
      </c>
      <c r="Z1032" s="36">
        <v>0.22775702150171911</v>
      </c>
      <c r="AA1032" s="29" t="s">
        <v>820</v>
      </c>
      <c r="AB1032" s="31">
        <v>0.455893039703</v>
      </c>
      <c r="AC1032" s="38">
        <v>865.0</v>
      </c>
    </row>
    <row r="1033" ht="14.25" customHeight="1">
      <c r="A1033" s="29" t="s">
        <v>77</v>
      </c>
      <c r="B1033" s="29">
        <v>37.0</v>
      </c>
      <c r="C1033" s="29" t="s">
        <v>608</v>
      </c>
      <c r="D1033" s="29" t="s">
        <v>1181</v>
      </c>
      <c r="E1033" s="29">
        <v>201.0</v>
      </c>
      <c r="F1033" s="30" t="s">
        <v>1182</v>
      </c>
      <c r="G1033" s="29" t="s">
        <v>629</v>
      </c>
      <c r="H1033" s="31">
        <v>9.5</v>
      </c>
      <c r="I1033" s="29" t="s">
        <v>657</v>
      </c>
      <c r="J1033" s="32" t="s">
        <v>642</v>
      </c>
      <c r="K1033" s="29" t="s">
        <v>951</v>
      </c>
      <c r="L1033" s="29" t="s">
        <v>1161</v>
      </c>
      <c r="M1033" s="33">
        <v>107.0</v>
      </c>
      <c r="N1033" s="33">
        <v>12.71</v>
      </c>
      <c r="O1033" s="34" t="s">
        <v>601</v>
      </c>
      <c r="P1033" s="32" t="s">
        <v>602</v>
      </c>
      <c r="Q1033" s="35">
        <v>19.0</v>
      </c>
      <c r="R1033" s="35">
        <v>18.0</v>
      </c>
      <c r="S1033" s="36">
        <v>1.4316</v>
      </c>
      <c r="T1033" s="36">
        <v>1.284</v>
      </c>
      <c r="U1033" s="36">
        <v>2.1286</v>
      </c>
      <c r="V1033" s="36">
        <v>2.2022</v>
      </c>
      <c r="W1033" s="37" t="s">
        <v>1162</v>
      </c>
      <c r="X1033" s="31">
        <v>8.75</v>
      </c>
      <c r="Y1033" s="36">
        <v>0.1090438658547523</v>
      </c>
      <c r="Z1033" s="36">
        <v>0.2797787968537</v>
      </c>
      <c r="AA1033" s="29" t="s">
        <v>820</v>
      </c>
      <c r="AB1033" s="31">
        <v>0.455893039703</v>
      </c>
      <c r="AC1033" s="38">
        <v>865.0</v>
      </c>
    </row>
    <row r="1034" ht="14.25" customHeight="1">
      <c r="A1034" s="29" t="s">
        <v>258</v>
      </c>
      <c r="B1034" s="29">
        <v>38.0</v>
      </c>
      <c r="C1034" s="29" t="s">
        <v>608</v>
      </c>
      <c r="D1034" s="29" t="s">
        <v>751</v>
      </c>
      <c r="E1034" s="29">
        <v>97.0</v>
      </c>
      <c r="F1034" s="30" t="s">
        <v>752</v>
      </c>
      <c r="G1034" s="29" t="s">
        <v>753</v>
      </c>
      <c r="H1034" s="31">
        <v>3940.03</v>
      </c>
      <c r="I1034" s="29" t="s">
        <v>612</v>
      </c>
      <c r="J1034" s="32" t="s">
        <v>714</v>
      </c>
      <c r="K1034" s="29" t="s">
        <v>698</v>
      </c>
      <c r="L1034" s="29" t="s">
        <v>912</v>
      </c>
      <c r="M1034" s="33">
        <v>27.43</v>
      </c>
      <c r="N1034" s="33">
        <v>-1.952</v>
      </c>
      <c r="O1034" s="34" t="s">
        <v>601</v>
      </c>
      <c r="P1034" s="32" t="s">
        <v>643</v>
      </c>
      <c r="Q1034" s="35">
        <v>5.0</v>
      </c>
      <c r="R1034" s="35">
        <v>5.0</v>
      </c>
      <c r="S1034" s="36">
        <v>306.4</v>
      </c>
      <c r="T1034" s="36">
        <v>1337.4</v>
      </c>
      <c r="U1034" s="36" t="str">
        <f t="shared" ref="U1034:V1034" si="269">#REF!*SQRT(Q1034)</f>
        <v>#REF!</v>
      </c>
      <c r="V1034" s="36" t="str">
        <f t="shared" si="269"/>
        <v>#REF!</v>
      </c>
      <c r="W1034" s="37" t="s">
        <v>1183</v>
      </c>
      <c r="X1034" s="31">
        <v>12.5</v>
      </c>
      <c r="Y1034" s="36">
        <v>-1.4724657746853147</v>
      </c>
      <c r="Z1034" s="36" t="e">
        <v>#REF!</v>
      </c>
      <c r="AA1034" s="29" t="s">
        <v>820</v>
      </c>
      <c r="AB1034" s="31">
        <v>5.34630775452</v>
      </c>
      <c r="AC1034" s="38">
        <v>2089.0</v>
      </c>
    </row>
    <row r="1035" ht="14.25" customHeight="1">
      <c r="A1035" s="29" t="s">
        <v>258</v>
      </c>
      <c r="B1035" s="29">
        <v>38.0</v>
      </c>
      <c r="C1035" s="29" t="s">
        <v>608</v>
      </c>
      <c r="D1035" s="29" t="s">
        <v>751</v>
      </c>
      <c r="E1035" s="29">
        <v>97.0</v>
      </c>
      <c r="F1035" s="30" t="s">
        <v>752</v>
      </c>
      <c r="G1035" s="29" t="s">
        <v>753</v>
      </c>
      <c r="H1035" s="31">
        <v>3940.03</v>
      </c>
      <c r="I1035" s="29" t="s">
        <v>612</v>
      </c>
      <c r="J1035" s="32" t="s">
        <v>714</v>
      </c>
      <c r="K1035" s="29" t="s">
        <v>698</v>
      </c>
      <c r="L1035" s="29" t="s">
        <v>912</v>
      </c>
      <c r="M1035" s="33">
        <v>27.274</v>
      </c>
      <c r="N1035" s="33">
        <v>-1.357</v>
      </c>
      <c r="O1035" s="34" t="s">
        <v>601</v>
      </c>
      <c r="P1035" s="32" t="s">
        <v>643</v>
      </c>
      <c r="Q1035" s="35">
        <v>6.0</v>
      </c>
      <c r="R1035" s="35">
        <v>5.0</v>
      </c>
      <c r="S1035" s="36">
        <v>479.6</v>
      </c>
      <c r="T1035" s="36">
        <v>1337.4</v>
      </c>
      <c r="U1035" s="36" t="str">
        <f t="shared" ref="U1035:V1035" si="270">#REF!*SQRT(Q1035)</f>
        <v>#REF!</v>
      </c>
      <c r="V1035" s="36" t="str">
        <f t="shared" si="270"/>
        <v>#REF!</v>
      </c>
      <c r="W1035" s="37" t="s">
        <v>1183</v>
      </c>
      <c r="X1035" s="31">
        <v>22.5</v>
      </c>
      <c r="Y1035" s="36">
        <v>-1.024811098856138</v>
      </c>
      <c r="Z1035" s="36" t="e">
        <v>#REF!</v>
      </c>
      <c r="AA1035" s="29" t="s">
        <v>820</v>
      </c>
      <c r="AB1035" s="31">
        <v>5.34630775452</v>
      </c>
      <c r="AC1035" s="38">
        <v>1486.0</v>
      </c>
    </row>
    <row r="1036" ht="14.25" customHeight="1">
      <c r="A1036" s="29" t="s">
        <v>258</v>
      </c>
      <c r="B1036" s="29">
        <v>38.0</v>
      </c>
      <c r="C1036" s="29" t="s">
        <v>608</v>
      </c>
      <c r="D1036" s="29" t="s">
        <v>751</v>
      </c>
      <c r="E1036" s="29">
        <v>97.0</v>
      </c>
      <c r="F1036" s="30" t="s">
        <v>752</v>
      </c>
      <c r="G1036" s="29" t="s">
        <v>753</v>
      </c>
      <c r="H1036" s="31">
        <v>3940.03</v>
      </c>
      <c r="I1036" s="29" t="s">
        <v>612</v>
      </c>
      <c r="J1036" s="32" t="s">
        <v>714</v>
      </c>
      <c r="K1036" s="29" t="s">
        <v>698</v>
      </c>
      <c r="L1036" s="29" t="s">
        <v>912</v>
      </c>
      <c r="M1036" s="33">
        <v>27.382</v>
      </c>
      <c r="N1036" s="33">
        <v>-1.6</v>
      </c>
      <c r="O1036" s="34" t="s">
        <v>601</v>
      </c>
      <c r="P1036" s="32" t="s">
        <v>643</v>
      </c>
      <c r="Q1036" s="35">
        <v>6.0</v>
      </c>
      <c r="R1036" s="35">
        <v>5.0</v>
      </c>
      <c r="S1036" s="36">
        <v>74.8</v>
      </c>
      <c r="T1036" s="36">
        <v>1337.4</v>
      </c>
      <c r="U1036" s="36" t="str">
        <f t="shared" ref="U1036:V1036" si="271">#REF!*SQRT(Q1036)</f>
        <v>#REF!</v>
      </c>
      <c r="V1036" s="36" t="str">
        <f t="shared" si="271"/>
        <v>#REF!</v>
      </c>
      <c r="W1036" s="37" t="s">
        <v>1183</v>
      </c>
      <c r="X1036" s="31">
        <v>5.0</v>
      </c>
      <c r="Y1036" s="36">
        <v>-2.8790625112337658</v>
      </c>
      <c r="Z1036" s="36" t="e">
        <v>#REF!</v>
      </c>
      <c r="AA1036" s="29" t="s">
        <v>820</v>
      </c>
      <c r="AB1036" s="31">
        <v>5.34630823135</v>
      </c>
      <c r="AC1036" s="38">
        <v>513.0</v>
      </c>
    </row>
    <row r="1037" ht="14.25" customHeight="1">
      <c r="A1037" s="29" t="s">
        <v>258</v>
      </c>
      <c r="B1037" s="29">
        <v>38.0</v>
      </c>
      <c r="C1037" s="29" t="s">
        <v>608</v>
      </c>
      <c r="D1037" s="29" t="s">
        <v>751</v>
      </c>
      <c r="E1037" s="29">
        <v>97.0</v>
      </c>
      <c r="F1037" s="30" t="s">
        <v>752</v>
      </c>
      <c r="G1037" s="29" t="s">
        <v>753</v>
      </c>
      <c r="H1037" s="31">
        <v>3940.03</v>
      </c>
      <c r="I1037" s="29" t="s">
        <v>612</v>
      </c>
      <c r="J1037" s="32" t="s">
        <v>714</v>
      </c>
      <c r="K1037" s="29" t="s">
        <v>698</v>
      </c>
      <c r="L1037" s="29" t="s">
        <v>912</v>
      </c>
      <c r="M1037" s="33">
        <v>28.023</v>
      </c>
      <c r="N1037" s="33">
        <v>-1.779</v>
      </c>
      <c r="O1037" s="34" t="s">
        <v>601</v>
      </c>
      <c r="P1037" s="32" t="s">
        <v>643</v>
      </c>
      <c r="Q1037" s="35">
        <v>5.0</v>
      </c>
      <c r="R1037" s="35">
        <v>5.0</v>
      </c>
      <c r="S1037" s="36">
        <v>0.0</v>
      </c>
      <c r="T1037" s="36">
        <v>1337.4</v>
      </c>
      <c r="U1037" s="36" t="str">
        <f t="shared" ref="U1037:V1037" si="272">#REF!*SQRT(Q1037)</f>
        <v>#REF!</v>
      </c>
      <c r="V1037" s="36" t="str">
        <f t="shared" si="272"/>
        <v>#REF!</v>
      </c>
      <c r="W1037" s="37" t="s">
        <v>1183</v>
      </c>
      <c r="X1037" s="31">
        <v>10.0</v>
      </c>
      <c r="Y1037" s="36">
        <v>-8.262558973010657</v>
      </c>
      <c r="Z1037" s="36" t="e">
        <v>#REF!</v>
      </c>
      <c r="AA1037" s="29" t="s">
        <v>820</v>
      </c>
      <c r="AB1037" s="31">
        <v>9.39142131805</v>
      </c>
      <c r="AC1037" s="38">
        <v>293.0</v>
      </c>
    </row>
    <row r="1038" ht="14.25" customHeight="1">
      <c r="A1038" s="29" t="s">
        <v>258</v>
      </c>
      <c r="B1038" s="29">
        <v>38.0</v>
      </c>
      <c r="C1038" s="29" t="s">
        <v>608</v>
      </c>
      <c r="D1038" s="29" t="s">
        <v>751</v>
      </c>
      <c r="E1038" s="29">
        <v>97.0</v>
      </c>
      <c r="F1038" s="30" t="s">
        <v>752</v>
      </c>
      <c r="G1038" s="29" t="s">
        <v>753</v>
      </c>
      <c r="H1038" s="31">
        <v>3940.03</v>
      </c>
      <c r="I1038" s="29" t="s">
        <v>612</v>
      </c>
      <c r="J1038" s="32" t="s">
        <v>714</v>
      </c>
      <c r="K1038" s="29" t="s">
        <v>698</v>
      </c>
      <c r="L1038" s="29" t="s">
        <v>912</v>
      </c>
      <c r="M1038" s="33">
        <v>27.989</v>
      </c>
      <c r="N1038" s="33">
        <v>-1.879</v>
      </c>
      <c r="O1038" s="34" t="s">
        <v>601</v>
      </c>
      <c r="P1038" s="32" t="s">
        <v>643</v>
      </c>
      <c r="Q1038" s="35">
        <v>6.0</v>
      </c>
      <c r="R1038" s="35">
        <v>5.0</v>
      </c>
      <c r="S1038" s="36">
        <v>608.1</v>
      </c>
      <c r="T1038" s="36">
        <v>1337.4</v>
      </c>
      <c r="U1038" s="36" t="str">
        <f t="shared" ref="U1038:V1038" si="273">#REF!*SQRT(Q1038)</f>
        <v>#REF!</v>
      </c>
      <c r="V1038" s="36" t="str">
        <f t="shared" si="273"/>
        <v>#REF!</v>
      </c>
      <c r="W1038" s="37" t="s">
        <v>1183</v>
      </c>
      <c r="X1038" s="31">
        <v>20.5</v>
      </c>
      <c r="Y1038" s="36">
        <v>-0.7875761111478355</v>
      </c>
      <c r="Z1038" s="36" t="e">
        <v>#REF!</v>
      </c>
      <c r="AA1038" s="29" t="s">
        <v>820</v>
      </c>
      <c r="AB1038" s="31">
        <v>9.39142131805</v>
      </c>
      <c r="AC1038" s="38">
        <v>873.0</v>
      </c>
    </row>
    <row r="1039" ht="14.25" customHeight="1">
      <c r="A1039" s="29" t="s">
        <v>258</v>
      </c>
      <c r="B1039" s="29">
        <v>38.0</v>
      </c>
      <c r="C1039" s="29" t="s">
        <v>608</v>
      </c>
      <c r="D1039" s="29" t="s">
        <v>751</v>
      </c>
      <c r="E1039" s="29">
        <v>97.0</v>
      </c>
      <c r="F1039" s="30" t="s">
        <v>752</v>
      </c>
      <c r="G1039" s="29" t="s">
        <v>753</v>
      </c>
      <c r="H1039" s="31">
        <v>3940.03</v>
      </c>
      <c r="I1039" s="29" t="s">
        <v>612</v>
      </c>
      <c r="J1039" s="32" t="s">
        <v>714</v>
      </c>
      <c r="K1039" s="29" t="s">
        <v>698</v>
      </c>
      <c r="L1039" s="29" t="s">
        <v>912</v>
      </c>
      <c r="M1039" s="33">
        <v>28.115</v>
      </c>
      <c r="N1039" s="33">
        <v>-2.379</v>
      </c>
      <c r="O1039" s="34" t="s">
        <v>601</v>
      </c>
      <c r="P1039" s="32" t="s">
        <v>643</v>
      </c>
      <c r="Q1039" s="35">
        <v>5.0</v>
      </c>
      <c r="R1039" s="35">
        <v>5.0</v>
      </c>
      <c r="S1039" s="36">
        <v>43.2</v>
      </c>
      <c r="T1039" s="36">
        <v>1337.4</v>
      </c>
      <c r="U1039" s="36" t="str">
        <f t="shared" ref="U1039:V1039" si="274">#REF!*SQRT(Q1039)</f>
        <v>#REF!</v>
      </c>
      <c r="V1039" s="36" t="str">
        <f t="shared" si="274"/>
        <v>#REF!</v>
      </c>
      <c r="W1039" s="37" t="s">
        <v>1183</v>
      </c>
      <c r="X1039" s="31">
        <v>10.0</v>
      </c>
      <c r="Y1039" s="36">
        <v>-3.4246867570013273</v>
      </c>
      <c r="Z1039" s="36" t="e">
        <v>#REF!</v>
      </c>
      <c r="AA1039" s="29" t="s">
        <v>820</v>
      </c>
      <c r="AB1039" s="31">
        <v>10.9089794159</v>
      </c>
      <c r="AC1039" s="38">
        <v>309.0</v>
      </c>
    </row>
    <row r="1040" ht="14.25" customHeight="1">
      <c r="A1040" s="29" t="s">
        <v>262</v>
      </c>
      <c r="B1040" s="29">
        <v>39.0</v>
      </c>
      <c r="C1040" s="29" t="s">
        <v>608</v>
      </c>
      <c r="D1040" s="29" t="s">
        <v>1184</v>
      </c>
      <c r="E1040" s="29">
        <v>82.0</v>
      </c>
      <c r="F1040" s="30" t="s">
        <v>1185</v>
      </c>
      <c r="G1040" s="29" t="s">
        <v>611</v>
      </c>
      <c r="H1040" s="31">
        <v>149.325</v>
      </c>
      <c r="I1040" s="29" t="s">
        <v>612</v>
      </c>
      <c r="J1040" s="32" t="s">
        <v>598</v>
      </c>
      <c r="K1040" s="29" t="s">
        <v>698</v>
      </c>
      <c r="L1040" s="29" t="s">
        <v>912</v>
      </c>
      <c r="M1040" s="33">
        <v>27.43</v>
      </c>
      <c r="N1040" s="33">
        <v>-1.952</v>
      </c>
      <c r="O1040" s="34" t="s">
        <v>601</v>
      </c>
      <c r="P1040" s="32" t="s">
        <v>643</v>
      </c>
      <c r="Q1040" s="35">
        <v>5.0</v>
      </c>
      <c r="R1040" s="35">
        <v>5.0</v>
      </c>
      <c r="S1040" s="36">
        <v>0.24</v>
      </c>
      <c r="T1040" s="36">
        <v>0.39</v>
      </c>
      <c r="U1040" s="36">
        <v>0.4899</v>
      </c>
      <c r="V1040" s="36">
        <v>0.6245</v>
      </c>
      <c r="W1040" s="37" t="s">
        <v>1186</v>
      </c>
      <c r="X1040" s="31">
        <v>12.5</v>
      </c>
      <c r="Y1040" s="36">
        <v>-0.48508865699499354</v>
      </c>
      <c r="Z1040" s="36">
        <v>1.346161154051611</v>
      </c>
      <c r="AA1040" s="29" t="s">
        <v>820</v>
      </c>
      <c r="AB1040" s="31">
        <v>5.34630775452</v>
      </c>
      <c r="AC1040" s="38">
        <v>2089.0</v>
      </c>
    </row>
    <row r="1041" ht="14.25" customHeight="1">
      <c r="A1041" s="29" t="s">
        <v>262</v>
      </c>
      <c r="B1041" s="29">
        <v>39.0</v>
      </c>
      <c r="C1041" s="29" t="s">
        <v>608</v>
      </c>
      <c r="D1041" s="29" t="s">
        <v>1184</v>
      </c>
      <c r="E1041" s="29">
        <v>82.0</v>
      </c>
      <c r="F1041" s="30" t="s">
        <v>1185</v>
      </c>
      <c r="G1041" s="29" t="s">
        <v>611</v>
      </c>
      <c r="H1041" s="31">
        <v>149.325</v>
      </c>
      <c r="I1041" s="29" t="s">
        <v>612</v>
      </c>
      <c r="J1041" s="32" t="s">
        <v>598</v>
      </c>
      <c r="K1041" s="29" t="s">
        <v>698</v>
      </c>
      <c r="L1041" s="29" t="s">
        <v>912</v>
      </c>
      <c r="M1041" s="33">
        <v>27.274</v>
      </c>
      <c r="N1041" s="33">
        <v>-1.357</v>
      </c>
      <c r="O1041" s="34" t="s">
        <v>601</v>
      </c>
      <c r="P1041" s="32" t="s">
        <v>643</v>
      </c>
      <c r="Q1041" s="35">
        <v>6.0</v>
      </c>
      <c r="R1041" s="35">
        <v>5.0</v>
      </c>
      <c r="S1041" s="36">
        <v>0.31</v>
      </c>
      <c r="T1041" s="36">
        <v>0.39</v>
      </c>
      <c r="U1041" s="36">
        <v>0.5568</v>
      </c>
      <c r="V1041" s="36">
        <v>0.6245</v>
      </c>
      <c r="W1041" s="37" t="s">
        <v>1186</v>
      </c>
      <c r="X1041" s="31">
        <v>22.5</v>
      </c>
      <c r="Y1041" s="36">
        <v>-0.22924991626002267</v>
      </c>
      <c r="Z1041" s="36">
        <v>1.0505007583049926</v>
      </c>
      <c r="AA1041" s="29" t="s">
        <v>820</v>
      </c>
      <c r="AB1041" s="31">
        <v>5.34630775452</v>
      </c>
      <c r="AC1041" s="38">
        <v>1486.0</v>
      </c>
    </row>
    <row r="1042" ht="14.25" customHeight="1">
      <c r="A1042" s="29" t="s">
        <v>262</v>
      </c>
      <c r="B1042" s="29">
        <v>39.0</v>
      </c>
      <c r="C1042" s="29" t="s">
        <v>608</v>
      </c>
      <c r="D1042" s="29" t="s">
        <v>1184</v>
      </c>
      <c r="E1042" s="29">
        <v>82.0</v>
      </c>
      <c r="F1042" s="30" t="s">
        <v>1185</v>
      </c>
      <c r="G1042" s="29" t="s">
        <v>611</v>
      </c>
      <c r="H1042" s="31">
        <v>149.325</v>
      </c>
      <c r="I1042" s="29" t="s">
        <v>612</v>
      </c>
      <c r="J1042" s="32" t="s">
        <v>598</v>
      </c>
      <c r="K1042" s="29" t="s">
        <v>698</v>
      </c>
      <c r="L1042" s="29" t="s">
        <v>912</v>
      </c>
      <c r="M1042" s="33">
        <v>27.382</v>
      </c>
      <c r="N1042" s="33">
        <v>-1.6</v>
      </c>
      <c r="O1042" s="34" t="s">
        <v>601</v>
      </c>
      <c r="P1042" s="32" t="s">
        <v>643</v>
      </c>
      <c r="Q1042" s="35">
        <v>6.0</v>
      </c>
      <c r="R1042" s="35">
        <v>5.0</v>
      </c>
      <c r="S1042" s="36">
        <v>0.19</v>
      </c>
      <c r="T1042" s="36">
        <v>0.39</v>
      </c>
      <c r="U1042" s="36">
        <v>0.4359</v>
      </c>
      <c r="V1042" s="36">
        <v>0.6245</v>
      </c>
      <c r="W1042" s="37" t="s">
        <v>1186</v>
      </c>
      <c r="X1042" s="31">
        <v>5.0</v>
      </c>
      <c r="Y1042" s="36">
        <v>-0.7185932324276356</v>
      </c>
      <c r="Z1042" s="36">
        <v>1.390054498061306</v>
      </c>
      <c r="AA1042" s="29" t="s">
        <v>820</v>
      </c>
      <c r="AB1042" s="31">
        <v>5.34630823135</v>
      </c>
      <c r="AC1042" s="38">
        <v>513.0</v>
      </c>
    </row>
    <row r="1043" ht="14.25" customHeight="1">
      <c r="A1043" s="29" t="s">
        <v>262</v>
      </c>
      <c r="B1043" s="29">
        <v>39.0</v>
      </c>
      <c r="C1043" s="29" t="s">
        <v>608</v>
      </c>
      <c r="D1043" s="29" t="s">
        <v>1184</v>
      </c>
      <c r="E1043" s="29">
        <v>82.0</v>
      </c>
      <c r="F1043" s="30" t="s">
        <v>1185</v>
      </c>
      <c r="G1043" s="29" t="s">
        <v>611</v>
      </c>
      <c r="H1043" s="31">
        <v>149.325</v>
      </c>
      <c r="I1043" s="29" t="s">
        <v>612</v>
      </c>
      <c r="J1043" s="32" t="s">
        <v>598</v>
      </c>
      <c r="K1043" s="29" t="s">
        <v>698</v>
      </c>
      <c r="L1043" s="29" t="s">
        <v>912</v>
      </c>
      <c r="M1043" s="33">
        <v>28.023</v>
      </c>
      <c r="N1043" s="33">
        <v>-1.779</v>
      </c>
      <c r="O1043" s="34" t="s">
        <v>601</v>
      </c>
      <c r="P1043" s="32" t="s">
        <v>643</v>
      </c>
      <c r="Q1043" s="35">
        <v>5.0</v>
      </c>
      <c r="R1043" s="35">
        <v>5.0</v>
      </c>
      <c r="S1043" s="36">
        <v>0.22</v>
      </c>
      <c r="T1043" s="36">
        <v>0.39</v>
      </c>
      <c r="U1043" s="36">
        <v>0.469</v>
      </c>
      <c r="V1043" s="36">
        <v>0.6245</v>
      </c>
      <c r="W1043" s="37" t="s">
        <v>1186</v>
      </c>
      <c r="X1043" s="31">
        <v>10.0</v>
      </c>
      <c r="Y1043" s="36">
        <v>-0.5720619373510423</v>
      </c>
      <c r="Z1043" s="36">
        <v>1.4217505936177264</v>
      </c>
      <c r="AA1043" s="29" t="s">
        <v>820</v>
      </c>
      <c r="AB1043" s="31">
        <v>9.39142131805</v>
      </c>
      <c r="AC1043" s="38">
        <v>293.0</v>
      </c>
    </row>
    <row r="1044" ht="14.25" customHeight="1">
      <c r="A1044" s="29" t="s">
        <v>262</v>
      </c>
      <c r="B1044" s="29">
        <v>39.0</v>
      </c>
      <c r="C1044" s="29" t="s">
        <v>608</v>
      </c>
      <c r="D1044" s="29" t="s">
        <v>1184</v>
      </c>
      <c r="E1044" s="29">
        <v>82.0</v>
      </c>
      <c r="F1044" s="30" t="s">
        <v>1185</v>
      </c>
      <c r="G1044" s="29" t="s">
        <v>611</v>
      </c>
      <c r="H1044" s="31">
        <v>149.325</v>
      </c>
      <c r="I1044" s="29" t="s">
        <v>612</v>
      </c>
      <c r="J1044" s="32" t="s">
        <v>598</v>
      </c>
      <c r="K1044" s="29" t="s">
        <v>698</v>
      </c>
      <c r="L1044" s="29" t="s">
        <v>912</v>
      </c>
      <c r="M1044" s="33">
        <v>27.989</v>
      </c>
      <c r="N1044" s="33">
        <v>-1.879</v>
      </c>
      <c r="O1044" s="34" t="s">
        <v>601</v>
      </c>
      <c r="P1044" s="32" t="s">
        <v>643</v>
      </c>
      <c r="Q1044" s="35">
        <v>6.0</v>
      </c>
      <c r="R1044" s="35">
        <v>5.0</v>
      </c>
      <c r="S1044" s="36">
        <v>0.85</v>
      </c>
      <c r="T1044" s="36">
        <v>0.39</v>
      </c>
      <c r="U1044" s="36">
        <v>0.922</v>
      </c>
      <c r="V1044" s="36">
        <v>0.6245</v>
      </c>
      <c r="W1044" s="37" t="s">
        <v>1186</v>
      </c>
      <c r="X1044" s="31">
        <v>20.5</v>
      </c>
      <c r="Y1044" s="36">
        <v>0.7792079788784245</v>
      </c>
      <c r="Z1044" s="36">
        <v>0.7089186500867897</v>
      </c>
      <c r="AA1044" s="29" t="s">
        <v>820</v>
      </c>
      <c r="AB1044" s="31">
        <v>9.39142131805</v>
      </c>
      <c r="AC1044" s="38">
        <v>873.0</v>
      </c>
    </row>
    <row r="1045" ht="14.25" customHeight="1">
      <c r="A1045" s="29" t="s">
        <v>262</v>
      </c>
      <c r="B1045" s="29">
        <v>39.0</v>
      </c>
      <c r="C1045" s="29" t="s">
        <v>608</v>
      </c>
      <c r="D1045" s="29" t="s">
        <v>1184</v>
      </c>
      <c r="E1045" s="29">
        <v>82.0</v>
      </c>
      <c r="F1045" s="30" t="s">
        <v>1185</v>
      </c>
      <c r="G1045" s="29" t="s">
        <v>611</v>
      </c>
      <c r="H1045" s="31">
        <v>149.325</v>
      </c>
      <c r="I1045" s="29" t="s">
        <v>612</v>
      </c>
      <c r="J1045" s="32" t="s">
        <v>598</v>
      </c>
      <c r="K1045" s="29" t="s">
        <v>698</v>
      </c>
      <c r="L1045" s="29" t="s">
        <v>912</v>
      </c>
      <c r="M1045" s="33">
        <v>28.115</v>
      </c>
      <c r="N1045" s="33">
        <v>-2.379</v>
      </c>
      <c r="O1045" s="34" t="s">
        <v>601</v>
      </c>
      <c r="P1045" s="32" t="s">
        <v>643</v>
      </c>
      <c r="Q1045" s="35">
        <v>5.0</v>
      </c>
      <c r="R1045" s="35">
        <v>5.0</v>
      </c>
      <c r="S1045" s="36">
        <v>0.45</v>
      </c>
      <c r="T1045" s="36">
        <v>0.39</v>
      </c>
      <c r="U1045" s="36">
        <v>0.6708</v>
      </c>
      <c r="V1045" s="36">
        <v>0.6245</v>
      </c>
      <c r="W1045" s="37" t="s">
        <v>1186</v>
      </c>
      <c r="X1045" s="31">
        <v>10.0</v>
      </c>
      <c r="Y1045" s="36">
        <v>0.1433244168575332</v>
      </c>
      <c r="Z1045" s="36">
        <v>0.9572382637738328</v>
      </c>
      <c r="AA1045" s="29" t="s">
        <v>820</v>
      </c>
      <c r="AB1045" s="31">
        <v>10.9089794159</v>
      </c>
      <c r="AC1045" s="38">
        <v>309.0</v>
      </c>
    </row>
    <row r="1046" ht="14.25" customHeight="1">
      <c r="A1046" s="29" t="s">
        <v>266</v>
      </c>
      <c r="B1046" s="29">
        <v>82.0</v>
      </c>
      <c r="C1046" s="29" t="s">
        <v>608</v>
      </c>
      <c r="D1046" s="29" t="s">
        <v>1187</v>
      </c>
      <c r="E1046" s="29">
        <v>233.0</v>
      </c>
      <c r="F1046" s="30" t="s">
        <v>1188</v>
      </c>
      <c r="G1046" s="29" t="s">
        <v>626</v>
      </c>
      <c r="H1046" s="31">
        <v>18.33</v>
      </c>
      <c r="I1046" s="29" t="s">
        <v>612</v>
      </c>
      <c r="J1046" s="32" t="s">
        <v>642</v>
      </c>
      <c r="K1046" s="29" t="s">
        <v>698</v>
      </c>
      <c r="L1046" s="29" t="s">
        <v>912</v>
      </c>
      <c r="M1046" s="33">
        <v>28.573</v>
      </c>
      <c r="N1046" s="33">
        <v>1.403</v>
      </c>
      <c r="O1046" s="34" t="s">
        <v>601</v>
      </c>
      <c r="P1046" s="32" t="s">
        <v>602</v>
      </c>
      <c r="Q1046" s="35">
        <v>284.0</v>
      </c>
      <c r="R1046" s="35">
        <v>117.0</v>
      </c>
      <c r="S1046" s="36">
        <v>8.12</v>
      </c>
      <c r="T1046" s="36">
        <v>20.83</v>
      </c>
      <c r="U1046" s="36">
        <v>27.4692</v>
      </c>
      <c r="V1046" s="36">
        <v>20.6598</v>
      </c>
      <c r="W1046" s="37" t="s">
        <v>623</v>
      </c>
      <c r="X1046" s="31">
        <v>5.0</v>
      </c>
      <c r="Y1046" s="36">
        <v>-0.9414024854084311</v>
      </c>
      <c r="Z1046" s="36">
        <v>0.048703876455152374</v>
      </c>
      <c r="AA1046" s="29" t="s">
        <v>820</v>
      </c>
      <c r="AB1046" s="31">
        <v>3.54470586777</v>
      </c>
      <c r="AC1046" s="38">
        <v>212.0</v>
      </c>
    </row>
    <row r="1047" ht="14.25" customHeight="1">
      <c r="A1047" s="29" t="s">
        <v>266</v>
      </c>
      <c r="B1047" s="29">
        <v>82.0</v>
      </c>
      <c r="C1047" s="29" t="s">
        <v>608</v>
      </c>
      <c r="D1047" s="29" t="s">
        <v>1187</v>
      </c>
      <c r="E1047" s="29">
        <v>233.0</v>
      </c>
      <c r="F1047" s="30" t="s">
        <v>1188</v>
      </c>
      <c r="G1047" s="29" t="s">
        <v>626</v>
      </c>
      <c r="H1047" s="31">
        <v>18.33</v>
      </c>
      <c r="I1047" s="29" t="s">
        <v>612</v>
      </c>
      <c r="J1047" s="32" t="s">
        <v>642</v>
      </c>
      <c r="K1047" s="29" t="s">
        <v>698</v>
      </c>
      <c r="L1047" s="29" t="s">
        <v>912</v>
      </c>
      <c r="M1047" s="33">
        <v>28.573</v>
      </c>
      <c r="N1047" s="33">
        <v>1.403</v>
      </c>
      <c r="O1047" s="34" t="s">
        <v>601</v>
      </c>
      <c r="P1047" s="32" t="s">
        <v>602</v>
      </c>
      <c r="Q1047" s="35">
        <v>364.0</v>
      </c>
      <c r="R1047" s="35">
        <v>117.0</v>
      </c>
      <c r="S1047" s="36">
        <v>8.705</v>
      </c>
      <c r="T1047" s="36">
        <v>18.2351</v>
      </c>
      <c r="U1047" s="36">
        <v>40.3898</v>
      </c>
      <c r="V1047" s="36">
        <v>21.3705</v>
      </c>
      <c r="W1047" s="37" t="s">
        <v>623</v>
      </c>
      <c r="X1047" s="31">
        <v>15.0</v>
      </c>
      <c r="Y1047" s="36">
        <v>-0.7389104308705444</v>
      </c>
      <c r="Z1047" s="36">
        <v>0.0708820472954407</v>
      </c>
      <c r="AA1047" s="29" t="s">
        <v>820</v>
      </c>
      <c r="AB1047" s="31">
        <v>3.54470586777</v>
      </c>
      <c r="AC1047" s="38">
        <v>212.0</v>
      </c>
    </row>
    <row r="1048" ht="14.25" customHeight="1">
      <c r="A1048" s="29" t="s">
        <v>266</v>
      </c>
      <c r="B1048" s="29">
        <v>82.0</v>
      </c>
      <c r="C1048" s="29" t="s">
        <v>608</v>
      </c>
      <c r="D1048" s="29" t="s">
        <v>1053</v>
      </c>
      <c r="E1048" s="29">
        <v>41.0</v>
      </c>
      <c r="F1048" s="30" t="s">
        <v>1054</v>
      </c>
      <c r="G1048" s="29" t="s">
        <v>626</v>
      </c>
      <c r="H1048" s="31">
        <v>72.5</v>
      </c>
      <c r="I1048" s="29" t="s">
        <v>612</v>
      </c>
      <c r="J1048" s="32" t="s">
        <v>642</v>
      </c>
      <c r="K1048" s="29" t="s">
        <v>698</v>
      </c>
      <c r="L1048" s="29" t="s">
        <v>912</v>
      </c>
      <c r="M1048" s="33">
        <v>28.573</v>
      </c>
      <c r="N1048" s="33">
        <v>1.403</v>
      </c>
      <c r="O1048" s="34" t="s">
        <v>601</v>
      </c>
      <c r="P1048" s="32" t="s">
        <v>602</v>
      </c>
      <c r="Q1048" s="35">
        <v>284.0</v>
      </c>
      <c r="R1048" s="35">
        <v>117.0</v>
      </c>
      <c r="S1048" s="36">
        <v>0.7</v>
      </c>
      <c r="T1048" s="36">
        <v>1.05</v>
      </c>
      <c r="U1048" s="36">
        <v>4.2973</v>
      </c>
      <c r="V1048" s="36">
        <v>5.5165</v>
      </c>
      <c r="W1048" s="37" t="s">
        <v>623</v>
      </c>
      <c r="X1048" s="31">
        <v>5.0</v>
      </c>
      <c r="Y1048" s="36">
        <v>-0.40507818606812734</v>
      </c>
      <c r="Z1048" s="36">
        <v>0.36862076196406496</v>
      </c>
      <c r="AA1048" s="29" t="s">
        <v>820</v>
      </c>
      <c r="AB1048" s="31">
        <v>3.54470586777</v>
      </c>
      <c r="AC1048" s="38">
        <v>212.0</v>
      </c>
    </row>
    <row r="1049" ht="14.25" customHeight="1">
      <c r="A1049" s="29" t="s">
        <v>266</v>
      </c>
      <c r="B1049" s="29">
        <v>82.0</v>
      </c>
      <c r="C1049" s="29" t="s">
        <v>608</v>
      </c>
      <c r="D1049" s="29" t="s">
        <v>1053</v>
      </c>
      <c r="E1049" s="29">
        <v>41.0</v>
      </c>
      <c r="F1049" s="30" t="s">
        <v>1054</v>
      </c>
      <c r="G1049" s="29" t="s">
        <v>626</v>
      </c>
      <c r="H1049" s="31">
        <v>72.5</v>
      </c>
      <c r="I1049" s="29" t="s">
        <v>612</v>
      </c>
      <c r="J1049" s="32" t="s">
        <v>642</v>
      </c>
      <c r="K1049" s="29" t="s">
        <v>698</v>
      </c>
      <c r="L1049" s="29" t="s">
        <v>912</v>
      </c>
      <c r="M1049" s="33">
        <v>28.573</v>
      </c>
      <c r="N1049" s="33">
        <v>1.403</v>
      </c>
      <c r="O1049" s="34" t="s">
        <v>601</v>
      </c>
      <c r="P1049" s="32" t="s">
        <v>602</v>
      </c>
      <c r="Q1049" s="35">
        <v>364.0</v>
      </c>
      <c r="R1049" s="35">
        <v>117.0</v>
      </c>
      <c r="S1049" s="36">
        <v>0.7</v>
      </c>
      <c r="T1049" s="36">
        <v>1.05</v>
      </c>
      <c r="U1049" s="36">
        <v>3.8921</v>
      </c>
      <c r="V1049" s="36">
        <v>5.5165</v>
      </c>
      <c r="W1049" s="37" t="s">
        <v>623</v>
      </c>
      <c r="X1049" s="31">
        <v>15.0</v>
      </c>
      <c r="Y1049" s="36">
        <v>-0.40507818606812734</v>
      </c>
      <c r="Z1049" s="36">
        <v>0.3208507642477829</v>
      </c>
      <c r="AA1049" s="29" t="s">
        <v>820</v>
      </c>
      <c r="AB1049" s="31">
        <v>3.54470586777</v>
      </c>
      <c r="AC1049" s="38">
        <v>212.0</v>
      </c>
    </row>
    <row r="1050" ht="14.25" customHeight="1">
      <c r="A1050" s="29" t="s">
        <v>266</v>
      </c>
      <c r="B1050" s="29">
        <v>82.0</v>
      </c>
      <c r="C1050" s="29" t="s">
        <v>608</v>
      </c>
      <c r="D1050" s="29" t="s">
        <v>781</v>
      </c>
      <c r="E1050" s="29">
        <v>136.0</v>
      </c>
      <c r="F1050" s="30" t="s">
        <v>782</v>
      </c>
      <c r="G1050" s="29" t="s">
        <v>626</v>
      </c>
      <c r="H1050" s="31">
        <v>4.9</v>
      </c>
      <c r="I1050" s="29" t="s">
        <v>597</v>
      </c>
      <c r="J1050" s="32" t="s">
        <v>642</v>
      </c>
      <c r="K1050" s="29" t="s">
        <v>698</v>
      </c>
      <c r="L1050" s="29" t="s">
        <v>912</v>
      </c>
      <c r="M1050" s="33">
        <v>28.573</v>
      </c>
      <c r="N1050" s="33">
        <v>1.403</v>
      </c>
      <c r="O1050" s="34" t="s">
        <v>601</v>
      </c>
      <c r="P1050" s="32" t="s">
        <v>602</v>
      </c>
      <c r="Q1050" s="35">
        <v>284.0</v>
      </c>
      <c r="R1050" s="35">
        <v>117.0</v>
      </c>
      <c r="S1050" s="36">
        <v>14.68</v>
      </c>
      <c r="T1050" s="36">
        <v>18.936</v>
      </c>
      <c r="U1050" s="36">
        <v>30.6712</v>
      </c>
      <c r="V1050" s="36">
        <v>18.1503</v>
      </c>
      <c r="W1050" s="37" t="s">
        <v>623</v>
      </c>
      <c r="X1050" s="31">
        <v>5.0</v>
      </c>
      <c r="Y1050" s="36">
        <v>-0.2542461081419898</v>
      </c>
      <c r="Z1050" s="36">
        <v>0.023223060861504753</v>
      </c>
      <c r="AA1050" s="29" t="s">
        <v>820</v>
      </c>
      <c r="AB1050" s="31">
        <v>3.54470586777</v>
      </c>
      <c r="AC1050" s="38">
        <v>212.0</v>
      </c>
    </row>
    <row r="1051" ht="14.25" customHeight="1">
      <c r="A1051" s="29" t="s">
        <v>266</v>
      </c>
      <c r="B1051" s="29">
        <v>82.0</v>
      </c>
      <c r="C1051" s="29" t="s">
        <v>608</v>
      </c>
      <c r="D1051" s="29" t="s">
        <v>781</v>
      </c>
      <c r="E1051" s="29">
        <v>136.0</v>
      </c>
      <c r="F1051" s="30" t="s">
        <v>782</v>
      </c>
      <c r="G1051" s="29" t="s">
        <v>626</v>
      </c>
      <c r="H1051" s="31">
        <v>4.9</v>
      </c>
      <c r="I1051" s="29" t="s">
        <v>597</v>
      </c>
      <c r="J1051" s="32" t="s">
        <v>642</v>
      </c>
      <c r="K1051" s="29" t="s">
        <v>698</v>
      </c>
      <c r="L1051" s="29" t="s">
        <v>912</v>
      </c>
      <c r="M1051" s="33">
        <v>28.573</v>
      </c>
      <c r="N1051" s="33">
        <v>1.403</v>
      </c>
      <c r="O1051" s="34" t="s">
        <v>601</v>
      </c>
      <c r="P1051" s="32" t="s">
        <v>602</v>
      </c>
      <c r="Q1051" s="35">
        <v>364.0</v>
      </c>
      <c r="R1051" s="35">
        <v>117.0</v>
      </c>
      <c r="S1051" s="36">
        <v>17.73</v>
      </c>
      <c r="T1051" s="36">
        <v>17.79</v>
      </c>
      <c r="U1051" s="36">
        <v>44.072</v>
      </c>
      <c r="V1051" s="36">
        <v>21.2006</v>
      </c>
      <c r="W1051" s="37" t="s">
        <v>623</v>
      </c>
      <c r="X1051" s="31">
        <v>15.0</v>
      </c>
      <c r="Y1051" s="36">
        <v>-0.003119544067471018</v>
      </c>
      <c r="Z1051" s="36">
        <v>0.02911319707488432</v>
      </c>
      <c r="AA1051" s="29" t="s">
        <v>820</v>
      </c>
      <c r="AB1051" s="31">
        <v>3.54470586777</v>
      </c>
      <c r="AC1051" s="38">
        <v>212.0</v>
      </c>
    </row>
    <row r="1052" ht="14.25" customHeight="1">
      <c r="A1052" s="29" t="s">
        <v>566</v>
      </c>
      <c r="B1052" s="29">
        <v>42.0</v>
      </c>
      <c r="C1052" s="29" t="s">
        <v>608</v>
      </c>
      <c r="D1052" s="29" t="s">
        <v>1189</v>
      </c>
      <c r="E1052" s="29">
        <v>27.0</v>
      </c>
      <c r="F1052" s="30" t="s">
        <v>1190</v>
      </c>
      <c r="G1052" s="29" t="s">
        <v>629</v>
      </c>
      <c r="H1052" s="31">
        <v>10.65001</v>
      </c>
      <c r="I1052" s="29" t="s">
        <v>657</v>
      </c>
      <c r="J1052" s="32" t="s">
        <v>714</v>
      </c>
      <c r="K1052" s="29" t="s">
        <v>698</v>
      </c>
      <c r="L1052" s="29" t="s">
        <v>823</v>
      </c>
      <c r="M1052" s="33">
        <v>12.423</v>
      </c>
      <c r="N1052" s="33">
        <v>-0.2</v>
      </c>
      <c r="O1052" s="34" t="s">
        <v>601</v>
      </c>
      <c r="P1052" s="32" t="s">
        <v>602</v>
      </c>
      <c r="Q1052" s="35">
        <v>1131.0</v>
      </c>
      <c r="R1052" s="35">
        <v>1164.0</v>
      </c>
      <c r="S1052" s="36">
        <v>0.002</v>
      </c>
      <c r="T1052" s="36">
        <v>0.004</v>
      </c>
      <c r="U1052" s="36">
        <v>0.0447</v>
      </c>
      <c r="V1052" s="36">
        <v>0.0632</v>
      </c>
      <c r="W1052" s="37" t="s">
        <v>1191</v>
      </c>
      <c r="X1052" s="31">
        <v>16.5</v>
      </c>
      <c r="Y1052" s="36">
        <v>-0.692631317768005</v>
      </c>
      <c r="Z1052" s="36">
        <v>0.6561318101853119</v>
      </c>
      <c r="AA1052" s="29" t="s">
        <v>820</v>
      </c>
      <c r="AB1052" s="31">
        <v>0.845008969307</v>
      </c>
      <c r="AC1052" s="38">
        <v>899.0</v>
      </c>
    </row>
    <row r="1053" ht="14.25" customHeight="1">
      <c r="A1053" s="29" t="s">
        <v>566</v>
      </c>
      <c r="B1053" s="29">
        <v>42.0</v>
      </c>
      <c r="C1053" s="29" t="s">
        <v>608</v>
      </c>
      <c r="D1053" s="29" t="s">
        <v>935</v>
      </c>
      <c r="E1053" s="29">
        <v>34.0</v>
      </c>
      <c r="F1053" s="30" t="s">
        <v>1192</v>
      </c>
      <c r="G1053" s="29" t="s">
        <v>626</v>
      </c>
      <c r="H1053" s="31">
        <v>15.5</v>
      </c>
      <c r="I1053" s="29" t="s">
        <v>612</v>
      </c>
      <c r="J1053" s="32" t="s">
        <v>714</v>
      </c>
      <c r="K1053" s="29" t="s">
        <v>698</v>
      </c>
      <c r="L1053" s="29" t="s">
        <v>823</v>
      </c>
      <c r="M1053" s="33">
        <v>12.423</v>
      </c>
      <c r="N1053" s="33">
        <v>-0.2</v>
      </c>
      <c r="O1053" s="34" t="s">
        <v>601</v>
      </c>
      <c r="P1053" s="32" t="s">
        <v>602</v>
      </c>
      <c r="Q1053" s="35">
        <v>1131.0</v>
      </c>
      <c r="R1053" s="35">
        <v>1164.0</v>
      </c>
      <c r="S1053" s="36">
        <v>0.121</v>
      </c>
      <c r="T1053" s="36">
        <v>0.144</v>
      </c>
      <c r="U1053" s="36">
        <v>0.3479</v>
      </c>
      <c r="V1053" s="36">
        <v>0.3795</v>
      </c>
      <c r="W1053" s="37" t="s">
        <v>1191</v>
      </c>
      <c r="X1053" s="31">
        <v>16.5</v>
      </c>
      <c r="Y1053" s="36">
        <v>-0.17371576224004284</v>
      </c>
      <c r="Z1053" s="36">
        <v>0.013276151901415487</v>
      </c>
      <c r="AA1053" s="29" t="s">
        <v>820</v>
      </c>
      <c r="AB1053" s="31">
        <v>0.845008969307</v>
      </c>
      <c r="AC1053" s="38">
        <v>899.0</v>
      </c>
    </row>
    <row r="1054" ht="14.25" customHeight="1">
      <c r="A1054" s="29" t="s">
        <v>566</v>
      </c>
      <c r="B1054" s="29">
        <v>42.0</v>
      </c>
      <c r="C1054" s="29" t="s">
        <v>608</v>
      </c>
      <c r="D1054" s="29" t="s">
        <v>1053</v>
      </c>
      <c r="E1054" s="29">
        <v>41.0</v>
      </c>
      <c r="F1054" s="30" t="s">
        <v>1054</v>
      </c>
      <c r="G1054" s="29" t="s">
        <v>626</v>
      </c>
      <c r="H1054" s="31">
        <v>72.5</v>
      </c>
      <c r="I1054" s="29" t="s">
        <v>612</v>
      </c>
      <c r="J1054" s="32" t="s">
        <v>714</v>
      </c>
      <c r="K1054" s="29" t="s">
        <v>698</v>
      </c>
      <c r="L1054" s="29" t="s">
        <v>823</v>
      </c>
      <c r="M1054" s="33">
        <v>12.423</v>
      </c>
      <c r="N1054" s="33">
        <v>-0.2</v>
      </c>
      <c r="O1054" s="34" t="s">
        <v>601</v>
      </c>
      <c r="P1054" s="32" t="s">
        <v>602</v>
      </c>
      <c r="Q1054" s="35">
        <v>1131.0</v>
      </c>
      <c r="R1054" s="35">
        <v>1164.0</v>
      </c>
      <c r="S1054" s="36">
        <v>0.123</v>
      </c>
      <c r="T1054" s="36">
        <v>0.152</v>
      </c>
      <c r="U1054" s="36">
        <v>0.3507</v>
      </c>
      <c r="V1054" s="36">
        <v>0.3899</v>
      </c>
      <c r="W1054" s="37" t="s">
        <v>1191</v>
      </c>
      <c r="X1054" s="31">
        <v>16.5</v>
      </c>
      <c r="Y1054" s="36">
        <v>-0.21137738957061758</v>
      </c>
      <c r="Z1054" s="36">
        <v>0.012840680076784568</v>
      </c>
      <c r="AA1054" s="29" t="s">
        <v>820</v>
      </c>
      <c r="AB1054" s="31">
        <v>0.845008969307</v>
      </c>
      <c r="AC1054" s="38">
        <v>899.0</v>
      </c>
    </row>
    <row r="1055" ht="14.25" customHeight="1">
      <c r="A1055" s="29" t="s">
        <v>566</v>
      </c>
      <c r="B1055" s="29">
        <v>42.0</v>
      </c>
      <c r="C1055" s="29" t="s">
        <v>608</v>
      </c>
      <c r="D1055" s="29" t="s">
        <v>1193</v>
      </c>
      <c r="E1055" s="29">
        <v>54.0</v>
      </c>
      <c r="F1055" s="30" t="s">
        <v>1194</v>
      </c>
      <c r="G1055" s="29" t="s">
        <v>629</v>
      </c>
      <c r="H1055" s="31">
        <v>12.0</v>
      </c>
      <c r="I1055" s="29" t="s">
        <v>657</v>
      </c>
      <c r="J1055" s="32" t="s">
        <v>714</v>
      </c>
      <c r="K1055" s="29" t="s">
        <v>698</v>
      </c>
      <c r="L1055" s="29" t="s">
        <v>823</v>
      </c>
      <c r="M1055" s="33">
        <v>12.423</v>
      </c>
      <c r="N1055" s="33">
        <v>-0.2</v>
      </c>
      <c r="O1055" s="34" t="s">
        <v>601</v>
      </c>
      <c r="P1055" s="32" t="s">
        <v>602</v>
      </c>
      <c r="Q1055" s="35">
        <v>1131.0</v>
      </c>
      <c r="R1055" s="35">
        <v>1164.0</v>
      </c>
      <c r="S1055" s="36">
        <v>0.014</v>
      </c>
      <c r="T1055" s="36">
        <v>0.009</v>
      </c>
      <c r="U1055" s="36">
        <v>0.1183</v>
      </c>
      <c r="V1055" s="36">
        <v>0.0949</v>
      </c>
      <c r="W1055" s="37" t="s">
        <v>1191</v>
      </c>
      <c r="X1055" s="31">
        <v>16.5</v>
      </c>
      <c r="Y1055" s="36">
        <v>0.4419985943424947</v>
      </c>
      <c r="Z1055" s="36">
        <v>0.15865220851455397</v>
      </c>
      <c r="AA1055" s="29" t="s">
        <v>820</v>
      </c>
      <c r="AB1055" s="31">
        <v>0.845008969307</v>
      </c>
      <c r="AC1055" s="38">
        <v>899.0</v>
      </c>
    </row>
    <row r="1056" ht="14.25" customHeight="1">
      <c r="A1056" s="29" t="s">
        <v>566</v>
      </c>
      <c r="B1056" s="29">
        <v>42.0</v>
      </c>
      <c r="C1056" s="29" t="s">
        <v>608</v>
      </c>
      <c r="D1056" s="29" t="s">
        <v>931</v>
      </c>
      <c r="E1056" s="29">
        <v>83.0</v>
      </c>
      <c r="F1056" s="30" t="s">
        <v>932</v>
      </c>
      <c r="G1056" s="29" t="s">
        <v>611</v>
      </c>
      <c r="H1056" s="31">
        <v>131.63</v>
      </c>
      <c r="I1056" s="29" t="s">
        <v>612</v>
      </c>
      <c r="J1056" s="32" t="s">
        <v>714</v>
      </c>
      <c r="K1056" s="29" t="s">
        <v>698</v>
      </c>
      <c r="L1056" s="29" t="s">
        <v>823</v>
      </c>
      <c r="M1056" s="33">
        <v>12.423</v>
      </c>
      <c r="N1056" s="33">
        <v>-0.2</v>
      </c>
      <c r="O1056" s="34" t="s">
        <v>601</v>
      </c>
      <c r="P1056" s="32" t="s">
        <v>602</v>
      </c>
      <c r="Q1056" s="35">
        <v>1131.0</v>
      </c>
      <c r="R1056" s="35">
        <v>1164.0</v>
      </c>
      <c r="S1056" s="36">
        <v>0.018</v>
      </c>
      <c r="T1056" s="36">
        <v>0.009</v>
      </c>
      <c r="U1056" s="36">
        <v>0.1342</v>
      </c>
      <c r="V1056" s="36">
        <v>0.0949</v>
      </c>
      <c r="W1056" s="37" t="s">
        <v>1191</v>
      </c>
      <c r="X1056" s="31">
        <v>16.5</v>
      </c>
      <c r="Y1056" s="36">
        <v>0.6932761712083021</v>
      </c>
      <c r="Z1056" s="36">
        <v>0.14466707026696365</v>
      </c>
      <c r="AA1056" s="29" t="s">
        <v>820</v>
      </c>
      <c r="AB1056" s="31">
        <v>0.845008969307</v>
      </c>
      <c r="AC1056" s="38">
        <v>899.0</v>
      </c>
    </row>
    <row r="1057" ht="14.25" customHeight="1">
      <c r="A1057" s="29" t="s">
        <v>566</v>
      </c>
      <c r="B1057" s="29">
        <v>42.0</v>
      </c>
      <c r="C1057" s="29" t="s">
        <v>608</v>
      </c>
      <c r="D1057" s="29" t="s">
        <v>751</v>
      </c>
      <c r="E1057" s="29">
        <v>97.0</v>
      </c>
      <c r="F1057" s="30" t="s">
        <v>752</v>
      </c>
      <c r="G1057" s="29" t="s">
        <v>753</v>
      </c>
      <c r="H1057" s="31">
        <v>3940.03</v>
      </c>
      <c r="I1057" s="29" t="s">
        <v>612</v>
      </c>
      <c r="J1057" s="32" t="s">
        <v>714</v>
      </c>
      <c r="K1057" s="29" t="s">
        <v>698</v>
      </c>
      <c r="L1057" s="29" t="s">
        <v>823</v>
      </c>
      <c r="M1057" s="33">
        <v>12.423</v>
      </c>
      <c r="N1057" s="33">
        <v>-0.2</v>
      </c>
      <c r="O1057" s="34" t="s">
        <v>601</v>
      </c>
      <c r="P1057" s="32" t="s">
        <v>602</v>
      </c>
      <c r="Q1057" s="35">
        <v>1131.0</v>
      </c>
      <c r="R1057" s="35">
        <v>1164.0</v>
      </c>
      <c r="S1057" s="36">
        <v>0.168</v>
      </c>
      <c r="T1057" s="36">
        <v>0.357</v>
      </c>
      <c r="U1057" s="36">
        <v>0.4099</v>
      </c>
      <c r="V1057" s="36">
        <v>0.5975</v>
      </c>
      <c r="W1057" s="37" t="s">
        <v>1191</v>
      </c>
      <c r="X1057" s="31">
        <v>16.5</v>
      </c>
      <c r="Y1057" s="36">
        <v>-0.7532237069940649</v>
      </c>
      <c r="Z1057" s="36">
        <v>0.007670003492771459</v>
      </c>
      <c r="AA1057" s="29" t="s">
        <v>820</v>
      </c>
      <c r="AB1057" s="31">
        <v>0.845008969307</v>
      </c>
      <c r="AC1057" s="38">
        <v>899.0</v>
      </c>
    </row>
    <row r="1058" ht="14.25" customHeight="1">
      <c r="A1058" s="29" t="s">
        <v>566</v>
      </c>
      <c r="B1058" s="29">
        <v>42.0</v>
      </c>
      <c r="C1058" s="29" t="s">
        <v>608</v>
      </c>
      <c r="D1058" s="35" t="s">
        <v>947</v>
      </c>
      <c r="E1058" s="29">
        <v>121.0</v>
      </c>
      <c r="F1058" s="30" t="s">
        <v>948</v>
      </c>
      <c r="G1058" s="29" t="s">
        <v>611</v>
      </c>
      <c r="H1058" s="31">
        <v>42.5</v>
      </c>
      <c r="I1058" s="29" t="s">
        <v>597</v>
      </c>
      <c r="J1058" s="32" t="s">
        <v>714</v>
      </c>
      <c r="K1058" s="29" t="s">
        <v>698</v>
      </c>
      <c r="L1058" s="29" t="s">
        <v>823</v>
      </c>
      <c r="M1058" s="33">
        <v>12.423</v>
      </c>
      <c r="N1058" s="33">
        <v>-0.2</v>
      </c>
      <c r="O1058" s="34" t="s">
        <v>601</v>
      </c>
      <c r="P1058" s="32" t="s">
        <v>602</v>
      </c>
      <c r="Q1058" s="35">
        <v>1131.0</v>
      </c>
      <c r="R1058" s="35">
        <v>1164.0</v>
      </c>
      <c r="S1058" s="36">
        <v>0.013</v>
      </c>
      <c r="T1058" s="36">
        <v>0.029</v>
      </c>
      <c r="U1058" s="36">
        <v>0.114</v>
      </c>
      <c r="V1058" s="36">
        <v>0.1703</v>
      </c>
      <c r="W1058" s="37" t="s">
        <v>1191</v>
      </c>
      <c r="X1058" s="31">
        <v>16.5</v>
      </c>
      <c r="Y1058" s="36">
        <v>-0.8017711042237611</v>
      </c>
      <c r="Z1058" s="36">
        <v>0.0976189015075449</v>
      </c>
      <c r="AA1058" s="29" t="s">
        <v>820</v>
      </c>
      <c r="AB1058" s="31">
        <v>0.845008969307</v>
      </c>
      <c r="AC1058" s="38">
        <v>899.0</v>
      </c>
    </row>
    <row r="1059" ht="14.25" customHeight="1">
      <c r="A1059" s="29" t="s">
        <v>566</v>
      </c>
      <c r="B1059" s="29">
        <v>42.0</v>
      </c>
      <c r="C1059" s="29" t="s">
        <v>608</v>
      </c>
      <c r="D1059" s="29" t="s">
        <v>758</v>
      </c>
      <c r="E1059" s="29">
        <v>123.0</v>
      </c>
      <c r="F1059" s="30" t="s">
        <v>759</v>
      </c>
      <c r="G1059" s="29" t="s">
        <v>629</v>
      </c>
      <c r="H1059" s="31">
        <v>52.04</v>
      </c>
      <c r="I1059" s="29" t="s">
        <v>657</v>
      </c>
      <c r="J1059" s="32" t="s">
        <v>714</v>
      </c>
      <c r="K1059" s="29" t="s">
        <v>698</v>
      </c>
      <c r="L1059" s="29" t="s">
        <v>823</v>
      </c>
      <c r="M1059" s="33">
        <v>12.423</v>
      </c>
      <c r="N1059" s="33">
        <v>-0.2</v>
      </c>
      <c r="O1059" s="34" t="s">
        <v>601</v>
      </c>
      <c r="P1059" s="32" t="s">
        <v>602</v>
      </c>
      <c r="Q1059" s="35">
        <v>1131.0</v>
      </c>
      <c r="R1059" s="35">
        <v>1164.0</v>
      </c>
      <c r="S1059" s="36">
        <v>0.05</v>
      </c>
      <c r="T1059" s="36">
        <v>0.063</v>
      </c>
      <c r="U1059" s="36">
        <v>0.2236</v>
      </c>
      <c r="V1059" s="36">
        <v>0.251</v>
      </c>
      <c r="W1059" s="37" t="s">
        <v>1191</v>
      </c>
      <c r="X1059" s="31">
        <v>16.5</v>
      </c>
      <c r="Y1059" s="36">
        <v>-0.2307866963902154</v>
      </c>
      <c r="Z1059" s="36">
        <v>0.03131921883350558</v>
      </c>
      <c r="AA1059" s="29" t="s">
        <v>820</v>
      </c>
      <c r="AB1059" s="31">
        <v>0.845008969307</v>
      </c>
      <c r="AC1059" s="38">
        <v>899.0</v>
      </c>
    </row>
    <row r="1060" ht="14.25" customHeight="1">
      <c r="A1060" s="29" t="s">
        <v>566</v>
      </c>
      <c r="B1060" s="29">
        <v>42.0</v>
      </c>
      <c r="C1060" s="29" t="s">
        <v>608</v>
      </c>
      <c r="D1060" s="29" t="s">
        <v>1195</v>
      </c>
      <c r="E1060" s="29">
        <v>148.0</v>
      </c>
      <c r="F1060" s="30" t="s">
        <v>1196</v>
      </c>
      <c r="G1060" s="29" t="s">
        <v>626</v>
      </c>
      <c r="H1060" s="31">
        <v>70.0</v>
      </c>
      <c r="I1060" s="29" t="s">
        <v>616</v>
      </c>
      <c r="J1060" s="32" t="s">
        <v>714</v>
      </c>
      <c r="K1060" s="29" t="s">
        <v>698</v>
      </c>
      <c r="L1060" s="29" t="s">
        <v>823</v>
      </c>
      <c r="M1060" s="33">
        <v>12.423</v>
      </c>
      <c r="N1060" s="33">
        <v>-0.2</v>
      </c>
      <c r="O1060" s="34" t="s">
        <v>601</v>
      </c>
      <c r="P1060" s="32" t="s">
        <v>602</v>
      </c>
      <c r="Q1060" s="35">
        <v>1131.0</v>
      </c>
      <c r="R1060" s="35">
        <v>1164.0</v>
      </c>
      <c r="S1060" s="36">
        <v>0.066</v>
      </c>
      <c r="T1060" s="36">
        <v>0.061</v>
      </c>
      <c r="U1060" s="36">
        <v>0.2569</v>
      </c>
      <c r="V1060" s="36">
        <v>0.247</v>
      </c>
      <c r="W1060" s="37" t="s">
        <v>1191</v>
      </c>
      <c r="X1060" s="31">
        <v>16.5</v>
      </c>
      <c r="Y1060" s="36">
        <v>0.07901930206563636</v>
      </c>
      <c r="Z1060" s="36">
        <v>0.02748187152121987</v>
      </c>
      <c r="AA1060" s="29" t="s">
        <v>820</v>
      </c>
      <c r="AB1060" s="31">
        <v>0.845008969307</v>
      </c>
      <c r="AC1060" s="38">
        <v>899.0</v>
      </c>
    </row>
    <row r="1061" ht="14.25" customHeight="1">
      <c r="A1061" s="29" t="s">
        <v>566</v>
      </c>
      <c r="B1061" s="29">
        <v>42.0</v>
      </c>
      <c r="C1061" s="29" t="s">
        <v>608</v>
      </c>
      <c r="D1061" s="29" t="s">
        <v>1197</v>
      </c>
      <c r="E1061" s="29">
        <v>185.0</v>
      </c>
      <c r="F1061" s="30" t="s">
        <v>1198</v>
      </c>
      <c r="G1061" s="29" t="s">
        <v>626</v>
      </c>
      <c r="H1061" s="31">
        <v>292.5</v>
      </c>
      <c r="I1061" s="29" t="s">
        <v>612</v>
      </c>
      <c r="J1061" s="32" t="s">
        <v>714</v>
      </c>
      <c r="K1061" s="29" t="s">
        <v>698</v>
      </c>
      <c r="L1061" s="29" t="s">
        <v>823</v>
      </c>
      <c r="M1061" s="33">
        <v>12.423</v>
      </c>
      <c r="N1061" s="33">
        <v>-0.2</v>
      </c>
      <c r="O1061" s="34" t="s">
        <v>601</v>
      </c>
      <c r="P1061" s="32" t="s">
        <v>602</v>
      </c>
      <c r="Q1061" s="35">
        <v>1131.0</v>
      </c>
      <c r="R1061" s="35">
        <v>1164.0</v>
      </c>
      <c r="S1061" s="36">
        <v>0.095</v>
      </c>
      <c r="T1061" s="36">
        <v>0.058</v>
      </c>
      <c r="U1061" s="36">
        <v>0.3082</v>
      </c>
      <c r="V1061" s="36">
        <v>0.2408</v>
      </c>
      <c r="W1061" s="37" t="s">
        <v>1191</v>
      </c>
      <c r="X1061" s="31">
        <v>16.5</v>
      </c>
      <c r="Y1061" s="36">
        <v>0.493591383179368</v>
      </c>
      <c r="Z1061" s="36">
        <v>0.024114096122043772</v>
      </c>
      <c r="AA1061" s="29" t="s">
        <v>820</v>
      </c>
      <c r="AB1061" s="31">
        <v>0.845008969307</v>
      </c>
      <c r="AC1061" s="38">
        <v>899.0</v>
      </c>
    </row>
    <row r="1062" ht="14.25" customHeight="1">
      <c r="A1062" s="29" t="s">
        <v>566</v>
      </c>
      <c r="B1062" s="29">
        <v>42.0</v>
      </c>
      <c r="C1062" s="29" t="s">
        <v>608</v>
      </c>
      <c r="D1062" s="29" t="s">
        <v>1199</v>
      </c>
      <c r="E1062" s="29">
        <v>199.0</v>
      </c>
      <c r="F1062" s="30" t="s">
        <v>1200</v>
      </c>
      <c r="G1062" s="29" t="s">
        <v>626</v>
      </c>
      <c r="H1062" s="31">
        <v>78.0</v>
      </c>
      <c r="I1062" s="29" t="s">
        <v>612</v>
      </c>
      <c r="J1062" s="32" t="s">
        <v>714</v>
      </c>
      <c r="K1062" s="29" t="s">
        <v>698</v>
      </c>
      <c r="L1062" s="29" t="s">
        <v>823</v>
      </c>
      <c r="M1062" s="33">
        <v>12.423</v>
      </c>
      <c r="N1062" s="33">
        <v>-0.2</v>
      </c>
      <c r="O1062" s="34" t="s">
        <v>601</v>
      </c>
      <c r="P1062" s="32" t="s">
        <v>602</v>
      </c>
      <c r="Q1062" s="35">
        <v>1131.0</v>
      </c>
      <c r="R1062" s="35">
        <v>1164.0</v>
      </c>
      <c r="S1062" s="36">
        <v>0.0</v>
      </c>
      <c r="T1062" s="36">
        <v>0.023</v>
      </c>
      <c r="U1062" s="36">
        <v>0.0</v>
      </c>
      <c r="V1062" s="36">
        <v>0.1517</v>
      </c>
      <c r="W1062" s="37" t="s">
        <v>1191</v>
      </c>
      <c r="X1062" s="31">
        <v>16.5</v>
      </c>
      <c r="Y1062" s="36">
        <v>-8.262558973010657</v>
      </c>
      <c r="Z1062" s="36">
        <v>0.0022181218622447335</v>
      </c>
      <c r="AA1062" s="29" t="s">
        <v>820</v>
      </c>
      <c r="AB1062" s="31">
        <v>0.845008969307</v>
      </c>
      <c r="AC1062" s="38">
        <v>899.0</v>
      </c>
    </row>
    <row r="1063" ht="14.25" customHeight="1">
      <c r="A1063" s="29" t="s">
        <v>566</v>
      </c>
      <c r="B1063" s="29">
        <v>42.0</v>
      </c>
      <c r="C1063" s="29" t="s">
        <v>608</v>
      </c>
      <c r="D1063" s="29" t="s">
        <v>1189</v>
      </c>
      <c r="E1063" s="29">
        <v>27.0</v>
      </c>
      <c r="F1063" s="30" t="s">
        <v>1190</v>
      </c>
      <c r="G1063" s="29" t="s">
        <v>629</v>
      </c>
      <c r="H1063" s="31">
        <v>10.65001</v>
      </c>
      <c r="I1063" s="29" t="s">
        <v>657</v>
      </c>
      <c r="J1063" s="32" t="s">
        <v>714</v>
      </c>
      <c r="K1063" s="29" t="s">
        <v>698</v>
      </c>
      <c r="L1063" s="29" t="s">
        <v>823</v>
      </c>
      <c r="M1063" s="33">
        <v>12.192</v>
      </c>
      <c r="N1063" s="33">
        <v>-1.249</v>
      </c>
      <c r="O1063" s="34" t="s">
        <v>641</v>
      </c>
      <c r="P1063" s="32" t="s">
        <v>602</v>
      </c>
      <c r="Q1063" s="35">
        <v>581.0</v>
      </c>
      <c r="R1063" s="35">
        <v>1164.0</v>
      </c>
      <c r="S1063" s="36">
        <v>0.0</v>
      </c>
      <c r="T1063" s="36">
        <v>0.004</v>
      </c>
      <c r="U1063" s="36">
        <v>0.0</v>
      </c>
      <c r="V1063" s="36">
        <v>0.0632</v>
      </c>
      <c r="W1063" s="37" t="s">
        <v>1191</v>
      </c>
      <c r="X1063" s="31">
        <v>7.0</v>
      </c>
      <c r="Y1063" s="36">
        <v>-8.262558973010657</v>
      </c>
      <c r="Z1063" s="36">
        <v>0.002793951805747639</v>
      </c>
      <c r="AA1063" s="29" t="s">
        <v>820</v>
      </c>
      <c r="AB1063" s="31">
        <v>2.39777874947</v>
      </c>
      <c r="AC1063" s="38">
        <v>577.0</v>
      </c>
    </row>
    <row r="1064" ht="14.25" customHeight="1">
      <c r="A1064" s="29" t="s">
        <v>566</v>
      </c>
      <c r="B1064" s="29">
        <v>42.0</v>
      </c>
      <c r="C1064" s="29" t="s">
        <v>608</v>
      </c>
      <c r="D1064" s="29" t="s">
        <v>935</v>
      </c>
      <c r="E1064" s="29">
        <v>34.0</v>
      </c>
      <c r="F1064" s="30" t="s">
        <v>1192</v>
      </c>
      <c r="G1064" s="29" t="s">
        <v>626</v>
      </c>
      <c r="H1064" s="31">
        <v>15.5</v>
      </c>
      <c r="I1064" s="29" t="s">
        <v>612</v>
      </c>
      <c r="J1064" s="32" t="s">
        <v>714</v>
      </c>
      <c r="K1064" s="29" t="s">
        <v>698</v>
      </c>
      <c r="L1064" s="29" t="s">
        <v>823</v>
      </c>
      <c r="M1064" s="33">
        <v>12.192</v>
      </c>
      <c r="N1064" s="33">
        <v>-1.249</v>
      </c>
      <c r="O1064" s="34" t="s">
        <v>641</v>
      </c>
      <c r="P1064" s="32" t="s">
        <v>602</v>
      </c>
      <c r="Q1064" s="35">
        <v>581.0</v>
      </c>
      <c r="R1064" s="35">
        <v>1164.0</v>
      </c>
      <c r="S1064" s="36">
        <v>0.003</v>
      </c>
      <c r="T1064" s="36">
        <v>0.144</v>
      </c>
      <c r="U1064" s="36">
        <v>0.0548</v>
      </c>
      <c r="V1064" s="36">
        <v>0.3795</v>
      </c>
      <c r="W1064" s="37" t="s">
        <v>1191</v>
      </c>
      <c r="X1064" s="31">
        <v>7.0</v>
      </c>
      <c r="Y1064" s="36">
        <v>-3.8588931632332937</v>
      </c>
      <c r="Z1064" s="36">
        <v>0.5802716949363995</v>
      </c>
      <c r="AA1064" s="29" t="s">
        <v>820</v>
      </c>
      <c r="AB1064" s="31">
        <v>2.39777874947</v>
      </c>
      <c r="AC1064" s="38">
        <v>577.0</v>
      </c>
    </row>
    <row r="1065" ht="14.25" customHeight="1">
      <c r="A1065" s="29" t="s">
        <v>566</v>
      </c>
      <c r="B1065" s="29">
        <v>42.0</v>
      </c>
      <c r="C1065" s="29" t="s">
        <v>608</v>
      </c>
      <c r="D1065" s="29" t="s">
        <v>1053</v>
      </c>
      <c r="E1065" s="29">
        <v>41.0</v>
      </c>
      <c r="F1065" s="30" t="s">
        <v>1054</v>
      </c>
      <c r="G1065" s="29" t="s">
        <v>626</v>
      </c>
      <c r="H1065" s="31">
        <v>72.5</v>
      </c>
      <c r="I1065" s="29" t="s">
        <v>612</v>
      </c>
      <c r="J1065" s="32" t="s">
        <v>714</v>
      </c>
      <c r="K1065" s="29" t="s">
        <v>698</v>
      </c>
      <c r="L1065" s="29" t="s">
        <v>823</v>
      </c>
      <c r="M1065" s="33">
        <v>12.192</v>
      </c>
      <c r="N1065" s="33">
        <v>-1.249</v>
      </c>
      <c r="O1065" s="34" t="s">
        <v>641</v>
      </c>
      <c r="P1065" s="32" t="s">
        <v>602</v>
      </c>
      <c r="Q1065" s="35">
        <v>581.0</v>
      </c>
      <c r="R1065" s="35">
        <v>1164.0</v>
      </c>
      <c r="S1065" s="36">
        <v>0.0</v>
      </c>
      <c r="T1065" s="36">
        <v>0.152</v>
      </c>
      <c r="U1065" s="36">
        <v>0.0</v>
      </c>
      <c r="V1065" s="36">
        <v>0.3899</v>
      </c>
      <c r="W1065" s="37" t="s">
        <v>1191</v>
      </c>
      <c r="X1065" s="31">
        <v>7.0</v>
      </c>
      <c r="Y1065" s="36">
        <v>-8.262558973010657</v>
      </c>
      <c r="Z1065" s="36">
        <v>0.0033215913973554333</v>
      </c>
      <c r="AA1065" s="29" t="s">
        <v>820</v>
      </c>
      <c r="AB1065" s="31">
        <v>2.39777874947</v>
      </c>
      <c r="AC1065" s="38">
        <v>577.0</v>
      </c>
    </row>
    <row r="1066" ht="14.25" customHeight="1">
      <c r="A1066" s="29" t="s">
        <v>566</v>
      </c>
      <c r="B1066" s="29">
        <v>42.0</v>
      </c>
      <c r="C1066" s="29" t="s">
        <v>608</v>
      </c>
      <c r="D1066" s="29" t="s">
        <v>1193</v>
      </c>
      <c r="E1066" s="29">
        <v>54.0</v>
      </c>
      <c r="F1066" s="30" t="s">
        <v>1194</v>
      </c>
      <c r="G1066" s="29" t="s">
        <v>629</v>
      </c>
      <c r="H1066" s="31">
        <v>12.0</v>
      </c>
      <c r="I1066" s="29" t="s">
        <v>657</v>
      </c>
      <c r="J1066" s="32" t="s">
        <v>714</v>
      </c>
      <c r="K1066" s="29" t="s">
        <v>698</v>
      </c>
      <c r="L1066" s="29" t="s">
        <v>823</v>
      </c>
      <c r="M1066" s="33">
        <v>12.192</v>
      </c>
      <c r="N1066" s="33">
        <v>-1.249</v>
      </c>
      <c r="O1066" s="34" t="s">
        <v>641</v>
      </c>
      <c r="P1066" s="32" t="s">
        <v>602</v>
      </c>
      <c r="Q1066" s="35">
        <v>581.0</v>
      </c>
      <c r="R1066" s="35">
        <v>1164.0</v>
      </c>
      <c r="S1066" s="36">
        <v>0.0</v>
      </c>
      <c r="T1066" s="36">
        <v>0.009</v>
      </c>
      <c r="U1066" s="36">
        <v>0.0</v>
      </c>
      <c r="V1066" s="36">
        <v>0.0949</v>
      </c>
      <c r="W1066" s="37" t="s">
        <v>1191</v>
      </c>
      <c r="X1066" s="31">
        <v>7.0</v>
      </c>
      <c r="Y1066" s="36">
        <v>-8.262558973010657</v>
      </c>
      <c r="Z1066" s="36">
        <v>0.0028947144377615944</v>
      </c>
      <c r="AA1066" s="29" t="s">
        <v>820</v>
      </c>
      <c r="AB1066" s="31">
        <v>2.39777874947</v>
      </c>
      <c r="AC1066" s="38">
        <v>577.0</v>
      </c>
    </row>
    <row r="1067" ht="14.25" customHeight="1">
      <c r="A1067" s="29" t="s">
        <v>566</v>
      </c>
      <c r="B1067" s="29">
        <v>42.0</v>
      </c>
      <c r="C1067" s="29" t="s">
        <v>608</v>
      </c>
      <c r="D1067" s="29" t="s">
        <v>931</v>
      </c>
      <c r="E1067" s="29">
        <v>83.0</v>
      </c>
      <c r="F1067" s="30" t="s">
        <v>932</v>
      </c>
      <c r="G1067" s="29" t="s">
        <v>611</v>
      </c>
      <c r="H1067" s="31">
        <v>131.63</v>
      </c>
      <c r="I1067" s="29" t="s">
        <v>612</v>
      </c>
      <c r="J1067" s="32" t="s">
        <v>714</v>
      </c>
      <c r="K1067" s="29" t="s">
        <v>698</v>
      </c>
      <c r="L1067" s="29" t="s">
        <v>823</v>
      </c>
      <c r="M1067" s="33">
        <v>12.192</v>
      </c>
      <c r="N1067" s="33">
        <v>-1.249</v>
      </c>
      <c r="O1067" s="34" t="s">
        <v>641</v>
      </c>
      <c r="P1067" s="32" t="s">
        <v>602</v>
      </c>
      <c r="Q1067" s="35">
        <v>581.0</v>
      </c>
      <c r="R1067" s="35">
        <v>1164.0</v>
      </c>
      <c r="S1067" s="36">
        <v>0.0</v>
      </c>
      <c r="T1067" s="36">
        <v>0.009</v>
      </c>
      <c r="U1067" s="36">
        <v>0.0</v>
      </c>
      <c r="V1067" s="36">
        <v>0.0949</v>
      </c>
      <c r="W1067" s="37" t="s">
        <v>1191</v>
      </c>
      <c r="X1067" s="31">
        <v>7.0</v>
      </c>
      <c r="Y1067" s="36">
        <v>-8.262558973010657</v>
      </c>
      <c r="Z1067" s="36">
        <v>0.0028947144377615944</v>
      </c>
      <c r="AA1067" s="29" t="s">
        <v>820</v>
      </c>
      <c r="AB1067" s="31">
        <v>2.39777874947</v>
      </c>
      <c r="AC1067" s="38">
        <v>577.0</v>
      </c>
    </row>
    <row r="1068" ht="14.25" customHeight="1">
      <c r="A1068" s="29" t="s">
        <v>566</v>
      </c>
      <c r="B1068" s="29">
        <v>42.0</v>
      </c>
      <c r="C1068" s="29" t="s">
        <v>608</v>
      </c>
      <c r="D1068" s="29" t="s">
        <v>751</v>
      </c>
      <c r="E1068" s="29">
        <v>97.0</v>
      </c>
      <c r="F1068" s="30" t="s">
        <v>752</v>
      </c>
      <c r="G1068" s="29" t="s">
        <v>753</v>
      </c>
      <c r="H1068" s="31">
        <v>3940.03</v>
      </c>
      <c r="I1068" s="29" t="s">
        <v>612</v>
      </c>
      <c r="J1068" s="32" t="s">
        <v>714</v>
      </c>
      <c r="K1068" s="29" t="s">
        <v>698</v>
      </c>
      <c r="L1068" s="29" t="s">
        <v>823</v>
      </c>
      <c r="M1068" s="33">
        <v>12.192</v>
      </c>
      <c r="N1068" s="33">
        <v>-1.249</v>
      </c>
      <c r="O1068" s="34" t="s">
        <v>641</v>
      </c>
      <c r="P1068" s="32" t="s">
        <v>602</v>
      </c>
      <c r="Q1068" s="35">
        <v>581.0</v>
      </c>
      <c r="R1068" s="35">
        <v>1164.0</v>
      </c>
      <c r="S1068" s="36">
        <v>0.098</v>
      </c>
      <c r="T1068" s="36">
        <v>0.357</v>
      </c>
      <c r="U1068" s="36">
        <v>0.313</v>
      </c>
      <c r="V1068" s="36">
        <v>0.5975</v>
      </c>
      <c r="W1068" s="37" t="s">
        <v>1191</v>
      </c>
      <c r="X1068" s="31">
        <v>7.0</v>
      </c>
      <c r="Y1068" s="36">
        <v>-1.2918288948671313</v>
      </c>
      <c r="Z1068" s="36">
        <v>0.019963910587981873</v>
      </c>
      <c r="AA1068" s="29" t="s">
        <v>820</v>
      </c>
      <c r="AB1068" s="31">
        <v>2.39777874947</v>
      </c>
      <c r="AC1068" s="38">
        <v>577.0</v>
      </c>
    </row>
    <row r="1069" ht="14.25" customHeight="1">
      <c r="A1069" s="29" t="s">
        <v>566</v>
      </c>
      <c r="B1069" s="29">
        <v>42.0</v>
      </c>
      <c r="C1069" s="29" t="s">
        <v>608</v>
      </c>
      <c r="D1069" s="35" t="s">
        <v>947</v>
      </c>
      <c r="E1069" s="29">
        <v>121.0</v>
      </c>
      <c r="F1069" s="30" t="s">
        <v>948</v>
      </c>
      <c r="G1069" s="29" t="s">
        <v>611</v>
      </c>
      <c r="H1069" s="31">
        <v>42.5</v>
      </c>
      <c r="I1069" s="29" t="s">
        <v>597</v>
      </c>
      <c r="J1069" s="32" t="s">
        <v>714</v>
      </c>
      <c r="K1069" s="29" t="s">
        <v>698</v>
      </c>
      <c r="L1069" s="29" t="s">
        <v>823</v>
      </c>
      <c r="M1069" s="33">
        <v>12.192</v>
      </c>
      <c r="N1069" s="33">
        <v>-1.249</v>
      </c>
      <c r="O1069" s="34" t="s">
        <v>641</v>
      </c>
      <c r="P1069" s="32" t="s">
        <v>602</v>
      </c>
      <c r="Q1069" s="35">
        <v>581.0</v>
      </c>
      <c r="R1069" s="35">
        <v>1164.0</v>
      </c>
      <c r="S1069" s="36">
        <v>0.0</v>
      </c>
      <c r="T1069" s="36">
        <v>0.029</v>
      </c>
      <c r="U1069" s="36">
        <v>0.0</v>
      </c>
      <c r="V1069" s="36">
        <v>0.1703</v>
      </c>
      <c r="W1069" s="37" t="s">
        <v>1191</v>
      </c>
      <c r="X1069" s="31">
        <v>7.0</v>
      </c>
      <c r="Y1069" s="36">
        <v>-8.262558973010657</v>
      </c>
      <c r="Z1069" s="36">
        <v>0.003100519237198836</v>
      </c>
      <c r="AA1069" s="29" t="s">
        <v>820</v>
      </c>
      <c r="AB1069" s="31">
        <v>2.39777874947</v>
      </c>
      <c r="AC1069" s="38">
        <v>577.0</v>
      </c>
    </row>
    <row r="1070" ht="14.25" customHeight="1">
      <c r="A1070" s="29" t="s">
        <v>566</v>
      </c>
      <c r="B1070" s="29">
        <v>42.0</v>
      </c>
      <c r="C1070" s="29" t="s">
        <v>608</v>
      </c>
      <c r="D1070" s="29" t="s">
        <v>758</v>
      </c>
      <c r="E1070" s="29">
        <v>123.0</v>
      </c>
      <c r="F1070" s="30" t="s">
        <v>759</v>
      </c>
      <c r="G1070" s="29" t="s">
        <v>629</v>
      </c>
      <c r="H1070" s="31">
        <v>52.04</v>
      </c>
      <c r="I1070" s="29" t="s">
        <v>657</v>
      </c>
      <c r="J1070" s="32" t="s">
        <v>714</v>
      </c>
      <c r="K1070" s="29" t="s">
        <v>698</v>
      </c>
      <c r="L1070" s="29" t="s">
        <v>823</v>
      </c>
      <c r="M1070" s="33">
        <v>12.192</v>
      </c>
      <c r="N1070" s="33">
        <v>-1.249</v>
      </c>
      <c r="O1070" s="34" t="s">
        <v>641</v>
      </c>
      <c r="P1070" s="32" t="s">
        <v>602</v>
      </c>
      <c r="Q1070" s="35">
        <v>581.0</v>
      </c>
      <c r="R1070" s="35">
        <v>1164.0</v>
      </c>
      <c r="S1070" s="36">
        <v>0.0</v>
      </c>
      <c r="T1070" s="36">
        <v>0.063</v>
      </c>
      <c r="U1070" s="36">
        <v>0.0</v>
      </c>
      <c r="V1070" s="36">
        <v>0.251</v>
      </c>
      <c r="W1070" s="37" t="s">
        <v>1191</v>
      </c>
      <c r="X1070" s="31">
        <v>7.0</v>
      </c>
      <c r="Y1070" s="36">
        <v>-8.262558973010657</v>
      </c>
      <c r="Z1070" s="36">
        <v>0.0032498275881522095</v>
      </c>
      <c r="AA1070" s="29" t="s">
        <v>820</v>
      </c>
      <c r="AB1070" s="31">
        <v>2.39777874947</v>
      </c>
      <c r="AC1070" s="38">
        <v>577.0</v>
      </c>
    </row>
    <row r="1071" ht="14.25" customHeight="1">
      <c r="A1071" s="29" t="s">
        <v>566</v>
      </c>
      <c r="B1071" s="29">
        <v>42.0</v>
      </c>
      <c r="C1071" s="29" t="s">
        <v>608</v>
      </c>
      <c r="D1071" s="29" t="s">
        <v>1195</v>
      </c>
      <c r="E1071" s="29">
        <v>148.0</v>
      </c>
      <c r="F1071" s="30" t="s">
        <v>1196</v>
      </c>
      <c r="G1071" s="29" t="s">
        <v>626</v>
      </c>
      <c r="H1071" s="31">
        <v>70.0</v>
      </c>
      <c r="I1071" s="29" t="s">
        <v>616</v>
      </c>
      <c r="J1071" s="32" t="s">
        <v>714</v>
      </c>
      <c r="K1071" s="29" t="s">
        <v>698</v>
      </c>
      <c r="L1071" s="29" t="s">
        <v>823</v>
      </c>
      <c r="M1071" s="33">
        <v>12.192</v>
      </c>
      <c r="N1071" s="33">
        <v>-1.249</v>
      </c>
      <c r="O1071" s="34" t="s">
        <v>641</v>
      </c>
      <c r="P1071" s="32" t="s">
        <v>602</v>
      </c>
      <c r="Q1071" s="35">
        <v>581.0</v>
      </c>
      <c r="R1071" s="35">
        <v>1164.0</v>
      </c>
      <c r="S1071" s="36">
        <v>0.0</v>
      </c>
      <c r="T1071" s="36">
        <v>0.061</v>
      </c>
      <c r="U1071" s="36">
        <v>0.0</v>
      </c>
      <c r="V1071" s="36">
        <v>0.247</v>
      </c>
      <c r="W1071" s="37" t="s">
        <v>1191</v>
      </c>
      <c r="X1071" s="31">
        <v>7.0</v>
      </c>
      <c r="Y1071" s="36">
        <v>-8.262558973010657</v>
      </c>
      <c r="Z1071" s="36">
        <v>0.0032443899308151657</v>
      </c>
      <c r="AA1071" s="29" t="s">
        <v>820</v>
      </c>
      <c r="AB1071" s="31">
        <v>2.39777874947</v>
      </c>
      <c r="AC1071" s="38">
        <v>577.0</v>
      </c>
    </row>
    <row r="1072" ht="14.25" customHeight="1">
      <c r="A1072" s="29" t="s">
        <v>566</v>
      </c>
      <c r="B1072" s="29">
        <v>42.0</v>
      </c>
      <c r="C1072" s="29" t="s">
        <v>608</v>
      </c>
      <c r="D1072" s="29" t="s">
        <v>1197</v>
      </c>
      <c r="E1072" s="29">
        <v>185.0</v>
      </c>
      <c r="F1072" s="30" t="s">
        <v>1198</v>
      </c>
      <c r="G1072" s="29" t="s">
        <v>626</v>
      </c>
      <c r="H1072" s="31">
        <v>292.5</v>
      </c>
      <c r="I1072" s="29" t="s">
        <v>612</v>
      </c>
      <c r="J1072" s="32" t="s">
        <v>714</v>
      </c>
      <c r="K1072" s="29" t="s">
        <v>698</v>
      </c>
      <c r="L1072" s="29" t="s">
        <v>823</v>
      </c>
      <c r="M1072" s="33">
        <v>12.192</v>
      </c>
      <c r="N1072" s="33">
        <v>-1.249</v>
      </c>
      <c r="O1072" s="34" t="s">
        <v>641</v>
      </c>
      <c r="P1072" s="32" t="s">
        <v>602</v>
      </c>
      <c r="Q1072" s="35">
        <v>581.0</v>
      </c>
      <c r="R1072" s="35">
        <v>1164.0</v>
      </c>
      <c r="S1072" s="36">
        <v>0.0</v>
      </c>
      <c r="T1072" s="36">
        <v>0.058</v>
      </c>
      <c r="U1072" s="36">
        <v>0.0</v>
      </c>
      <c r="V1072" s="36">
        <v>0.2408</v>
      </c>
      <c r="W1072" s="37" t="s">
        <v>1191</v>
      </c>
      <c r="X1072" s="31">
        <v>7.0</v>
      </c>
      <c r="Y1072" s="36">
        <v>-8.262558973010657</v>
      </c>
      <c r="Z1072" s="36">
        <v>0.0032353610773672185</v>
      </c>
      <c r="AA1072" s="29" t="s">
        <v>820</v>
      </c>
      <c r="AB1072" s="31">
        <v>2.39777874947</v>
      </c>
      <c r="AC1072" s="38">
        <v>577.0</v>
      </c>
    </row>
    <row r="1073" ht="14.25" customHeight="1">
      <c r="A1073" s="29" t="s">
        <v>566</v>
      </c>
      <c r="B1073" s="29">
        <v>42.0</v>
      </c>
      <c r="C1073" s="29" t="s">
        <v>608</v>
      </c>
      <c r="D1073" s="29" t="s">
        <v>1199</v>
      </c>
      <c r="E1073" s="29">
        <v>199.0</v>
      </c>
      <c r="F1073" s="30" t="s">
        <v>1200</v>
      </c>
      <c r="G1073" s="29" t="s">
        <v>626</v>
      </c>
      <c r="H1073" s="31">
        <v>78.0</v>
      </c>
      <c r="I1073" s="29" t="s">
        <v>612</v>
      </c>
      <c r="J1073" s="32" t="s">
        <v>714</v>
      </c>
      <c r="K1073" s="29" t="s">
        <v>698</v>
      </c>
      <c r="L1073" s="29" t="s">
        <v>823</v>
      </c>
      <c r="M1073" s="33">
        <v>12.192</v>
      </c>
      <c r="N1073" s="33">
        <v>-1.249</v>
      </c>
      <c r="O1073" s="34" t="s">
        <v>641</v>
      </c>
      <c r="P1073" s="32" t="s">
        <v>602</v>
      </c>
      <c r="Q1073" s="35">
        <v>581.0</v>
      </c>
      <c r="R1073" s="35">
        <v>1164.0</v>
      </c>
      <c r="S1073" s="36">
        <v>0.0</v>
      </c>
      <c r="T1073" s="36">
        <v>0.023</v>
      </c>
      <c r="U1073" s="36">
        <v>0.0</v>
      </c>
      <c r="V1073" s="36">
        <v>0.1517</v>
      </c>
      <c r="W1073" s="37" t="s">
        <v>1191</v>
      </c>
      <c r="X1073" s="31">
        <v>7.0</v>
      </c>
      <c r="Y1073" s="36">
        <v>-8.262558973010657</v>
      </c>
      <c r="Z1073" s="36">
        <v>0.003055118960147523</v>
      </c>
      <c r="AA1073" s="29" t="s">
        <v>820</v>
      </c>
      <c r="AB1073" s="31">
        <v>2.39777874947</v>
      </c>
      <c r="AC1073" s="38">
        <v>577.0</v>
      </c>
    </row>
    <row r="1074" ht="14.25" customHeight="1">
      <c r="A1074" s="29" t="s">
        <v>566</v>
      </c>
      <c r="B1074" s="29">
        <v>42.0</v>
      </c>
      <c r="C1074" s="29" t="s">
        <v>608</v>
      </c>
      <c r="D1074" s="29" t="s">
        <v>1189</v>
      </c>
      <c r="E1074" s="29">
        <v>27.0</v>
      </c>
      <c r="F1074" s="30" t="s">
        <v>1190</v>
      </c>
      <c r="G1074" s="29" t="s">
        <v>629</v>
      </c>
      <c r="H1074" s="31">
        <v>10.65001</v>
      </c>
      <c r="I1074" s="29" t="s">
        <v>657</v>
      </c>
      <c r="J1074" s="32" t="s">
        <v>714</v>
      </c>
      <c r="K1074" s="29" t="s">
        <v>698</v>
      </c>
      <c r="L1074" s="29" t="s">
        <v>823</v>
      </c>
      <c r="M1074" s="33">
        <v>12.161</v>
      </c>
      <c r="N1074" s="33">
        <v>-1.171</v>
      </c>
      <c r="O1074" s="34" t="s">
        <v>641</v>
      </c>
      <c r="P1074" s="32" t="s">
        <v>602</v>
      </c>
      <c r="Q1074" s="35">
        <v>679.0</v>
      </c>
      <c r="R1074" s="35">
        <v>1164.0</v>
      </c>
      <c r="S1074" s="36">
        <v>0.0</v>
      </c>
      <c r="T1074" s="36">
        <v>0.004</v>
      </c>
      <c r="U1074" s="36">
        <v>0.0</v>
      </c>
      <c r="V1074" s="36">
        <v>0.0632</v>
      </c>
      <c r="W1074" s="37" t="s">
        <v>1191</v>
      </c>
      <c r="X1074" s="31">
        <v>8.5</v>
      </c>
      <c r="Y1074" s="36">
        <v>-8.262558973010657</v>
      </c>
      <c r="Z1074" s="36">
        <v>0.0025455354599520858</v>
      </c>
      <c r="AA1074" s="29" t="s">
        <v>820</v>
      </c>
      <c r="AB1074" s="31">
        <v>2.39777898788</v>
      </c>
      <c r="AC1074" s="38">
        <v>860.0</v>
      </c>
    </row>
    <row r="1075" ht="14.25" customHeight="1">
      <c r="A1075" s="29" t="s">
        <v>566</v>
      </c>
      <c r="B1075" s="29">
        <v>42.0</v>
      </c>
      <c r="C1075" s="29" t="s">
        <v>608</v>
      </c>
      <c r="D1075" s="29" t="s">
        <v>935</v>
      </c>
      <c r="E1075" s="29">
        <v>34.0</v>
      </c>
      <c r="F1075" s="30" t="s">
        <v>1192</v>
      </c>
      <c r="G1075" s="29" t="s">
        <v>626</v>
      </c>
      <c r="H1075" s="31">
        <v>15.5</v>
      </c>
      <c r="I1075" s="29" t="s">
        <v>612</v>
      </c>
      <c r="J1075" s="32" t="s">
        <v>714</v>
      </c>
      <c r="K1075" s="29" t="s">
        <v>698</v>
      </c>
      <c r="L1075" s="29" t="s">
        <v>823</v>
      </c>
      <c r="M1075" s="33">
        <v>12.161</v>
      </c>
      <c r="N1075" s="33">
        <v>-1.171</v>
      </c>
      <c r="O1075" s="34" t="s">
        <v>641</v>
      </c>
      <c r="P1075" s="32" t="s">
        <v>602</v>
      </c>
      <c r="Q1075" s="35">
        <v>679.0</v>
      </c>
      <c r="R1075" s="35">
        <v>1164.0</v>
      </c>
      <c r="S1075" s="36">
        <v>0.209</v>
      </c>
      <c r="T1075" s="36">
        <v>0.144</v>
      </c>
      <c r="U1075" s="36">
        <v>0.4572</v>
      </c>
      <c r="V1075" s="36">
        <v>0.3795</v>
      </c>
      <c r="W1075" s="37" t="s">
        <v>1191</v>
      </c>
      <c r="X1075" s="31">
        <v>8.5</v>
      </c>
      <c r="Y1075" s="36">
        <v>0.37269869593496574</v>
      </c>
      <c r="Z1075" s="36">
        <v>0.013014600152637343</v>
      </c>
      <c r="AA1075" s="29" t="s">
        <v>820</v>
      </c>
      <c r="AB1075" s="31">
        <v>2.39777898788</v>
      </c>
      <c r="AC1075" s="38">
        <v>860.0</v>
      </c>
    </row>
    <row r="1076" ht="14.25" customHeight="1">
      <c r="A1076" s="29" t="s">
        <v>566</v>
      </c>
      <c r="B1076" s="29">
        <v>42.0</v>
      </c>
      <c r="C1076" s="29" t="s">
        <v>608</v>
      </c>
      <c r="D1076" s="29" t="s">
        <v>1053</v>
      </c>
      <c r="E1076" s="29">
        <v>41.0</v>
      </c>
      <c r="F1076" s="30" t="s">
        <v>1054</v>
      </c>
      <c r="G1076" s="29" t="s">
        <v>626</v>
      </c>
      <c r="H1076" s="31">
        <v>72.5</v>
      </c>
      <c r="I1076" s="29" t="s">
        <v>612</v>
      </c>
      <c r="J1076" s="32" t="s">
        <v>714</v>
      </c>
      <c r="K1076" s="29" t="s">
        <v>698</v>
      </c>
      <c r="L1076" s="29" t="s">
        <v>823</v>
      </c>
      <c r="M1076" s="33">
        <v>12.161</v>
      </c>
      <c r="N1076" s="33">
        <v>-1.171</v>
      </c>
      <c r="O1076" s="34" t="s">
        <v>641</v>
      </c>
      <c r="P1076" s="32" t="s">
        <v>602</v>
      </c>
      <c r="Q1076" s="35">
        <v>679.0</v>
      </c>
      <c r="R1076" s="35">
        <v>1164.0</v>
      </c>
      <c r="S1076" s="36">
        <v>0.006</v>
      </c>
      <c r="T1076" s="36">
        <v>0.152</v>
      </c>
      <c r="U1076" s="36">
        <v>0.0775</v>
      </c>
      <c r="V1076" s="36">
        <v>0.3899</v>
      </c>
      <c r="W1076" s="37" t="s">
        <v>1191</v>
      </c>
      <c r="X1076" s="31">
        <v>8.5</v>
      </c>
      <c r="Y1076" s="36">
        <v>-3.2256063705970273</v>
      </c>
      <c r="Z1076" s="36">
        <v>0.2513675298790531</v>
      </c>
      <c r="AA1076" s="29" t="s">
        <v>820</v>
      </c>
      <c r="AB1076" s="31">
        <v>2.39777898788</v>
      </c>
      <c r="AC1076" s="38">
        <v>860.0</v>
      </c>
    </row>
    <row r="1077" ht="14.25" customHeight="1">
      <c r="A1077" s="29" t="s">
        <v>566</v>
      </c>
      <c r="B1077" s="29">
        <v>42.0</v>
      </c>
      <c r="C1077" s="29" t="s">
        <v>608</v>
      </c>
      <c r="D1077" s="29" t="s">
        <v>1193</v>
      </c>
      <c r="E1077" s="29">
        <v>54.0</v>
      </c>
      <c r="F1077" s="30" t="s">
        <v>1194</v>
      </c>
      <c r="G1077" s="29" t="s">
        <v>629</v>
      </c>
      <c r="H1077" s="31">
        <v>12.0</v>
      </c>
      <c r="I1077" s="29" t="s">
        <v>657</v>
      </c>
      <c r="J1077" s="32" t="s">
        <v>714</v>
      </c>
      <c r="K1077" s="29" t="s">
        <v>698</v>
      </c>
      <c r="L1077" s="29" t="s">
        <v>823</v>
      </c>
      <c r="M1077" s="33">
        <v>12.161</v>
      </c>
      <c r="N1077" s="33">
        <v>-1.171</v>
      </c>
      <c r="O1077" s="34" t="s">
        <v>641</v>
      </c>
      <c r="P1077" s="32" t="s">
        <v>602</v>
      </c>
      <c r="Q1077" s="35">
        <v>679.0</v>
      </c>
      <c r="R1077" s="35">
        <v>1164.0</v>
      </c>
      <c r="S1077" s="36">
        <v>0.0</v>
      </c>
      <c r="T1077" s="36">
        <v>0.009</v>
      </c>
      <c r="U1077" s="36">
        <v>0.0</v>
      </c>
      <c r="V1077" s="36">
        <v>0.0949</v>
      </c>
      <c r="W1077" s="37" t="s">
        <v>1191</v>
      </c>
      <c r="X1077" s="31">
        <v>8.5</v>
      </c>
      <c r="Y1077" s="36">
        <v>-8.262558973010657</v>
      </c>
      <c r="Z1077" s="36">
        <v>0.0026462980919660407</v>
      </c>
      <c r="AA1077" s="29" t="s">
        <v>820</v>
      </c>
      <c r="AB1077" s="31">
        <v>2.39777898788</v>
      </c>
      <c r="AC1077" s="38">
        <v>860.0</v>
      </c>
    </row>
    <row r="1078" ht="14.25" customHeight="1">
      <c r="A1078" s="29" t="s">
        <v>566</v>
      </c>
      <c r="B1078" s="29">
        <v>42.0</v>
      </c>
      <c r="C1078" s="29" t="s">
        <v>608</v>
      </c>
      <c r="D1078" s="29" t="s">
        <v>931</v>
      </c>
      <c r="E1078" s="29">
        <v>83.0</v>
      </c>
      <c r="F1078" s="30" t="s">
        <v>932</v>
      </c>
      <c r="G1078" s="29" t="s">
        <v>611</v>
      </c>
      <c r="H1078" s="31">
        <v>131.63</v>
      </c>
      <c r="I1078" s="29" t="s">
        <v>612</v>
      </c>
      <c r="J1078" s="32" t="s">
        <v>714</v>
      </c>
      <c r="K1078" s="29" t="s">
        <v>698</v>
      </c>
      <c r="L1078" s="29" t="s">
        <v>823</v>
      </c>
      <c r="M1078" s="33">
        <v>12.161</v>
      </c>
      <c r="N1078" s="33">
        <v>-1.171</v>
      </c>
      <c r="O1078" s="34" t="s">
        <v>641</v>
      </c>
      <c r="P1078" s="32" t="s">
        <v>602</v>
      </c>
      <c r="Q1078" s="35">
        <v>679.0</v>
      </c>
      <c r="R1078" s="35">
        <v>1164.0</v>
      </c>
      <c r="S1078" s="36">
        <v>0.0</v>
      </c>
      <c r="T1078" s="36">
        <v>0.009</v>
      </c>
      <c r="U1078" s="36">
        <v>0.0</v>
      </c>
      <c r="V1078" s="36">
        <v>0.0949</v>
      </c>
      <c r="W1078" s="37" t="s">
        <v>1191</v>
      </c>
      <c r="X1078" s="31">
        <v>8.5</v>
      </c>
      <c r="Y1078" s="36">
        <v>-8.262558973010657</v>
      </c>
      <c r="Z1078" s="36">
        <v>0.0026462980919660407</v>
      </c>
      <c r="AA1078" s="29" t="s">
        <v>820</v>
      </c>
      <c r="AB1078" s="31">
        <v>2.39777898788</v>
      </c>
      <c r="AC1078" s="38">
        <v>860.0</v>
      </c>
    </row>
    <row r="1079" ht="14.25" customHeight="1">
      <c r="A1079" s="29" t="s">
        <v>566</v>
      </c>
      <c r="B1079" s="29">
        <v>42.0</v>
      </c>
      <c r="C1079" s="29" t="s">
        <v>608</v>
      </c>
      <c r="D1079" s="29" t="s">
        <v>751</v>
      </c>
      <c r="E1079" s="29">
        <v>97.0</v>
      </c>
      <c r="F1079" s="30" t="s">
        <v>752</v>
      </c>
      <c r="G1079" s="29" t="s">
        <v>753</v>
      </c>
      <c r="H1079" s="31">
        <v>3940.03</v>
      </c>
      <c r="I1079" s="29" t="s">
        <v>612</v>
      </c>
      <c r="J1079" s="32" t="s">
        <v>714</v>
      </c>
      <c r="K1079" s="29" t="s">
        <v>698</v>
      </c>
      <c r="L1079" s="29" t="s">
        <v>823</v>
      </c>
      <c r="M1079" s="33">
        <v>12.161</v>
      </c>
      <c r="N1079" s="33">
        <v>-1.171</v>
      </c>
      <c r="O1079" s="34" t="s">
        <v>641</v>
      </c>
      <c r="P1079" s="32" t="s">
        <v>602</v>
      </c>
      <c r="Q1079" s="35">
        <v>679.0</v>
      </c>
      <c r="R1079" s="35">
        <v>1164.0</v>
      </c>
      <c r="S1079" s="36">
        <v>0.205</v>
      </c>
      <c r="T1079" s="36">
        <v>0.357</v>
      </c>
      <c r="U1079" s="36">
        <v>0.4528</v>
      </c>
      <c r="V1079" s="36">
        <v>0.5975</v>
      </c>
      <c r="W1079" s="37" t="s">
        <v>1191</v>
      </c>
      <c r="X1079" s="31">
        <v>8.5</v>
      </c>
      <c r="Y1079" s="36">
        <v>-0.5542766095769192</v>
      </c>
      <c r="Z1079" s="36">
        <v>0.009591644738771514</v>
      </c>
      <c r="AA1079" s="29" t="s">
        <v>820</v>
      </c>
      <c r="AB1079" s="31">
        <v>2.39777898788</v>
      </c>
      <c r="AC1079" s="38">
        <v>860.0</v>
      </c>
    </row>
    <row r="1080" ht="14.25" customHeight="1">
      <c r="A1080" s="29" t="s">
        <v>566</v>
      </c>
      <c r="B1080" s="29">
        <v>42.0</v>
      </c>
      <c r="C1080" s="29" t="s">
        <v>608</v>
      </c>
      <c r="D1080" s="35" t="s">
        <v>947</v>
      </c>
      <c r="E1080" s="29">
        <v>121.0</v>
      </c>
      <c r="F1080" s="30" t="s">
        <v>948</v>
      </c>
      <c r="G1080" s="29" t="s">
        <v>611</v>
      </c>
      <c r="H1080" s="31">
        <v>42.5</v>
      </c>
      <c r="I1080" s="29" t="s">
        <v>597</v>
      </c>
      <c r="J1080" s="32" t="s">
        <v>714</v>
      </c>
      <c r="K1080" s="29" t="s">
        <v>698</v>
      </c>
      <c r="L1080" s="29" t="s">
        <v>823</v>
      </c>
      <c r="M1080" s="33">
        <v>12.161</v>
      </c>
      <c r="N1080" s="33">
        <v>-1.171</v>
      </c>
      <c r="O1080" s="34" t="s">
        <v>641</v>
      </c>
      <c r="P1080" s="32" t="s">
        <v>602</v>
      </c>
      <c r="Q1080" s="35">
        <v>679.0</v>
      </c>
      <c r="R1080" s="35">
        <v>1164.0</v>
      </c>
      <c r="S1080" s="36">
        <v>0.009</v>
      </c>
      <c r="T1080" s="36">
        <v>0.029</v>
      </c>
      <c r="U1080" s="36">
        <v>0.0949</v>
      </c>
      <c r="V1080" s="36">
        <v>0.1703</v>
      </c>
      <c r="W1080" s="37" t="s">
        <v>1191</v>
      </c>
      <c r="X1080" s="31">
        <v>8.5</v>
      </c>
      <c r="Y1080" s="36">
        <v>-1.16924027132817</v>
      </c>
      <c r="Z1080" s="36">
        <v>0.19337511168455146</v>
      </c>
      <c r="AA1080" s="29" t="s">
        <v>820</v>
      </c>
      <c r="AB1080" s="31">
        <v>2.39777898788</v>
      </c>
      <c r="AC1080" s="38">
        <v>860.0</v>
      </c>
    </row>
    <row r="1081" ht="14.25" customHeight="1">
      <c r="A1081" s="29" t="s">
        <v>566</v>
      </c>
      <c r="B1081" s="29">
        <v>42.0</v>
      </c>
      <c r="C1081" s="29" t="s">
        <v>608</v>
      </c>
      <c r="D1081" s="29" t="s">
        <v>758</v>
      </c>
      <c r="E1081" s="29">
        <v>123.0</v>
      </c>
      <c r="F1081" s="30" t="s">
        <v>759</v>
      </c>
      <c r="G1081" s="29" t="s">
        <v>629</v>
      </c>
      <c r="H1081" s="31">
        <v>52.04</v>
      </c>
      <c r="I1081" s="29" t="s">
        <v>657</v>
      </c>
      <c r="J1081" s="32" t="s">
        <v>714</v>
      </c>
      <c r="K1081" s="29" t="s">
        <v>698</v>
      </c>
      <c r="L1081" s="29" t="s">
        <v>823</v>
      </c>
      <c r="M1081" s="33">
        <v>12.161</v>
      </c>
      <c r="N1081" s="33">
        <v>-1.171</v>
      </c>
      <c r="O1081" s="34" t="s">
        <v>641</v>
      </c>
      <c r="P1081" s="32" t="s">
        <v>602</v>
      </c>
      <c r="Q1081" s="35">
        <v>679.0</v>
      </c>
      <c r="R1081" s="35">
        <v>1164.0</v>
      </c>
      <c r="S1081" s="36">
        <v>0.057</v>
      </c>
      <c r="T1081" s="36">
        <v>0.063</v>
      </c>
      <c r="U1081" s="36">
        <v>0.2387</v>
      </c>
      <c r="V1081" s="36">
        <v>0.251</v>
      </c>
      <c r="W1081" s="37" t="s">
        <v>1191</v>
      </c>
      <c r="X1081" s="31">
        <v>8.5</v>
      </c>
      <c r="Y1081" s="36">
        <v>-0.09979834359262525</v>
      </c>
      <c r="Z1081" s="36">
        <v>0.03946450537927421</v>
      </c>
      <c r="AA1081" s="29" t="s">
        <v>820</v>
      </c>
      <c r="AB1081" s="31">
        <v>2.39777898788</v>
      </c>
      <c r="AC1081" s="38">
        <v>860.0</v>
      </c>
    </row>
    <row r="1082" ht="14.25" customHeight="1">
      <c r="A1082" s="29" t="s">
        <v>566</v>
      </c>
      <c r="B1082" s="29">
        <v>42.0</v>
      </c>
      <c r="C1082" s="29" t="s">
        <v>608</v>
      </c>
      <c r="D1082" s="29" t="s">
        <v>1195</v>
      </c>
      <c r="E1082" s="29">
        <v>148.0</v>
      </c>
      <c r="F1082" s="30" t="s">
        <v>1196</v>
      </c>
      <c r="G1082" s="29" t="s">
        <v>626</v>
      </c>
      <c r="H1082" s="31">
        <v>70.0</v>
      </c>
      <c r="I1082" s="29" t="s">
        <v>616</v>
      </c>
      <c r="J1082" s="32" t="s">
        <v>714</v>
      </c>
      <c r="K1082" s="29" t="s">
        <v>698</v>
      </c>
      <c r="L1082" s="29" t="s">
        <v>823</v>
      </c>
      <c r="M1082" s="33">
        <v>12.161</v>
      </c>
      <c r="N1082" s="33">
        <v>-1.171</v>
      </c>
      <c r="O1082" s="34" t="s">
        <v>641</v>
      </c>
      <c r="P1082" s="32" t="s">
        <v>602</v>
      </c>
      <c r="Q1082" s="35">
        <v>679.0</v>
      </c>
      <c r="R1082" s="35">
        <v>1164.0</v>
      </c>
      <c r="S1082" s="36">
        <v>0.007</v>
      </c>
      <c r="T1082" s="36">
        <v>0.061</v>
      </c>
      <c r="U1082" s="36">
        <v>0.0837</v>
      </c>
      <c r="V1082" s="36">
        <v>0.247</v>
      </c>
      <c r="W1082" s="37" t="s">
        <v>1191</v>
      </c>
      <c r="X1082" s="31">
        <v>8.5</v>
      </c>
      <c r="Y1082" s="36">
        <v>-2.1627179709620066</v>
      </c>
      <c r="Z1082" s="36">
        <v>0.22465024705040132</v>
      </c>
      <c r="AA1082" s="29" t="s">
        <v>820</v>
      </c>
      <c r="AB1082" s="31">
        <v>2.39777898788</v>
      </c>
      <c r="AC1082" s="38">
        <v>860.0</v>
      </c>
    </row>
    <row r="1083" ht="14.25" customHeight="1">
      <c r="A1083" s="29" t="s">
        <v>566</v>
      </c>
      <c r="B1083" s="29">
        <v>42.0</v>
      </c>
      <c r="C1083" s="29" t="s">
        <v>608</v>
      </c>
      <c r="D1083" s="29" t="s">
        <v>1197</v>
      </c>
      <c r="E1083" s="29">
        <v>185.0</v>
      </c>
      <c r="F1083" s="30" t="s">
        <v>1198</v>
      </c>
      <c r="G1083" s="29" t="s">
        <v>626</v>
      </c>
      <c r="H1083" s="31">
        <v>292.5</v>
      </c>
      <c r="I1083" s="29" t="s">
        <v>612</v>
      </c>
      <c r="J1083" s="32" t="s">
        <v>714</v>
      </c>
      <c r="K1083" s="29" t="s">
        <v>698</v>
      </c>
      <c r="L1083" s="29" t="s">
        <v>823</v>
      </c>
      <c r="M1083" s="33">
        <v>12.161</v>
      </c>
      <c r="N1083" s="33">
        <v>-1.171</v>
      </c>
      <c r="O1083" s="34" t="s">
        <v>641</v>
      </c>
      <c r="P1083" s="32" t="s">
        <v>602</v>
      </c>
      <c r="Q1083" s="35">
        <v>679.0</v>
      </c>
      <c r="R1083" s="35">
        <v>1164.0</v>
      </c>
      <c r="S1083" s="36">
        <v>0.024</v>
      </c>
      <c r="T1083" s="36">
        <v>0.058</v>
      </c>
      <c r="U1083" s="36">
        <v>0.1549</v>
      </c>
      <c r="V1083" s="36">
        <v>0.2408</v>
      </c>
      <c r="W1083" s="37" t="s">
        <v>1191</v>
      </c>
      <c r="X1083" s="31">
        <v>8.5</v>
      </c>
      <c r="Y1083" s="36">
        <v>-0.8817658794786929</v>
      </c>
      <c r="Z1083" s="36">
        <v>0.07615769533084042</v>
      </c>
      <c r="AA1083" s="29" t="s">
        <v>820</v>
      </c>
      <c r="AB1083" s="31">
        <v>2.39777898788</v>
      </c>
      <c r="AC1083" s="38">
        <v>860.0</v>
      </c>
    </row>
    <row r="1084" ht="14.25" customHeight="1">
      <c r="A1084" s="29" t="s">
        <v>566</v>
      </c>
      <c r="B1084" s="29">
        <v>42.0</v>
      </c>
      <c r="C1084" s="29" t="s">
        <v>608</v>
      </c>
      <c r="D1084" s="29" t="s">
        <v>1199</v>
      </c>
      <c r="E1084" s="29">
        <v>199.0</v>
      </c>
      <c r="F1084" s="30" t="s">
        <v>1200</v>
      </c>
      <c r="G1084" s="29" t="s">
        <v>626</v>
      </c>
      <c r="H1084" s="31">
        <v>78.0</v>
      </c>
      <c r="I1084" s="29" t="s">
        <v>612</v>
      </c>
      <c r="J1084" s="32" t="s">
        <v>714</v>
      </c>
      <c r="K1084" s="29" t="s">
        <v>698</v>
      </c>
      <c r="L1084" s="29" t="s">
        <v>823</v>
      </c>
      <c r="M1084" s="33">
        <v>12.161</v>
      </c>
      <c r="N1084" s="33">
        <v>-1.171</v>
      </c>
      <c r="O1084" s="34" t="s">
        <v>641</v>
      </c>
      <c r="P1084" s="32" t="s">
        <v>602</v>
      </c>
      <c r="Q1084" s="35">
        <v>679.0</v>
      </c>
      <c r="R1084" s="35">
        <v>1164.0</v>
      </c>
      <c r="S1084" s="36">
        <v>0.0</v>
      </c>
      <c r="T1084" s="36">
        <v>0.023</v>
      </c>
      <c r="U1084" s="36">
        <v>0.0</v>
      </c>
      <c r="V1084" s="36">
        <v>0.1517</v>
      </c>
      <c r="W1084" s="37" t="s">
        <v>1191</v>
      </c>
      <c r="X1084" s="31">
        <v>8.5</v>
      </c>
      <c r="Y1084" s="36">
        <v>-8.262558973010657</v>
      </c>
      <c r="Z1084" s="36">
        <v>0.00280670261435197</v>
      </c>
      <c r="AA1084" s="29" t="s">
        <v>820</v>
      </c>
      <c r="AB1084" s="31">
        <v>2.39777898788</v>
      </c>
      <c r="AC1084" s="38">
        <v>860.0</v>
      </c>
    </row>
    <row r="1085" ht="14.25" customHeight="1">
      <c r="A1085" s="29" t="s">
        <v>291</v>
      </c>
      <c r="B1085" s="29">
        <v>2.0</v>
      </c>
      <c r="C1085" s="29" t="s">
        <v>608</v>
      </c>
      <c r="D1085" s="29" t="s">
        <v>617</v>
      </c>
      <c r="E1085" s="29">
        <v>75.0</v>
      </c>
      <c r="F1085" s="30" t="s">
        <v>618</v>
      </c>
      <c r="G1085" s="29" t="s">
        <v>619</v>
      </c>
      <c r="H1085" s="31">
        <v>4.2</v>
      </c>
      <c r="I1085" s="29" t="s">
        <v>620</v>
      </c>
      <c r="J1085" s="32" t="s">
        <v>598</v>
      </c>
      <c r="K1085" s="29" t="s">
        <v>599</v>
      </c>
      <c r="L1085" s="29" t="s">
        <v>1201</v>
      </c>
      <c r="M1085" s="33">
        <v>-55.448</v>
      </c>
      <c r="N1085" s="33">
        <v>-24.124</v>
      </c>
      <c r="O1085" s="34" t="s">
        <v>601</v>
      </c>
      <c r="P1085" s="32" t="s">
        <v>602</v>
      </c>
      <c r="Q1085" s="35">
        <v>91.0</v>
      </c>
      <c r="R1085" s="35">
        <v>91.0</v>
      </c>
      <c r="S1085" s="36">
        <v>0.009</v>
      </c>
      <c r="T1085" s="36">
        <v>0.058</v>
      </c>
      <c r="U1085" s="36">
        <v>0.404</v>
      </c>
      <c r="V1085" s="36">
        <v>0.0803</v>
      </c>
      <c r="W1085" s="37" t="s">
        <v>1202</v>
      </c>
      <c r="X1085" s="31">
        <v>1.5</v>
      </c>
      <c r="Y1085" s="36">
        <v>-1.8615571605226866</v>
      </c>
      <c r="Z1085" s="36">
        <v>22.164056463603636</v>
      </c>
      <c r="AA1085" s="29" t="s">
        <v>820</v>
      </c>
      <c r="AB1085" s="31">
        <v>8.67368030548</v>
      </c>
      <c r="AC1085" s="38">
        <v>1270.0</v>
      </c>
    </row>
    <row r="1086" ht="14.25" customHeight="1">
      <c r="A1086" s="29" t="s">
        <v>291</v>
      </c>
      <c r="B1086" s="29">
        <v>2.0</v>
      </c>
      <c r="C1086" s="29" t="s">
        <v>608</v>
      </c>
      <c r="D1086" s="29" t="s">
        <v>617</v>
      </c>
      <c r="E1086" s="29">
        <v>75.0</v>
      </c>
      <c r="F1086" s="30" t="s">
        <v>618</v>
      </c>
      <c r="G1086" s="29" t="s">
        <v>619</v>
      </c>
      <c r="H1086" s="31">
        <v>4.2</v>
      </c>
      <c r="I1086" s="29" t="s">
        <v>620</v>
      </c>
      <c r="J1086" s="32" t="s">
        <v>598</v>
      </c>
      <c r="K1086" s="29" t="s">
        <v>599</v>
      </c>
      <c r="L1086" s="29" t="s">
        <v>1201</v>
      </c>
      <c r="M1086" s="33">
        <v>-55.448</v>
      </c>
      <c r="N1086" s="33">
        <v>-24.124</v>
      </c>
      <c r="O1086" s="34" t="s">
        <v>601</v>
      </c>
      <c r="P1086" s="32" t="s">
        <v>602</v>
      </c>
      <c r="Q1086" s="35">
        <v>91.0</v>
      </c>
      <c r="R1086" s="35">
        <v>91.0</v>
      </c>
      <c r="S1086" s="36">
        <v>0.033</v>
      </c>
      <c r="T1086" s="36">
        <v>0.058</v>
      </c>
      <c r="U1086" s="36">
        <v>0.0628</v>
      </c>
      <c r="V1086" s="36">
        <v>0.0803</v>
      </c>
      <c r="W1086" s="37" t="s">
        <v>1202</v>
      </c>
      <c r="X1086" s="31">
        <v>4.5</v>
      </c>
      <c r="Y1086" s="36">
        <v>-0.5634821009398906</v>
      </c>
      <c r="Z1086" s="36">
        <v>0.06086062465021495</v>
      </c>
      <c r="AA1086" s="29" t="s">
        <v>820</v>
      </c>
      <c r="AB1086" s="31">
        <v>8.67368030548</v>
      </c>
      <c r="AC1086" s="38">
        <v>1270.0</v>
      </c>
    </row>
    <row r="1087" ht="14.25" customHeight="1">
      <c r="A1087" s="29" t="s">
        <v>291</v>
      </c>
      <c r="B1087" s="29">
        <v>2.0</v>
      </c>
      <c r="C1087" s="29" t="s">
        <v>608</v>
      </c>
      <c r="D1087" s="29" t="s">
        <v>617</v>
      </c>
      <c r="E1087" s="29">
        <v>75.0</v>
      </c>
      <c r="F1087" s="30" t="s">
        <v>618</v>
      </c>
      <c r="G1087" s="29" t="s">
        <v>619</v>
      </c>
      <c r="H1087" s="31">
        <v>4.2</v>
      </c>
      <c r="I1087" s="29" t="s">
        <v>620</v>
      </c>
      <c r="J1087" s="32" t="s">
        <v>598</v>
      </c>
      <c r="K1087" s="29" t="s">
        <v>599</v>
      </c>
      <c r="L1087" s="29" t="s">
        <v>1201</v>
      </c>
      <c r="M1087" s="33">
        <v>-55.448</v>
      </c>
      <c r="N1087" s="33">
        <v>-24.124</v>
      </c>
      <c r="O1087" s="34" t="s">
        <v>601</v>
      </c>
      <c r="P1087" s="32" t="s">
        <v>602</v>
      </c>
      <c r="Q1087" s="35">
        <v>91.0</v>
      </c>
      <c r="R1087" s="35">
        <v>91.0</v>
      </c>
      <c r="S1087" s="36">
        <v>0.037</v>
      </c>
      <c r="T1087" s="36">
        <v>0.058</v>
      </c>
      <c r="U1087" s="36">
        <v>0.0474</v>
      </c>
      <c r="V1087" s="36">
        <v>0.0803</v>
      </c>
      <c r="W1087" s="37" t="s">
        <v>1202</v>
      </c>
      <c r="X1087" s="31">
        <v>7.5</v>
      </c>
      <c r="Y1087" s="36">
        <v>-0.44912075046464073</v>
      </c>
      <c r="Z1087" s="36">
        <v>0.03909847522221787</v>
      </c>
      <c r="AA1087" s="29" t="s">
        <v>820</v>
      </c>
      <c r="AB1087" s="31">
        <v>8.67368030548</v>
      </c>
      <c r="AC1087" s="38">
        <v>1270.0</v>
      </c>
    </row>
    <row r="1088" ht="14.25" customHeight="1">
      <c r="A1088" s="29" t="s">
        <v>291</v>
      </c>
      <c r="B1088" s="29">
        <v>2.0</v>
      </c>
      <c r="C1088" s="29" t="s">
        <v>608</v>
      </c>
      <c r="D1088" s="29" t="s">
        <v>617</v>
      </c>
      <c r="E1088" s="29">
        <v>75.0</v>
      </c>
      <c r="F1088" s="30" t="s">
        <v>618</v>
      </c>
      <c r="G1088" s="29" t="s">
        <v>619</v>
      </c>
      <c r="H1088" s="31">
        <v>4.2</v>
      </c>
      <c r="I1088" s="29" t="s">
        <v>620</v>
      </c>
      <c r="J1088" s="32" t="s">
        <v>598</v>
      </c>
      <c r="K1088" s="29" t="s">
        <v>599</v>
      </c>
      <c r="L1088" s="29" t="s">
        <v>1201</v>
      </c>
      <c r="M1088" s="33">
        <v>-55.448</v>
      </c>
      <c r="N1088" s="33">
        <v>-24.124</v>
      </c>
      <c r="O1088" s="34" t="s">
        <v>601</v>
      </c>
      <c r="P1088" s="32" t="s">
        <v>602</v>
      </c>
      <c r="Q1088" s="35">
        <v>91.0</v>
      </c>
      <c r="R1088" s="35">
        <v>91.0</v>
      </c>
      <c r="S1088" s="36">
        <v>0.05</v>
      </c>
      <c r="T1088" s="36">
        <v>0.058</v>
      </c>
      <c r="U1088" s="36">
        <v>0.0796</v>
      </c>
      <c r="V1088" s="36">
        <v>0.0803</v>
      </c>
      <c r="W1088" s="37" t="s">
        <v>1202</v>
      </c>
      <c r="X1088" s="31">
        <v>10.5</v>
      </c>
      <c r="Y1088" s="36">
        <v>-0.14812077228710355</v>
      </c>
      <c r="Z1088" s="36">
        <v>0.04891490669140609</v>
      </c>
      <c r="AA1088" s="29" t="s">
        <v>820</v>
      </c>
      <c r="AB1088" s="31">
        <v>8.67368030548</v>
      </c>
      <c r="AC1088" s="38">
        <v>1270.0</v>
      </c>
    </row>
    <row r="1089" ht="14.25" customHeight="1">
      <c r="A1089" s="29" t="s">
        <v>291</v>
      </c>
      <c r="B1089" s="29">
        <v>2.0</v>
      </c>
      <c r="C1089" s="29" t="s">
        <v>608</v>
      </c>
      <c r="D1089" s="29" t="s">
        <v>617</v>
      </c>
      <c r="E1089" s="29">
        <v>75.0</v>
      </c>
      <c r="F1089" s="30" t="s">
        <v>618</v>
      </c>
      <c r="G1089" s="29" t="s">
        <v>619</v>
      </c>
      <c r="H1089" s="31">
        <v>4.2</v>
      </c>
      <c r="I1089" s="29" t="s">
        <v>620</v>
      </c>
      <c r="J1089" s="32" t="s">
        <v>598</v>
      </c>
      <c r="K1089" s="29" t="s">
        <v>599</v>
      </c>
      <c r="L1089" s="29" t="s">
        <v>1201</v>
      </c>
      <c r="M1089" s="33">
        <v>-55.448</v>
      </c>
      <c r="N1089" s="33">
        <v>-24.124</v>
      </c>
      <c r="O1089" s="34" t="s">
        <v>601</v>
      </c>
      <c r="P1089" s="32" t="s">
        <v>602</v>
      </c>
      <c r="Q1089" s="35">
        <v>91.0</v>
      </c>
      <c r="R1089" s="35">
        <v>91.0</v>
      </c>
      <c r="S1089" s="36">
        <v>0.0314</v>
      </c>
      <c r="T1089" s="36">
        <v>0.058</v>
      </c>
      <c r="U1089" s="36">
        <v>0.0526</v>
      </c>
      <c r="V1089" s="36">
        <v>0.0803</v>
      </c>
      <c r="W1089" s="37" t="s">
        <v>1202</v>
      </c>
      <c r="X1089" s="31">
        <v>13.5</v>
      </c>
      <c r="Y1089" s="36">
        <v>-0.6131586744521904</v>
      </c>
      <c r="Z1089" s="36">
        <v>0.05190056015125713</v>
      </c>
      <c r="AA1089" s="29" t="s">
        <v>820</v>
      </c>
      <c r="AB1089" s="31">
        <v>8.67368030548</v>
      </c>
      <c r="AC1089" s="38">
        <v>1270.0</v>
      </c>
    </row>
    <row r="1090" ht="14.25" customHeight="1">
      <c r="A1090" s="29" t="s">
        <v>291</v>
      </c>
      <c r="B1090" s="29">
        <v>2.0</v>
      </c>
      <c r="C1090" s="29" t="s">
        <v>608</v>
      </c>
      <c r="D1090" s="29" t="s">
        <v>617</v>
      </c>
      <c r="E1090" s="29">
        <v>75.0</v>
      </c>
      <c r="F1090" s="30" t="s">
        <v>618</v>
      </c>
      <c r="G1090" s="29" t="s">
        <v>619</v>
      </c>
      <c r="H1090" s="31">
        <v>4.2</v>
      </c>
      <c r="I1090" s="29" t="s">
        <v>620</v>
      </c>
      <c r="J1090" s="32" t="s">
        <v>598</v>
      </c>
      <c r="K1090" s="29" t="s">
        <v>599</v>
      </c>
      <c r="L1090" s="29" t="s">
        <v>1201</v>
      </c>
      <c r="M1090" s="33">
        <v>-55.448</v>
      </c>
      <c r="N1090" s="33">
        <v>-24.124</v>
      </c>
      <c r="O1090" s="34" t="s">
        <v>601</v>
      </c>
      <c r="P1090" s="32" t="s">
        <v>602</v>
      </c>
      <c r="Q1090" s="35">
        <v>91.0</v>
      </c>
      <c r="R1090" s="35">
        <v>91.0</v>
      </c>
      <c r="S1090" s="36">
        <v>0.0285</v>
      </c>
      <c r="T1090" s="36">
        <v>0.058</v>
      </c>
      <c r="U1090" s="36">
        <v>0.0477</v>
      </c>
      <c r="V1090" s="36">
        <v>0.0803</v>
      </c>
      <c r="W1090" s="37" t="s">
        <v>1202</v>
      </c>
      <c r="X1090" s="31">
        <v>16.5</v>
      </c>
      <c r="Y1090" s="36">
        <v>-0.7100140126303218</v>
      </c>
      <c r="Z1090" s="36">
        <v>0.05184627852179177</v>
      </c>
      <c r="AA1090" s="29" t="s">
        <v>820</v>
      </c>
      <c r="AB1090" s="31">
        <v>8.67368030548</v>
      </c>
      <c r="AC1090" s="38">
        <v>1270.0</v>
      </c>
    </row>
    <row r="1091" ht="14.25" customHeight="1">
      <c r="A1091" s="29" t="s">
        <v>291</v>
      </c>
      <c r="B1091" s="29">
        <v>2.0</v>
      </c>
      <c r="C1091" s="29" t="s">
        <v>608</v>
      </c>
      <c r="D1091" s="29" t="s">
        <v>624</v>
      </c>
      <c r="E1091" s="29">
        <v>101.0</v>
      </c>
      <c r="F1091" s="30" t="s">
        <v>625</v>
      </c>
      <c r="G1091" s="29" t="s">
        <v>626</v>
      </c>
      <c r="H1091" s="31">
        <v>18.59</v>
      </c>
      <c r="I1091" s="29" t="s">
        <v>612</v>
      </c>
      <c r="J1091" s="32" t="s">
        <v>598</v>
      </c>
      <c r="K1091" s="29" t="s">
        <v>599</v>
      </c>
      <c r="L1091" s="29" t="s">
        <v>1201</v>
      </c>
      <c r="M1091" s="33">
        <v>-55.448</v>
      </c>
      <c r="N1091" s="33">
        <v>-24.124</v>
      </c>
      <c r="O1091" s="34" t="s">
        <v>601</v>
      </c>
      <c r="P1091" s="32" t="s">
        <v>602</v>
      </c>
      <c r="Q1091" s="35">
        <v>91.0</v>
      </c>
      <c r="R1091" s="35">
        <v>91.0</v>
      </c>
      <c r="S1091" s="36">
        <v>0.007</v>
      </c>
      <c r="T1091" s="36">
        <v>0.009</v>
      </c>
      <c r="U1091" s="36">
        <v>0.0453</v>
      </c>
      <c r="V1091" s="36">
        <v>0.0295</v>
      </c>
      <c r="W1091" s="37" t="s">
        <v>1202</v>
      </c>
      <c r="X1091" s="31">
        <v>1.5</v>
      </c>
      <c r="Y1091" s="36">
        <v>-0.25098277165302485</v>
      </c>
      <c r="Z1091" s="36">
        <v>0.5782770869845699</v>
      </c>
      <c r="AA1091" s="29" t="s">
        <v>820</v>
      </c>
      <c r="AB1091" s="31">
        <v>8.67368030548</v>
      </c>
      <c r="AC1091" s="38">
        <v>1270.0</v>
      </c>
    </row>
    <row r="1092" ht="14.25" customHeight="1">
      <c r="A1092" s="29" t="s">
        <v>291</v>
      </c>
      <c r="B1092" s="29">
        <v>2.0</v>
      </c>
      <c r="C1092" s="29" t="s">
        <v>608</v>
      </c>
      <c r="D1092" s="29" t="s">
        <v>624</v>
      </c>
      <c r="E1092" s="29">
        <v>101.0</v>
      </c>
      <c r="F1092" s="30" t="s">
        <v>625</v>
      </c>
      <c r="G1092" s="29" t="s">
        <v>626</v>
      </c>
      <c r="H1092" s="31">
        <v>18.59</v>
      </c>
      <c r="I1092" s="29" t="s">
        <v>612</v>
      </c>
      <c r="J1092" s="32" t="s">
        <v>598</v>
      </c>
      <c r="K1092" s="29" t="s">
        <v>599</v>
      </c>
      <c r="L1092" s="29" t="s">
        <v>1201</v>
      </c>
      <c r="M1092" s="33">
        <v>-55.448</v>
      </c>
      <c r="N1092" s="33">
        <v>-24.124</v>
      </c>
      <c r="O1092" s="34" t="s">
        <v>601</v>
      </c>
      <c r="P1092" s="32" t="s">
        <v>602</v>
      </c>
      <c r="Q1092" s="35">
        <v>91.0</v>
      </c>
      <c r="R1092" s="35">
        <v>91.0</v>
      </c>
      <c r="S1092" s="36">
        <v>0.0097</v>
      </c>
      <c r="T1092" s="36">
        <v>0.009</v>
      </c>
      <c r="U1092" s="36">
        <v>0.0314</v>
      </c>
      <c r="V1092" s="36">
        <v>0.0295</v>
      </c>
      <c r="W1092" s="37" t="s">
        <v>1202</v>
      </c>
      <c r="X1092" s="31">
        <v>4.5</v>
      </c>
      <c r="Y1092" s="36">
        <v>0.07514065905467285</v>
      </c>
      <c r="Z1092" s="36">
        <v>0.23321681690442095</v>
      </c>
      <c r="AA1092" s="29" t="s">
        <v>820</v>
      </c>
      <c r="AB1092" s="31">
        <v>8.67368030548</v>
      </c>
      <c r="AC1092" s="38">
        <v>1270.0</v>
      </c>
    </row>
    <row r="1093" ht="14.25" customHeight="1">
      <c r="A1093" s="29" t="s">
        <v>291</v>
      </c>
      <c r="B1093" s="29">
        <v>2.0</v>
      </c>
      <c r="C1093" s="29" t="s">
        <v>608</v>
      </c>
      <c r="D1093" s="29" t="s">
        <v>624</v>
      </c>
      <c r="E1093" s="29">
        <v>101.0</v>
      </c>
      <c r="F1093" s="30" t="s">
        <v>625</v>
      </c>
      <c r="G1093" s="29" t="s">
        <v>626</v>
      </c>
      <c r="H1093" s="31">
        <v>18.59</v>
      </c>
      <c r="I1093" s="29" t="s">
        <v>612</v>
      </c>
      <c r="J1093" s="32" t="s">
        <v>598</v>
      </c>
      <c r="K1093" s="29" t="s">
        <v>599</v>
      </c>
      <c r="L1093" s="29" t="s">
        <v>1201</v>
      </c>
      <c r="M1093" s="33">
        <v>-55.448</v>
      </c>
      <c r="N1093" s="33">
        <v>-24.124</v>
      </c>
      <c r="O1093" s="34" t="s">
        <v>601</v>
      </c>
      <c r="P1093" s="32" t="s">
        <v>602</v>
      </c>
      <c r="Q1093" s="35">
        <v>91.0</v>
      </c>
      <c r="R1093" s="35">
        <v>91.0</v>
      </c>
      <c r="S1093" s="36">
        <v>0.0057</v>
      </c>
      <c r="T1093" s="36">
        <v>0.009</v>
      </c>
      <c r="U1093" s="36">
        <v>0.0191</v>
      </c>
      <c r="V1093" s="36">
        <v>0.0295</v>
      </c>
      <c r="W1093" s="37" t="s">
        <v>1202</v>
      </c>
      <c r="X1093" s="31">
        <v>7.5</v>
      </c>
      <c r="Y1093" s="36">
        <v>-0.4563511202842445</v>
      </c>
      <c r="Z1093" s="36">
        <v>0.24145280354883308</v>
      </c>
      <c r="AA1093" s="29" t="s">
        <v>820</v>
      </c>
      <c r="AB1093" s="31">
        <v>8.67368030548</v>
      </c>
      <c r="AC1093" s="38">
        <v>1270.0</v>
      </c>
    </row>
    <row r="1094" ht="14.25" customHeight="1">
      <c r="A1094" s="29" t="s">
        <v>291</v>
      </c>
      <c r="B1094" s="29">
        <v>2.0</v>
      </c>
      <c r="C1094" s="29" t="s">
        <v>608</v>
      </c>
      <c r="D1094" s="29" t="s">
        <v>624</v>
      </c>
      <c r="E1094" s="29">
        <v>101.0</v>
      </c>
      <c r="F1094" s="30" t="s">
        <v>625</v>
      </c>
      <c r="G1094" s="29" t="s">
        <v>626</v>
      </c>
      <c r="H1094" s="31">
        <v>18.59</v>
      </c>
      <c r="I1094" s="29" t="s">
        <v>612</v>
      </c>
      <c r="J1094" s="32" t="s">
        <v>598</v>
      </c>
      <c r="K1094" s="29" t="s">
        <v>599</v>
      </c>
      <c r="L1094" s="29" t="s">
        <v>1201</v>
      </c>
      <c r="M1094" s="33">
        <v>-55.448</v>
      </c>
      <c r="N1094" s="33">
        <v>-24.124</v>
      </c>
      <c r="O1094" s="34" t="s">
        <v>601</v>
      </c>
      <c r="P1094" s="32" t="s">
        <v>602</v>
      </c>
      <c r="Q1094" s="35">
        <v>91.0</v>
      </c>
      <c r="R1094" s="35">
        <v>91.0</v>
      </c>
      <c r="S1094" s="36">
        <v>0.004</v>
      </c>
      <c r="T1094" s="36">
        <v>0.009</v>
      </c>
      <c r="U1094" s="36">
        <v>0.0243</v>
      </c>
      <c r="V1094" s="36">
        <v>0.0295</v>
      </c>
      <c r="W1094" s="37" t="s">
        <v>1202</v>
      </c>
      <c r="X1094" s="31">
        <v>10.5</v>
      </c>
      <c r="Y1094" s="36">
        <v>-0.810349889282545</v>
      </c>
      <c r="Z1094" s="36">
        <v>0.5236203534120201</v>
      </c>
      <c r="AA1094" s="29" t="s">
        <v>820</v>
      </c>
      <c r="AB1094" s="31">
        <v>8.67368030548</v>
      </c>
      <c r="AC1094" s="38">
        <v>1270.0</v>
      </c>
    </row>
    <row r="1095" ht="14.25" customHeight="1">
      <c r="A1095" s="29" t="s">
        <v>291</v>
      </c>
      <c r="B1095" s="29">
        <v>2.0</v>
      </c>
      <c r="C1095" s="29" t="s">
        <v>608</v>
      </c>
      <c r="D1095" s="29" t="s">
        <v>624</v>
      </c>
      <c r="E1095" s="29">
        <v>101.0</v>
      </c>
      <c r="F1095" s="30" t="s">
        <v>625</v>
      </c>
      <c r="G1095" s="29" t="s">
        <v>626</v>
      </c>
      <c r="H1095" s="31">
        <v>18.59</v>
      </c>
      <c r="I1095" s="29" t="s">
        <v>612</v>
      </c>
      <c r="J1095" s="32" t="s">
        <v>598</v>
      </c>
      <c r="K1095" s="29" t="s">
        <v>599</v>
      </c>
      <c r="L1095" s="29" t="s">
        <v>1201</v>
      </c>
      <c r="M1095" s="33">
        <v>-55.448</v>
      </c>
      <c r="N1095" s="33">
        <v>-24.124</v>
      </c>
      <c r="O1095" s="34" t="s">
        <v>601</v>
      </c>
      <c r="P1095" s="32" t="s">
        <v>602</v>
      </c>
      <c r="Q1095" s="35">
        <v>91.0</v>
      </c>
      <c r="R1095" s="35">
        <v>91.0</v>
      </c>
      <c r="S1095" s="36">
        <v>0.0086</v>
      </c>
      <c r="T1095" s="36">
        <v>0.009</v>
      </c>
      <c r="U1095" s="36">
        <v>0.0292</v>
      </c>
      <c r="V1095" s="36">
        <v>0.0295</v>
      </c>
      <c r="W1095" s="37" t="s">
        <v>1202</v>
      </c>
      <c r="X1095" s="31">
        <v>13.5</v>
      </c>
      <c r="Y1095" s="36">
        <v>-0.045192412679597255</v>
      </c>
      <c r="Z1095" s="36">
        <v>0.2447496800750812</v>
      </c>
      <c r="AA1095" s="29" t="s">
        <v>820</v>
      </c>
      <c r="AB1095" s="31">
        <v>8.67368030548</v>
      </c>
      <c r="AC1095" s="38">
        <v>1270.0</v>
      </c>
    </row>
    <row r="1096" ht="14.25" customHeight="1">
      <c r="A1096" s="29" t="s">
        <v>291</v>
      </c>
      <c r="B1096" s="29">
        <v>2.0</v>
      </c>
      <c r="C1096" s="29" t="s">
        <v>608</v>
      </c>
      <c r="D1096" s="29" t="s">
        <v>624</v>
      </c>
      <c r="E1096" s="29">
        <v>101.0</v>
      </c>
      <c r="F1096" s="30" t="s">
        <v>625</v>
      </c>
      <c r="G1096" s="29" t="s">
        <v>626</v>
      </c>
      <c r="H1096" s="31">
        <v>18.59</v>
      </c>
      <c r="I1096" s="29" t="s">
        <v>612</v>
      </c>
      <c r="J1096" s="32" t="s">
        <v>598</v>
      </c>
      <c r="K1096" s="29" t="s">
        <v>599</v>
      </c>
      <c r="L1096" s="29" t="s">
        <v>1201</v>
      </c>
      <c r="M1096" s="33">
        <v>-55.448</v>
      </c>
      <c r="N1096" s="33">
        <v>-24.124</v>
      </c>
      <c r="O1096" s="34" t="s">
        <v>601</v>
      </c>
      <c r="P1096" s="32" t="s">
        <v>602</v>
      </c>
      <c r="Q1096" s="35">
        <v>91.0</v>
      </c>
      <c r="R1096" s="35">
        <v>91.0</v>
      </c>
      <c r="S1096" s="36">
        <v>0.015</v>
      </c>
      <c r="T1096" s="36">
        <v>0.009</v>
      </c>
      <c r="U1096" s="36">
        <v>0.0414</v>
      </c>
      <c r="V1096" s="36">
        <v>0.0295</v>
      </c>
      <c r="W1096" s="37" t="s">
        <v>1202</v>
      </c>
      <c r="X1096" s="31">
        <v>16.5</v>
      </c>
      <c r="Y1096" s="36">
        <v>0.5109804105475086</v>
      </c>
      <c r="Z1096" s="36">
        <v>0.2017739248405915</v>
      </c>
      <c r="AA1096" s="29" t="s">
        <v>820</v>
      </c>
      <c r="AB1096" s="31">
        <v>8.67368030548</v>
      </c>
      <c r="AC1096" s="38">
        <v>1270.0</v>
      </c>
    </row>
    <row r="1097" ht="14.25" customHeight="1">
      <c r="A1097" s="29" t="s">
        <v>291</v>
      </c>
      <c r="B1097" s="29">
        <v>2.0</v>
      </c>
      <c r="C1097" s="29" t="s">
        <v>608</v>
      </c>
      <c r="D1097" s="29" t="s">
        <v>1203</v>
      </c>
      <c r="E1097" s="29">
        <v>174.0</v>
      </c>
      <c r="F1097" s="30" t="s">
        <v>1204</v>
      </c>
      <c r="G1097" s="29" t="s">
        <v>611</v>
      </c>
      <c r="H1097" s="31">
        <v>2.5</v>
      </c>
      <c r="I1097" s="29" t="s">
        <v>616</v>
      </c>
      <c r="J1097" s="32" t="s">
        <v>598</v>
      </c>
      <c r="K1097" s="29" t="s">
        <v>599</v>
      </c>
      <c r="L1097" s="29" t="s">
        <v>1201</v>
      </c>
      <c r="M1097" s="33">
        <v>-55.448</v>
      </c>
      <c r="N1097" s="33">
        <v>-24.124</v>
      </c>
      <c r="O1097" s="34" t="s">
        <v>601</v>
      </c>
      <c r="P1097" s="32" t="s">
        <v>602</v>
      </c>
      <c r="Q1097" s="35">
        <v>91.0</v>
      </c>
      <c r="R1097" s="35">
        <v>91.0</v>
      </c>
      <c r="S1097" s="36">
        <v>0.0</v>
      </c>
      <c r="T1097" s="36">
        <v>0.009</v>
      </c>
      <c r="U1097" s="36">
        <v>0.0</v>
      </c>
      <c r="V1097" s="36">
        <v>0.0316</v>
      </c>
      <c r="W1097" s="37" t="s">
        <v>1202</v>
      </c>
      <c r="X1097" s="31">
        <v>1.5</v>
      </c>
      <c r="Y1097" s="36">
        <v>-8.262558973010657</v>
      </c>
      <c r="Z1097" s="36">
        <v>0.02297552748894221</v>
      </c>
      <c r="AA1097" s="29" t="s">
        <v>820</v>
      </c>
      <c r="AB1097" s="31">
        <v>8.67368030548</v>
      </c>
      <c r="AC1097" s="38">
        <v>1270.0</v>
      </c>
    </row>
    <row r="1098" ht="14.25" customHeight="1">
      <c r="A1098" s="29" t="s">
        <v>291</v>
      </c>
      <c r="B1098" s="29">
        <v>2.0</v>
      </c>
      <c r="C1098" s="29" t="s">
        <v>608</v>
      </c>
      <c r="D1098" s="29" t="s">
        <v>1203</v>
      </c>
      <c r="E1098" s="29">
        <v>174.0</v>
      </c>
      <c r="F1098" s="30" t="s">
        <v>1204</v>
      </c>
      <c r="G1098" s="29" t="s">
        <v>611</v>
      </c>
      <c r="H1098" s="31">
        <v>2.5</v>
      </c>
      <c r="I1098" s="29" t="s">
        <v>616</v>
      </c>
      <c r="J1098" s="32" t="s">
        <v>598</v>
      </c>
      <c r="K1098" s="29" t="s">
        <v>599</v>
      </c>
      <c r="L1098" s="29" t="s">
        <v>1201</v>
      </c>
      <c r="M1098" s="33">
        <v>-55.448</v>
      </c>
      <c r="N1098" s="33">
        <v>-24.124</v>
      </c>
      <c r="O1098" s="34" t="s">
        <v>601</v>
      </c>
      <c r="P1098" s="32" t="s">
        <v>602</v>
      </c>
      <c r="Q1098" s="35">
        <v>91.0</v>
      </c>
      <c r="R1098" s="35">
        <v>91.0</v>
      </c>
      <c r="S1098" s="36">
        <v>0.0019</v>
      </c>
      <c r="T1098" s="36">
        <v>0.009</v>
      </c>
      <c r="U1098" s="36">
        <v>0.0185</v>
      </c>
      <c r="V1098" s="36">
        <v>0.0316</v>
      </c>
      <c r="W1098" s="37" t="s">
        <v>1202</v>
      </c>
      <c r="X1098" s="31">
        <v>4.5</v>
      </c>
      <c r="Y1098" s="36">
        <v>-1.5541493418282697</v>
      </c>
      <c r="Z1098" s="36">
        <v>1.1772966529383888</v>
      </c>
      <c r="AA1098" s="29" t="s">
        <v>820</v>
      </c>
      <c r="AB1098" s="31">
        <v>8.67368030548</v>
      </c>
      <c r="AC1098" s="38">
        <v>1270.0</v>
      </c>
    </row>
    <row r="1099" ht="14.25" customHeight="1">
      <c r="A1099" s="29" t="s">
        <v>291</v>
      </c>
      <c r="B1099" s="29">
        <v>2.0</v>
      </c>
      <c r="C1099" s="29" t="s">
        <v>608</v>
      </c>
      <c r="D1099" s="29" t="s">
        <v>1203</v>
      </c>
      <c r="E1099" s="29">
        <v>174.0</v>
      </c>
      <c r="F1099" s="30" t="s">
        <v>1204</v>
      </c>
      <c r="G1099" s="29" t="s">
        <v>611</v>
      </c>
      <c r="H1099" s="31">
        <v>2.5</v>
      </c>
      <c r="I1099" s="29" t="s">
        <v>616</v>
      </c>
      <c r="J1099" s="32" t="s">
        <v>598</v>
      </c>
      <c r="K1099" s="29" t="s">
        <v>599</v>
      </c>
      <c r="L1099" s="29" t="s">
        <v>1201</v>
      </c>
      <c r="M1099" s="33">
        <v>-55.448</v>
      </c>
      <c r="N1099" s="33">
        <v>-24.124</v>
      </c>
      <c r="O1099" s="34" t="s">
        <v>601</v>
      </c>
      <c r="P1099" s="32" t="s">
        <v>602</v>
      </c>
      <c r="Q1099" s="35">
        <v>91.0</v>
      </c>
      <c r="R1099" s="35">
        <v>91.0</v>
      </c>
      <c r="S1099" s="36">
        <v>0.0024</v>
      </c>
      <c r="T1099" s="36">
        <v>0.009</v>
      </c>
      <c r="U1099" s="36">
        <v>0.0186</v>
      </c>
      <c r="V1099" s="36">
        <v>0.0316</v>
      </c>
      <c r="W1099" s="37" t="s">
        <v>1202</v>
      </c>
      <c r="X1099" s="31">
        <v>7.5</v>
      </c>
      <c r="Y1099" s="36">
        <v>-1.3207888154412422</v>
      </c>
      <c r="Z1099" s="36">
        <v>0.7954989146655813</v>
      </c>
      <c r="AA1099" s="29" t="s">
        <v>820</v>
      </c>
      <c r="AB1099" s="31">
        <v>8.67368030548</v>
      </c>
      <c r="AC1099" s="38">
        <v>1270.0</v>
      </c>
    </row>
    <row r="1100" ht="14.25" customHeight="1">
      <c r="A1100" s="29" t="s">
        <v>291</v>
      </c>
      <c r="B1100" s="29">
        <v>2.0</v>
      </c>
      <c r="C1100" s="29" t="s">
        <v>608</v>
      </c>
      <c r="D1100" s="29" t="s">
        <v>1203</v>
      </c>
      <c r="E1100" s="29">
        <v>174.0</v>
      </c>
      <c r="F1100" s="30" t="s">
        <v>1204</v>
      </c>
      <c r="G1100" s="29" t="s">
        <v>611</v>
      </c>
      <c r="H1100" s="31">
        <v>2.5</v>
      </c>
      <c r="I1100" s="29" t="s">
        <v>616</v>
      </c>
      <c r="J1100" s="32" t="s">
        <v>598</v>
      </c>
      <c r="K1100" s="29" t="s">
        <v>599</v>
      </c>
      <c r="L1100" s="29" t="s">
        <v>1201</v>
      </c>
      <c r="M1100" s="33">
        <v>-55.448</v>
      </c>
      <c r="N1100" s="33">
        <v>-24.124</v>
      </c>
      <c r="O1100" s="34" t="s">
        <v>601</v>
      </c>
      <c r="P1100" s="32" t="s">
        <v>602</v>
      </c>
      <c r="Q1100" s="35">
        <v>91.0</v>
      </c>
      <c r="R1100" s="35">
        <v>91.0</v>
      </c>
      <c r="S1100" s="36">
        <v>0.0076</v>
      </c>
      <c r="T1100" s="36">
        <v>0.009</v>
      </c>
      <c r="U1100" s="36">
        <v>0.0278</v>
      </c>
      <c r="V1100" s="36">
        <v>0.0316</v>
      </c>
      <c r="W1100" s="37" t="s">
        <v>1202</v>
      </c>
      <c r="X1100" s="31">
        <v>10.5</v>
      </c>
      <c r="Y1100" s="36">
        <v>-0.1687708528352492</v>
      </c>
      <c r="Z1100" s="36">
        <v>0.2825065400042316</v>
      </c>
      <c r="AA1100" s="29" t="s">
        <v>820</v>
      </c>
      <c r="AB1100" s="31">
        <v>8.67368030548</v>
      </c>
      <c r="AC1100" s="38">
        <v>1270.0</v>
      </c>
    </row>
    <row r="1101" ht="14.25" customHeight="1">
      <c r="A1101" s="29" t="s">
        <v>291</v>
      </c>
      <c r="B1101" s="29">
        <v>2.0</v>
      </c>
      <c r="C1101" s="29" t="s">
        <v>608</v>
      </c>
      <c r="D1101" s="29" t="s">
        <v>1203</v>
      </c>
      <c r="E1101" s="29">
        <v>174.0</v>
      </c>
      <c r="F1101" s="30" t="s">
        <v>1204</v>
      </c>
      <c r="G1101" s="29" t="s">
        <v>611</v>
      </c>
      <c r="H1101" s="31">
        <v>2.5</v>
      </c>
      <c r="I1101" s="29" t="s">
        <v>616</v>
      </c>
      <c r="J1101" s="32" t="s">
        <v>598</v>
      </c>
      <c r="K1101" s="29" t="s">
        <v>599</v>
      </c>
      <c r="L1101" s="29" t="s">
        <v>1201</v>
      </c>
      <c r="M1101" s="33">
        <v>-55.448</v>
      </c>
      <c r="N1101" s="33">
        <v>-24.124</v>
      </c>
      <c r="O1101" s="34" t="s">
        <v>601</v>
      </c>
      <c r="P1101" s="32" t="s">
        <v>602</v>
      </c>
      <c r="Q1101" s="35">
        <v>91.0</v>
      </c>
      <c r="R1101" s="35">
        <v>91.0</v>
      </c>
      <c r="S1101" s="36">
        <v>0.0057</v>
      </c>
      <c r="T1101" s="36">
        <v>0.009</v>
      </c>
      <c r="U1101" s="36">
        <v>0.022</v>
      </c>
      <c r="V1101" s="36">
        <v>0.0316</v>
      </c>
      <c r="W1101" s="37" t="s">
        <v>1202</v>
      </c>
      <c r="X1101" s="31">
        <v>13.5</v>
      </c>
      <c r="Y1101" s="36">
        <v>-0.4563511202842445</v>
      </c>
      <c r="Z1101" s="36">
        <v>0.2991735448983833</v>
      </c>
      <c r="AA1101" s="29" t="s">
        <v>820</v>
      </c>
      <c r="AB1101" s="31">
        <v>8.67368030548</v>
      </c>
      <c r="AC1101" s="38">
        <v>1270.0</v>
      </c>
    </row>
    <row r="1102" ht="14.25" customHeight="1">
      <c r="A1102" s="29" t="s">
        <v>291</v>
      </c>
      <c r="B1102" s="29">
        <v>2.0</v>
      </c>
      <c r="C1102" s="29" t="s">
        <v>608</v>
      </c>
      <c r="D1102" s="29" t="s">
        <v>1203</v>
      </c>
      <c r="E1102" s="29">
        <v>174.0</v>
      </c>
      <c r="F1102" s="30" t="s">
        <v>1204</v>
      </c>
      <c r="G1102" s="29" t="s">
        <v>611</v>
      </c>
      <c r="H1102" s="31">
        <v>2.5</v>
      </c>
      <c r="I1102" s="29" t="s">
        <v>616</v>
      </c>
      <c r="J1102" s="32" t="s">
        <v>598</v>
      </c>
      <c r="K1102" s="29" t="s">
        <v>599</v>
      </c>
      <c r="L1102" s="29" t="s">
        <v>1201</v>
      </c>
      <c r="M1102" s="33">
        <v>-55.448</v>
      </c>
      <c r="N1102" s="33">
        <v>-24.124</v>
      </c>
      <c r="O1102" s="34" t="s">
        <v>601</v>
      </c>
      <c r="P1102" s="32" t="s">
        <v>602</v>
      </c>
      <c r="Q1102" s="35">
        <v>91.0</v>
      </c>
      <c r="R1102" s="35">
        <v>91.0</v>
      </c>
      <c r="S1102" s="36">
        <v>0.0029</v>
      </c>
      <c r="T1102" s="36">
        <v>0.009</v>
      </c>
      <c r="U1102" s="36">
        <v>0.0185</v>
      </c>
      <c r="V1102" s="36">
        <v>0.0316</v>
      </c>
      <c r="W1102" s="37" t="s">
        <v>1202</v>
      </c>
      <c r="X1102" s="31">
        <v>16.5</v>
      </c>
      <c r="Y1102" s="36">
        <v>-1.1317134774699162</v>
      </c>
      <c r="Z1102" s="36">
        <v>0.5826758429691445</v>
      </c>
      <c r="AA1102" s="29" t="s">
        <v>820</v>
      </c>
      <c r="AB1102" s="31">
        <v>8.67368030548</v>
      </c>
      <c r="AC1102" s="38">
        <v>1270.0</v>
      </c>
    </row>
    <row r="1103" ht="14.25" customHeight="1">
      <c r="A1103" s="29" t="s">
        <v>291</v>
      </c>
      <c r="B1103" s="29">
        <v>2.0</v>
      </c>
      <c r="C1103" s="29" t="s">
        <v>608</v>
      </c>
      <c r="D1103" s="29" t="s">
        <v>636</v>
      </c>
      <c r="E1103" s="29">
        <v>189.0</v>
      </c>
      <c r="F1103" s="30" t="s">
        <v>637</v>
      </c>
      <c r="G1103" s="29" t="s">
        <v>638</v>
      </c>
      <c r="H1103" s="31">
        <v>207.5</v>
      </c>
      <c r="I1103" s="29" t="s">
        <v>612</v>
      </c>
      <c r="J1103" s="32" t="s">
        <v>598</v>
      </c>
      <c r="K1103" s="29" t="s">
        <v>599</v>
      </c>
      <c r="L1103" s="29" t="s">
        <v>1201</v>
      </c>
      <c r="M1103" s="33">
        <v>-55.448</v>
      </c>
      <c r="N1103" s="33">
        <v>-24.124</v>
      </c>
      <c r="O1103" s="34" t="s">
        <v>601</v>
      </c>
      <c r="P1103" s="32" t="s">
        <v>602</v>
      </c>
      <c r="Q1103" s="35">
        <v>91.0</v>
      </c>
      <c r="R1103" s="35">
        <v>91.0</v>
      </c>
      <c r="S1103" s="36">
        <v>0.004</v>
      </c>
      <c r="T1103" s="36">
        <v>0.016</v>
      </c>
      <c r="U1103" s="36">
        <v>0.0401</v>
      </c>
      <c r="V1103" s="36">
        <v>0.0417</v>
      </c>
      <c r="W1103" s="37" t="s">
        <v>1202</v>
      </c>
      <c r="X1103" s="31">
        <v>1.5</v>
      </c>
      <c r="Y1103" s="36">
        <v>-1.3852629015132285</v>
      </c>
      <c r="Z1103" s="36">
        <v>1.1790457589285714</v>
      </c>
      <c r="AA1103" s="29" t="s">
        <v>820</v>
      </c>
      <c r="AB1103" s="31">
        <v>8.67368030548</v>
      </c>
      <c r="AC1103" s="38">
        <v>1270.0</v>
      </c>
    </row>
    <row r="1104" ht="14.25" customHeight="1">
      <c r="A1104" s="29" t="s">
        <v>291</v>
      </c>
      <c r="B1104" s="29">
        <v>2.0</v>
      </c>
      <c r="C1104" s="29" t="s">
        <v>608</v>
      </c>
      <c r="D1104" s="29" t="s">
        <v>636</v>
      </c>
      <c r="E1104" s="29">
        <v>189.0</v>
      </c>
      <c r="F1104" s="30" t="s">
        <v>637</v>
      </c>
      <c r="G1104" s="29" t="s">
        <v>638</v>
      </c>
      <c r="H1104" s="31">
        <v>207.5</v>
      </c>
      <c r="I1104" s="29" t="s">
        <v>612</v>
      </c>
      <c r="J1104" s="32" t="s">
        <v>598</v>
      </c>
      <c r="K1104" s="29" t="s">
        <v>599</v>
      </c>
      <c r="L1104" s="29" t="s">
        <v>1201</v>
      </c>
      <c r="M1104" s="33">
        <v>-55.448</v>
      </c>
      <c r="N1104" s="33">
        <v>-24.124</v>
      </c>
      <c r="O1104" s="34" t="s">
        <v>601</v>
      </c>
      <c r="P1104" s="32" t="s">
        <v>602</v>
      </c>
      <c r="Q1104" s="35">
        <v>91.0</v>
      </c>
      <c r="R1104" s="35">
        <v>91.0</v>
      </c>
      <c r="S1104" s="36">
        <v>0.0139</v>
      </c>
      <c r="T1104" s="36">
        <v>0.016</v>
      </c>
      <c r="U1104" s="36">
        <v>0.0375</v>
      </c>
      <c r="V1104" s="36">
        <v>0.0417</v>
      </c>
      <c r="W1104" s="37" t="s">
        <v>1202</v>
      </c>
      <c r="X1104" s="31">
        <v>4.5</v>
      </c>
      <c r="Y1104" s="36">
        <v>-0.14040295015033333</v>
      </c>
      <c r="Z1104" s="36">
        <v>0.15462515433390106</v>
      </c>
      <c r="AA1104" s="29" t="s">
        <v>820</v>
      </c>
      <c r="AB1104" s="31">
        <v>8.67368030548</v>
      </c>
      <c r="AC1104" s="38">
        <v>1270.0</v>
      </c>
    </row>
    <row r="1105" ht="14.25" customHeight="1">
      <c r="A1105" s="29" t="s">
        <v>291</v>
      </c>
      <c r="B1105" s="29">
        <v>2.0</v>
      </c>
      <c r="C1105" s="29" t="s">
        <v>608</v>
      </c>
      <c r="D1105" s="29" t="s">
        <v>636</v>
      </c>
      <c r="E1105" s="29">
        <v>189.0</v>
      </c>
      <c r="F1105" s="30" t="s">
        <v>637</v>
      </c>
      <c r="G1105" s="29" t="s">
        <v>638</v>
      </c>
      <c r="H1105" s="31">
        <v>207.5</v>
      </c>
      <c r="I1105" s="29" t="s">
        <v>612</v>
      </c>
      <c r="J1105" s="32" t="s">
        <v>598</v>
      </c>
      <c r="K1105" s="29" t="s">
        <v>599</v>
      </c>
      <c r="L1105" s="29" t="s">
        <v>1201</v>
      </c>
      <c r="M1105" s="33">
        <v>-55.448</v>
      </c>
      <c r="N1105" s="33">
        <v>-24.124</v>
      </c>
      <c r="O1105" s="34" t="s">
        <v>601</v>
      </c>
      <c r="P1105" s="32" t="s">
        <v>602</v>
      </c>
      <c r="Q1105" s="35">
        <v>91.0</v>
      </c>
      <c r="R1105" s="35">
        <v>91.0</v>
      </c>
      <c r="S1105" s="36">
        <v>0.0064</v>
      </c>
      <c r="T1105" s="36">
        <v>0.016</v>
      </c>
      <c r="U1105" s="36">
        <v>0.0191</v>
      </c>
      <c r="V1105" s="36">
        <v>0.0417</v>
      </c>
      <c r="W1105" s="37" t="s">
        <v>1202</v>
      </c>
      <c r="X1105" s="31">
        <v>7.5</v>
      </c>
      <c r="Y1105" s="36">
        <v>-0.9156459449538856</v>
      </c>
      <c r="Z1105" s="36">
        <v>0.17251684838598902</v>
      </c>
      <c r="AA1105" s="29" t="s">
        <v>820</v>
      </c>
      <c r="AB1105" s="31">
        <v>8.67368030548</v>
      </c>
      <c r="AC1105" s="38">
        <v>1270.0</v>
      </c>
    </row>
    <row r="1106" ht="14.25" customHeight="1">
      <c r="A1106" s="29" t="s">
        <v>291</v>
      </c>
      <c r="B1106" s="29">
        <v>2.0</v>
      </c>
      <c r="C1106" s="29" t="s">
        <v>608</v>
      </c>
      <c r="D1106" s="29" t="s">
        <v>636</v>
      </c>
      <c r="E1106" s="29">
        <v>189.0</v>
      </c>
      <c r="F1106" s="30" t="s">
        <v>637</v>
      </c>
      <c r="G1106" s="29" t="s">
        <v>638</v>
      </c>
      <c r="H1106" s="31">
        <v>207.5</v>
      </c>
      <c r="I1106" s="29" t="s">
        <v>612</v>
      </c>
      <c r="J1106" s="32" t="s">
        <v>598</v>
      </c>
      <c r="K1106" s="29" t="s">
        <v>599</v>
      </c>
      <c r="L1106" s="29" t="s">
        <v>1201</v>
      </c>
      <c r="M1106" s="33">
        <v>-55.448</v>
      </c>
      <c r="N1106" s="33">
        <v>-24.124</v>
      </c>
      <c r="O1106" s="34" t="s">
        <v>601</v>
      </c>
      <c r="P1106" s="32" t="s">
        <v>602</v>
      </c>
      <c r="Q1106" s="35">
        <v>91.0</v>
      </c>
      <c r="R1106" s="35">
        <v>91.0</v>
      </c>
      <c r="S1106" s="36">
        <v>0.0114</v>
      </c>
      <c r="T1106" s="36">
        <v>0.016</v>
      </c>
      <c r="U1106" s="36">
        <v>0.0348</v>
      </c>
      <c r="V1106" s="36">
        <v>0.0417</v>
      </c>
      <c r="W1106" s="37" t="s">
        <v>1202</v>
      </c>
      <c r="X1106" s="31">
        <v>10.5</v>
      </c>
      <c r="Y1106" s="36">
        <v>-0.3386133300162325</v>
      </c>
      <c r="Z1106" s="36">
        <v>0.17704503977238134</v>
      </c>
      <c r="AA1106" s="29" t="s">
        <v>820</v>
      </c>
      <c r="AB1106" s="31">
        <v>8.67368030548</v>
      </c>
      <c r="AC1106" s="38">
        <v>1270.0</v>
      </c>
    </row>
    <row r="1107" ht="14.25" customHeight="1">
      <c r="A1107" s="29" t="s">
        <v>291</v>
      </c>
      <c r="B1107" s="29">
        <v>2.0</v>
      </c>
      <c r="C1107" s="29" t="s">
        <v>608</v>
      </c>
      <c r="D1107" s="29" t="s">
        <v>636</v>
      </c>
      <c r="E1107" s="29">
        <v>189.0</v>
      </c>
      <c r="F1107" s="30" t="s">
        <v>637</v>
      </c>
      <c r="G1107" s="29" t="s">
        <v>638</v>
      </c>
      <c r="H1107" s="31">
        <v>207.5</v>
      </c>
      <c r="I1107" s="29" t="s">
        <v>612</v>
      </c>
      <c r="J1107" s="32" t="s">
        <v>598</v>
      </c>
      <c r="K1107" s="29" t="s">
        <v>599</v>
      </c>
      <c r="L1107" s="29" t="s">
        <v>1201</v>
      </c>
      <c r="M1107" s="33">
        <v>-55.448</v>
      </c>
      <c r="N1107" s="33">
        <v>-24.124</v>
      </c>
      <c r="O1107" s="34" t="s">
        <v>601</v>
      </c>
      <c r="P1107" s="32" t="s">
        <v>602</v>
      </c>
      <c r="Q1107" s="35">
        <v>91.0</v>
      </c>
      <c r="R1107" s="35">
        <v>91.0</v>
      </c>
      <c r="S1107" s="36">
        <v>0.0111</v>
      </c>
      <c r="T1107" s="36">
        <v>0.016</v>
      </c>
      <c r="U1107" s="36">
        <v>0.0316</v>
      </c>
      <c r="V1107" s="36">
        <v>0.0417</v>
      </c>
      <c r="W1107" s="37" t="s">
        <v>1202</v>
      </c>
      <c r="X1107" s="31">
        <v>13.5</v>
      </c>
      <c r="Y1107" s="36">
        <v>-0.36527179413825595</v>
      </c>
      <c r="Z1107" s="36">
        <v>0.1637041322187015</v>
      </c>
      <c r="AA1107" s="29" t="s">
        <v>820</v>
      </c>
      <c r="AB1107" s="31">
        <v>8.67368030548</v>
      </c>
      <c r="AC1107" s="38">
        <v>1270.0</v>
      </c>
    </row>
    <row r="1108" ht="14.25" customHeight="1">
      <c r="A1108" s="29" t="s">
        <v>291</v>
      </c>
      <c r="B1108" s="29">
        <v>2.0</v>
      </c>
      <c r="C1108" s="29" t="s">
        <v>608</v>
      </c>
      <c r="D1108" s="29" t="s">
        <v>636</v>
      </c>
      <c r="E1108" s="29">
        <v>189.0</v>
      </c>
      <c r="F1108" s="30" t="s">
        <v>637</v>
      </c>
      <c r="G1108" s="29" t="s">
        <v>638</v>
      </c>
      <c r="H1108" s="31">
        <v>207.5</v>
      </c>
      <c r="I1108" s="29" t="s">
        <v>612</v>
      </c>
      <c r="J1108" s="32" t="s">
        <v>598</v>
      </c>
      <c r="K1108" s="29" t="s">
        <v>599</v>
      </c>
      <c r="L1108" s="29" t="s">
        <v>1201</v>
      </c>
      <c r="M1108" s="33">
        <v>-55.448</v>
      </c>
      <c r="N1108" s="33">
        <v>-24.124</v>
      </c>
      <c r="O1108" s="34" t="s">
        <v>601</v>
      </c>
      <c r="P1108" s="32" t="s">
        <v>602</v>
      </c>
      <c r="Q1108" s="35">
        <v>91.0</v>
      </c>
      <c r="R1108" s="35">
        <v>91.0</v>
      </c>
      <c r="S1108" s="36">
        <v>0.012</v>
      </c>
      <c r="T1108" s="36">
        <v>0.016</v>
      </c>
      <c r="U1108" s="36">
        <v>0.0316</v>
      </c>
      <c r="V1108" s="36">
        <v>0.0417</v>
      </c>
      <c r="W1108" s="37" t="s">
        <v>1202</v>
      </c>
      <c r="X1108" s="31">
        <v>16.5</v>
      </c>
      <c r="Y1108" s="36">
        <v>-0.2873381343572468</v>
      </c>
      <c r="Z1108" s="36">
        <v>0.15084597260378513</v>
      </c>
      <c r="AA1108" s="29" t="s">
        <v>820</v>
      </c>
      <c r="AB1108" s="31">
        <v>8.67368030548</v>
      </c>
      <c r="AC1108" s="38">
        <v>1270.0</v>
      </c>
    </row>
    <row r="1109" ht="14.25" customHeight="1">
      <c r="A1109" s="29" t="s">
        <v>291</v>
      </c>
      <c r="B1109" s="29">
        <v>3.0</v>
      </c>
      <c r="C1109" s="29" t="s">
        <v>608</v>
      </c>
      <c r="D1109" s="29" t="s">
        <v>650</v>
      </c>
      <c r="E1109" s="29">
        <v>70.0</v>
      </c>
      <c r="F1109" s="30" t="s">
        <v>651</v>
      </c>
      <c r="G1109" s="29" t="s">
        <v>615</v>
      </c>
      <c r="H1109" s="31">
        <v>8.17</v>
      </c>
      <c r="I1109" s="29" t="s">
        <v>616</v>
      </c>
      <c r="J1109" s="32" t="s">
        <v>598</v>
      </c>
      <c r="K1109" s="29" t="s">
        <v>599</v>
      </c>
      <c r="L1109" s="29" t="s">
        <v>1201</v>
      </c>
      <c r="M1109" s="33">
        <v>-55.448</v>
      </c>
      <c r="N1109" s="33">
        <v>-24.124</v>
      </c>
      <c r="O1109" s="34" t="s">
        <v>601</v>
      </c>
      <c r="P1109" s="32" t="s">
        <v>602</v>
      </c>
      <c r="Q1109" s="35">
        <v>454.0</v>
      </c>
      <c r="R1109" s="35">
        <v>6132.0</v>
      </c>
      <c r="S1109" s="36">
        <v>0.11</v>
      </c>
      <c r="T1109" s="36">
        <v>0.115</v>
      </c>
      <c r="U1109" s="36">
        <v>0.3317</v>
      </c>
      <c r="V1109" s="36">
        <v>0.3391</v>
      </c>
      <c r="W1109" s="37" t="s">
        <v>1202</v>
      </c>
      <c r="X1109" s="31">
        <v>1.6</v>
      </c>
      <c r="Y1109" s="36">
        <v>-0.04418207382518668</v>
      </c>
      <c r="Z1109" s="36">
        <v>0.021446499395027966</v>
      </c>
      <c r="AA1109" s="29" t="s">
        <v>820</v>
      </c>
      <c r="AB1109" s="31">
        <v>8.67368030548</v>
      </c>
      <c r="AC1109" s="38">
        <v>1270.0</v>
      </c>
    </row>
    <row r="1110" ht="14.25" customHeight="1">
      <c r="A1110" s="29" t="s">
        <v>291</v>
      </c>
      <c r="B1110" s="29">
        <v>3.0</v>
      </c>
      <c r="C1110" s="29" t="s">
        <v>608</v>
      </c>
      <c r="D1110" s="29" t="s">
        <v>617</v>
      </c>
      <c r="E1110" s="29">
        <v>75.0</v>
      </c>
      <c r="F1110" s="30" t="s">
        <v>618</v>
      </c>
      <c r="G1110" s="29" t="s">
        <v>619</v>
      </c>
      <c r="H1110" s="31">
        <v>4.2</v>
      </c>
      <c r="I1110" s="29" t="s">
        <v>620</v>
      </c>
      <c r="J1110" s="32" t="s">
        <v>598</v>
      </c>
      <c r="K1110" s="29" t="s">
        <v>599</v>
      </c>
      <c r="L1110" s="29" t="s">
        <v>1201</v>
      </c>
      <c r="M1110" s="33">
        <v>-55.448</v>
      </c>
      <c r="N1110" s="33">
        <v>-24.124</v>
      </c>
      <c r="O1110" s="34" t="s">
        <v>601</v>
      </c>
      <c r="P1110" s="32" t="s">
        <v>602</v>
      </c>
      <c r="Q1110" s="35">
        <v>454.0</v>
      </c>
      <c r="R1110" s="35">
        <v>6132.0</v>
      </c>
      <c r="S1110" s="36">
        <v>0.685</v>
      </c>
      <c r="T1110" s="36">
        <v>0.748</v>
      </c>
      <c r="U1110" s="36">
        <v>0.8276</v>
      </c>
      <c r="V1110" s="36">
        <v>0.8649</v>
      </c>
      <c r="W1110" s="37" t="s">
        <v>1202</v>
      </c>
      <c r="X1110" s="31">
        <v>1.6</v>
      </c>
      <c r="Y1110" s="36">
        <v>-0.08770245317628593</v>
      </c>
      <c r="Z1110" s="36">
        <v>0.00343320532123053</v>
      </c>
      <c r="AA1110" s="29" t="s">
        <v>820</v>
      </c>
      <c r="AB1110" s="31">
        <v>8.67368030548</v>
      </c>
      <c r="AC1110" s="38">
        <v>1270.0</v>
      </c>
    </row>
    <row r="1111" ht="14.25" customHeight="1">
      <c r="A1111" s="29" t="s">
        <v>291</v>
      </c>
      <c r="B1111" s="29">
        <v>3.0</v>
      </c>
      <c r="C1111" s="29" t="s">
        <v>608</v>
      </c>
      <c r="D1111" s="29" t="s">
        <v>624</v>
      </c>
      <c r="E1111" s="29">
        <v>101.0</v>
      </c>
      <c r="F1111" s="30" t="s">
        <v>625</v>
      </c>
      <c r="G1111" s="29" t="s">
        <v>626</v>
      </c>
      <c r="H1111" s="31">
        <v>18.59</v>
      </c>
      <c r="I1111" s="29" t="s">
        <v>612</v>
      </c>
      <c r="J1111" s="32" t="s">
        <v>598</v>
      </c>
      <c r="K1111" s="29" t="s">
        <v>599</v>
      </c>
      <c r="L1111" s="29" t="s">
        <v>1201</v>
      </c>
      <c r="M1111" s="33">
        <v>-55.448</v>
      </c>
      <c r="N1111" s="33">
        <v>-24.124</v>
      </c>
      <c r="O1111" s="34" t="s">
        <v>601</v>
      </c>
      <c r="P1111" s="32" t="s">
        <v>602</v>
      </c>
      <c r="Q1111" s="35">
        <v>454.0</v>
      </c>
      <c r="R1111" s="35">
        <v>6132.0</v>
      </c>
      <c r="S1111" s="36">
        <v>0.265</v>
      </c>
      <c r="T1111" s="36">
        <v>0.272</v>
      </c>
      <c r="U1111" s="36">
        <v>0.5148</v>
      </c>
      <c r="V1111" s="36">
        <v>0.5215</v>
      </c>
      <c r="W1111" s="37" t="s">
        <v>1202</v>
      </c>
      <c r="X1111" s="31">
        <v>1.6</v>
      </c>
      <c r="Y1111" s="36">
        <v>-0.0258074623907065</v>
      </c>
      <c r="Z1111" s="36">
        <v>0.00891192990522279</v>
      </c>
      <c r="AA1111" s="29" t="s">
        <v>820</v>
      </c>
      <c r="AB1111" s="31">
        <v>8.67368030548</v>
      </c>
      <c r="AC1111" s="38">
        <v>1270.0</v>
      </c>
    </row>
    <row r="1112" ht="14.25" customHeight="1">
      <c r="A1112" s="29" t="s">
        <v>291</v>
      </c>
      <c r="B1112" s="29">
        <v>3.0</v>
      </c>
      <c r="C1112" s="29" t="s">
        <v>608</v>
      </c>
      <c r="D1112" s="35" t="s">
        <v>627</v>
      </c>
      <c r="E1112" s="29">
        <v>111.0</v>
      </c>
      <c r="F1112" s="39" t="s">
        <v>628</v>
      </c>
      <c r="G1112" s="29" t="s">
        <v>629</v>
      </c>
      <c r="H1112" s="31">
        <v>3.79</v>
      </c>
      <c r="I1112" s="29" t="s">
        <v>597</v>
      </c>
      <c r="J1112" s="32" t="s">
        <v>598</v>
      </c>
      <c r="K1112" s="29" t="s">
        <v>599</v>
      </c>
      <c r="L1112" s="29" t="s">
        <v>1201</v>
      </c>
      <c r="M1112" s="33">
        <v>-55.448</v>
      </c>
      <c r="N1112" s="33">
        <v>-24.124</v>
      </c>
      <c r="O1112" s="34" t="s">
        <v>601</v>
      </c>
      <c r="P1112" s="32" t="s">
        <v>602</v>
      </c>
      <c r="Q1112" s="35">
        <v>454.0</v>
      </c>
      <c r="R1112" s="35">
        <v>6132.0</v>
      </c>
      <c r="S1112" s="36">
        <v>0.007</v>
      </c>
      <c r="T1112" s="36">
        <v>0.008</v>
      </c>
      <c r="U1112" s="36">
        <v>0.0837</v>
      </c>
      <c r="V1112" s="36">
        <v>0.0894</v>
      </c>
      <c r="W1112" s="37" t="s">
        <v>1202</v>
      </c>
      <c r="X1112" s="31">
        <v>1.6</v>
      </c>
      <c r="Y1112" s="36">
        <v>-0.1332365813016326</v>
      </c>
      <c r="Z1112" s="36">
        <v>0.3352844853053465</v>
      </c>
      <c r="AA1112" s="29" t="s">
        <v>820</v>
      </c>
      <c r="AB1112" s="31">
        <v>8.67368030548</v>
      </c>
      <c r="AC1112" s="38">
        <v>1270.0</v>
      </c>
    </row>
    <row r="1113" ht="14.25" customHeight="1">
      <c r="A1113" s="29" t="s">
        <v>291</v>
      </c>
      <c r="B1113" s="29">
        <v>3.0</v>
      </c>
      <c r="C1113" s="29" t="s">
        <v>608</v>
      </c>
      <c r="D1113" s="29" t="s">
        <v>630</v>
      </c>
      <c r="E1113" s="29">
        <v>129.0</v>
      </c>
      <c r="F1113" s="30" t="s">
        <v>631</v>
      </c>
      <c r="G1113" s="29" t="s">
        <v>626</v>
      </c>
      <c r="H1113" s="31">
        <v>21.27</v>
      </c>
      <c r="I1113" s="29" t="s">
        <v>612</v>
      </c>
      <c r="J1113" s="32" t="s">
        <v>598</v>
      </c>
      <c r="K1113" s="29" t="s">
        <v>599</v>
      </c>
      <c r="L1113" s="29" t="s">
        <v>1201</v>
      </c>
      <c r="M1113" s="33">
        <v>-55.448</v>
      </c>
      <c r="N1113" s="33">
        <v>-24.124</v>
      </c>
      <c r="O1113" s="34" t="s">
        <v>601</v>
      </c>
      <c r="P1113" s="32" t="s">
        <v>602</v>
      </c>
      <c r="Q1113" s="35">
        <v>454.0</v>
      </c>
      <c r="R1113" s="35">
        <v>6132.0</v>
      </c>
      <c r="S1113" s="36">
        <v>0.084</v>
      </c>
      <c r="T1113" s="36">
        <v>0.104</v>
      </c>
      <c r="U1113" s="36">
        <v>0.2898</v>
      </c>
      <c r="V1113" s="36">
        <v>0.3225</v>
      </c>
      <c r="W1113" s="37" t="s">
        <v>1202</v>
      </c>
      <c r="X1113" s="31">
        <v>1.6</v>
      </c>
      <c r="Y1113" s="36">
        <v>-0.21325472528766687</v>
      </c>
      <c r="Z1113" s="36">
        <v>0.02778512122375652</v>
      </c>
      <c r="AA1113" s="29" t="s">
        <v>820</v>
      </c>
      <c r="AB1113" s="31">
        <v>8.67368030548</v>
      </c>
      <c r="AC1113" s="38">
        <v>1270.0</v>
      </c>
    </row>
    <row r="1114" ht="14.25" customHeight="1">
      <c r="A1114" s="29" t="s">
        <v>291</v>
      </c>
      <c r="B1114" s="29">
        <v>3.0</v>
      </c>
      <c r="C1114" s="29" t="s">
        <v>608</v>
      </c>
      <c r="D1114" s="29" t="s">
        <v>1203</v>
      </c>
      <c r="E1114" s="29">
        <v>174.0</v>
      </c>
      <c r="F1114" s="30" t="s">
        <v>1204</v>
      </c>
      <c r="G1114" s="29" t="s">
        <v>611</v>
      </c>
      <c r="H1114" s="31">
        <v>2.5</v>
      </c>
      <c r="I1114" s="29" t="s">
        <v>616</v>
      </c>
      <c r="J1114" s="32" t="s">
        <v>598</v>
      </c>
      <c r="K1114" s="29" t="s">
        <v>599</v>
      </c>
      <c r="L1114" s="29" t="s">
        <v>1201</v>
      </c>
      <c r="M1114" s="33">
        <v>-55.448</v>
      </c>
      <c r="N1114" s="33">
        <v>-24.124</v>
      </c>
      <c r="O1114" s="34" t="s">
        <v>601</v>
      </c>
      <c r="P1114" s="32" t="s">
        <v>602</v>
      </c>
      <c r="Q1114" s="35">
        <v>454.0</v>
      </c>
      <c r="R1114" s="35">
        <v>6132.0</v>
      </c>
      <c r="S1114" s="36">
        <v>0.009</v>
      </c>
      <c r="T1114" s="36">
        <v>0.018</v>
      </c>
      <c r="U1114" s="36">
        <v>0.0949</v>
      </c>
      <c r="V1114" s="36">
        <v>0.1342</v>
      </c>
      <c r="W1114" s="37" t="s">
        <v>1202</v>
      </c>
      <c r="X1114" s="31">
        <v>1.6</v>
      </c>
      <c r="Y1114" s="36">
        <v>-0.692631317768005</v>
      </c>
      <c r="Z1114" s="36">
        <v>0.2539663535537016</v>
      </c>
      <c r="AA1114" s="29" t="s">
        <v>820</v>
      </c>
      <c r="AB1114" s="31">
        <v>8.67368030548</v>
      </c>
      <c r="AC1114" s="38">
        <v>1270.0</v>
      </c>
    </row>
    <row r="1115" ht="14.25" customHeight="1">
      <c r="A1115" s="29" t="s">
        <v>291</v>
      </c>
      <c r="B1115" s="29">
        <v>3.0</v>
      </c>
      <c r="C1115" s="29" t="s">
        <v>608</v>
      </c>
      <c r="D1115" s="29" t="s">
        <v>663</v>
      </c>
      <c r="E1115" s="29">
        <v>189.0</v>
      </c>
      <c r="F1115" s="30" t="s">
        <v>637</v>
      </c>
      <c r="G1115" s="29" t="s">
        <v>638</v>
      </c>
      <c r="H1115" s="31">
        <v>207.5</v>
      </c>
      <c r="I1115" s="29" t="s">
        <v>612</v>
      </c>
      <c r="J1115" s="32" t="s">
        <v>598</v>
      </c>
      <c r="K1115" s="29" t="s">
        <v>599</v>
      </c>
      <c r="L1115" s="29" t="s">
        <v>1201</v>
      </c>
      <c r="M1115" s="33">
        <v>-55.448</v>
      </c>
      <c r="N1115" s="33">
        <v>-24.124</v>
      </c>
      <c r="O1115" s="34" t="s">
        <v>601</v>
      </c>
      <c r="P1115" s="32" t="s">
        <v>602</v>
      </c>
      <c r="Q1115" s="35">
        <v>454.0</v>
      </c>
      <c r="R1115" s="35">
        <v>6132.0</v>
      </c>
      <c r="S1115" s="36">
        <v>0.1</v>
      </c>
      <c r="T1115" s="36">
        <v>0.206</v>
      </c>
      <c r="U1115" s="36">
        <v>0.3162</v>
      </c>
      <c r="V1115" s="36">
        <v>0.4539</v>
      </c>
      <c r="W1115" s="37" t="s">
        <v>1202</v>
      </c>
      <c r="X1115" s="31">
        <v>1.6</v>
      </c>
      <c r="Y1115" s="36">
        <v>-0.7221746482365097</v>
      </c>
      <c r="Z1115" s="36">
        <v>0.022814306049370594</v>
      </c>
      <c r="AA1115" s="29" t="s">
        <v>820</v>
      </c>
      <c r="AB1115" s="31">
        <v>8.67368030548</v>
      </c>
      <c r="AC1115" s="38">
        <v>1270.0</v>
      </c>
    </row>
    <row r="1116" ht="14.25" customHeight="1">
      <c r="A1116" s="29" t="s">
        <v>291</v>
      </c>
      <c r="B1116" s="29">
        <v>3.0</v>
      </c>
      <c r="C1116" s="29" t="s">
        <v>608</v>
      </c>
      <c r="D1116" s="29" t="s">
        <v>970</v>
      </c>
      <c r="E1116" s="29">
        <v>190.0</v>
      </c>
      <c r="F1116" s="30" t="s">
        <v>640</v>
      </c>
      <c r="G1116" s="29" t="s">
        <v>626</v>
      </c>
      <c r="H1116" s="31">
        <v>32.23</v>
      </c>
      <c r="I1116" s="29" t="s">
        <v>597</v>
      </c>
      <c r="J1116" s="32" t="s">
        <v>598</v>
      </c>
      <c r="K1116" s="29" t="s">
        <v>599</v>
      </c>
      <c r="L1116" s="29" t="s">
        <v>1201</v>
      </c>
      <c r="M1116" s="33">
        <v>-55.448</v>
      </c>
      <c r="N1116" s="33">
        <v>-24.124</v>
      </c>
      <c r="O1116" s="34" t="s">
        <v>601</v>
      </c>
      <c r="P1116" s="32" t="s">
        <v>602</v>
      </c>
      <c r="Q1116" s="35">
        <v>454.0</v>
      </c>
      <c r="R1116" s="35">
        <v>6132.0</v>
      </c>
      <c r="S1116" s="36">
        <v>0.01</v>
      </c>
      <c r="T1116" s="36">
        <v>0.003</v>
      </c>
      <c r="U1116" s="36">
        <v>0.1</v>
      </c>
      <c r="V1116" s="36">
        <v>0.0548</v>
      </c>
      <c r="W1116" s="37" t="s">
        <v>1202</v>
      </c>
      <c r="X1116" s="31">
        <v>1.6</v>
      </c>
      <c r="Y1116" s="36">
        <v>1.2040502007115634</v>
      </c>
      <c r="Z1116" s="36">
        <v>0.2746790450200021</v>
      </c>
      <c r="AA1116" s="29" t="s">
        <v>820</v>
      </c>
      <c r="AB1116" s="31">
        <v>8.67368030548</v>
      </c>
      <c r="AC1116" s="38">
        <v>1270.0</v>
      </c>
    </row>
    <row r="1117" ht="14.25" customHeight="1">
      <c r="A1117" s="29" t="s">
        <v>298</v>
      </c>
      <c r="B1117" s="29">
        <v>16.0</v>
      </c>
      <c r="C1117" s="29" t="s">
        <v>608</v>
      </c>
      <c r="D1117" s="29" t="s">
        <v>677</v>
      </c>
      <c r="E1117" s="29">
        <v>100.0</v>
      </c>
      <c r="F1117" s="30" t="s">
        <v>678</v>
      </c>
      <c r="G1117" s="29" t="s">
        <v>626</v>
      </c>
      <c r="H1117" s="31">
        <v>22.8</v>
      </c>
      <c r="I1117" s="29" t="s">
        <v>612</v>
      </c>
      <c r="J1117" s="32" t="s">
        <v>598</v>
      </c>
      <c r="K1117" s="29" t="s">
        <v>599</v>
      </c>
      <c r="L1117" s="29" t="s">
        <v>819</v>
      </c>
      <c r="M1117" s="33">
        <v>-72.691</v>
      </c>
      <c r="N1117" s="33">
        <v>-4.586</v>
      </c>
      <c r="O1117" s="34" t="s">
        <v>601</v>
      </c>
      <c r="P1117" s="32" t="s">
        <v>602</v>
      </c>
      <c r="Q1117" s="35">
        <v>9.0</v>
      </c>
      <c r="R1117" s="35">
        <v>9.0</v>
      </c>
      <c r="S1117" s="36">
        <v>0.808</v>
      </c>
      <c r="T1117" s="36">
        <v>1.14</v>
      </c>
      <c r="U1117" s="36">
        <v>0.302</v>
      </c>
      <c r="V1117" s="36">
        <v>1.14</v>
      </c>
      <c r="W1117" s="37" t="s">
        <v>623</v>
      </c>
      <c r="X1117" s="31">
        <v>37.5</v>
      </c>
      <c r="Y1117" s="36">
        <v>-0.3438575421129828</v>
      </c>
      <c r="Z1117" s="36">
        <v>0.1266331459878661</v>
      </c>
      <c r="AA1117" s="29" t="s">
        <v>820</v>
      </c>
      <c r="AB1117" s="31">
        <v>0.422958701849</v>
      </c>
      <c r="AC1117" s="38">
        <v>3033.0</v>
      </c>
    </row>
    <row r="1118" ht="14.25" customHeight="1">
      <c r="A1118" s="29" t="s">
        <v>298</v>
      </c>
      <c r="B1118" s="29">
        <v>16.0</v>
      </c>
      <c r="C1118" s="29" t="s">
        <v>608</v>
      </c>
      <c r="D1118" s="29" t="s">
        <v>821</v>
      </c>
      <c r="E1118" s="29">
        <v>103.0</v>
      </c>
      <c r="F1118" s="30" t="s">
        <v>822</v>
      </c>
      <c r="G1118" s="29" t="s">
        <v>626</v>
      </c>
      <c r="H1118" s="31">
        <v>16.63</v>
      </c>
      <c r="I1118" s="29" t="s">
        <v>616</v>
      </c>
      <c r="J1118" s="32" t="s">
        <v>598</v>
      </c>
      <c r="K1118" s="29" t="s">
        <v>599</v>
      </c>
      <c r="L1118" s="29" t="s">
        <v>819</v>
      </c>
      <c r="M1118" s="33">
        <v>-72.691</v>
      </c>
      <c r="N1118" s="33">
        <v>-4.586</v>
      </c>
      <c r="O1118" s="34" t="s">
        <v>601</v>
      </c>
      <c r="P1118" s="32" t="s">
        <v>602</v>
      </c>
      <c r="Q1118" s="35">
        <v>9.0</v>
      </c>
      <c r="R1118" s="35">
        <v>9.0</v>
      </c>
      <c r="S1118" s="36">
        <v>0.0979</v>
      </c>
      <c r="T1118" s="36">
        <v>0.18</v>
      </c>
      <c r="U1118" s="36">
        <v>0.0241</v>
      </c>
      <c r="V1118" s="36">
        <v>0.18</v>
      </c>
      <c r="W1118" s="37" t="s">
        <v>623</v>
      </c>
      <c r="X1118" s="31">
        <v>37.5</v>
      </c>
      <c r="Y1118" s="36">
        <v>-0.6085360560272393</v>
      </c>
      <c r="Z1118" s="36">
        <v>0.11784438362808863</v>
      </c>
      <c r="AA1118" s="29" t="s">
        <v>820</v>
      </c>
      <c r="AB1118" s="31">
        <v>0.422958701849</v>
      </c>
      <c r="AC1118" s="38">
        <v>3033.0</v>
      </c>
    </row>
    <row r="1119" ht="14.25" customHeight="1">
      <c r="A1119" s="29" t="s">
        <v>298</v>
      </c>
      <c r="B1119" s="29">
        <v>16.0</v>
      </c>
      <c r="C1119" s="29" t="s">
        <v>608</v>
      </c>
      <c r="D1119" s="29" t="s">
        <v>677</v>
      </c>
      <c r="E1119" s="29">
        <v>100.0</v>
      </c>
      <c r="F1119" s="30" t="s">
        <v>678</v>
      </c>
      <c r="G1119" s="29" t="s">
        <v>626</v>
      </c>
      <c r="H1119" s="31">
        <v>22.8</v>
      </c>
      <c r="I1119" s="29" t="s">
        <v>612</v>
      </c>
      <c r="J1119" s="32" t="s">
        <v>598</v>
      </c>
      <c r="K1119" s="29" t="s">
        <v>599</v>
      </c>
      <c r="L1119" s="29" t="s">
        <v>819</v>
      </c>
      <c r="M1119" s="33">
        <v>-73.137</v>
      </c>
      <c r="N1119" s="33">
        <v>-4.357</v>
      </c>
      <c r="O1119" s="34" t="s">
        <v>601</v>
      </c>
      <c r="P1119" s="32" t="s">
        <v>602</v>
      </c>
      <c r="Q1119" s="35">
        <v>9.0</v>
      </c>
      <c r="R1119" s="35">
        <v>9.0</v>
      </c>
      <c r="S1119" s="36">
        <v>1.16</v>
      </c>
      <c r="T1119" s="36">
        <v>1.14</v>
      </c>
      <c r="U1119" s="36">
        <v>0.29</v>
      </c>
      <c r="V1119" s="36">
        <v>0.44</v>
      </c>
      <c r="W1119" s="37" t="s">
        <v>623</v>
      </c>
      <c r="X1119" s="31">
        <v>7.0</v>
      </c>
      <c r="Y1119" s="36">
        <v>0.01764526026931775</v>
      </c>
      <c r="Z1119" s="36">
        <v>0.023496545945761088</v>
      </c>
      <c r="AA1119" s="29" t="s">
        <v>820</v>
      </c>
      <c r="AB1119" s="31">
        <v>5.82603502274</v>
      </c>
      <c r="AC1119" s="38">
        <v>1361.0</v>
      </c>
    </row>
    <row r="1120" ht="14.25" customHeight="1">
      <c r="A1120" s="29" t="s">
        <v>298</v>
      </c>
      <c r="B1120" s="29">
        <v>16.0</v>
      </c>
      <c r="C1120" s="29" t="s">
        <v>608</v>
      </c>
      <c r="D1120" s="29" t="s">
        <v>821</v>
      </c>
      <c r="E1120" s="29">
        <v>103.0</v>
      </c>
      <c r="F1120" s="30" t="s">
        <v>822</v>
      </c>
      <c r="G1120" s="29" t="s">
        <v>626</v>
      </c>
      <c r="H1120" s="31">
        <v>16.63</v>
      </c>
      <c r="I1120" s="29" t="s">
        <v>616</v>
      </c>
      <c r="J1120" s="32" t="s">
        <v>598</v>
      </c>
      <c r="K1120" s="29" t="s">
        <v>599</v>
      </c>
      <c r="L1120" s="29" t="s">
        <v>819</v>
      </c>
      <c r="M1120" s="33">
        <v>-73.137</v>
      </c>
      <c r="N1120" s="33">
        <v>-4.357</v>
      </c>
      <c r="O1120" s="34" t="s">
        <v>601</v>
      </c>
      <c r="P1120" s="32" t="s">
        <v>602</v>
      </c>
      <c r="Q1120" s="35">
        <v>9.0</v>
      </c>
      <c r="R1120" s="35">
        <v>9.0</v>
      </c>
      <c r="S1120" s="36">
        <v>0.39</v>
      </c>
      <c r="T1120" s="36">
        <v>0.18</v>
      </c>
      <c r="U1120" s="36">
        <v>0.07</v>
      </c>
      <c r="V1120" s="36">
        <v>0.09</v>
      </c>
      <c r="W1120" s="37" t="s">
        <v>623</v>
      </c>
      <c r="X1120" s="31">
        <v>7.0</v>
      </c>
      <c r="Y1120" s="36">
        <v>0.7733089571149706</v>
      </c>
      <c r="Z1120" s="36">
        <v>0.031357294177807</v>
      </c>
      <c r="AA1120" s="29" t="s">
        <v>820</v>
      </c>
      <c r="AB1120" s="31">
        <v>5.82603502274</v>
      </c>
      <c r="AC1120" s="38">
        <v>1361.0</v>
      </c>
    </row>
    <row r="1121" ht="14.25" customHeight="1">
      <c r="A1121" s="29" t="s">
        <v>303</v>
      </c>
      <c r="B1121" s="29">
        <v>25.0</v>
      </c>
      <c r="C1121" s="29" t="s">
        <v>608</v>
      </c>
      <c r="D1121" s="29" t="s">
        <v>931</v>
      </c>
      <c r="E1121" s="29">
        <v>83.0</v>
      </c>
      <c r="F1121" s="30" t="s">
        <v>932</v>
      </c>
      <c r="G1121" s="29" t="s">
        <v>611</v>
      </c>
      <c r="H1121" s="31">
        <v>131.63</v>
      </c>
      <c r="I1121" s="29" t="s">
        <v>612</v>
      </c>
      <c r="J1121" s="32" t="s">
        <v>598</v>
      </c>
      <c r="K1121" s="29" t="s">
        <v>698</v>
      </c>
      <c r="L1121" s="29" t="s">
        <v>1144</v>
      </c>
      <c r="M1121" s="33">
        <v>17.311</v>
      </c>
      <c r="N1121" s="33">
        <v>2.505</v>
      </c>
      <c r="O1121" s="34" t="s">
        <v>641</v>
      </c>
      <c r="P1121" s="32" t="s">
        <v>602</v>
      </c>
      <c r="Q1121" s="35">
        <v>12.0</v>
      </c>
      <c r="R1121" s="35">
        <v>12.0</v>
      </c>
      <c r="S1121" s="36">
        <v>0.0</v>
      </c>
      <c r="T1121" s="36">
        <v>29.4118</v>
      </c>
      <c r="U1121" s="36">
        <v>0.0</v>
      </c>
      <c r="V1121" s="36">
        <v>5.4233</v>
      </c>
      <c r="W1121" s="37" t="s">
        <v>1205</v>
      </c>
      <c r="X1121" s="31">
        <v>2.5</v>
      </c>
      <c r="Y1121" s="36">
        <v>-8.262558973010657</v>
      </c>
      <c r="Z1121" s="36">
        <v>0.08660117582440563</v>
      </c>
      <c r="AA1121" s="29" t="s">
        <v>820</v>
      </c>
      <c r="AB1121" s="31">
        <v>1.23047196865</v>
      </c>
      <c r="AC1121" s="38">
        <v>559.0</v>
      </c>
    </row>
    <row r="1122" ht="14.25" customHeight="1">
      <c r="A1122" s="29" t="s">
        <v>303</v>
      </c>
      <c r="B1122" s="29">
        <v>25.0</v>
      </c>
      <c r="C1122" s="29" t="s">
        <v>608</v>
      </c>
      <c r="D1122" s="29" t="s">
        <v>931</v>
      </c>
      <c r="E1122" s="29">
        <v>83.0</v>
      </c>
      <c r="F1122" s="30" t="s">
        <v>932</v>
      </c>
      <c r="G1122" s="29" t="s">
        <v>611</v>
      </c>
      <c r="H1122" s="31">
        <v>131.63</v>
      </c>
      <c r="I1122" s="29" t="s">
        <v>612</v>
      </c>
      <c r="J1122" s="32" t="s">
        <v>598</v>
      </c>
      <c r="K1122" s="29" t="s">
        <v>698</v>
      </c>
      <c r="L1122" s="29" t="s">
        <v>1144</v>
      </c>
      <c r="M1122" s="33">
        <v>17.311</v>
      </c>
      <c r="N1122" s="33">
        <v>2.505</v>
      </c>
      <c r="O1122" s="34" t="s">
        <v>641</v>
      </c>
      <c r="P1122" s="32" t="s">
        <v>602</v>
      </c>
      <c r="Q1122" s="35">
        <v>12.0</v>
      </c>
      <c r="R1122" s="35">
        <v>12.0</v>
      </c>
      <c r="S1122" s="36">
        <v>7.2727</v>
      </c>
      <c r="T1122" s="36">
        <v>29.4118</v>
      </c>
      <c r="U1122" s="36">
        <v>2.6968</v>
      </c>
      <c r="V1122" s="36">
        <v>5.4233</v>
      </c>
      <c r="W1122" s="37" t="s">
        <v>1205</v>
      </c>
      <c r="X1122" s="31">
        <v>7.5</v>
      </c>
      <c r="Y1122" s="36">
        <v>-1.3962255072678276</v>
      </c>
      <c r="Z1122" s="36">
        <v>0.014291790764670687</v>
      </c>
      <c r="AA1122" s="29" t="s">
        <v>820</v>
      </c>
      <c r="AB1122" s="31">
        <v>1.23047196865</v>
      </c>
      <c r="AC1122" s="38">
        <v>559.0</v>
      </c>
    </row>
    <row r="1123" ht="14.25" customHeight="1">
      <c r="A1123" s="29" t="s">
        <v>303</v>
      </c>
      <c r="B1123" s="29">
        <v>25.0</v>
      </c>
      <c r="C1123" s="29" t="s">
        <v>608</v>
      </c>
      <c r="D1123" s="29" t="s">
        <v>931</v>
      </c>
      <c r="E1123" s="29">
        <v>83.0</v>
      </c>
      <c r="F1123" s="30" t="s">
        <v>932</v>
      </c>
      <c r="G1123" s="29" t="s">
        <v>611</v>
      </c>
      <c r="H1123" s="31">
        <v>131.63</v>
      </c>
      <c r="I1123" s="29" t="s">
        <v>612</v>
      </c>
      <c r="J1123" s="32" t="s">
        <v>598</v>
      </c>
      <c r="K1123" s="29" t="s">
        <v>698</v>
      </c>
      <c r="L1123" s="29" t="s">
        <v>1144</v>
      </c>
      <c r="M1123" s="33">
        <v>17.311</v>
      </c>
      <c r="N1123" s="33">
        <v>2.505</v>
      </c>
      <c r="O1123" s="34" t="s">
        <v>641</v>
      </c>
      <c r="P1123" s="32" t="s">
        <v>602</v>
      </c>
      <c r="Q1123" s="35">
        <v>12.0</v>
      </c>
      <c r="R1123" s="35">
        <v>12.0</v>
      </c>
      <c r="S1123" s="36">
        <v>0.0</v>
      </c>
      <c r="T1123" s="36">
        <v>29.4118</v>
      </c>
      <c r="U1123" s="36">
        <v>0.0</v>
      </c>
      <c r="V1123" s="36">
        <v>5.4233</v>
      </c>
      <c r="W1123" s="37" t="s">
        <v>1205</v>
      </c>
      <c r="X1123" s="31">
        <v>12.5</v>
      </c>
      <c r="Y1123" s="36">
        <v>-8.262558973010657</v>
      </c>
      <c r="Z1123" s="36">
        <v>0.08660117582440563</v>
      </c>
      <c r="AA1123" s="29" t="s">
        <v>820</v>
      </c>
      <c r="AB1123" s="31">
        <v>1.23047196865</v>
      </c>
      <c r="AC1123" s="38">
        <v>559.0</v>
      </c>
    </row>
    <row r="1124" ht="14.25" customHeight="1">
      <c r="A1124" s="29" t="s">
        <v>303</v>
      </c>
      <c r="B1124" s="29">
        <v>25.0</v>
      </c>
      <c r="C1124" s="29" t="s">
        <v>608</v>
      </c>
      <c r="D1124" s="29" t="s">
        <v>931</v>
      </c>
      <c r="E1124" s="29">
        <v>83.0</v>
      </c>
      <c r="F1124" s="30" t="s">
        <v>932</v>
      </c>
      <c r="G1124" s="29" t="s">
        <v>611</v>
      </c>
      <c r="H1124" s="31">
        <v>131.63</v>
      </c>
      <c r="I1124" s="29" t="s">
        <v>612</v>
      </c>
      <c r="J1124" s="32" t="s">
        <v>598</v>
      </c>
      <c r="K1124" s="29" t="s">
        <v>698</v>
      </c>
      <c r="L1124" s="29" t="s">
        <v>1144</v>
      </c>
      <c r="M1124" s="33">
        <v>17.311</v>
      </c>
      <c r="N1124" s="33">
        <v>2.505</v>
      </c>
      <c r="O1124" s="34" t="s">
        <v>641</v>
      </c>
      <c r="P1124" s="32" t="s">
        <v>602</v>
      </c>
      <c r="Q1124" s="35">
        <v>12.0</v>
      </c>
      <c r="R1124" s="35">
        <v>12.0</v>
      </c>
      <c r="S1124" s="36">
        <v>0.0</v>
      </c>
      <c r="T1124" s="36">
        <v>29.4118</v>
      </c>
      <c r="U1124" s="36">
        <v>0.0</v>
      </c>
      <c r="V1124" s="36">
        <v>5.4233</v>
      </c>
      <c r="W1124" s="37" t="s">
        <v>1205</v>
      </c>
      <c r="X1124" s="31">
        <v>17.5</v>
      </c>
      <c r="Y1124" s="36">
        <v>-8.262558973010657</v>
      </c>
      <c r="Z1124" s="36">
        <v>0.08660117582440563</v>
      </c>
      <c r="AA1124" s="29" t="s">
        <v>820</v>
      </c>
      <c r="AB1124" s="31">
        <v>1.23047196865</v>
      </c>
      <c r="AC1124" s="38">
        <v>559.0</v>
      </c>
    </row>
    <row r="1125" ht="14.25" customHeight="1">
      <c r="A1125" s="29" t="s">
        <v>303</v>
      </c>
      <c r="B1125" s="29">
        <v>25.0</v>
      </c>
      <c r="C1125" s="29" t="s">
        <v>608</v>
      </c>
      <c r="D1125" s="29" t="s">
        <v>931</v>
      </c>
      <c r="E1125" s="29">
        <v>83.0</v>
      </c>
      <c r="F1125" s="30" t="s">
        <v>932</v>
      </c>
      <c r="G1125" s="29" t="s">
        <v>611</v>
      </c>
      <c r="H1125" s="31">
        <v>131.63</v>
      </c>
      <c r="I1125" s="29" t="s">
        <v>612</v>
      </c>
      <c r="J1125" s="32" t="s">
        <v>598</v>
      </c>
      <c r="K1125" s="29" t="s">
        <v>698</v>
      </c>
      <c r="L1125" s="29" t="s">
        <v>1144</v>
      </c>
      <c r="M1125" s="33">
        <v>17.311</v>
      </c>
      <c r="N1125" s="33">
        <v>2.505</v>
      </c>
      <c r="O1125" s="34" t="s">
        <v>641</v>
      </c>
      <c r="P1125" s="32" t="s">
        <v>602</v>
      </c>
      <c r="Q1125" s="35">
        <v>12.0</v>
      </c>
      <c r="R1125" s="35">
        <v>12.0</v>
      </c>
      <c r="S1125" s="36">
        <v>10.0</v>
      </c>
      <c r="T1125" s="36">
        <v>29.4118</v>
      </c>
      <c r="U1125" s="36">
        <v>3.1623</v>
      </c>
      <c r="V1125" s="36">
        <v>5.4233</v>
      </c>
      <c r="W1125" s="37" t="s">
        <v>1205</v>
      </c>
      <c r="X1125" s="31">
        <v>22.5</v>
      </c>
      <c r="Y1125" s="36">
        <v>-1.0780523307588548</v>
      </c>
      <c r="Z1125" s="36">
        <v>0.01116681789331889</v>
      </c>
      <c r="AA1125" s="29" t="s">
        <v>820</v>
      </c>
      <c r="AB1125" s="31">
        <v>1.23047196865</v>
      </c>
      <c r="AC1125" s="38">
        <v>559.0</v>
      </c>
    </row>
    <row r="1126" ht="14.25" customHeight="1">
      <c r="A1126" s="29" t="s">
        <v>303</v>
      </c>
      <c r="B1126" s="29">
        <v>25.0</v>
      </c>
      <c r="C1126" s="29" t="s">
        <v>608</v>
      </c>
      <c r="D1126" s="35" t="s">
        <v>947</v>
      </c>
      <c r="E1126" s="29">
        <v>121.0</v>
      </c>
      <c r="F1126" s="30" t="s">
        <v>948</v>
      </c>
      <c r="G1126" s="29" t="s">
        <v>611</v>
      </c>
      <c r="H1126" s="31">
        <v>42.5</v>
      </c>
      <c r="I1126" s="29" t="s">
        <v>597</v>
      </c>
      <c r="J1126" s="32" t="s">
        <v>598</v>
      </c>
      <c r="K1126" s="29" t="s">
        <v>698</v>
      </c>
      <c r="L1126" s="29" t="s">
        <v>1144</v>
      </c>
      <c r="M1126" s="33">
        <v>17.311</v>
      </c>
      <c r="N1126" s="33">
        <v>2.505</v>
      </c>
      <c r="O1126" s="34" t="s">
        <v>641</v>
      </c>
      <c r="P1126" s="32" t="s">
        <v>602</v>
      </c>
      <c r="Q1126" s="35">
        <v>12.0</v>
      </c>
      <c r="R1126" s="35">
        <v>12.0</v>
      </c>
      <c r="S1126" s="36">
        <v>4.6414</v>
      </c>
      <c r="T1126" s="36">
        <v>44.2857</v>
      </c>
      <c r="U1126" s="36">
        <v>2.1544</v>
      </c>
      <c r="V1126" s="36">
        <v>6.6548</v>
      </c>
      <c r="W1126" s="37" t="s">
        <v>1205</v>
      </c>
      <c r="X1126" s="31">
        <v>2.5</v>
      </c>
      <c r="Y1126" s="36">
        <v>-2.2531871307525755</v>
      </c>
      <c r="Z1126" s="36">
        <v>0.019836254319815703</v>
      </c>
      <c r="AA1126" s="29" t="s">
        <v>820</v>
      </c>
      <c r="AB1126" s="31">
        <v>1.23047196865</v>
      </c>
      <c r="AC1126" s="38">
        <v>559.0</v>
      </c>
    </row>
    <row r="1127" ht="14.25" customHeight="1">
      <c r="A1127" s="29" t="s">
        <v>303</v>
      </c>
      <c r="B1127" s="29">
        <v>25.0</v>
      </c>
      <c r="C1127" s="29" t="s">
        <v>608</v>
      </c>
      <c r="D1127" s="35" t="s">
        <v>947</v>
      </c>
      <c r="E1127" s="29">
        <v>121.0</v>
      </c>
      <c r="F1127" s="30" t="s">
        <v>948</v>
      </c>
      <c r="G1127" s="29" t="s">
        <v>611</v>
      </c>
      <c r="H1127" s="31">
        <v>42.5</v>
      </c>
      <c r="I1127" s="29" t="s">
        <v>597</v>
      </c>
      <c r="J1127" s="32" t="s">
        <v>598</v>
      </c>
      <c r="K1127" s="29" t="s">
        <v>698</v>
      </c>
      <c r="L1127" s="29" t="s">
        <v>1144</v>
      </c>
      <c r="M1127" s="33">
        <v>17.311</v>
      </c>
      <c r="N1127" s="33">
        <v>2.505</v>
      </c>
      <c r="O1127" s="34" t="s">
        <v>641</v>
      </c>
      <c r="P1127" s="32" t="s">
        <v>602</v>
      </c>
      <c r="Q1127" s="35">
        <v>12.0</v>
      </c>
      <c r="R1127" s="35">
        <v>12.0</v>
      </c>
      <c r="S1127" s="36">
        <v>5.5046</v>
      </c>
      <c r="T1127" s="36">
        <v>44.2857</v>
      </c>
      <c r="U1127" s="36">
        <v>2.3462</v>
      </c>
      <c r="V1127" s="36">
        <v>6.6548</v>
      </c>
      <c r="W1127" s="37" t="s">
        <v>1205</v>
      </c>
      <c r="X1127" s="31">
        <v>7.5</v>
      </c>
      <c r="Y1127" s="36">
        <v>-2.0830042213987916</v>
      </c>
      <c r="Z1127" s="36">
        <v>0.01702075249680835</v>
      </c>
      <c r="AA1127" s="29" t="s">
        <v>820</v>
      </c>
      <c r="AB1127" s="31">
        <v>1.23047196865</v>
      </c>
      <c r="AC1127" s="38">
        <v>559.0</v>
      </c>
    </row>
    <row r="1128" ht="14.25" customHeight="1">
      <c r="A1128" s="29" t="s">
        <v>303</v>
      </c>
      <c r="B1128" s="29">
        <v>25.0</v>
      </c>
      <c r="C1128" s="29" t="s">
        <v>608</v>
      </c>
      <c r="D1128" s="35" t="s">
        <v>947</v>
      </c>
      <c r="E1128" s="29">
        <v>121.0</v>
      </c>
      <c r="F1128" s="30" t="s">
        <v>948</v>
      </c>
      <c r="G1128" s="29" t="s">
        <v>611</v>
      </c>
      <c r="H1128" s="31">
        <v>42.5</v>
      </c>
      <c r="I1128" s="29" t="s">
        <v>597</v>
      </c>
      <c r="J1128" s="32" t="s">
        <v>598</v>
      </c>
      <c r="K1128" s="29" t="s">
        <v>698</v>
      </c>
      <c r="L1128" s="29" t="s">
        <v>1144</v>
      </c>
      <c r="M1128" s="33">
        <v>17.311</v>
      </c>
      <c r="N1128" s="33">
        <v>2.505</v>
      </c>
      <c r="O1128" s="34" t="s">
        <v>641</v>
      </c>
      <c r="P1128" s="32" t="s">
        <v>602</v>
      </c>
      <c r="Q1128" s="35">
        <v>12.0</v>
      </c>
      <c r="R1128" s="35">
        <v>12.0</v>
      </c>
      <c r="S1128" s="36">
        <v>17.6471</v>
      </c>
      <c r="T1128" s="36">
        <v>44.2857</v>
      </c>
      <c r="U1128" s="36">
        <v>4.2008</v>
      </c>
      <c r="V1128" s="36">
        <v>6.6548</v>
      </c>
      <c r="W1128" s="37" t="s">
        <v>1205</v>
      </c>
      <c r="X1128" s="31">
        <v>12.5</v>
      </c>
      <c r="Y1128" s="36">
        <v>-0.919443121174401</v>
      </c>
      <c r="Z1128" s="36">
        <v>0.006603858900285185</v>
      </c>
      <c r="AA1128" s="29" t="s">
        <v>820</v>
      </c>
      <c r="AB1128" s="31">
        <v>1.23047196865</v>
      </c>
      <c r="AC1128" s="38">
        <v>559.0</v>
      </c>
    </row>
    <row r="1129" ht="14.25" customHeight="1">
      <c r="A1129" s="29" t="s">
        <v>303</v>
      </c>
      <c r="B1129" s="29">
        <v>25.0</v>
      </c>
      <c r="C1129" s="29" t="s">
        <v>608</v>
      </c>
      <c r="D1129" s="35" t="s">
        <v>947</v>
      </c>
      <c r="E1129" s="29">
        <v>121.0</v>
      </c>
      <c r="F1129" s="30" t="s">
        <v>948</v>
      </c>
      <c r="G1129" s="29" t="s">
        <v>611</v>
      </c>
      <c r="H1129" s="31">
        <v>42.5</v>
      </c>
      <c r="I1129" s="29" t="s">
        <v>597</v>
      </c>
      <c r="J1129" s="32" t="s">
        <v>598</v>
      </c>
      <c r="K1129" s="29" t="s">
        <v>698</v>
      </c>
      <c r="L1129" s="29" t="s">
        <v>1144</v>
      </c>
      <c r="M1129" s="33">
        <v>17.311</v>
      </c>
      <c r="N1129" s="33">
        <v>2.505</v>
      </c>
      <c r="O1129" s="34" t="s">
        <v>641</v>
      </c>
      <c r="P1129" s="32" t="s">
        <v>602</v>
      </c>
      <c r="Q1129" s="35">
        <v>12.0</v>
      </c>
      <c r="R1129" s="35">
        <v>12.0</v>
      </c>
      <c r="S1129" s="36">
        <v>34.4444</v>
      </c>
      <c r="T1129" s="36">
        <v>44.2857</v>
      </c>
      <c r="U1129" s="36">
        <v>5.8689</v>
      </c>
      <c r="V1129" s="36">
        <v>6.6548</v>
      </c>
      <c r="W1129" s="37" t="s">
        <v>1205</v>
      </c>
      <c r="X1129" s="31">
        <v>17.5</v>
      </c>
      <c r="Y1129" s="36">
        <v>-0.2509837390748355</v>
      </c>
      <c r="Z1129" s="36">
        <v>0.0043010781763003336</v>
      </c>
      <c r="AA1129" s="29" t="s">
        <v>820</v>
      </c>
      <c r="AB1129" s="31">
        <v>1.23047196865</v>
      </c>
      <c r="AC1129" s="38">
        <v>559.0</v>
      </c>
    </row>
    <row r="1130" ht="14.25" customHeight="1">
      <c r="A1130" s="29" t="s">
        <v>303</v>
      </c>
      <c r="B1130" s="29">
        <v>25.0</v>
      </c>
      <c r="C1130" s="29" t="s">
        <v>608</v>
      </c>
      <c r="D1130" s="35" t="s">
        <v>947</v>
      </c>
      <c r="E1130" s="29">
        <v>121.0</v>
      </c>
      <c r="F1130" s="30" t="s">
        <v>948</v>
      </c>
      <c r="G1130" s="29" t="s">
        <v>611</v>
      </c>
      <c r="H1130" s="31">
        <v>42.5</v>
      </c>
      <c r="I1130" s="29" t="s">
        <v>597</v>
      </c>
      <c r="J1130" s="32" t="s">
        <v>598</v>
      </c>
      <c r="K1130" s="29" t="s">
        <v>698</v>
      </c>
      <c r="L1130" s="29" t="s">
        <v>1144</v>
      </c>
      <c r="M1130" s="33">
        <v>17.311</v>
      </c>
      <c r="N1130" s="33">
        <v>2.505</v>
      </c>
      <c r="O1130" s="34" t="s">
        <v>641</v>
      </c>
      <c r="P1130" s="32" t="s">
        <v>602</v>
      </c>
      <c r="Q1130" s="35">
        <v>12.0</v>
      </c>
      <c r="R1130" s="35">
        <v>12.0</v>
      </c>
      <c r="S1130" s="36">
        <v>31.6667</v>
      </c>
      <c r="T1130" s="36">
        <v>44.2857</v>
      </c>
      <c r="U1130" s="36">
        <v>5.6273</v>
      </c>
      <c r="V1130" s="36">
        <v>6.6548</v>
      </c>
      <c r="W1130" s="37" t="s">
        <v>1205</v>
      </c>
      <c r="X1130" s="31">
        <v>22.5</v>
      </c>
      <c r="Y1130" s="36">
        <v>-0.33503542670809916</v>
      </c>
      <c r="Z1130" s="36">
        <v>0.004513309206443839</v>
      </c>
      <c r="AA1130" s="29" t="s">
        <v>820</v>
      </c>
      <c r="AB1130" s="31">
        <v>1.23047196865</v>
      </c>
      <c r="AC1130" s="38">
        <v>559.0</v>
      </c>
    </row>
    <row r="1131" ht="14.25" customHeight="1">
      <c r="A1131" s="29" t="s">
        <v>307</v>
      </c>
      <c r="B1131" s="29">
        <v>132.0</v>
      </c>
      <c r="C1131" s="29" t="s">
        <v>593</v>
      </c>
      <c r="D1131" s="43" t="s">
        <v>1206</v>
      </c>
      <c r="E1131" s="29">
        <v>290.0</v>
      </c>
      <c r="F1131" s="45" t="s">
        <v>1207</v>
      </c>
      <c r="G1131" s="29" t="s">
        <v>607</v>
      </c>
      <c r="H1131" s="31">
        <v>0.69999</v>
      </c>
      <c r="I1131" s="29" t="s">
        <v>620</v>
      </c>
      <c r="J1131" s="32" t="s">
        <v>598</v>
      </c>
      <c r="K1131" s="29" t="s">
        <v>698</v>
      </c>
      <c r="L1131" s="29" t="s">
        <v>823</v>
      </c>
      <c r="M1131" s="36">
        <v>12.887</v>
      </c>
      <c r="N1131" s="36">
        <v>0.633</v>
      </c>
      <c r="O1131" s="34" t="s">
        <v>641</v>
      </c>
      <c r="P1131" s="32" t="s">
        <v>602</v>
      </c>
      <c r="Q1131" s="29">
        <v>70.0</v>
      </c>
      <c r="R1131" s="29">
        <v>100.0</v>
      </c>
      <c r="S1131" s="46">
        <v>0.01</v>
      </c>
      <c r="T1131" s="36">
        <v>0.06</v>
      </c>
      <c r="U1131" s="36">
        <v>0.08366600265340755</v>
      </c>
      <c r="V1131" s="36">
        <v>0.3</v>
      </c>
      <c r="W1131" s="37" t="s">
        <v>780</v>
      </c>
      <c r="X1131" s="31" t="e">
        <v>#REF!</v>
      </c>
      <c r="Y1131" s="36">
        <v>-1.7839773287860001</v>
      </c>
      <c r="Z1131" s="36">
        <v>1.25</v>
      </c>
      <c r="AA1131" s="29" t="s">
        <v>820</v>
      </c>
      <c r="AB1131" s="31">
        <v>0.87</v>
      </c>
      <c r="AC1131" s="38">
        <v>754.4285714285714</v>
      </c>
    </row>
    <row r="1132" ht="14.25" customHeight="1">
      <c r="A1132" s="29" t="s">
        <v>307</v>
      </c>
      <c r="B1132" s="29">
        <v>132.0</v>
      </c>
      <c r="C1132" s="29" t="s">
        <v>593</v>
      </c>
      <c r="D1132" s="43" t="s">
        <v>1206</v>
      </c>
      <c r="E1132" s="29">
        <v>290.0</v>
      </c>
      <c r="F1132" s="45" t="s">
        <v>1207</v>
      </c>
      <c r="G1132" s="29" t="s">
        <v>607</v>
      </c>
      <c r="H1132" s="31">
        <v>0.69999</v>
      </c>
      <c r="I1132" s="29" t="s">
        <v>620</v>
      </c>
      <c r="J1132" s="32" t="s">
        <v>598</v>
      </c>
      <c r="K1132" s="29" t="s">
        <v>698</v>
      </c>
      <c r="L1132" s="29" t="s">
        <v>823</v>
      </c>
      <c r="M1132" s="36">
        <v>12.74</v>
      </c>
      <c r="N1132" s="36">
        <v>0.718</v>
      </c>
      <c r="O1132" s="34" t="s">
        <v>641</v>
      </c>
      <c r="P1132" s="32" t="s">
        <v>602</v>
      </c>
      <c r="Q1132" s="29">
        <v>70.0</v>
      </c>
      <c r="R1132" s="29">
        <v>100.0</v>
      </c>
      <c r="S1132" s="46">
        <v>0.07</v>
      </c>
      <c r="T1132" s="36">
        <v>0.06</v>
      </c>
      <c r="U1132" s="36">
        <v>0.25099800796022265</v>
      </c>
      <c r="V1132" s="36">
        <v>0.3</v>
      </c>
      <c r="W1132" s="37" t="s">
        <v>780</v>
      </c>
      <c r="X1132" s="31" t="e">
        <v>#REF!</v>
      </c>
      <c r="Y1132" s="36">
        <v>0.15526612891112396</v>
      </c>
      <c r="Z1132" s="36">
        <v>0.4336734693877551</v>
      </c>
      <c r="AA1132" s="29" t="s">
        <v>820</v>
      </c>
      <c r="AB1132" s="31">
        <v>0.87</v>
      </c>
      <c r="AC1132" s="38">
        <v>934.5714285714286</v>
      </c>
    </row>
    <row r="1133" ht="14.25" customHeight="1">
      <c r="A1133" s="29" t="s">
        <v>307</v>
      </c>
      <c r="B1133" s="29">
        <v>132.0</v>
      </c>
      <c r="C1133" s="29" t="s">
        <v>593</v>
      </c>
      <c r="D1133" s="43" t="s">
        <v>1208</v>
      </c>
      <c r="E1133" s="29">
        <v>291.0</v>
      </c>
      <c r="F1133" s="45" t="s">
        <v>1209</v>
      </c>
      <c r="G1133" s="35" t="s">
        <v>1000</v>
      </c>
      <c r="H1133" s="31">
        <v>0.921</v>
      </c>
      <c r="I1133" s="29" t="s">
        <v>597</v>
      </c>
      <c r="J1133" s="32" t="s">
        <v>598</v>
      </c>
      <c r="K1133" s="29" t="s">
        <v>698</v>
      </c>
      <c r="L1133" s="29" t="s">
        <v>823</v>
      </c>
      <c r="M1133" s="36">
        <v>12.887</v>
      </c>
      <c r="N1133" s="36">
        <v>0.633</v>
      </c>
      <c r="O1133" s="34" t="s">
        <v>641</v>
      </c>
      <c r="P1133" s="32" t="s">
        <v>602</v>
      </c>
      <c r="Q1133" s="29">
        <v>70.0</v>
      </c>
      <c r="R1133" s="29">
        <v>100.0</v>
      </c>
      <c r="S1133" s="46">
        <v>0.4</v>
      </c>
      <c r="T1133" s="36">
        <v>0.12</v>
      </c>
      <c r="U1133" s="36">
        <v>1.3386560424545209</v>
      </c>
      <c r="V1133" s="36">
        <v>0.6</v>
      </c>
      <c r="W1133" s="37" t="s">
        <v>780</v>
      </c>
      <c r="X1133" s="31" t="e">
        <v>#REF!</v>
      </c>
      <c r="Y1133" s="36">
        <v>1.204363353051853</v>
      </c>
      <c r="Z1133" s="36">
        <v>0.41</v>
      </c>
      <c r="AA1133" s="29" t="s">
        <v>820</v>
      </c>
      <c r="AB1133" s="31">
        <v>0.87</v>
      </c>
      <c r="AC1133" s="38">
        <v>754.4285714285714</v>
      </c>
    </row>
    <row r="1134" ht="14.25" customHeight="1">
      <c r="A1134" s="29" t="s">
        <v>307</v>
      </c>
      <c r="B1134" s="29">
        <v>132.0</v>
      </c>
      <c r="C1134" s="29" t="s">
        <v>593</v>
      </c>
      <c r="D1134" s="43" t="s">
        <v>1208</v>
      </c>
      <c r="E1134" s="29">
        <v>291.0</v>
      </c>
      <c r="F1134" s="45" t="s">
        <v>1209</v>
      </c>
      <c r="G1134" s="35" t="s">
        <v>1000</v>
      </c>
      <c r="H1134" s="31">
        <v>0.921</v>
      </c>
      <c r="I1134" s="29" t="s">
        <v>597</v>
      </c>
      <c r="J1134" s="32" t="s">
        <v>598</v>
      </c>
      <c r="K1134" s="29" t="s">
        <v>698</v>
      </c>
      <c r="L1134" s="29" t="s">
        <v>823</v>
      </c>
      <c r="M1134" s="36">
        <v>12.74</v>
      </c>
      <c r="N1134" s="36">
        <v>0.718</v>
      </c>
      <c r="O1134" s="34" t="s">
        <v>641</v>
      </c>
      <c r="P1134" s="32" t="s">
        <v>602</v>
      </c>
      <c r="Q1134" s="29">
        <v>70.0</v>
      </c>
      <c r="R1134" s="29">
        <v>100.0</v>
      </c>
      <c r="S1134" s="46">
        <v>0.23</v>
      </c>
      <c r="T1134" s="36">
        <v>0.12</v>
      </c>
      <c r="U1134" s="36">
        <v>0.4183300132670378</v>
      </c>
      <c r="V1134" s="36">
        <v>0.6</v>
      </c>
      <c r="W1134" s="37" t="s">
        <v>780</v>
      </c>
      <c r="X1134" s="31" t="e">
        <v>#REF!</v>
      </c>
      <c r="Y1134" s="36">
        <v>0.6512666833149581</v>
      </c>
      <c r="Z1134" s="36">
        <v>0.29725897920604916</v>
      </c>
      <c r="AA1134" s="29" t="s">
        <v>820</v>
      </c>
      <c r="AB1134" s="31">
        <v>0.87</v>
      </c>
      <c r="AC1134" s="38">
        <v>934.5714285714286</v>
      </c>
    </row>
    <row r="1135" ht="14.25" customHeight="1">
      <c r="A1135" s="29" t="s">
        <v>307</v>
      </c>
      <c r="B1135" s="29">
        <v>132.0</v>
      </c>
      <c r="C1135" s="29" t="s">
        <v>593</v>
      </c>
      <c r="D1135" s="43" t="s">
        <v>1210</v>
      </c>
      <c r="E1135" s="29">
        <v>267.0</v>
      </c>
      <c r="F1135" s="45" t="s">
        <v>1211</v>
      </c>
      <c r="G1135" s="35" t="s">
        <v>1000</v>
      </c>
      <c r="H1135" s="31">
        <v>0.921</v>
      </c>
      <c r="I1135" s="29" t="s">
        <v>597</v>
      </c>
      <c r="J1135" s="32" t="s">
        <v>598</v>
      </c>
      <c r="K1135" s="29" t="s">
        <v>698</v>
      </c>
      <c r="L1135" s="29" t="s">
        <v>823</v>
      </c>
      <c r="M1135" s="36">
        <v>12.887</v>
      </c>
      <c r="N1135" s="36">
        <v>0.633</v>
      </c>
      <c r="O1135" s="34" t="s">
        <v>641</v>
      </c>
      <c r="P1135" s="32" t="s">
        <v>602</v>
      </c>
      <c r="Q1135" s="29">
        <v>70.0</v>
      </c>
      <c r="R1135" s="29">
        <v>100.0</v>
      </c>
      <c r="S1135" s="46">
        <v>0.75</v>
      </c>
      <c r="T1135" s="36">
        <v>0.45</v>
      </c>
      <c r="U1135" s="36">
        <v>0.8366600265340756</v>
      </c>
      <c r="V1135" s="36">
        <v>0.8999999999999999</v>
      </c>
      <c r="W1135" s="37" t="s">
        <v>780</v>
      </c>
      <c r="X1135" s="31" t="e">
        <v>#REF!</v>
      </c>
      <c r="Y1135" s="36">
        <v>0.5116065687490621</v>
      </c>
      <c r="Z1135" s="36">
        <v>0.057777777777777775</v>
      </c>
      <c r="AA1135" s="29" t="s">
        <v>820</v>
      </c>
      <c r="AB1135" s="31">
        <v>0.87</v>
      </c>
      <c r="AC1135" s="38">
        <v>754.4285714285714</v>
      </c>
    </row>
    <row r="1136" ht="14.25" customHeight="1">
      <c r="A1136" s="29" t="s">
        <v>307</v>
      </c>
      <c r="B1136" s="29">
        <v>132.0</v>
      </c>
      <c r="C1136" s="29" t="s">
        <v>593</v>
      </c>
      <c r="D1136" s="43" t="s">
        <v>1210</v>
      </c>
      <c r="E1136" s="29">
        <v>267.0</v>
      </c>
      <c r="F1136" s="45" t="s">
        <v>1211</v>
      </c>
      <c r="G1136" s="35" t="s">
        <v>1000</v>
      </c>
      <c r="H1136" s="31">
        <v>0.921</v>
      </c>
      <c r="I1136" s="29" t="s">
        <v>597</v>
      </c>
      <c r="J1136" s="32" t="s">
        <v>598</v>
      </c>
      <c r="K1136" s="29" t="s">
        <v>698</v>
      </c>
      <c r="L1136" s="29" t="s">
        <v>823</v>
      </c>
      <c r="M1136" s="36">
        <v>12.74</v>
      </c>
      <c r="N1136" s="36">
        <v>0.718</v>
      </c>
      <c r="O1136" s="34" t="s">
        <v>641</v>
      </c>
      <c r="P1136" s="32" t="s">
        <v>602</v>
      </c>
      <c r="Q1136" s="29">
        <v>70.0</v>
      </c>
      <c r="R1136" s="29">
        <v>100.0</v>
      </c>
      <c r="S1136" s="46">
        <v>0.39</v>
      </c>
      <c r="T1136" s="36">
        <v>0.45</v>
      </c>
      <c r="U1136" s="36">
        <v>1.0039920318408906</v>
      </c>
      <c r="V1136" s="36">
        <v>0.8999999999999999</v>
      </c>
      <c r="W1136" s="37" t="s">
        <v>780</v>
      </c>
      <c r="X1136" s="31" t="e">
        <v>#REF!</v>
      </c>
      <c r="Y1136" s="36">
        <v>-0.14159956727403278</v>
      </c>
      <c r="Z1136" s="36">
        <v>0.13467455621301772</v>
      </c>
      <c r="AA1136" s="29" t="s">
        <v>820</v>
      </c>
      <c r="AB1136" s="31">
        <v>0.87</v>
      </c>
      <c r="AC1136" s="38">
        <v>934.5714285714286</v>
      </c>
    </row>
    <row r="1137" ht="14.25" customHeight="1">
      <c r="A1137" s="29" t="s">
        <v>307</v>
      </c>
      <c r="B1137" s="29">
        <v>132.0</v>
      </c>
      <c r="C1137" s="29" t="s">
        <v>593</v>
      </c>
      <c r="D1137" s="43" t="s">
        <v>1212</v>
      </c>
      <c r="E1137" s="29">
        <v>268.0</v>
      </c>
      <c r="F1137" s="30" t="s">
        <v>1213</v>
      </c>
      <c r="G1137" s="29" t="s">
        <v>1000</v>
      </c>
      <c r="H1137" s="31">
        <v>1.194</v>
      </c>
      <c r="I1137" s="29" t="s">
        <v>597</v>
      </c>
      <c r="J1137" s="32" t="s">
        <v>598</v>
      </c>
      <c r="K1137" s="29" t="s">
        <v>698</v>
      </c>
      <c r="L1137" s="29" t="s">
        <v>823</v>
      </c>
      <c r="M1137" s="36">
        <v>12.887</v>
      </c>
      <c r="N1137" s="36">
        <v>0.633</v>
      </c>
      <c r="O1137" s="34" t="s">
        <v>641</v>
      </c>
      <c r="P1137" s="32" t="s">
        <v>602</v>
      </c>
      <c r="Q1137" s="29">
        <v>70.0</v>
      </c>
      <c r="R1137" s="29">
        <v>100.0</v>
      </c>
      <c r="S1137" s="47">
        <v>2.91</v>
      </c>
      <c r="T1137" s="36">
        <v>1.39</v>
      </c>
      <c r="U1137" s="36">
        <v>4.015968127363562</v>
      </c>
      <c r="V1137" s="36">
        <v>1.5</v>
      </c>
      <c r="W1137" s="37" t="s">
        <v>780</v>
      </c>
      <c r="X1137" s="31" t="e">
        <v>#REF!</v>
      </c>
      <c r="Y1137" s="36">
        <v>0.7394710980365425</v>
      </c>
      <c r="Z1137" s="36">
        <v>0.03885335231876814</v>
      </c>
      <c r="AA1137" s="29" t="s">
        <v>820</v>
      </c>
      <c r="AB1137" s="31">
        <v>0.87</v>
      </c>
      <c r="AC1137" s="38">
        <v>754.4285714285714</v>
      </c>
    </row>
    <row r="1138" ht="14.25" customHeight="1">
      <c r="A1138" s="29" t="s">
        <v>307</v>
      </c>
      <c r="B1138" s="29">
        <v>132.0</v>
      </c>
      <c r="C1138" s="29" t="s">
        <v>593</v>
      </c>
      <c r="D1138" s="43" t="s">
        <v>1212</v>
      </c>
      <c r="E1138" s="29">
        <v>268.0</v>
      </c>
      <c r="F1138" s="30" t="s">
        <v>1213</v>
      </c>
      <c r="G1138" s="29" t="s">
        <v>1000</v>
      </c>
      <c r="H1138" s="31">
        <v>1.194</v>
      </c>
      <c r="I1138" s="29" t="s">
        <v>597</v>
      </c>
      <c r="J1138" s="32" t="s">
        <v>598</v>
      </c>
      <c r="K1138" s="29" t="s">
        <v>698</v>
      </c>
      <c r="L1138" s="29" t="s">
        <v>823</v>
      </c>
      <c r="M1138" s="36">
        <v>12.74</v>
      </c>
      <c r="N1138" s="36">
        <v>0.718</v>
      </c>
      <c r="O1138" s="34" t="s">
        <v>641</v>
      </c>
      <c r="P1138" s="32" t="s">
        <v>602</v>
      </c>
      <c r="Q1138" s="29">
        <v>70.0</v>
      </c>
      <c r="R1138" s="29">
        <v>100.0</v>
      </c>
      <c r="S1138" s="47">
        <v>3.34</v>
      </c>
      <c r="T1138" s="36">
        <v>1.39</v>
      </c>
      <c r="U1138" s="36">
        <v>2.7609780875624494</v>
      </c>
      <c r="V1138" s="36">
        <v>1.5</v>
      </c>
      <c r="W1138" s="37" t="s">
        <v>780</v>
      </c>
      <c r="X1138" s="31" t="e">
        <v>#REF!</v>
      </c>
      <c r="Y1138" s="36">
        <v>0.877208798059401</v>
      </c>
      <c r="Z1138" s="36">
        <v>0.0214072732701662</v>
      </c>
      <c r="AA1138" s="29" t="s">
        <v>820</v>
      </c>
      <c r="AB1138" s="31">
        <v>0.87</v>
      </c>
      <c r="AC1138" s="38">
        <v>934.5714285714286</v>
      </c>
    </row>
    <row r="1139" ht="14.25" customHeight="1">
      <c r="A1139" s="29" t="s">
        <v>307</v>
      </c>
      <c r="B1139" s="29">
        <v>132.0</v>
      </c>
      <c r="C1139" s="29" t="s">
        <v>593</v>
      </c>
      <c r="D1139" s="43" t="s">
        <v>1214</v>
      </c>
      <c r="E1139" s="29">
        <v>293.0</v>
      </c>
      <c r="F1139" s="45" t="s">
        <v>1215</v>
      </c>
      <c r="G1139" s="35" t="s">
        <v>1216</v>
      </c>
      <c r="H1139" s="31">
        <v>0.96499</v>
      </c>
      <c r="I1139" s="29" t="s">
        <v>597</v>
      </c>
      <c r="J1139" s="32" t="s">
        <v>598</v>
      </c>
      <c r="K1139" s="29" t="s">
        <v>698</v>
      </c>
      <c r="L1139" s="29" t="s">
        <v>823</v>
      </c>
      <c r="M1139" s="36">
        <v>12.887</v>
      </c>
      <c r="N1139" s="36">
        <v>0.633</v>
      </c>
      <c r="O1139" s="34" t="s">
        <v>641</v>
      </c>
      <c r="P1139" s="32" t="s">
        <v>602</v>
      </c>
      <c r="Q1139" s="29">
        <v>70.0</v>
      </c>
      <c r="R1139" s="29">
        <v>100.0</v>
      </c>
      <c r="S1139" s="46">
        <v>0.77</v>
      </c>
      <c r="T1139" s="36">
        <v>0.17</v>
      </c>
      <c r="U1139" s="36">
        <v>2.3426480742954117</v>
      </c>
      <c r="V1139" s="36">
        <v>0.7000000000000001</v>
      </c>
      <c r="W1139" s="37" t="s">
        <v>780</v>
      </c>
      <c r="X1139" s="31" t="e">
        <v>#REF!</v>
      </c>
      <c r="Y1139" s="36">
        <v>1.5108795094287613</v>
      </c>
      <c r="Z1139" s="36">
        <v>0.3017815779690583</v>
      </c>
      <c r="AA1139" s="29" t="s">
        <v>820</v>
      </c>
      <c r="AB1139" s="31">
        <v>0.87</v>
      </c>
      <c r="AC1139" s="38">
        <v>754.4285714285714</v>
      </c>
    </row>
    <row r="1140" ht="14.25" customHeight="1">
      <c r="A1140" s="29" t="s">
        <v>307</v>
      </c>
      <c r="B1140" s="29">
        <v>132.0</v>
      </c>
      <c r="C1140" s="29" t="s">
        <v>593</v>
      </c>
      <c r="D1140" s="43" t="s">
        <v>1214</v>
      </c>
      <c r="E1140" s="29">
        <v>293.0</v>
      </c>
      <c r="F1140" s="45" t="s">
        <v>1215</v>
      </c>
      <c r="G1140" s="35" t="s">
        <v>1216</v>
      </c>
      <c r="H1140" s="31">
        <v>0.96499</v>
      </c>
      <c r="I1140" s="29" t="s">
        <v>597</v>
      </c>
      <c r="J1140" s="32" t="s">
        <v>598</v>
      </c>
      <c r="K1140" s="29" t="s">
        <v>698</v>
      </c>
      <c r="L1140" s="29" t="s">
        <v>823</v>
      </c>
      <c r="M1140" s="36">
        <v>12.74</v>
      </c>
      <c r="N1140" s="36">
        <v>0.718</v>
      </c>
      <c r="O1140" s="34" t="s">
        <v>641</v>
      </c>
      <c r="P1140" s="32" t="s">
        <v>602</v>
      </c>
      <c r="Q1140" s="29">
        <v>70.0</v>
      </c>
      <c r="R1140" s="29">
        <v>100.0</v>
      </c>
      <c r="S1140" s="46">
        <v>0.5</v>
      </c>
      <c r="T1140" s="36">
        <v>0.17</v>
      </c>
      <c r="U1140" s="36">
        <v>1.1713240371477058</v>
      </c>
      <c r="V1140" s="36">
        <v>0.7000000000000001</v>
      </c>
      <c r="W1140" s="37" t="s">
        <v>780</v>
      </c>
      <c r="X1140" s="31" t="e">
        <v>#REF!</v>
      </c>
      <c r="Y1140" s="36">
        <v>1.0792522717388415</v>
      </c>
      <c r="Z1140" s="36">
        <v>0.24795017301038064</v>
      </c>
      <c r="AA1140" s="29" t="s">
        <v>820</v>
      </c>
      <c r="AB1140" s="31">
        <v>0.87</v>
      </c>
      <c r="AC1140" s="38">
        <v>934.5714285714286</v>
      </c>
    </row>
    <row r="1141" ht="14.25" customHeight="1">
      <c r="A1141" s="29" t="s">
        <v>307</v>
      </c>
      <c r="B1141" s="29">
        <v>132.0</v>
      </c>
      <c r="C1141" s="29" t="s">
        <v>593</v>
      </c>
      <c r="D1141" s="43" t="s">
        <v>1217</v>
      </c>
      <c r="E1141" s="29">
        <v>294.0</v>
      </c>
      <c r="F1141" s="45" t="s">
        <v>1218</v>
      </c>
      <c r="G1141" s="35" t="s">
        <v>607</v>
      </c>
      <c r="H1141" s="31">
        <v>0.269</v>
      </c>
      <c r="I1141" s="29" t="s">
        <v>620</v>
      </c>
      <c r="J1141" s="32" t="s">
        <v>598</v>
      </c>
      <c r="K1141" s="29" t="s">
        <v>698</v>
      </c>
      <c r="L1141" s="29" t="s">
        <v>823</v>
      </c>
      <c r="M1141" s="36">
        <v>12.887</v>
      </c>
      <c r="N1141" s="36">
        <v>0.633</v>
      </c>
      <c r="O1141" s="34" t="s">
        <v>641</v>
      </c>
      <c r="P1141" s="32" t="s">
        <v>602</v>
      </c>
      <c r="Q1141" s="29">
        <v>70.0</v>
      </c>
      <c r="R1141" s="29">
        <v>100.0</v>
      </c>
      <c r="S1141" s="46">
        <v>0.03</v>
      </c>
      <c r="T1141" s="36">
        <v>0.06</v>
      </c>
      <c r="U1141" s="36">
        <v>0.08366600265340755</v>
      </c>
      <c r="V1141" s="36">
        <v>0.2</v>
      </c>
      <c r="W1141" s="37" t="s">
        <v>780</v>
      </c>
      <c r="X1141" s="31" t="e">
        <v>#REF!</v>
      </c>
      <c r="Y1141" s="36">
        <v>-0.6905463988598879</v>
      </c>
      <c r="Z1141" s="36">
        <v>0.22222222222222227</v>
      </c>
      <c r="AA1141" s="29" t="s">
        <v>820</v>
      </c>
      <c r="AB1141" s="31">
        <v>0.87</v>
      </c>
      <c r="AC1141" s="38">
        <v>754.4285714285714</v>
      </c>
    </row>
    <row r="1142" ht="14.25" customHeight="1">
      <c r="A1142" s="29" t="s">
        <v>307</v>
      </c>
      <c r="B1142" s="29">
        <v>132.0</v>
      </c>
      <c r="C1142" s="29" t="s">
        <v>593</v>
      </c>
      <c r="D1142" s="43" t="s">
        <v>1217</v>
      </c>
      <c r="E1142" s="29">
        <v>294.0</v>
      </c>
      <c r="F1142" s="45" t="s">
        <v>1218</v>
      </c>
      <c r="G1142" s="35" t="s">
        <v>607</v>
      </c>
      <c r="H1142" s="31">
        <v>0.269</v>
      </c>
      <c r="I1142" s="29" t="s">
        <v>620</v>
      </c>
      <c r="J1142" s="32" t="s">
        <v>598</v>
      </c>
      <c r="K1142" s="29" t="s">
        <v>698</v>
      </c>
      <c r="L1142" s="29" t="s">
        <v>823</v>
      </c>
      <c r="M1142" s="36">
        <v>12.74</v>
      </c>
      <c r="N1142" s="36">
        <v>0.718</v>
      </c>
      <c r="O1142" s="34" t="s">
        <v>641</v>
      </c>
      <c r="P1142" s="32" t="s">
        <v>602</v>
      </c>
      <c r="Q1142" s="29">
        <v>70.0</v>
      </c>
      <c r="R1142" s="29">
        <v>100.0</v>
      </c>
      <c r="S1142" s="46">
        <v>0.03</v>
      </c>
      <c r="T1142" s="36">
        <v>0.06</v>
      </c>
      <c r="U1142" s="36">
        <v>0.1673320053068151</v>
      </c>
      <c r="V1142" s="36">
        <v>0.2</v>
      </c>
      <c r="W1142" s="37" t="s">
        <v>780</v>
      </c>
      <c r="X1142" s="31" t="e">
        <v>#REF!</v>
      </c>
      <c r="Y1142" s="36">
        <v>-0.6905463988598879</v>
      </c>
      <c r="Z1142" s="36">
        <v>0.5555555555555556</v>
      </c>
      <c r="AA1142" s="29" t="s">
        <v>820</v>
      </c>
      <c r="AB1142" s="31">
        <v>0.87</v>
      </c>
      <c r="AC1142" s="38">
        <v>934.5714285714286</v>
      </c>
    </row>
    <row r="1143" ht="14.25" customHeight="1">
      <c r="A1143" s="29" t="s">
        <v>307</v>
      </c>
      <c r="B1143" s="29">
        <v>132.0</v>
      </c>
      <c r="C1143" s="29" t="s">
        <v>593</v>
      </c>
      <c r="D1143" s="43" t="s">
        <v>1219</v>
      </c>
      <c r="E1143" s="29">
        <v>296.0</v>
      </c>
      <c r="F1143" s="45" t="s">
        <v>1220</v>
      </c>
      <c r="G1143" s="29" t="s">
        <v>886</v>
      </c>
      <c r="H1143" s="31">
        <v>0.333</v>
      </c>
      <c r="I1143" s="29" t="s">
        <v>597</v>
      </c>
      <c r="J1143" s="32" t="s">
        <v>598</v>
      </c>
      <c r="K1143" s="29" t="s">
        <v>698</v>
      </c>
      <c r="L1143" s="29" t="s">
        <v>823</v>
      </c>
      <c r="M1143" s="36">
        <v>12.887</v>
      </c>
      <c r="N1143" s="36">
        <v>0.633</v>
      </c>
      <c r="O1143" s="34" t="s">
        <v>641</v>
      </c>
      <c r="P1143" s="32" t="s">
        <v>602</v>
      </c>
      <c r="Q1143" s="29">
        <v>70.0</v>
      </c>
      <c r="R1143" s="29">
        <v>100.0</v>
      </c>
      <c r="S1143" s="46">
        <v>1.74</v>
      </c>
      <c r="T1143" s="36">
        <v>2.05</v>
      </c>
      <c r="U1143" s="36">
        <v>2.6773120849090417</v>
      </c>
      <c r="V1143" s="36">
        <v>3.5</v>
      </c>
      <c r="W1143" s="37" t="s">
        <v>780</v>
      </c>
      <c r="X1143" s="31" t="e">
        <v>#REF!</v>
      </c>
      <c r="Y1143" s="36">
        <v>-0.16242179170026058</v>
      </c>
      <c r="Z1143" s="36">
        <v>0.06297148525848531</v>
      </c>
      <c r="AA1143" s="29" t="s">
        <v>820</v>
      </c>
      <c r="AB1143" s="31">
        <v>0.87</v>
      </c>
      <c r="AC1143" s="38">
        <v>754.4285714285714</v>
      </c>
    </row>
    <row r="1144" ht="14.25" customHeight="1">
      <c r="A1144" s="29" t="s">
        <v>307</v>
      </c>
      <c r="B1144" s="29">
        <v>132.0</v>
      </c>
      <c r="C1144" s="29" t="s">
        <v>593</v>
      </c>
      <c r="D1144" s="43" t="s">
        <v>1219</v>
      </c>
      <c r="E1144" s="29">
        <v>296.0</v>
      </c>
      <c r="F1144" s="45" t="s">
        <v>1220</v>
      </c>
      <c r="G1144" s="29" t="s">
        <v>886</v>
      </c>
      <c r="H1144" s="31">
        <v>0.333</v>
      </c>
      <c r="I1144" s="29" t="s">
        <v>597</v>
      </c>
      <c r="J1144" s="32" t="s">
        <v>598</v>
      </c>
      <c r="K1144" s="29" t="s">
        <v>698</v>
      </c>
      <c r="L1144" s="29" t="s">
        <v>823</v>
      </c>
      <c r="M1144" s="36">
        <v>12.74</v>
      </c>
      <c r="N1144" s="36">
        <v>0.718</v>
      </c>
      <c r="O1144" s="34" t="s">
        <v>641</v>
      </c>
      <c r="P1144" s="32" t="s">
        <v>602</v>
      </c>
      <c r="Q1144" s="29">
        <v>70.0</v>
      </c>
      <c r="R1144" s="29">
        <v>100.0</v>
      </c>
      <c r="S1144" s="46">
        <v>1.62</v>
      </c>
      <c r="T1144" s="36">
        <v>2.05</v>
      </c>
      <c r="U1144" s="36">
        <v>1.2549900398011133</v>
      </c>
      <c r="V1144" s="36">
        <v>3.5</v>
      </c>
      <c r="W1144" s="37" t="s">
        <v>780</v>
      </c>
      <c r="X1144" s="31" t="e">
        <v>#REF!</v>
      </c>
      <c r="Y1144" s="36">
        <v>-0.2337673018259043</v>
      </c>
      <c r="Z1144" s="36">
        <v>0.037722704086420575</v>
      </c>
      <c r="AA1144" s="29" t="s">
        <v>820</v>
      </c>
      <c r="AB1144" s="31">
        <v>0.87</v>
      </c>
      <c r="AC1144" s="38">
        <v>934.5714285714286</v>
      </c>
    </row>
    <row r="1145" ht="14.25" customHeight="1">
      <c r="A1145" s="29" t="s">
        <v>307</v>
      </c>
      <c r="B1145" s="29">
        <v>132.0</v>
      </c>
      <c r="C1145" s="29" t="s">
        <v>593</v>
      </c>
      <c r="D1145" s="43" t="s">
        <v>1221</v>
      </c>
      <c r="E1145" s="29">
        <v>297.0</v>
      </c>
      <c r="F1145" s="45" t="s">
        <v>1222</v>
      </c>
      <c r="G1145" s="35" t="s">
        <v>1216</v>
      </c>
      <c r="H1145" s="31">
        <v>0.24372</v>
      </c>
      <c r="I1145" s="29" t="s">
        <v>597</v>
      </c>
      <c r="J1145" s="32" t="s">
        <v>598</v>
      </c>
      <c r="K1145" s="29" t="s">
        <v>698</v>
      </c>
      <c r="L1145" s="29" t="s">
        <v>823</v>
      </c>
      <c r="M1145" s="36">
        <v>12.887</v>
      </c>
      <c r="N1145" s="36">
        <v>0.633</v>
      </c>
      <c r="O1145" s="34" t="s">
        <v>641</v>
      </c>
      <c r="P1145" s="32" t="s">
        <v>602</v>
      </c>
      <c r="Q1145" s="29">
        <v>70.0</v>
      </c>
      <c r="R1145" s="29">
        <v>100.0</v>
      </c>
      <c r="S1145" s="46">
        <v>0.07</v>
      </c>
      <c r="T1145" s="36">
        <v>0.04</v>
      </c>
      <c r="U1145" s="36">
        <v>0.25099800796022265</v>
      </c>
      <c r="V1145" s="36">
        <v>0.2</v>
      </c>
      <c r="W1145" s="37" t="s">
        <v>780</v>
      </c>
      <c r="X1145" s="31" t="e">
        <v>#REF!</v>
      </c>
      <c r="Y1145" s="36">
        <v>0.5603595588882675</v>
      </c>
      <c r="Z1145" s="36">
        <v>0.4336734693877551</v>
      </c>
      <c r="AA1145" s="29" t="s">
        <v>820</v>
      </c>
      <c r="AB1145" s="31">
        <v>0.87</v>
      </c>
      <c r="AC1145" s="38">
        <v>754.4285714285714</v>
      </c>
    </row>
    <row r="1146" ht="14.25" customHeight="1">
      <c r="A1146" s="29" t="s">
        <v>307</v>
      </c>
      <c r="B1146" s="29">
        <v>132.0</v>
      </c>
      <c r="C1146" s="29" t="s">
        <v>593</v>
      </c>
      <c r="D1146" s="43" t="s">
        <v>1221</v>
      </c>
      <c r="E1146" s="29">
        <v>297.0</v>
      </c>
      <c r="F1146" s="45" t="s">
        <v>1222</v>
      </c>
      <c r="G1146" s="35" t="s">
        <v>1216</v>
      </c>
      <c r="H1146" s="31">
        <v>0.24372</v>
      </c>
      <c r="I1146" s="29" t="s">
        <v>597</v>
      </c>
      <c r="J1146" s="32" t="s">
        <v>598</v>
      </c>
      <c r="K1146" s="29" t="s">
        <v>698</v>
      </c>
      <c r="L1146" s="29" t="s">
        <v>823</v>
      </c>
      <c r="M1146" s="36">
        <v>12.74</v>
      </c>
      <c r="N1146" s="36">
        <v>0.718</v>
      </c>
      <c r="O1146" s="34" t="s">
        <v>641</v>
      </c>
      <c r="P1146" s="32" t="s">
        <v>602</v>
      </c>
      <c r="Q1146" s="29">
        <v>70.0</v>
      </c>
      <c r="R1146" s="29">
        <v>100.0</v>
      </c>
      <c r="S1146" s="46">
        <v>0.1</v>
      </c>
      <c r="T1146" s="36">
        <v>0.04</v>
      </c>
      <c r="U1146" s="36">
        <v>0.3346640106136302</v>
      </c>
      <c r="V1146" s="36">
        <v>0.2</v>
      </c>
      <c r="W1146" s="37" t="s">
        <v>780</v>
      </c>
      <c r="X1146" s="31" t="e">
        <v>#REF!</v>
      </c>
      <c r="Y1146" s="36">
        <v>0.9168114296208846</v>
      </c>
      <c r="Z1146" s="36">
        <v>0.41000000000000003</v>
      </c>
      <c r="AA1146" s="29" t="s">
        <v>820</v>
      </c>
      <c r="AB1146" s="31">
        <v>0.87</v>
      </c>
      <c r="AC1146" s="38">
        <v>934.5714285714286</v>
      </c>
    </row>
    <row r="1147" ht="14.25" customHeight="1">
      <c r="A1147" s="29" t="s">
        <v>307</v>
      </c>
      <c r="B1147" s="29">
        <v>132.0</v>
      </c>
      <c r="C1147" s="29" t="s">
        <v>593</v>
      </c>
      <c r="D1147" s="43" t="s">
        <v>1223</v>
      </c>
      <c r="E1147" s="29">
        <v>298.0</v>
      </c>
      <c r="F1147" s="45" t="s">
        <v>1224</v>
      </c>
      <c r="G1147" s="35" t="s">
        <v>1216</v>
      </c>
      <c r="H1147" s="31">
        <v>0.306</v>
      </c>
      <c r="I1147" s="29" t="s">
        <v>597</v>
      </c>
      <c r="J1147" s="32" t="s">
        <v>598</v>
      </c>
      <c r="K1147" s="29" t="s">
        <v>698</v>
      </c>
      <c r="L1147" s="29" t="s">
        <v>823</v>
      </c>
      <c r="M1147" s="36">
        <v>12.887</v>
      </c>
      <c r="N1147" s="36">
        <v>0.633</v>
      </c>
      <c r="O1147" s="34" t="s">
        <v>641</v>
      </c>
      <c r="P1147" s="32" t="s">
        <v>602</v>
      </c>
      <c r="Q1147" s="29">
        <v>70.0</v>
      </c>
      <c r="R1147" s="29">
        <v>100.0</v>
      </c>
      <c r="S1147" s="47">
        <v>0.31</v>
      </c>
      <c r="T1147" s="36">
        <v>0.08</v>
      </c>
      <c r="U1147" s="36">
        <v>0.5019960159204453</v>
      </c>
      <c r="V1147" s="36">
        <v>0.2</v>
      </c>
      <c r="W1147" s="37" t="s">
        <v>780</v>
      </c>
      <c r="X1147" s="31" t="e">
        <v>#REF!</v>
      </c>
      <c r="Y1147" s="36">
        <v>1.3548816278681042</v>
      </c>
      <c r="Z1147" s="36">
        <v>0.09996097814776275</v>
      </c>
      <c r="AA1147" s="29" t="s">
        <v>820</v>
      </c>
      <c r="AB1147" s="31">
        <v>0.87</v>
      </c>
      <c r="AC1147" s="38">
        <v>754.4285714285714</v>
      </c>
    </row>
    <row r="1148" ht="14.25" customHeight="1">
      <c r="A1148" s="29" t="s">
        <v>307</v>
      </c>
      <c r="B1148" s="29">
        <v>132.0</v>
      </c>
      <c r="C1148" s="29" t="s">
        <v>593</v>
      </c>
      <c r="D1148" s="43" t="s">
        <v>1223</v>
      </c>
      <c r="E1148" s="29">
        <v>298.0</v>
      </c>
      <c r="F1148" s="45" t="s">
        <v>1224</v>
      </c>
      <c r="G1148" s="35" t="s">
        <v>1216</v>
      </c>
      <c r="H1148" s="31">
        <v>0.306</v>
      </c>
      <c r="I1148" s="29" t="s">
        <v>597</v>
      </c>
      <c r="J1148" s="32" t="s">
        <v>598</v>
      </c>
      <c r="K1148" s="29" t="s">
        <v>698</v>
      </c>
      <c r="L1148" s="29" t="s">
        <v>823</v>
      </c>
      <c r="M1148" s="36">
        <v>12.74</v>
      </c>
      <c r="N1148" s="36">
        <v>0.718</v>
      </c>
      <c r="O1148" s="34" t="s">
        <v>641</v>
      </c>
      <c r="P1148" s="32" t="s">
        <v>602</v>
      </c>
      <c r="Q1148" s="29">
        <v>70.0</v>
      </c>
      <c r="R1148" s="29">
        <v>100.0</v>
      </c>
      <c r="S1148" s="47">
        <v>0.24</v>
      </c>
      <c r="T1148" s="36">
        <v>0.08</v>
      </c>
      <c r="U1148" s="36">
        <v>0.6693280212272604</v>
      </c>
      <c r="V1148" s="36">
        <v>0.2</v>
      </c>
      <c r="W1148" s="37" t="s">
        <v>780</v>
      </c>
      <c r="X1148" s="31" t="e">
        <v>#REF!</v>
      </c>
      <c r="Y1148" s="36">
        <v>1.0990462222830768</v>
      </c>
      <c r="Z1148" s="36">
        <v>0.17361111111111113</v>
      </c>
      <c r="AA1148" s="29" t="s">
        <v>820</v>
      </c>
      <c r="AB1148" s="31">
        <v>0.87</v>
      </c>
      <c r="AC1148" s="38">
        <v>934.5714285714286</v>
      </c>
    </row>
    <row r="1149" ht="14.25" customHeight="1">
      <c r="A1149" s="29" t="s">
        <v>307</v>
      </c>
      <c r="B1149" s="29">
        <v>132.0</v>
      </c>
      <c r="C1149" s="29" t="s">
        <v>593</v>
      </c>
      <c r="D1149" s="43" t="s">
        <v>1225</v>
      </c>
      <c r="E1149" s="29">
        <v>271.0</v>
      </c>
      <c r="F1149" s="30" t="s">
        <v>1226</v>
      </c>
      <c r="G1149" s="29" t="s">
        <v>1000</v>
      </c>
      <c r="H1149" s="31">
        <v>0.10376</v>
      </c>
      <c r="I1149" s="29" t="s">
        <v>620</v>
      </c>
      <c r="J1149" s="32" t="s">
        <v>598</v>
      </c>
      <c r="K1149" s="29" t="s">
        <v>698</v>
      </c>
      <c r="L1149" s="29" t="s">
        <v>823</v>
      </c>
      <c r="M1149" s="36">
        <v>12.887</v>
      </c>
      <c r="N1149" s="36">
        <v>0.633</v>
      </c>
      <c r="O1149" s="34" t="s">
        <v>641</v>
      </c>
      <c r="P1149" s="32" t="s">
        <v>602</v>
      </c>
      <c r="Q1149" s="29">
        <v>70.0</v>
      </c>
      <c r="R1149" s="29">
        <v>100.0</v>
      </c>
      <c r="S1149" s="47">
        <v>0.22</v>
      </c>
      <c r="T1149" s="36">
        <v>0.6</v>
      </c>
      <c r="U1149" s="36">
        <v>0.3346640106136302</v>
      </c>
      <c r="V1149" s="36">
        <v>1.1</v>
      </c>
      <c r="W1149" s="37" t="s">
        <v>780</v>
      </c>
      <c r="X1149" s="31" t="e">
        <v>#REF!</v>
      </c>
      <c r="Y1149" s="36">
        <v>-0.9997572628972451</v>
      </c>
      <c r="Z1149" s="36">
        <v>0.06666896235078054</v>
      </c>
      <c r="AA1149" s="29" t="s">
        <v>820</v>
      </c>
      <c r="AB1149" s="31">
        <v>0.87</v>
      </c>
      <c r="AC1149" s="38">
        <v>754.4285714285714</v>
      </c>
    </row>
    <row r="1150" ht="14.25" customHeight="1">
      <c r="A1150" s="29" t="s">
        <v>307</v>
      </c>
      <c r="B1150" s="29">
        <v>132.0</v>
      </c>
      <c r="C1150" s="29" t="s">
        <v>593</v>
      </c>
      <c r="D1150" s="43" t="s">
        <v>1225</v>
      </c>
      <c r="E1150" s="29">
        <v>271.0</v>
      </c>
      <c r="F1150" s="30" t="s">
        <v>1226</v>
      </c>
      <c r="G1150" s="29" t="s">
        <v>1000</v>
      </c>
      <c r="H1150" s="31">
        <v>0.10376</v>
      </c>
      <c r="I1150" s="29" t="s">
        <v>620</v>
      </c>
      <c r="J1150" s="32" t="s">
        <v>598</v>
      </c>
      <c r="K1150" s="29" t="s">
        <v>698</v>
      </c>
      <c r="L1150" s="29" t="s">
        <v>823</v>
      </c>
      <c r="M1150" s="36">
        <v>12.74</v>
      </c>
      <c r="N1150" s="36">
        <v>0.718</v>
      </c>
      <c r="O1150" s="34" t="s">
        <v>641</v>
      </c>
      <c r="P1150" s="32" t="s">
        <v>602</v>
      </c>
      <c r="Q1150" s="29">
        <v>70.0</v>
      </c>
      <c r="R1150" s="29">
        <v>100.0</v>
      </c>
      <c r="S1150" s="47">
        <v>0.34</v>
      </c>
      <c r="T1150" s="36">
        <v>0.6</v>
      </c>
      <c r="U1150" s="36">
        <v>1.0039920318408906</v>
      </c>
      <c r="V1150" s="36">
        <v>1.1</v>
      </c>
      <c r="W1150" s="37" t="s">
        <v>780</v>
      </c>
      <c r="X1150" s="31" t="e">
        <v>#REF!</v>
      </c>
      <c r="Y1150" s="36">
        <v>-0.5656888793801435</v>
      </c>
      <c r="Z1150" s="36">
        <v>0.15817858515955396</v>
      </c>
      <c r="AA1150" s="29" t="s">
        <v>820</v>
      </c>
      <c r="AB1150" s="31">
        <v>0.87</v>
      </c>
      <c r="AC1150" s="38">
        <v>934.5714285714286</v>
      </c>
    </row>
    <row r="1151" ht="14.25" customHeight="1">
      <c r="A1151" s="29" t="s">
        <v>307</v>
      </c>
      <c r="B1151" s="29">
        <v>132.0</v>
      </c>
      <c r="C1151" s="29" t="s">
        <v>593</v>
      </c>
      <c r="D1151" s="43" t="s">
        <v>1227</v>
      </c>
      <c r="E1151" s="29">
        <v>272.0</v>
      </c>
      <c r="F1151" s="45" t="s">
        <v>1228</v>
      </c>
      <c r="G1151" s="29" t="s">
        <v>1000</v>
      </c>
      <c r="H1151" s="31">
        <v>0.25883</v>
      </c>
      <c r="I1151" s="29" t="s">
        <v>616</v>
      </c>
      <c r="J1151" s="32" t="s">
        <v>598</v>
      </c>
      <c r="K1151" s="29" t="s">
        <v>698</v>
      </c>
      <c r="L1151" s="29" t="s">
        <v>823</v>
      </c>
      <c r="M1151" s="36">
        <v>12.887</v>
      </c>
      <c r="N1151" s="36">
        <v>0.633</v>
      </c>
      <c r="O1151" s="34" t="s">
        <v>641</v>
      </c>
      <c r="P1151" s="32" t="s">
        <v>602</v>
      </c>
      <c r="Q1151" s="29">
        <v>70.0</v>
      </c>
      <c r="R1151" s="29">
        <v>100.0</v>
      </c>
      <c r="S1151" s="46">
        <v>0.29</v>
      </c>
      <c r="T1151" s="36">
        <v>0.18</v>
      </c>
      <c r="U1151" s="36">
        <v>0.5019960159204453</v>
      </c>
      <c r="V1151" s="36">
        <v>0.4</v>
      </c>
      <c r="W1151" s="37" t="s">
        <v>780</v>
      </c>
      <c r="X1151" s="31" t="e">
        <v>#REF!</v>
      </c>
      <c r="Y1151" s="36">
        <v>0.47773193533607783</v>
      </c>
      <c r="Z1151" s="36">
        <v>0.0921888991647216</v>
      </c>
      <c r="AA1151" s="29" t="s">
        <v>820</v>
      </c>
      <c r="AB1151" s="31">
        <v>0.87</v>
      </c>
      <c r="AC1151" s="38">
        <v>754.4285714285714</v>
      </c>
    </row>
    <row r="1152" ht="14.25" customHeight="1">
      <c r="A1152" s="29" t="s">
        <v>307</v>
      </c>
      <c r="B1152" s="29">
        <v>132.0</v>
      </c>
      <c r="C1152" s="29" t="s">
        <v>593</v>
      </c>
      <c r="D1152" s="43" t="s">
        <v>1227</v>
      </c>
      <c r="E1152" s="29">
        <v>272.0</v>
      </c>
      <c r="F1152" s="45" t="s">
        <v>1228</v>
      </c>
      <c r="G1152" s="29" t="s">
        <v>1000</v>
      </c>
      <c r="H1152" s="31">
        <v>0.25883</v>
      </c>
      <c r="I1152" s="29" t="s">
        <v>616</v>
      </c>
      <c r="J1152" s="32" t="s">
        <v>598</v>
      </c>
      <c r="K1152" s="29" t="s">
        <v>698</v>
      </c>
      <c r="L1152" s="29" t="s">
        <v>823</v>
      </c>
      <c r="M1152" s="36">
        <v>12.74</v>
      </c>
      <c r="N1152" s="36">
        <v>0.718</v>
      </c>
      <c r="O1152" s="34" t="s">
        <v>641</v>
      </c>
      <c r="P1152" s="32" t="s">
        <v>602</v>
      </c>
      <c r="Q1152" s="29">
        <v>70.0</v>
      </c>
      <c r="R1152" s="29">
        <v>100.0</v>
      </c>
      <c r="S1152" s="46">
        <v>0.29</v>
      </c>
      <c r="T1152" s="36">
        <v>0.18</v>
      </c>
      <c r="U1152" s="36">
        <v>0.4183300132670378</v>
      </c>
      <c r="V1152" s="36">
        <v>0.4</v>
      </c>
      <c r="W1152" s="37" t="s">
        <v>780</v>
      </c>
      <c r="X1152" s="31" t="e">
        <v>#REF!</v>
      </c>
      <c r="Y1152" s="36">
        <v>0.47773193533607783</v>
      </c>
      <c r="Z1152" s="36">
        <v>0.0791092321017014</v>
      </c>
      <c r="AA1152" s="29" t="s">
        <v>820</v>
      </c>
      <c r="AB1152" s="31">
        <v>0.87</v>
      </c>
      <c r="AC1152" s="38">
        <v>934.5714285714286</v>
      </c>
    </row>
    <row r="1153" ht="14.25" customHeight="1">
      <c r="A1153" s="29" t="s">
        <v>307</v>
      </c>
      <c r="B1153" s="29">
        <v>132.0</v>
      </c>
      <c r="C1153" s="29" t="s">
        <v>593</v>
      </c>
      <c r="D1153" s="43" t="s">
        <v>1229</v>
      </c>
      <c r="E1153" s="29">
        <v>270.0</v>
      </c>
      <c r="F1153" s="45" t="s">
        <v>1230</v>
      </c>
      <c r="G1153" s="29" t="s">
        <v>1000</v>
      </c>
      <c r="H1153" s="31">
        <v>0.289</v>
      </c>
      <c r="I1153" s="29" t="s">
        <v>616</v>
      </c>
      <c r="J1153" s="32" t="s">
        <v>598</v>
      </c>
      <c r="K1153" s="29" t="s">
        <v>698</v>
      </c>
      <c r="L1153" s="29" t="s">
        <v>823</v>
      </c>
      <c r="M1153" s="36">
        <v>12.887</v>
      </c>
      <c r="N1153" s="36">
        <v>0.633</v>
      </c>
      <c r="O1153" s="34" t="s">
        <v>641</v>
      </c>
      <c r="P1153" s="32" t="s">
        <v>602</v>
      </c>
      <c r="Q1153" s="29">
        <v>70.0</v>
      </c>
      <c r="R1153" s="29">
        <v>100.0</v>
      </c>
      <c r="S1153" s="46">
        <v>0.06</v>
      </c>
      <c r="T1153" s="36">
        <v>0.14</v>
      </c>
      <c r="U1153" s="36">
        <v>0.1673320053068151</v>
      </c>
      <c r="V1153" s="36">
        <v>0.3</v>
      </c>
      <c r="W1153" s="37" t="s">
        <v>780</v>
      </c>
      <c r="X1153" s="31" t="e">
        <v>#REF!</v>
      </c>
      <c r="Y1153" s="36">
        <v>-0.8442642719286049</v>
      </c>
      <c r="Z1153" s="36">
        <v>0.15702947845804988</v>
      </c>
      <c r="AA1153" s="29" t="s">
        <v>820</v>
      </c>
      <c r="AB1153" s="31">
        <v>0.87</v>
      </c>
      <c r="AC1153" s="38">
        <v>754.4285714285714</v>
      </c>
    </row>
    <row r="1154" ht="14.25" customHeight="1">
      <c r="A1154" s="29" t="s">
        <v>307</v>
      </c>
      <c r="B1154" s="29">
        <v>132.0</v>
      </c>
      <c r="C1154" s="29" t="s">
        <v>593</v>
      </c>
      <c r="D1154" s="43" t="s">
        <v>1229</v>
      </c>
      <c r="E1154" s="29">
        <v>270.0</v>
      </c>
      <c r="F1154" s="45" t="s">
        <v>1230</v>
      </c>
      <c r="G1154" s="29" t="s">
        <v>1000</v>
      </c>
      <c r="H1154" s="31">
        <v>0.289</v>
      </c>
      <c r="I1154" s="29" t="s">
        <v>616</v>
      </c>
      <c r="J1154" s="32" t="s">
        <v>598</v>
      </c>
      <c r="K1154" s="29" t="s">
        <v>698</v>
      </c>
      <c r="L1154" s="29" t="s">
        <v>823</v>
      </c>
      <c r="M1154" s="36">
        <v>12.74</v>
      </c>
      <c r="N1154" s="36">
        <v>0.718</v>
      </c>
      <c r="O1154" s="34" t="s">
        <v>641</v>
      </c>
      <c r="P1154" s="32" t="s">
        <v>602</v>
      </c>
      <c r="Q1154" s="29">
        <v>70.0</v>
      </c>
      <c r="R1154" s="29">
        <v>100.0</v>
      </c>
      <c r="S1154" s="46">
        <v>0.11</v>
      </c>
      <c r="T1154" s="36">
        <v>0.14</v>
      </c>
      <c r="U1154" s="36">
        <v>0.25099800796022265</v>
      </c>
      <c r="V1154" s="36">
        <v>0.3</v>
      </c>
      <c r="W1154" s="37" t="s">
        <v>780</v>
      </c>
      <c r="X1154" s="31" t="e">
        <v>#REF!</v>
      </c>
      <c r="Y1154" s="36">
        <v>-0.23950623148291797</v>
      </c>
      <c r="Z1154" s="36">
        <v>0.12029853263619496</v>
      </c>
      <c r="AA1154" s="29" t="s">
        <v>820</v>
      </c>
      <c r="AB1154" s="31">
        <v>0.87</v>
      </c>
      <c r="AC1154" s="38">
        <v>934.5714285714286</v>
      </c>
    </row>
    <row r="1155" ht="14.25" customHeight="1">
      <c r="A1155" s="29" t="s">
        <v>307</v>
      </c>
      <c r="B1155" s="29">
        <v>132.0</v>
      </c>
      <c r="C1155" s="29" t="s">
        <v>608</v>
      </c>
      <c r="D1155" s="43" t="s">
        <v>1231</v>
      </c>
      <c r="E1155" s="29">
        <v>292.0</v>
      </c>
      <c r="F1155" s="30" t="s">
        <v>1232</v>
      </c>
      <c r="G1155" s="29" t="s">
        <v>626</v>
      </c>
      <c r="H1155" s="31">
        <v>16.9832</v>
      </c>
      <c r="I1155" s="29" t="s">
        <v>612</v>
      </c>
      <c r="J1155" s="32" t="s">
        <v>598</v>
      </c>
      <c r="K1155" s="29" t="s">
        <v>698</v>
      </c>
      <c r="L1155" s="29" t="s">
        <v>823</v>
      </c>
      <c r="M1155" s="36">
        <v>12.887</v>
      </c>
      <c r="N1155" s="36">
        <v>0.633</v>
      </c>
      <c r="O1155" s="34" t="s">
        <v>641</v>
      </c>
      <c r="P1155" s="32" t="s">
        <v>602</v>
      </c>
      <c r="Q1155" s="29">
        <v>70.0</v>
      </c>
      <c r="R1155" s="29">
        <v>100.0</v>
      </c>
      <c r="S1155" s="36">
        <v>1.2</v>
      </c>
      <c r="T1155" s="36">
        <v>3.3466401061363023</v>
      </c>
      <c r="U1155" s="36">
        <v>7.33</v>
      </c>
      <c r="V1155" s="36">
        <v>16.9</v>
      </c>
      <c r="W1155" s="37" t="s">
        <v>623</v>
      </c>
      <c r="X1155" s="31" t="e">
        <v>#REF!</v>
      </c>
      <c r="Y1155" s="36">
        <v>-1.0249160692216825</v>
      </c>
      <c r="Z1155" s="36">
        <v>0.7880337301587301</v>
      </c>
      <c r="AA1155" s="29" t="s">
        <v>820</v>
      </c>
      <c r="AB1155" s="31">
        <v>0.87</v>
      </c>
      <c r="AC1155" s="38">
        <v>754.4285714285714</v>
      </c>
    </row>
    <row r="1156" ht="14.25" customHeight="1">
      <c r="A1156" s="29" t="s">
        <v>307</v>
      </c>
      <c r="B1156" s="29">
        <v>132.0</v>
      </c>
      <c r="C1156" s="29" t="s">
        <v>608</v>
      </c>
      <c r="D1156" s="43" t="s">
        <v>1231</v>
      </c>
      <c r="E1156" s="29">
        <v>292.0</v>
      </c>
      <c r="F1156" s="30" t="s">
        <v>1232</v>
      </c>
      <c r="G1156" s="29" t="s">
        <v>626</v>
      </c>
      <c r="H1156" s="31">
        <v>16.9832</v>
      </c>
      <c r="I1156" s="29" t="s">
        <v>612</v>
      </c>
      <c r="J1156" s="32" t="s">
        <v>598</v>
      </c>
      <c r="K1156" s="29" t="s">
        <v>698</v>
      </c>
      <c r="L1156" s="29" t="s">
        <v>823</v>
      </c>
      <c r="M1156" s="36">
        <v>12.74</v>
      </c>
      <c r="N1156" s="36">
        <v>0.718</v>
      </c>
      <c r="O1156" s="34" t="s">
        <v>641</v>
      </c>
      <c r="P1156" s="32" t="s">
        <v>602</v>
      </c>
      <c r="Q1156" s="29">
        <v>70.0</v>
      </c>
      <c r="R1156" s="29">
        <v>100.0</v>
      </c>
      <c r="S1156" s="36">
        <v>2.67</v>
      </c>
      <c r="T1156" s="36">
        <v>3.3466401061363023</v>
      </c>
      <c r="U1156" s="36">
        <v>9.621590305141869</v>
      </c>
      <c r="V1156" s="36">
        <v>16.9</v>
      </c>
      <c r="W1156" s="37" t="s">
        <v>623</v>
      </c>
      <c r="X1156" s="31" t="e">
        <v>#REF!</v>
      </c>
      <c r="Y1156" s="36">
        <v>-0.22555508840038527</v>
      </c>
      <c r="Z1156" s="36">
        <v>0.44052141997964017</v>
      </c>
      <c r="AA1156" s="29" t="s">
        <v>820</v>
      </c>
      <c r="AB1156" s="31">
        <v>0.87</v>
      </c>
      <c r="AC1156" s="38">
        <v>934.5714285714286</v>
      </c>
    </row>
    <row r="1157" ht="14.25" customHeight="1">
      <c r="A1157" s="29" t="s">
        <v>307</v>
      </c>
      <c r="B1157" s="29">
        <v>132.0</v>
      </c>
      <c r="C1157" s="29" t="s">
        <v>608</v>
      </c>
      <c r="D1157" s="43" t="s">
        <v>1051</v>
      </c>
      <c r="E1157" s="29">
        <v>40.0</v>
      </c>
      <c r="F1157" s="30" t="s">
        <v>1052</v>
      </c>
      <c r="G1157" s="29" t="s">
        <v>626</v>
      </c>
      <c r="H1157" s="31">
        <f t="shared" ref="H1157:H1158" si="275">13.899</f>
        <v>13.899</v>
      </c>
      <c r="I1157" s="29" t="s">
        <v>612</v>
      </c>
      <c r="J1157" s="32" t="s">
        <v>598</v>
      </c>
      <c r="K1157" s="29" t="s">
        <v>698</v>
      </c>
      <c r="L1157" s="29" t="s">
        <v>823</v>
      </c>
      <c r="M1157" s="36">
        <v>12.887</v>
      </c>
      <c r="N1157" s="36">
        <v>0.633</v>
      </c>
      <c r="O1157" s="34" t="s">
        <v>641</v>
      </c>
      <c r="P1157" s="32" t="s">
        <v>602</v>
      </c>
      <c r="Q1157" s="29">
        <v>70.0</v>
      </c>
      <c r="R1157" s="29">
        <v>100.0</v>
      </c>
      <c r="S1157" s="36">
        <v>0.01</v>
      </c>
      <c r="T1157" s="36">
        <v>0.02</v>
      </c>
      <c r="U1157" s="36">
        <v>0.08366600265340755</v>
      </c>
      <c r="V1157" s="36">
        <v>0.1</v>
      </c>
      <c r="W1157" s="37" t="s">
        <v>780</v>
      </c>
      <c r="X1157" s="31" t="e">
        <v>#REF!</v>
      </c>
      <c r="Y1157" s="36">
        <v>-0.692631317768005</v>
      </c>
      <c r="Z1157" s="36">
        <v>1.25</v>
      </c>
      <c r="AA1157" s="29" t="s">
        <v>820</v>
      </c>
      <c r="AB1157" s="31">
        <v>0.87</v>
      </c>
      <c r="AC1157" s="38">
        <v>754.4285714285714</v>
      </c>
    </row>
    <row r="1158" ht="14.25" customHeight="1">
      <c r="A1158" s="29" t="s">
        <v>307</v>
      </c>
      <c r="B1158" s="29">
        <v>132.0</v>
      </c>
      <c r="C1158" s="29" t="s">
        <v>608</v>
      </c>
      <c r="D1158" s="43" t="s">
        <v>1051</v>
      </c>
      <c r="E1158" s="29">
        <v>40.0</v>
      </c>
      <c r="F1158" s="30" t="s">
        <v>1052</v>
      </c>
      <c r="G1158" s="29" t="s">
        <v>626</v>
      </c>
      <c r="H1158" s="31">
        <f t="shared" si="275"/>
        <v>13.899</v>
      </c>
      <c r="I1158" s="29" t="s">
        <v>612</v>
      </c>
      <c r="J1158" s="32" t="s">
        <v>598</v>
      </c>
      <c r="K1158" s="29" t="s">
        <v>698</v>
      </c>
      <c r="L1158" s="29" t="s">
        <v>823</v>
      </c>
      <c r="M1158" s="36">
        <v>12.74</v>
      </c>
      <c r="N1158" s="36">
        <v>0.718</v>
      </c>
      <c r="O1158" s="34" t="s">
        <v>641</v>
      </c>
      <c r="P1158" s="32" t="s">
        <v>602</v>
      </c>
      <c r="Q1158" s="29">
        <v>70.0</v>
      </c>
      <c r="R1158" s="29">
        <v>100.0</v>
      </c>
      <c r="S1158" s="36">
        <v>0.0</v>
      </c>
      <c r="T1158" s="36">
        <v>0.02</v>
      </c>
      <c r="U1158" s="36">
        <v>0.0</v>
      </c>
      <c r="V1158" s="36">
        <v>0.1</v>
      </c>
      <c r="W1158" s="37" t="s">
        <v>780</v>
      </c>
      <c r="X1158" s="31" t="e">
        <v>#REF!</v>
      </c>
      <c r="Y1158" s="36">
        <v>-8.262558973010657</v>
      </c>
      <c r="Z1158" s="36">
        <v>0.027599323753169903</v>
      </c>
      <c r="AA1158" s="29" t="s">
        <v>820</v>
      </c>
      <c r="AB1158" s="31">
        <v>0.87</v>
      </c>
      <c r="AC1158" s="38">
        <v>934.5714285714286</v>
      </c>
    </row>
    <row r="1159" ht="14.25" customHeight="1">
      <c r="A1159" s="29" t="s">
        <v>307</v>
      </c>
      <c r="B1159" s="29">
        <v>132.0</v>
      </c>
      <c r="C1159" s="29" t="s">
        <v>608</v>
      </c>
      <c r="D1159" s="43" t="s">
        <v>1233</v>
      </c>
      <c r="E1159" s="29">
        <v>41.0</v>
      </c>
      <c r="F1159" s="30" t="s">
        <v>1054</v>
      </c>
      <c r="G1159" s="29" t="s">
        <v>626</v>
      </c>
      <c r="H1159" s="31">
        <v>72.5</v>
      </c>
      <c r="I1159" s="29" t="s">
        <v>612</v>
      </c>
      <c r="J1159" s="32" t="s">
        <v>598</v>
      </c>
      <c r="K1159" s="29" t="s">
        <v>698</v>
      </c>
      <c r="L1159" s="29" t="s">
        <v>823</v>
      </c>
      <c r="M1159" s="36">
        <v>12.887</v>
      </c>
      <c r="N1159" s="36">
        <v>0.633</v>
      </c>
      <c r="O1159" s="34" t="s">
        <v>641</v>
      </c>
      <c r="P1159" s="32" t="s">
        <v>602</v>
      </c>
      <c r="Q1159" s="29">
        <v>70.0</v>
      </c>
      <c r="R1159" s="29">
        <v>100.0</v>
      </c>
      <c r="S1159" s="36">
        <v>0.0</v>
      </c>
      <c r="T1159" s="36">
        <v>0.03</v>
      </c>
      <c r="U1159" s="36">
        <v>0.0</v>
      </c>
      <c r="V1159" s="36">
        <v>0.1</v>
      </c>
      <c r="W1159" s="37" t="s">
        <v>780</v>
      </c>
      <c r="X1159" s="31" t="e">
        <v>#REF!</v>
      </c>
      <c r="Y1159" s="36">
        <v>-8.262558973010657</v>
      </c>
      <c r="Z1159" s="36">
        <v>0.02710166302191934</v>
      </c>
      <c r="AA1159" s="29" t="s">
        <v>820</v>
      </c>
      <c r="AB1159" s="31">
        <v>0.87</v>
      </c>
      <c r="AC1159" s="38">
        <v>754.4285714285714</v>
      </c>
    </row>
    <row r="1160" ht="14.25" customHeight="1">
      <c r="A1160" s="29" t="s">
        <v>307</v>
      </c>
      <c r="B1160" s="29">
        <v>132.0</v>
      </c>
      <c r="C1160" s="29" t="s">
        <v>608</v>
      </c>
      <c r="D1160" s="43" t="s">
        <v>1233</v>
      </c>
      <c r="E1160" s="29">
        <v>41.0</v>
      </c>
      <c r="F1160" s="30" t="s">
        <v>1054</v>
      </c>
      <c r="G1160" s="29" t="s">
        <v>626</v>
      </c>
      <c r="H1160" s="31">
        <v>72.5</v>
      </c>
      <c r="I1160" s="29" t="s">
        <v>612</v>
      </c>
      <c r="J1160" s="32" t="s">
        <v>598</v>
      </c>
      <c r="K1160" s="29" t="s">
        <v>698</v>
      </c>
      <c r="L1160" s="29" t="s">
        <v>823</v>
      </c>
      <c r="M1160" s="36">
        <v>12.74</v>
      </c>
      <c r="N1160" s="36">
        <v>0.718</v>
      </c>
      <c r="O1160" s="34" t="s">
        <v>641</v>
      </c>
      <c r="P1160" s="32" t="s">
        <v>602</v>
      </c>
      <c r="Q1160" s="29">
        <v>70.0</v>
      </c>
      <c r="R1160" s="29">
        <v>100.0</v>
      </c>
      <c r="S1160" s="36">
        <v>0.01</v>
      </c>
      <c r="T1160" s="36">
        <v>0.03</v>
      </c>
      <c r="U1160" s="36">
        <v>0.08366600265340755</v>
      </c>
      <c r="V1160" s="36">
        <v>0.1</v>
      </c>
      <c r="W1160" s="37" t="s">
        <v>780</v>
      </c>
      <c r="X1160" s="31" t="e">
        <v>#REF!</v>
      </c>
      <c r="Y1160" s="36">
        <v>-1.0978385942387991</v>
      </c>
      <c r="Z1160" s="36">
        <v>1.1111111111111112</v>
      </c>
      <c r="AA1160" s="29" t="s">
        <v>820</v>
      </c>
      <c r="AB1160" s="31">
        <v>0.87</v>
      </c>
      <c r="AC1160" s="38">
        <v>934.5714285714286</v>
      </c>
    </row>
    <row r="1161" ht="14.25" customHeight="1">
      <c r="A1161" s="29" t="s">
        <v>307</v>
      </c>
      <c r="B1161" s="29">
        <v>132.0</v>
      </c>
      <c r="C1161" s="29" t="s">
        <v>608</v>
      </c>
      <c r="D1161" s="29" t="s">
        <v>937</v>
      </c>
      <c r="E1161" s="29">
        <v>44.0</v>
      </c>
      <c r="F1161" s="30" t="s">
        <v>938</v>
      </c>
      <c r="G1161" s="29" t="s">
        <v>611</v>
      </c>
      <c r="H1161" s="31">
        <v>8.0</v>
      </c>
      <c r="I1161" s="29" t="s">
        <v>597</v>
      </c>
      <c r="J1161" s="32" t="s">
        <v>598</v>
      </c>
      <c r="K1161" s="29" t="s">
        <v>698</v>
      </c>
      <c r="L1161" s="29" t="s">
        <v>823</v>
      </c>
      <c r="M1161" s="36">
        <v>12.887</v>
      </c>
      <c r="N1161" s="36">
        <v>0.633</v>
      </c>
      <c r="O1161" s="34" t="s">
        <v>641</v>
      </c>
      <c r="P1161" s="32" t="s">
        <v>602</v>
      </c>
      <c r="Q1161" s="29">
        <v>70.0</v>
      </c>
      <c r="R1161" s="29">
        <v>100.0</v>
      </c>
      <c r="S1161" s="36">
        <v>0.0</v>
      </c>
      <c r="T1161" s="36">
        <v>0.03</v>
      </c>
      <c r="U1161" s="36">
        <v>0.0</v>
      </c>
      <c r="V1161" s="36">
        <v>0.3</v>
      </c>
      <c r="W1161" s="37" t="s">
        <v>780</v>
      </c>
      <c r="X1161" s="31" t="e">
        <v>#REF!</v>
      </c>
      <c r="Y1161" s="36">
        <v>-8.262558973010657</v>
      </c>
      <c r="Z1161" s="36">
        <v>0.03706962315007883</v>
      </c>
      <c r="AA1161" s="29" t="s">
        <v>820</v>
      </c>
      <c r="AB1161" s="31">
        <v>0.87</v>
      </c>
      <c r="AC1161" s="38">
        <v>754.4285714285714</v>
      </c>
    </row>
    <row r="1162" ht="14.25" customHeight="1">
      <c r="A1162" s="29" t="s">
        <v>307</v>
      </c>
      <c r="B1162" s="29">
        <v>132.0</v>
      </c>
      <c r="C1162" s="29" t="s">
        <v>608</v>
      </c>
      <c r="D1162" s="29" t="s">
        <v>937</v>
      </c>
      <c r="E1162" s="29">
        <v>44.0</v>
      </c>
      <c r="F1162" s="30" t="s">
        <v>938</v>
      </c>
      <c r="G1162" s="29" t="s">
        <v>611</v>
      </c>
      <c r="H1162" s="31">
        <v>8.0</v>
      </c>
      <c r="I1162" s="29" t="s">
        <v>597</v>
      </c>
      <c r="J1162" s="32" t="s">
        <v>598</v>
      </c>
      <c r="K1162" s="29" t="s">
        <v>698</v>
      </c>
      <c r="L1162" s="29" t="s">
        <v>823</v>
      </c>
      <c r="M1162" s="36">
        <v>12.74</v>
      </c>
      <c r="N1162" s="36">
        <v>0.718</v>
      </c>
      <c r="O1162" s="34" t="s">
        <v>641</v>
      </c>
      <c r="P1162" s="32" t="s">
        <v>602</v>
      </c>
      <c r="Q1162" s="29">
        <v>70.0</v>
      </c>
      <c r="R1162" s="29">
        <v>100.0</v>
      </c>
      <c r="S1162" s="36">
        <v>0.01</v>
      </c>
      <c r="T1162" s="36">
        <v>0.03</v>
      </c>
      <c r="U1162" s="36">
        <v>0.08366600265340755</v>
      </c>
      <c r="V1162" s="36">
        <v>0.3</v>
      </c>
      <c r="W1162" s="37" t="s">
        <v>780</v>
      </c>
      <c r="X1162" s="31" t="e">
        <v>#REF!</v>
      </c>
      <c r="Y1162" s="36">
        <v>-1.0978385942387991</v>
      </c>
      <c r="Z1162" s="36">
        <v>2.0</v>
      </c>
      <c r="AA1162" s="29" t="s">
        <v>820</v>
      </c>
      <c r="AB1162" s="31">
        <v>0.87</v>
      </c>
      <c r="AC1162" s="38">
        <v>934.5714285714286</v>
      </c>
    </row>
    <row r="1163" ht="14.25" customHeight="1">
      <c r="A1163" s="29" t="s">
        <v>307</v>
      </c>
      <c r="B1163" s="29">
        <v>132.0</v>
      </c>
      <c r="C1163" s="29" t="s">
        <v>608</v>
      </c>
      <c r="D1163" s="29" t="s">
        <v>939</v>
      </c>
      <c r="E1163" s="29">
        <v>45.0</v>
      </c>
      <c r="F1163" s="30" t="s">
        <v>940</v>
      </c>
      <c r="G1163" s="29" t="s">
        <v>611</v>
      </c>
      <c r="H1163" s="31">
        <v>3.48</v>
      </c>
      <c r="I1163" s="29" t="s">
        <v>597</v>
      </c>
      <c r="J1163" s="32" t="s">
        <v>598</v>
      </c>
      <c r="K1163" s="29" t="s">
        <v>698</v>
      </c>
      <c r="L1163" s="29" t="s">
        <v>823</v>
      </c>
      <c r="M1163" s="36">
        <v>12.887</v>
      </c>
      <c r="N1163" s="36">
        <v>0.633</v>
      </c>
      <c r="O1163" s="34" t="s">
        <v>641</v>
      </c>
      <c r="P1163" s="32" t="s">
        <v>602</v>
      </c>
      <c r="Q1163" s="29">
        <v>70.0</v>
      </c>
      <c r="R1163" s="29">
        <v>100.0</v>
      </c>
      <c r="S1163" s="36">
        <v>11.08</v>
      </c>
      <c r="T1163" s="36">
        <v>44.00831739569237</v>
      </c>
      <c r="U1163" s="36">
        <v>3.62</v>
      </c>
      <c r="V1163" s="36">
        <v>6.4</v>
      </c>
      <c r="W1163" s="37" t="s">
        <v>623</v>
      </c>
      <c r="X1163" s="31" t="e">
        <v>#REF!</v>
      </c>
      <c r="Y1163" s="36">
        <v>-1.378212756926054</v>
      </c>
      <c r="Z1163" s="36">
        <v>0.0017363840190984373</v>
      </c>
      <c r="AA1163" s="29" t="s">
        <v>820</v>
      </c>
      <c r="AB1163" s="31">
        <v>0.87</v>
      </c>
      <c r="AC1163" s="38">
        <v>754.4285714285714</v>
      </c>
    </row>
    <row r="1164" ht="14.25" customHeight="1">
      <c r="A1164" s="29" t="s">
        <v>307</v>
      </c>
      <c r="B1164" s="29">
        <v>132.0</v>
      </c>
      <c r="C1164" s="29" t="s">
        <v>608</v>
      </c>
      <c r="D1164" s="29" t="s">
        <v>939</v>
      </c>
      <c r="E1164" s="29">
        <v>45.0</v>
      </c>
      <c r="F1164" s="30" t="s">
        <v>940</v>
      </c>
      <c r="G1164" s="29" t="s">
        <v>611</v>
      </c>
      <c r="H1164" s="31">
        <v>3.48</v>
      </c>
      <c r="I1164" s="29" t="s">
        <v>597</v>
      </c>
      <c r="J1164" s="32" t="s">
        <v>598</v>
      </c>
      <c r="K1164" s="29" t="s">
        <v>698</v>
      </c>
      <c r="L1164" s="29" t="s">
        <v>823</v>
      </c>
      <c r="M1164" s="36">
        <v>12.74</v>
      </c>
      <c r="N1164" s="36">
        <v>0.718</v>
      </c>
      <c r="O1164" s="34" t="s">
        <v>641</v>
      </c>
      <c r="P1164" s="32" t="s">
        <v>602</v>
      </c>
      <c r="Q1164" s="29">
        <v>70.0</v>
      </c>
      <c r="R1164" s="29">
        <v>100.0</v>
      </c>
      <c r="S1164" s="36">
        <v>10.37</v>
      </c>
      <c r="T1164" s="36">
        <v>44.00831739569237</v>
      </c>
      <c r="U1164" s="36">
        <v>35.809049135658434</v>
      </c>
      <c r="V1164" s="36">
        <v>6.4</v>
      </c>
      <c r="W1164" s="37" t="s">
        <v>623</v>
      </c>
      <c r="X1164" s="31" t="e">
        <v>#REF!</v>
      </c>
      <c r="Y1164" s="36">
        <v>-1.444367330080281</v>
      </c>
      <c r="Z1164" s="36">
        <v>0.17055673921678935</v>
      </c>
      <c r="AA1164" s="29" t="s">
        <v>820</v>
      </c>
      <c r="AB1164" s="31">
        <v>0.87</v>
      </c>
      <c r="AC1164" s="38">
        <v>934.5714285714286</v>
      </c>
    </row>
    <row r="1165" ht="14.25" customHeight="1">
      <c r="A1165" s="29" t="s">
        <v>307</v>
      </c>
      <c r="B1165" s="29">
        <v>132.0</v>
      </c>
      <c r="C1165" s="29" t="s">
        <v>608</v>
      </c>
      <c r="D1165" s="29" t="s">
        <v>941</v>
      </c>
      <c r="E1165" s="29">
        <v>48.0</v>
      </c>
      <c r="F1165" s="30" t="s">
        <v>942</v>
      </c>
      <c r="G1165" s="29" t="s">
        <v>611</v>
      </c>
      <c r="H1165" s="31">
        <v>5.8</v>
      </c>
      <c r="I1165" s="29" t="s">
        <v>597</v>
      </c>
      <c r="J1165" s="32" t="s">
        <v>598</v>
      </c>
      <c r="K1165" s="29" t="s">
        <v>698</v>
      </c>
      <c r="L1165" s="29" t="s">
        <v>823</v>
      </c>
      <c r="M1165" s="36">
        <v>12.887</v>
      </c>
      <c r="N1165" s="36">
        <v>0.633</v>
      </c>
      <c r="O1165" s="34" t="s">
        <v>641</v>
      </c>
      <c r="P1165" s="32" t="s">
        <v>602</v>
      </c>
      <c r="Q1165" s="29">
        <v>70.0</v>
      </c>
      <c r="R1165" s="29">
        <v>100.0</v>
      </c>
      <c r="S1165" s="36">
        <v>6.01</v>
      </c>
      <c r="T1165" s="36">
        <v>11.96423837943728</v>
      </c>
      <c r="U1165" s="36">
        <v>17.42</v>
      </c>
      <c r="V1165" s="36">
        <v>30.5</v>
      </c>
      <c r="W1165" s="37" t="s">
        <v>623</v>
      </c>
      <c r="X1165" s="31" t="e">
        <v>#REF!</v>
      </c>
      <c r="Y1165" s="36">
        <v>-0.6879838464667118</v>
      </c>
      <c r="Z1165" s="36">
        <v>0.1850062703551017</v>
      </c>
      <c r="AA1165" s="29" t="s">
        <v>820</v>
      </c>
      <c r="AB1165" s="31">
        <v>0.87</v>
      </c>
      <c r="AC1165" s="38">
        <v>754.4285714285714</v>
      </c>
    </row>
    <row r="1166" ht="14.25" customHeight="1">
      <c r="A1166" s="29" t="s">
        <v>307</v>
      </c>
      <c r="B1166" s="29">
        <v>132.0</v>
      </c>
      <c r="C1166" s="29" t="s">
        <v>608</v>
      </c>
      <c r="D1166" s="29" t="s">
        <v>941</v>
      </c>
      <c r="E1166" s="29">
        <v>48.0</v>
      </c>
      <c r="F1166" s="30" t="s">
        <v>942</v>
      </c>
      <c r="G1166" s="29" t="s">
        <v>611</v>
      </c>
      <c r="H1166" s="31">
        <v>5.8</v>
      </c>
      <c r="I1166" s="29" t="s">
        <v>597</v>
      </c>
      <c r="J1166" s="32" t="s">
        <v>598</v>
      </c>
      <c r="K1166" s="29" t="s">
        <v>698</v>
      </c>
      <c r="L1166" s="29" t="s">
        <v>823</v>
      </c>
      <c r="M1166" s="36">
        <v>12.74</v>
      </c>
      <c r="N1166" s="36">
        <v>0.718</v>
      </c>
      <c r="O1166" s="34" t="s">
        <v>641</v>
      </c>
      <c r="P1166" s="32" t="s">
        <v>602</v>
      </c>
      <c r="Q1166" s="29">
        <v>70.0</v>
      </c>
      <c r="R1166" s="29">
        <v>100.0</v>
      </c>
      <c r="S1166" s="36">
        <v>11.19</v>
      </c>
      <c r="T1166" s="36">
        <v>11.96423837943728</v>
      </c>
      <c r="U1166" s="36">
        <v>11.043912350249798</v>
      </c>
      <c r="V1166" s="36">
        <v>30.5</v>
      </c>
      <c r="W1166" s="37" t="s">
        <v>623</v>
      </c>
      <c r="X1166" s="31" t="e">
        <v>#REF!</v>
      </c>
      <c r="Y1166" s="36">
        <v>-0.06662573214620017</v>
      </c>
      <c r="Z1166" s="36">
        <v>0.07890260359227255</v>
      </c>
      <c r="AA1166" s="29" t="s">
        <v>820</v>
      </c>
      <c r="AB1166" s="31">
        <v>0.87</v>
      </c>
      <c r="AC1166" s="38">
        <v>934.5714285714286</v>
      </c>
    </row>
    <row r="1167" ht="14.25" customHeight="1">
      <c r="A1167" s="29" t="s">
        <v>307</v>
      </c>
      <c r="B1167" s="29">
        <v>132.0</v>
      </c>
      <c r="C1167" s="29" t="s">
        <v>608</v>
      </c>
      <c r="D1167" s="29" t="s">
        <v>943</v>
      </c>
      <c r="E1167" s="29">
        <v>49.0</v>
      </c>
      <c r="F1167" s="30" t="s">
        <v>944</v>
      </c>
      <c r="G1167" s="29" t="s">
        <v>611</v>
      </c>
      <c r="H1167" s="31">
        <v>3.76</v>
      </c>
      <c r="I1167" s="29" t="s">
        <v>597</v>
      </c>
      <c r="J1167" s="32" t="s">
        <v>598</v>
      </c>
      <c r="K1167" s="29" t="s">
        <v>698</v>
      </c>
      <c r="L1167" s="29" t="s">
        <v>823</v>
      </c>
      <c r="M1167" s="36">
        <v>12.887</v>
      </c>
      <c r="N1167" s="36">
        <v>0.633</v>
      </c>
      <c r="O1167" s="34" t="s">
        <v>641</v>
      </c>
      <c r="P1167" s="32" t="s">
        <v>602</v>
      </c>
      <c r="Q1167" s="29">
        <v>70.0</v>
      </c>
      <c r="R1167" s="29">
        <v>100.0</v>
      </c>
      <c r="S1167" s="36">
        <v>4.54</v>
      </c>
      <c r="T1167" s="36">
        <v>15.227212482920176</v>
      </c>
      <c r="U1167" s="36">
        <v>13.17</v>
      </c>
      <c r="V1167" s="36">
        <v>34.300000000000004</v>
      </c>
      <c r="W1167" s="37" t="s">
        <v>623</v>
      </c>
      <c r="X1167" s="31" t="e">
        <v>#REF!</v>
      </c>
      <c r="Y1167" s="36">
        <v>-1.2092921561807237</v>
      </c>
      <c r="Z1167" s="36">
        <v>0.17095551509070708</v>
      </c>
      <c r="AA1167" s="29" t="s">
        <v>820</v>
      </c>
      <c r="AB1167" s="31">
        <v>0.87</v>
      </c>
      <c r="AC1167" s="38">
        <v>754.4285714285714</v>
      </c>
    </row>
    <row r="1168" ht="14.25" customHeight="1">
      <c r="A1168" s="29" t="s">
        <v>307</v>
      </c>
      <c r="B1168" s="29">
        <v>132.0</v>
      </c>
      <c r="C1168" s="29" t="s">
        <v>608</v>
      </c>
      <c r="D1168" s="29" t="s">
        <v>943</v>
      </c>
      <c r="E1168" s="29">
        <v>49.0</v>
      </c>
      <c r="F1168" s="30" t="s">
        <v>944</v>
      </c>
      <c r="G1168" s="29" t="s">
        <v>611</v>
      </c>
      <c r="H1168" s="31">
        <v>3.76</v>
      </c>
      <c r="I1168" s="29" t="s">
        <v>597</v>
      </c>
      <c r="J1168" s="32" t="s">
        <v>598</v>
      </c>
      <c r="K1168" s="29" t="s">
        <v>698</v>
      </c>
      <c r="L1168" s="29" t="s">
        <v>823</v>
      </c>
      <c r="M1168" s="36">
        <v>12.74</v>
      </c>
      <c r="N1168" s="36">
        <v>0.718</v>
      </c>
      <c r="O1168" s="34" t="s">
        <v>641</v>
      </c>
      <c r="P1168" s="32" t="s">
        <v>602</v>
      </c>
      <c r="Q1168" s="29">
        <v>70.0</v>
      </c>
      <c r="R1168" s="29">
        <v>100.0</v>
      </c>
      <c r="S1168" s="36">
        <v>8.13</v>
      </c>
      <c r="T1168" s="36">
        <v>15.227212482920176</v>
      </c>
      <c r="U1168" s="36">
        <v>23.844810756221154</v>
      </c>
      <c r="V1168" s="36">
        <v>34.300000000000004</v>
      </c>
      <c r="W1168" s="37" t="s">
        <v>623</v>
      </c>
      <c r="X1168" s="31" t="e">
        <v>#REF!</v>
      </c>
      <c r="Y1168" s="36">
        <v>-0.627040093940078</v>
      </c>
      <c r="Z1168" s="36">
        <v>0.17362740521333025</v>
      </c>
      <c r="AA1168" s="29" t="s">
        <v>820</v>
      </c>
      <c r="AB1168" s="31">
        <v>0.87</v>
      </c>
      <c r="AC1168" s="38">
        <v>934.5714285714286</v>
      </c>
    </row>
    <row r="1169" ht="14.25" customHeight="1">
      <c r="A1169" s="29" t="s">
        <v>307</v>
      </c>
      <c r="B1169" s="29">
        <v>132.0</v>
      </c>
      <c r="C1169" s="29" t="s">
        <v>608</v>
      </c>
      <c r="D1169" s="43" t="s">
        <v>1234</v>
      </c>
      <c r="E1169" s="29">
        <v>57.0</v>
      </c>
      <c r="F1169" s="30" t="s">
        <v>1235</v>
      </c>
      <c r="G1169" s="29" t="s">
        <v>611</v>
      </c>
      <c r="H1169" s="31">
        <v>10.6</v>
      </c>
      <c r="I1169" s="29" t="s">
        <v>612</v>
      </c>
      <c r="J1169" s="32" t="s">
        <v>598</v>
      </c>
      <c r="K1169" s="29" t="s">
        <v>698</v>
      </c>
      <c r="L1169" s="29" t="s">
        <v>823</v>
      </c>
      <c r="M1169" s="36">
        <v>12.887</v>
      </c>
      <c r="N1169" s="36">
        <v>0.633</v>
      </c>
      <c r="O1169" s="34" t="s">
        <v>641</v>
      </c>
      <c r="P1169" s="32" t="s">
        <v>602</v>
      </c>
      <c r="Q1169" s="29">
        <v>70.0</v>
      </c>
      <c r="R1169" s="29">
        <v>100.0</v>
      </c>
      <c r="S1169" s="36">
        <v>0.01</v>
      </c>
      <c r="T1169" s="36">
        <v>0.01</v>
      </c>
      <c r="U1169" s="36">
        <v>0.08366600265340755</v>
      </c>
      <c r="V1169" s="36">
        <v>0.1</v>
      </c>
      <c r="W1169" s="37" t="s">
        <v>780</v>
      </c>
      <c r="X1169" s="31" t="e">
        <v>#REF!</v>
      </c>
      <c r="Y1169" s="36">
        <v>2.5796466027220563E-4</v>
      </c>
      <c r="Z1169" s="36">
        <v>2.0</v>
      </c>
      <c r="AA1169" s="29" t="s">
        <v>820</v>
      </c>
      <c r="AB1169" s="31">
        <v>0.87</v>
      </c>
      <c r="AC1169" s="38">
        <v>754.4285714285714</v>
      </c>
    </row>
    <row r="1170" ht="14.25" customHeight="1">
      <c r="A1170" s="29" t="s">
        <v>307</v>
      </c>
      <c r="B1170" s="29">
        <v>132.0</v>
      </c>
      <c r="C1170" s="29" t="s">
        <v>608</v>
      </c>
      <c r="D1170" s="43" t="s">
        <v>1234</v>
      </c>
      <c r="E1170" s="29">
        <v>57.0</v>
      </c>
      <c r="F1170" s="30" t="s">
        <v>1235</v>
      </c>
      <c r="G1170" s="29" t="s">
        <v>611</v>
      </c>
      <c r="H1170" s="31">
        <v>10.6</v>
      </c>
      <c r="I1170" s="29" t="s">
        <v>612</v>
      </c>
      <c r="J1170" s="32" t="s">
        <v>598</v>
      </c>
      <c r="K1170" s="29" t="s">
        <v>698</v>
      </c>
      <c r="L1170" s="29" t="s">
        <v>823</v>
      </c>
      <c r="M1170" s="36">
        <v>12.74</v>
      </c>
      <c r="N1170" s="36">
        <v>0.718</v>
      </c>
      <c r="O1170" s="34" t="s">
        <v>641</v>
      </c>
      <c r="P1170" s="32" t="s">
        <v>602</v>
      </c>
      <c r="Q1170" s="29">
        <v>70.0</v>
      </c>
      <c r="R1170" s="29">
        <v>100.0</v>
      </c>
      <c r="S1170" s="36">
        <v>0.0</v>
      </c>
      <c r="T1170" s="36">
        <v>0.01</v>
      </c>
      <c r="U1170" s="36">
        <v>0.0</v>
      </c>
      <c r="V1170" s="36">
        <v>0.1</v>
      </c>
      <c r="W1170" s="37" t="s">
        <v>780</v>
      </c>
      <c r="X1170" s="31" t="e">
        <v>#REF!</v>
      </c>
      <c r="Y1170" s="36">
        <v>-8.262558973010657</v>
      </c>
      <c r="Z1170" s="36">
        <v>0.028126544735541277</v>
      </c>
      <c r="AA1170" s="29" t="s">
        <v>820</v>
      </c>
      <c r="AB1170" s="31">
        <v>0.87</v>
      </c>
      <c r="AC1170" s="38">
        <v>934.5714285714286</v>
      </c>
    </row>
    <row r="1171" ht="14.25" customHeight="1">
      <c r="A1171" s="29" t="s">
        <v>307</v>
      </c>
      <c r="B1171" s="29">
        <v>132.0</v>
      </c>
      <c r="C1171" s="29" t="s">
        <v>608</v>
      </c>
      <c r="D1171" s="29" t="s">
        <v>931</v>
      </c>
      <c r="E1171" s="29">
        <v>83.0</v>
      </c>
      <c r="F1171" s="30" t="s">
        <v>932</v>
      </c>
      <c r="G1171" s="29" t="s">
        <v>611</v>
      </c>
      <c r="H1171" s="31">
        <v>131.63</v>
      </c>
      <c r="I1171" s="29" t="s">
        <v>612</v>
      </c>
      <c r="J1171" s="32" t="s">
        <v>598</v>
      </c>
      <c r="K1171" s="29" t="s">
        <v>698</v>
      </c>
      <c r="L1171" s="29" t="s">
        <v>823</v>
      </c>
      <c r="M1171" s="36">
        <v>12.887</v>
      </c>
      <c r="N1171" s="36">
        <v>0.633</v>
      </c>
      <c r="O1171" s="34" t="s">
        <v>641</v>
      </c>
      <c r="P1171" s="32" t="s">
        <v>602</v>
      </c>
      <c r="Q1171" s="29">
        <v>70.0</v>
      </c>
      <c r="R1171" s="29">
        <v>100.0</v>
      </c>
      <c r="S1171" s="36">
        <v>0.0</v>
      </c>
      <c r="T1171" s="36">
        <v>0.08</v>
      </c>
      <c r="U1171" s="36">
        <v>0.0</v>
      </c>
      <c r="V1171" s="36">
        <v>0.4</v>
      </c>
      <c r="W1171" s="37" t="s">
        <v>780</v>
      </c>
      <c r="X1171" s="31" t="e">
        <v>#REF!</v>
      </c>
      <c r="Y1171" s="36">
        <v>-8.262558973010657</v>
      </c>
      <c r="Z1171" s="36">
        <v>0.03836419228809241</v>
      </c>
      <c r="AA1171" s="29" t="s">
        <v>820</v>
      </c>
      <c r="AB1171" s="31">
        <v>0.87</v>
      </c>
      <c r="AC1171" s="38">
        <v>754.4285714285714</v>
      </c>
    </row>
    <row r="1172" ht="14.25" customHeight="1">
      <c r="A1172" s="29" t="s">
        <v>307</v>
      </c>
      <c r="B1172" s="29">
        <v>132.0</v>
      </c>
      <c r="C1172" s="29" t="s">
        <v>608</v>
      </c>
      <c r="D1172" s="29" t="s">
        <v>931</v>
      </c>
      <c r="E1172" s="29">
        <v>83.0</v>
      </c>
      <c r="F1172" s="30" t="s">
        <v>932</v>
      </c>
      <c r="G1172" s="29" t="s">
        <v>611</v>
      </c>
      <c r="H1172" s="31">
        <v>131.63</v>
      </c>
      <c r="I1172" s="29" t="s">
        <v>612</v>
      </c>
      <c r="J1172" s="32" t="s">
        <v>598</v>
      </c>
      <c r="K1172" s="29" t="s">
        <v>698</v>
      </c>
      <c r="L1172" s="29" t="s">
        <v>823</v>
      </c>
      <c r="M1172" s="36">
        <v>12.74</v>
      </c>
      <c r="N1172" s="36">
        <v>0.718</v>
      </c>
      <c r="O1172" s="34" t="s">
        <v>641</v>
      </c>
      <c r="P1172" s="32" t="s">
        <v>602</v>
      </c>
      <c r="Q1172" s="29">
        <v>70.0</v>
      </c>
      <c r="R1172" s="29">
        <v>100.0</v>
      </c>
      <c r="S1172" s="36">
        <v>0.02</v>
      </c>
      <c r="T1172" s="36">
        <v>0.08</v>
      </c>
      <c r="U1172" s="36">
        <v>0.08366600265340755</v>
      </c>
      <c r="V1172" s="36">
        <v>0.4</v>
      </c>
      <c r="W1172" s="37" t="s">
        <v>780</v>
      </c>
      <c r="X1172" s="31" t="e">
        <v>#REF!</v>
      </c>
      <c r="Y1172" s="36">
        <v>-1.3852629015132285</v>
      </c>
      <c r="Z1172" s="36">
        <v>0.5</v>
      </c>
      <c r="AA1172" s="29" t="s">
        <v>820</v>
      </c>
      <c r="AB1172" s="31">
        <v>0.87</v>
      </c>
      <c r="AC1172" s="38">
        <v>934.5714285714286</v>
      </c>
    </row>
    <row r="1173" ht="14.25" customHeight="1">
      <c r="A1173" s="29" t="s">
        <v>307</v>
      </c>
      <c r="B1173" s="29">
        <v>132.0</v>
      </c>
      <c r="C1173" s="29" t="s">
        <v>608</v>
      </c>
      <c r="D1173" s="29" t="s">
        <v>945</v>
      </c>
      <c r="E1173" s="29">
        <v>95.0</v>
      </c>
      <c r="F1173" s="30" t="s">
        <v>946</v>
      </c>
      <c r="G1173" s="29" t="s">
        <v>611</v>
      </c>
      <c r="H1173" s="31">
        <v>7.69</v>
      </c>
      <c r="I1173" s="29" t="s">
        <v>616</v>
      </c>
      <c r="J1173" s="32" t="s">
        <v>598</v>
      </c>
      <c r="K1173" s="29" t="s">
        <v>698</v>
      </c>
      <c r="L1173" s="29" t="s">
        <v>823</v>
      </c>
      <c r="M1173" s="36">
        <v>12.887</v>
      </c>
      <c r="N1173" s="36">
        <v>0.633</v>
      </c>
      <c r="O1173" s="34" t="s">
        <v>641</v>
      </c>
      <c r="P1173" s="32" t="s">
        <v>602</v>
      </c>
      <c r="Q1173" s="29">
        <v>70.0</v>
      </c>
      <c r="R1173" s="29">
        <v>100.0</v>
      </c>
      <c r="S1173" s="36">
        <v>2.14</v>
      </c>
      <c r="T1173" s="36">
        <v>8.53393227064757</v>
      </c>
      <c r="U1173" s="36">
        <v>8.1</v>
      </c>
      <c r="V1173" s="36">
        <v>16.0</v>
      </c>
      <c r="W1173" s="37" t="s">
        <v>623</v>
      </c>
      <c r="X1173" s="31" t="e">
        <v>#REF!</v>
      </c>
      <c r="Y1173" s="36">
        <v>-1.3822160991652466</v>
      </c>
      <c r="Z1173" s="36">
        <v>0.23981672600672282</v>
      </c>
      <c r="AA1173" s="29" t="s">
        <v>820</v>
      </c>
      <c r="AB1173" s="31">
        <v>0.87</v>
      </c>
      <c r="AC1173" s="38">
        <v>754.4285714285714</v>
      </c>
    </row>
    <row r="1174" ht="14.25" customHeight="1">
      <c r="A1174" s="29" t="s">
        <v>307</v>
      </c>
      <c r="B1174" s="29">
        <v>132.0</v>
      </c>
      <c r="C1174" s="29" t="s">
        <v>608</v>
      </c>
      <c r="D1174" s="29" t="s">
        <v>945</v>
      </c>
      <c r="E1174" s="29">
        <v>95.0</v>
      </c>
      <c r="F1174" s="30" t="s">
        <v>946</v>
      </c>
      <c r="G1174" s="29" t="s">
        <v>611</v>
      </c>
      <c r="H1174" s="31">
        <v>7.69</v>
      </c>
      <c r="I1174" s="29" t="s">
        <v>616</v>
      </c>
      <c r="J1174" s="32" t="s">
        <v>598</v>
      </c>
      <c r="K1174" s="29" t="s">
        <v>698</v>
      </c>
      <c r="L1174" s="29" t="s">
        <v>823</v>
      </c>
      <c r="M1174" s="36">
        <v>12.74</v>
      </c>
      <c r="N1174" s="36">
        <v>0.718</v>
      </c>
      <c r="O1174" s="34" t="s">
        <v>641</v>
      </c>
      <c r="P1174" s="32" t="s">
        <v>602</v>
      </c>
      <c r="Q1174" s="29">
        <v>70.0</v>
      </c>
      <c r="R1174" s="29">
        <v>100.0</v>
      </c>
      <c r="S1174" s="36">
        <v>4.34</v>
      </c>
      <c r="T1174" s="36">
        <v>8.53393227064757</v>
      </c>
      <c r="U1174" s="36">
        <v>8.952262283914608</v>
      </c>
      <c r="V1174" s="36">
        <v>16.0</v>
      </c>
      <c r="W1174" s="37" t="s">
        <v>623</v>
      </c>
      <c r="X1174" s="31" t="e">
        <v>#REF!</v>
      </c>
      <c r="Y1174" s="36">
        <v>-0.6756687161955853</v>
      </c>
      <c r="Z1174" s="36">
        <v>0.09593515029402429</v>
      </c>
      <c r="AA1174" s="29" t="s">
        <v>820</v>
      </c>
      <c r="AB1174" s="31">
        <v>0.87</v>
      </c>
      <c r="AC1174" s="38">
        <v>934.5714285714286</v>
      </c>
    </row>
    <row r="1175" ht="14.25" customHeight="1">
      <c r="A1175" s="29" t="s">
        <v>307</v>
      </c>
      <c r="B1175" s="29">
        <v>132.0</v>
      </c>
      <c r="C1175" s="29" t="s">
        <v>608</v>
      </c>
      <c r="D1175" s="29" t="s">
        <v>751</v>
      </c>
      <c r="E1175" s="29">
        <v>97.0</v>
      </c>
      <c r="F1175" s="30" t="s">
        <v>752</v>
      </c>
      <c r="G1175" s="29" t="s">
        <v>753</v>
      </c>
      <c r="H1175" s="31">
        <v>3940.03</v>
      </c>
      <c r="I1175" s="29" t="s">
        <v>612</v>
      </c>
      <c r="J1175" s="32" t="s">
        <v>598</v>
      </c>
      <c r="K1175" s="29" t="s">
        <v>698</v>
      </c>
      <c r="L1175" s="29" t="s">
        <v>823</v>
      </c>
      <c r="M1175" s="36">
        <v>12.887</v>
      </c>
      <c r="N1175" s="36">
        <v>0.633</v>
      </c>
      <c r="O1175" s="34" t="s">
        <v>641</v>
      </c>
      <c r="P1175" s="32" t="s">
        <v>602</v>
      </c>
      <c r="Q1175" s="29">
        <v>70.0</v>
      </c>
      <c r="R1175" s="29">
        <v>100.0</v>
      </c>
      <c r="S1175" s="36">
        <v>0.32</v>
      </c>
      <c r="T1175" s="36">
        <v>1.0039920318408906</v>
      </c>
      <c r="U1175" s="36">
        <v>0.45</v>
      </c>
      <c r="V1175" s="36">
        <v>0.6</v>
      </c>
      <c r="W1175" s="37" t="s">
        <v>623</v>
      </c>
      <c r="X1175" s="31" t="e">
        <v>#REF!</v>
      </c>
      <c r="Y1175" s="36">
        <v>-1.1426092333507367</v>
      </c>
      <c r="Z1175" s="36">
        <v>0.03182198660714286</v>
      </c>
      <c r="AA1175" s="29" t="s">
        <v>820</v>
      </c>
      <c r="AB1175" s="31">
        <v>0.87</v>
      </c>
      <c r="AC1175" s="38">
        <v>754.4285714285714</v>
      </c>
    </row>
    <row r="1176" ht="14.25" customHeight="1">
      <c r="A1176" s="29" t="s">
        <v>307</v>
      </c>
      <c r="B1176" s="29">
        <v>132.0</v>
      </c>
      <c r="C1176" s="29" t="s">
        <v>608</v>
      </c>
      <c r="D1176" s="29" t="s">
        <v>751</v>
      </c>
      <c r="E1176" s="29">
        <v>97.0</v>
      </c>
      <c r="F1176" s="30" t="s">
        <v>752</v>
      </c>
      <c r="G1176" s="29" t="s">
        <v>753</v>
      </c>
      <c r="H1176" s="31">
        <v>3940.03</v>
      </c>
      <c r="I1176" s="29" t="s">
        <v>612</v>
      </c>
      <c r="J1176" s="32" t="s">
        <v>598</v>
      </c>
      <c r="K1176" s="29" t="s">
        <v>698</v>
      </c>
      <c r="L1176" s="29" t="s">
        <v>823</v>
      </c>
      <c r="M1176" s="36">
        <v>12.74</v>
      </c>
      <c r="N1176" s="36">
        <v>0.718</v>
      </c>
      <c r="O1176" s="34" t="s">
        <v>641</v>
      </c>
      <c r="P1176" s="32" t="s">
        <v>602</v>
      </c>
      <c r="Q1176" s="29">
        <v>70.0</v>
      </c>
      <c r="R1176" s="29">
        <v>100.0</v>
      </c>
      <c r="S1176" s="36">
        <v>0.32</v>
      </c>
      <c r="T1176" s="36">
        <v>1.0039920318408906</v>
      </c>
      <c r="U1176" s="36">
        <v>0.5856620185738529</v>
      </c>
      <c r="V1176" s="36">
        <v>0.6</v>
      </c>
      <c r="W1176" s="37" t="s">
        <v>623</v>
      </c>
      <c r="X1176" s="31" t="e">
        <v>#REF!</v>
      </c>
      <c r="Y1176" s="36">
        <v>-1.1426092333507367</v>
      </c>
      <c r="Z1176" s="36">
        <v>0.05142299107142857</v>
      </c>
      <c r="AA1176" s="29" t="s">
        <v>820</v>
      </c>
      <c r="AB1176" s="31">
        <v>0.87</v>
      </c>
      <c r="AC1176" s="38">
        <v>934.5714285714286</v>
      </c>
    </row>
    <row r="1177" ht="14.25" customHeight="1">
      <c r="A1177" s="29" t="s">
        <v>307</v>
      </c>
      <c r="B1177" s="29">
        <v>132.0</v>
      </c>
      <c r="C1177" s="29" t="s">
        <v>608</v>
      </c>
      <c r="D1177" s="35" t="s">
        <v>947</v>
      </c>
      <c r="E1177" s="29">
        <v>121.0</v>
      </c>
      <c r="F1177" s="30" t="s">
        <v>948</v>
      </c>
      <c r="G1177" s="29" t="s">
        <v>611</v>
      </c>
      <c r="H1177" s="31">
        <v>42.5</v>
      </c>
      <c r="I1177" s="29" t="s">
        <v>597</v>
      </c>
      <c r="J1177" s="32" t="s">
        <v>598</v>
      </c>
      <c r="K1177" s="29" t="s">
        <v>698</v>
      </c>
      <c r="L1177" s="29" t="s">
        <v>823</v>
      </c>
      <c r="M1177" s="36">
        <v>12.887</v>
      </c>
      <c r="N1177" s="36">
        <v>0.633</v>
      </c>
      <c r="O1177" s="34" t="s">
        <v>641</v>
      </c>
      <c r="P1177" s="32" t="s">
        <v>602</v>
      </c>
      <c r="Q1177" s="29">
        <v>70.0</v>
      </c>
      <c r="R1177" s="29">
        <v>100.0</v>
      </c>
      <c r="S1177" s="36">
        <v>0.02</v>
      </c>
      <c r="T1177" s="36">
        <v>0.08366600265340755</v>
      </c>
      <c r="U1177" s="36">
        <v>0.06</v>
      </c>
      <c r="V1177" s="36">
        <v>0.1</v>
      </c>
      <c r="W1177" s="37" t="s">
        <v>780</v>
      </c>
      <c r="X1177" s="31" t="e">
        <v>#REF!</v>
      </c>
      <c r="Y1177" s="36">
        <v>-1.4300217396717199</v>
      </c>
      <c r="Z1177" s="36">
        <v>0.14285714285714285</v>
      </c>
      <c r="AA1177" s="29" t="s">
        <v>820</v>
      </c>
      <c r="AB1177" s="31">
        <v>0.87</v>
      </c>
      <c r="AC1177" s="38">
        <v>754.4285714285714</v>
      </c>
    </row>
    <row r="1178" ht="14.25" customHeight="1">
      <c r="A1178" s="29" t="s">
        <v>307</v>
      </c>
      <c r="B1178" s="29">
        <v>132.0</v>
      </c>
      <c r="C1178" s="29" t="s">
        <v>608</v>
      </c>
      <c r="D1178" s="35" t="s">
        <v>947</v>
      </c>
      <c r="E1178" s="29">
        <v>121.0</v>
      </c>
      <c r="F1178" s="30" t="s">
        <v>948</v>
      </c>
      <c r="G1178" s="29" t="s">
        <v>611</v>
      </c>
      <c r="H1178" s="31">
        <v>42.5</v>
      </c>
      <c r="I1178" s="29" t="s">
        <v>597</v>
      </c>
      <c r="J1178" s="32" t="s">
        <v>598</v>
      </c>
      <c r="K1178" s="29" t="s">
        <v>698</v>
      </c>
      <c r="L1178" s="29" t="s">
        <v>823</v>
      </c>
      <c r="M1178" s="36">
        <v>12.74</v>
      </c>
      <c r="N1178" s="36">
        <v>0.718</v>
      </c>
      <c r="O1178" s="34" t="s">
        <v>641</v>
      </c>
      <c r="P1178" s="32" t="s">
        <v>602</v>
      </c>
      <c r="Q1178" s="29">
        <v>70.0</v>
      </c>
      <c r="R1178" s="29">
        <v>100.0</v>
      </c>
      <c r="S1178" s="36">
        <v>0.03</v>
      </c>
      <c r="T1178" s="36">
        <v>0.08366600265340755</v>
      </c>
      <c r="U1178" s="36">
        <v>0.08366600265340755</v>
      </c>
      <c r="V1178" s="36">
        <v>0.1</v>
      </c>
      <c r="W1178" s="37" t="s">
        <v>780</v>
      </c>
      <c r="X1178" s="31" t="e">
        <v>#REF!</v>
      </c>
      <c r="Y1178" s="36">
        <v>-1.0249160692216825</v>
      </c>
      <c r="Z1178" s="36">
        <v>0.1253968253968254</v>
      </c>
      <c r="AA1178" s="29" t="s">
        <v>820</v>
      </c>
      <c r="AB1178" s="31">
        <v>0.87</v>
      </c>
      <c r="AC1178" s="38">
        <v>934.5714285714286</v>
      </c>
    </row>
    <row r="1179" ht="14.25" customHeight="1">
      <c r="A1179" s="29" t="s">
        <v>307</v>
      </c>
      <c r="B1179" s="29">
        <v>132.0</v>
      </c>
      <c r="C1179" s="29" t="s">
        <v>608</v>
      </c>
      <c r="D1179" s="43" t="s">
        <v>781</v>
      </c>
      <c r="E1179" s="29">
        <v>136.0</v>
      </c>
      <c r="F1179" s="30" t="s">
        <v>782</v>
      </c>
      <c r="G1179" s="29" t="s">
        <v>626</v>
      </c>
      <c r="H1179" s="31">
        <v>4.9</v>
      </c>
      <c r="I1179" s="29" t="s">
        <v>597</v>
      </c>
      <c r="J1179" s="32" t="s">
        <v>598</v>
      </c>
      <c r="K1179" s="29" t="s">
        <v>698</v>
      </c>
      <c r="L1179" s="29" t="s">
        <v>823</v>
      </c>
      <c r="M1179" s="36">
        <v>12.887</v>
      </c>
      <c r="N1179" s="36">
        <v>0.633</v>
      </c>
      <c r="O1179" s="34" t="s">
        <v>641</v>
      </c>
      <c r="P1179" s="32" t="s">
        <v>602</v>
      </c>
      <c r="Q1179" s="29">
        <v>70.0</v>
      </c>
      <c r="R1179" s="29">
        <v>100.0</v>
      </c>
      <c r="S1179" s="36">
        <v>1.31</v>
      </c>
      <c r="T1179" s="36">
        <v>3.262974103482895</v>
      </c>
      <c r="U1179" s="36">
        <v>3.43</v>
      </c>
      <c r="V1179" s="36">
        <v>15.0</v>
      </c>
      <c r="W1179" s="37" t="s">
        <v>623</v>
      </c>
      <c r="X1179" s="31" t="e">
        <v>#REF!</v>
      </c>
      <c r="Y1179" s="36">
        <v>-0.9119695239491205</v>
      </c>
      <c r="Z1179" s="36">
        <v>0.30926431755189265</v>
      </c>
      <c r="AA1179" s="29" t="s">
        <v>820</v>
      </c>
      <c r="AB1179" s="31">
        <v>0.87</v>
      </c>
      <c r="AC1179" s="38">
        <v>754.4285714285714</v>
      </c>
    </row>
    <row r="1180" ht="14.25" customHeight="1">
      <c r="A1180" s="29" t="s">
        <v>307</v>
      </c>
      <c r="B1180" s="29">
        <v>132.0</v>
      </c>
      <c r="C1180" s="29" t="s">
        <v>608</v>
      </c>
      <c r="D1180" s="43" t="s">
        <v>781</v>
      </c>
      <c r="E1180" s="29">
        <v>136.0</v>
      </c>
      <c r="F1180" s="30" t="s">
        <v>782</v>
      </c>
      <c r="G1180" s="29" t="s">
        <v>626</v>
      </c>
      <c r="H1180" s="31">
        <v>4.9</v>
      </c>
      <c r="I1180" s="29" t="s">
        <v>597</v>
      </c>
      <c r="J1180" s="32" t="s">
        <v>598</v>
      </c>
      <c r="K1180" s="29" t="s">
        <v>698</v>
      </c>
      <c r="L1180" s="29" t="s">
        <v>823</v>
      </c>
      <c r="M1180" s="36">
        <v>12.74</v>
      </c>
      <c r="N1180" s="36">
        <v>0.718</v>
      </c>
      <c r="O1180" s="34" t="s">
        <v>641</v>
      </c>
      <c r="P1180" s="32" t="s">
        <v>602</v>
      </c>
      <c r="Q1180" s="29">
        <v>70.0</v>
      </c>
      <c r="R1180" s="29">
        <v>100.0</v>
      </c>
      <c r="S1180" s="36">
        <v>2.18</v>
      </c>
      <c r="T1180" s="36">
        <v>3.262974103482895</v>
      </c>
      <c r="U1180" s="36">
        <v>6.274950199005566</v>
      </c>
      <c r="V1180" s="36">
        <v>15.0</v>
      </c>
      <c r="W1180" s="37" t="s">
        <v>623</v>
      </c>
      <c r="X1180" s="31" t="e">
        <v>#REF!</v>
      </c>
      <c r="Y1180" s="36">
        <v>-0.4029281135024147</v>
      </c>
      <c r="Z1180" s="36">
        <v>0.3296883834571674</v>
      </c>
      <c r="AA1180" s="29" t="s">
        <v>820</v>
      </c>
      <c r="AB1180" s="31">
        <v>0.87</v>
      </c>
      <c r="AC1180" s="38">
        <v>934.5714285714286</v>
      </c>
    </row>
    <row r="1181" ht="14.25" customHeight="1">
      <c r="A1181" s="29" t="s">
        <v>307</v>
      </c>
      <c r="B1181" s="29">
        <v>132.0</v>
      </c>
      <c r="C1181" s="29" t="s">
        <v>608</v>
      </c>
      <c r="D1181" s="43" t="s">
        <v>1195</v>
      </c>
      <c r="E1181" s="29">
        <v>148.0</v>
      </c>
      <c r="F1181" s="30" t="s">
        <v>1196</v>
      </c>
      <c r="G1181" s="29" t="s">
        <v>626</v>
      </c>
      <c r="H1181" s="31">
        <v>70.0</v>
      </c>
      <c r="I1181" s="29" t="s">
        <v>616</v>
      </c>
      <c r="J1181" s="32" t="s">
        <v>598</v>
      </c>
      <c r="K1181" s="29" t="s">
        <v>698</v>
      </c>
      <c r="L1181" s="29" t="s">
        <v>823</v>
      </c>
      <c r="M1181" s="36">
        <v>12.887</v>
      </c>
      <c r="N1181" s="36">
        <v>0.633</v>
      </c>
      <c r="O1181" s="34" t="s">
        <v>641</v>
      </c>
      <c r="P1181" s="32" t="s">
        <v>602</v>
      </c>
      <c r="Q1181" s="29">
        <v>70.0</v>
      </c>
      <c r="R1181" s="29">
        <v>100.0</v>
      </c>
      <c r="S1181" s="36">
        <v>10.51</v>
      </c>
      <c r="T1181" s="36">
        <v>60.99251593433411</v>
      </c>
      <c r="U1181" s="36">
        <v>314.21</v>
      </c>
      <c r="V1181" s="36">
        <v>1004.5</v>
      </c>
      <c r="W1181" s="37" t="s">
        <v>1236</v>
      </c>
      <c r="X1181" s="31" t="e">
        <v>#REF!</v>
      </c>
      <c r="Y1181" s="36">
        <v>-1.7569278665746724</v>
      </c>
      <c r="Z1181" s="36">
        <v>15.480758175879973</v>
      </c>
      <c r="AA1181" s="29" t="s">
        <v>820</v>
      </c>
      <c r="AB1181" s="31">
        <v>0.87</v>
      </c>
      <c r="AC1181" s="38">
        <v>754.4285714285714</v>
      </c>
    </row>
    <row r="1182" ht="14.25" customHeight="1">
      <c r="A1182" s="29" t="s">
        <v>307</v>
      </c>
      <c r="B1182" s="29">
        <v>132.0</v>
      </c>
      <c r="C1182" s="29" t="s">
        <v>608</v>
      </c>
      <c r="D1182" s="43" t="s">
        <v>1195</v>
      </c>
      <c r="E1182" s="29">
        <v>148.0</v>
      </c>
      <c r="F1182" s="30" t="s">
        <v>1196</v>
      </c>
      <c r="G1182" s="29" t="s">
        <v>626</v>
      </c>
      <c r="H1182" s="31">
        <v>70.0</v>
      </c>
      <c r="I1182" s="29" t="s">
        <v>616</v>
      </c>
      <c r="J1182" s="32" t="s">
        <v>598</v>
      </c>
      <c r="K1182" s="29" t="s">
        <v>698</v>
      </c>
      <c r="L1182" s="29" t="s">
        <v>823</v>
      </c>
      <c r="M1182" s="36">
        <v>12.74</v>
      </c>
      <c r="N1182" s="36">
        <v>0.718</v>
      </c>
      <c r="O1182" s="34" t="s">
        <v>641</v>
      </c>
      <c r="P1182" s="32" t="s">
        <v>602</v>
      </c>
      <c r="Q1182" s="29">
        <v>70.0</v>
      </c>
      <c r="R1182" s="29">
        <v>100.0</v>
      </c>
      <c r="S1182" s="36">
        <v>36.5</v>
      </c>
      <c r="T1182" s="36">
        <v>60.99251593433411</v>
      </c>
      <c r="U1182" s="36">
        <v>162.8977071661845</v>
      </c>
      <c r="V1182" s="36">
        <v>1004.5</v>
      </c>
      <c r="W1182" s="37" t="s">
        <v>1236</v>
      </c>
      <c r="X1182" s="31" t="e">
        <v>#REF!</v>
      </c>
      <c r="Y1182" s="36">
        <v>-0.5130078776309216</v>
      </c>
      <c r="Z1182" s="36">
        <v>2.996898458001128</v>
      </c>
      <c r="AA1182" s="29" t="s">
        <v>820</v>
      </c>
      <c r="AB1182" s="31">
        <v>0.87</v>
      </c>
      <c r="AC1182" s="38">
        <v>934.5714285714286</v>
      </c>
    </row>
    <row r="1183" ht="14.25" customHeight="1">
      <c r="A1183" s="29" t="s">
        <v>307</v>
      </c>
      <c r="B1183" s="29">
        <v>132.0</v>
      </c>
      <c r="C1183" s="29" t="s">
        <v>608</v>
      </c>
      <c r="D1183" s="43" t="s">
        <v>1237</v>
      </c>
      <c r="E1183" s="29">
        <v>295.0</v>
      </c>
      <c r="F1183" s="30" t="s">
        <v>1238</v>
      </c>
      <c r="G1183" s="29" t="s">
        <v>615</v>
      </c>
      <c r="H1183" s="31">
        <v>0.6215</v>
      </c>
      <c r="I1183" s="29" t="s">
        <v>597</v>
      </c>
      <c r="J1183" s="32" t="s">
        <v>598</v>
      </c>
      <c r="K1183" s="29" t="s">
        <v>698</v>
      </c>
      <c r="L1183" s="29" t="s">
        <v>823</v>
      </c>
      <c r="M1183" s="36">
        <v>12.887</v>
      </c>
      <c r="N1183" s="36">
        <v>0.633</v>
      </c>
      <c r="O1183" s="34" t="s">
        <v>641</v>
      </c>
      <c r="P1183" s="32" t="s">
        <v>602</v>
      </c>
      <c r="Q1183" s="29">
        <v>70.0</v>
      </c>
      <c r="R1183" s="29">
        <v>100.0</v>
      </c>
      <c r="S1183" s="36">
        <v>0.04</v>
      </c>
      <c r="T1183" s="36">
        <v>0.03</v>
      </c>
      <c r="U1183" s="36">
        <v>0.25099800796022265</v>
      </c>
      <c r="V1183" s="36">
        <v>0.1</v>
      </c>
      <c r="W1183" s="37" t="s">
        <v>780</v>
      </c>
      <c r="X1183" s="31" t="e">
        <v>#REF!</v>
      </c>
      <c r="Y1183" s="36">
        <v>0.2878755521853827</v>
      </c>
      <c r="Z1183" s="36">
        <v>0.673611111111111</v>
      </c>
      <c r="AA1183" s="29" t="s">
        <v>820</v>
      </c>
      <c r="AB1183" s="31">
        <v>0.87</v>
      </c>
      <c r="AC1183" s="38">
        <v>754.4285714285714</v>
      </c>
    </row>
    <row r="1184" ht="14.25" customHeight="1">
      <c r="A1184" s="29" t="s">
        <v>307</v>
      </c>
      <c r="B1184" s="29">
        <v>132.0</v>
      </c>
      <c r="C1184" s="29" t="s">
        <v>608</v>
      </c>
      <c r="D1184" s="43" t="s">
        <v>1237</v>
      </c>
      <c r="E1184" s="29">
        <v>295.0</v>
      </c>
      <c r="F1184" s="30" t="s">
        <v>1238</v>
      </c>
      <c r="G1184" s="29" t="s">
        <v>615</v>
      </c>
      <c r="H1184" s="31">
        <v>0.6215</v>
      </c>
      <c r="I1184" s="29" t="s">
        <v>597</v>
      </c>
      <c r="J1184" s="32" t="s">
        <v>598</v>
      </c>
      <c r="K1184" s="29" t="s">
        <v>698</v>
      </c>
      <c r="L1184" s="29" t="s">
        <v>823</v>
      </c>
      <c r="M1184" s="36">
        <v>12.74</v>
      </c>
      <c r="N1184" s="36">
        <v>0.718</v>
      </c>
      <c r="O1184" s="34" t="s">
        <v>641</v>
      </c>
      <c r="P1184" s="32" t="s">
        <v>602</v>
      </c>
      <c r="Q1184" s="29">
        <v>70.0</v>
      </c>
      <c r="R1184" s="29">
        <v>100.0</v>
      </c>
      <c r="S1184" s="36">
        <v>0.0</v>
      </c>
      <c r="T1184" s="36">
        <v>0.03</v>
      </c>
      <c r="U1184" s="36">
        <v>0.0</v>
      </c>
      <c r="V1184" s="36">
        <v>0.1</v>
      </c>
      <c r="W1184" s="37" t="s">
        <v>780</v>
      </c>
      <c r="X1184" s="31" t="e">
        <v>#REF!</v>
      </c>
      <c r="Y1184" s="36">
        <v>-8.262558973010657</v>
      </c>
      <c r="Z1184" s="36">
        <v>0.02710166302191934</v>
      </c>
      <c r="AA1184" s="29" t="s">
        <v>820</v>
      </c>
      <c r="AB1184" s="31">
        <v>0.87</v>
      </c>
      <c r="AC1184" s="38">
        <v>934.5714285714286</v>
      </c>
    </row>
    <row r="1185" ht="14.25" customHeight="1">
      <c r="A1185" s="29" t="s">
        <v>307</v>
      </c>
      <c r="B1185" s="29">
        <v>132.0</v>
      </c>
      <c r="C1185" s="29" t="s">
        <v>608</v>
      </c>
      <c r="D1185" s="43" t="s">
        <v>1239</v>
      </c>
      <c r="E1185" s="29">
        <v>299.0</v>
      </c>
      <c r="F1185" s="30" t="s">
        <v>1240</v>
      </c>
      <c r="G1185" s="29" t="s">
        <v>615</v>
      </c>
      <c r="H1185" s="31">
        <f t="shared" ref="H1185:H1186" si="276">0.109+0.297+0.165+0.1245</f>
        <v>0.6955</v>
      </c>
      <c r="I1185" s="29" t="s">
        <v>597</v>
      </c>
      <c r="J1185" s="32" t="s">
        <v>598</v>
      </c>
      <c r="K1185" s="29" t="s">
        <v>698</v>
      </c>
      <c r="L1185" s="29" t="s">
        <v>823</v>
      </c>
      <c r="M1185" s="36">
        <v>12.887</v>
      </c>
      <c r="N1185" s="36">
        <v>0.633</v>
      </c>
      <c r="O1185" s="34" t="s">
        <v>641</v>
      </c>
      <c r="P1185" s="32" t="s">
        <v>602</v>
      </c>
      <c r="Q1185" s="29">
        <v>70.0</v>
      </c>
      <c r="R1185" s="29">
        <v>100.0</v>
      </c>
      <c r="S1185" s="36">
        <v>0.43</v>
      </c>
      <c r="T1185" s="36">
        <v>0.29</v>
      </c>
      <c r="U1185" s="36">
        <v>0.6693280212272604</v>
      </c>
      <c r="V1185" s="36">
        <v>0.6</v>
      </c>
      <c r="W1185" s="37" t="s">
        <v>780</v>
      </c>
      <c r="X1185" s="31" t="e">
        <v>#REF!</v>
      </c>
      <c r="Y1185" s="36">
        <v>0.3940782691790976</v>
      </c>
      <c r="Z1185" s="36">
        <v>0.07741948760425182</v>
      </c>
      <c r="AA1185" s="29" t="s">
        <v>820</v>
      </c>
      <c r="AB1185" s="31">
        <v>0.87</v>
      </c>
      <c r="AC1185" s="38">
        <v>754.4285714285714</v>
      </c>
    </row>
    <row r="1186" ht="14.25" customHeight="1">
      <c r="A1186" s="29" t="s">
        <v>307</v>
      </c>
      <c r="B1186" s="29">
        <v>132.0</v>
      </c>
      <c r="C1186" s="29" t="s">
        <v>608</v>
      </c>
      <c r="D1186" s="43" t="s">
        <v>1239</v>
      </c>
      <c r="E1186" s="29">
        <v>299.0</v>
      </c>
      <c r="F1186" s="30" t="s">
        <v>1240</v>
      </c>
      <c r="G1186" s="29" t="s">
        <v>615</v>
      </c>
      <c r="H1186" s="31">
        <f t="shared" si="276"/>
        <v>0.6955</v>
      </c>
      <c r="I1186" s="29" t="s">
        <v>597</v>
      </c>
      <c r="J1186" s="32" t="s">
        <v>598</v>
      </c>
      <c r="K1186" s="29" t="s">
        <v>698</v>
      </c>
      <c r="L1186" s="29" t="s">
        <v>823</v>
      </c>
      <c r="M1186" s="36">
        <v>12.74</v>
      </c>
      <c r="N1186" s="36">
        <v>0.718</v>
      </c>
      <c r="O1186" s="34" t="s">
        <v>641</v>
      </c>
      <c r="P1186" s="32" t="s">
        <v>602</v>
      </c>
      <c r="Q1186" s="29">
        <v>70.0</v>
      </c>
      <c r="R1186" s="29">
        <v>100.0</v>
      </c>
      <c r="S1186" s="36">
        <v>0.37</v>
      </c>
      <c r="T1186" s="36">
        <v>0.29</v>
      </c>
      <c r="U1186" s="36">
        <v>0.3346640106136302</v>
      </c>
      <c r="V1186" s="36">
        <v>0.6</v>
      </c>
      <c r="W1186" s="37" t="s">
        <v>780</v>
      </c>
      <c r="X1186" s="31" t="e">
        <v>#REF!</v>
      </c>
      <c r="Y1186" s="36">
        <v>0.24382427681363378</v>
      </c>
      <c r="Z1186" s="36">
        <v>0.054493546154053274</v>
      </c>
      <c r="AA1186" s="29" t="s">
        <v>820</v>
      </c>
      <c r="AB1186" s="31">
        <v>0.87</v>
      </c>
      <c r="AC1186" s="38">
        <v>934.5714285714286</v>
      </c>
    </row>
    <row r="1187" ht="14.25" customHeight="1">
      <c r="A1187" s="29" t="s">
        <v>312</v>
      </c>
      <c r="B1187" s="29">
        <v>72.0</v>
      </c>
      <c r="C1187" s="29" t="s">
        <v>608</v>
      </c>
      <c r="D1187" s="29" t="s">
        <v>671</v>
      </c>
      <c r="E1187" s="29">
        <v>202.0</v>
      </c>
      <c r="F1187" s="30" t="s">
        <v>672</v>
      </c>
      <c r="G1187" s="29" t="s">
        <v>629</v>
      </c>
      <c r="H1187" s="31">
        <v>5.24</v>
      </c>
      <c r="I1187" s="29" t="s">
        <v>657</v>
      </c>
      <c r="J1187" s="32" t="s">
        <v>642</v>
      </c>
      <c r="K1187" s="29" t="s">
        <v>599</v>
      </c>
      <c r="L1187" s="29" t="s">
        <v>1241</v>
      </c>
      <c r="M1187" s="33">
        <v>-61.95</v>
      </c>
      <c r="N1187" s="33">
        <v>-17.117</v>
      </c>
      <c r="O1187" s="34" t="s">
        <v>641</v>
      </c>
      <c r="P1187" s="32" t="s">
        <v>700</v>
      </c>
      <c r="Q1187" s="35">
        <v>6.0</v>
      </c>
      <c r="R1187" s="35">
        <v>4.0</v>
      </c>
      <c r="S1187" s="36">
        <v>0.07</v>
      </c>
      <c r="T1187" s="36">
        <v>0.47</v>
      </c>
      <c r="U1187" s="36">
        <v>0.2646</v>
      </c>
      <c r="V1187" s="36">
        <v>0.6856</v>
      </c>
      <c r="W1187" s="37" t="s">
        <v>1242</v>
      </c>
      <c r="X1187" s="31">
        <v>1.5</v>
      </c>
      <c r="Y1187" s="36">
        <v>-1.9025066794510601</v>
      </c>
      <c r="Z1187" s="36">
        <v>2.9133684925305565</v>
      </c>
      <c r="AA1187" s="29" t="s">
        <v>820</v>
      </c>
      <c r="AB1187" s="31">
        <v>1.67588305473</v>
      </c>
      <c r="AC1187" s="38">
        <v>561.0</v>
      </c>
    </row>
    <row r="1188" ht="14.25" customHeight="1">
      <c r="A1188" s="29" t="s">
        <v>312</v>
      </c>
      <c r="B1188" s="29">
        <v>72.0</v>
      </c>
      <c r="C1188" s="29" t="s">
        <v>608</v>
      </c>
      <c r="D1188" s="29" t="s">
        <v>671</v>
      </c>
      <c r="E1188" s="29">
        <v>202.0</v>
      </c>
      <c r="F1188" s="30" t="s">
        <v>672</v>
      </c>
      <c r="G1188" s="29" t="s">
        <v>629</v>
      </c>
      <c r="H1188" s="31">
        <v>5.24</v>
      </c>
      <c r="I1188" s="29" t="s">
        <v>657</v>
      </c>
      <c r="J1188" s="32" t="s">
        <v>642</v>
      </c>
      <c r="K1188" s="29" t="s">
        <v>599</v>
      </c>
      <c r="L1188" s="29" t="s">
        <v>1241</v>
      </c>
      <c r="M1188" s="33">
        <v>-62.033</v>
      </c>
      <c r="N1188" s="33">
        <v>-17.085</v>
      </c>
      <c r="O1188" s="34" t="s">
        <v>641</v>
      </c>
      <c r="P1188" s="32" t="s">
        <v>700</v>
      </c>
      <c r="Q1188" s="35">
        <v>6.0</v>
      </c>
      <c r="R1188" s="35">
        <v>4.0</v>
      </c>
      <c r="S1188" s="36">
        <v>0.37</v>
      </c>
      <c r="T1188" s="36">
        <v>0.47</v>
      </c>
      <c r="U1188" s="36">
        <v>0.6083</v>
      </c>
      <c r="V1188" s="36">
        <v>0.6856</v>
      </c>
      <c r="W1188" s="37" t="s">
        <v>1242</v>
      </c>
      <c r="X1188" s="31">
        <v>7.0</v>
      </c>
      <c r="Y1188" s="36">
        <v>-0.23890201564871966</v>
      </c>
      <c r="Z1188" s="36">
        <v>0.9824541146391519</v>
      </c>
      <c r="AA1188" s="29" t="s">
        <v>820</v>
      </c>
      <c r="AB1188" s="31">
        <v>1.67588305473</v>
      </c>
      <c r="AC1188" s="38">
        <v>631.0</v>
      </c>
    </row>
    <row r="1189" ht="14.25" customHeight="1">
      <c r="A1189" s="29" t="s">
        <v>312</v>
      </c>
      <c r="B1189" s="29">
        <v>72.0</v>
      </c>
      <c r="C1189" s="29" t="s">
        <v>608</v>
      </c>
      <c r="D1189" s="29" t="s">
        <v>650</v>
      </c>
      <c r="E1189" s="29">
        <v>70.0</v>
      </c>
      <c r="F1189" s="30" t="s">
        <v>651</v>
      </c>
      <c r="G1189" s="29" t="s">
        <v>615</v>
      </c>
      <c r="H1189" s="31">
        <v>8.17</v>
      </c>
      <c r="I1189" s="29" t="s">
        <v>616</v>
      </c>
      <c r="J1189" s="32" t="s">
        <v>642</v>
      </c>
      <c r="K1189" s="29" t="s">
        <v>599</v>
      </c>
      <c r="L1189" s="29" t="s">
        <v>1241</v>
      </c>
      <c r="M1189" s="33">
        <v>-61.95</v>
      </c>
      <c r="N1189" s="33">
        <v>-17.117</v>
      </c>
      <c r="O1189" s="34" t="s">
        <v>641</v>
      </c>
      <c r="P1189" s="32" t="s">
        <v>700</v>
      </c>
      <c r="Q1189" s="35">
        <v>6.0</v>
      </c>
      <c r="R1189" s="35">
        <v>4.0</v>
      </c>
      <c r="S1189" s="36">
        <v>0.0</v>
      </c>
      <c r="T1189" s="36">
        <v>0.47</v>
      </c>
      <c r="U1189" s="36">
        <v>0.0</v>
      </c>
      <c r="V1189" s="36">
        <v>0.6856</v>
      </c>
      <c r="W1189" s="37" t="s">
        <v>1242</v>
      </c>
      <c r="X1189" s="31">
        <v>1.5</v>
      </c>
      <c r="Y1189" s="36">
        <v>-8.262558973010657</v>
      </c>
      <c r="Z1189" s="36">
        <v>0.5401514578240691</v>
      </c>
      <c r="AA1189" s="29" t="s">
        <v>820</v>
      </c>
      <c r="AB1189" s="31">
        <v>1.67588305473</v>
      </c>
      <c r="AC1189" s="38">
        <v>561.0</v>
      </c>
    </row>
    <row r="1190" ht="14.25" customHeight="1">
      <c r="A1190" s="29" t="s">
        <v>312</v>
      </c>
      <c r="B1190" s="29">
        <v>72.0</v>
      </c>
      <c r="C1190" s="29" t="s">
        <v>608</v>
      </c>
      <c r="D1190" s="29" t="s">
        <v>650</v>
      </c>
      <c r="E1190" s="29">
        <v>70.0</v>
      </c>
      <c r="F1190" s="30" t="s">
        <v>651</v>
      </c>
      <c r="G1190" s="29" t="s">
        <v>615</v>
      </c>
      <c r="H1190" s="31">
        <v>8.17</v>
      </c>
      <c r="I1190" s="29" t="s">
        <v>616</v>
      </c>
      <c r="J1190" s="32" t="s">
        <v>642</v>
      </c>
      <c r="K1190" s="29" t="s">
        <v>599</v>
      </c>
      <c r="L1190" s="29" t="s">
        <v>1241</v>
      </c>
      <c r="M1190" s="33">
        <v>-62.033</v>
      </c>
      <c r="N1190" s="33">
        <v>-17.085</v>
      </c>
      <c r="O1190" s="34" t="s">
        <v>641</v>
      </c>
      <c r="P1190" s="32" t="s">
        <v>700</v>
      </c>
      <c r="Q1190" s="35">
        <v>6.0</v>
      </c>
      <c r="R1190" s="35">
        <v>4.0</v>
      </c>
      <c r="S1190" s="36">
        <v>0.0</v>
      </c>
      <c r="T1190" s="36">
        <v>0.47</v>
      </c>
      <c r="U1190" s="36">
        <v>0.0</v>
      </c>
      <c r="V1190" s="36">
        <v>0.6856</v>
      </c>
      <c r="W1190" s="37" t="s">
        <v>1242</v>
      </c>
      <c r="X1190" s="31">
        <v>7.0</v>
      </c>
      <c r="Y1190" s="36">
        <v>-8.262558973010657</v>
      </c>
      <c r="Z1190" s="36">
        <v>0.5401514578240691</v>
      </c>
      <c r="AA1190" s="29" t="s">
        <v>820</v>
      </c>
      <c r="AB1190" s="31">
        <v>1.67588305473</v>
      </c>
      <c r="AC1190" s="38">
        <v>631.0</v>
      </c>
    </row>
    <row r="1191" ht="14.25" customHeight="1">
      <c r="A1191" s="29" t="s">
        <v>312</v>
      </c>
      <c r="B1191" s="29">
        <v>72.0</v>
      </c>
      <c r="C1191" s="29" t="s">
        <v>608</v>
      </c>
      <c r="D1191" s="29" t="s">
        <v>1153</v>
      </c>
      <c r="E1191" s="29">
        <v>74.0</v>
      </c>
      <c r="F1191" s="30" t="s">
        <v>1154</v>
      </c>
      <c r="G1191" s="29" t="s">
        <v>615</v>
      </c>
      <c r="H1191" s="31">
        <v>2.5</v>
      </c>
      <c r="I1191" s="29" t="s">
        <v>616</v>
      </c>
      <c r="J1191" s="32" t="s">
        <v>642</v>
      </c>
      <c r="K1191" s="29" t="s">
        <v>599</v>
      </c>
      <c r="L1191" s="29" t="s">
        <v>1241</v>
      </c>
      <c r="M1191" s="33">
        <v>-61.95</v>
      </c>
      <c r="N1191" s="33">
        <v>-17.117</v>
      </c>
      <c r="O1191" s="34" t="s">
        <v>641</v>
      </c>
      <c r="P1191" s="32" t="s">
        <v>700</v>
      </c>
      <c r="Q1191" s="35">
        <v>6.0</v>
      </c>
      <c r="R1191" s="35">
        <v>4.0</v>
      </c>
      <c r="S1191" s="36">
        <v>0.13</v>
      </c>
      <c r="T1191" s="36">
        <v>0.39</v>
      </c>
      <c r="U1191" s="36">
        <v>0.3606</v>
      </c>
      <c r="V1191" s="36">
        <v>0.6245</v>
      </c>
      <c r="W1191" s="37" t="s">
        <v>1242</v>
      </c>
      <c r="X1191" s="31">
        <v>1.5</v>
      </c>
      <c r="Y1191" s="36">
        <v>-1.0978385942387994</v>
      </c>
      <c r="Z1191" s="36">
        <v>1.9233964661406966</v>
      </c>
      <c r="AA1191" s="29" t="s">
        <v>820</v>
      </c>
      <c r="AB1191" s="31">
        <v>1.67588305473</v>
      </c>
      <c r="AC1191" s="38">
        <v>561.0</v>
      </c>
    </row>
    <row r="1192" ht="14.25" customHeight="1">
      <c r="A1192" s="29" t="s">
        <v>312</v>
      </c>
      <c r="B1192" s="29">
        <v>72.0</v>
      </c>
      <c r="C1192" s="29" t="s">
        <v>608</v>
      </c>
      <c r="D1192" s="29" t="s">
        <v>1153</v>
      </c>
      <c r="E1192" s="29">
        <v>74.0</v>
      </c>
      <c r="F1192" s="30" t="s">
        <v>1154</v>
      </c>
      <c r="G1192" s="29" t="s">
        <v>615</v>
      </c>
      <c r="H1192" s="31">
        <v>2.5</v>
      </c>
      <c r="I1192" s="29" t="s">
        <v>616</v>
      </c>
      <c r="J1192" s="32" t="s">
        <v>642</v>
      </c>
      <c r="K1192" s="29" t="s">
        <v>599</v>
      </c>
      <c r="L1192" s="29" t="s">
        <v>1241</v>
      </c>
      <c r="M1192" s="33">
        <v>-62.033</v>
      </c>
      <c r="N1192" s="33">
        <v>-17.085</v>
      </c>
      <c r="O1192" s="34" t="s">
        <v>641</v>
      </c>
      <c r="P1192" s="32" t="s">
        <v>700</v>
      </c>
      <c r="Q1192" s="35">
        <v>6.0</v>
      </c>
      <c r="R1192" s="35">
        <v>4.0</v>
      </c>
      <c r="S1192" s="36">
        <v>0.45</v>
      </c>
      <c r="T1192" s="36">
        <v>0.39</v>
      </c>
      <c r="U1192" s="36">
        <v>0.6708</v>
      </c>
      <c r="V1192" s="36">
        <v>0.6245</v>
      </c>
      <c r="W1192" s="37" t="s">
        <v>1242</v>
      </c>
      <c r="X1192" s="31">
        <v>7.0</v>
      </c>
      <c r="Y1192" s="36">
        <v>0.1433244168575332</v>
      </c>
      <c r="Z1192" s="36">
        <v>1.0113739037913652</v>
      </c>
      <c r="AA1192" s="29" t="s">
        <v>820</v>
      </c>
      <c r="AB1192" s="31">
        <v>1.67588305473</v>
      </c>
      <c r="AC1192" s="38">
        <v>631.0</v>
      </c>
    </row>
    <row r="1193" ht="14.25" customHeight="1">
      <c r="A1193" s="29" t="s">
        <v>312</v>
      </c>
      <c r="B1193" s="29">
        <v>72.0</v>
      </c>
      <c r="C1193" s="29" t="s">
        <v>608</v>
      </c>
      <c r="D1193" s="29" t="s">
        <v>617</v>
      </c>
      <c r="E1193" s="29">
        <v>75.0</v>
      </c>
      <c r="F1193" s="30" t="s">
        <v>618</v>
      </c>
      <c r="G1193" s="29" t="s">
        <v>619</v>
      </c>
      <c r="H1193" s="31">
        <v>4.2</v>
      </c>
      <c r="I1193" s="29" t="s">
        <v>620</v>
      </c>
      <c r="J1193" s="32" t="s">
        <v>642</v>
      </c>
      <c r="K1193" s="29" t="s">
        <v>599</v>
      </c>
      <c r="L1193" s="29" t="s">
        <v>1241</v>
      </c>
      <c r="M1193" s="33">
        <v>-61.95</v>
      </c>
      <c r="N1193" s="33">
        <v>-17.117</v>
      </c>
      <c r="O1193" s="34" t="s">
        <v>641</v>
      </c>
      <c r="P1193" s="32" t="s">
        <v>700</v>
      </c>
      <c r="Q1193" s="35">
        <v>6.0</v>
      </c>
      <c r="R1193" s="35">
        <v>4.0</v>
      </c>
      <c r="S1193" s="36">
        <v>0.0</v>
      </c>
      <c r="T1193" s="36">
        <v>0.16</v>
      </c>
      <c r="U1193" s="36">
        <v>0.0</v>
      </c>
      <c r="V1193" s="36">
        <v>0.4</v>
      </c>
      <c r="W1193" s="37" t="s">
        <v>1242</v>
      </c>
      <c r="X1193" s="31">
        <v>1.5</v>
      </c>
      <c r="Y1193" s="36">
        <v>-8.262558973010657</v>
      </c>
      <c r="Z1193" s="36">
        <v>0.6315426997245179</v>
      </c>
      <c r="AA1193" s="29" t="s">
        <v>820</v>
      </c>
      <c r="AB1193" s="31">
        <v>1.67588305473</v>
      </c>
      <c r="AC1193" s="38">
        <v>561.0</v>
      </c>
    </row>
    <row r="1194" ht="14.25" customHeight="1">
      <c r="A1194" s="29" t="s">
        <v>312</v>
      </c>
      <c r="B1194" s="29">
        <v>72.0</v>
      </c>
      <c r="C1194" s="29" t="s">
        <v>608</v>
      </c>
      <c r="D1194" s="29" t="s">
        <v>617</v>
      </c>
      <c r="E1194" s="29">
        <v>75.0</v>
      </c>
      <c r="F1194" s="30" t="s">
        <v>618</v>
      </c>
      <c r="G1194" s="29" t="s">
        <v>619</v>
      </c>
      <c r="H1194" s="31">
        <v>4.2</v>
      </c>
      <c r="I1194" s="29" t="s">
        <v>620</v>
      </c>
      <c r="J1194" s="32" t="s">
        <v>642</v>
      </c>
      <c r="K1194" s="29" t="s">
        <v>599</v>
      </c>
      <c r="L1194" s="29" t="s">
        <v>1241</v>
      </c>
      <c r="M1194" s="33">
        <v>-62.033</v>
      </c>
      <c r="N1194" s="33">
        <v>-17.085</v>
      </c>
      <c r="O1194" s="34" t="s">
        <v>641</v>
      </c>
      <c r="P1194" s="32" t="s">
        <v>700</v>
      </c>
      <c r="Q1194" s="35">
        <v>6.0</v>
      </c>
      <c r="R1194" s="35">
        <v>4.0</v>
      </c>
      <c r="S1194" s="36">
        <v>0.52</v>
      </c>
      <c r="T1194" s="36">
        <v>0.16</v>
      </c>
      <c r="U1194" s="36">
        <v>0.7211</v>
      </c>
      <c r="V1194" s="36">
        <v>0.4</v>
      </c>
      <c r="W1194" s="37" t="s">
        <v>1242</v>
      </c>
      <c r="X1194" s="31">
        <v>7.0</v>
      </c>
      <c r="Y1194" s="36">
        <v>1.1787343771712175</v>
      </c>
      <c r="Z1194" s="36">
        <v>1.8830037043885604</v>
      </c>
      <c r="AA1194" s="29" t="s">
        <v>820</v>
      </c>
      <c r="AB1194" s="31">
        <v>1.67588305473</v>
      </c>
      <c r="AC1194" s="38">
        <v>631.0</v>
      </c>
    </row>
    <row r="1195" ht="14.25" customHeight="1">
      <c r="A1195" s="29" t="s">
        <v>312</v>
      </c>
      <c r="B1195" s="29">
        <v>72.0</v>
      </c>
      <c r="C1195" s="29" t="s">
        <v>608</v>
      </c>
      <c r="D1195" s="29" t="s">
        <v>1056</v>
      </c>
      <c r="E1195" s="29">
        <v>203.0</v>
      </c>
      <c r="F1195" s="30" t="s">
        <v>1057</v>
      </c>
      <c r="G1195" s="29" t="s">
        <v>656</v>
      </c>
      <c r="H1195" s="31">
        <v>1.43</v>
      </c>
      <c r="I1195" s="29" t="s">
        <v>657</v>
      </c>
      <c r="J1195" s="32" t="s">
        <v>642</v>
      </c>
      <c r="K1195" s="29" t="s">
        <v>599</v>
      </c>
      <c r="L1195" s="29" t="s">
        <v>1241</v>
      </c>
      <c r="M1195" s="33">
        <v>-61.95</v>
      </c>
      <c r="N1195" s="33">
        <v>-17.117</v>
      </c>
      <c r="O1195" s="34" t="s">
        <v>641</v>
      </c>
      <c r="P1195" s="32" t="s">
        <v>700</v>
      </c>
      <c r="Q1195" s="35">
        <v>5.0</v>
      </c>
      <c r="R1195" s="35">
        <v>5.0</v>
      </c>
      <c r="S1195" s="36">
        <v>3.33</v>
      </c>
      <c r="T1195" s="36">
        <v>0.11</v>
      </c>
      <c r="U1195" s="36">
        <v>1.8248</v>
      </c>
      <c r="V1195" s="36">
        <v>0.3317</v>
      </c>
      <c r="W1195" s="37" t="s">
        <v>1243</v>
      </c>
      <c r="X1195" s="31">
        <v>1.5</v>
      </c>
      <c r="Y1195" s="36">
        <v>3.4102557396001005</v>
      </c>
      <c r="Z1195" s="36">
        <v>1.8786513901363207</v>
      </c>
      <c r="AA1195" s="29" t="s">
        <v>820</v>
      </c>
      <c r="AB1195" s="31">
        <v>1.67588305473</v>
      </c>
      <c r="AC1195" s="38">
        <v>561.0</v>
      </c>
    </row>
    <row r="1196" ht="14.25" customHeight="1">
      <c r="A1196" s="29" t="s">
        <v>312</v>
      </c>
      <c r="B1196" s="29">
        <v>72.0</v>
      </c>
      <c r="C1196" s="29" t="s">
        <v>608</v>
      </c>
      <c r="D1196" s="29" t="s">
        <v>1056</v>
      </c>
      <c r="E1196" s="29">
        <v>203.0</v>
      </c>
      <c r="F1196" s="30" t="s">
        <v>1057</v>
      </c>
      <c r="G1196" s="29" t="s">
        <v>656</v>
      </c>
      <c r="H1196" s="31">
        <v>1.43</v>
      </c>
      <c r="I1196" s="29" t="s">
        <v>657</v>
      </c>
      <c r="J1196" s="32" t="s">
        <v>642</v>
      </c>
      <c r="K1196" s="29" t="s">
        <v>599</v>
      </c>
      <c r="L1196" s="29" t="s">
        <v>1241</v>
      </c>
      <c r="M1196" s="33">
        <v>-62.033</v>
      </c>
      <c r="N1196" s="33">
        <v>-17.085</v>
      </c>
      <c r="O1196" s="34" t="s">
        <v>641</v>
      </c>
      <c r="P1196" s="32" t="s">
        <v>700</v>
      </c>
      <c r="Q1196" s="35">
        <v>5.0</v>
      </c>
      <c r="R1196" s="35">
        <v>5.0</v>
      </c>
      <c r="S1196" s="36">
        <v>1.47</v>
      </c>
      <c r="T1196" s="36">
        <v>0.11</v>
      </c>
      <c r="U1196" s="36">
        <v>1.2124</v>
      </c>
      <c r="V1196" s="36">
        <v>0.3317</v>
      </c>
      <c r="W1196" s="37" t="s">
        <v>1243</v>
      </c>
      <c r="X1196" s="31">
        <v>7.0</v>
      </c>
      <c r="Y1196" s="36">
        <v>2.592556619762009</v>
      </c>
      <c r="Z1196" s="36">
        <v>1.954639663049793</v>
      </c>
      <c r="AA1196" s="29" t="s">
        <v>820</v>
      </c>
      <c r="AB1196" s="31">
        <v>1.67588305473</v>
      </c>
      <c r="AC1196" s="38">
        <v>631.0</v>
      </c>
    </row>
    <row r="1197" ht="14.25" customHeight="1">
      <c r="A1197" s="29" t="s">
        <v>312</v>
      </c>
      <c r="B1197" s="29">
        <v>72.0</v>
      </c>
      <c r="C1197" s="29" t="s">
        <v>608</v>
      </c>
      <c r="D1197" s="29" t="s">
        <v>675</v>
      </c>
      <c r="E1197" s="29">
        <v>204.0</v>
      </c>
      <c r="F1197" s="30" t="s">
        <v>676</v>
      </c>
      <c r="G1197" s="29" t="s">
        <v>629</v>
      </c>
      <c r="H1197" s="31">
        <v>3.91</v>
      </c>
      <c r="I1197" s="29" t="s">
        <v>657</v>
      </c>
      <c r="J1197" s="32" t="s">
        <v>642</v>
      </c>
      <c r="K1197" s="29" t="s">
        <v>599</v>
      </c>
      <c r="L1197" s="29" t="s">
        <v>1241</v>
      </c>
      <c r="M1197" s="33">
        <v>-61.95</v>
      </c>
      <c r="N1197" s="33">
        <v>-17.117</v>
      </c>
      <c r="O1197" s="34" t="s">
        <v>641</v>
      </c>
      <c r="P1197" s="32" t="s">
        <v>700</v>
      </c>
      <c r="Q1197" s="35">
        <v>6.0</v>
      </c>
      <c r="R1197" s="35">
        <v>4.0</v>
      </c>
      <c r="S1197" s="36">
        <v>0.07</v>
      </c>
      <c r="T1197" s="36">
        <v>0.08</v>
      </c>
      <c r="U1197" s="36">
        <v>0.2646</v>
      </c>
      <c r="V1197" s="36">
        <v>0.2828</v>
      </c>
      <c r="W1197" s="37" t="s">
        <v>1242</v>
      </c>
      <c r="X1197" s="31">
        <v>1.5</v>
      </c>
      <c r="Y1197" s="36">
        <v>-0.13323658130163246</v>
      </c>
      <c r="Z1197" s="36">
        <v>5.50545625</v>
      </c>
      <c r="AA1197" s="29" t="s">
        <v>820</v>
      </c>
      <c r="AB1197" s="31">
        <v>1.67588305473</v>
      </c>
      <c r="AC1197" s="38">
        <v>561.0</v>
      </c>
    </row>
    <row r="1198" ht="14.25" customHeight="1">
      <c r="A1198" s="29" t="s">
        <v>312</v>
      </c>
      <c r="B1198" s="29">
        <v>72.0</v>
      </c>
      <c r="C1198" s="29" t="s">
        <v>608</v>
      </c>
      <c r="D1198" s="29" t="s">
        <v>675</v>
      </c>
      <c r="E1198" s="29">
        <v>204.0</v>
      </c>
      <c r="F1198" s="30" t="s">
        <v>676</v>
      </c>
      <c r="G1198" s="29" t="s">
        <v>629</v>
      </c>
      <c r="H1198" s="31">
        <v>3.91</v>
      </c>
      <c r="I1198" s="29" t="s">
        <v>657</v>
      </c>
      <c r="J1198" s="32" t="s">
        <v>642</v>
      </c>
      <c r="K1198" s="29" t="s">
        <v>599</v>
      </c>
      <c r="L1198" s="29" t="s">
        <v>1241</v>
      </c>
      <c r="M1198" s="33">
        <v>-62.033</v>
      </c>
      <c r="N1198" s="33">
        <v>-17.085</v>
      </c>
      <c r="O1198" s="34" t="s">
        <v>641</v>
      </c>
      <c r="P1198" s="32" t="s">
        <v>700</v>
      </c>
      <c r="Q1198" s="35">
        <v>6.0</v>
      </c>
      <c r="R1198" s="35">
        <v>4.0</v>
      </c>
      <c r="S1198" s="36">
        <v>0.15</v>
      </c>
      <c r="T1198" s="36">
        <v>0.08</v>
      </c>
      <c r="U1198" s="36">
        <v>0.3873</v>
      </c>
      <c r="V1198" s="36">
        <v>0.2828</v>
      </c>
      <c r="W1198" s="37" t="s">
        <v>1242</v>
      </c>
      <c r="X1198" s="31">
        <v>7.0</v>
      </c>
      <c r="Y1198" s="36">
        <v>0.6287462488557227</v>
      </c>
      <c r="Z1198" s="36">
        <v>4.235176916666666</v>
      </c>
      <c r="AA1198" s="29" t="s">
        <v>820</v>
      </c>
      <c r="AB1198" s="31">
        <v>1.67588305473</v>
      </c>
      <c r="AC1198" s="38">
        <v>631.0</v>
      </c>
    </row>
    <row r="1199" ht="14.25" customHeight="1">
      <c r="A1199" s="29" t="s">
        <v>312</v>
      </c>
      <c r="B1199" s="29">
        <v>72.0</v>
      </c>
      <c r="C1199" s="29" t="s">
        <v>608</v>
      </c>
      <c r="D1199" s="29" t="s">
        <v>1244</v>
      </c>
      <c r="E1199" s="29">
        <v>205.0</v>
      </c>
      <c r="F1199" s="30" t="s">
        <v>1245</v>
      </c>
      <c r="G1199" s="29" t="s">
        <v>619</v>
      </c>
      <c r="H1199" s="31">
        <v>4.78</v>
      </c>
      <c r="I1199" s="29" t="s">
        <v>616</v>
      </c>
      <c r="J1199" s="32" t="s">
        <v>642</v>
      </c>
      <c r="K1199" s="29" t="s">
        <v>599</v>
      </c>
      <c r="L1199" s="29" t="s">
        <v>1241</v>
      </c>
      <c r="M1199" s="33">
        <v>-61.95</v>
      </c>
      <c r="N1199" s="33">
        <v>-17.117</v>
      </c>
      <c r="O1199" s="34" t="s">
        <v>641</v>
      </c>
      <c r="P1199" s="32" t="s">
        <v>700</v>
      </c>
      <c r="Q1199" s="35">
        <v>5.0</v>
      </c>
      <c r="R1199" s="35">
        <v>5.0</v>
      </c>
      <c r="S1199" s="36">
        <v>0.74</v>
      </c>
      <c r="T1199" s="36">
        <v>1.03</v>
      </c>
      <c r="U1199" s="36">
        <v>0.8602</v>
      </c>
      <c r="V1199" s="36">
        <v>1.0149</v>
      </c>
      <c r="W1199" s="37" t="s">
        <v>1243</v>
      </c>
      <c r="X1199" s="31">
        <v>1.5</v>
      </c>
      <c r="Y1199" s="36">
        <v>-0.33030485425305256</v>
      </c>
      <c r="Z1199" s="36">
        <v>0.4644287385829017</v>
      </c>
      <c r="AA1199" s="29" t="s">
        <v>820</v>
      </c>
      <c r="AB1199" s="31">
        <v>1.67588305473</v>
      </c>
      <c r="AC1199" s="38">
        <v>561.0</v>
      </c>
    </row>
    <row r="1200" ht="14.25" customHeight="1">
      <c r="A1200" s="29" t="s">
        <v>312</v>
      </c>
      <c r="B1200" s="29">
        <v>72.0</v>
      </c>
      <c r="C1200" s="29" t="s">
        <v>608</v>
      </c>
      <c r="D1200" s="29" t="s">
        <v>1244</v>
      </c>
      <c r="E1200" s="29">
        <v>205.0</v>
      </c>
      <c r="F1200" s="30" t="s">
        <v>1245</v>
      </c>
      <c r="G1200" s="29" t="s">
        <v>619</v>
      </c>
      <c r="H1200" s="31">
        <v>4.78</v>
      </c>
      <c r="I1200" s="29" t="s">
        <v>616</v>
      </c>
      <c r="J1200" s="32" t="s">
        <v>642</v>
      </c>
      <c r="K1200" s="29" t="s">
        <v>599</v>
      </c>
      <c r="L1200" s="29" t="s">
        <v>1241</v>
      </c>
      <c r="M1200" s="33">
        <v>-62.033</v>
      </c>
      <c r="N1200" s="33">
        <v>-17.085</v>
      </c>
      <c r="O1200" s="34" t="s">
        <v>641</v>
      </c>
      <c r="P1200" s="32" t="s">
        <v>700</v>
      </c>
      <c r="Q1200" s="35">
        <v>5.0</v>
      </c>
      <c r="R1200" s="35">
        <v>5.0</v>
      </c>
      <c r="S1200" s="36">
        <v>1.12</v>
      </c>
      <c r="T1200" s="36">
        <v>1.03</v>
      </c>
      <c r="U1200" s="36">
        <v>1.0583</v>
      </c>
      <c r="V1200" s="36">
        <v>1.0149</v>
      </c>
      <c r="W1200" s="37" t="s">
        <v>1243</v>
      </c>
      <c r="X1200" s="31">
        <v>7.0</v>
      </c>
      <c r="Y1200" s="36">
        <v>0.08400712088135813</v>
      </c>
      <c r="Z1200" s="36">
        <v>0.3727501581831331</v>
      </c>
      <c r="AA1200" s="29" t="s">
        <v>820</v>
      </c>
      <c r="AB1200" s="31">
        <v>1.67588305473</v>
      </c>
      <c r="AC1200" s="38">
        <v>631.0</v>
      </c>
    </row>
    <row r="1201" ht="14.25" customHeight="1">
      <c r="A1201" s="29" t="s">
        <v>312</v>
      </c>
      <c r="B1201" s="29">
        <v>72.0</v>
      </c>
      <c r="C1201" s="29" t="s">
        <v>608</v>
      </c>
      <c r="D1201" s="29" t="s">
        <v>963</v>
      </c>
      <c r="E1201" s="29">
        <v>92.0</v>
      </c>
      <c r="F1201" s="30" t="s">
        <v>964</v>
      </c>
      <c r="G1201" s="29" t="s">
        <v>629</v>
      </c>
      <c r="H1201" s="31">
        <v>11.9</v>
      </c>
      <c r="I1201" s="29" t="s">
        <v>657</v>
      </c>
      <c r="J1201" s="32" t="s">
        <v>642</v>
      </c>
      <c r="K1201" s="29" t="s">
        <v>599</v>
      </c>
      <c r="L1201" s="29" t="s">
        <v>1241</v>
      </c>
      <c r="M1201" s="33">
        <v>-61.95</v>
      </c>
      <c r="N1201" s="33">
        <v>-17.117</v>
      </c>
      <c r="O1201" s="34" t="s">
        <v>641</v>
      </c>
      <c r="P1201" s="32" t="s">
        <v>700</v>
      </c>
      <c r="Q1201" s="35">
        <v>6.0</v>
      </c>
      <c r="R1201" s="35">
        <v>4.0</v>
      </c>
      <c r="S1201" s="36">
        <v>0.13</v>
      </c>
      <c r="T1201" s="36">
        <v>1.25</v>
      </c>
      <c r="U1201" s="36">
        <v>0.3606</v>
      </c>
      <c r="V1201" s="36">
        <v>1.118</v>
      </c>
      <c r="W1201" s="37" t="s">
        <v>1242</v>
      </c>
      <c r="X1201" s="31">
        <v>1.5</v>
      </c>
      <c r="Y1201" s="36">
        <v>-2.2608867024352537</v>
      </c>
      <c r="Z1201" s="36">
        <v>1.4823582542011833</v>
      </c>
      <c r="AA1201" s="29" t="s">
        <v>820</v>
      </c>
      <c r="AB1201" s="31">
        <v>1.67588305473</v>
      </c>
      <c r="AC1201" s="38">
        <v>561.0</v>
      </c>
    </row>
    <row r="1202" ht="14.25" customHeight="1">
      <c r="A1202" s="29" t="s">
        <v>312</v>
      </c>
      <c r="B1202" s="29">
        <v>72.0</v>
      </c>
      <c r="C1202" s="29" t="s">
        <v>608</v>
      </c>
      <c r="D1202" s="29" t="s">
        <v>963</v>
      </c>
      <c r="E1202" s="29">
        <v>92.0</v>
      </c>
      <c r="F1202" s="30" t="s">
        <v>964</v>
      </c>
      <c r="G1202" s="29" t="s">
        <v>629</v>
      </c>
      <c r="H1202" s="31">
        <v>11.9</v>
      </c>
      <c r="I1202" s="29" t="s">
        <v>657</v>
      </c>
      <c r="J1202" s="32" t="s">
        <v>642</v>
      </c>
      <c r="K1202" s="29" t="s">
        <v>599</v>
      </c>
      <c r="L1202" s="29" t="s">
        <v>1241</v>
      </c>
      <c r="M1202" s="33">
        <v>-62.033</v>
      </c>
      <c r="N1202" s="33">
        <v>-17.085</v>
      </c>
      <c r="O1202" s="34" t="s">
        <v>641</v>
      </c>
      <c r="P1202" s="32" t="s">
        <v>700</v>
      </c>
      <c r="Q1202" s="35">
        <v>6.0</v>
      </c>
      <c r="R1202" s="35">
        <v>4.0</v>
      </c>
      <c r="S1202" s="36">
        <v>0.52</v>
      </c>
      <c r="T1202" s="36">
        <v>1.25</v>
      </c>
      <c r="U1202" s="36">
        <v>0.7211</v>
      </c>
      <c r="V1202" s="36">
        <v>1.118</v>
      </c>
      <c r="W1202" s="37" t="s">
        <v>1242</v>
      </c>
      <c r="X1202" s="31">
        <v>7.0</v>
      </c>
      <c r="Y1202" s="36">
        <v>-0.8764500236113746</v>
      </c>
      <c r="Z1202" s="36">
        <v>0.52049154438856</v>
      </c>
      <c r="AA1202" s="29" t="s">
        <v>820</v>
      </c>
      <c r="AB1202" s="31">
        <v>1.67588305473</v>
      </c>
      <c r="AC1202" s="38">
        <v>631.0</v>
      </c>
    </row>
    <row r="1203" ht="14.25" customHeight="1">
      <c r="A1203" s="29" t="s">
        <v>312</v>
      </c>
      <c r="B1203" s="29">
        <v>72.0</v>
      </c>
      <c r="C1203" s="29" t="s">
        <v>608</v>
      </c>
      <c r="D1203" s="29" t="s">
        <v>975</v>
      </c>
      <c r="E1203" s="29">
        <v>206.0</v>
      </c>
      <c r="F1203" s="30" t="s">
        <v>976</v>
      </c>
      <c r="G1203" s="29" t="s">
        <v>629</v>
      </c>
      <c r="H1203" s="31">
        <v>3.25</v>
      </c>
      <c r="I1203" s="29" t="s">
        <v>657</v>
      </c>
      <c r="J1203" s="32" t="s">
        <v>642</v>
      </c>
      <c r="K1203" s="29" t="s">
        <v>599</v>
      </c>
      <c r="L1203" s="29" t="s">
        <v>1241</v>
      </c>
      <c r="M1203" s="33">
        <v>-61.95</v>
      </c>
      <c r="N1203" s="33">
        <v>-17.117</v>
      </c>
      <c r="O1203" s="34" t="s">
        <v>641</v>
      </c>
      <c r="P1203" s="32" t="s">
        <v>700</v>
      </c>
      <c r="Q1203" s="35">
        <v>6.0</v>
      </c>
      <c r="R1203" s="35">
        <v>4.0</v>
      </c>
      <c r="S1203" s="36">
        <v>0.07</v>
      </c>
      <c r="T1203" s="36">
        <v>0.16</v>
      </c>
      <c r="U1203" s="36">
        <v>0.2646</v>
      </c>
      <c r="V1203" s="36">
        <v>0.4</v>
      </c>
      <c r="W1203" s="37" t="s">
        <v>1242</v>
      </c>
      <c r="X1203" s="31">
        <v>1.5</v>
      </c>
      <c r="Y1203" s="36">
        <v>-0.8260890374267891</v>
      </c>
      <c r="Z1203" s="36">
        <v>3.9439</v>
      </c>
      <c r="AA1203" s="29" t="s">
        <v>820</v>
      </c>
      <c r="AB1203" s="31">
        <v>1.67588305473</v>
      </c>
      <c r="AC1203" s="38">
        <v>561.0</v>
      </c>
    </row>
    <row r="1204" ht="14.25" customHeight="1">
      <c r="A1204" s="29" t="s">
        <v>312</v>
      </c>
      <c r="B1204" s="29">
        <v>72.0</v>
      </c>
      <c r="C1204" s="29" t="s">
        <v>608</v>
      </c>
      <c r="D1204" s="29" t="s">
        <v>975</v>
      </c>
      <c r="E1204" s="29">
        <v>206.0</v>
      </c>
      <c r="F1204" s="30" t="s">
        <v>976</v>
      </c>
      <c r="G1204" s="29" t="s">
        <v>629</v>
      </c>
      <c r="H1204" s="31">
        <v>3.25</v>
      </c>
      <c r="I1204" s="29" t="s">
        <v>657</v>
      </c>
      <c r="J1204" s="32" t="s">
        <v>642</v>
      </c>
      <c r="K1204" s="29" t="s">
        <v>599</v>
      </c>
      <c r="L1204" s="29" t="s">
        <v>1241</v>
      </c>
      <c r="M1204" s="33">
        <v>-62.033</v>
      </c>
      <c r="N1204" s="33">
        <v>-17.085</v>
      </c>
      <c r="O1204" s="34" t="s">
        <v>641</v>
      </c>
      <c r="P1204" s="32" t="s">
        <v>700</v>
      </c>
      <c r="Q1204" s="35">
        <v>6.0</v>
      </c>
      <c r="R1204" s="35">
        <v>4.0</v>
      </c>
      <c r="S1204" s="36">
        <v>0.15</v>
      </c>
      <c r="T1204" s="36">
        <v>0.16</v>
      </c>
      <c r="U1204" s="36">
        <v>0.3873</v>
      </c>
      <c r="V1204" s="36">
        <v>0.4</v>
      </c>
      <c r="W1204" s="37" t="s">
        <v>1242</v>
      </c>
      <c r="X1204" s="31">
        <v>7.0</v>
      </c>
      <c r="Y1204" s="36">
        <v>-0.06426336119912182</v>
      </c>
      <c r="Z1204" s="36">
        <v>2.6736206666666664</v>
      </c>
      <c r="AA1204" s="29" t="s">
        <v>820</v>
      </c>
      <c r="AB1204" s="31">
        <v>1.67588305473</v>
      </c>
      <c r="AC1204" s="38">
        <v>631.0</v>
      </c>
    </row>
    <row r="1205" ht="14.25" customHeight="1">
      <c r="A1205" s="29" t="s">
        <v>312</v>
      </c>
      <c r="B1205" s="29">
        <v>72.0</v>
      </c>
      <c r="C1205" s="29" t="s">
        <v>608</v>
      </c>
      <c r="D1205" s="29" t="s">
        <v>677</v>
      </c>
      <c r="E1205" s="29">
        <v>100.0</v>
      </c>
      <c r="F1205" s="30" t="s">
        <v>678</v>
      </c>
      <c r="G1205" s="29" t="s">
        <v>626</v>
      </c>
      <c r="H1205" s="31">
        <v>22.8</v>
      </c>
      <c r="I1205" s="29" t="s">
        <v>612</v>
      </c>
      <c r="J1205" s="32" t="s">
        <v>642</v>
      </c>
      <c r="K1205" s="29" t="s">
        <v>599</v>
      </c>
      <c r="L1205" s="29" t="s">
        <v>1241</v>
      </c>
      <c r="M1205" s="33">
        <v>-61.95</v>
      </c>
      <c r="N1205" s="33">
        <v>-17.117</v>
      </c>
      <c r="O1205" s="34" t="s">
        <v>641</v>
      </c>
      <c r="P1205" s="32" t="s">
        <v>700</v>
      </c>
      <c r="Q1205" s="35">
        <v>6.0</v>
      </c>
      <c r="R1205" s="35">
        <v>4.0</v>
      </c>
      <c r="S1205" s="36">
        <v>0.2</v>
      </c>
      <c r="T1205" s="36">
        <v>1.56</v>
      </c>
      <c r="U1205" s="36">
        <v>0.4472</v>
      </c>
      <c r="V1205" s="36">
        <v>1.249</v>
      </c>
      <c r="W1205" s="37" t="s">
        <v>1242</v>
      </c>
      <c r="X1205" s="31">
        <v>1.5</v>
      </c>
      <c r="Y1205" s="36">
        <v>-2.0521133719266835</v>
      </c>
      <c r="Z1205" s="36">
        <v>0.9935391796515449</v>
      </c>
      <c r="AA1205" s="29" t="s">
        <v>820</v>
      </c>
      <c r="AB1205" s="31">
        <v>1.67588305473</v>
      </c>
      <c r="AC1205" s="38">
        <v>561.0</v>
      </c>
    </row>
    <row r="1206" ht="14.25" customHeight="1">
      <c r="A1206" s="29" t="s">
        <v>312</v>
      </c>
      <c r="B1206" s="29">
        <v>72.0</v>
      </c>
      <c r="C1206" s="29" t="s">
        <v>608</v>
      </c>
      <c r="D1206" s="29" t="s">
        <v>677</v>
      </c>
      <c r="E1206" s="29">
        <v>100.0</v>
      </c>
      <c r="F1206" s="30" t="s">
        <v>678</v>
      </c>
      <c r="G1206" s="29" t="s">
        <v>626</v>
      </c>
      <c r="H1206" s="31">
        <v>22.8</v>
      </c>
      <c r="I1206" s="29" t="s">
        <v>612</v>
      </c>
      <c r="J1206" s="32" t="s">
        <v>642</v>
      </c>
      <c r="K1206" s="29" t="s">
        <v>599</v>
      </c>
      <c r="L1206" s="29" t="s">
        <v>1241</v>
      </c>
      <c r="M1206" s="33">
        <v>-62.033</v>
      </c>
      <c r="N1206" s="33">
        <v>-17.085</v>
      </c>
      <c r="O1206" s="34" t="s">
        <v>641</v>
      </c>
      <c r="P1206" s="32" t="s">
        <v>700</v>
      </c>
      <c r="Q1206" s="35">
        <v>6.0</v>
      </c>
      <c r="R1206" s="35">
        <v>4.0</v>
      </c>
      <c r="S1206" s="36">
        <v>0.07</v>
      </c>
      <c r="T1206" s="36">
        <v>1.56</v>
      </c>
      <c r="U1206" s="36">
        <v>0.2646</v>
      </c>
      <c r="V1206" s="36">
        <v>1.249</v>
      </c>
      <c r="W1206" s="37" t="s">
        <v>1242</v>
      </c>
      <c r="X1206" s="31">
        <v>7.0</v>
      </c>
      <c r="Y1206" s="36">
        <v>-3.0982126561617123</v>
      </c>
      <c r="Z1206" s="36">
        <v>2.5416565129848783</v>
      </c>
      <c r="AA1206" s="29" t="s">
        <v>820</v>
      </c>
      <c r="AB1206" s="31">
        <v>1.67588305473</v>
      </c>
      <c r="AC1206" s="38">
        <v>631.0</v>
      </c>
    </row>
    <row r="1207" ht="14.25" customHeight="1">
      <c r="A1207" s="29" t="s">
        <v>312</v>
      </c>
      <c r="B1207" s="29">
        <v>72.0</v>
      </c>
      <c r="C1207" s="29" t="s">
        <v>608</v>
      </c>
      <c r="D1207" s="29" t="s">
        <v>821</v>
      </c>
      <c r="E1207" s="29">
        <v>103.0</v>
      </c>
      <c r="F1207" s="30" t="s">
        <v>822</v>
      </c>
      <c r="G1207" s="29" t="s">
        <v>626</v>
      </c>
      <c r="H1207" s="31">
        <v>16.63</v>
      </c>
      <c r="I1207" s="29" t="s">
        <v>616</v>
      </c>
      <c r="J1207" s="32" t="s">
        <v>642</v>
      </c>
      <c r="K1207" s="29" t="s">
        <v>599</v>
      </c>
      <c r="L1207" s="29" t="s">
        <v>1241</v>
      </c>
      <c r="M1207" s="33">
        <v>-61.95</v>
      </c>
      <c r="N1207" s="33">
        <v>-17.117</v>
      </c>
      <c r="O1207" s="34" t="s">
        <v>641</v>
      </c>
      <c r="P1207" s="32" t="s">
        <v>700</v>
      </c>
      <c r="Q1207" s="35">
        <v>6.0</v>
      </c>
      <c r="R1207" s="35">
        <v>4.0</v>
      </c>
      <c r="S1207" s="36">
        <v>0.2</v>
      </c>
      <c r="T1207" s="36">
        <v>1.88</v>
      </c>
      <c r="U1207" s="36">
        <v>0.4472</v>
      </c>
      <c r="V1207" s="36">
        <v>1.3711</v>
      </c>
      <c r="W1207" s="37" t="s">
        <v>1242</v>
      </c>
      <c r="X1207" s="31">
        <v>1.5</v>
      </c>
      <c r="Y1207" s="36">
        <v>-2.2382874446819345</v>
      </c>
      <c r="Z1207" s="36">
        <v>0.9662553925890296</v>
      </c>
      <c r="AA1207" s="29" t="s">
        <v>820</v>
      </c>
      <c r="AB1207" s="31">
        <v>1.67588305473</v>
      </c>
      <c r="AC1207" s="38">
        <v>561.0</v>
      </c>
    </row>
    <row r="1208" ht="14.25" customHeight="1">
      <c r="A1208" s="29" t="s">
        <v>312</v>
      </c>
      <c r="B1208" s="29">
        <v>72.0</v>
      </c>
      <c r="C1208" s="29" t="s">
        <v>608</v>
      </c>
      <c r="D1208" s="29" t="s">
        <v>821</v>
      </c>
      <c r="E1208" s="29">
        <v>103.0</v>
      </c>
      <c r="F1208" s="30" t="s">
        <v>822</v>
      </c>
      <c r="G1208" s="29" t="s">
        <v>626</v>
      </c>
      <c r="H1208" s="31">
        <v>16.63</v>
      </c>
      <c r="I1208" s="29" t="s">
        <v>616</v>
      </c>
      <c r="J1208" s="32" t="s">
        <v>642</v>
      </c>
      <c r="K1208" s="29" t="s">
        <v>599</v>
      </c>
      <c r="L1208" s="29" t="s">
        <v>1241</v>
      </c>
      <c r="M1208" s="33">
        <v>-62.033</v>
      </c>
      <c r="N1208" s="33">
        <v>-17.085</v>
      </c>
      <c r="O1208" s="34" t="s">
        <v>641</v>
      </c>
      <c r="P1208" s="32" t="s">
        <v>700</v>
      </c>
      <c r="Q1208" s="35">
        <v>6.0</v>
      </c>
      <c r="R1208" s="35">
        <v>4.0</v>
      </c>
      <c r="S1208" s="36">
        <v>0.22</v>
      </c>
      <c r="T1208" s="36">
        <v>1.88</v>
      </c>
      <c r="U1208" s="36">
        <v>0.469</v>
      </c>
      <c r="V1208" s="36">
        <v>1.3711</v>
      </c>
      <c r="W1208" s="37" t="s">
        <v>1242</v>
      </c>
      <c r="X1208" s="31">
        <v>7.0</v>
      </c>
      <c r="Y1208" s="36">
        <v>-2.1431972266425903</v>
      </c>
      <c r="Z1208" s="36">
        <v>0.8904141859774594</v>
      </c>
      <c r="AA1208" s="29" t="s">
        <v>820</v>
      </c>
      <c r="AB1208" s="31">
        <v>1.67588305473</v>
      </c>
      <c r="AC1208" s="38">
        <v>631.0</v>
      </c>
    </row>
    <row r="1209" ht="14.25" customHeight="1">
      <c r="A1209" s="29" t="s">
        <v>312</v>
      </c>
      <c r="B1209" s="29">
        <v>72.0</v>
      </c>
      <c r="C1209" s="29" t="s">
        <v>608</v>
      </c>
      <c r="D1209" s="29" t="s">
        <v>927</v>
      </c>
      <c r="E1209" s="29">
        <v>109.0</v>
      </c>
      <c r="F1209" s="30" t="s">
        <v>928</v>
      </c>
      <c r="G1209" s="29" t="s">
        <v>695</v>
      </c>
      <c r="H1209" s="31">
        <v>22.33</v>
      </c>
      <c r="I1209" s="29" t="s">
        <v>620</v>
      </c>
      <c r="J1209" s="32" t="s">
        <v>642</v>
      </c>
      <c r="K1209" s="29" t="s">
        <v>599</v>
      </c>
      <c r="L1209" s="29" t="s">
        <v>1241</v>
      </c>
      <c r="M1209" s="33">
        <v>-61.95</v>
      </c>
      <c r="N1209" s="33">
        <v>-17.117</v>
      </c>
      <c r="O1209" s="34" t="s">
        <v>641</v>
      </c>
      <c r="P1209" s="32" t="s">
        <v>700</v>
      </c>
      <c r="Q1209" s="35">
        <v>6.0</v>
      </c>
      <c r="R1209" s="35">
        <v>4.0</v>
      </c>
      <c r="S1209" s="36">
        <v>0.13</v>
      </c>
      <c r="T1209" s="36">
        <v>0.08</v>
      </c>
      <c r="U1209" s="36">
        <v>0.3606</v>
      </c>
      <c r="V1209" s="36">
        <v>0.2828</v>
      </c>
      <c r="W1209" s="37" t="s">
        <v>1242</v>
      </c>
      <c r="X1209" s="31">
        <v>1.5</v>
      </c>
      <c r="Y1209" s="36">
        <v>0.48566657114002754</v>
      </c>
      <c r="Z1209" s="36">
        <v>4.406426664201183</v>
      </c>
      <c r="AA1209" s="29" t="s">
        <v>820</v>
      </c>
      <c r="AB1209" s="31">
        <v>1.67588305473</v>
      </c>
      <c r="AC1209" s="38">
        <v>561.0</v>
      </c>
    </row>
    <row r="1210" ht="14.25" customHeight="1">
      <c r="A1210" s="29" t="s">
        <v>312</v>
      </c>
      <c r="B1210" s="29">
        <v>72.0</v>
      </c>
      <c r="C1210" s="29" t="s">
        <v>608</v>
      </c>
      <c r="D1210" s="29" t="s">
        <v>927</v>
      </c>
      <c r="E1210" s="29">
        <v>109.0</v>
      </c>
      <c r="F1210" s="30" t="s">
        <v>928</v>
      </c>
      <c r="G1210" s="29" t="s">
        <v>695</v>
      </c>
      <c r="H1210" s="31">
        <v>22.33</v>
      </c>
      <c r="I1210" s="29" t="s">
        <v>620</v>
      </c>
      <c r="J1210" s="32" t="s">
        <v>642</v>
      </c>
      <c r="K1210" s="29" t="s">
        <v>599</v>
      </c>
      <c r="L1210" s="29" t="s">
        <v>1241</v>
      </c>
      <c r="M1210" s="33">
        <v>-62.033</v>
      </c>
      <c r="N1210" s="33">
        <v>-17.085</v>
      </c>
      <c r="O1210" s="34" t="s">
        <v>641</v>
      </c>
      <c r="P1210" s="32" t="s">
        <v>700</v>
      </c>
      <c r="Q1210" s="35">
        <v>6.0</v>
      </c>
      <c r="R1210" s="35">
        <v>4.0</v>
      </c>
      <c r="S1210" s="36">
        <v>0.3</v>
      </c>
      <c r="T1210" s="36">
        <v>0.08</v>
      </c>
      <c r="U1210" s="36">
        <v>0.5477</v>
      </c>
      <c r="V1210" s="36">
        <v>0.2828</v>
      </c>
      <c r="W1210" s="37" t="s">
        <v>1242</v>
      </c>
      <c r="X1210" s="31">
        <v>7.0</v>
      </c>
      <c r="Y1210" s="36">
        <v>1.3218246370653501</v>
      </c>
      <c r="Z1210" s="36">
        <v>3.679566046296296</v>
      </c>
      <c r="AA1210" s="29" t="s">
        <v>820</v>
      </c>
      <c r="AB1210" s="31">
        <v>1.67588305473</v>
      </c>
      <c r="AC1210" s="38">
        <v>631.0</v>
      </c>
    </row>
    <row r="1211" ht="14.25" customHeight="1">
      <c r="A1211" s="29" t="s">
        <v>312</v>
      </c>
      <c r="B1211" s="29">
        <v>72.0</v>
      </c>
      <c r="C1211" s="29" t="s">
        <v>608</v>
      </c>
      <c r="D1211" s="35" t="s">
        <v>627</v>
      </c>
      <c r="E1211" s="29">
        <v>111.0</v>
      </c>
      <c r="F1211" s="39" t="s">
        <v>628</v>
      </c>
      <c r="G1211" s="29" t="s">
        <v>629</v>
      </c>
      <c r="H1211" s="31">
        <v>3.79</v>
      </c>
      <c r="I1211" s="29" t="s">
        <v>597</v>
      </c>
      <c r="J1211" s="32" t="s">
        <v>642</v>
      </c>
      <c r="K1211" s="29" t="s">
        <v>599</v>
      </c>
      <c r="L1211" s="29" t="s">
        <v>1241</v>
      </c>
      <c r="M1211" s="33">
        <v>-61.95</v>
      </c>
      <c r="N1211" s="33">
        <v>-17.117</v>
      </c>
      <c r="O1211" s="34" t="s">
        <v>641</v>
      </c>
      <c r="P1211" s="32" t="s">
        <v>700</v>
      </c>
      <c r="Q1211" s="35">
        <v>6.0</v>
      </c>
      <c r="R1211" s="35">
        <v>4.0</v>
      </c>
      <c r="S1211" s="36">
        <v>0.07</v>
      </c>
      <c r="T1211" s="36">
        <v>0.16</v>
      </c>
      <c r="U1211" s="36">
        <v>0.2646</v>
      </c>
      <c r="V1211" s="36">
        <v>0.4</v>
      </c>
      <c r="W1211" s="37" t="s">
        <v>1242</v>
      </c>
      <c r="X1211" s="31">
        <v>1.5</v>
      </c>
      <c r="Y1211" s="36">
        <v>-0.8260890374267891</v>
      </c>
      <c r="Z1211" s="36">
        <v>3.9439</v>
      </c>
      <c r="AA1211" s="29" t="s">
        <v>820</v>
      </c>
      <c r="AB1211" s="31">
        <v>1.67588305473</v>
      </c>
      <c r="AC1211" s="38">
        <v>561.0</v>
      </c>
    </row>
    <row r="1212" ht="14.25" customHeight="1">
      <c r="A1212" s="29" t="s">
        <v>312</v>
      </c>
      <c r="B1212" s="29">
        <v>72.0</v>
      </c>
      <c r="C1212" s="29" t="s">
        <v>608</v>
      </c>
      <c r="D1212" s="35" t="s">
        <v>627</v>
      </c>
      <c r="E1212" s="29">
        <v>111.0</v>
      </c>
      <c r="F1212" s="39" t="s">
        <v>628</v>
      </c>
      <c r="G1212" s="29" t="s">
        <v>629</v>
      </c>
      <c r="H1212" s="31">
        <v>3.79</v>
      </c>
      <c r="I1212" s="29" t="s">
        <v>597</v>
      </c>
      <c r="J1212" s="32" t="s">
        <v>642</v>
      </c>
      <c r="K1212" s="29" t="s">
        <v>599</v>
      </c>
      <c r="L1212" s="29" t="s">
        <v>1241</v>
      </c>
      <c r="M1212" s="33">
        <v>-62.033</v>
      </c>
      <c r="N1212" s="33">
        <v>-17.085</v>
      </c>
      <c r="O1212" s="34" t="s">
        <v>641</v>
      </c>
      <c r="P1212" s="32" t="s">
        <v>700</v>
      </c>
      <c r="Q1212" s="35">
        <v>6.0</v>
      </c>
      <c r="R1212" s="35">
        <v>4.0</v>
      </c>
      <c r="S1212" s="36">
        <v>1.71</v>
      </c>
      <c r="T1212" s="36">
        <v>0.16</v>
      </c>
      <c r="U1212" s="36">
        <v>1.3077</v>
      </c>
      <c r="V1212" s="36">
        <v>0.4</v>
      </c>
      <c r="W1212" s="37" t="s">
        <v>1242</v>
      </c>
      <c r="X1212" s="31">
        <v>7.0</v>
      </c>
      <c r="Y1212" s="36">
        <v>2.3690989741292654</v>
      </c>
      <c r="Z1212" s="36">
        <v>1.6599704062788552</v>
      </c>
      <c r="AA1212" s="29" t="s">
        <v>820</v>
      </c>
      <c r="AB1212" s="31">
        <v>1.67588305473</v>
      </c>
      <c r="AC1212" s="38">
        <v>631.0</v>
      </c>
    </row>
    <row r="1213" ht="14.25" customHeight="1">
      <c r="A1213" s="29" t="s">
        <v>312</v>
      </c>
      <c r="B1213" s="29">
        <v>72.0</v>
      </c>
      <c r="C1213" s="29" t="s">
        <v>608</v>
      </c>
      <c r="D1213" s="29" t="s">
        <v>683</v>
      </c>
      <c r="E1213" s="29">
        <v>122.0</v>
      </c>
      <c r="F1213" s="30" t="s">
        <v>684</v>
      </c>
      <c r="G1213" s="29" t="s">
        <v>629</v>
      </c>
      <c r="H1213" s="31">
        <v>100.0</v>
      </c>
      <c r="I1213" s="29" t="s">
        <v>657</v>
      </c>
      <c r="J1213" s="32" t="s">
        <v>642</v>
      </c>
      <c r="K1213" s="29" t="s">
        <v>599</v>
      </c>
      <c r="L1213" s="29" t="s">
        <v>1241</v>
      </c>
      <c r="M1213" s="33">
        <v>-61.95</v>
      </c>
      <c r="N1213" s="33">
        <v>-17.117</v>
      </c>
      <c r="O1213" s="34" t="s">
        <v>641</v>
      </c>
      <c r="P1213" s="32" t="s">
        <v>700</v>
      </c>
      <c r="Q1213" s="35">
        <v>6.0</v>
      </c>
      <c r="R1213" s="35">
        <v>4.0</v>
      </c>
      <c r="S1213" s="36">
        <v>0.0</v>
      </c>
      <c r="T1213" s="36">
        <v>0.23</v>
      </c>
      <c r="U1213" s="36">
        <v>0.0</v>
      </c>
      <c r="V1213" s="36">
        <v>0.4796</v>
      </c>
      <c r="W1213" s="37" t="s">
        <v>1242</v>
      </c>
      <c r="X1213" s="31">
        <v>1.5</v>
      </c>
      <c r="Y1213" s="36">
        <v>-8.262558973010657</v>
      </c>
      <c r="Z1213" s="36">
        <v>0.6168525176706074</v>
      </c>
      <c r="AA1213" s="29" t="s">
        <v>820</v>
      </c>
      <c r="AB1213" s="31">
        <v>1.67588305473</v>
      </c>
      <c r="AC1213" s="38">
        <v>561.0</v>
      </c>
    </row>
    <row r="1214" ht="14.25" customHeight="1">
      <c r="A1214" s="29" t="s">
        <v>312</v>
      </c>
      <c r="B1214" s="29">
        <v>72.0</v>
      </c>
      <c r="C1214" s="29" t="s">
        <v>608</v>
      </c>
      <c r="D1214" s="29" t="s">
        <v>683</v>
      </c>
      <c r="E1214" s="29">
        <v>122.0</v>
      </c>
      <c r="F1214" s="30" t="s">
        <v>684</v>
      </c>
      <c r="G1214" s="29" t="s">
        <v>629</v>
      </c>
      <c r="H1214" s="31">
        <v>100.0</v>
      </c>
      <c r="I1214" s="29" t="s">
        <v>657</v>
      </c>
      <c r="J1214" s="32" t="s">
        <v>642</v>
      </c>
      <c r="K1214" s="29" t="s">
        <v>599</v>
      </c>
      <c r="L1214" s="29" t="s">
        <v>1241</v>
      </c>
      <c r="M1214" s="33">
        <v>-62.033</v>
      </c>
      <c r="N1214" s="33">
        <v>-17.085</v>
      </c>
      <c r="O1214" s="34" t="s">
        <v>641</v>
      </c>
      <c r="P1214" s="32" t="s">
        <v>700</v>
      </c>
      <c r="Q1214" s="35">
        <v>6.0</v>
      </c>
      <c r="R1214" s="35">
        <v>4.0</v>
      </c>
      <c r="S1214" s="36">
        <v>0.0</v>
      </c>
      <c r="T1214" s="36">
        <v>0.23</v>
      </c>
      <c r="U1214" s="36">
        <v>0.0</v>
      </c>
      <c r="V1214" s="36">
        <v>0.4796</v>
      </c>
      <c r="W1214" s="37" t="s">
        <v>1242</v>
      </c>
      <c r="X1214" s="31">
        <v>7.0</v>
      </c>
      <c r="Y1214" s="36">
        <v>-8.262558973010657</v>
      </c>
      <c r="Z1214" s="36">
        <v>0.6168525176706074</v>
      </c>
      <c r="AA1214" s="29" t="s">
        <v>820</v>
      </c>
      <c r="AB1214" s="31">
        <v>1.67588305473</v>
      </c>
      <c r="AC1214" s="38">
        <v>631.0</v>
      </c>
    </row>
    <row r="1215" ht="14.25" customHeight="1">
      <c r="A1215" s="29" t="s">
        <v>312</v>
      </c>
      <c r="B1215" s="29">
        <v>72.0</v>
      </c>
      <c r="C1215" s="29" t="s">
        <v>608</v>
      </c>
      <c r="D1215" s="29" t="s">
        <v>630</v>
      </c>
      <c r="E1215" s="29">
        <v>129.0</v>
      </c>
      <c r="F1215" s="30" t="s">
        <v>631</v>
      </c>
      <c r="G1215" s="29" t="s">
        <v>626</v>
      </c>
      <c r="H1215" s="31">
        <v>21.27</v>
      </c>
      <c r="I1215" s="29" t="s">
        <v>612</v>
      </c>
      <c r="J1215" s="32" t="s">
        <v>642</v>
      </c>
      <c r="K1215" s="29" t="s">
        <v>599</v>
      </c>
      <c r="L1215" s="29" t="s">
        <v>1241</v>
      </c>
      <c r="M1215" s="33">
        <v>-61.95</v>
      </c>
      <c r="N1215" s="33">
        <v>-17.117</v>
      </c>
      <c r="O1215" s="34" t="s">
        <v>641</v>
      </c>
      <c r="P1215" s="32" t="s">
        <v>700</v>
      </c>
      <c r="Q1215" s="35">
        <v>6.0</v>
      </c>
      <c r="R1215" s="35">
        <v>4.0</v>
      </c>
      <c r="S1215" s="36">
        <v>0.13</v>
      </c>
      <c r="T1215" s="36">
        <v>0.23</v>
      </c>
      <c r="U1215" s="36">
        <v>0.3606</v>
      </c>
      <c r="V1215" s="36">
        <v>0.4796</v>
      </c>
      <c r="W1215" s="37" t="s">
        <v>1242</v>
      </c>
      <c r="X1215" s="31">
        <v>1.5</v>
      </c>
      <c r="Y1215" s="36">
        <v>-0.570088504726025</v>
      </c>
      <c r="Z1215" s="36">
        <v>2.3694033064507103</v>
      </c>
      <c r="AA1215" s="29" t="s">
        <v>820</v>
      </c>
      <c r="AB1215" s="31">
        <v>1.67588305473</v>
      </c>
      <c r="AC1215" s="38">
        <v>561.0</v>
      </c>
    </row>
    <row r="1216" ht="14.25" customHeight="1">
      <c r="A1216" s="29" t="s">
        <v>312</v>
      </c>
      <c r="B1216" s="29">
        <v>72.0</v>
      </c>
      <c r="C1216" s="29" t="s">
        <v>608</v>
      </c>
      <c r="D1216" s="29" t="s">
        <v>630</v>
      </c>
      <c r="E1216" s="29">
        <v>129.0</v>
      </c>
      <c r="F1216" s="30" t="s">
        <v>631</v>
      </c>
      <c r="G1216" s="29" t="s">
        <v>626</v>
      </c>
      <c r="H1216" s="31">
        <v>21.27</v>
      </c>
      <c r="I1216" s="29" t="s">
        <v>612</v>
      </c>
      <c r="J1216" s="32" t="s">
        <v>642</v>
      </c>
      <c r="K1216" s="29" t="s">
        <v>599</v>
      </c>
      <c r="L1216" s="29" t="s">
        <v>1241</v>
      </c>
      <c r="M1216" s="33">
        <v>-62.033</v>
      </c>
      <c r="N1216" s="33">
        <v>-17.085</v>
      </c>
      <c r="O1216" s="34" t="s">
        <v>641</v>
      </c>
      <c r="P1216" s="32" t="s">
        <v>700</v>
      </c>
      <c r="Q1216" s="35">
        <v>6.0</v>
      </c>
      <c r="R1216" s="35">
        <v>4.0</v>
      </c>
      <c r="S1216" s="36">
        <v>0.22</v>
      </c>
      <c r="T1216" s="36">
        <v>0.23</v>
      </c>
      <c r="U1216" s="36">
        <v>0.469</v>
      </c>
      <c r="V1216" s="36">
        <v>0.4796</v>
      </c>
      <c r="W1216" s="37" t="s">
        <v>1242</v>
      </c>
      <c r="X1216" s="31">
        <v>7.0</v>
      </c>
      <c r="Y1216" s="36">
        <v>-0.04418207382518668</v>
      </c>
      <c r="Z1216" s="36">
        <v>1.8444743523046236</v>
      </c>
      <c r="AA1216" s="29" t="s">
        <v>820</v>
      </c>
      <c r="AB1216" s="31">
        <v>1.67588305473</v>
      </c>
      <c r="AC1216" s="38">
        <v>631.0</v>
      </c>
    </row>
    <row r="1217" ht="14.25" customHeight="1">
      <c r="A1217" s="29" t="s">
        <v>312</v>
      </c>
      <c r="B1217" s="29">
        <v>72.0</v>
      </c>
      <c r="C1217" s="29" t="s">
        <v>608</v>
      </c>
      <c r="D1217" s="42" t="s">
        <v>1141</v>
      </c>
      <c r="E1217" s="29">
        <v>150.0</v>
      </c>
      <c r="F1217" s="30" t="s">
        <v>1142</v>
      </c>
      <c r="G1217" s="29" t="s">
        <v>619</v>
      </c>
      <c r="H1217" s="31">
        <v>45.36</v>
      </c>
      <c r="I1217" s="29" t="s">
        <v>620</v>
      </c>
      <c r="J1217" s="32" t="s">
        <v>642</v>
      </c>
      <c r="K1217" s="29" t="s">
        <v>599</v>
      </c>
      <c r="L1217" s="29" t="s">
        <v>1241</v>
      </c>
      <c r="M1217" s="33">
        <v>-61.95</v>
      </c>
      <c r="N1217" s="33">
        <v>-17.117</v>
      </c>
      <c r="O1217" s="34" t="s">
        <v>641</v>
      </c>
      <c r="P1217" s="32" t="s">
        <v>700</v>
      </c>
      <c r="Q1217" s="35">
        <v>6.0</v>
      </c>
      <c r="R1217" s="35">
        <v>4.0</v>
      </c>
      <c r="S1217" s="36">
        <v>0.07</v>
      </c>
      <c r="T1217" s="36">
        <v>0.16</v>
      </c>
      <c r="U1217" s="36">
        <v>0.2646</v>
      </c>
      <c r="V1217" s="36">
        <v>0.4</v>
      </c>
      <c r="W1217" s="37" t="s">
        <v>1242</v>
      </c>
      <c r="X1217" s="31">
        <v>1.5</v>
      </c>
      <c r="Y1217" s="36">
        <v>-0.8260890374267891</v>
      </c>
      <c r="Z1217" s="36">
        <v>3.9439</v>
      </c>
      <c r="AA1217" s="29" t="s">
        <v>820</v>
      </c>
      <c r="AB1217" s="31">
        <v>1.67588305473</v>
      </c>
      <c r="AC1217" s="38">
        <v>561.0</v>
      </c>
    </row>
    <row r="1218" ht="14.25" customHeight="1">
      <c r="A1218" s="29" t="s">
        <v>312</v>
      </c>
      <c r="B1218" s="29">
        <v>72.0</v>
      </c>
      <c r="C1218" s="29" t="s">
        <v>608</v>
      </c>
      <c r="D1218" s="42" t="s">
        <v>1141</v>
      </c>
      <c r="E1218" s="29">
        <v>150.0</v>
      </c>
      <c r="F1218" s="30" t="s">
        <v>1142</v>
      </c>
      <c r="G1218" s="29" t="s">
        <v>619</v>
      </c>
      <c r="H1218" s="31">
        <v>45.36</v>
      </c>
      <c r="I1218" s="29" t="s">
        <v>620</v>
      </c>
      <c r="J1218" s="32" t="s">
        <v>642</v>
      </c>
      <c r="K1218" s="29" t="s">
        <v>599</v>
      </c>
      <c r="L1218" s="29" t="s">
        <v>1241</v>
      </c>
      <c r="M1218" s="33">
        <v>-62.033</v>
      </c>
      <c r="N1218" s="33">
        <v>-17.085</v>
      </c>
      <c r="O1218" s="34" t="s">
        <v>641</v>
      </c>
      <c r="P1218" s="32" t="s">
        <v>700</v>
      </c>
      <c r="Q1218" s="35">
        <v>6.0</v>
      </c>
      <c r="R1218" s="35">
        <v>4.0</v>
      </c>
      <c r="S1218" s="36">
        <v>0.07</v>
      </c>
      <c r="T1218" s="36">
        <v>0.16</v>
      </c>
      <c r="U1218" s="36">
        <v>0.2646</v>
      </c>
      <c r="V1218" s="36">
        <v>0.4</v>
      </c>
      <c r="W1218" s="37" t="s">
        <v>1242</v>
      </c>
      <c r="X1218" s="31">
        <v>7.0</v>
      </c>
      <c r="Y1218" s="36">
        <v>-0.8260890374267891</v>
      </c>
      <c r="Z1218" s="36">
        <v>3.9439</v>
      </c>
      <c r="AA1218" s="29" t="s">
        <v>820</v>
      </c>
      <c r="AB1218" s="31">
        <v>1.67588305473</v>
      </c>
      <c r="AC1218" s="38">
        <v>631.0</v>
      </c>
    </row>
    <row r="1219" ht="14.25" customHeight="1">
      <c r="A1219" s="29" t="s">
        <v>312</v>
      </c>
      <c r="B1219" s="29">
        <v>72.0</v>
      </c>
      <c r="C1219" s="29" t="s">
        <v>608</v>
      </c>
      <c r="D1219" s="29" t="s">
        <v>723</v>
      </c>
      <c r="E1219" s="29">
        <v>158.0</v>
      </c>
      <c r="F1219" s="30" t="s">
        <v>724</v>
      </c>
      <c r="G1219" s="29" t="s">
        <v>629</v>
      </c>
      <c r="H1219" s="31">
        <v>51.6</v>
      </c>
      <c r="I1219" s="29" t="s">
        <v>657</v>
      </c>
      <c r="J1219" s="32" t="s">
        <v>642</v>
      </c>
      <c r="K1219" s="29" t="s">
        <v>599</v>
      </c>
      <c r="L1219" s="29" t="s">
        <v>1241</v>
      </c>
      <c r="M1219" s="33">
        <v>-61.95</v>
      </c>
      <c r="N1219" s="33">
        <v>-17.117</v>
      </c>
      <c r="O1219" s="34" t="s">
        <v>641</v>
      </c>
      <c r="P1219" s="32" t="s">
        <v>700</v>
      </c>
      <c r="Q1219" s="35">
        <v>6.0</v>
      </c>
      <c r="R1219" s="35">
        <v>4.0</v>
      </c>
      <c r="S1219" s="36">
        <v>0.0</v>
      </c>
      <c r="T1219" s="36">
        <v>0.08</v>
      </c>
      <c r="U1219" s="36">
        <v>0.0</v>
      </c>
      <c r="V1219" s="36">
        <v>0.2828</v>
      </c>
      <c r="W1219" s="37" t="s">
        <v>1242</v>
      </c>
      <c r="X1219" s="31">
        <v>1.5</v>
      </c>
      <c r="Y1219" s="36">
        <v>-8.262558973010657</v>
      </c>
      <c r="Z1219" s="36">
        <v>0.6220589377724931</v>
      </c>
      <c r="AA1219" s="29" t="s">
        <v>820</v>
      </c>
      <c r="AB1219" s="31">
        <v>1.67588305473</v>
      </c>
      <c r="AC1219" s="38">
        <v>561.0</v>
      </c>
    </row>
    <row r="1220" ht="14.25" customHeight="1">
      <c r="A1220" s="29" t="s">
        <v>312</v>
      </c>
      <c r="B1220" s="29">
        <v>72.0</v>
      </c>
      <c r="C1220" s="29" t="s">
        <v>608</v>
      </c>
      <c r="D1220" s="29" t="s">
        <v>723</v>
      </c>
      <c r="E1220" s="29">
        <v>158.0</v>
      </c>
      <c r="F1220" s="30" t="s">
        <v>724</v>
      </c>
      <c r="G1220" s="29" t="s">
        <v>629</v>
      </c>
      <c r="H1220" s="31">
        <v>51.6</v>
      </c>
      <c r="I1220" s="29" t="s">
        <v>657</v>
      </c>
      <c r="J1220" s="32" t="s">
        <v>642</v>
      </c>
      <c r="K1220" s="29" t="s">
        <v>599</v>
      </c>
      <c r="L1220" s="29" t="s">
        <v>1241</v>
      </c>
      <c r="M1220" s="33">
        <v>-62.033</v>
      </c>
      <c r="N1220" s="33">
        <v>-17.085</v>
      </c>
      <c r="O1220" s="34" t="s">
        <v>641</v>
      </c>
      <c r="P1220" s="32" t="s">
        <v>700</v>
      </c>
      <c r="Q1220" s="35">
        <v>6.0</v>
      </c>
      <c r="R1220" s="35">
        <v>4.0</v>
      </c>
      <c r="S1220" s="36">
        <v>0.0</v>
      </c>
      <c r="T1220" s="36">
        <v>0.08</v>
      </c>
      <c r="U1220" s="36">
        <v>0.0</v>
      </c>
      <c r="V1220" s="36">
        <v>0.2828</v>
      </c>
      <c r="W1220" s="37" t="s">
        <v>1242</v>
      </c>
      <c r="X1220" s="31">
        <v>7.0</v>
      </c>
      <c r="Y1220" s="36">
        <v>-8.262558973010657</v>
      </c>
      <c r="Z1220" s="36">
        <v>0.6220589377724931</v>
      </c>
      <c r="AA1220" s="29" t="s">
        <v>820</v>
      </c>
      <c r="AB1220" s="31">
        <v>1.67588305473</v>
      </c>
      <c r="AC1220" s="38">
        <v>631.0</v>
      </c>
    </row>
    <row r="1221" ht="14.25" customHeight="1">
      <c r="A1221" s="29" t="s">
        <v>312</v>
      </c>
      <c r="B1221" s="29">
        <v>72.0</v>
      </c>
      <c r="C1221" s="29" t="s">
        <v>608</v>
      </c>
      <c r="D1221" s="35" t="s">
        <v>658</v>
      </c>
      <c r="E1221" s="29">
        <v>207.0</v>
      </c>
      <c r="F1221" s="30" t="s">
        <v>659</v>
      </c>
      <c r="G1221" s="29" t="s">
        <v>629</v>
      </c>
      <c r="H1221" s="31">
        <v>6.88</v>
      </c>
      <c r="I1221" s="29" t="s">
        <v>657</v>
      </c>
      <c r="J1221" s="32" t="s">
        <v>642</v>
      </c>
      <c r="K1221" s="29" t="s">
        <v>599</v>
      </c>
      <c r="L1221" s="29" t="s">
        <v>1241</v>
      </c>
      <c r="M1221" s="33">
        <v>-61.95</v>
      </c>
      <c r="N1221" s="33">
        <v>-17.117</v>
      </c>
      <c r="O1221" s="34" t="s">
        <v>641</v>
      </c>
      <c r="P1221" s="32" t="s">
        <v>700</v>
      </c>
      <c r="Q1221" s="35">
        <v>6.0</v>
      </c>
      <c r="R1221" s="35">
        <v>4.0</v>
      </c>
      <c r="S1221" s="36">
        <v>0.07</v>
      </c>
      <c r="T1221" s="36">
        <v>0.08</v>
      </c>
      <c r="U1221" s="36">
        <v>0.2646</v>
      </c>
      <c r="V1221" s="36">
        <v>0.2828</v>
      </c>
      <c r="W1221" s="37" t="s">
        <v>1242</v>
      </c>
      <c r="X1221" s="31">
        <v>1.5</v>
      </c>
      <c r="Y1221" s="36">
        <v>-0.13323658130163246</v>
      </c>
      <c r="Z1221" s="36">
        <v>5.50545625</v>
      </c>
      <c r="AA1221" s="29" t="s">
        <v>820</v>
      </c>
      <c r="AB1221" s="31">
        <v>1.67588305473</v>
      </c>
      <c r="AC1221" s="38">
        <v>561.0</v>
      </c>
    </row>
    <row r="1222" ht="14.25" customHeight="1">
      <c r="A1222" s="29" t="s">
        <v>312</v>
      </c>
      <c r="B1222" s="29">
        <v>72.0</v>
      </c>
      <c r="C1222" s="29" t="s">
        <v>608</v>
      </c>
      <c r="D1222" s="35" t="s">
        <v>658</v>
      </c>
      <c r="E1222" s="29">
        <v>207.0</v>
      </c>
      <c r="F1222" s="30" t="s">
        <v>659</v>
      </c>
      <c r="G1222" s="29" t="s">
        <v>629</v>
      </c>
      <c r="H1222" s="31">
        <v>6.88</v>
      </c>
      <c r="I1222" s="29" t="s">
        <v>657</v>
      </c>
      <c r="J1222" s="32" t="s">
        <v>642</v>
      </c>
      <c r="K1222" s="29" t="s">
        <v>599</v>
      </c>
      <c r="L1222" s="29" t="s">
        <v>1241</v>
      </c>
      <c r="M1222" s="33">
        <v>-62.033</v>
      </c>
      <c r="N1222" s="33">
        <v>-17.085</v>
      </c>
      <c r="O1222" s="34" t="s">
        <v>641</v>
      </c>
      <c r="P1222" s="32" t="s">
        <v>700</v>
      </c>
      <c r="Q1222" s="35">
        <v>6.0</v>
      </c>
      <c r="R1222" s="35">
        <v>4.0</v>
      </c>
      <c r="S1222" s="36">
        <v>0.07</v>
      </c>
      <c r="T1222" s="36">
        <v>0.08</v>
      </c>
      <c r="U1222" s="36">
        <v>0.2646</v>
      </c>
      <c r="V1222" s="36">
        <v>0.2828</v>
      </c>
      <c r="W1222" s="37" t="s">
        <v>1242</v>
      </c>
      <c r="X1222" s="31">
        <v>7.0</v>
      </c>
      <c r="Y1222" s="36">
        <v>-0.13323658130163246</v>
      </c>
      <c r="Z1222" s="36">
        <v>5.50545625</v>
      </c>
      <c r="AA1222" s="29" t="s">
        <v>820</v>
      </c>
      <c r="AB1222" s="31">
        <v>1.67588305473</v>
      </c>
      <c r="AC1222" s="38">
        <v>631.0</v>
      </c>
    </row>
    <row r="1223" ht="14.25" customHeight="1">
      <c r="A1223" s="29" t="s">
        <v>312</v>
      </c>
      <c r="B1223" s="29">
        <v>72.0</v>
      </c>
      <c r="C1223" s="29" t="s">
        <v>608</v>
      </c>
      <c r="D1223" s="29" t="s">
        <v>660</v>
      </c>
      <c r="E1223" s="29">
        <v>208.0</v>
      </c>
      <c r="F1223" s="30" t="s">
        <v>661</v>
      </c>
      <c r="G1223" s="29" t="s">
        <v>662</v>
      </c>
      <c r="H1223" s="31">
        <v>0.95</v>
      </c>
      <c r="I1223" s="29" t="s">
        <v>612</v>
      </c>
      <c r="J1223" s="32" t="s">
        <v>642</v>
      </c>
      <c r="K1223" s="29" t="s">
        <v>599</v>
      </c>
      <c r="L1223" s="29" t="s">
        <v>1241</v>
      </c>
      <c r="M1223" s="33">
        <v>-61.95</v>
      </c>
      <c r="N1223" s="33">
        <v>-17.117</v>
      </c>
      <c r="O1223" s="34" t="s">
        <v>641</v>
      </c>
      <c r="P1223" s="32" t="s">
        <v>700</v>
      </c>
      <c r="Q1223" s="35">
        <v>6.0</v>
      </c>
      <c r="R1223" s="35">
        <v>4.0</v>
      </c>
      <c r="S1223" s="36">
        <v>0.07</v>
      </c>
      <c r="T1223" s="36">
        <v>0.55</v>
      </c>
      <c r="U1223" s="36">
        <v>0.2646</v>
      </c>
      <c r="V1223" s="36">
        <v>0.7416</v>
      </c>
      <c r="W1223" s="37" t="s">
        <v>1242</v>
      </c>
      <c r="X1223" s="31">
        <v>1.5</v>
      </c>
      <c r="Y1223" s="36">
        <v>-2.0593979613857982</v>
      </c>
      <c r="Z1223" s="36">
        <v>2.835921123966942</v>
      </c>
      <c r="AA1223" s="29" t="s">
        <v>820</v>
      </c>
      <c r="AB1223" s="31">
        <v>1.67588305473</v>
      </c>
      <c r="AC1223" s="38">
        <v>561.0</v>
      </c>
    </row>
    <row r="1224" ht="14.25" customHeight="1">
      <c r="A1224" s="29" t="s">
        <v>312</v>
      </c>
      <c r="B1224" s="29">
        <v>72.0</v>
      </c>
      <c r="C1224" s="29" t="s">
        <v>608</v>
      </c>
      <c r="D1224" s="29" t="s">
        <v>660</v>
      </c>
      <c r="E1224" s="29">
        <v>208.0</v>
      </c>
      <c r="F1224" s="30" t="s">
        <v>661</v>
      </c>
      <c r="G1224" s="29" t="s">
        <v>662</v>
      </c>
      <c r="H1224" s="31">
        <v>0.95</v>
      </c>
      <c r="I1224" s="29" t="s">
        <v>612</v>
      </c>
      <c r="J1224" s="32" t="s">
        <v>642</v>
      </c>
      <c r="K1224" s="29" t="s">
        <v>599</v>
      </c>
      <c r="L1224" s="29" t="s">
        <v>1241</v>
      </c>
      <c r="M1224" s="33">
        <v>-62.033</v>
      </c>
      <c r="N1224" s="33">
        <v>-17.085</v>
      </c>
      <c r="O1224" s="34" t="s">
        <v>641</v>
      </c>
      <c r="P1224" s="32" t="s">
        <v>700</v>
      </c>
      <c r="Q1224" s="35">
        <v>6.0</v>
      </c>
      <c r="R1224" s="35">
        <v>4.0</v>
      </c>
      <c r="S1224" s="36">
        <v>0.82</v>
      </c>
      <c r="T1224" s="36">
        <v>0.55</v>
      </c>
      <c r="U1224" s="36">
        <v>0.9055</v>
      </c>
      <c r="V1224" s="36">
        <v>0.7416</v>
      </c>
      <c r="W1224" s="37" t="s">
        <v>1242</v>
      </c>
      <c r="X1224" s="31">
        <v>7.0</v>
      </c>
      <c r="Y1224" s="36">
        <v>0.3995590944569171</v>
      </c>
      <c r="Z1224" s="36">
        <v>0.6577558676710865</v>
      </c>
      <c r="AA1224" s="29" t="s">
        <v>820</v>
      </c>
      <c r="AB1224" s="31">
        <v>1.67588305473</v>
      </c>
      <c r="AC1224" s="38">
        <v>631.0</v>
      </c>
    </row>
    <row r="1225" ht="14.25" customHeight="1">
      <c r="A1225" s="29" t="s">
        <v>312</v>
      </c>
      <c r="B1225" s="29">
        <v>72.0</v>
      </c>
      <c r="C1225" s="29" t="s">
        <v>608</v>
      </c>
      <c r="D1225" s="29" t="s">
        <v>693</v>
      </c>
      <c r="E1225" s="29">
        <v>209.0</v>
      </c>
      <c r="F1225" s="30" t="s">
        <v>694</v>
      </c>
      <c r="G1225" s="29" t="s">
        <v>695</v>
      </c>
      <c r="H1225" s="31">
        <v>5.52</v>
      </c>
      <c r="I1225" s="29" t="s">
        <v>620</v>
      </c>
      <c r="J1225" s="32" t="s">
        <v>642</v>
      </c>
      <c r="K1225" s="29" t="s">
        <v>599</v>
      </c>
      <c r="L1225" s="29" t="s">
        <v>1241</v>
      </c>
      <c r="M1225" s="33">
        <v>-61.95</v>
      </c>
      <c r="N1225" s="33">
        <v>-17.117</v>
      </c>
      <c r="O1225" s="34" t="s">
        <v>641</v>
      </c>
      <c r="P1225" s="32" t="s">
        <v>700</v>
      </c>
      <c r="Q1225" s="35">
        <v>5.0</v>
      </c>
      <c r="R1225" s="35">
        <v>5.0</v>
      </c>
      <c r="S1225" s="36">
        <v>0.37</v>
      </c>
      <c r="T1225" s="36">
        <v>0.46</v>
      </c>
      <c r="U1225" s="36">
        <v>0.6083</v>
      </c>
      <c r="V1225" s="36">
        <v>0.6782</v>
      </c>
      <c r="W1225" s="37" t="s">
        <v>1243</v>
      </c>
      <c r="X1225" s="31">
        <v>1.5</v>
      </c>
      <c r="Y1225" s="36">
        <v>-0.21740278108477554</v>
      </c>
      <c r="Z1225" s="36">
        <v>0.9753230489877809</v>
      </c>
      <c r="AA1225" s="29" t="s">
        <v>820</v>
      </c>
      <c r="AB1225" s="31">
        <v>1.67588305473</v>
      </c>
      <c r="AC1225" s="38">
        <v>561.0</v>
      </c>
    </row>
    <row r="1226" ht="14.25" customHeight="1">
      <c r="A1226" s="29" t="s">
        <v>312</v>
      </c>
      <c r="B1226" s="29">
        <v>72.0</v>
      </c>
      <c r="C1226" s="29" t="s">
        <v>608</v>
      </c>
      <c r="D1226" s="29" t="s">
        <v>693</v>
      </c>
      <c r="E1226" s="29">
        <v>209.0</v>
      </c>
      <c r="F1226" s="30" t="s">
        <v>694</v>
      </c>
      <c r="G1226" s="29" t="s">
        <v>695</v>
      </c>
      <c r="H1226" s="31">
        <v>5.52</v>
      </c>
      <c r="I1226" s="29" t="s">
        <v>620</v>
      </c>
      <c r="J1226" s="32" t="s">
        <v>642</v>
      </c>
      <c r="K1226" s="29" t="s">
        <v>599</v>
      </c>
      <c r="L1226" s="29" t="s">
        <v>1241</v>
      </c>
      <c r="M1226" s="33">
        <v>-62.033</v>
      </c>
      <c r="N1226" s="33">
        <v>-17.085</v>
      </c>
      <c r="O1226" s="34" t="s">
        <v>641</v>
      </c>
      <c r="P1226" s="32" t="s">
        <v>700</v>
      </c>
      <c r="Q1226" s="35">
        <v>5.0</v>
      </c>
      <c r="R1226" s="35">
        <v>5.0</v>
      </c>
      <c r="S1226" s="36">
        <v>0.26</v>
      </c>
      <c r="T1226" s="36">
        <v>0.46</v>
      </c>
      <c r="U1226" s="36">
        <v>0.5099</v>
      </c>
      <c r="V1226" s="36">
        <v>0.6782</v>
      </c>
      <c r="W1226" s="37" t="s">
        <v>1243</v>
      </c>
      <c r="X1226" s="31">
        <v>7.0</v>
      </c>
      <c r="Y1226" s="36">
        <v>-0.570088504726025</v>
      </c>
      <c r="Z1226" s="36">
        <v>1.2039651841142716</v>
      </c>
      <c r="AA1226" s="29" t="s">
        <v>820</v>
      </c>
      <c r="AB1226" s="31">
        <v>1.67588305473</v>
      </c>
      <c r="AC1226" s="38">
        <v>631.0</v>
      </c>
    </row>
    <row r="1227" ht="14.25" customHeight="1">
      <c r="A1227" s="29" t="s">
        <v>312</v>
      </c>
      <c r="B1227" s="29">
        <v>72.0</v>
      </c>
      <c r="C1227" s="29" t="s">
        <v>608</v>
      </c>
      <c r="D1227" s="29" t="s">
        <v>663</v>
      </c>
      <c r="E1227" s="29">
        <v>189.0</v>
      </c>
      <c r="F1227" s="30" t="s">
        <v>637</v>
      </c>
      <c r="G1227" s="29" t="s">
        <v>638</v>
      </c>
      <c r="H1227" s="31">
        <v>207.5</v>
      </c>
      <c r="I1227" s="29" t="s">
        <v>612</v>
      </c>
      <c r="J1227" s="32" t="s">
        <v>642</v>
      </c>
      <c r="K1227" s="29" t="s">
        <v>599</v>
      </c>
      <c r="L1227" s="29" t="s">
        <v>1241</v>
      </c>
      <c r="M1227" s="33">
        <v>-61.95</v>
      </c>
      <c r="N1227" s="33">
        <v>-17.117</v>
      </c>
      <c r="O1227" s="34" t="s">
        <v>641</v>
      </c>
      <c r="P1227" s="32" t="s">
        <v>700</v>
      </c>
      <c r="Q1227" s="35">
        <v>6.0</v>
      </c>
      <c r="R1227" s="35">
        <v>4.0</v>
      </c>
      <c r="S1227" s="36">
        <v>0.07</v>
      </c>
      <c r="T1227" s="36">
        <v>1.8</v>
      </c>
      <c r="U1227" s="36">
        <v>0.2646</v>
      </c>
      <c r="V1227" s="36">
        <v>1.3416</v>
      </c>
      <c r="W1227" s="37" t="s">
        <v>1242</v>
      </c>
      <c r="X1227" s="31">
        <v>1.5</v>
      </c>
      <c r="Y1227" s="36">
        <v>-3.240434378866645</v>
      </c>
      <c r="Z1227" s="36">
        <v>2.520280444444444</v>
      </c>
      <c r="AA1227" s="29" t="s">
        <v>820</v>
      </c>
      <c r="AB1227" s="31">
        <v>1.67588305473</v>
      </c>
      <c r="AC1227" s="38">
        <v>561.0</v>
      </c>
    </row>
    <row r="1228" ht="14.25" customHeight="1">
      <c r="A1228" s="29" t="s">
        <v>312</v>
      </c>
      <c r="B1228" s="29">
        <v>72.0</v>
      </c>
      <c r="C1228" s="29" t="s">
        <v>608</v>
      </c>
      <c r="D1228" s="29" t="s">
        <v>663</v>
      </c>
      <c r="E1228" s="29">
        <v>189.0</v>
      </c>
      <c r="F1228" s="30" t="s">
        <v>637</v>
      </c>
      <c r="G1228" s="29" t="s">
        <v>638</v>
      </c>
      <c r="H1228" s="31">
        <v>207.5</v>
      </c>
      <c r="I1228" s="29" t="s">
        <v>612</v>
      </c>
      <c r="J1228" s="32" t="s">
        <v>642</v>
      </c>
      <c r="K1228" s="29" t="s">
        <v>599</v>
      </c>
      <c r="L1228" s="29" t="s">
        <v>1241</v>
      </c>
      <c r="M1228" s="33">
        <v>-62.033</v>
      </c>
      <c r="N1228" s="33">
        <v>-17.085</v>
      </c>
      <c r="O1228" s="34" t="s">
        <v>641</v>
      </c>
      <c r="P1228" s="32" t="s">
        <v>700</v>
      </c>
      <c r="Q1228" s="35">
        <v>6.0</v>
      </c>
      <c r="R1228" s="35">
        <v>4.0</v>
      </c>
      <c r="S1228" s="36">
        <v>0.07</v>
      </c>
      <c r="T1228" s="36">
        <v>1.8</v>
      </c>
      <c r="U1228" s="36">
        <v>0.2646</v>
      </c>
      <c r="V1228" s="36">
        <v>1.3416</v>
      </c>
      <c r="W1228" s="37" t="s">
        <v>1242</v>
      </c>
      <c r="X1228" s="31">
        <v>7.0</v>
      </c>
      <c r="Y1228" s="36">
        <v>-3.240434378866645</v>
      </c>
      <c r="Z1228" s="36">
        <v>2.520280444444444</v>
      </c>
      <c r="AA1228" s="29" t="s">
        <v>820</v>
      </c>
      <c r="AB1228" s="31">
        <v>1.67588305473</v>
      </c>
      <c r="AC1228" s="38">
        <v>631.0</v>
      </c>
    </row>
    <row r="1229" ht="14.25" customHeight="1">
      <c r="A1229" s="29" t="s">
        <v>312</v>
      </c>
      <c r="B1229" s="29">
        <v>72.0</v>
      </c>
      <c r="C1229" s="29" t="s">
        <v>608</v>
      </c>
      <c r="D1229" s="29" t="s">
        <v>639</v>
      </c>
      <c r="E1229" s="29">
        <v>190.0</v>
      </c>
      <c r="F1229" s="30" t="s">
        <v>640</v>
      </c>
      <c r="G1229" s="29" t="s">
        <v>626</v>
      </c>
      <c r="H1229" s="31">
        <v>32.23</v>
      </c>
      <c r="I1229" s="29" t="s">
        <v>597</v>
      </c>
      <c r="J1229" s="32" t="s">
        <v>642</v>
      </c>
      <c r="K1229" s="29" t="s">
        <v>599</v>
      </c>
      <c r="L1229" s="29" t="s">
        <v>1241</v>
      </c>
      <c r="M1229" s="33">
        <v>-61.95</v>
      </c>
      <c r="N1229" s="33">
        <v>-17.117</v>
      </c>
      <c r="O1229" s="34" t="s">
        <v>641</v>
      </c>
      <c r="P1229" s="32" t="s">
        <v>700</v>
      </c>
      <c r="Q1229" s="35">
        <v>6.0</v>
      </c>
      <c r="R1229" s="35">
        <v>4.0</v>
      </c>
      <c r="S1229" s="36">
        <v>0.0</v>
      </c>
      <c r="T1229" s="36">
        <v>0.47</v>
      </c>
      <c r="U1229" s="36">
        <v>0.0</v>
      </c>
      <c r="V1229" s="36">
        <v>0.6856</v>
      </c>
      <c r="W1229" s="37" t="s">
        <v>1242</v>
      </c>
      <c r="X1229" s="31">
        <v>1.5</v>
      </c>
      <c r="Y1229" s="36">
        <v>-8.262558973010657</v>
      </c>
      <c r="Z1229" s="36">
        <v>0.5401514578240691</v>
      </c>
      <c r="AA1229" s="29" t="s">
        <v>820</v>
      </c>
      <c r="AB1229" s="31">
        <v>1.67588305473</v>
      </c>
      <c r="AC1229" s="38">
        <v>561.0</v>
      </c>
    </row>
    <row r="1230" ht="14.25" customHeight="1">
      <c r="A1230" s="29" t="s">
        <v>312</v>
      </c>
      <c r="B1230" s="29">
        <v>72.0</v>
      </c>
      <c r="C1230" s="29" t="s">
        <v>608</v>
      </c>
      <c r="D1230" s="29" t="s">
        <v>639</v>
      </c>
      <c r="E1230" s="29">
        <v>190.0</v>
      </c>
      <c r="F1230" s="30" t="s">
        <v>640</v>
      </c>
      <c r="G1230" s="29" t="s">
        <v>626</v>
      </c>
      <c r="H1230" s="31">
        <v>32.23</v>
      </c>
      <c r="I1230" s="29" t="s">
        <v>597</v>
      </c>
      <c r="J1230" s="32" t="s">
        <v>642</v>
      </c>
      <c r="K1230" s="29" t="s">
        <v>599</v>
      </c>
      <c r="L1230" s="29" t="s">
        <v>1241</v>
      </c>
      <c r="M1230" s="33">
        <v>-62.033</v>
      </c>
      <c r="N1230" s="33">
        <v>-17.085</v>
      </c>
      <c r="O1230" s="34" t="s">
        <v>641</v>
      </c>
      <c r="P1230" s="32" t="s">
        <v>700</v>
      </c>
      <c r="Q1230" s="35">
        <v>6.0</v>
      </c>
      <c r="R1230" s="35">
        <v>4.0</v>
      </c>
      <c r="S1230" s="36">
        <v>0.0</v>
      </c>
      <c r="T1230" s="36">
        <v>0.47</v>
      </c>
      <c r="U1230" s="36">
        <v>0.0</v>
      </c>
      <c r="V1230" s="36">
        <v>0.6856</v>
      </c>
      <c r="W1230" s="37" t="s">
        <v>1242</v>
      </c>
      <c r="X1230" s="31">
        <v>7.0</v>
      </c>
      <c r="Y1230" s="36">
        <v>-8.262558973010657</v>
      </c>
      <c r="Z1230" s="36">
        <v>0.5401514578240691</v>
      </c>
      <c r="AA1230" s="29" t="s">
        <v>820</v>
      </c>
      <c r="AB1230" s="31">
        <v>1.67588305473</v>
      </c>
      <c r="AC1230" s="38">
        <v>631.0</v>
      </c>
    </row>
    <row r="1231" ht="14.25" customHeight="1">
      <c r="A1231" s="29" t="s">
        <v>312</v>
      </c>
      <c r="B1231" s="29">
        <v>72.0</v>
      </c>
      <c r="C1231" s="29" t="s">
        <v>608</v>
      </c>
      <c r="D1231" s="29" t="s">
        <v>1246</v>
      </c>
      <c r="E1231" s="29">
        <v>210.0</v>
      </c>
      <c r="F1231" s="30" t="s">
        <v>1247</v>
      </c>
      <c r="G1231" s="29" t="s">
        <v>619</v>
      </c>
      <c r="H1231" s="31">
        <v>1.2</v>
      </c>
      <c r="I1231" s="29" t="s">
        <v>620</v>
      </c>
      <c r="J1231" s="32" t="s">
        <v>642</v>
      </c>
      <c r="K1231" s="29" t="s">
        <v>599</v>
      </c>
      <c r="L1231" s="29" t="s">
        <v>1241</v>
      </c>
      <c r="M1231" s="33">
        <v>-61.95</v>
      </c>
      <c r="N1231" s="33">
        <v>-17.117</v>
      </c>
      <c r="O1231" s="34" t="s">
        <v>641</v>
      </c>
      <c r="P1231" s="32" t="s">
        <v>700</v>
      </c>
      <c r="Q1231" s="35">
        <v>6.0</v>
      </c>
      <c r="R1231" s="35">
        <v>4.0</v>
      </c>
      <c r="S1231" s="36">
        <v>0.0</v>
      </c>
      <c r="T1231" s="36">
        <v>0.08</v>
      </c>
      <c r="U1231" s="36">
        <v>0.0</v>
      </c>
      <c r="V1231" s="36">
        <v>0.2828</v>
      </c>
      <c r="W1231" s="37" t="s">
        <v>1242</v>
      </c>
      <c r="X1231" s="31">
        <v>1.5</v>
      </c>
      <c r="Y1231" s="36">
        <v>-8.262558973010657</v>
      </c>
      <c r="Z1231" s="36">
        <v>0.6220589377724931</v>
      </c>
      <c r="AA1231" s="29" t="s">
        <v>820</v>
      </c>
      <c r="AB1231" s="31">
        <v>1.67588305473</v>
      </c>
      <c r="AC1231" s="38">
        <v>561.0</v>
      </c>
    </row>
    <row r="1232" ht="14.25" customHeight="1">
      <c r="A1232" s="29" t="s">
        <v>312</v>
      </c>
      <c r="B1232" s="29">
        <v>72.0</v>
      </c>
      <c r="C1232" s="29" t="s">
        <v>608</v>
      </c>
      <c r="D1232" s="29" t="s">
        <v>1246</v>
      </c>
      <c r="E1232" s="29">
        <v>210.0</v>
      </c>
      <c r="F1232" s="30" t="s">
        <v>1247</v>
      </c>
      <c r="G1232" s="29" t="s">
        <v>619</v>
      </c>
      <c r="H1232" s="31">
        <v>1.2</v>
      </c>
      <c r="I1232" s="29" t="s">
        <v>620</v>
      </c>
      <c r="J1232" s="32" t="s">
        <v>642</v>
      </c>
      <c r="K1232" s="29" t="s">
        <v>599</v>
      </c>
      <c r="L1232" s="29" t="s">
        <v>1241</v>
      </c>
      <c r="M1232" s="33">
        <v>-62.033</v>
      </c>
      <c r="N1232" s="33">
        <v>-17.085</v>
      </c>
      <c r="O1232" s="34" t="s">
        <v>641</v>
      </c>
      <c r="P1232" s="32" t="s">
        <v>700</v>
      </c>
      <c r="Q1232" s="35">
        <v>6.0</v>
      </c>
      <c r="R1232" s="35">
        <v>4.0</v>
      </c>
      <c r="S1232" s="36">
        <v>0.22</v>
      </c>
      <c r="T1232" s="36">
        <v>0.08</v>
      </c>
      <c r="U1232" s="36">
        <v>0.469</v>
      </c>
      <c r="V1232" s="36">
        <v>0.2828</v>
      </c>
      <c r="W1232" s="37" t="s">
        <v>1242</v>
      </c>
      <c r="X1232" s="31">
        <v>7.0</v>
      </c>
      <c r="Y1232" s="36">
        <v>1.0116947247091788</v>
      </c>
      <c r="Z1232" s="36">
        <v>3.881497710055096</v>
      </c>
      <c r="AA1232" s="29" t="s">
        <v>820</v>
      </c>
      <c r="AB1232" s="31">
        <v>1.67588305473</v>
      </c>
      <c r="AC1232" s="38">
        <v>631.0</v>
      </c>
    </row>
    <row r="1233" ht="14.25" customHeight="1">
      <c r="A1233" s="29" t="s">
        <v>82</v>
      </c>
      <c r="B1233" s="29">
        <v>43.0</v>
      </c>
      <c r="C1233" s="29" t="s">
        <v>608</v>
      </c>
      <c r="D1233" s="29" t="s">
        <v>931</v>
      </c>
      <c r="E1233" s="29">
        <v>83.0</v>
      </c>
      <c r="F1233" s="30" t="s">
        <v>932</v>
      </c>
      <c r="G1233" s="29" t="s">
        <v>611</v>
      </c>
      <c r="H1233" s="31">
        <v>131.63</v>
      </c>
      <c r="I1233" s="29" t="s">
        <v>612</v>
      </c>
      <c r="J1233" s="32" t="s">
        <v>642</v>
      </c>
      <c r="K1233" s="29" t="s">
        <v>698</v>
      </c>
      <c r="L1233" s="29" t="s">
        <v>823</v>
      </c>
      <c r="M1233" s="33">
        <v>10.523</v>
      </c>
      <c r="N1233" s="33">
        <v>-2.26</v>
      </c>
      <c r="O1233" s="34" t="s">
        <v>601</v>
      </c>
      <c r="P1233" s="32" t="s">
        <v>602</v>
      </c>
      <c r="Q1233" s="35">
        <v>5.0</v>
      </c>
      <c r="R1233" s="35">
        <v>45.0</v>
      </c>
      <c r="S1233" s="36">
        <v>3.8</v>
      </c>
      <c r="T1233" s="36">
        <v>1.5556</v>
      </c>
      <c r="U1233" s="36">
        <v>5.7619</v>
      </c>
      <c r="V1233" s="36">
        <v>2.7099</v>
      </c>
      <c r="W1233" s="37" t="s">
        <v>1248</v>
      </c>
      <c r="X1233" s="31">
        <v>4.25</v>
      </c>
      <c r="Y1233" s="36">
        <v>0.8932453540635877</v>
      </c>
      <c r="Z1233" s="36">
        <v>0.5272637388713889</v>
      </c>
      <c r="AA1233" s="29" t="s">
        <v>820</v>
      </c>
      <c r="AB1233" s="31">
        <v>0.485856682062</v>
      </c>
      <c r="AC1233" s="38">
        <v>822.0</v>
      </c>
    </row>
    <row r="1234" ht="14.25" customHeight="1">
      <c r="A1234" s="29" t="s">
        <v>82</v>
      </c>
      <c r="B1234" s="29">
        <v>43.0</v>
      </c>
      <c r="C1234" s="29" t="s">
        <v>608</v>
      </c>
      <c r="D1234" s="29" t="s">
        <v>931</v>
      </c>
      <c r="E1234" s="29">
        <v>83.0</v>
      </c>
      <c r="F1234" s="30" t="s">
        <v>932</v>
      </c>
      <c r="G1234" s="29" t="s">
        <v>611</v>
      </c>
      <c r="H1234" s="31">
        <v>131.63</v>
      </c>
      <c r="I1234" s="29" t="s">
        <v>612</v>
      </c>
      <c r="J1234" s="32" t="s">
        <v>642</v>
      </c>
      <c r="K1234" s="29" t="s">
        <v>698</v>
      </c>
      <c r="L1234" s="29" t="s">
        <v>823</v>
      </c>
      <c r="M1234" s="33">
        <v>10.402</v>
      </c>
      <c r="N1234" s="33">
        <v>-2.387</v>
      </c>
      <c r="O1234" s="34" t="s">
        <v>601</v>
      </c>
      <c r="P1234" s="32" t="s">
        <v>602</v>
      </c>
      <c r="Q1234" s="35">
        <v>73.0</v>
      </c>
      <c r="R1234" s="35">
        <v>45.0</v>
      </c>
      <c r="S1234" s="36">
        <v>3.2329</v>
      </c>
      <c r="T1234" s="36">
        <v>1.5556</v>
      </c>
      <c r="U1234" s="36">
        <v>4.7944</v>
      </c>
      <c r="V1234" s="36">
        <v>2.7099</v>
      </c>
      <c r="W1234" s="37" t="s">
        <v>1248</v>
      </c>
      <c r="X1234" s="31">
        <v>17.5</v>
      </c>
      <c r="Y1234" s="36">
        <v>0.7316423791389878</v>
      </c>
      <c r="Z1234" s="36">
        <v>0.09756434872540326</v>
      </c>
      <c r="AA1234" s="29" t="s">
        <v>820</v>
      </c>
      <c r="AB1234" s="31">
        <v>0.485856682062</v>
      </c>
      <c r="AC1234" s="38">
        <v>1893.0</v>
      </c>
    </row>
    <row r="1235" ht="14.25" customHeight="1">
      <c r="A1235" s="29" t="s">
        <v>82</v>
      </c>
      <c r="B1235" s="29">
        <v>43.0</v>
      </c>
      <c r="C1235" s="29" t="s">
        <v>608</v>
      </c>
      <c r="D1235" s="35" t="s">
        <v>947</v>
      </c>
      <c r="E1235" s="29">
        <v>121.0</v>
      </c>
      <c r="F1235" s="30" t="s">
        <v>948</v>
      </c>
      <c r="G1235" s="29" t="s">
        <v>611</v>
      </c>
      <c r="H1235" s="31">
        <v>42.5</v>
      </c>
      <c r="I1235" s="29" t="s">
        <v>597</v>
      </c>
      <c r="J1235" s="32" t="s">
        <v>642</v>
      </c>
      <c r="K1235" s="29" t="s">
        <v>698</v>
      </c>
      <c r="L1235" s="29" t="s">
        <v>823</v>
      </c>
      <c r="M1235" s="33">
        <v>10.523</v>
      </c>
      <c r="N1235" s="33">
        <v>-2.26</v>
      </c>
      <c r="O1235" s="34" t="s">
        <v>601</v>
      </c>
      <c r="P1235" s="32" t="s">
        <v>602</v>
      </c>
      <c r="Q1235" s="35">
        <v>5.0</v>
      </c>
      <c r="R1235" s="35">
        <v>45.0</v>
      </c>
      <c r="S1235" s="36">
        <v>0.0</v>
      </c>
      <c r="T1235" s="36">
        <v>1.0667</v>
      </c>
      <c r="U1235" s="36">
        <v>0.0</v>
      </c>
      <c r="V1235" s="36">
        <v>3.0181</v>
      </c>
      <c r="W1235" s="37" t="s">
        <v>1248</v>
      </c>
      <c r="X1235" s="31">
        <v>4.25</v>
      </c>
      <c r="Y1235" s="36">
        <v>-8.262558973010657</v>
      </c>
      <c r="Z1235" s="36">
        <v>0.31205523716416994</v>
      </c>
      <c r="AA1235" s="29" t="s">
        <v>820</v>
      </c>
      <c r="AB1235" s="31">
        <v>0.485856682062</v>
      </c>
      <c r="AC1235" s="38">
        <v>822.0</v>
      </c>
    </row>
    <row r="1236" ht="14.25" customHeight="1">
      <c r="A1236" s="29" t="s">
        <v>82</v>
      </c>
      <c r="B1236" s="29">
        <v>43.0</v>
      </c>
      <c r="C1236" s="29" t="s">
        <v>608</v>
      </c>
      <c r="D1236" s="35" t="s">
        <v>947</v>
      </c>
      <c r="E1236" s="29">
        <v>121.0</v>
      </c>
      <c r="F1236" s="30" t="s">
        <v>948</v>
      </c>
      <c r="G1236" s="29" t="s">
        <v>611</v>
      </c>
      <c r="H1236" s="31">
        <v>42.5</v>
      </c>
      <c r="I1236" s="29" t="s">
        <v>597</v>
      </c>
      <c r="J1236" s="32" t="s">
        <v>642</v>
      </c>
      <c r="K1236" s="29" t="s">
        <v>698</v>
      </c>
      <c r="L1236" s="29" t="s">
        <v>823</v>
      </c>
      <c r="M1236" s="33">
        <v>10.402</v>
      </c>
      <c r="N1236" s="33">
        <v>-2.387</v>
      </c>
      <c r="O1236" s="34" t="s">
        <v>601</v>
      </c>
      <c r="P1236" s="32" t="s">
        <v>602</v>
      </c>
      <c r="Q1236" s="35">
        <v>73.0</v>
      </c>
      <c r="R1236" s="35">
        <v>45.0</v>
      </c>
      <c r="S1236" s="36">
        <v>0.1918</v>
      </c>
      <c r="T1236" s="36">
        <v>1.0667</v>
      </c>
      <c r="U1236" s="36">
        <v>1.5244</v>
      </c>
      <c r="V1236" s="36">
        <v>3.0181</v>
      </c>
      <c r="W1236" s="37" t="s">
        <v>1248</v>
      </c>
      <c r="X1236" s="31">
        <v>17.5</v>
      </c>
      <c r="Y1236" s="36">
        <v>-1.7144380543066704</v>
      </c>
      <c r="Z1236" s="36">
        <v>1.0432197611391263</v>
      </c>
      <c r="AA1236" s="29" t="s">
        <v>820</v>
      </c>
      <c r="AB1236" s="31">
        <v>0.485856682062</v>
      </c>
      <c r="AC1236" s="38">
        <v>1893.0</v>
      </c>
    </row>
    <row r="1237" ht="14.25" customHeight="1">
      <c r="A1237" s="29" t="s">
        <v>82</v>
      </c>
      <c r="B1237" s="29">
        <v>43.0</v>
      </c>
      <c r="C1237" s="29" t="s">
        <v>608</v>
      </c>
      <c r="D1237" s="29" t="s">
        <v>931</v>
      </c>
      <c r="E1237" s="29">
        <v>83.0</v>
      </c>
      <c r="F1237" s="30" t="s">
        <v>932</v>
      </c>
      <c r="G1237" s="29" t="s">
        <v>611</v>
      </c>
      <c r="H1237" s="31">
        <v>131.63</v>
      </c>
      <c r="I1237" s="29" t="s">
        <v>612</v>
      </c>
      <c r="J1237" s="32" t="s">
        <v>642</v>
      </c>
      <c r="K1237" s="29" t="s">
        <v>698</v>
      </c>
      <c r="L1237" s="29" t="s">
        <v>823</v>
      </c>
      <c r="M1237" s="33">
        <v>10.384</v>
      </c>
      <c r="N1237" s="33">
        <v>-2.272</v>
      </c>
      <c r="O1237" s="34" t="s">
        <v>601</v>
      </c>
      <c r="P1237" s="32" t="s">
        <v>602</v>
      </c>
      <c r="Q1237" s="35">
        <v>85.0</v>
      </c>
      <c r="R1237" s="35">
        <v>45.0</v>
      </c>
      <c r="S1237" s="36">
        <v>1.2118</v>
      </c>
      <c r="T1237" s="36">
        <v>1.5556</v>
      </c>
      <c r="U1237" s="36">
        <v>2.854</v>
      </c>
      <c r="V1237" s="36">
        <v>2.7099</v>
      </c>
      <c r="W1237" s="37" t="s">
        <v>1248</v>
      </c>
      <c r="X1237" s="31">
        <v>22.5</v>
      </c>
      <c r="Y1237" s="36">
        <v>-0.24942332602581263</v>
      </c>
      <c r="Z1237" s="36">
        <v>0.13269398692789824</v>
      </c>
      <c r="AA1237" s="29" t="s">
        <v>820</v>
      </c>
      <c r="AB1237" s="31">
        <v>0.485856711864</v>
      </c>
      <c r="AC1237" s="38">
        <v>1655.0</v>
      </c>
    </row>
    <row r="1238" ht="14.25" customHeight="1">
      <c r="A1238" s="29" t="s">
        <v>82</v>
      </c>
      <c r="B1238" s="29">
        <v>43.0</v>
      </c>
      <c r="C1238" s="29" t="s">
        <v>608</v>
      </c>
      <c r="D1238" s="29" t="s">
        <v>931</v>
      </c>
      <c r="E1238" s="29">
        <v>83.0</v>
      </c>
      <c r="F1238" s="30" t="s">
        <v>932</v>
      </c>
      <c r="G1238" s="29" t="s">
        <v>611</v>
      </c>
      <c r="H1238" s="31">
        <v>131.63</v>
      </c>
      <c r="I1238" s="29" t="s">
        <v>612</v>
      </c>
      <c r="J1238" s="32" t="s">
        <v>642</v>
      </c>
      <c r="K1238" s="29" t="s">
        <v>698</v>
      </c>
      <c r="L1238" s="29" t="s">
        <v>823</v>
      </c>
      <c r="M1238" s="33">
        <v>10.294</v>
      </c>
      <c r="N1238" s="33">
        <v>-2.119</v>
      </c>
      <c r="O1238" s="34" t="s">
        <v>601</v>
      </c>
      <c r="P1238" s="32" t="s">
        <v>602</v>
      </c>
      <c r="Q1238" s="35">
        <v>60.0</v>
      </c>
      <c r="R1238" s="35">
        <v>45.0</v>
      </c>
      <c r="S1238" s="36">
        <v>1.95</v>
      </c>
      <c r="T1238" s="36">
        <v>1.5556</v>
      </c>
      <c r="U1238" s="36">
        <v>3.8727</v>
      </c>
      <c r="V1238" s="36">
        <v>2.7099</v>
      </c>
      <c r="W1238" s="37" t="s">
        <v>1248</v>
      </c>
      <c r="X1238" s="31">
        <v>27.5</v>
      </c>
      <c r="Y1238" s="36">
        <v>0.2261738442985763</v>
      </c>
      <c r="Z1238" s="36">
        <v>0.1331735852702809</v>
      </c>
      <c r="AA1238" s="29" t="s">
        <v>820</v>
      </c>
      <c r="AB1238" s="31">
        <v>0.485856711864</v>
      </c>
      <c r="AC1238" s="38">
        <v>748.0</v>
      </c>
    </row>
    <row r="1239" ht="14.25" customHeight="1">
      <c r="A1239" s="29" t="s">
        <v>82</v>
      </c>
      <c r="B1239" s="29">
        <v>43.0</v>
      </c>
      <c r="C1239" s="29" t="s">
        <v>608</v>
      </c>
      <c r="D1239" s="35" t="s">
        <v>947</v>
      </c>
      <c r="E1239" s="29">
        <v>121.0</v>
      </c>
      <c r="F1239" s="30" t="s">
        <v>948</v>
      </c>
      <c r="G1239" s="29" t="s">
        <v>611</v>
      </c>
      <c r="H1239" s="31">
        <v>42.5</v>
      </c>
      <c r="I1239" s="29" t="s">
        <v>597</v>
      </c>
      <c r="J1239" s="32" t="s">
        <v>642</v>
      </c>
      <c r="K1239" s="29" t="s">
        <v>698</v>
      </c>
      <c r="L1239" s="29" t="s">
        <v>823</v>
      </c>
      <c r="M1239" s="33">
        <v>10.384</v>
      </c>
      <c r="N1239" s="33">
        <v>-2.272</v>
      </c>
      <c r="O1239" s="34" t="s">
        <v>601</v>
      </c>
      <c r="P1239" s="32" t="s">
        <v>602</v>
      </c>
      <c r="Q1239" s="35">
        <v>85.0</v>
      </c>
      <c r="R1239" s="35">
        <v>45.0</v>
      </c>
      <c r="S1239" s="36">
        <v>0.2588</v>
      </c>
      <c r="T1239" s="36">
        <v>1.0667</v>
      </c>
      <c r="U1239" s="36">
        <v>1.5672</v>
      </c>
      <c r="V1239" s="36">
        <v>3.0181</v>
      </c>
      <c r="W1239" s="37" t="s">
        <v>1248</v>
      </c>
      <c r="X1239" s="31">
        <v>22.5</v>
      </c>
      <c r="Y1239" s="36">
        <v>-1.4152066578873488</v>
      </c>
      <c r="Z1239" s="36">
        <v>0.6093187180923822</v>
      </c>
      <c r="AA1239" s="29" t="s">
        <v>820</v>
      </c>
      <c r="AB1239" s="31">
        <v>0.485856711864</v>
      </c>
      <c r="AC1239" s="38">
        <v>1655.0</v>
      </c>
    </row>
    <row r="1240" ht="14.25" customHeight="1">
      <c r="A1240" s="29" t="s">
        <v>82</v>
      </c>
      <c r="B1240" s="29">
        <v>43.0</v>
      </c>
      <c r="C1240" s="29" t="s">
        <v>608</v>
      </c>
      <c r="D1240" s="35" t="s">
        <v>947</v>
      </c>
      <c r="E1240" s="29">
        <v>121.0</v>
      </c>
      <c r="F1240" s="30" t="s">
        <v>948</v>
      </c>
      <c r="G1240" s="29" t="s">
        <v>611</v>
      </c>
      <c r="H1240" s="31">
        <v>42.5</v>
      </c>
      <c r="I1240" s="29" t="s">
        <v>597</v>
      </c>
      <c r="J1240" s="32" t="s">
        <v>642</v>
      </c>
      <c r="K1240" s="29" t="s">
        <v>698</v>
      </c>
      <c r="L1240" s="29" t="s">
        <v>823</v>
      </c>
      <c r="M1240" s="33">
        <v>10.294</v>
      </c>
      <c r="N1240" s="33">
        <v>-2.119</v>
      </c>
      <c r="O1240" s="34" t="s">
        <v>601</v>
      </c>
      <c r="P1240" s="32" t="s">
        <v>602</v>
      </c>
      <c r="Q1240" s="35">
        <v>60.0</v>
      </c>
      <c r="R1240" s="35">
        <v>45.0</v>
      </c>
      <c r="S1240" s="36">
        <v>0.3333</v>
      </c>
      <c r="T1240" s="36">
        <v>1.0667</v>
      </c>
      <c r="U1240" s="36">
        <v>1.492</v>
      </c>
      <c r="V1240" s="36">
        <v>3.0181</v>
      </c>
      <c r="W1240" s="37" t="s">
        <v>1248</v>
      </c>
      <c r="X1240" s="31">
        <v>27.5</v>
      </c>
      <c r="Y1240" s="36">
        <v>-1.162456703256689</v>
      </c>
      <c r="Z1240" s="36">
        <v>0.5118740155462327</v>
      </c>
      <c r="AA1240" s="29" t="s">
        <v>820</v>
      </c>
      <c r="AB1240" s="31">
        <v>0.485856711864</v>
      </c>
      <c r="AC1240" s="38">
        <v>748.0</v>
      </c>
    </row>
    <row r="1241" ht="14.25" customHeight="1">
      <c r="A1241" s="29" t="s">
        <v>82</v>
      </c>
      <c r="B1241" s="29">
        <v>43.0</v>
      </c>
      <c r="C1241" s="29" t="s">
        <v>608</v>
      </c>
      <c r="D1241" s="29" t="s">
        <v>931</v>
      </c>
      <c r="E1241" s="29">
        <v>83.0</v>
      </c>
      <c r="F1241" s="30" t="s">
        <v>932</v>
      </c>
      <c r="G1241" s="29" t="s">
        <v>611</v>
      </c>
      <c r="H1241" s="31">
        <v>131.63</v>
      </c>
      <c r="I1241" s="29" t="s">
        <v>612</v>
      </c>
      <c r="J1241" s="32" t="s">
        <v>642</v>
      </c>
      <c r="K1241" s="29" t="s">
        <v>698</v>
      </c>
      <c r="L1241" s="29" t="s">
        <v>823</v>
      </c>
      <c r="M1241" s="33">
        <v>10.455</v>
      </c>
      <c r="N1241" s="33">
        <v>-2.458</v>
      </c>
      <c r="O1241" s="34" t="s">
        <v>601</v>
      </c>
      <c r="P1241" s="32" t="s">
        <v>602</v>
      </c>
      <c r="Q1241" s="35">
        <v>52.0</v>
      </c>
      <c r="R1241" s="35">
        <v>45.0</v>
      </c>
      <c r="S1241" s="36">
        <v>2.3846</v>
      </c>
      <c r="T1241" s="36">
        <v>1.5556</v>
      </c>
      <c r="U1241" s="36">
        <v>4.6659</v>
      </c>
      <c r="V1241" s="36">
        <v>2.7099</v>
      </c>
      <c r="W1241" s="37" t="s">
        <v>1248</v>
      </c>
      <c r="X1241" s="31">
        <v>7.5</v>
      </c>
      <c r="Y1241" s="36">
        <v>0.42733836355191424</v>
      </c>
      <c r="Z1241" s="36">
        <v>0.14106387091329536</v>
      </c>
      <c r="AA1241" s="29" t="s">
        <v>820</v>
      </c>
      <c r="AB1241" s="31">
        <v>0.899770021439</v>
      </c>
      <c r="AC1241" s="38">
        <v>1452.0</v>
      </c>
    </row>
    <row r="1242" ht="14.25" customHeight="1">
      <c r="A1242" s="29" t="s">
        <v>82</v>
      </c>
      <c r="B1242" s="29">
        <v>43.0</v>
      </c>
      <c r="C1242" s="29" t="s">
        <v>608</v>
      </c>
      <c r="D1242" s="29" t="s">
        <v>931</v>
      </c>
      <c r="E1242" s="29">
        <v>83.0</v>
      </c>
      <c r="F1242" s="30" t="s">
        <v>932</v>
      </c>
      <c r="G1242" s="29" t="s">
        <v>611</v>
      </c>
      <c r="H1242" s="31">
        <v>131.63</v>
      </c>
      <c r="I1242" s="29" t="s">
        <v>612</v>
      </c>
      <c r="J1242" s="32" t="s">
        <v>642</v>
      </c>
      <c r="K1242" s="29" t="s">
        <v>698</v>
      </c>
      <c r="L1242" s="29" t="s">
        <v>823</v>
      </c>
      <c r="M1242" s="33">
        <v>10.44</v>
      </c>
      <c r="N1242" s="33">
        <v>-2.551</v>
      </c>
      <c r="O1242" s="34" t="s">
        <v>601</v>
      </c>
      <c r="P1242" s="32" t="s">
        <v>602</v>
      </c>
      <c r="Q1242" s="35">
        <v>119.0</v>
      </c>
      <c r="R1242" s="35">
        <v>45.0</v>
      </c>
      <c r="S1242" s="36">
        <v>2.479</v>
      </c>
      <c r="T1242" s="36">
        <v>1.5556</v>
      </c>
      <c r="U1242" s="36">
        <v>4.6659</v>
      </c>
      <c r="V1242" s="36">
        <v>2.7099</v>
      </c>
      <c r="W1242" s="37" t="s">
        <v>1248</v>
      </c>
      <c r="X1242" s="31">
        <v>12.5</v>
      </c>
      <c r="Y1242" s="36">
        <v>0.46615581321663196</v>
      </c>
      <c r="Z1242" s="36">
        <v>0.09720643715633222</v>
      </c>
      <c r="AA1242" s="29" t="s">
        <v>820</v>
      </c>
      <c r="AB1242" s="31">
        <v>0.899770021439</v>
      </c>
      <c r="AC1242" s="38">
        <v>1736.0</v>
      </c>
    </row>
    <row r="1243" ht="14.25" customHeight="1">
      <c r="A1243" s="29" t="s">
        <v>82</v>
      </c>
      <c r="B1243" s="29">
        <v>43.0</v>
      </c>
      <c r="C1243" s="29" t="s">
        <v>608</v>
      </c>
      <c r="D1243" s="35" t="s">
        <v>947</v>
      </c>
      <c r="E1243" s="29">
        <v>121.0</v>
      </c>
      <c r="F1243" s="30" t="s">
        <v>948</v>
      </c>
      <c r="G1243" s="29" t="s">
        <v>611</v>
      </c>
      <c r="H1243" s="31">
        <v>42.5</v>
      </c>
      <c r="I1243" s="29" t="s">
        <v>597</v>
      </c>
      <c r="J1243" s="32" t="s">
        <v>642</v>
      </c>
      <c r="K1243" s="29" t="s">
        <v>698</v>
      </c>
      <c r="L1243" s="29" t="s">
        <v>823</v>
      </c>
      <c r="M1243" s="33">
        <v>10.455</v>
      </c>
      <c r="N1243" s="33">
        <v>-2.458</v>
      </c>
      <c r="O1243" s="34" t="s">
        <v>601</v>
      </c>
      <c r="P1243" s="32" t="s">
        <v>602</v>
      </c>
      <c r="Q1243" s="35">
        <v>52.0</v>
      </c>
      <c r="R1243" s="35">
        <v>45.0</v>
      </c>
      <c r="S1243" s="36">
        <v>0.1731</v>
      </c>
      <c r="T1243" s="36">
        <v>1.0667</v>
      </c>
      <c r="U1243" s="36">
        <v>1.2481</v>
      </c>
      <c r="V1243" s="36">
        <v>3.0181</v>
      </c>
      <c r="W1243" s="37" t="s">
        <v>1248</v>
      </c>
      <c r="X1243" s="31">
        <v>7.5</v>
      </c>
      <c r="Y1243" s="36">
        <v>-1.8168669805236168</v>
      </c>
      <c r="Z1243" s="36">
        <v>1.1776703543402438</v>
      </c>
      <c r="AA1243" s="29" t="s">
        <v>820</v>
      </c>
      <c r="AB1243" s="31">
        <v>0.899770021439</v>
      </c>
      <c r="AC1243" s="38">
        <v>1452.0</v>
      </c>
    </row>
    <row r="1244" ht="14.25" customHeight="1">
      <c r="A1244" s="29" t="s">
        <v>82</v>
      </c>
      <c r="B1244" s="29">
        <v>43.0</v>
      </c>
      <c r="C1244" s="29" t="s">
        <v>608</v>
      </c>
      <c r="D1244" s="35" t="s">
        <v>947</v>
      </c>
      <c r="E1244" s="29">
        <v>121.0</v>
      </c>
      <c r="F1244" s="30" t="s">
        <v>948</v>
      </c>
      <c r="G1244" s="29" t="s">
        <v>611</v>
      </c>
      <c r="H1244" s="31">
        <v>42.5</v>
      </c>
      <c r="I1244" s="29" t="s">
        <v>597</v>
      </c>
      <c r="J1244" s="32" t="s">
        <v>642</v>
      </c>
      <c r="K1244" s="29" t="s">
        <v>698</v>
      </c>
      <c r="L1244" s="29" t="s">
        <v>823</v>
      </c>
      <c r="M1244" s="33">
        <v>10.44</v>
      </c>
      <c r="N1244" s="33">
        <v>-2.551</v>
      </c>
      <c r="O1244" s="34" t="s">
        <v>601</v>
      </c>
      <c r="P1244" s="32" t="s">
        <v>602</v>
      </c>
      <c r="Q1244" s="35">
        <v>119.0</v>
      </c>
      <c r="R1244" s="35">
        <v>45.0</v>
      </c>
      <c r="S1244" s="36">
        <v>0.1765</v>
      </c>
      <c r="T1244" s="36">
        <v>1.0667</v>
      </c>
      <c r="U1244" s="36">
        <v>1.2481</v>
      </c>
      <c r="V1244" s="36">
        <v>3.0181</v>
      </c>
      <c r="W1244" s="37" t="s">
        <v>1248</v>
      </c>
      <c r="X1244" s="31">
        <v>12.5</v>
      </c>
      <c r="Y1244" s="36">
        <v>-1.7974461445652405</v>
      </c>
      <c r="Z1244" s="36">
        <v>0.5981037554468256</v>
      </c>
      <c r="AA1244" s="29" t="s">
        <v>820</v>
      </c>
      <c r="AB1244" s="31">
        <v>0.899770021439</v>
      </c>
      <c r="AC1244" s="38">
        <v>1736.0</v>
      </c>
    </row>
    <row r="1245" ht="14.25" customHeight="1">
      <c r="A1245" s="29" t="s">
        <v>318</v>
      </c>
      <c r="B1245" s="29">
        <v>21.0</v>
      </c>
      <c r="C1245" s="29" t="s">
        <v>608</v>
      </c>
      <c r="D1245" s="29" t="s">
        <v>939</v>
      </c>
      <c r="E1245" s="29">
        <v>45.0</v>
      </c>
      <c r="F1245" s="30" t="s">
        <v>940</v>
      </c>
      <c r="G1245" s="29" t="s">
        <v>611</v>
      </c>
      <c r="H1245" s="31">
        <v>3.48</v>
      </c>
      <c r="I1245" s="29" t="s">
        <v>597</v>
      </c>
      <c r="J1245" s="32" t="s">
        <v>714</v>
      </c>
      <c r="K1245" s="29" t="s">
        <v>698</v>
      </c>
      <c r="L1245" s="29" t="s">
        <v>985</v>
      </c>
      <c r="M1245" s="33">
        <v>9.824</v>
      </c>
      <c r="N1245" s="33">
        <v>1.533</v>
      </c>
      <c r="O1245" s="34" t="s">
        <v>641</v>
      </c>
      <c r="P1245" s="32" t="s">
        <v>602</v>
      </c>
      <c r="Q1245" s="35">
        <v>25.0</v>
      </c>
      <c r="R1245" s="35">
        <v>26.0</v>
      </c>
      <c r="S1245" s="36">
        <v>15.6</v>
      </c>
      <c r="T1245" s="36">
        <v>28.1</v>
      </c>
      <c r="U1245" s="36">
        <v>22.3214</v>
      </c>
      <c r="V1245" s="36">
        <v>31.3486</v>
      </c>
      <c r="W1245" s="37" t="s">
        <v>623</v>
      </c>
      <c r="X1245" s="31">
        <v>3.0</v>
      </c>
      <c r="Y1245" s="36">
        <v>-0.5880340429849662</v>
      </c>
      <c r="Z1245" s="36">
        <v>0.1297628506641986</v>
      </c>
      <c r="AA1245" s="29" t="s">
        <v>820</v>
      </c>
      <c r="AB1245" s="31">
        <v>14.1933698654</v>
      </c>
      <c r="AC1245" s="38">
        <v>48.0</v>
      </c>
    </row>
    <row r="1246" ht="14.25" customHeight="1">
      <c r="A1246" s="29" t="s">
        <v>318</v>
      </c>
      <c r="B1246" s="29">
        <v>21.0</v>
      </c>
      <c r="C1246" s="29" t="s">
        <v>608</v>
      </c>
      <c r="D1246" s="29" t="s">
        <v>941</v>
      </c>
      <c r="E1246" s="29">
        <v>48.0</v>
      </c>
      <c r="F1246" s="30" t="s">
        <v>942</v>
      </c>
      <c r="G1246" s="29" t="s">
        <v>611</v>
      </c>
      <c r="H1246" s="31">
        <v>5.8</v>
      </c>
      <c r="I1246" s="29" t="s">
        <v>597</v>
      </c>
      <c r="J1246" s="32" t="s">
        <v>714</v>
      </c>
      <c r="K1246" s="29" t="s">
        <v>698</v>
      </c>
      <c r="L1246" s="29" t="s">
        <v>985</v>
      </c>
      <c r="M1246" s="33">
        <v>9.824</v>
      </c>
      <c r="N1246" s="33">
        <v>1.533</v>
      </c>
      <c r="O1246" s="34" t="s">
        <v>641</v>
      </c>
      <c r="P1246" s="32" t="s">
        <v>602</v>
      </c>
      <c r="Q1246" s="35">
        <v>25.0</v>
      </c>
      <c r="R1246" s="35">
        <v>26.0</v>
      </c>
      <c r="S1246" s="36">
        <v>8.8</v>
      </c>
      <c r="T1246" s="36">
        <v>19.3</v>
      </c>
      <c r="U1246" s="36">
        <v>16.4541</v>
      </c>
      <c r="V1246" s="36">
        <v>23.674</v>
      </c>
      <c r="W1246" s="37" t="s">
        <v>623</v>
      </c>
      <c r="X1246" s="31">
        <v>3.0</v>
      </c>
      <c r="Y1246" s="36">
        <v>-0.7847876980693226</v>
      </c>
      <c r="Z1246" s="36">
        <v>0.19771394680671228</v>
      </c>
      <c r="AA1246" s="29" t="s">
        <v>820</v>
      </c>
      <c r="AB1246" s="31">
        <v>14.1933698654</v>
      </c>
      <c r="AC1246" s="38">
        <v>48.0</v>
      </c>
    </row>
    <row r="1247" ht="14.25" customHeight="1">
      <c r="A1247" s="29" t="s">
        <v>318</v>
      </c>
      <c r="B1247" s="29">
        <v>21.0</v>
      </c>
      <c r="C1247" s="29" t="s">
        <v>608</v>
      </c>
      <c r="D1247" s="29" t="s">
        <v>943</v>
      </c>
      <c r="E1247" s="29">
        <v>49.0</v>
      </c>
      <c r="F1247" s="30" t="s">
        <v>944</v>
      </c>
      <c r="G1247" s="29" t="s">
        <v>611</v>
      </c>
      <c r="H1247" s="31">
        <v>3.76</v>
      </c>
      <c r="I1247" s="29" t="s">
        <v>597</v>
      </c>
      <c r="J1247" s="32" t="s">
        <v>714</v>
      </c>
      <c r="K1247" s="29" t="s">
        <v>698</v>
      </c>
      <c r="L1247" s="29" t="s">
        <v>985</v>
      </c>
      <c r="M1247" s="33">
        <v>9.824</v>
      </c>
      <c r="N1247" s="33">
        <v>1.533</v>
      </c>
      <c r="O1247" s="34" t="s">
        <v>641</v>
      </c>
      <c r="P1247" s="32" t="s">
        <v>602</v>
      </c>
      <c r="Q1247" s="35">
        <v>25.0</v>
      </c>
      <c r="R1247" s="35">
        <v>26.0</v>
      </c>
      <c r="S1247" s="36">
        <v>18.3</v>
      </c>
      <c r="T1247" s="36">
        <v>30.2</v>
      </c>
      <c r="U1247" s="36">
        <v>25.6378</v>
      </c>
      <c r="V1247" s="36">
        <v>44.8766</v>
      </c>
      <c r="W1247" s="37" t="s">
        <v>623</v>
      </c>
      <c r="X1247" s="31">
        <v>3.0</v>
      </c>
      <c r="Y1247" s="36">
        <v>-0.5005151880608686</v>
      </c>
      <c r="Z1247" s="36">
        <v>0.16343732212082102</v>
      </c>
      <c r="AA1247" s="29" t="s">
        <v>820</v>
      </c>
      <c r="AB1247" s="31">
        <v>14.1933698654</v>
      </c>
      <c r="AC1247" s="38">
        <v>48.0</v>
      </c>
    </row>
    <row r="1248" ht="14.25" customHeight="1">
      <c r="A1248" s="29" t="s">
        <v>318</v>
      </c>
      <c r="B1248" s="29">
        <v>21.0</v>
      </c>
      <c r="C1248" s="29" t="s">
        <v>608</v>
      </c>
      <c r="D1248" s="29" t="s">
        <v>987</v>
      </c>
      <c r="E1248" s="29">
        <v>58.0</v>
      </c>
      <c r="F1248" s="30" t="s">
        <v>988</v>
      </c>
      <c r="G1248" s="29" t="s">
        <v>611</v>
      </c>
      <c r="H1248" s="31">
        <v>4.32</v>
      </c>
      <c r="I1248" s="29" t="s">
        <v>612</v>
      </c>
      <c r="J1248" s="32" t="s">
        <v>714</v>
      </c>
      <c r="K1248" s="29" t="s">
        <v>698</v>
      </c>
      <c r="L1248" s="29" t="s">
        <v>985</v>
      </c>
      <c r="M1248" s="33">
        <v>9.824</v>
      </c>
      <c r="N1248" s="33">
        <v>1.533</v>
      </c>
      <c r="O1248" s="34" t="s">
        <v>641</v>
      </c>
      <c r="P1248" s="32" t="s">
        <v>602</v>
      </c>
      <c r="Q1248" s="35">
        <v>25.0</v>
      </c>
      <c r="R1248" s="35">
        <v>26.0</v>
      </c>
      <c r="S1248" s="36">
        <v>0.0</v>
      </c>
      <c r="T1248" s="36">
        <v>57.2</v>
      </c>
      <c r="U1248" s="36">
        <v>0.0</v>
      </c>
      <c r="V1248" s="36">
        <v>46.3074</v>
      </c>
      <c r="W1248" s="37" t="s">
        <v>623</v>
      </c>
      <c r="X1248" s="31">
        <v>3.0</v>
      </c>
      <c r="Y1248" s="36">
        <v>-8.262558973010657</v>
      </c>
      <c r="Z1248" s="36">
        <v>0.06531069450427984</v>
      </c>
      <c r="AA1248" s="29" t="s">
        <v>820</v>
      </c>
      <c r="AB1248" s="31">
        <v>14.1933698654</v>
      </c>
      <c r="AC1248" s="38">
        <v>48.0</v>
      </c>
    </row>
    <row r="1249" ht="14.25" customHeight="1">
      <c r="A1249" s="29" t="s">
        <v>333</v>
      </c>
      <c r="B1249" s="29">
        <v>10.0</v>
      </c>
      <c r="C1249" s="29" t="s">
        <v>608</v>
      </c>
      <c r="D1249" s="29" t="s">
        <v>941</v>
      </c>
      <c r="E1249" s="29">
        <v>48.0</v>
      </c>
      <c r="F1249" s="30" t="s">
        <v>942</v>
      </c>
      <c r="G1249" s="29" t="s">
        <v>611</v>
      </c>
      <c r="H1249" s="31">
        <v>5.8</v>
      </c>
      <c r="I1249" s="29" t="s">
        <v>597</v>
      </c>
      <c r="J1249" s="32" t="s">
        <v>642</v>
      </c>
      <c r="K1249" s="29" t="s">
        <v>698</v>
      </c>
      <c r="L1249" s="29" t="s">
        <v>823</v>
      </c>
      <c r="M1249" s="33">
        <v>13.092</v>
      </c>
      <c r="N1249" s="33">
        <v>0.687</v>
      </c>
      <c r="O1249" s="34" t="s">
        <v>641</v>
      </c>
      <c r="P1249" s="32" t="s">
        <v>643</v>
      </c>
      <c r="Q1249" s="35">
        <v>6.0</v>
      </c>
      <c r="R1249" s="35">
        <v>4.0</v>
      </c>
      <c r="S1249" s="36">
        <v>14.2467</v>
      </c>
      <c r="T1249" s="36">
        <v>56.216</v>
      </c>
      <c r="U1249" s="36">
        <v>6.0863</v>
      </c>
      <c r="V1249" s="36">
        <v>23.1275</v>
      </c>
      <c r="W1249" s="37" t="s">
        <v>623</v>
      </c>
      <c r="X1249" s="31">
        <v>2.5</v>
      </c>
      <c r="Y1249" s="36">
        <v>-1.3716585976990716</v>
      </c>
      <c r="Z1249" s="36">
        <v>0.07273109650047979</v>
      </c>
      <c r="AA1249" s="29" t="s">
        <v>820</v>
      </c>
      <c r="AB1249" s="31">
        <v>0.874163985252</v>
      </c>
      <c r="AC1249" s="38">
        <v>619.0</v>
      </c>
    </row>
    <row r="1250" ht="14.25" customHeight="1">
      <c r="A1250" s="29" t="s">
        <v>333</v>
      </c>
      <c r="B1250" s="29">
        <v>10.0</v>
      </c>
      <c r="C1250" s="29" t="s">
        <v>608</v>
      </c>
      <c r="D1250" s="29" t="s">
        <v>941</v>
      </c>
      <c r="E1250" s="29">
        <v>48.0</v>
      </c>
      <c r="F1250" s="30" t="s">
        <v>942</v>
      </c>
      <c r="G1250" s="29" t="s">
        <v>611</v>
      </c>
      <c r="H1250" s="31">
        <v>5.8</v>
      </c>
      <c r="I1250" s="29" t="s">
        <v>597</v>
      </c>
      <c r="J1250" s="32" t="s">
        <v>642</v>
      </c>
      <c r="K1250" s="29" t="s">
        <v>698</v>
      </c>
      <c r="L1250" s="29" t="s">
        <v>823</v>
      </c>
      <c r="M1250" s="33">
        <v>13.092</v>
      </c>
      <c r="N1250" s="33">
        <v>0.687</v>
      </c>
      <c r="O1250" s="34" t="s">
        <v>641</v>
      </c>
      <c r="P1250" s="32" t="s">
        <v>643</v>
      </c>
      <c r="Q1250" s="35">
        <v>6.0</v>
      </c>
      <c r="R1250" s="35">
        <v>4.0</v>
      </c>
      <c r="S1250" s="36">
        <v>35.2308</v>
      </c>
      <c r="T1250" s="36">
        <v>56.216</v>
      </c>
      <c r="U1250" s="36">
        <v>10.315</v>
      </c>
      <c r="V1250" s="36">
        <v>23.1275</v>
      </c>
      <c r="W1250" s="37" t="s">
        <v>623</v>
      </c>
      <c r="X1250" s="31">
        <v>8.5</v>
      </c>
      <c r="Y1250" s="36">
        <v>-0.46686912437370715</v>
      </c>
      <c r="Z1250" s="36">
        <v>0.05660039755151307</v>
      </c>
      <c r="AA1250" s="29" t="s">
        <v>820</v>
      </c>
      <c r="AB1250" s="31">
        <v>0.874163985252</v>
      </c>
      <c r="AC1250" s="38">
        <v>619.0</v>
      </c>
    </row>
    <row r="1251" ht="14.25" customHeight="1">
      <c r="A1251" s="29" t="s">
        <v>330</v>
      </c>
      <c r="B1251" s="29">
        <v>11.0</v>
      </c>
      <c r="C1251" s="29" t="s">
        <v>608</v>
      </c>
      <c r="D1251" s="29" t="s">
        <v>1064</v>
      </c>
      <c r="E1251" s="29">
        <v>18.0</v>
      </c>
      <c r="F1251" s="30" t="s">
        <v>1065</v>
      </c>
      <c r="G1251" s="29" t="s">
        <v>615</v>
      </c>
      <c r="H1251" s="31">
        <v>1.93</v>
      </c>
      <c r="I1251" s="29" t="s">
        <v>612</v>
      </c>
      <c r="J1251" s="32" t="s">
        <v>642</v>
      </c>
      <c r="K1251" s="29" t="s">
        <v>698</v>
      </c>
      <c r="L1251" s="29" t="s">
        <v>823</v>
      </c>
      <c r="M1251" s="33">
        <v>13.092</v>
      </c>
      <c r="N1251" s="33">
        <v>0.687</v>
      </c>
      <c r="O1251" s="34" t="s">
        <v>641</v>
      </c>
      <c r="P1251" s="32" t="s">
        <v>643</v>
      </c>
      <c r="Q1251" s="35">
        <v>6.0</v>
      </c>
      <c r="R1251" s="35">
        <v>4.0</v>
      </c>
      <c r="S1251" s="36">
        <v>0.8025</v>
      </c>
      <c r="T1251" s="36">
        <v>0.6048</v>
      </c>
      <c r="U1251" s="36">
        <v>0.8958</v>
      </c>
      <c r="V1251" s="36">
        <v>0.7777</v>
      </c>
      <c r="W1251" s="37" t="s">
        <v>623</v>
      </c>
      <c r="X1251" s="31">
        <v>2.5</v>
      </c>
      <c r="Y1251" s="36">
        <v>0.2830284500563919</v>
      </c>
      <c r="Z1251" s="36">
        <v>0.6210449626814336</v>
      </c>
      <c r="AA1251" s="29" t="s">
        <v>820</v>
      </c>
      <c r="AB1251" s="31">
        <v>0.874163985252</v>
      </c>
      <c r="AC1251" s="38">
        <v>619.0</v>
      </c>
    </row>
    <row r="1252" ht="14.25" customHeight="1">
      <c r="A1252" s="29" t="s">
        <v>330</v>
      </c>
      <c r="B1252" s="29">
        <v>11.0</v>
      </c>
      <c r="C1252" s="29" t="s">
        <v>608</v>
      </c>
      <c r="D1252" s="29" t="s">
        <v>1064</v>
      </c>
      <c r="E1252" s="29">
        <v>18.0</v>
      </c>
      <c r="F1252" s="30" t="s">
        <v>1065</v>
      </c>
      <c r="G1252" s="29" t="s">
        <v>615</v>
      </c>
      <c r="H1252" s="31">
        <v>1.93</v>
      </c>
      <c r="I1252" s="29" t="s">
        <v>612</v>
      </c>
      <c r="J1252" s="32" t="s">
        <v>642</v>
      </c>
      <c r="K1252" s="29" t="s">
        <v>698</v>
      </c>
      <c r="L1252" s="29" t="s">
        <v>823</v>
      </c>
      <c r="M1252" s="33">
        <v>13.092</v>
      </c>
      <c r="N1252" s="33">
        <v>0.687</v>
      </c>
      <c r="O1252" s="34" t="s">
        <v>641</v>
      </c>
      <c r="P1252" s="32" t="s">
        <v>643</v>
      </c>
      <c r="Q1252" s="35">
        <v>6.0</v>
      </c>
      <c r="R1252" s="35">
        <v>4.0</v>
      </c>
      <c r="S1252" s="36">
        <v>0.8121</v>
      </c>
      <c r="T1252" s="36">
        <v>0.6048</v>
      </c>
      <c r="U1252" s="36">
        <v>0.9012</v>
      </c>
      <c r="V1252" s="36">
        <v>0.7777</v>
      </c>
      <c r="W1252" s="37" t="s">
        <v>623</v>
      </c>
      <c r="X1252" s="31">
        <v>8.5</v>
      </c>
      <c r="Y1252" s="36">
        <v>0.2949177822837841</v>
      </c>
      <c r="Z1252" s="36">
        <v>0.6186163732997918</v>
      </c>
      <c r="AA1252" s="29" t="s">
        <v>820</v>
      </c>
      <c r="AB1252" s="31">
        <v>0.874163985252</v>
      </c>
      <c r="AC1252" s="38">
        <v>619.0</v>
      </c>
    </row>
    <row r="1253" ht="14.25" customHeight="1">
      <c r="A1253" s="29" t="s">
        <v>330</v>
      </c>
      <c r="B1253" s="29">
        <v>11.0</v>
      </c>
      <c r="C1253" s="29" t="s">
        <v>608</v>
      </c>
      <c r="D1253" s="29" t="s">
        <v>1045</v>
      </c>
      <c r="E1253" s="29">
        <v>33.0</v>
      </c>
      <c r="F1253" s="30" t="s">
        <v>1046</v>
      </c>
      <c r="G1253" s="29" t="s">
        <v>626</v>
      </c>
      <c r="H1253" s="31">
        <v>18.25</v>
      </c>
      <c r="I1253" s="29" t="s">
        <v>612</v>
      </c>
      <c r="J1253" s="32" t="s">
        <v>642</v>
      </c>
      <c r="K1253" s="29" t="s">
        <v>698</v>
      </c>
      <c r="L1253" s="29" t="s">
        <v>823</v>
      </c>
      <c r="M1253" s="33">
        <v>13.092</v>
      </c>
      <c r="N1253" s="33">
        <v>0.687</v>
      </c>
      <c r="O1253" s="34" t="s">
        <v>641</v>
      </c>
      <c r="P1253" s="32" t="s">
        <v>643</v>
      </c>
      <c r="Q1253" s="35">
        <v>6.0</v>
      </c>
      <c r="R1253" s="35">
        <v>4.0</v>
      </c>
      <c r="S1253" s="36">
        <v>0.6</v>
      </c>
      <c r="T1253" s="36">
        <v>6.7</v>
      </c>
      <c r="U1253" s="36">
        <v>0.7746</v>
      </c>
      <c r="V1253" s="36">
        <v>2.5884</v>
      </c>
      <c r="W1253" s="37" t="s">
        <v>623</v>
      </c>
      <c r="X1253" s="31">
        <v>2.5</v>
      </c>
      <c r="Y1253" s="36">
        <v>-2.4100563152712793</v>
      </c>
      <c r="Z1253" s="36">
        <v>0.3150925667557733</v>
      </c>
      <c r="AA1253" s="29" t="s">
        <v>820</v>
      </c>
      <c r="AB1253" s="31">
        <v>0.874163985252</v>
      </c>
      <c r="AC1253" s="38">
        <v>619.0</v>
      </c>
    </row>
    <row r="1254" ht="14.25" customHeight="1">
      <c r="A1254" s="29" t="s">
        <v>330</v>
      </c>
      <c r="B1254" s="29">
        <v>11.0</v>
      </c>
      <c r="C1254" s="29" t="s">
        <v>608</v>
      </c>
      <c r="D1254" s="29" t="s">
        <v>1045</v>
      </c>
      <c r="E1254" s="29">
        <v>33.0</v>
      </c>
      <c r="F1254" s="30" t="s">
        <v>1046</v>
      </c>
      <c r="G1254" s="29" t="s">
        <v>626</v>
      </c>
      <c r="H1254" s="31">
        <v>18.25</v>
      </c>
      <c r="I1254" s="29" t="s">
        <v>612</v>
      </c>
      <c r="J1254" s="32" t="s">
        <v>642</v>
      </c>
      <c r="K1254" s="29" t="s">
        <v>698</v>
      </c>
      <c r="L1254" s="29" t="s">
        <v>823</v>
      </c>
      <c r="M1254" s="33">
        <v>13.092</v>
      </c>
      <c r="N1254" s="33">
        <v>0.687</v>
      </c>
      <c r="O1254" s="34" t="s">
        <v>641</v>
      </c>
      <c r="P1254" s="32" t="s">
        <v>643</v>
      </c>
      <c r="Q1254" s="35">
        <v>6.0</v>
      </c>
      <c r="R1254" s="35">
        <v>4.0</v>
      </c>
      <c r="S1254" s="36">
        <v>4.2</v>
      </c>
      <c r="T1254" s="36">
        <v>6.7</v>
      </c>
      <c r="U1254" s="36">
        <v>2.0494</v>
      </c>
      <c r="V1254" s="36">
        <v>2.5884</v>
      </c>
      <c r="W1254" s="37" t="s">
        <v>623</v>
      </c>
      <c r="X1254" s="31">
        <v>8.5</v>
      </c>
      <c r="Y1254" s="36">
        <v>-0.46661151764250547</v>
      </c>
      <c r="Z1254" s="36">
        <v>0.07699532110195628</v>
      </c>
      <c r="AA1254" s="29" t="s">
        <v>820</v>
      </c>
      <c r="AB1254" s="31">
        <v>0.874163985252</v>
      </c>
      <c r="AC1254" s="38">
        <v>619.0</v>
      </c>
    </row>
    <row r="1255" ht="14.25" customHeight="1">
      <c r="A1255" s="29" t="s">
        <v>330</v>
      </c>
      <c r="B1255" s="29">
        <v>11.0</v>
      </c>
      <c r="C1255" s="29" t="s">
        <v>608</v>
      </c>
      <c r="D1255" s="29" t="s">
        <v>1047</v>
      </c>
      <c r="E1255" s="29">
        <v>37.0</v>
      </c>
      <c r="F1255" s="30" t="s">
        <v>1048</v>
      </c>
      <c r="G1255" s="29" t="s">
        <v>626</v>
      </c>
      <c r="H1255" s="31">
        <v>20.0</v>
      </c>
      <c r="I1255" s="29" t="s">
        <v>612</v>
      </c>
      <c r="J1255" s="32" t="s">
        <v>642</v>
      </c>
      <c r="K1255" s="29" t="s">
        <v>698</v>
      </c>
      <c r="L1255" s="29" t="s">
        <v>823</v>
      </c>
      <c r="M1255" s="33">
        <v>13.092</v>
      </c>
      <c r="N1255" s="33">
        <v>0.687</v>
      </c>
      <c r="O1255" s="34" t="s">
        <v>641</v>
      </c>
      <c r="P1255" s="32" t="s">
        <v>643</v>
      </c>
      <c r="Q1255" s="35">
        <v>6.0</v>
      </c>
      <c r="R1255" s="35">
        <v>4.0</v>
      </c>
      <c r="S1255" s="36">
        <v>2.5</v>
      </c>
      <c r="T1255" s="36">
        <v>5.8</v>
      </c>
      <c r="U1255" s="36">
        <v>1.5811</v>
      </c>
      <c r="V1255" s="36">
        <v>2.4083</v>
      </c>
      <c r="W1255" s="37" t="s">
        <v>623</v>
      </c>
      <c r="X1255" s="31">
        <v>2.5</v>
      </c>
      <c r="Y1255" s="36">
        <v>-0.8409688095293818</v>
      </c>
      <c r="Z1255" s="36">
        <v>0.10976616344680935</v>
      </c>
      <c r="AA1255" s="29" t="s">
        <v>820</v>
      </c>
      <c r="AB1255" s="31">
        <v>0.874163985252</v>
      </c>
      <c r="AC1255" s="38">
        <v>619.0</v>
      </c>
    </row>
    <row r="1256" ht="14.25" customHeight="1">
      <c r="A1256" s="29" t="s">
        <v>330</v>
      </c>
      <c r="B1256" s="29">
        <v>11.0</v>
      </c>
      <c r="C1256" s="29" t="s">
        <v>608</v>
      </c>
      <c r="D1256" s="29" t="s">
        <v>1047</v>
      </c>
      <c r="E1256" s="29">
        <v>37.0</v>
      </c>
      <c r="F1256" s="30" t="s">
        <v>1048</v>
      </c>
      <c r="G1256" s="29" t="s">
        <v>626</v>
      </c>
      <c r="H1256" s="31">
        <v>20.0</v>
      </c>
      <c r="I1256" s="29" t="s">
        <v>612</v>
      </c>
      <c r="J1256" s="32" t="s">
        <v>642</v>
      </c>
      <c r="K1256" s="29" t="s">
        <v>698</v>
      </c>
      <c r="L1256" s="29" t="s">
        <v>823</v>
      </c>
      <c r="M1256" s="33">
        <v>13.092</v>
      </c>
      <c r="N1256" s="33">
        <v>0.687</v>
      </c>
      <c r="O1256" s="34" t="s">
        <v>641</v>
      </c>
      <c r="P1256" s="32" t="s">
        <v>643</v>
      </c>
      <c r="Q1256" s="35">
        <v>6.0</v>
      </c>
      <c r="R1256" s="35">
        <v>4.0</v>
      </c>
      <c r="S1256" s="36">
        <v>6.8</v>
      </c>
      <c r="T1256" s="36">
        <v>5.8</v>
      </c>
      <c r="U1256" s="36">
        <v>2.6077</v>
      </c>
      <c r="V1256" s="36">
        <v>2.4083</v>
      </c>
      <c r="W1256" s="37" t="s">
        <v>623</v>
      </c>
      <c r="X1256" s="31">
        <v>8.5</v>
      </c>
      <c r="Y1256" s="36">
        <v>0.15928472748375633</v>
      </c>
      <c r="Z1256" s="36">
        <v>0.06761293298089241</v>
      </c>
      <c r="AA1256" s="29" t="s">
        <v>820</v>
      </c>
      <c r="AB1256" s="31">
        <v>0.874163985252</v>
      </c>
      <c r="AC1256" s="38">
        <v>619.0</v>
      </c>
    </row>
    <row r="1257" ht="14.25" customHeight="1">
      <c r="A1257" s="29" t="s">
        <v>330</v>
      </c>
      <c r="B1257" s="29">
        <v>11.0</v>
      </c>
      <c r="C1257" s="29" t="s">
        <v>608</v>
      </c>
      <c r="D1257" s="29" t="s">
        <v>1053</v>
      </c>
      <c r="E1257" s="29">
        <v>41.0</v>
      </c>
      <c r="F1257" s="30" t="s">
        <v>1054</v>
      </c>
      <c r="G1257" s="29" t="s">
        <v>626</v>
      </c>
      <c r="H1257" s="31">
        <v>72.5</v>
      </c>
      <c r="I1257" s="29" t="s">
        <v>612</v>
      </c>
      <c r="J1257" s="32" t="s">
        <v>642</v>
      </c>
      <c r="K1257" s="29" t="s">
        <v>698</v>
      </c>
      <c r="L1257" s="29" t="s">
        <v>823</v>
      </c>
      <c r="M1257" s="33">
        <v>13.092</v>
      </c>
      <c r="N1257" s="33">
        <v>0.687</v>
      </c>
      <c r="O1257" s="34" t="s">
        <v>641</v>
      </c>
      <c r="P1257" s="32" t="s">
        <v>643</v>
      </c>
      <c r="Q1257" s="35">
        <v>6.0</v>
      </c>
      <c r="R1257" s="35">
        <v>4.0</v>
      </c>
      <c r="S1257" s="36">
        <v>0.0</v>
      </c>
      <c r="T1257" s="36">
        <v>0.3036</v>
      </c>
      <c r="U1257" s="36">
        <v>0.0</v>
      </c>
      <c r="V1257" s="36">
        <v>0.551</v>
      </c>
      <c r="W1257" s="37" t="s">
        <v>623</v>
      </c>
      <c r="X1257" s="31">
        <v>2.5</v>
      </c>
      <c r="Y1257" s="36">
        <v>-8.262558973010657</v>
      </c>
      <c r="Z1257" s="36">
        <v>0.5942941257042827</v>
      </c>
      <c r="AA1257" s="29" t="s">
        <v>820</v>
      </c>
      <c r="AB1257" s="31">
        <v>0.874163985252</v>
      </c>
      <c r="AC1257" s="38">
        <v>619.0</v>
      </c>
    </row>
    <row r="1258" ht="14.25" customHeight="1">
      <c r="A1258" s="29" t="s">
        <v>330</v>
      </c>
      <c r="B1258" s="29">
        <v>11.0</v>
      </c>
      <c r="C1258" s="29" t="s">
        <v>608</v>
      </c>
      <c r="D1258" s="29" t="s">
        <v>1053</v>
      </c>
      <c r="E1258" s="29">
        <v>41.0</v>
      </c>
      <c r="F1258" s="30" t="s">
        <v>1054</v>
      </c>
      <c r="G1258" s="29" t="s">
        <v>626</v>
      </c>
      <c r="H1258" s="31">
        <v>72.5</v>
      </c>
      <c r="I1258" s="29" t="s">
        <v>612</v>
      </c>
      <c r="J1258" s="32" t="s">
        <v>642</v>
      </c>
      <c r="K1258" s="29" t="s">
        <v>698</v>
      </c>
      <c r="L1258" s="29" t="s">
        <v>823</v>
      </c>
      <c r="M1258" s="33">
        <v>13.092</v>
      </c>
      <c r="N1258" s="33">
        <v>0.687</v>
      </c>
      <c r="O1258" s="34" t="s">
        <v>641</v>
      </c>
      <c r="P1258" s="32" t="s">
        <v>643</v>
      </c>
      <c r="Q1258" s="35">
        <v>6.0</v>
      </c>
      <c r="R1258" s="35">
        <v>4.0</v>
      </c>
      <c r="S1258" s="36">
        <v>0.0499</v>
      </c>
      <c r="T1258" s="36">
        <v>0.3036</v>
      </c>
      <c r="U1258" s="36">
        <v>0.2234</v>
      </c>
      <c r="V1258" s="36">
        <v>0.551</v>
      </c>
      <c r="W1258" s="37" t="s">
        <v>623</v>
      </c>
      <c r="X1258" s="31">
        <v>8.5</v>
      </c>
      <c r="Y1258" s="36">
        <v>-1.804121570586602</v>
      </c>
      <c r="Z1258" s="36">
        <v>4.163974004818236</v>
      </c>
      <c r="AA1258" s="29" t="s">
        <v>820</v>
      </c>
      <c r="AB1258" s="31">
        <v>0.874163985252</v>
      </c>
      <c r="AC1258" s="38">
        <v>619.0</v>
      </c>
    </row>
    <row r="1259" ht="14.25" customHeight="1">
      <c r="A1259" s="29" t="s">
        <v>330</v>
      </c>
      <c r="B1259" s="29">
        <v>11.0</v>
      </c>
      <c r="C1259" s="29" t="s">
        <v>608</v>
      </c>
      <c r="D1259" s="29" t="s">
        <v>939</v>
      </c>
      <c r="E1259" s="29">
        <v>45.0</v>
      </c>
      <c r="F1259" s="30" t="s">
        <v>940</v>
      </c>
      <c r="G1259" s="29" t="s">
        <v>611</v>
      </c>
      <c r="H1259" s="31">
        <v>3.48</v>
      </c>
      <c r="I1259" s="29" t="s">
        <v>597</v>
      </c>
      <c r="J1259" s="32" t="s">
        <v>642</v>
      </c>
      <c r="K1259" s="29" t="s">
        <v>698</v>
      </c>
      <c r="L1259" s="29" t="s">
        <v>823</v>
      </c>
      <c r="M1259" s="33">
        <v>13.092</v>
      </c>
      <c r="N1259" s="33">
        <v>0.687</v>
      </c>
      <c r="O1259" s="34" t="s">
        <v>641</v>
      </c>
      <c r="P1259" s="32" t="s">
        <v>643</v>
      </c>
      <c r="Q1259" s="35">
        <v>6.0</v>
      </c>
      <c r="R1259" s="35">
        <v>4.0</v>
      </c>
      <c r="S1259" s="36">
        <v>12.5</v>
      </c>
      <c r="T1259" s="36">
        <v>22.0</v>
      </c>
      <c r="U1259" s="36">
        <v>3.5355</v>
      </c>
      <c r="V1259" s="36">
        <v>4.6904</v>
      </c>
      <c r="W1259" s="37" t="s">
        <v>623</v>
      </c>
      <c r="X1259" s="31">
        <v>2.5</v>
      </c>
      <c r="Y1259" s="36">
        <v>-0.5648598357441476</v>
      </c>
      <c r="Z1259" s="36">
        <v>0.0246966376</v>
      </c>
      <c r="AA1259" s="29" t="s">
        <v>820</v>
      </c>
      <c r="AB1259" s="31">
        <v>0.874163985252</v>
      </c>
      <c r="AC1259" s="38">
        <v>619.0</v>
      </c>
    </row>
    <row r="1260" ht="14.25" customHeight="1">
      <c r="A1260" s="29" t="s">
        <v>330</v>
      </c>
      <c r="B1260" s="29">
        <v>11.0</v>
      </c>
      <c r="C1260" s="29" t="s">
        <v>608</v>
      </c>
      <c r="D1260" s="29" t="s">
        <v>939</v>
      </c>
      <c r="E1260" s="29">
        <v>45.0</v>
      </c>
      <c r="F1260" s="30" t="s">
        <v>940</v>
      </c>
      <c r="G1260" s="29" t="s">
        <v>611</v>
      </c>
      <c r="H1260" s="31">
        <v>3.48</v>
      </c>
      <c r="I1260" s="29" t="s">
        <v>597</v>
      </c>
      <c r="J1260" s="32" t="s">
        <v>642</v>
      </c>
      <c r="K1260" s="29" t="s">
        <v>698</v>
      </c>
      <c r="L1260" s="29" t="s">
        <v>823</v>
      </c>
      <c r="M1260" s="33">
        <v>13.092</v>
      </c>
      <c r="N1260" s="33">
        <v>0.687</v>
      </c>
      <c r="O1260" s="34" t="s">
        <v>641</v>
      </c>
      <c r="P1260" s="32" t="s">
        <v>643</v>
      </c>
      <c r="Q1260" s="35">
        <v>6.0</v>
      </c>
      <c r="R1260" s="35">
        <v>4.0</v>
      </c>
      <c r="S1260" s="36">
        <v>21.0</v>
      </c>
      <c r="T1260" s="36">
        <v>22.0</v>
      </c>
      <c r="U1260" s="36">
        <v>4.5826</v>
      </c>
      <c r="V1260" s="36">
        <v>4.6904</v>
      </c>
      <c r="W1260" s="37" t="s">
        <v>623</v>
      </c>
      <c r="X1260" s="31">
        <v>8.5</v>
      </c>
      <c r="Y1260" s="36">
        <v>-0.04624976860289436</v>
      </c>
      <c r="Z1260" s="36">
        <v>0.019300152123960697</v>
      </c>
      <c r="AA1260" s="29" t="s">
        <v>820</v>
      </c>
      <c r="AB1260" s="31">
        <v>0.874163985252</v>
      </c>
      <c r="AC1260" s="38">
        <v>619.0</v>
      </c>
    </row>
    <row r="1261" ht="14.25" customHeight="1">
      <c r="A1261" s="29" t="s">
        <v>330</v>
      </c>
      <c r="B1261" s="29">
        <v>11.0</v>
      </c>
      <c r="C1261" s="29" t="s">
        <v>608</v>
      </c>
      <c r="D1261" s="29" t="s">
        <v>941</v>
      </c>
      <c r="E1261" s="29">
        <v>48.0</v>
      </c>
      <c r="F1261" s="30" t="s">
        <v>942</v>
      </c>
      <c r="G1261" s="29" t="s">
        <v>611</v>
      </c>
      <c r="H1261" s="31">
        <v>5.8</v>
      </c>
      <c r="I1261" s="29" t="s">
        <v>597</v>
      </c>
      <c r="J1261" s="32" t="s">
        <v>642</v>
      </c>
      <c r="K1261" s="29" t="s">
        <v>698</v>
      </c>
      <c r="L1261" s="29" t="s">
        <v>823</v>
      </c>
      <c r="M1261" s="33">
        <v>13.092</v>
      </c>
      <c r="N1261" s="33">
        <v>0.687</v>
      </c>
      <c r="O1261" s="34" t="s">
        <v>641</v>
      </c>
      <c r="P1261" s="32" t="s">
        <v>643</v>
      </c>
      <c r="Q1261" s="35">
        <v>6.0</v>
      </c>
      <c r="R1261" s="35">
        <v>4.0</v>
      </c>
      <c r="S1261" s="36">
        <v>21.9</v>
      </c>
      <c r="T1261" s="36">
        <v>80.2</v>
      </c>
      <c r="U1261" s="36">
        <v>4.6797</v>
      </c>
      <c r="V1261" s="36">
        <v>8.9554</v>
      </c>
      <c r="W1261" s="37" t="s">
        <v>623</v>
      </c>
      <c r="X1261" s="31">
        <v>2.5</v>
      </c>
      <c r="Y1261" s="36">
        <v>-1.297092509746869</v>
      </c>
      <c r="Z1261" s="36">
        <v>0.010727383792395906</v>
      </c>
      <c r="AA1261" s="29" t="s">
        <v>820</v>
      </c>
      <c r="AB1261" s="31">
        <v>0.874163985252</v>
      </c>
      <c r="AC1261" s="38">
        <v>619.0</v>
      </c>
    </row>
    <row r="1262" ht="14.25" customHeight="1">
      <c r="A1262" s="29" t="s">
        <v>330</v>
      </c>
      <c r="B1262" s="29">
        <v>11.0</v>
      </c>
      <c r="C1262" s="29" t="s">
        <v>608</v>
      </c>
      <c r="D1262" s="29" t="s">
        <v>941</v>
      </c>
      <c r="E1262" s="29">
        <v>48.0</v>
      </c>
      <c r="F1262" s="30" t="s">
        <v>942</v>
      </c>
      <c r="G1262" s="29" t="s">
        <v>611</v>
      </c>
      <c r="H1262" s="31">
        <v>5.8</v>
      </c>
      <c r="I1262" s="29" t="s">
        <v>597</v>
      </c>
      <c r="J1262" s="32" t="s">
        <v>642</v>
      </c>
      <c r="K1262" s="29" t="s">
        <v>698</v>
      </c>
      <c r="L1262" s="29" t="s">
        <v>823</v>
      </c>
      <c r="M1262" s="33">
        <v>13.092</v>
      </c>
      <c r="N1262" s="33">
        <v>0.687</v>
      </c>
      <c r="O1262" s="34" t="s">
        <v>641</v>
      </c>
      <c r="P1262" s="32" t="s">
        <v>643</v>
      </c>
      <c r="Q1262" s="35">
        <v>6.0</v>
      </c>
      <c r="R1262" s="35">
        <v>4.0</v>
      </c>
      <c r="S1262" s="36">
        <v>48.8</v>
      </c>
      <c r="T1262" s="36">
        <v>80.2</v>
      </c>
      <c r="U1262" s="36">
        <v>6.9857</v>
      </c>
      <c r="V1262" s="36">
        <v>8.9554</v>
      </c>
      <c r="W1262" s="37" t="s">
        <v>623</v>
      </c>
      <c r="X1262" s="31">
        <v>8.5</v>
      </c>
      <c r="Y1262" s="36">
        <v>-0.4963692870733205</v>
      </c>
      <c r="Z1262" s="36">
        <v>0.006532476327565156</v>
      </c>
      <c r="AA1262" s="29" t="s">
        <v>820</v>
      </c>
      <c r="AB1262" s="31">
        <v>0.874163985252</v>
      </c>
      <c r="AC1262" s="38">
        <v>619.0</v>
      </c>
    </row>
    <row r="1263" ht="14.25" customHeight="1">
      <c r="A1263" s="29" t="s">
        <v>330</v>
      </c>
      <c r="B1263" s="29">
        <v>11.0</v>
      </c>
      <c r="C1263" s="29" t="s">
        <v>608</v>
      </c>
      <c r="D1263" s="29" t="s">
        <v>943</v>
      </c>
      <c r="E1263" s="29">
        <v>49.0</v>
      </c>
      <c r="F1263" s="30" t="s">
        <v>944</v>
      </c>
      <c r="G1263" s="29" t="s">
        <v>611</v>
      </c>
      <c r="H1263" s="31">
        <v>3.76</v>
      </c>
      <c r="I1263" s="29" t="s">
        <v>597</v>
      </c>
      <c r="J1263" s="32" t="s">
        <v>642</v>
      </c>
      <c r="K1263" s="29" t="s">
        <v>698</v>
      </c>
      <c r="L1263" s="29" t="s">
        <v>823</v>
      </c>
      <c r="M1263" s="33">
        <v>13.092</v>
      </c>
      <c r="N1263" s="33">
        <v>0.687</v>
      </c>
      <c r="O1263" s="34" t="s">
        <v>641</v>
      </c>
      <c r="P1263" s="32" t="s">
        <v>643</v>
      </c>
      <c r="Q1263" s="35">
        <v>6.0</v>
      </c>
      <c r="R1263" s="35">
        <v>4.0</v>
      </c>
      <c r="S1263" s="36">
        <v>11.1</v>
      </c>
      <c r="T1263" s="36">
        <v>19.8</v>
      </c>
      <c r="U1263" s="36">
        <v>3.3317</v>
      </c>
      <c r="V1263" s="36">
        <v>4.4497</v>
      </c>
      <c r="W1263" s="37" t="s">
        <v>623</v>
      </c>
      <c r="X1263" s="31">
        <v>2.5</v>
      </c>
      <c r="Y1263" s="36">
        <v>-0.5782767227129947</v>
      </c>
      <c r="Z1263" s="36">
        <v>0.02764147350097939</v>
      </c>
      <c r="AA1263" s="29" t="s">
        <v>820</v>
      </c>
      <c r="AB1263" s="31">
        <v>0.874163985252</v>
      </c>
      <c r="AC1263" s="38">
        <v>619.0</v>
      </c>
    </row>
    <row r="1264" ht="14.25" customHeight="1">
      <c r="A1264" s="29" t="s">
        <v>330</v>
      </c>
      <c r="B1264" s="29">
        <v>11.0</v>
      </c>
      <c r="C1264" s="29" t="s">
        <v>608</v>
      </c>
      <c r="D1264" s="29" t="s">
        <v>943</v>
      </c>
      <c r="E1264" s="29">
        <v>49.0</v>
      </c>
      <c r="F1264" s="30" t="s">
        <v>944</v>
      </c>
      <c r="G1264" s="29" t="s">
        <v>611</v>
      </c>
      <c r="H1264" s="31">
        <v>3.76</v>
      </c>
      <c r="I1264" s="29" t="s">
        <v>597</v>
      </c>
      <c r="J1264" s="32" t="s">
        <v>642</v>
      </c>
      <c r="K1264" s="29" t="s">
        <v>698</v>
      </c>
      <c r="L1264" s="29" t="s">
        <v>823</v>
      </c>
      <c r="M1264" s="33">
        <v>13.092</v>
      </c>
      <c r="N1264" s="33">
        <v>0.687</v>
      </c>
      <c r="O1264" s="34" t="s">
        <v>641</v>
      </c>
      <c r="P1264" s="32" t="s">
        <v>643</v>
      </c>
      <c r="Q1264" s="35">
        <v>6.0</v>
      </c>
      <c r="R1264" s="35">
        <v>4.0</v>
      </c>
      <c r="S1264" s="36">
        <v>15.9</v>
      </c>
      <c r="T1264" s="36">
        <v>19.8</v>
      </c>
      <c r="U1264" s="36">
        <v>3.9875</v>
      </c>
      <c r="V1264" s="36">
        <v>4.4497</v>
      </c>
      <c r="W1264" s="37" t="s">
        <v>623</v>
      </c>
      <c r="X1264" s="31">
        <v>8.5</v>
      </c>
      <c r="Y1264" s="36">
        <v>-0.21904159962519107</v>
      </c>
      <c r="Z1264" s="36">
        <v>0.02310843757869762</v>
      </c>
      <c r="AA1264" s="29" t="s">
        <v>820</v>
      </c>
      <c r="AB1264" s="31">
        <v>0.874163985252</v>
      </c>
      <c r="AC1264" s="38">
        <v>619.0</v>
      </c>
    </row>
    <row r="1265" ht="14.25" customHeight="1">
      <c r="A1265" s="29" t="s">
        <v>330</v>
      </c>
      <c r="B1265" s="29">
        <v>11.0</v>
      </c>
      <c r="C1265" s="29" t="s">
        <v>608</v>
      </c>
      <c r="D1265" s="43" t="s">
        <v>1234</v>
      </c>
      <c r="E1265" s="29">
        <v>57.0</v>
      </c>
      <c r="F1265" s="30" t="s">
        <v>1235</v>
      </c>
      <c r="G1265" s="29" t="s">
        <v>611</v>
      </c>
      <c r="H1265" s="31">
        <v>10.6</v>
      </c>
      <c r="I1265" s="29" t="s">
        <v>612</v>
      </c>
      <c r="J1265" s="32" t="s">
        <v>642</v>
      </c>
      <c r="K1265" s="29" t="s">
        <v>698</v>
      </c>
      <c r="L1265" s="29" t="s">
        <v>823</v>
      </c>
      <c r="M1265" s="33">
        <v>13.092</v>
      </c>
      <c r="N1265" s="33">
        <v>0.687</v>
      </c>
      <c r="O1265" s="34" t="s">
        <v>641</v>
      </c>
      <c r="P1265" s="32" t="s">
        <v>643</v>
      </c>
      <c r="Q1265" s="35">
        <v>6.0</v>
      </c>
      <c r="R1265" s="35">
        <v>4.0</v>
      </c>
      <c r="S1265" s="36">
        <v>0.8</v>
      </c>
      <c r="T1265" s="36">
        <v>6.8</v>
      </c>
      <c r="U1265" s="36">
        <v>0.8944</v>
      </c>
      <c r="V1265" s="36">
        <v>2.6077</v>
      </c>
      <c r="W1265" s="37" t="s">
        <v>623</v>
      </c>
      <c r="X1265" s="31">
        <v>2.5</v>
      </c>
      <c r="Y1265" s="36">
        <v>-2.137875582116452</v>
      </c>
      <c r="Z1265" s="36">
        <v>0.2450859093677912</v>
      </c>
      <c r="AA1265" s="29" t="s">
        <v>820</v>
      </c>
      <c r="AB1265" s="31">
        <v>0.874163985252</v>
      </c>
      <c r="AC1265" s="38">
        <v>619.0</v>
      </c>
    </row>
    <row r="1266" ht="14.25" customHeight="1">
      <c r="A1266" s="29" t="s">
        <v>330</v>
      </c>
      <c r="B1266" s="29">
        <v>11.0</v>
      </c>
      <c r="C1266" s="29" t="s">
        <v>608</v>
      </c>
      <c r="D1266" s="43" t="s">
        <v>1234</v>
      </c>
      <c r="E1266" s="29">
        <v>57.0</v>
      </c>
      <c r="F1266" s="30" t="s">
        <v>1235</v>
      </c>
      <c r="G1266" s="29" t="s">
        <v>611</v>
      </c>
      <c r="H1266" s="31">
        <v>10.6</v>
      </c>
      <c r="I1266" s="29" t="s">
        <v>612</v>
      </c>
      <c r="J1266" s="32" t="s">
        <v>642</v>
      </c>
      <c r="K1266" s="29" t="s">
        <v>698</v>
      </c>
      <c r="L1266" s="29" t="s">
        <v>823</v>
      </c>
      <c r="M1266" s="33">
        <v>13.092</v>
      </c>
      <c r="N1266" s="33">
        <v>0.687</v>
      </c>
      <c r="O1266" s="34" t="s">
        <v>641</v>
      </c>
      <c r="P1266" s="32" t="s">
        <v>643</v>
      </c>
      <c r="Q1266" s="35">
        <v>6.0</v>
      </c>
      <c r="R1266" s="35">
        <v>4.0</v>
      </c>
      <c r="S1266" s="36">
        <v>4.8</v>
      </c>
      <c r="T1266" s="36">
        <v>6.8</v>
      </c>
      <c r="U1266" s="36">
        <v>2.1909</v>
      </c>
      <c r="V1266" s="36">
        <v>2.6077</v>
      </c>
      <c r="W1266" s="37" t="s">
        <v>623</v>
      </c>
      <c r="X1266" s="31">
        <v>8.5</v>
      </c>
      <c r="Y1266" s="36">
        <v>-0.3479412639699778</v>
      </c>
      <c r="Z1266" s="36">
        <v>0.07148777460216624</v>
      </c>
      <c r="AA1266" s="29" t="s">
        <v>820</v>
      </c>
      <c r="AB1266" s="31">
        <v>0.874163985252</v>
      </c>
      <c r="AC1266" s="38">
        <v>619.0</v>
      </c>
    </row>
    <row r="1267" ht="14.25" customHeight="1">
      <c r="A1267" s="29" t="s">
        <v>330</v>
      </c>
      <c r="B1267" s="29">
        <v>11.0</v>
      </c>
      <c r="C1267" s="29" t="s">
        <v>608</v>
      </c>
      <c r="D1267" s="29" t="s">
        <v>1249</v>
      </c>
      <c r="E1267" s="29">
        <v>79.0</v>
      </c>
      <c r="F1267" s="30" t="s">
        <v>1250</v>
      </c>
      <c r="G1267" s="29" t="s">
        <v>611</v>
      </c>
      <c r="H1267" s="31">
        <v>0.22</v>
      </c>
      <c r="I1267" s="29" t="s">
        <v>616</v>
      </c>
      <c r="J1267" s="32" t="s">
        <v>642</v>
      </c>
      <c r="K1267" s="29" t="s">
        <v>698</v>
      </c>
      <c r="L1267" s="29" t="s">
        <v>823</v>
      </c>
      <c r="M1267" s="33">
        <v>13.092</v>
      </c>
      <c r="N1267" s="33">
        <v>0.687</v>
      </c>
      <c r="O1267" s="34" t="s">
        <v>641</v>
      </c>
      <c r="P1267" s="32" t="s">
        <v>643</v>
      </c>
      <c r="Q1267" s="35">
        <v>6.0</v>
      </c>
      <c r="R1267" s="35">
        <v>4.0</v>
      </c>
      <c r="S1267" s="36">
        <v>1.1106</v>
      </c>
      <c r="T1267" s="36">
        <v>5.804</v>
      </c>
      <c r="U1267" s="36">
        <v>1.0539</v>
      </c>
      <c r="V1267" s="36">
        <v>2.4091</v>
      </c>
      <c r="W1267" s="37" t="s">
        <v>623</v>
      </c>
      <c r="X1267" s="31">
        <v>2.5</v>
      </c>
      <c r="Y1267" s="36">
        <v>-1.6522995350986716</v>
      </c>
      <c r="Z1267" s="36">
        <v>0.19315523014816038</v>
      </c>
      <c r="AA1267" s="29" t="s">
        <v>820</v>
      </c>
      <c r="AB1267" s="31">
        <v>0.874163985252</v>
      </c>
      <c r="AC1267" s="38">
        <v>619.0</v>
      </c>
    </row>
    <row r="1268" ht="14.25" customHeight="1">
      <c r="A1268" s="29" t="s">
        <v>330</v>
      </c>
      <c r="B1268" s="29">
        <v>11.0</v>
      </c>
      <c r="C1268" s="29" t="s">
        <v>608</v>
      </c>
      <c r="D1268" s="29" t="s">
        <v>1249</v>
      </c>
      <c r="E1268" s="29">
        <v>79.0</v>
      </c>
      <c r="F1268" s="30" t="s">
        <v>1250</v>
      </c>
      <c r="G1268" s="29" t="s">
        <v>611</v>
      </c>
      <c r="H1268" s="31">
        <v>0.22</v>
      </c>
      <c r="I1268" s="29" t="s">
        <v>616</v>
      </c>
      <c r="J1268" s="32" t="s">
        <v>642</v>
      </c>
      <c r="K1268" s="29" t="s">
        <v>698</v>
      </c>
      <c r="L1268" s="29" t="s">
        <v>823</v>
      </c>
      <c r="M1268" s="33">
        <v>13.092</v>
      </c>
      <c r="N1268" s="33">
        <v>0.687</v>
      </c>
      <c r="O1268" s="34" t="s">
        <v>641</v>
      </c>
      <c r="P1268" s="32" t="s">
        <v>643</v>
      </c>
      <c r="Q1268" s="35">
        <v>6.0</v>
      </c>
      <c r="R1268" s="35">
        <v>4.0</v>
      </c>
      <c r="S1268" s="36">
        <v>1.2166</v>
      </c>
      <c r="T1268" s="36">
        <v>5.804</v>
      </c>
      <c r="U1268" s="36">
        <v>1.103</v>
      </c>
      <c r="V1268" s="36">
        <v>2.4091</v>
      </c>
      <c r="W1268" s="37" t="s">
        <v>623</v>
      </c>
      <c r="X1268" s="31">
        <v>8.5</v>
      </c>
      <c r="Y1268" s="36">
        <v>-1.5612571853361692</v>
      </c>
      <c r="Z1268" s="36">
        <v>0.18006680328171676</v>
      </c>
      <c r="AA1268" s="29" t="s">
        <v>820</v>
      </c>
      <c r="AB1268" s="31">
        <v>0.874163985252</v>
      </c>
      <c r="AC1268" s="38">
        <v>619.0</v>
      </c>
    </row>
    <row r="1269" ht="14.25" customHeight="1">
      <c r="A1269" s="29" t="s">
        <v>330</v>
      </c>
      <c r="B1269" s="29">
        <v>11.0</v>
      </c>
      <c r="C1269" s="29" t="s">
        <v>608</v>
      </c>
      <c r="D1269" s="29" t="s">
        <v>931</v>
      </c>
      <c r="E1269" s="29">
        <v>83.0</v>
      </c>
      <c r="F1269" s="30" t="s">
        <v>932</v>
      </c>
      <c r="G1269" s="29" t="s">
        <v>611</v>
      </c>
      <c r="H1269" s="31">
        <v>131.63</v>
      </c>
      <c r="I1269" s="29" t="s">
        <v>612</v>
      </c>
      <c r="J1269" s="32" t="s">
        <v>642</v>
      </c>
      <c r="K1269" s="29" t="s">
        <v>698</v>
      </c>
      <c r="L1269" s="29" t="s">
        <v>823</v>
      </c>
      <c r="M1269" s="33">
        <v>13.092</v>
      </c>
      <c r="N1269" s="33">
        <v>0.687</v>
      </c>
      <c r="O1269" s="34" t="s">
        <v>641</v>
      </c>
      <c r="P1269" s="32" t="s">
        <v>643</v>
      </c>
      <c r="Q1269" s="35">
        <v>6.0</v>
      </c>
      <c r="R1269" s="35">
        <v>4.0</v>
      </c>
      <c r="S1269" s="36">
        <v>0.0</v>
      </c>
      <c r="T1269" s="36">
        <v>2.4477</v>
      </c>
      <c r="U1269" s="36">
        <v>0.0</v>
      </c>
      <c r="V1269" s="36">
        <v>1.5645</v>
      </c>
      <c r="W1269" s="37" t="s">
        <v>623</v>
      </c>
      <c r="X1269" s="31">
        <v>2.5</v>
      </c>
      <c r="Y1269" s="36">
        <v>-8.262558973010657</v>
      </c>
      <c r="Z1269" s="36">
        <v>0.2892984997896867</v>
      </c>
      <c r="AA1269" s="29" t="s">
        <v>820</v>
      </c>
      <c r="AB1269" s="31">
        <v>0.874163985252</v>
      </c>
      <c r="AC1269" s="38">
        <v>619.0</v>
      </c>
    </row>
    <row r="1270" ht="14.25" customHeight="1">
      <c r="A1270" s="29" t="s">
        <v>330</v>
      </c>
      <c r="B1270" s="29">
        <v>11.0</v>
      </c>
      <c r="C1270" s="29" t="s">
        <v>608</v>
      </c>
      <c r="D1270" s="29" t="s">
        <v>931</v>
      </c>
      <c r="E1270" s="29">
        <v>83.0</v>
      </c>
      <c r="F1270" s="30" t="s">
        <v>932</v>
      </c>
      <c r="G1270" s="29" t="s">
        <v>611</v>
      </c>
      <c r="H1270" s="31">
        <v>131.63</v>
      </c>
      <c r="I1270" s="29" t="s">
        <v>612</v>
      </c>
      <c r="J1270" s="32" t="s">
        <v>642</v>
      </c>
      <c r="K1270" s="29" t="s">
        <v>698</v>
      </c>
      <c r="L1270" s="29" t="s">
        <v>823</v>
      </c>
      <c r="M1270" s="33">
        <v>13.092</v>
      </c>
      <c r="N1270" s="33">
        <v>0.687</v>
      </c>
      <c r="O1270" s="34" t="s">
        <v>641</v>
      </c>
      <c r="P1270" s="32" t="s">
        <v>643</v>
      </c>
      <c r="Q1270" s="35">
        <v>6.0</v>
      </c>
      <c r="R1270" s="35">
        <v>4.0</v>
      </c>
      <c r="S1270" s="36">
        <v>2.7324</v>
      </c>
      <c r="T1270" s="36">
        <v>2.4477</v>
      </c>
      <c r="U1270" s="36">
        <v>1.653</v>
      </c>
      <c r="V1270" s="36">
        <v>1.5645</v>
      </c>
      <c r="W1270" s="37" t="s">
        <v>623</v>
      </c>
      <c r="X1270" s="31">
        <v>8.5</v>
      </c>
      <c r="Y1270" s="36">
        <v>0.11026262512101044</v>
      </c>
      <c r="Z1270" s="36">
        <v>0.16313167980455776</v>
      </c>
      <c r="AA1270" s="29" t="s">
        <v>820</v>
      </c>
      <c r="AB1270" s="31">
        <v>0.874163985252</v>
      </c>
      <c r="AC1270" s="38">
        <v>619.0</v>
      </c>
    </row>
    <row r="1271" ht="14.25" customHeight="1">
      <c r="A1271" s="29" t="s">
        <v>330</v>
      </c>
      <c r="B1271" s="29">
        <v>11.0</v>
      </c>
      <c r="C1271" s="29" t="s">
        <v>608</v>
      </c>
      <c r="D1271" s="29" t="s">
        <v>1251</v>
      </c>
      <c r="E1271" s="29">
        <v>85.0</v>
      </c>
      <c r="F1271" s="30" t="s">
        <v>1252</v>
      </c>
      <c r="G1271" s="29" t="s">
        <v>626</v>
      </c>
      <c r="H1271" s="31">
        <v>10.85</v>
      </c>
      <c r="I1271" s="29" t="s">
        <v>597</v>
      </c>
      <c r="J1271" s="32" t="s">
        <v>642</v>
      </c>
      <c r="K1271" s="29" t="s">
        <v>698</v>
      </c>
      <c r="L1271" s="29" t="s">
        <v>823</v>
      </c>
      <c r="M1271" s="33">
        <v>13.092</v>
      </c>
      <c r="N1271" s="33">
        <v>0.687</v>
      </c>
      <c r="O1271" s="34" t="s">
        <v>641</v>
      </c>
      <c r="P1271" s="32" t="s">
        <v>643</v>
      </c>
      <c r="Q1271" s="35">
        <v>6.0</v>
      </c>
      <c r="R1271" s="35">
        <v>4.0</v>
      </c>
      <c r="S1271" s="36">
        <v>0.2012</v>
      </c>
      <c r="T1271" s="36">
        <v>0.9084</v>
      </c>
      <c r="U1271" s="36">
        <v>0.4486</v>
      </c>
      <c r="V1271" s="36">
        <v>0.9531</v>
      </c>
      <c r="W1271" s="37" t="s">
        <v>623</v>
      </c>
      <c r="X1271" s="31">
        <v>2.5</v>
      </c>
      <c r="Y1271" s="36">
        <v>-1.5062212123029726</v>
      </c>
      <c r="Z1271" s="36">
        <v>1.1037449492785778</v>
      </c>
      <c r="AA1271" s="29" t="s">
        <v>820</v>
      </c>
      <c r="AB1271" s="31">
        <v>0.874163985252</v>
      </c>
      <c r="AC1271" s="38">
        <v>619.0</v>
      </c>
    </row>
    <row r="1272" ht="14.25" customHeight="1">
      <c r="A1272" s="29" t="s">
        <v>330</v>
      </c>
      <c r="B1272" s="29">
        <v>11.0</v>
      </c>
      <c r="C1272" s="29" t="s">
        <v>608</v>
      </c>
      <c r="D1272" s="29" t="s">
        <v>1251</v>
      </c>
      <c r="E1272" s="29">
        <v>85.0</v>
      </c>
      <c r="F1272" s="30" t="s">
        <v>1252</v>
      </c>
      <c r="G1272" s="29" t="s">
        <v>626</v>
      </c>
      <c r="H1272" s="31">
        <v>10.85</v>
      </c>
      <c r="I1272" s="29" t="s">
        <v>597</v>
      </c>
      <c r="J1272" s="32" t="s">
        <v>642</v>
      </c>
      <c r="K1272" s="29" t="s">
        <v>698</v>
      </c>
      <c r="L1272" s="29" t="s">
        <v>823</v>
      </c>
      <c r="M1272" s="33">
        <v>13.092</v>
      </c>
      <c r="N1272" s="33">
        <v>0.687</v>
      </c>
      <c r="O1272" s="34" t="s">
        <v>641</v>
      </c>
      <c r="P1272" s="32" t="s">
        <v>643</v>
      </c>
      <c r="Q1272" s="35">
        <v>6.0</v>
      </c>
      <c r="R1272" s="35">
        <v>4.0</v>
      </c>
      <c r="S1272" s="36">
        <v>0.6068</v>
      </c>
      <c r="T1272" s="36">
        <v>0.9084</v>
      </c>
      <c r="U1272" s="36">
        <v>0.779</v>
      </c>
      <c r="V1272" s="36">
        <v>0.9531</v>
      </c>
      <c r="W1272" s="37" t="s">
        <v>623</v>
      </c>
      <c r="X1272" s="31">
        <v>8.5</v>
      </c>
      <c r="Y1272" s="36">
        <v>-0.40309940574139913</v>
      </c>
      <c r="Z1272" s="36">
        <v>0.5498925080573185</v>
      </c>
      <c r="AA1272" s="29" t="s">
        <v>820</v>
      </c>
      <c r="AB1272" s="31">
        <v>0.874163985252</v>
      </c>
      <c r="AC1272" s="38">
        <v>619.0</v>
      </c>
    </row>
    <row r="1273" ht="14.25" customHeight="1">
      <c r="A1273" s="29" t="s">
        <v>330</v>
      </c>
      <c r="B1273" s="29">
        <v>11.0</v>
      </c>
      <c r="C1273" s="29" t="s">
        <v>608</v>
      </c>
      <c r="D1273" s="29" t="s">
        <v>945</v>
      </c>
      <c r="E1273" s="29">
        <v>95.0</v>
      </c>
      <c r="F1273" s="30" t="s">
        <v>946</v>
      </c>
      <c r="G1273" s="29" t="s">
        <v>611</v>
      </c>
      <c r="H1273" s="31">
        <v>7.69</v>
      </c>
      <c r="I1273" s="29" t="s">
        <v>616</v>
      </c>
      <c r="J1273" s="32" t="s">
        <v>642</v>
      </c>
      <c r="K1273" s="29" t="s">
        <v>698</v>
      </c>
      <c r="L1273" s="29" t="s">
        <v>823</v>
      </c>
      <c r="M1273" s="33">
        <v>13.092</v>
      </c>
      <c r="N1273" s="33">
        <v>0.687</v>
      </c>
      <c r="O1273" s="34" t="s">
        <v>641</v>
      </c>
      <c r="P1273" s="32" t="s">
        <v>643</v>
      </c>
      <c r="Q1273" s="35">
        <v>6.0</v>
      </c>
      <c r="R1273" s="35">
        <v>4.0</v>
      </c>
      <c r="S1273" s="36">
        <v>2.5</v>
      </c>
      <c r="T1273" s="36">
        <v>51.2</v>
      </c>
      <c r="U1273" s="36">
        <v>1.5811</v>
      </c>
      <c r="V1273" s="36">
        <v>7.1554</v>
      </c>
      <c r="W1273" s="37" t="s">
        <v>623</v>
      </c>
      <c r="X1273" s="31">
        <v>2.5</v>
      </c>
      <c r="Y1273" s="36">
        <v>-3.0141789127230187</v>
      </c>
      <c r="Z1273" s="36">
        <v>0.0715461808447001</v>
      </c>
      <c r="AA1273" s="29" t="s">
        <v>820</v>
      </c>
      <c r="AB1273" s="31">
        <v>0.874163985252</v>
      </c>
      <c r="AC1273" s="38">
        <v>619.0</v>
      </c>
    </row>
    <row r="1274" ht="14.25" customHeight="1">
      <c r="A1274" s="29" t="s">
        <v>330</v>
      </c>
      <c r="B1274" s="29">
        <v>11.0</v>
      </c>
      <c r="C1274" s="29" t="s">
        <v>608</v>
      </c>
      <c r="D1274" s="29" t="s">
        <v>945</v>
      </c>
      <c r="E1274" s="29">
        <v>95.0</v>
      </c>
      <c r="F1274" s="30" t="s">
        <v>946</v>
      </c>
      <c r="G1274" s="29" t="s">
        <v>611</v>
      </c>
      <c r="H1274" s="31">
        <v>7.69</v>
      </c>
      <c r="I1274" s="29" t="s">
        <v>616</v>
      </c>
      <c r="J1274" s="32" t="s">
        <v>642</v>
      </c>
      <c r="K1274" s="29" t="s">
        <v>698</v>
      </c>
      <c r="L1274" s="29" t="s">
        <v>823</v>
      </c>
      <c r="M1274" s="33">
        <v>13.092</v>
      </c>
      <c r="N1274" s="33">
        <v>0.687</v>
      </c>
      <c r="O1274" s="34" t="s">
        <v>641</v>
      </c>
      <c r="P1274" s="32" t="s">
        <v>643</v>
      </c>
      <c r="Q1274" s="35">
        <v>6.0</v>
      </c>
      <c r="R1274" s="35">
        <v>4.0</v>
      </c>
      <c r="S1274" s="36">
        <v>22.9</v>
      </c>
      <c r="T1274" s="36">
        <v>51.2</v>
      </c>
      <c r="U1274" s="36">
        <v>4.7854</v>
      </c>
      <c r="V1274" s="36">
        <v>7.1554</v>
      </c>
      <c r="W1274" s="37" t="s">
        <v>623</v>
      </c>
      <c r="X1274" s="31">
        <v>8.5</v>
      </c>
      <c r="Y1274" s="36">
        <v>-0.8040259539766649</v>
      </c>
      <c r="Z1274" s="36">
        <v>0.012160825851667945</v>
      </c>
      <c r="AA1274" s="29" t="s">
        <v>820</v>
      </c>
      <c r="AB1274" s="31">
        <v>0.874163985252</v>
      </c>
      <c r="AC1274" s="38">
        <v>619.0</v>
      </c>
    </row>
    <row r="1275" ht="14.25" customHeight="1">
      <c r="A1275" s="29" t="s">
        <v>330</v>
      </c>
      <c r="B1275" s="29">
        <v>11.0</v>
      </c>
      <c r="C1275" s="29" t="s">
        <v>608</v>
      </c>
      <c r="D1275" s="29" t="s">
        <v>751</v>
      </c>
      <c r="E1275" s="29">
        <v>97.0</v>
      </c>
      <c r="F1275" s="30" t="s">
        <v>752</v>
      </c>
      <c r="G1275" s="29" t="s">
        <v>753</v>
      </c>
      <c r="H1275" s="31">
        <v>3940.03</v>
      </c>
      <c r="I1275" s="29" t="s">
        <v>612</v>
      </c>
      <c r="J1275" s="32" t="s">
        <v>642</v>
      </c>
      <c r="K1275" s="29" t="s">
        <v>698</v>
      </c>
      <c r="L1275" s="29" t="s">
        <v>823</v>
      </c>
      <c r="M1275" s="33">
        <v>13.092</v>
      </c>
      <c r="N1275" s="33">
        <v>0.687</v>
      </c>
      <c r="O1275" s="34" t="s">
        <v>641</v>
      </c>
      <c r="P1275" s="32" t="s">
        <v>643</v>
      </c>
      <c r="Q1275" s="35">
        <v>6.0</v>
      </c>
      <c r="R1275" s="35">
        <v>4.0</v>
      </c>
      <c r="S1275" s="36">
        <v>0.0</v>
      </c>
      <c r="T1275" s="36">
        <v>4.0346</v>
      </c>
      <c r="U1275" s="36">
        <v>0.0</v>
      </c>
      <c r="V1275" s="36">
        <v>2.0086</v>
      </c>
      <c r="W1275" s="37" t="s">
        <v>623</v>
      </c>
      <c r="X1275" s="31">
        <v>2.5</v>
      </c>
      <c r="Y1275" s="36">
        <v>-8.262558973010657</v>
      </c>
      <c r="Z1275" s="36">
        <v>0.24317784265081943</v>
      </c>
      <c r="AA1275" s="29" t="s">
        <v>820</v>
      </c>
      <c r="AB1275" s="31">
        <v>0.874163985252</v>
      </c>
      <c r="AC1275" s="38">
        <v>619.0</v>
      </c>
    </row>
    <row r="1276" ht="14.25" customHeight="1">
      <c r="A1276" s="29" t="s">
        <v>330</v>
      </c>
      <c r="B1276" s="29">
        <v>11.0</v>
      </c>
      <c r="C1276" s="29" t="s">
        <v>608</v>
      </c>
      <c r="D1276" s="29" t="s">
        <v>751</v>
      </c>
      <c r="E1276" s="29">
        <v>97.0</v>
      </c>
      <c r="F1276" s="30" t="s">
        <v>752</v>
      </c>
      <c r="G1276" s="29" t="s">
        <v>753</v>
      </c>
      <c r="H1276" s="31">
        <v>3940.03</v>
      </c>
      <c r="I1276" s="29" t="s">
        <v>612</v>
      </c>
      <c r="J1276" s="32" t="s">
        <v>642</v>
      </c>
      <c r="K1276" s="29" t="s">
        <v>698</v>
      </c>
      <c r="L1276" s="29" t="s">
        <v>823</v>
      </c>
      <c r="M1276" s="33">
        <v>13.092</v>
      </c>
      <c r="N1276" s="33">
        <v>0.687</v>
      </c>
      <c r="O1276" s="34" t="s">
        <v>641</v>
      </c>
      <c r="P1276" s="32" t="s">
        <v>643</v>
      </c>
      <c r="Q1276" s="35">
        <v>6.0</v>
      </c>
      <c r="R1276" s="35">
        <v>4.0</v>
      </c>
      <c r="S1276" s="36">
        <v>0.366</v>
      </c>
      <c r="T1276" s="36">
        <v>4.0346</v>
      </c>
      <c r="U1276" s="36">
        <v>0.605</v>
      </c>
      <c r="V1276" s="36">
        <v>2.0086</v>
      </c>
      <c r="W1276" s="37" t="s">
        <v>623</v>
      </c>
      <c r="X1276" s="31">
        <v>8.5</v>
      </c>
      <c r="Y1276" s="36">
        <v>-2.3971891068848357</v>
      </c>
      <c r="Z1276" s="36">
        <v>0.5173665864943449</v>
      </c>
      <c r="AA1276" s="29" t="s">
        <v>820</v>
      </c>
      <c r="AB1276" s="31">
        <v>0.874163985252</v>
      </c>
      <c r="AC1276" s="38">
        <v>619.0</v>
      </c>
    </row>
    <row r="1277" ht="14.25" customHeight="1">
      <c r="A1277" s="29" t="s">
        <v>330</v>
      </c>
      <c r="B1277" s="29">
        <v>11.0</v>
      </c>
      <c r="C1277" s="29" t="s">
        <v>608</v>
      </c>
      <c r="D1277" s="35" t="s">
        <v>947</v>
      </c>
      <c r="E1277" s="29">
        <v>121.0</v>
      </c>
      <c r="F1277" s="30" t="s">
        <v>948</v>
      </c>
      <c r="G1277" s="29" t="s">
        <v>611</v>
      </c>
      <c r="H1277" s="31">
        <v>42.5</v>
      </c>
      <c r="I1277" s="29" t="s">
        <v>597</v>
      </c>
      <c r="J1277" s="32" t="s">
        <v>642</v>
      </c>
      <c r="K1277" s="29" t="s">
        <v>698</v>
      </c>
      <c r="L1277" s="29" t="s">
        <v>823</v>
      </c>
      <c r="M1277" s="33">
        <v>13.092</v>
      </c>
      <c r="N1277" s="33">
        <v>0.687</v>
      </c>
      <c r="O1277" s="34" t="s">
        <v>641</v>
      </c>
      <c r="P1277" s="32" t="s">
        <v>643</v>
      </c>
      <c r="Q1277" s="35">
        <v>6.0</v>
      </c>
      <c r="R1277" s="35">
        <v>4.0</v>
      </c>
      <c r="S1277" s="36">
        <v>0.3217</v>
      </c>
      <c r="T1277" s="36">
        <v>3.626</v>
      </c>
      <c r="U1277" s="36">
        <v>0.5672</v>
      </c>
      <c r="V1277" s="36">
        <v>1.9042</v>
      </c>
      <c r="W1277" s="37" t="s">
        <v>623</v>
      </c>
      <c r="X1277" s="31">
        <v>2.5</v>
      </c>
      <c r="Y1277" s="36">
        <v>-2.419362186681307</v>
      </c>
      <c r="Z1277" s="36">
        <v>0.5870526097186607</v>
      </c>
      <c r="AA1277" s="29" t="s">
        <v>820</v>
      </c>
      <c r="AB1277" s="31">
        <v>0.874163985252</v>
      </c>
      <c r="AC1277" s="38">
        <v>619.0</v>
      </c>
    </row>
    <row r="1278" ht="14.25" customHeight="1">
      <c r="A1278" s="29" t="s">
        <v>330</v>
      </c>
      <c r="B1278" s="29">
        <v>11.0</v>
      </c>
      <c r="C1278" s="29" t="s">
        <v>608</v>
      </c>
      <c r="D1278" s="35" t="s">
        <v>947</v>
      </c>
      <c r="E1278" s="29">
        <v>121.0</v>
      </c>
      <c r="F1278" s="30" t="s">
        <v>948</v>
      </c>
      <c r="G1278" s="29" t="s">
        <v>611</v>
      </c>
      <c r="H1278" s="31">
        <v>42.5</v>
      </c>
      <c r="I1278" s="29" t="s">
        <v>597</v>
      </c>
      <c r="J1278" s="32" t="s">
        <v>642</v>
      </c>
      <c r="K1278" s="29" t="s">
        <v>698</v>
      </c>
      <c r="L1278" s="29" t="s">
        <v>823</v>
      </c>
      <c r="M1278" s="33">
        <v>13.092</v>
      </c>
      <c r="N1278" s="33">
        <v>0.687</v>
      </c>
      <c r="O1278" s="34" t="s">
        <v>641</v>
      </c>
      <c r="P1278" s="32" t="s">
        <v>643</v>
      </c>
      <c r="Q1278" s="35">
        <v>6.0</v>
      </c>
      <c r="R1278" s="35">
        <v>4.0</v>
      </c>
      <c r="S1278" s="36">
        <v>1.065</v>
      </c>
      <c r="T1278" s="36">
        <v>3.626</v>
      </c>
      <c r="U1278" s="36">
        <v>1.032</v>
      </c>
      <c r="V1278" s="36">
        <v>1.9042</v>
      </c>
      <c r="W1278" s="37" t="s">
        <v>623</v>
      </c>
      <c r="X1278" s="31">
        <v>8.5</v>
      </c>
      <c r="Y1278" s="36">
        <v>-1.224277294502129</v>
      </c>
      <c r="Z1278" s="36">
        <v>0.22544412168303313</v>
      </c>
      <c r="AA1278" s="29" t="s">
        <v>820</v>
      </c>
      <c r="AB1278" s="31">
        <v>0.874163985252</v>
      </c>
      <c r="AC1278" s="38">
        <v>619.0</v>
      </c>
    </row>
    <row r="1279" ht="14.25" customHeight="1">
      <c r="A1279" s="29" t="s">
        <v>330</v>
      </c>
      <c r="B1279" s="29">
        <v>11.0</v>
      </c>
      <c r="C1279" s="29" t="s">
        <v>608</v>
      </c>
      <c r="D1279" s="29" t="s">
        <v>781</v>
      </c>
      <c r="E1279" s="29">
        <v>136.0</v>
      </c>
      <c r="F1279" s="30" t="s">
        <v>782</v>
      </c>
      <c r="G1279" s="29" t="s">
        <v>626</v>
      </c>
      <c r="H1279" s="31">
        <v>4.9</v>
      </c>
      <c r="I1279" s="29" t="s">
        <v>597</v>
      </c>
      <c r="J1279" s="32" t="s">
        <v>642</v>
      </c>
      <c r="K1279" s="29" t="s">
        <v>698</v>
      </c>
      <c r="L1279" s="29" t="s">
        <v>823</v>
      </c>
      <c r="M1279" s="33">
        <v>13.092</v>
      </c>
      <c r="N1279" s="33">
        <v>0.687</v>
      </c>
      <c r="O1279" s="34" t="s">
        <v>641</v>
      </c>
      <c r="P1279" s="32" t="s">
        <v>643</v>
      </c>
      <c r="Q1279" s="35">
        <v>6.0</v>
      </c>
      <c r="R1279" s="35">
        <v>4.0</v>
      </c>
      <c r="S1279" s="36">
        <v>30.4</v>
      </c>
      <c r="T1279" s="36">
        <v>30.1</v>
      </c>
      <c r="U1279" s="36">
        <v>5.5136</v>
      </c>
      <c r="V1279" s="36">
        <v>5.4863</v>
      </c>
      <c r="W1279" s="37" t="s">
        <v>623</v>
      </c>
      <c r="X1279" s="31">
        <v>2.5</v>
      </c>
      <c r="Y1279" s="36">
        <v>0.010172855938816977</v>
      </c>
      <c r="Z1279" s="36">
        <v>0.013787923835385275</v>
      </c>
      <c r="AA1279" s="29" t="s">
        <v>820</v>
      </c>
      <c r="AB1279" s="31">
        <v>0.874163985252</v>
      </c>
      <c r="AC1279" s="38">
        <v>619.0</v>
      </c>
    </row>
    <row r="1280" ht="14.25" customHeight="1">
      <c r="A1280" s="29" t="s">
        <v>330</v>
      </c>
      <c r="B1280" s="29">
        <v>11.0</v>
      </c>
      <c r="C1280" s="29" t="s">
        <v>608</v>
      </c>
      <c r="D1280" s="29" t="s">
        <v>781</v>
      </c>
      <c r="E1280" s="29">
        <v>136.0</v>
      </c>
      <c r="F1280" s="30" t="s">
        <v>782</v>
      </c>
      <c r="G1280" s="29" t="s">
        <v>626</v>
      </c>
      <c r="H1280" s="31">
        <v>4.9</v>
      </c>
      <c r="I1280" s="29" t="s">
        <v>597</v>
      </c>
      <c r="J1280" s="32" t="s">
        <v>642</v>
      </c>
      <c r="K1280" s="29" t="s">
        <v>698</v>
      </c>
      <c r="L1280" s="29" t="s">
        <v>823</v>
      </c>
      <c r="M1280" s="33">
        <v>13.092</v>
      </c>
      <c r="N1280" s="33">
        <v>0.687</v>
      </c>
      <c r="O1280" s="34" t="s">
        <v>641</v>
      </c>
      <c r="P1280" s="32" t="s">
        <v>643</v>
      </c>
      <c r="Q1280" s="35">
        <v>6.0</v>
      </c>
      <c r="R1280" s="35">
        <v>4.0</v>
      </c>
      <c r="S1280" s="36">
        <v>53.0</v>
      </c>
      <c r="T1280" s="36">
        <v>30.1</v>
      </c>
      <c r="U1280" s="36">
        <v>7.2801</v>
      </c>
      <c r="V1280" s="36">
        <v>5.4863</v>
      </c>
      <c r="W1280" s="37" t="s">
        <v>623</v>
      </c>
      <c r="X1280" s="31">
        <v>8.5</v>
      </c>
      <c r="Y1280" s="36">
        <v>0.5659132544199083</v>
      </c>
      <c r="Z1280" s="36">
        <v>0.011450152020875655</v>
      </c>
      <c r="AA1280" s="29" t="s">
        <v>820</v>
      </c>
      <c r="AB1280" s="31">
        <v>0.874163985252</v>
      </c>
      <c r="AC1280" s="38">
        <v>619.0</v>
      </c>
    </row>
    <row r="1281" ht="14.25" customHeight="1">
      <c r="A1281" s="29" t="s">
        <v>330</v>
      </c>
      <c r="B1281" s="29">
        <v>11.0</v>
      </c>
      <c r="C1281" s="29" t="s">
        <v>608</v>
      </c>
      <c r="D1281" s="29" t="s">
        <v>1195</v>
      </c>
      <c r="E1281" s="29">
        <v>148.0</v>
      </c>
      <c r="F1281" s="30" t="s">
        <v>1196</v>
      </c>
      <c r="G1281" s="29" t="s">
        <v>626</v>
      </c>
      <c r="H1281" s="31">
        <v>70.0</v>
      </c>
      <c r="I1281" s="29" t="s">
        <v>616</v>
      </c>
      <c r="J1281" s="32" t="s">
        <v>642</v>
      </c>
      <c r="K1281" s="29" t="s">
        <v>698</v>
      </c>
      <c r="L1281" s="29" t="s">
        <v>823</v>
      </c>
      <c r="M1281" s="33">
        <v>13.092</v>
      </c>
      <c r="N1281" s="33">
        <v>0.687</v>
      </c>
      <c r="O1281" s="34" t="s">
        <v>641</v>
      </c>
      <c r="P1281" s="32" t="s">
        <v>643</v>
      </c>
      <c r="Q1281" s="35">
        <v>6.0</v>
      </c>
      <c r="R1281" s="35">
        <v>4.0</v>
      </c>
      <c r="S1281" s="36">
        <v>12.0</v>
      </c>
      <c r="T1281" s="36">
        <v>33.3</v>
      </c>
      <c r="U1281" s="36">
        <v>3.4293</v>
      </c>
      <c r="V1281" s="36">
        <v>9.6</v>
      </c>
      <c r="W1281" s="37" t="s">
        <v>623</v>
      </c>
      <c r="X1281" s="31">
        <v>2.5</v>
      </c>
      <c r="Y1281" s="36">
        <v>-1.0199350590917928</v>
      </c>
      <c r="Z1281" s="36">
        <v>0.03438875939521448</v>
      </c>
      <c r="AA1281" s="29" t="s">
        <v>820</v>
      </c>
      <c r="AB1281" s="31">
        <v>0.874163985252</v>
      </c>
      <c r="AC1281" s="38">
        <v>619.0</v>
      </c>
    </row>
    <row r="1282" ht="14.25" customHeight="1">
      <c r="A1282" s="29" t="s">
        <v>330</v>
      </c>
      <c r="B1282" s="29">
        <v>11.0</v>
      </c>
      <c r="C1282" s="29" t="s">
        <v>608</v>
      </c>
      <c r="D1282" s="29" t="s">
        <v>1195</v>
      </c>
      <c r="E1282" s="29">
        <v>148.0</v>
      </c>
      <c r="F1282" s="30" t="s">
        <v>1196</v>
      </c>
      <c r="G1282" s="29" t="s">
        <v>626</v>
      </c>
      <c r="H1282" s="31">
        <v>70.0</v>
      </c>
      <c r="I1282" s="29" t="s">
        <v>616</v>
      </c>
      <c r="J1282" s="32" t="s">
        <v>642</v>
      </c>
      <c r="K1282" s="29" t="s">
        <v>698</v>
      </c>
      <c r="L1282" s="29" t="s">
        <v>823</v>
      </c>
      <c r="M1282" s="33">
        <v>13.092</v>
      </c>
      <c r="N1282" s="33">
        <v>0.687</v>
      </c>
      <c r="O1282" s="34" t="s">
        <v>641</v>
      </c>
      <c r="P1282" s="32" t="s">
        <v>643</v>
      </c>
      <c r="Q1282" s="35">
        <v>6.0</v>
      </c>
      <c r="R1282" s="35">
        <v>4.0</v>
      </c>
      <c r="S1282" s="36">
        <v>21.5</v>
      </c>
      <c r="T1282" s="36">
        <v>33.3</v>
      </c>
      <c r="U1282" s="36">
        <v>8.3283</v>
      </c>
      <c r="V1282" s="36">
        <v>9.6</v>
      </c>
      <c r="W1282" s="37" t="s">
        <v>623</v>
      </c>
      <c r="X1282" s="31">
        <v>8.5</v>
      </c>
      <c r="Y1282" s="36">
        <v>-0.4371049448670953</v>
      </c>
      <c r="Z1282" s="36">
        <v>0.04578585622722953</v>
      </c>
      <c r="AA1282" s="29" t="s">
        <v>820</v>
      </c>
      <c r="AB1282" s="31">
        <v>0.874163985252</v>
      </c>
      <c r="AC1282" s="38">
        <v>619.0</v>
      </c>
    </row>
    <row r="1283" ht="14.25" customHeight="1">
      <c r="A1283" s="29" t="s">
        <v>330</v>
      </c>
      <c r="B1283" s="29">
        <v>11.0</v>
      </c>
      <c r="C1283" s="29" t="s">
        <v>608</v>
      </c>
      <c r="D1283" s="29" t="s">
        <v>1199</v>
      </c>
      <c r="E1283" s="29">
        <v>199.0</v>
      </c>
      <c r="F1283" s="30" t="s">
        <v>1200</v>
      </c>
      <c r="G1283" s="29" t="s">
        <v>626</v>
      </c>
      <c r="H1283" s="31">
        <v>78.0</v>
      </c>
      <c r="I1283" s="29" t="s">
        <v>612</v>
      </c>
      <c r="J1283" s="32" t="s">
        <v>642</v>
      </c>
      <c r="K1283" s="29" t="s">
        <v>698</v>
      </c>
      <c r="L1283" s="29" t="s">
        <v>823</v>
      </c>
      <c r="M1283" s="33">
        <v>13.092</v>
      </c>
      <c r="N1283" s="33">
        <v>0.687</v>
      </c>
      <c r="O1283" s="34" t="s">
        <v>641</v>
      </c>
      <c r="P1283" s="32" t="s">
        <v>643</v>
      </c>
      <c r="Q1283" s="35">
        <v>6.0</v>
      </c>
      <c r="R1283" s="35">
        <v>4.0</v>
      </c>
      <c r="S1283" s="36">
        <v>0.0488</v>
      </c>
      <c r="T1283" s="36">
        <v>0.3039</v>
      </c>
      <c r="U1283" s="36">
        <v>0.2209</v>
      </c>
      <c r="V1283" s="36">
        <v>0.5513</v>
      </c>
      <c r="W1283" s="37" t="s">
        <v>623</v>
      </c>
      <c r="X1283" s="31">
        <v>2.5</v>
      </c>
      <c r="Y1283" s="36">
        <v>-1.8273630048067404</v>
      </c>
      <c r="Z1283" s="36">
        <v>4.237802101090385</v>
      </c>
      <c r="AA1283" s="29" t="s">
        <v>820</v>
      </c>
      <c r="AB1283" s="31">
        <v>0.874163985252</v>
      </c>
      <c r="AC1283" s="38">
        <v>619.0</v>
      </c>
    </row>
    <row r="1284" ht="14.25" customHeight="1">
      <c r="A1284" s="29" t="s">
        <v>330</v>
      </c>
      <c r="B1284" s="29">
        <v>11.0</v>
      </c>
      <c r="C1284" s="29" t="s">
        <v>608</v>
      </c>
      <c r="D1284" s="29" t="s">
        <v>1199</v>
      </c>
      <c r="E1284" s="29">
        <v>199.0</v>
      </c>
      <c r="F1284" s="30" t="s">
        <v>1200</v>
      </c>
      <c r="G1284" s="29" t="s">
        <v>626</v>
      </c>
      <c r="H1284" s="31">
        <v>78.0</v>
      </c>
      <c r="I1284" s="29" t="s">
        <v>612</v>
      </c>
      <c r="J1284" s="32" t="s">
        <v>642</v>
      </c>
      <c r="K1284" s="29" t="s">
        <v>698</v>
      </c>
      <c r="L1284" s="29" t="s">
        <v>823</v>
      </c>
      <c r="M1284" s="33">
        <v>13.092</v>
      </c>
      <c r="N1284" s="33">
        <v>0.687</v>
      </c>
      <c r="O1284" s="34" t="s">
        <v>641</v>
      </c>
      <c r="P1284" s="32" t="s">
        <v>643</v>
      </c>
      <c r="Q1284" s="35">
        <v>6.0</v>
      </c>
      <c r="R1284" s="35">
        <v>4.0</v>
      </c>
      <c r="S1284" s="36">
        <v>0.2024</v>
      </c>
      <c r="T1284" s="36">
        <v>0.3039</v>
      </c>
      <c r="U1284" s="36">
        <v>0.4499</v>
      </c>
      <c r="V1284" s="36">
        <v>0.5513</v>
      </c>
      <c r="W1284" s="37" t="s">
        <v>623</v>
      </c>
      <c r="X1284" s="31">
        <v>8.5</v>
      </c>
      <c r="Y1284" s="36">
        <v>-0.4060654582093986</v>
      </c>
      <c r="Z1284" s="36">
        <v>1.6462174443955622</v>
      </c>
      <c r="AA1284" s="29" t="s">
        <v>820</v>
      </c>
      <c r="AB1284" s="31">
        <v>0.874163985252</v>
      </c>
      <c r="AC1284" s="38">
        <v>619.0</v>
      </c>
    </row>
    <row r="1285" ht="14.25" customHeight="1">
      <c r="A1285" s="29" t="s">
        <v>337</v>
      </c>
      <c r="B1285" s="29">
        <v>1.0</v>
      </c>
      <c r="C1285" s="29" t="s">
        <v>608</v>
      </c>
      <c r="D1285" s="29" t="s">
        <v>935</v>
      </c>
      <c r="E1285" s="29">
        <v>36.0</v>
      </c>
      <c r="F1285" s="30" t="s">
        <v>1253</v>
      </c>
      <c r="G1285" s="29" t="s">
        <v>626</v>
      </c>
      <c r="H1285" s="31">
        <v>17.07</v>
      </c>
      <c r="I1285" s="29" t="s">
        <v>612</v>
      </c>
      <c r="J1285" s="32" t="s">
        <v>714</v>
      </c>
      <c r="K1285" s="29" t="s">
        <v>698</v>
      </c>
      <c r="L1285" s="29" t="s">
        <v>823</v>
      </c>
      <c r="M1285" s="33">
        <v>9.839</v>
      </c>
      <c r="N1285" s="33">
        <v>-1.916</v>
      </c>
      <c r="O1285" s="34" t="s">
        <v>641</v>
      </c>
      <c r="P1285" s="32" t="s">
        <v>700</v>
      </c>
      <c r="Q1285" s="35">
        <v>6.0</v>
      </c>
      <c r="R1285" s="35">
        <v>6.0</v>
      </c>
      <c r="S1285" s="36">
        <v>2.15</v>
      </c>
      <c r="T1285" s="36">
        <v>5.7</v>
      </c>
      <c r="U1285" s="36">
        <v>1.5672</v>
      </c>
      <c r="V1285" s="36">
        <v>2.2037</v>
      </c>
      <c r="W1285" s="37" t="s">
        <v>1254</v>
      </c>
      <c r="X1285" s="31">
        <v>0.05</v>
      </c>
      <c r="Y1285" s="36">
        <v>-0.9743145719905327</v>
      </c>
      <c r="Z1285" s="36">
        <v>0.11346828267734527</v>
      </c>
      <c r="AA1285" s="29" t="s">
        <v>820</v>
      </c>
      <c r="AB1285" s="31">
        <v>0.711436331272</v>
      </c>
      <c r="AC1285" s="38">
        <v>895.0</v>
      </c>
    </row>
    <row r="1286" ht="14.25" customHeight="1">
      <c r="A1286" s="29" t="s">
        <v>337</v>
      </c>
      <c r="B1286" s="29">
        <v>1.0</v>
      </c>
      <c r="C1286" s="29" t="s">
        <v>608</v>
      </c>
      <c r="D1286" s="29" t="s">
        <v>935</v>
      </c>
      <c r="E1286" s="29">
        <v>36.0</v>
      </c>
      <c r="F1286" s="30" t="s">
        <v>1253</v>
      </c>
      <c r="G1286" s="29" t="s">
        <v>626</v>
      </c>
      <c r="H1286" s="31">
        <v>17.07</v>
      </c>
      <c r="I1286" s="29" t="s">
        <v>612</v>
      </c>
      <c r="J1286" s="32" t="s">
        <v>714</v>
      </c>
      <c r="K1286" s="29" t="s">
        <v>698</v>
      </c>
      <c r="L1286" s="29" t="s">
        <v>823</v>
      </c>
      <c r="M1286" s="33">
        <v>9.839</v>
      </c>
      <c r="N1286" s="33">
        <v>-1.916</v>
      </c>
      <c r="O1286" s="34" t="s">
        <v>641</v>
      </c>
      <c r="P1286" s="32" t="s">
        <v>700</v>
      </c>
      <c r="Q1286" s="35">
        <v>6.0</v>
      </c>
      <c r="R1286" s="35">
        <v>6.0</v>
      </c>
      <c r="S1286" s="36">
        <v>4.75</v>
      </c>
      <c r="T1286" s="36">
        <v>5.7</v>
      </c>
      <c r="U1286" s="36">
        <v>1.3578</v>
      </c>
      <c r="V1286" s="36">
        <v>2.2037</v>
      </c>
      <c r="W1286" s="37" t="s">
        <v>1254</v>
      </c>
      <c r="X1286" s="31">
        <v>0.3</v>
      </c>
      <c r="Y1286" s="36">
        <v>-0.18201200718615876</v>
      </c>
      <c r="Z1286" s="36">
        <v>0.038530356517902944</v>
      </c>
      <c r="AA1286" s="29" t="s">
        <v>820</v>
      </c>
      <c r="AB1286" s="31">
        <v>0.711436331272</v>
      </c>
      <c r="AC1286" s="38">
        <v>895.0</v>
      </c>
    </row>
    <row r="1287" ht="14.25" customHeight="1">
      <c r="A1287" s="29" t="s">
        <v>337</v>
      </c>
      <c r="B1287" s="29">
        <v>1.0</v>
      </c>
      <c r="C1287" s="29" t="s">
        <v>608</v>
      </c>
      <c r="D1287" s="29" t="s">
        <v>935</v>
      </c>
      <c r="E1287" s="29">
        <v>36.0</v>
      </c>
      <c r="F1287" s="30" t="s">
        <v>1253</v>
      </c>
      <c r="G1287" s="29" t="s">
        <v>626</v>
      </c>
      <c r="H1287" s="31">
        <v>17.07</v>
      </c>
      <c r="I1287" s="29" t="s">
        <v>612</v>
      </c>
      <c r="J1287" s="32" t="s">
        <v>714</v>
      </c>
      <c r="K1287" s="29" t="s">
        <v>698</v>
      </c>
      <c r="L1287" s="29" t="s">
        <v>823</v>
      </c>
      <c r="M1287" s="33">
        <v>9.839</v>
      </c>
      <c r="N1287" s="33">
        <v>-1.916</v>
      </c>
      <c r="O1287" s="34" t="s">
        <v>641</v>
      </c>
      <c r="P1287" s="32" t="s">
        <v>700</v>
      </c>
      <c r="Q1287" s="35">
        <v>6.0</v>
      </c>
      <c r="R1287" s="35">
        <v>6.0</v>
      </c>
      <c r="S1287" s="36">
        <v>5.45</v>
      </c>
      <c r="T1287" s="36">
        <v>5.7</v>
      </c>
      <c r="U1287" s="36">
        <v>2.394</v>
      </c>
      <c r="V1287" s="36">
        <v>2.2037</v>
      </c>
      <c r="W1287" s="37" t="s">
        <v>1254</v>
      </c>
      <c r="X1287" s="31">
        <v>0.6</v>
      </c>
      <c r="Y1287" s="36">
        <v>-0.04458076985992457</v>
      </c>
      <c r="Z1287" s="36">
        <v>0.05707084654039516</v>
      </c>
      <c r="AA1287" s="29" t="s">
        <v>820</v>
      </c>
      <c r="AB1287" s="31">
        <v>0.711436331272</v>
      </c>
      <c r="AC1287" s="38">
        <v>895.0</v>
      </c>
    </row>
    <row r="1288" ht="14.25" customHeight="1">
      <c r="A1288" s="29" t="s">
        <v>337</v>
      </c>
      <c r="B1288" s="29">
        <v>1.0</v>
      </c>
      <c r="C1288" s="29" t="s">
        <v>608</v>
      </c>
      <c r="D1288" s="29" t="s">
        <v>935</v>
      </c>
      <c r="E1288" s="29">
        <v>36.0</v>
      </c>
      <c r="F1288" s="30" t="s">
        <v>1253</v>
      </c>
      <c r="G1288" s="29" t="s">
        <v>626</v>
      </c>
      <c r="H1288" s="31">
        <v>17.07</v>
      </c>
      <c r="I1288" s="29" t="s">
        <v>612</v>
      </c>
      <c r="J1288" s="32" t="s">
        <v>714</v>
      </c>
      <c r="K1288" s="29" t="s">
        <v>698</v>
      </c>
      <c r="L1288" s="29" t="s">
        <v>823</v>
      </c>
      <c r="M1288" s="33">
        <v>9.839</v>
      </c>
      <c r="N1288" s="33">
        <v>-1.916</v>
      </c>
      <c r="O1288" s="34" t="s">
        <v>641</v>
      </c>
      <c r="P1288" s="32" t="s">
        <v>700</v>
      </c>
      <c r="Q1288" s="35">
        <v>6.0</v>
      </c>
      <c r="R1288" s="35">
        <v>6.0</v>
      </c>
      <c r="S1288" s="36">
        <v>5.35</v>
      </c>
      <c r="T1288" s="36">
        <v>5.7</v>
      </c>
      <c r="U1288" s="36">
        <v>1.4318</v>
      </c>
      <c r="V1288" s="36">
        <v>2.2037</v>
      </c>
      <c r="W1288" s="37" t="s">
        <v>1254</v>
      </c>
      <c r="X1288" s="31">
        <v>0.9</v>
      </c>
      <c r="Y1288" s="36">
        <v>-0.06309477539849719</v>
      </c>
      <c r="Z1288" s="36">
        <v>0.03684902967420485</v>
      </c>
      <c r="AA1288" s="29" t="s">
        <v>820</v>
      </c>
      <c r="AB1288" s="31">
        <v>0.711436331272</v>
      </c>
      <c r="AC1288" s="38">
        <v>895.0</v>
      </c>
    </row>
    <row r="1289" ht="14.25" customHeight="1">
      <c r="A1289" s="29" t="s">
        <v>337</v>
      </c>
      <c r="B1289" s="29">
        <v>1.0</v>
      </c>
      <c r="C1289" s="29" t="s">
        <v>608</v>
      </c>
      <c r="D1289" s="29" t="s">
        <v>751</v>
      </c>
      <c r="E1289" s="29">
        <v>97.0</v>
      </c>
      <c r="F1289" s="30" t="s">
        <v>752</v>
      </c>
      <c r="G1289" s="29" t="s">
        <v>753</v>
      </c>
      <c r="H1289" s="31">
        <v>3940.03</v>
      </c>
      <c r="I1289" s="29" t="s">
        <v>612</v>
      </c>
      <c r="J1289" s="32" t="s">
        <v>714</v>
      </c>
      <c r="K1289" s="29" t="s">
        <v>698</v>
      </c>
      <c r="L1289" s="29" t="s">
        <v>823</v>
      </c>
      <c r="M1289" s="33">
        <v>9.839</v>
      </c>
      <c r="N1289" s="33">
        <v>-1.916</v>
      </c>
      <c r="O1289" s="34" t="s">
        <v>641</v>
      </c>
      <c r="P1289" s="32" t="s">
        <v>700</v>
      </c>
      <c r="Q1289" s="35">
        <v>6.0</v>
      </c>
      <c r="R1289" s="35">
        <v>6.0</v>
      </c>
      <c r="S1289" s="36">
        <v>10.042</v>
      </c>
      <c r="T1289" s="36">
        <v>11.6</v>
      </c>
      <c r="U1289" s="36">
        <v>2.0701</v>
      </c>
      <c r="V1289" s="36">
        <v>2.4083</v>
      </c>
      <c r="W1289" s="37" t="s">
        <v>1254</v>
      </c>
      <c r="X1289" s="31">
        <v>0.05</v>
      </c>
      <c r="Y1289" s="36">
        <v>-0.14393081900368968</v>
      </c>
      <c r="Z1289" s="36">
        <v>0.014266366676366932</v>
      </c>
      <c r="AA1289" s="29" t="s">
        <v>820</v>
      </c>
      <c r="AB1289" s="31">
        <v>0.711436331272</v>
      </c>
      <c r="AC1289" s="38">
        <v>895.0</v>
      </c>
    </row>
    <row r="1290" ht="14.25" customHeight="1">
      <c r="A1290" s="29" t="s">
        <v>337</v>
      </c>
      <c r="B1290" s="29">
        <v>1.0</v>
      </c>
      <c r="C1290" s="29" t="s">
        <v>608</v>
      </c>
      <c r="D1290" s="29" t="s">
        <v>751</v>
      </c>
      <c r="E1290" s="29">
        <v>97.0</v>
      </c>
      <c r="F1290" s="30" t="s">
        <v>752</v>
      </c>
      <c r="G1290" s="29" t="s">
        <v>753</v>
      </c>
      <c r="H1290" s="31">
        <v>3940.03</v>
      </c>
      <c r="I1290" s="29" t="s">
        <v>612</v>
      </c>
      <c r="J1290" s="32" t="s">
        <v>714</v>
      </c>
      <c r="K1290" s="29" t="s">
        <v>698</v>
      </c>
      <c r="L1290" s="29" t="s">
        <v>823</v>
      </c>
      <c r="M1290" s="33">
        <v>9.839</v>
      </c>
      <c r="N1290" s="33">
        <v>-1.916</v>
      </c>
      <c r="O1290" s="34" t="s">
        <v>641</v>
      </c>
      <c r="P1290" s="32" t="s">
        <v>700</v>
      </c>
      <c r="Q1290" s="35">
        <v>6.0</v>
      </c>
      <c r="R1290" s="35">
        <v>6.0</v>
      </c>
      <c r="S1290" s="36">
        <v>10.45</v>
      </c>
      <c r="T1290" s="36">
        <v>11.6</v>
      </c>
      <c r="U1290" s="36">
        <v>2.8362</v>
      </c>
      <c r="V1290" s="36">
        <v>2.4083</v>
      </c>
      <c r="W1290" s="37" t="s">
        <v>1254</v>
      </c>
      <c r="X1290" s="31">
        <v>0.3</v>
      </c>
      <c r="Y1290" s="36">
        <v>-0.10411677064992504</v>
      </c>
      <c r="Z1290" s="36">
        <v>0.019460727867645782</v>
      </c>
      <c r="AA1290" s="29" t="s">
        <v>820</v>
      </c>
      <c r="AB1290" s="31">
        <v>0.711436331272</v>
      </c>
      <c r="AC1290" s="38">
        <v>895.0</v>
      </c>
    </row>
    <row r="1291" ht="14.25" customHeight="1">
      <c r="A1291" s="29" t="s">
        <v>337</v>
      </c>
      <c r="B1291" s="29">
        <v>1.0</v>
      </c>
      <c r="C1291" s="29" t="s">
        <v>608</v>
      </c>
      <c r="D1291" s="29" t="s">
        <v>751</v>
      </c>
      <c r="E1291" s="29">
        <v>97.0</v>
      </c>
      <c r="F1291" s="30" t="s">
        <v>752</v>
      </c>
      <c r="G1291" s="29" t="s">
        <v>753</v>
      </c>
      <c r="H1291" s="31">
        <v>3940.03</v>
      </c>
      <c r="I1291" s="29" t="s">
        <v>612</v>
      </c>
      <c r="J1291" s="32" t="s">
        <v>714</v>
      </c>
      <c r="K1291" s="29" t="s">
        <v>698</v>
      </c>
      <c r="L1291" s="29" t="s">
        <v>823</v>
      </c>
      <c r="M1291" s="33">
        <v>9.839</v>
      </c>
      <c r="N1291" s="33">
        <v>-1.916</v>
      </c>
      <c r="O1291" s="34" t="s">
        <v>641</v>
      </c>
      <c r="P1291" s="32" t="s">
        <v>700</v>
      </c>
      <c r="Q1291" s="35">
        <v>6.0</v>
      </c>
      <c r="R1291" s="35">
        <v>6.0</v>
      </c>
      <c r="S1291" s="36">
        <v>12.75</v>
      </c>
      <c r="T1291" s="36">
        <v>11.6</v>
      </c>
      <c r="U1291" s="36">
        <v>2.243</v>
      </c>
      <c r="V1291" s="36">
        <v>2.4083</v>
      </c>
      <c r="W1291" s="37" t="s">
        <v>1254</v>
      </c>
      <c r="X1291" s="31">
        <v>0.6</v>
      </c>
      <c r="Y1291" s="36">
        <v>0.09476087348186345</v>
      </c>
      <c r="Z1291" s="36">
        <v>0.012341861581414272</v>
      </c>
      <c r="AA1291" s="29" t="s">
        <v>820</v>
      </c>
      <c r="AB1291" s="31">
        <v>0.711436331272</v>
      </c>
      <c r="AC1291" s="38">
        <v>895.0</v>
      </c>
    </row>
    <row r="1292" ht="14.25" customHeight="1">
      <c r="A1292" s="29" t="s">
        <v>337</v>
      </c>
      <c r="B1292" s="29">
        <v>1.0</v>
      </c>
      <c r="C1292" s="29" t="s">
        <v>608</v>
      </c>
      <c r="D1292" s="29" t="s">
        <v>751</v>
      </c>
      <c r="E1292" s="29">
        <v>97.0</v>
      </c>
      <c r="F1292" s="30" t="s">
        <v>752</v>
      </c>
      <c r="G1292" s="29" t="s">
        <v>753</v>
      </c>
      <c r="H1292" s="31">
        <v>3940.03</v>
      </c>
      <c r="I1292" s="29" t="s">
        <v>612</v>
      </c>
      <c r="J1292" s="32" t="s">
        <v>714</v>
      </c>
      <c r="K1292" s="29" t="s">
        <v>698</v>
      </c>
      <c r="L1292" s="29" t="s">
        <v>823</v>
      </c>
      <c r="M1292" s="33">
        <v>9.839</v>
      </c>
      <c r="N1292" s="33">
        <v>-1.916</v>
      </c>
      <c r="O1292" s="34" t="s">
        <v>641</v>
      </c>
      <c r="P1292" s="32" t="s">
        <v>700</v>
      </c>
      <c r="Q1292" s="35">
        <v>6.0</v>
      </c>
      <c r="R1292" s="35">
        <v>6.0</v>
      </c>
      <c r="S1292" s="36">
        <v>13.3</v>
      </c>
      <c r="T1292" s="36">
        <v>11.6</v>
      </c>
      <c r="U1292" s="36">
        <v>3.1295</v>
      </c>
      <c r="V1292" s="36">
        <v>2.4083</v>
      </c>
      <c r="W1292" s="37" t="s">
        <v>1254</v>
      </c>
      <c r="X1292" s="31">
        <v>0.9</v>
      </c>
      <c r="Y1292" s="36">
        <v>0.13698393255824093</v>
      </c>
      <c r="Z1292" s="36">
        <v>0.016411535835882413</v>
      </c>
      <c r="AA1292" s="29" t="s">
        <v>820</v>
      </c>
      <c r="AB1292" s="31">
        <v>0.711436331272</v>
      </c>
      <c r="AC1292" s="38">
        <v>895.0</v>
      </c>
    </row>
    <row r="1293" ht="14.25" customHeight="1">
      <c r="A1293" s="29" t="s">
        <v>342</v>
      </c>
      <c r="B1293" s="29">
        <v>77.0</v>
      </c>
      <c r="C1293" s="29" t="s">
        <v>608</v>
      </c>
      <c r="D1293" s="29" t="s">
        <v>1255</v>
      </c>
      <c r="E1293" s="29">
        <v>77.0</v>
      </c>
      <c r="F1293" s="30" t="s">
        <v>1168</v>
      </c>
      <c r="G1293" s="29" t="s">
        <v>753</v>
      </c>
      <c r="H1293" s="31">
        <v>2915.04</v>
      </c>
      <c r="I1293" s="29" t="s">
        <v>612</v>
      </c>
      <c r="J1293" s="32" t="s">
        <v>714</v>
      </c>
      <c r="K1293" s="29" t="s">
        <v>951</v>
      </c>
      <c r="L1293" s="29" t="s">
        <v>1256</v>
      </c>
      <c r="M1293" s="33">
        <v>100.947</v>
      </c>
      <c r="N1293" s="33">
        <v>22.252</v>
      </c>
      <c r="O1293" s="34" t="s">
        <v>601</v>
      </c>
      <c r="P1293" s="32" t="s">
        <v>643</v>
      </c>
      <c r="Q1293" s="35">
        <v>106.0</v>
      </c>
      <c r="R1293" s="35">
        <v>206.0</v>
      </c>
      <c r="S1293" s="36">
        <v>0.2677</v>
      </c>
      <c r="T1293" s="36">
        <v>0.5665</v>
      </c>
      <c r="U1293" s="36">
        <v>0.5174</v>
      </c>
      <c r="V1293" s="36">
        <v>0.7527</v>
      </c>
      <c r="W1293" s="37" t="s">
        <v>1257</v>
      </c>
      <c r="X1293" s="31">
        <v>0.25</v>
      </c>
      <c r="Y1293" s="36">
        <v>-0.7490643101919879</v>
      </c>
      <c r="Z1293" s="36">
        <v>0.043811084029028904</v>
      </c>
      <c r="AA1293" s="29" t="s">
        <v>820</v>
      </c>
      <c r="AB1293" s="31">
        <v>45.3396911621</v>
      </c>
      <c r="AC1293" s="38">
        <v>280.0</v>
      </c>
    </row>
    <row r="1294" ht="14.25" customHeight="1">
      <c r="A1294" s="29" t="s">
        <v>342</v>
      </c>
      <c r="B1294" s="29">
        <v>77.0</v>
      </c>
      <c r="C1294" s="29" t="s">
        <v>608</v>
      </c>
      <c r="D1294" s="29" t="s">
        <v>1255</v>
      </c>
      <c r="E1294" s="29">
        <v>77.0</v>
      </c>
      <c r="F1294" s="30" t="s">
        <v>1168</v>
      </c>
      <c r="G1294" s="29" t="s">
        <v>753</v>
      </c>
      <c r="H1294" s="31">
        <v>2915.04</v>
      </c>
      <c r="I1294" s="29" t="s">
        <v>612</v>
      </c>
      <c r="J1294" s="32" t="s">
        <v>714</v>
      </c>
      <c r="K1294" s="29" t="s">
        <v>951</v>
      </c>
      <c r="L1294" s="29" t="s">
        <v>1256</v>
      </c>
      <c r="M1294" s="33">
        <v>100.947</v>
      </c>
      <c r="N1294" s="33">
        <v>22.252</v>
      </c>
      <c r="O1294" s="34" t="s">
        <v>601</v>
      </c>
      <c r="P1294" s="32" t="s">
        <v>643</v>
      </c>
      <c r="Q1294" s="35">
        <v>84.0</v>
      </c>
      <c r="R1294" s="35">
        <v>206.0</v>
      </c>
      <c r="S1294" s="36">
        <v>0.2121</v>
      </c>
      <c r="T1294" s="36">
        <v>0.5665</v>
      </c>
      <c r="U1294" s="36">
        <v>0.4605</v>
      </c>
      <c r="V1294" s="36">
        <v>0.7527</v>
      </c>
      <c r="W1294" s="37" t="s">
        <v>1257</v>
      </c>
      <c r="X1294" s="31">
        <v>1.25</v>
      </c>
      <c r="Y1294" s="36">
        <v>-0.9817303669565051</v>
      </c>
      <c r="Z1294" s="36">
        <v>0.0646874630416086</v>
      </c>
      <c r="AA1294" s="29" t="s">
        <v>820</v>
      </c>
      <c r="AB1294" s="31">
        <v>45.3396911621</v>
      </c>
      <c r="AC1294" s="38">
        <v>280.0</v>
      </c>
    </row>
    <row r="1295" ht="14.25" customHeight="1">
      <c r="A1295" s="29" t="s">
        <v>1258</v>
      </c>
      <c r="B1295" s="29">
        <v>138.0</v>
      </c>
      <c r="C1295" s="29" t="s">
        <v>608</v>
      </c>
      <c r="D1295" s="29" t="s">
        <v>1259</v>
      </c>
      <c r="E1295" s="29">
        <v>305.0</v>
      </c>
      <c r="F1295" s="39" t="s">
        <v>1260</v>
      </c>
      <c r="G1295" s="29" t="s">
        <v>611</v>
      </c>
      <c r="H1295" s="31">
        <v>7.74997</v>
      </c>
      <c r="I1295" s="29" t="s">
        <v>597</v>
      </c>
      <c r="J1295" s="32" t="s">
        <v>642</v>
      </c>
      <c r="K1295" s="29" t="s">
        <v>698</v>
      </c>
      <c r="L1295" s="29" t="s">
        <v>910</v>
      </c>
      <c r="M1295" s="36">
        <v>8.803172</v>
      </c>
      <c r="N1295" s="36">
        <v>5.051668</v>
      </c>
      <c r="O1295" s="34" t="s">
        <v>601</v>
      </c>
      <c r="P1295" s="32" t="s">
        <v>602</v>
      </c>
      <c r="Q1295" s="29">
        <v>12.0</v>
      </c>
      <c r="R1295" s="29">
        <v>11.0</v>
      </c>
      <c r="S1295" s="36">
        <v>0.02</v>
      </c>
      <c r="T1295" s="36">
        <v>0.02</v>
      </c>
      <c r="U1295" s="36">
        <f t="shared" ref="U1295:V1295" si="277">SQRT(S1295)</f>
        <v>0.1414213562</v>
      </c>
      <c r="V1295" s="36">
        <f t="shared" si="277"/>
        <v>0.1414213562</v>
      </c>
      <c r="W1295" s="37" t="s">
        <v>777</v>
      </c>
      <c r="X1295" s="31">
        <v>5.84</v>
      </c>
      <c r="Y1295" s="36">
        <v>2.5796466027220563E-4</v>
      </c>
      <c r="Z1295" s="36">
        <v>8.712121212121211</v>
      </c>
      <c r="AA1295" s="29" t="s">
        <v>820</v>
      </c>
      <c r="AB1295" s="31">
        <v>19.2073</v>
      </c>
      <c r="AC1295" s="35">
        <v>786.0</v>
      </c>
    </row>
    <row r="1296" ht="14.25" customHeight="1">
      <c r="A1296" s="29" t="s">
        <v>1258</v>
      </c>
      <c r="B1296" s="29">
        <v>138.0</v>
      </c>
      <c r="C1296" s="29" t="s">
        <v>608</v>
      </c>
      <c r="D1296" s="29" t="s">
        <v>1259</v>
      </c>
      <c r="E1296" s="29">
        <v>305.0</v>
      </c>
      <c r="F1296" s="39" t="s">
        <v>1260</v>
      </c>
      <c r="G1296" s="29" t="s">
        <v>611</v>
      </c>
      <c r="H1296" s="31">
        <v>7.74997</v>
      </c>
      <c r="I1296" s="29" t="s">
        <v>597</v>
      </c>
      <c r="J1296" s="32" t="s">
        <v>642</v>
      </c>
      <c r="K1296" s="29" t="s">
        <v>698</v>
      </c>
      <c r="L1296" s="29" t="s">
        <v>910</v>
      </c>
      <c r="M1296" s="36">
        <v>8.814593</v>
      </c>
      <c r="N1296" s="36">
        <v>5.085361</v>
      </c>
      <c r="O1296" s="34" t="s">
        <v>601</v>
      </c>
      <c r="P1296" s="32" t="s">
        <v>602</v>
      </c>
      <c r="Q1296" s="29">
        <v>11.0</v>
      </c>
      <c r="R1296" s="29">
        <v>11.0</v>
      </c>
      <c r="S1296" s="36">
        <v>0.02</v>
      </c>
      <c r="T1296" s="36">
        <v>0.02</v>
      </c>
      <c r="U1296" s="36">
        <f t="shared" ref="U1296:V1296" si="278">SQRT(S1296)</f>
        <v>0.1414213562</v>
      </c>
      <c r="V1296" s="36">
        <f t="shared" si="278"/>
        <v>0.1414213562</v>
      </c>
      <c r="W1296" s="37" t="s">
        <v>777</v>
      </c>
      <c r="X1296" s="31">
        <v>7.5</v>
      </c>
      <c r="Y1296" s="36">
        <v>2.5796466027220563E-4</v>
      </c>
      <c r="Z1296" s="36">
        <v>9.09090909090909</v>
      </c>
      <c r="AA1296" s="29" t="s">
        <v>820</v>
      </c>
      <c r="AB1296" s="31">
        <v>19.2073</v>
      </c>
      <c r="AC1296" s="35">
        <v>705.0</v>
      </c>
    </row>
    <row r="1297" ht="14.25" customHeight="1">
      <c r="A1297" s="29" t="s">
        <v>1258</v>
      </c>
      <c r="B1297" s="29">
        <v>138.0</v>
      </c>
      <c r="C1297" s="29" t="s">
        <v>608</v>
      </c>
      <c r="D1297" s="29" t="s">
        <v>1259</v>
      </c>
      <c r="E1297" s="29">
        <v>305.0</v>
      </c>
      <c r="F1297" s="39" t="s">
        <v>1260</v>
      </c>
      <c r="G1297" s="29" t="s">
        <v>611</v>
      </c>
      <c r="H1297" s="31">
        <v>7.74997</v>
      </c>
      <c r="I1297" s="29" t="s">
        <v>597</v>
      </c>
      <c r="J1297" s="32" t="s">
        <v>642</v>
      </c>
      <c r="K1297" s="29" t="s">
        <v>698</v>
      </c>
      <c r="L1297" s="29" t="s">
        <v>910</v>
      </c>
      <c r="M1297" s="36">
        <v>8.797461</v>
      </c>
      <c r="N1297" s="36">
        <v>5.009979</v>
      </c>
      <c r="O1297" s="34" t="s">
        <v>601</v>
      </c>
      <c r="P1297" s="32" t="s">
        <v>602</v>
      </c>
      <c r="Q1297" s="29">
        <v>10.0</v>
      </c>
      <c r="R1297" s="29">
        <v>11.0</v>
      </c>
      <c r="S1297" s="36">
        <v>0.0</v>
      </c>
      <c r="T1297" s="36">
        <v>0.02</v>
      </c>
      <c r="U1297" s="36">
        <f t="shared" ref="U1297:V1297" si="279">SQRT(S1297)</f>
        <v>0</v>
      </c>
      <c r="V1297" s="36">
        <f t="shared" si="279"/>
        <v>0.1414213562</v>
      </c>
      <c r="W1297" s="37" t="s">
        <v>777</v>
      </c>
      <c r="X1297" s="31">
        <v>7.629</v>
      </c>
      <c r="Y1297" s="36">
        <v>-8.262558973010657</v>
      </c>
      <c r="Z1297" s="36">
        <v>0.23832078948268876</v>
      </c>
      <c r="AA1297" s="29" t="s">
        <v>820</v>
      </c>
      <c r="AB1297" s="31">
        <v>19.2073</v>
      </c>
      <c r="AC1297" s="35">
        <v>743.0</v>
      </c>
    </row>
    <row r="1298" ht="14.25" customHeight="1">
      <c r="A1298" s="29" t="s">
        <v>1258</v>
      </c>
      <c r="B1298" s="29">
        <v>138.0</v>
      </c>
      <c r="C1298" s="29" t="s">
        <v>608</v>
      </c>
      <c r="D1298" s="29" t="s">
        <v>983</v>
      </c>
      <c r="E1298" s="29">
        <v>47.0</v>
      </c>
      <c r="F1298" s="30" t="s">
        <v>984</v>
      </c>
      <c r="G1298" s="29" t="s">
        <v>611</v>
      </c>
      <c r="H1298" s="31">
        <v>3.918</v>
      </c>
      <c r="I1298" s="29" t="s">
        <v>597</v>
      </c>
      <c r="J1298" s="32" t="s">
        <v>642</v>
      </c>
      <c r="K1298" s="29" t="s">
        <v>698</v>
      </c>
      <c r="L1298" s="29" t="s">
        <v>910</v>
      </c>
      <c r="M1298" s="36">
        <v>8.803172</v>
      </c>
      <c r="N1298" s="36">
        <v>5.051668</v>
      </c>
      <c r="O1298" s="34" t="s">
        <v>601</v>
      </c>
      <c r="P1298" s="32" t="s">
        <v>602</v>
      </c>
      <c r="Q1298" s="29">
        <v>12.0</v>
      </c>
      <c r="R1298" s="29">
        <v>11.0</v>
      </c>
      <c r="S1298" s="36">
        <v>0.09</v>
      </c>
      <c r="T1298" s="36">
        <v>0.09</v>
      </c>
      <c r="U1298" s="36">
        <f t="shared" ref="U1298:V1298" si="280">SQRT(S1298)</f>
        <v>0.3</v>
      </c>
      <c r="V1298" s="36">
        <f t="shared" si="280"/>
        <v>0.3</v>
      </c>
      <c r="W1298" s="37" t="s">
        <v>777</v>
      </c>
      <c r="X1298" s="31">
        <v>5.84</v>
      </c>
      <c r="Y1298" s="36">
        <v>2.5796466027220563E-4</v>
      </c>
      <c r="Z1298" s="36">
        <v>1.936026936026936</v>
      </c>
      <c r="AA1298" s="29" t="s">
        <v>820</v>
      </c>
      <c r="AB1298" s="31">
        <v>19.2073</v>
      </c>
      <c r="AC1298" s="35">
        <v>786.0</v>
      </c>
    </row>
    <row r="1299" ht="14.25" customHeight="1">
      <c r="A1299" s="29" t="s">
        <v>1258</v>
      </c>
      <c r="B1299" s="29">
        <v>138.0</v>
      </c>
      <c r="C1299" s="29" t="s">
        <v>608</v>
      </c>
      <c r="D1299" s="29" t="s">
        <v>983</v>
      </c>
      <c r="E1299" s="29">
        <v>47.0</v>
      </c>
      <c r="F1299" s="30" t="s">
        <v>984</v>
      </c>
      <c r="G1299" s="29" t="s">
        <v>611</v>
      </c>
      <c r="H1299" s="31">
        <v>3.918</v>
      </c>
      <c r="I1299" s="29" t="s">
        <v>597</v>
      </c>
      <c r="J1299" s="32" t="s">
        <v>642</v>
      </c>
      <c r="K1299" s="29" t="s">
        <v>698</v>
      </c>
      <c r="L1299" s="29" t="s">
        <v>910</v>
      </c>
      <c r="M1299" s="36">
        <v>8.814593</v>
      </c>
      <c r="N1299" s="36">
        <v>5.085361</v>
      </c>
      <c r="O1299" s="34" t="s">
        <v>601</v>
      </c>
      <c r="P1299" s="32" t="s">
        <v>602</v>
      </c>
      <c r="Q1299" s="29">
        <v>11.0</v>
      </c>
      <c r="R1299" s="29">
        <v>11.0</v>
      </c>
      <c r="S1299" s="36">
        <v>0.13</v>
      </c>
      <c r="T1299" s="36">
        <v>0.09</v>
      </c>
      <c r="U1299" s="36">
        <f t="shared" ref="U1299:V1299" si="281">SQRT(S1299)</f>
        <v>0.3605551275</v>
      </c>
      <c r="V1299" s="36">
        <f t="shared" si="281"/>
        <v>0.3</v>
      </c>
      <c r="W1299" s="37" t="s">
        <v>777</v>
      </c>
      <c r="X1299" s="31">
        <v>7.5</v>
      </c>
      <c r="Y1299" s="36">
        <v>0.3679033781314479</v>
      </c>
      <c r="Z1299" s="36">
        <v>1.7094017094017095</v>
      </c>
      <c r="AA1299" s="29" t="s">
        <v>820</v>
      </c>
      <c r="AB1299" s="31">
        <v>19.2073</v>
      </c>
      <c r="AC1299" s="35">
        <v>705.0</v>
      </c>
    </row>
    <row r="1300" ht="14.25" customHeight="1">
      <c r="A1300" s="29" t="s">
        <v>1258</v>
      </c>
      <c r="B1300" s="29">
        <v>138.0</v>
      </c>
      <c r="C1300" s="29" t="s">
        <v>608</v>
      </c>
      <c r="D1300" s="29" t="s">
        <v>983</v>
      </c>
      <c r="E1300" s="29">
        <v>47.0</v>
      </c>
      <c r="F1300" s="30" t="s">
        <v>984</v>
      </c>
      <c r="G1300" s="29" t="s">
        <v>611</v>
      </c>
      <c r="H1300" s="31">
        <v>3.918</v>
      </c>
      <c r="I1300" s="29" t="s">
        <v>597</v>
      </c>
      <c r="J1300" s="32" t="s">
        <v>642</v>
      </c>
      <c r="K1300" s="29" t="s">
        <v>698</v>
      </c>
      <c r="L1300" s="29" t="s">
        <v>910</v>
      </c>
      <c r="M1300" s="36">
        <v>8.797461</v>
      </c>
      <c r="N1300" s="36">
        <v>5.009979</v>
      </c>
      <c r="O1300" s="34" t="s">
        <v>601</v>
      </c>
      <c r="P1300" s="32" t="s">
        <v>602</v>
      </c>
      <c r="Q1300" s="29">
        <v>10.0</v>
      </c>
      <c r="R1300" s="29">
        <v>11.0</v>
      </c>
      <c r="S1300" s="36">
        <v>0.1</v>
      </c>
      <c r="T1300" s="36">
        <v>0.09</v>
      </c>
      <c r="U1300" s="36">
        <f t="shared" ref="U1300:V1300" si="282">SQRT(S1300)</f>
        <v>0.316227766</v>
      </c>
      <c r="V1300" s="36">
        <f t="shared" si="282"/>
        <v>0.3</v>
      </c>
      <c r="W1300" s="37" t="s">
        <v>777</v>
      </c>
      <c r="X1300" s="31">
        <v>7.629</v>
      </c>
      <c r="Y1300" s="36">
        <v>0.10559268684642481</v>
      </c>
      <c r="Z1300" s="36">
        <v>2.01010101010101</v>
      </c>
      <c r="AA1300" s="29" t="s">
        <v>820</v>
      </c>
      <c r="AB1300" s="31">
        <v>19.2073</v>
      </c>
      <c r="AC1300" s="35">
        <v>743.0</v>
      </c>
    </row>
    <row r="1301" ht="14.25" customHeight="1">
      <c r="A1301" s="29" t="s">
        <v>1258</v>
      </c>
      <c r="B1301" s="29">
        <v>138.0</v>
      </c>
      <c r="C1301" s="29" t="s">
        <v>608</v>
      </c>
      <c r="D1301" s="35" t="s">
        <v>1066</v>
      </c>
      <c r="E1301" s="29">
        <v>306.0</v>
      </c>
      <c r="F1301" s="39" t="s">
        <v>1067</v>
      </c>
      <c r="G1301" s="29" t="s">
        <v>611</v>
      </c>
      <c r="H1301" s="31">
        <v>4.20833</v>
      </c>
      <c r="I1301" s="29" t="s">
        <v>597</v>
      </c>
      <c r="J1301" s="32" t="s">
        <v>642</v>
      </c>
      <c r="K1301" s="29" t="s">
        <v>698</v>
      </c>
      <c r="L1301" s="29" t="s">
        <v>910</v>
      </c>
      <c r="M1301" s="36">
        <v>8.803172</v>
      </c>
      <c r="N1301" s="36">
        <v>5.051668</v>
      </c>
      <c r="O1301" s="34" t="s">
        <v>601</v>
      </c>
      <c r="P1301" s="32" t="s">
        <v>602</v>
      </c>
      <c r="Q1301" s="29">
        <v>12.0</v>
      </c>
      <c r="R1301" s="29">
        <v>11.0</v>
      </c>
      <c r="S1301" s="36">
        <v>0.05</v>
      </c>
      <c r="T1301" s="36">
        <v>0.04</v>
      </c>
      <c r="U1301" s="36">
        <f t="shared" ref="U1301:V1301" si="283">SQRT(S1301)</f>
        <v>0.2236067977</v>
      </c>
      <c r="V1301" s="36">
        <f t="shared" si="283"/>
        <v>0.2</v>
      </c>
      <c r="W1301" s="37" t="s">
        <v>777</v>
      </c>
      <c r="X1301" s="31">
        <v>5.84</v>
      </c>
      <c r="Y1301" s="36">
        <v>0.22334992836581413</v>
      </c>
      <c r="Z1301" s="36">
        <v>3.9393939393939394</v>
      </c>
      <c r="AA1301" s="29" t="s">
        <v>820</v>
      </c>
      <c r="AB1301" s="31">
        <v>19.2073</v>
      </c>
      <c r="AC1301" s="35">
        <v>786.0</v>
      </c>
    </row>
    <row r="1302" ht="14.25" customHeight="1">
      <c r="A1302" s="29" t="s">
        <v>1258</v>
      </c>
      <c r="B1302" s="29">
        <v>138.0</v>
      </c>
      <c r="C1302" s="29" t="s">
        <v>608</v>
      </c>
      <c r="D1302" s="35" t="s">
        <v>1066</v>
      </c>
      <c r="E1302" s="29">
        <v>306.0</v>
      </c>
      <c r="F1302" s="39" t="s">
        <v>1067</v>
      </c>
      <c r="G1302" s="29" t="s">
        <v>611</v>
      </c>
      <c r="H1302" s="31">
        <v>4.20833</v>
      </c>
      <c r="I1302" s="29" t="s">
        <v>597</v>
      </c>
      <c r="J1302" s="32" t="s">
        <v>642</v>
      </c>
      <c r="K1302" s="29" t="s">
        <v>698</v>
      </c>
      <c r="L1302" s="29" t="s">
        <v>910</v>
      </c>
      <c r="M1302" s="36">
        <v>8.814593</v>
      </c>
      <c r="N1302" s="36">
        <v>5.085361</v>
      </c>
      <c r="O1302" s="34" t="s">
        <v>601</v>
      </c>
      <c r="P1302" s="32" t="s">
        <v>602</v>
      </c>
      <c r="Q1302" s="29">
        <v>11.0</v>
      </c>
      <c r="R1302" s="29">
        <v>11.0</v>
      </c>
      <c r="S1302" s="36">
        <v>0.04</v>
      </c>
      <c r="T1302" s="36">
        <v>0.04</v>
      </c>
      <c r="U1302" s="36">
        <f t="shared" ref="U1302:V1302" si="284">SQRT(S1302)</f>
        <v>0.2</v>
      </c>
      <c r="V1302" s="36">
        <f t="shared" si="284"/>
        <v>0.2</v>
      </c>
      <c r="W1302" s="37" t="s">
        <v>777</v>
      </c>
      <c r="X1302" s="31">
        <v>7.5</v>
      </c>
      <c r="Y1302" s="36">
        <v>2.5796466027220563E-4</v>
      </c>
      <c r="Z1302" s="36">
        <v>4.545454545454546</v>
      </c>
      <c r="AA1302" s="29" t="s">
        <v>820</v>
      </c>
      <c r="AB1302" s="31">
        <v>19.2073</v>
      </c>
      <c r="AC1302" s="35">
        <v>705.0</v>
      </c>
    </row>
    <row r="1303" ht="14.25" customHeight="1">
      <c r="A1303" s="29" t="s">
        <v>1258</v>
      </c>
      <c r="B1303" s="29">
        <v>138.0</v>
      </c>
      <c r="C1303" s="29" t="s">
        <v>608</v>
      </c>
      <c r="D1303" s="35" t="s">
        <v>1066</v>
      </c>
      <c r="E1303" s="29">
        <v>306.0</v>
      </c>
      <c r="F1303" s="39" t="s">
        <v>1067</v>
      </c>
      <c r="G1303" s="29" t="s">
        <v>611</v>
      </c>
      <c r="H1303" s="31">
        <v>4.20833</v>
      </c>
      <c r="I1303" s="29" t="s">
        <v>597</v>
      </c>
      <c r="J1303" s="32" t="s">
        <v>642</v>
      </c>
      <c r="K1303" s="29" t="s">
        <v>698</v>
      </c>
      <c r="L1303" s="29" t="s">
        <v>910</v>
      </c>
      <c r="M1303" s="36">
        <v>8.797461</v>
      </c>
      <c r="N1303" s="36">
        <v>5.009979</v>
      </c>
      <c r="O1303" s="34" t="s">
        <v>601</v>
      </c>
      <c r="P1303" s="32" t="s">
        <v>602</v>
      </c>
      <c r="Q1303" s="29">
        <v>10.0</v>
      </c>
      <c r="R1303" s="29">
        <v>11.0</v>
      </c>
      <c r="S1303" s="36">
        <v>0.02</v>
      </c>
      <c r="T1303" s="36">
        <v>0.04</v>
      </c>
      <c r="U1303" s="36">
        <f t="shared" ref="U1303:V1303" si="285">SQRT(S1303)</f>
        <v>0.1414213562</v>
      </c>
      <c r="V1303" s="36">
        <f t="shared" si="285"/>
        <v>0.2</v>
      </c>
      <c r="W1303" s="37" t="s">
        <v>777</v>
      </c>
      <c r="X1303" s="31">
        <v>7.629</v>
      </c>
      <c r="Y1303" s="36">
        <v>-0.692631317768005</v>
      </c>
      <c r="Z1303" s="36">
        <v>7.272727272727273</v>
      </c>
      <c r="AA1303" s="29" t="s">
        <v>820</v>
      </c>
      <c r="AB1303" s="31">
        <v>19.2073</v>
      </c>
      <c r="AC1303" s="35">
        <v>743.0</v>
      </c>
    </row>
    <row r="1304" ht="14.25" customHeight="1">
      <c r="A1304" s="29" t="s">
        <v>1258</v>
      </c>
      <c r="B1304" s="29">
        <v>138.0</v>
      </c>
      <c r="C1304" s="29" t="s">
        <v>608</v>
      </c>
      <c r="D1304" s="29" t="s">
        <v>941</v>
      </c>
      <c r="E1304" s="29">
        <v>48.0</v>
      </c>
      <c r="F1304" s="30" t="s">
        <v>942</v>
      </c>
      <c r="G1304" s="29" t="s">
        <v>611</v>
      </c>
      <c r="H1304" s="31">
        <v>5.8</v>
      </c>
      <c r="I1304" s="29" t="s">
        <v>597</v>
      </c>
      <c r="J1304" s="32" t="s">
        <v>642</v>
      </c>
      <c r="K1304" s="29" t="s">
        <v>698</v>
      </c>
      <c r="L1304" s="29" t="s">
        <v>910</v>
      </c>
      <c r="M1304" s="36">
        <v>8.803172</v>
      </c>
      <c r="N1304" s="36">
        <v>5.051668</v>
      </c>
      <c r="O1304" s="34" t="s">
        <v>601</v>
      </c>
      <c r="P1304" s="32" t="s">
        <v>602</v>
      </c>
      <c r="Q1304" s="29">
        <v>12.0</v>
      </c>
      <c r="R1304" s="29">
        <v>11.0</v>
      </c>
      <c r="S1304" s="36">
        <v>0.11</v>
      </c>
      <c r="T1304" s="36">
        <v>0.31</v>
      </c>
      <c r="U1304" s="36">
        <f t="shared" ref="U1304:V1304" si="286">SQRT(S1304)</f>
        <v>0.331662479</v>
      </c>
      <c r="V1304" s="36">
        <f t="shared" si="286"/>
        <v>0.5567764363</v>
      </c>
      <c r="W1304" s="37" t="s">
        <v>777</v>
      </c>
      <c r="X1304" s="31">
        <v>5.84</v>
      </c>
      <c r="Y1304" s="36">
        <v>-1.0353651107926758</v>
      </c>
      <c r="Z1304" s="36">
        <v>1.050830889540567</v>
      </c>
      <c r="AA1304" s="29" t="s">
        <v>820</v>
      </c>
      <c r="AB1304" s="31">
        <v>19.2073</v>
      </c>
      <c r="AC1304" s="35">
        <v>786.0</v>
      </c>
    </row>
    <row r="1305" ht="14.25" customHeight="1">
      <c r="A1305" s="29" t="s">
        <v>1258</v>
      </c>
      <c r="B1305" s="29">
        <v>138.0</v>
      </c>
      <c r="C1305" s="29" t="s">
        <v>608</v>
      </c>
      <c r="D1305" s="29" t="s">
        <v>941</v>
      </c>
      <c r="E1305" s="29">
        <v>48.0</v>
      </c>
      <c r="F1305" s="30" t="s">
        <v>942</v>
      </c>
      <c r="G1305" s="29" t="s">
        <v>611</v>
      </c>
      <c r="H1305" s="31">
        <v>5.8</v>
      </c>
      <c r="I1305" s="29" t="s">
        <v>597</v>
      </c>
      <c r="J1305" s="32" t="s">
        <v>642</v>
      </c>
      <c r="K1305" s="29" t="s">
        <v>698</v>
      </c>
      <c r="L1305" s="29" t="s">
        <v>910</v>
      </c>
      <c r="M1305" s="36">
        <v>8.814593</v>
      </c>
      <c r="N1305" s="36">
        <v>5.085361</v>
      </c>
      <c r="O1305" s="34" t="s">
        <v>601</v>
      </c>
      <c r="P1305" s="32" t="s">
        <v>602</v>
      </c>
      <c r="Q1305" s="29">
        <v>11.0</v>
      </c>
      <c r="R1305" s="29">
        <v>11.0</v>
      </c>
      <c r="S1305" s="36">
        <v>0.15</v>
      </c>
      <c r="T1305" s="36">
        <v>0.31</v>
      </c>
      <c r="U1305" s="36">
        <f t="shared" ref="U1305:V1305" si="287">SQRT(S1305)</f>
        <v>0.3872983346</v>
      </c>
      <c r="V1305" s="36">
        <f t="shared" si="287"/>
        <v>0.5567764363</v>
      </c>
      <c r="W1305" s="37" t="s">
        <v>777</v>
      </c>
      <c r="X1305" s="31">
        <v>7.5</v>
      </c>
      <c r="Y1305" s="36">
        <v>-0.7254039497468392</v>
      </c>
      <c r="Z1305" s="36">
        <v>0.8993157380254155</v>
      </c>
      <c r="AA1305" s="29" t="s">
        <v>820</v>
      </c>
      <c r="AB1305" s="31">
        <v>19.2073</v>
      </c>
      <c r="AC1305" s="35">
        <v>705.0</v>
      </c>
    </row>
    <row r="1306" ht="14.25" customHeight="1">
      <c r="A1306" s="29" t="s">
        <v>1258</v>
      </c>
      <c r="B1306" s="29">
        <v>138.0</v>
      </c>
      <c r="C1306" s="29" t="s">
        <v>608</v>
      </c>
      <c r="D1306" s="29" t="s">
        <v>941</v>
      </c>
      <c r="E1306" s="29">
        <v>48.0</v>
      </c>
      <c r="F1306" s="30" t="s">
        <v>942</v>
      </c>
      <c r="G1306" s="29" t="s">
        <v>611</v>
      </c>
      <c r="H1306" s="31">
        <v>5.8</v>
      </c>
      <c r="I1306" s="29" t="s">
        <v>597</v>
      </c>
      <c r="J1306" s="32" t="s">
        <v>642</v>
      </c>
      <c r="K1306" s="29" t="s">
        <v>698</v>
      </c>
      <c r="L1306" s="29" t="s">
        <v>910</v>
      </c>
      <c r="M1306" s="36">
        <v>8.797461</v>
      </c>
      <c r="N1306" s="36">
        <v>5.009979</v>
      </c>
      <c r="O1306" s="34" t="s">
        <v>601</v>
      </c>
      <c r="P1306" s="32" t="s">
        <v>602</v>
      </c>
      <c r="Q1306" s="29">
        <v>10.0</v>
      </c>
      <c r="R1306" s="29">
        <v>11.0</v>
      </c>
      <c r="S1306" s="36">
        <v>0.18</v>
      </c>
      <c r="T1306" s="36">
        <v>0.31</v>
      </c>
      <c r="U1306" s="36">
        <f t="shared" ref="U1306:V1306" si="288">SQRT(S1306)</f>
        <v>0.4242640687</v>
      </c>
      <c r="V1306" s="36">
        <f t="shared" si="288"/>
        <v>0.5567764363</v>
      </c>
      <c r="W1306" s="37" t="s">
        <v>777</v>
      </c>
      <c r="X1306" s="31">
        <v>7.629</v>
      </c>
      <c r="Y1306" s="36">
        <v>-0.5431712154955312</v>
      </c>
      <c r="Z1306" s="36">
        <v>0.8488106875203649</v>
      </c>
      <c r="AA1306" s="29" t="s">
        <v>820</v>
      </c>
      <c r="AB1306" s="31">
        <v>19.2073</v>
      </c>
      <c r="AC1306" s="35">
        <v>743.0</v>
      </c>
    </row>
    <row r="1307" ht="14.25" customHeight="1">
      <c r="A1307" s="29" t="s">
        <v>1258</v>
      </c>
      <c r="B1307" s="29">
        <v>138.0</v>
      </c>
      <c r="C1307" s="29" t="s">
        <v>608</v>
      </c>
      <c r="D1307" s="29" t="s">
        <v>943</v>
      </c>
      <c r="E1307" s="29">
        <v>49.0</v>
      </c>
      <c r="F1307" s="30" t="s">
        <v>944</v>
      </c>
      <c r="G1307" s="29" t="s">
        <v>611</v>
      </c>
      <c r="H1307" s="31">
        <v>3.76</v>
      </c>
      <c r="I1307" s="29" t="s">
        <v>597</v>
      </c>
      <c r="J1307" s="32" t="s">
        <v>642</v>
      </c>
      <c r="K1307" s="29" t="s">
        <v>698</v>
      </c>
      <c r="L1307" s="29" t="s">
        <v>910</v>
      </c>
      <c r="M1307" s="36">
        <v>8.803172</v>
      </c>
      <c r="N1307" s="36">
        <v>5.051668</v>
      </c>
      <c r="O1307" s="34" t="s">
        <v>601</v>
      </c>
      <c r="P1307" s="32" t="s">
        <v>602</v>
      </c>
      <c r="Q1307" s="29">
        <v>12.0</v>
      </c>
      <c r="R1307" s="29">
        <v>11.0</v>
      </c>
      <c r="S1307" s="36">
        <v>0.03</v>
      </c>
      <c r="T1307" s="36">
        <v>0.1</v>
      </c>
      <c r="U1307" s="36">
        <f t="shared" ref="U1307:V1307" si="289">SQRT(S1307)</f>
        <v>0.1732050808</v>
      </c>
      <c r="V1307" s="36">
        <f t="shared" si="289"/>
        <v>0.316227766</v>
      </c>
      <c r="W1307" s="37" t="s">
        <v>777</v>
      </c>
      <c r="X1307" s="31">
        <v>5.84</v>
      </c>
      <c r="Y1307" s="36">
        <v>-1.2031131807880875</v>
      </c>
      <c r="Z1307" s="36">
        <v>3.686868686868687</v>
      </c>
      <c r="AA1307" s="29" t="s">
        <v>820</v>
      </c>
      <c r="AB1307" s="31">
        <v>19.2073</v>
      </c>
      <c r="AC1307" s="35">
        <v>786.0</v>
      </c>
    </row>
    <row r="1308" ht="14.25" customHeight="1">
      <c r="A1308" s="29" t="s">
        <v>1258</v>
      </c>
      <c r="B1308" s="29">
        <v>138.0</v>
      </c>
      <c r="C1308" s="29" t="s">
        <v>608</v>
      </c>
      <c r="D1308" s="29" t="s">
        <v>943</v>
      </c>
      <c r="E1308" s="29">
        <v>49.0</v>
      </c>
      <c r="F1308" s="30" t="s">
        <v>944</v>
      </c>
      <c r="G1308" s="29" t="s">
        <v>611</v>
      </c>
      <c r="H1308" s="31">
        <v>3.76</v>
      </c>
      <c r="I1308" s="29" t="s">
        <v>597</v>
      </c>
      <c r="J1308" s="32" t="s">
        <v>642</v>
      </c>
      <c r="K1308" s="29" t="s">
        <v>698</v>
      </c>
      <c r="L1308" s="29" t="s">
        <v>910</v>
      </c>
      <c r="M1308" s="36">
        <v>8.814593</v>
      </c>
      <c r="N1308" s="36">
        <v>5.085361</v>
      </c>
      <c r="O1308" s="34" t="s">
        <v>601</v>
      </c>
      <c r="P1308" s="32" t="s">
        <v>602</v>
      </c>
      <c r="Q1308" s="29">
        <v>11.0</v>
      </c>
      <c r="R1308" s="29">
        <v>11.0</v>
      </c>
      <c r="S1308" s="36">
        <v>0.1</v>
      </c>
      <c r="T1308" s="36">
        <v>0.1</v>
      </c>
      <c r="U1308" s="36">
        <f t="shared" ref="U1308:V1308" si="290">SQRT(S1308)</f>
        <v>0.316227766</v>
      </c>
      <c r="V1308" s="36">
        <f t="shared" si="290"/>
        <v>0.316227766</v>
      </c>
      <c r="W1308" s="37" t="s">
        <v>777</v>
      </c>
      <c r="X1308" s="31">
        <v>7.5</v>
      </c>
      <c r="Y1308" s="36">
        <v>2.5796466027220563E-4</v>
      </c>
      <c r="Z1308" s="36">
        <v>1.8181818181818181</v>
      </c>
      <c r="AA1308" s="29" t="s">
        <v>820</v>
      </c>
      <c r="AB1308" s="31">
        <v>19.2073</v>
      </c>
      <c r="AC1308" s="35">
        <v>705.0</v>
      </c>
    </row>
    <row r="1309" ht="14.25" customHeight="1">
      <c r="A1309" s="29" t="s">
        <v>1258</v>
      </c>
      <c r="B1309" s="29">
        <v>138.0</v>
      </c>
      <c r="C1309" s="29" t="s">
        <v>608</v>
      </c>
      <c r="D1309" s="29" t="s">
        <v>943</v>
      </c>
      <c r="E1309" s="29">
        <v>49.0</v>
      </c>
      <c r="F1309" s="30" t="s">
        <v>944</v>
      </c>
      <c r="G1309" s="29" t="s">
        <v>611</v>
      </c>
      <c r="H1309" s="31">
        <v>3.76</v>
      </c>
      <c r="I1309" s="29" t="s">
        <v>597</v>
      </c>
      <c r="J1309" s="32" t="s">
        <v>642</v>
      </c>
      <c r="K1309" s="29" t="s">
        <v>698</v>
      </c>
      <c r="L1309" s="29" t="s">
        <v>910</v>
      </c>
      <c r="M1309" s="36">
        <v>8.797461</v>
      </c>
      <c r="N1309" s="36">
        <v>5.009979</v>
      </c>
      <c r="O1309" s="34" t="s">
        <v>601</v>
      </c>
      <c r="P1309" s="32" t="s">
        <v>602</v>
      </c>
      <c r="Q1309" s="29">
        <v>10.0</v>
      </c>
      <c r="R1309" s="29">
        <v>11.0</v>
      </c>
      <c r="S1309" s="36">
        <v>0.04</v>
      </c>
      <c r="T1309" s="36">
        <v>0.1</v>
      </c>
      <c r="U1309" s="36">
        <f t="shared" ref="U1309:V1309" si="291">SQRT(S1309)</f>
        <v>0.2</v>
      </c>
      <c r="V1309" s="36">
        <f t="shared" si="291"/>
        <v>0.316227766</v>
      </c>
      <c r="W1309" s="37" t="s">
        <v>777</v>
      </c>
      <c r="X1309" s="31">
        <v>7.629</v>
      </c>
      <c r="Y1309" s="36">
        <v>-0.9156459449538857</v>
      </c>
      <c r="Z1309" s="36">
        <v>3.4090909090909096</v>
      </c>
      <c r="AA1309" s="29" t="s">
        <v>820</v>
      </c>
      <c r="AB1309" s="31">
        <v>19.2073</v>
      </c>
      <c r="AC1309" s="35">
        <v>743.0</v>
      </c>
    </row>
    <row r="1310" ht="14.25" customHeight="1">
      <c r="A1310" s="29" t="s">
        <v>1258</v>
      </c>
      <c r="B1310" s="29">
        <v>138.0</v>
      </c>
      <c r="C1310" s="29" t="s">
        <v>608</v>
      </c>
      <c r="D1310" s="35" t="s">
        <v>989</v>
      </c>
      <c r="E1310" s="29">
        <v>99.0</v>
      </c>
      <c r="F1310" s="30" t="s">
        <v>990</v>
      </c>
      <c r="G1310" s="29" t="s">
        <v>611</v>
      </c>
      <c r="H1310" s="31">
        <v>15.0</v>
      </c>
      <c r="I1310" s="29" t="s">
        <v>597</v>
      </c>
      <c r="J1310" s="32" t="s">
        <v>642</v>
      </c>
      <c r="K1310" s="29" t="s">
        <v>698</v>
      </c>
      <c r="L1310" s="29" t="s">
        <v>910</v>
      </c>
      <c r="M1310" s="36">
        <v>8.803172</v>
      </c>
      <c r="N1310" s="36">
        <v>5.051668</v>
      </c>
      <c r="O1310" s="34" t="s">
        <v>601</v>
      </c>
      <c r="P1310" s="32" t="s">
        <v>602</v>
      </c>
      <c r="Q1310" s="29">
        <v>12.0</v>
      </c>
      <c r="R1310" s="29">
        <v>11.0</v>
      </c>
      <c r="S1310" s="36">
        <v>0.0</v>
      </c>
      <c r="T1310" s="36">
        <v>0.02</v>
      </c>
      <c r="U1310" s="36">
        <f t="shared" ref="U1310:V1310" si="292">SQRT(S1310)</f>
        <v>0</v>
      </c>
      <c r="V1310" s="36">
        <f t="shared" si="292"/>
        <v>0.1414213562</v>
      </c>
      <c r="W1310" s="37" t="s">
        <v>777</v>
      </c>
      <c r="X1310" s="31">
        <v>5.84</v>
      </c>
      <c r="Y1310" s="36">
        <v>-8.262558973010657</v>
      </c>
      <c r="Z1310" s="36">
        <v>0.2216541228160221</v>
      </c>
      <c r="AA1310" s="29" t="s">
        <v>820</v>
      </c>
      <c r="AB1310" s="31">
        <v>19.2073</v>
      </c>
      <c r="AC1310" s="35">
        <v>786.0</v>
      </c>
    </row>
    <row r="1311" ht="14.25" customHeight="1">
      <c r="A1311" s="29" t="s">
        <v>1258</v>
      </c>
      <c r="B1311" s="29">
        <v>138.0</v>
      </c>
      <c r="C1311" s="29" t="s">
        <v>608</v>
      </c>
      <c r="D1311" s="35" t="s">
        <v>989</v>
      </c>
      <c r="E1311" s="29">
        <v>99.0</v>
      </c>
      <c r="F1311" s="30" t="s">
        <v>990</v>
      </c>
      <c r="G1311" s="29" t="s">
        <v>611</v>
      </c>
      <c r="H1311" s="31">
        <v>15.0</v>
      </c>
      <c r="I1311" s="29" t="s">
        <v>597</v>
      </c>
      <c r="J1311" s="32" t="s">
        <v>642</v>
      </c>
      <c r="K1311" s="29" t="s">
        <v>698</v>
      </c>
      <c r="L1311" s="29" t="s">
        <v>910</v>
      </c>
      <c r="M1311" s="36">
        <v>8.814593</v>
      </c>
      <c r="N1311" s="36">
        <v>5.085361</v>
      </c>
      <c r="O1311" s="34" t="s">
        <v>601</v>
      </c>
      <c r="P1311" s="32" t="s">
        <v>602</v>
      </c>
      <c r="Q1311" s="29">
        <v>11.0</v>
      </c>
      <c r="R1311" s="29">
        <v>11.0</v>
      </c>
      <c r="S1311" s="36">
        <v>0.02</v>
      </c>
      <c r="T1311" s="36">
        <v>0.02</v>
      </c>
      <c r="U1311" s="36">
        <f t="shared" ref="U1311:V1311" si="293">SQRT(S1311)</f>
        <v>0.1414213562</v>
      </c>
      <c r="V1311" s="36">
        <f t="shared" si="293"/>
        <v>0.1414213562</v>
      </c>
      <c r="W1311" s="37" t="s">
        <v>777</v>
      </c>
      <c r="X1311" s="31">
        <v>7.5</v>
      </c>
      <c r="Y1311" s="36">
        <v>2.5796466027220563E-4</v>
      </c>
      <c r="Z1311" s="36">
        <v>9.09090909090909</v>
      </c>
      <c r="AA1311" s="29" t="s">
        <v>820</v>
      </c>
      <c r="AB1311" s="31">
        <v>19.2073</v>
      </c>
      <c r="AC1311" s="35">
        <v>705.0</v>
      </c>
    </row>
    <row r="1312" ht="14.25" customHeight="1">
      <c r="A1312" s="29" t="s">
        <v>1258</v>
      </c>
      <c r="B1312" s="29">
        <v>138.0</v>
      </c>
      <c r="C1312" s="29" t="s">
        <v>608</v>
      </c>
      <c r="D1312" s="35" t="s">
        <v>989</v>
      </c>
      <c r="E1312" s="29">
        <v>99.0</v>
      </c>
      <c r="F1312" s="30" t="s">
        <v>990</v>
      </c>
      <c r="G1312" s="29" t="s">
        <v>611</v>
      </c>
      <c r="H1312" s="31">
        <v>15.0</v>
      </c>
      <c r="I1312" s="29" t="s">
        <v>597</v>
      </c>
      <c r="J1312" s="32" t="s">
        <v>642</v>
      </c>
      <c r="K1312" s="29" t="s">
        <v>698</v>
      </c>
      <c r="L1312" s="29" t="s">
        <v>910</v>
      </c>
      <c r="M1312" s="36">
        <v>8.797461</v>
      </c>
      <c r="N1312" s="36">
        <v>5.009979</v>
      </c>
      <c r="O1312" s="34" t="s">
        <v>601</v>
      </c>
      <c r="P1312" s="32" t="s">
        <v>602</v>
      </c>
      <c r="Q1312" s="29">
        <v>10.0</v>
      </c>
      <c r="R1312" s="29">
        <v>11.0</v>
      </c>
      <c r="S1312" s="36">
        <v>0.0</v>
      </c>
      <c r="T1312" s="36">
        <v>0.02</v>
      </c>
      <c r="U1312" s="36">
        <f t="shared" ref="U1312:V1312" si="294">SQRT(S1312)</f>
        <v>0</v>
      </c>
      <c r="V1312" s="36">
        <f t="shared" si="294"/>
        <v>0.1414213562</v>
      </c>
      <c r="W1312" s="37" t="s">
        <v>777</v>
      </c>
      <c r="X1312" s="31">
        <v>7.629</v>
      </c>
      <c r="Y1312" s="36">
        <v>-8.262558973010657</v>
      </c>
      <c r="Z1312" s="36">
        <v>0.23832078948268876</v>
      </c>
      <c r="AA1312" s="29" t="s">
        <v>820</v>
      </c>
      <c r="AB1312" s="31">
        <v>19.2073</v>
      </c>
      <c r="AC1312" s="35">
        <v>743.0</v>
      </c>
    </row>
    <row r="1313" ht="14.25" customHeight="1">
      <c r="A1313" s="29" t="s">
        <v>1258</v>
      </c>
      <c r="B1313" s="29">
        <v>138.0</v>
      </c>
      <c r="C1313" s="29" t="s">
        <v>608</v>
      </c>
      <c r="D1313" s="29" t="s">
        <v>991</v>
      </c>
      <c r="E1313" s="29">
        <v>152.0</v>
      </c>
      <c r="F1313" s="30" t="s">
        <v>992</v>
      </c>
      <c r="G1313" s="29" t="s">
        <v>611</v>
      </c>
      <c r="H1313" s="31">
        <v>10.896</v>
      </c>
      <c r="I1313" s="29" t="s">
        <v>612</v>
      </c>
      <c r="J1313" s="32" t="s">
        <v>642</v>
      </c>
      <c r="K1313" s="29" t="s">
        <v>698</v>
      </c>
      <c r="L1313" s="29" t="s">
        <v>910</v>
      </c>
      <c r="M1313" s="36">
        <v>8.803172</v>
      </c>
      <c r="N1313" s="36">
        <v>5.051668</v>
      </c>
      <c r="O1313" s="34" t="s">
        <v>601</v>
      </c>
      <c r="P1313" s="32" t="s">
        <v>602</v>
      </c>
      <c r="Q1313" s="29">
        <v>12.0</v>
      </c>
      <c r="R1313" s="29">
        <v>11.0</v>
      </c>
      <c r="S1313" s="36">
        <v>0.0</v>
      </c>
      <c r="T1313" s="36">
        <v>0.19</v>
      </c>
      <c r="U1313" s="36">
        <f t="shared" ref="U1313:V1313" si="295">SQRT(S1313)</f>
        <v>0</v>
      </c>
      <c r="V1313" s="36">
        <f t="shared" si="295"/>
        <v>0.4358898944</v>
      </c>
      <c r="W1313" s="37" t="s">
        <v>777</v>
      </c>
      <c r="X1313" s="31">
        <v>5.84</v>
      </c>
      <c r="Y1313" s="36">
        <v>-8.262558973010657</v>
      </c>
      <c r="Z1313" s="36">
        <v>0.25058045375380794</v>
      </c>
      <c r="AA1313" s="29" t="s">
        <v>820</v>
      </c>
      <c r="AB1313" s="31">
        <v>19.2073</v>
      </c>
      <c r="AC1313" s="35">
        <v>786.0</v>
      </c>
    </row>
    <row r="1314" ht="14.25" customHeight="1">
      <c r="A1314" s="29" t="s">
        <v>1258</v>
      </c>
      <c r="B1314" s="29">
        <v>138.0</v>
      </c>
      <c r="C1314" s="29" t="s">
        <v>608</v>
      </c>
      <c r="D1314" s="29" t="s">
        <v>991</v>
      </c>
      <c r="E1314" s="29">
        <v>152.0</v>
      </c>
      <c r="F1314" s="30" t="s">
        <v>992</v>
      </c>
      <c r="G1314" s="29" t="s">
        <v>611</v>
      </c>
      <c r="H1314" s="31">
        <v>10.896</v>
      </c>
      <c r="I1314" s="29" t="s">
        <v>612</v>
      </c>
      <c r="J1314" s="32" t="s">
        <v>642</v>
      </c>
      <c r="K1314" s="29" t="s">
        <v>698</v>
      </c>
      <c r="L1314" s="29" t="s">
        <v>910</v>
      </c>
      <c r="M1314" s="36">
        <v>8.814593</v>
      </c>
      <c r="N1314" s="36">
        <v>5.085361</v>
      </c>
      <c r="O1314" s="34" t="s">
        <v>601</v>
      </c>
      <c r="P1314" s="32" t="s">
        <v>602</v>
      </c>
      <c r="Q1314" s="29">
        <v>11.0</v>
      </c>
      <c r="R1314" s="29">
        <v>11.0</v>
      </c>
      <c r="S1314" s="36">
        <v>0.0</v>
      </c>
      <c r="T1314" s="36">
        <v>0.19</v>
      </c>
      <c r="U1314" s="36">
        <f t="shared" ref="U1314:V1314" si="296">SQRT(S1314)</f>
        <v>0</v>
      </c>
      <c r="V1314" s="36">
        <f t="shared" si="296"/>
        <v>0.4358898944</v>
      </c>
      <c r="W1314" s="37" t="s">
        <v>777</v>
      </c>
      <c r="X1314" s="31">
        <v>7.5</v>
      </c>
      <c r="Y1314" s="36">
        <v>-8.262558973010657</v>
      </c>
      <c r="Z1314" s="36">
        <v>0.2581562113295655</v>
      </c>
      <c r="AA1314" s="29" t="s">
        <v>820</v>
      </c>
      <c r="AB1314" s="31">
        <v>19.2073</v>
      </c>
      <c r="AC1314" s="35">
        <v>705.0</v>
      </c>
    </row>
    <row r="1315" ht="14.25" customHeight="1">
      <c r="A1315" s="29" t="s">
        <v>1258</v>
      </c>
      <c r="B1315" s="29">
        <v>138.0</v>
      </c>
      <c r="C1315" s="29" t="s">
        <v>608</v>
      </c>
      <c r="D1315" s="29" t="s">
        <v>991</v>
      </c>
      <c r="E1315" s="29">
        <v>152.0</v>
      </c>
      <c r="F1315" s="30" t="s">
        <v>992</v>
      </c>
      <c r="G1315" s="29" t="s">
        <v>611</v>
      </c>
      <c r="H1315" s="31">
        <v>10.896</v>
      </c>
      <c r="I1315" s="29" t="s">
        <v>612</v>
      </c>
      <c r="J1315" s="32" t="s">
        <v>642</v>
      </c>
      <c r="K1315" s="29" t="s">
        <v>698</v>
      </c>
      <c r="L1315" s="29" t="s">
        <v>910</v>
      </c>
      <c r="M1315" s="36">
        <v>8.797461</v>
      </c>
      <c r="N1315" s="36">
        <v>5.009979</v>
      </c>
      <c r="O1315" s="34" t="s">
        <v>601</v>
      </c>
      <c r="P1315" s="32" t="s">
        <v>602</v>
      </c>
      <c r="Q1315" s="29">
        <v>10.0</v>
      </c>
      <c r="R1315" s="29">
        <v>11.0</v>
      </c>
      <c r="S1315" s="36">
        <v>0.0</v>
      </c>
      <c r="T1315" s="36">
        <v>0.19</v>
      </c>
      <c r="U1315" s="36">
        <f t="shared" ref="U1315:V1315" si="297">SQRT(S1315)</f>
        <v>0</v>
      </c>
      <c r="V1315" s="36">
        <f t="shared" si="297"/>
        <v>0.4358898944</v>
      </c>
      <c r="W1315" s="37" t="s">
        <v>777</v>
      </c>
      <c r="X1315" s="31">
        <v>7.629</v>
      </c>
      <c r="Y1315" s="36">
        <v>-8.262558973010657</v>
      </c>
      <c r="Z1315" s="36">
        <v>0.2672471204204746</v>
      </c>
      <c r="AA1315" s="29" t="s">
        <v>820</v>
      </c>
      <c r="AB1315" s="31">
        <v>19.2073</v>
      </c>
      <c r="AC1315" s="35">
        <v>743.0</v>
      </c>
    </row>
    <row r="1316" ht="14.25" customHeight="1">
      <c r="A1316" s="29" t="s">
        <v>1258</v>
      </c>
      <c r="B1316" s="29">
        <v>138.0</v>
      </c>
      <c r="C1316" s="29" t="s">
        <v>608</v>
      </c>
      <c r="D1316" s="29" t="s">
        <v>1259</v>
      </c>
      <c r="E1316" s="29">
        <v>305.0</v>
      </c>
      <c r="F1316" s="39" t="s">
        <v>1260</v>
      </c>
      <c r="G1316" s="29" t="s">
        <v>611</v>
      </c>
      <c r="H1316" s="31">
        <v>7.74997</v>
      </c>
      <c r="I1316" s="29" t="s">
        <v>597</v>
      </c>
      <c r="J1316" s="32" t="s">
        <v>642</v>
      </c>
      <c r="K1316" s="29" t="s">
        <v>698</v>
      </c>
      <c r="L1316" s="29" t="s">
        <v>910</v>
      </c>
      <c r="M1316" s="36">
        <v>9.123504</v>
      </c>
      <c r="N1316" s="36">
        <v>5.242044</v>
      </c>
      <c r="O1316" s="34" t="s">
        <v>601</v>
      </c>
      <c r="P1316" s="32" t="s">
        <v>602</v>
      </c>
      <c r="Q1316" s="29">
        <v>6.0</v>
      </c>
      <c r="R1316" s="29">
        <v>11.0</v>
      </c>
      <c r="S1316" s="36">
        <v>0.0</v>
      </c>
      <c r="T1316" s="36">
        <v>0.02</v>
      </c>
      <c r="U1316" s="36">
        <f t="shared" ref="U1316:V1316" si="298">SQRT(S1316)</f>
        <v>0</v>
      </c>
      <c r="V1316" s="36">
        <f t="shared" si="298"/>
        <v>0.1414213562</v>
      </c>
      <c r="W1316" s="37" t="s">
        <v>777</v>
      </c>
      <c r="X1316" s="31">
        <v>4.38</v>
      </c>
      <c r="Y1316" s="36">
        <v>-8.262558973010657</v>
      </c>
      <c r="Z1316" s="36">
        <v>0.3049874561493554</v>
      </c>
      <c r="AA1316" s="29" t="s">
        <v>820</v>
      </c>
      <c r="AB1316" s="31">
        <v>19.2091</v>
      </c>
      <c r="AC1316" s="35">
        <v>183.0</v>
      </c>
    </row>
    <row r="1317" ht="14.25" customHeight="1">
      <c r="A1317" s="29" t="s">
        <v>1258</v>
      </c>
      <c r="B1317" s="29">
        <v>138.0</v>
      </c>
      <c r="C1317" s="29" t="s">
        <v>608</v>
      </c>
      <c r="D1317" s="29" t="s">
        <v>983</v>
      </c>
      <c r="E1317" s="29">
        <v>47.0</v>
      </c>
      <c r="F1317" s="30" t="s">
        <v>984</v>
      </c>
      <c r="G1317" s="29" t="s">
        <v>611</v>
      </c>
      <c r="H1317" s="31">
        <v>3.918</v>
      </c>
      <c r="I1317" s="29" t="s">
        <v>597</v>
      </c>
      <c r="J1317" s="32" t="s">
        <v>642</v>
      </c>
      <c r="K1317" s="29" t="s">
        <v>698</v>
      </c>
      <c r="L1317" s="29" t="s">
        <v>910</v>
      </c>
      <c r="M1317" s="36">
        <v>9.123504</v>
      </c>
      <c r="N1317" s="36">
        <v>5.242044</v>
      </c>
      <c r="O1317" s="34" t="s">
        <v>601</v>
      </c>
      <c r="P1317" s="32" t="s">
        <v>602</v>
      </c>
      <c r="Q1317" s="29">
        <v>6.0</v>
      </c>
      <c r="R1317" s="29">
        <v>11.0</v>
      </c>
      <c r="S1317" s="36">
        <v>0.1</v>
      </c>
      <c r="T1317" s="36">
        <v>0.09</v>
      </c>
      <c r="U1317" s="36">
        <f t="shared" ref="U1317:V1317" si="299">SQRT(S1317)</f>
        <v>0.316227766</v>
      </c>
      <c r="V1317" s="36">
        <f t="shared" si="299"/>
        <v>0.3</v>
      </c>
      <c r="W1317" s="37" t="s">
        <v>777</v>
      </c>
      <c r="X1317" s="31">
        <v>4.38</v>
      </c>
      <c r="Y1317" s="36">
        <v>0.10559268684642481</v>
      </c>
      <c r="Z1317" s="36">
        <v>2.6767676767676765</v>
      </c>
      <c r="AA1317" s="29" t="s">
        <v>820</v>
      </c>
      <c r="AB1317" s="31">
        <v>19.2091</v>
      </c>
      <c r="AC1317" s="35">
        <v>183.0</v>
      </c>
    </row>
    <row r="1318" ht="14.25" customHeight="1">
      <c r="A1318" s="29" t="s">
        <v>1258</v>
      </c>
      <c r="B1318" s="29">
        <v>138.0</v>
      </c>
      <c r="C1318" s="29" t="s">
        <v>608</v>
      </c>
      <c r="D1318" s="35" t="s">
        <v>1066</v>
      </c>
      <c r="E1318" s="29">
        <v>306.0</v>
      </c>
      <c r="F1318" s="39" t="s">
        <v>1067</v>
      </c>
      <c r="G1318" s="29" t="s">
        <v>611</v>
      </c>
      <c r="H1318" s="31">
        <v>4.20833</v>
      </c>
      <c r="I1318" s="29" t="s">
        <v>597</v>
      </c>
      <c r="J1318" s="32" t="s">
        <v>642</v>
      </c>
      <c r="K1318" s="29" t="s">
        <v>698</v>
      </c>
      <c r="L1318" s="29" t="s">
        <v>910</v>
      </c>
      <c r="M1318" s="36">
        <v>9.123504</v>
      </c>
      <c r="N1318" s="36">
        <v>5.242044</v>
      </c>
      <c r="O1318" s="34" t="s">
        <v>601</v>
      </c>
      <c r="P1318" s="32" t="s">
        <v>602</v>
      </c>
      <c r="Q1318" s="29">
        <v>6.0</v>
      </c>
      <c r="R1318" s="29">
        <v>11.0</v>
      </c>
      <c r="S1318" s="36">
        <v>0.17</v>
      </c>
      <c r="T1318" s="36">
        <v>0.04</v>
      </c>
      <c r="U1318" s="36">
        <f t="shared" ref="U1318:V1318" si="300">SQRT(S1318)</f>
        <v>0.4123105626</v>
      </c>
      <c r="V1318" s="36">
        <f t="shared" si="300"/>
        <v>0.2</v>
      </c>
      <c r="W1318" s="37" t="s">
        <v>777</v>
      </c>
      <c r="X1318" s="31">
        <v>4.38</v>
      </c>
      <c r="Y1318" s="36">
        <v>1.4469796864905373</v>
      </c>
      <c r="Z1318" s="36">
        <v>3.253119429590018</v>
      </c>
      <c r="AA1318" s="29" t="s">
        <v>820</v>
      </c>
      <c r="AB1318" s="31">
        <v>19.2091</v>
      </c>
      <c r="AC1318" s="35">
        <v>183.0</v>
      </c>
    </row>
    <row r="1319" ht="14.25" customHeight="1">
      <c r="A1319" s="29" t="s">
        <v>1258</v>
      </c>
      <c r="B1319" s="29">
        <v>138.0</v>
      </c>
      <c r="C1319" s="29" t="s">
        <v>608</v>
      </c>
      <c r="D1319" s="29" t="s">
        <v>941</v>
      </c>
      <c r="E1319" s="29">
        <v>48.0</v>
      </c>
      <c r="F1319" s="30" t="s">
        <v>942</v>
      </c>
      <c r="G1319" s="29" t="s">
        <v>611</v>
      </c>
      <c r="H1319" s="31">
        <v>5.8</v>
      </c>
      <c r="I1319" s="29" t="s">
        <v>597</v>
      </c>
      <c r="J1319" s="32" t="s">
        <v>642</v>
      </c>
      <c r="K1319" s="29" t="s">
        <v>698</v>
      </c>
      <c r="L1319" s="29" t="s">
        <v>910</v>
      </c>
      <c r="M1319" s="36">
        <v>9.123504</v>
      </c>
      <c r="N1319" s="36">
        <v>5.242044</v>
      </c>
      <c r="O1319" s="34" t="s">
        <v>601</v>
      </c>
      <c r="P1319" s="32" t="s">
        <v>602</v>
      </c>
      <c r="Q1319" s="29">
        <v>6.0</v>
      </c>
      <c r="R1319" s="29">
        <v>11.0</v>
      </c>
      <c r="S1319" s="36">
        <v>0.37</v>
      </c>
      <c r="T1319" s="36">
        <v>0.31</v>
      </c>
      <c r="U1319" s="36">
        <f t="shared" ref="U1319:V1319" si="301">SQRT(S1319)</f>
        <v>0.608276253</v>
      </c>
      <c r="V1319" s="36">
        <f t="shared" si="301"/>
        <v>0.5567764363</v>
      </c>
      <c r="W1319" s="37" t="s">
        <v>777</v>
      </c>
      <c r="X1319" s="31">
        <v>4.38</v>
      </c>
      <c r="Y1319" s="36">
        <v>0.1771468452326567</v>
      </c>
      <c r="Z1319" s="36">
        <v>0.7437055824152599</v>
      </c>
      <c r="AA1319" s="29" t="s">
        <v>820</v>
      </c>
      <c r="AB1319" s="31">
        <v>19.2091</v>
      </c>
      <c r="AC1319" s="35">
        <v>183.0</v>
      </c>
    </row>
    <row r="1320" ht="14.25" customHeight="1">
      <c r="A1320" s="29" t="s">
        <v>1258</v>
      </c>
      <c r="B1320" s="29">
        <v>138.0</v>
      </c>
      <c r="C1320" s="29" t="s">
        <v>608</v>
      </c>
      <c r="D1320" s="29" t="s">
        <v>943</v>
      </c>
      <c r="E1320" s="29">
        <v>49.0</v>
      </c>
      <c r="F1320" s="30" t="s">
        <v>944</v>
      </c>
      <c r="G1320" s="29" t="s">
        <v>611</v>
      </c>
      <c r="H1320" s="31">
        <v>3.76</v>
      </c>
      <c r="I1320" s="29" t="s">
        <v>597</v>
      </c>
      <c r="J1320" s="32" t="s">
        <v>642</v>
      </c>
      <c r="K1320" s="29" t="s">
        <v>698</v>
      </c>
      <c r="L1320" s="29" t="s">
        <v>910</v>
      </c>
      <c r="M1320" s="36">
        <v>9.123504</v>
      </c>
      <c r="N1320" s="36">
        <v>5.242044</v>
      </c>
      <c r="O1320" s="34" t="s">
        <v>601</v>
      </c>
      <c r="P1320" s="32" t="s">
        <v>602</v>
      </c>
      <c r="Q1320" s="29">
        <v>6.0</v>
      </c>
      <c r="R1320" s="29">
        <v>11.0</v>
      </c>
      <c r="S1320" s="36">
        <v>0.03</v>
      </c>
      <c r="T1320" s="36">
        <v>0.1</v>
      </c>
      <c r="U1320" s="36">
        <f t="shared" ref="U1320:V1320" si="302">SQRT(S1320)</f>
        <v>0.1732050808</v>
      </c>
      <c r="V1320" s="36">
        <f t="shared" si="302"/>
        <v>0.316227766</v>
      </c>
      <c r="W1320" s="37" t="s">
        <v>777</v>
      </c>
      <c r="X1320" s="31">
        <v>4.38</v>
      </c>
      <c r="Y1320" s="36">
        <v>-1.2031131807880875</v>
      </c>
      <c r="Z1320" s="36">
        <v>6.4646464646464645</v>
      </c>
      <c r="AA1320" s="29" t="s">
        <v>820</v>
      </c>
      <c r="AB1320" s="31">
        <v>19.2091</v>
      </c>
      <c r="AC1320" s="35">
        <v>183.0</v>
      </c>
    </row>
    <row r="1321" ht="14.25" customHeight="1">
      <c r="A1321" s="29" t="s">
        <v>1258</v>
      </c>
      <c r="B1321" s="29">
        <v>138.0</v>
      </c>
      <c r="C1321" s="29" t="s">
        <v>608</v>
      </c>
      <c r="D1321" s="35" t="s">
        <v>989</v>
      </c>
      <c r="E1321" s="29">
        <v>99.0</v>
      </c>
      <c r="F1321" s="30" t="s">
        <v>990</v>
      </c>
      <c r="G1321" s="29" t="s">
        <v>611</v>
      </c>
      <c r="H1321" s="31">
        <v>15.0</v>
      </c>
      <c r="I1321" s="29" t="s">
        <v>597</v>
      </c>
      <c r="J1321" s="32" t="s">
        <v>642</v>
      </c>
      <c r="K1321" s="29" t="s">
        <v>698</v>
      </c>
      <c r="L1321" s="29" t="s">
        <v>910</v>
      </c>
      <c r="M1321" s="36">
        <v>9.123504</v>
      </c>
      <c r="N1321" s="36">
        <v>5.242044</v>
      </c>
      <c r="O1321" s="34" t="s">
        <v>601</v>
      </c>
      <c r="P1321" s="32" t="s">
        <v>602</v>
      </c>
      <c r="Q1321" s="29">
        <v>6.0</v>
      </c>
      <c r="R1321" s="29">
        <v>11.0</v>
      </c>
      <c r="S1321" s="36">
        <v>0.0</v>
      </c>
      <c r="T1321" s="36">
        <v>0.02</v>
      </c>
      <c r="U1321" s="36">
        <f t="shared" ref="U1321:V1321" si="303">SQRT(S1321)</f>
        <v>0</v>
      </c>
      <c r="V1321" s="36">
        <f t="shared" si="303"/>
        <v>0.1414213562</v>
      </c>
      <c r="W1321" s="37" t="s">
        <v>777</v>
      </c>
      <c r="X1321" s="31">
        <v>4.38</v>
      </c>
      <c r="Y1321" s="36">
        <v>-8.262558973010657</v>
      </c>
      <c r="Z1321" s="36">
        <v>0.3049874561493554</v>
      </c>
      <c r="AA1321" s="29" t="s">
        <v>820</v>
      </c>
      <c r="AB1321" s="31">
        <v>19.2091</v>
      </c>
      <c r="AC1321" s="35">
        <v>183.0</v>
      </c>
    </row>
    <row r="1322" ht="14.25" customHeight="1">
      <c r="A1322" s="29" t="s">
        <v>1258</v>
      </c>
      <c r="B1322" s="29">
        <v>138.0</v>
      </c>
      <c r="C1322" s="29" t="s">
        <v>608</v>
      </c>
      <c r="D1322" s="29" t="s">
        <v>991</v>
      </c>
      <c r="E1322" s="29">
        <v>152.0</v>
      </c>
      <c r="F1322" s="30" t="s">
        <v>992</v>
      </c>
      <c r="G1322" s="29" t="s">
        <v>611</v>
      </c>
      <c r="H1322" s="31">
        <v>10.896</v>
      </c>
      <c r="I1322" s="29" t="s">
        <v>612</v>
      </c>
      <c r="J1322" s="32" t="s">
        <v>642</v>
      </c>
      <c r="K1322" s="29" t="s">
        <v>698</v>
      </c>
      <c r="L1322" s="29" t="s">
        <v>910</v>
      </c>
      <c r="M1322" s="36">
        <v>9.123504</v>
      </c>
      <c r="N1322" s="36">
        <v>5.242044</v>
      </c>
      <c r="O1322" s="34" t="s">
        <v>601</v>
      </c>
      <c r="P1322" s="32" t="s">
        <v>602</v>
      </c>
      <c r="Q1322" s="29">
        <v>6.0</v>
      </c>
      <c r="R1322" s="29">
        <v>11.0</v>
      </c>
      <c r="S1322" s="36">
        <v>0.07</v>
      </c>
      <c r="T1322" s="36">
        <v>0.19</v>
      </c>
      <c r="U1322" s="36">
        <f t="shared" ref="U1322:V1322" si="304">SQRT(S1322)</f>
        <v>0.2645751311</v>
      </c>
      <c r="V1322" s="36">
        <f t="shared" si="304"/>
        <v>0.4358898944</v>
      </c>
      <c r="W1322" s="37" t="s">
        <v>777</v>
      </c>
      <c r="X1322" s="31">
        <v>4.38</v>
      </c>
      <c r="Y1322" s="36">
        <v>-0.9978287950807893</v>
      </c>
      <c r="Z1322" s="36">
        <v>2.859421280473912</v>
      </c>
      <c r="AA1322" s="29" t="s">
        <v>820</v>
      </c>
      <c r="AB1322" s="31">
        <v>19.2091</v>
      </c>
      <c r="AC1322" s="35">
        <v>183.0</v>
      </c>
    </row>
    <row r="1323" ht="14.25" customHeight="1">
      <c r="A1323" s="29" t="s">
        <v>1258</v>
      </c>
      <c r="B1323" s="29">
        <v>138.0</v>
      </c>
      <c r="C1323" s="29" t="s">
        <v>608</v>
      </c>
      <c r="D1323" s="29" t="s">
        <v>1259</v>
      </c>
      <c r="E1323" s="29">
        <v>305.0</v>
      </c>
      <c r="F1323" s="39" t="s">
        <v>1260</v>
      </c>
      <c r="G1323" s="29" t="s">
        <v>611</v>
      </c>
      <c r="H1323" s="31">
        <v>7.74997</v>
      </c>
      <c r="I1323" s="29" t="s">
        <v>597</v>
      </c>
      <c r="J1323" s="32" t="s">
        <v>642</v>
      </c>
      <c r="K1323" s="29" t="s">
        <v>698</v>
      </c>
      <c r="L1323" s="29" t="s">
        <v>910</v>
      </c>
      <c r="M1323" s="36">
        <v>9.143606</v>
      </c>
      <c r="N1323" s="36">
        <v>5.360617</v>
      </c>
      <c r="O1323" s="34" t="s">
        <v>641</v>
      </c>
      <c r="P1323" s="32" t="s">
        <v>602</v>
      </c>
      <c r="Q1323" s="29">
        <v>6.0</v>
      </c>
      <c r="R1323" s="29">
        <v>11.0</v>
      </c>
      <c r="S1323" s="36">
        <v>0.0</v>
      </c>
      <c r="T1323" s="36">
        <v>0.02</v>
      </c>
      <c r="U1323" s="36">
        <f t="shared" ref="U1323:V1323" si="305">SQRT(S1323)</f>
        <v>0</v>
      </c>
      <c r="V1323" s="36">
        <f t="shared" si="305"/>
        <v>0.1414213562</v>
      </c>
      <c r="W1323" s="37" t="s">
        <v>777</v>
      </c>
      <c r="X1323" s="31">
        <v>1.352</v>
      </c>
      <c r="Y1323" s="36">
        <v>-8.262558973010657</v>
      </c>
      <c r="Z1323" s="36">
        <v>0.3049874561493554</v>
      </c>
      <c r="AA1323" s="29" t="s">
        <v>820</v>
      </c>
      <c r="AB1323" s="31">
        <v>28.2483</v>
      </c>
      <c r="AC1323" s="35">
        <v>395.0</v>
      </c>
    </row>
    <row r="1324" ht="14.25" customHeight="1">
      <c r="A1324" s="29" t="s">
        <v>1258</v>
      </c>
      <c r="B1324" s="29">
        <v>138.0</v>
      </c>
      <c r="C1324" s="29" t="s">
        <v>608</v>
      </c>
      <c r="D1324" s="29" t="s">
        <v>1259</v>
      </c>
      <c r="E1324" s="29">
        <v>305.0</v>
      </c>
      <c r="F1324" s="39" t="s">
        <v>1260</v>
      </c>
      <c r="G1324" s="29" t="s">
        <v>611</v>
      </c>
      <c r="H1324" s="31">
        <v>7.74997</v>
      </c>
      <c r="I1324" s="29" t="s">
        <v>597</v>
      </c>
      <c r="J1324" s="32" t="s">
        <v>642</v>
      </c>
      <c r="K1324" s="29" t="s">
        <v>698</v>
      </c>
      <c r="L1324" s="29" t="s">
        <v>910</v>
      </c>
      <c r="M1324" s="36">
        <v>9.165687</v>
      </c>
      <c r="N1324" s="36">
        <v>5.366404</v>
      </c>
      <c r="O1324" s="34" t="s">
        <v>641</v>
      </c>
      <c r="P1324" s="32" t="s">
        <v>602</v>
      </c>
      <c r="Q1324" s="29">
        <v>6.0</v>
      </c>
      <c r="R1324" s="29">
        <v>11.0</v>
      </c>
      <c r="S1324" s="36">
        <v>0.0</v>
      </c>
      <c r="T1324" s="36">
        <v>0.02</v>
      </c>
      <c r="U1324" s="36">
        <f t="shared" ref="U1324:V1324" si="306">SQRT(S1324)</f>
        <v>0</v>
      </c>
      <c r="V1324" s="36">
        <f t="shared" si="306"/>
        <v>0.1414213562</v>
      </c>
      <c r="W1324" s="37" t="s">
        <v>777</v>
      </c>
      <c r="X1324" s="31">
        <v>2.054</v>
      </c>
      <c r="Y1324" s="36">
        <v>-8.262558973010657</v>
      </c>
      <c r="Z1324" s="36">
        <v>0.3049874561493554</v>
      </c>
      <c r="AA1324" s="29" t="s">
        <v>820</v>
      </c>
      <c r="AB1324" s="31">
        <v>28.2483</v>
      </c>
      <c r="AC1324" s="35">
        <v>363.0</v>
      </c>
    </row>
    <row r="1325" ht="14.25" customHeight="1">
      <c r="A1325" s="29" t="s">
        <v>1258</v>
      </c>
      <c r="B1325" s="29">
        <v>138.0</v>
      </c>
      <c r="C1325" s="29" t="s">
        <v>608</v>
      </c>
      <c r="D1325" s="29" t="s">
        <v>1259</v>
      </c>
      <c r="E1325" s="29">
        <v>305.0</v>
      </c>
      <c r="F1325" s="39" t="s">
        <v>1260</v>
      </c>
      <c r="G1325" s="29" t="s">
        <v>611</v>
      </c>
      <c r="H1325" s="31">
        <v>7.74997</v>
      </c>
      <c r="I1325" s="29" t="s">
        <v>597</v>
      </c>
      <c r="J1325" s="32" t="s">
        <v>642</v>
      </c>
      <c r="K1325" s="29" t="s">
        <v>698</v>
      </c>
      <c r="L1325" s="29" t="s">
        <v>910</v>
      </c>
      <c r="M1325" s="36">
        <v>9.151601</v>
      </c>
      <c r="N1325" s="36">
        <v>5.375541</v>
      </c>
      <c r="O1325" s="34" t="s">
        <v>641</v>
      </c>
      <c r="P1325" s="32" t="s">
        <v>602</v>
      </c>
      <c r="Q1325" s="29">
        <v>6.0</v>
      </c>
      <c r="R1325" s="29">
        <v>11.0</v>
      </c>
      <c r="S1325" s="36">
        <v>0.0</v>
      </c>
      <c r="T1325" s="36">
        <v>0.02</v>
      </c>
      <c r="U1325" s="36">
        <f t="shared" ref="U1325:V1325" si="307">SQRT(S1325)</f>
        <v>0</v>
      </c>
      <c r="V1325" s="36">
        <f t="shared" si="307"/>
        <v>0.1414213562</v>
      </c>
      <c r="W1325" s="37" t="s">
        <v>777</v>
      </c>
      <c r="X1325" s="31">
        <v>2.515</v>
      </c>
      <c r="Y1325" s="36">
        <v>-8.262558973010657</v>
      </c>
      <c r="Z1325" s="36">
        <v>0.3049874561493554</v>
      </c>
      <c r="AA1325" s="29" t="s">
        <v>820</v>
      </c>
      <c r="AB1325" s="31">
        <v>28.2483</v>
      </c>
      <c r="AC1325" s="35">
        <v>399.0</v>
      </c>
    </row>
    <row r="1326" ht="14.25" customHeight="1">
      <c r="A1326" s="29" t="s">
        <v>1258</v>
      </c>
      <c r="B1326" s="29">
        <v>138.0</v>
      </c>
      <c r="C1326" s="29" t="s">
        <v>608</v>
      </c>
      <c r="D1326" s="29" t="s">
        <v>1259</v>
      </c>
      <c r="E1326" s="29">
        <v>305.0</v>
      </c>
      <c r="F1326" s="39" t="s">
        <v>1260</v>
      </c>
      <c r="G1326" s="29" t="s">
        <v>611</v>
      </c>
      <c r="H1326" s="31">
        <v>7.74997</v>
      </c>
      <c r="I1326" s="29" t="s">
        <v>597</v>
      </c>
      <c r="J1326" s="32" t="s">
        <v>642</v>
      </c>
      <c r="K1326" s="29" t="s">
        <v>698</v>
      </c>
      <c r="L1326" s="29" t="s">
        <v>910</v>
      </c>
      <c r="M1326" s="36">
        <v>9.120649</v>
      </c>
      <c r="N1326" s="36">
        <v>5.290585</v>
      </c>
      <c r="O1326" s="34" t="s">
        <v>601</v>
      </c>
      <c r="P1326" s="32" t="s">
        <v>602</v>
      </c>
      <c r="Q1326" s="29">
        <v>6.0</v>
      </c>
      <c r="R1326" s="29">
        <v>11.0</v>
      </c>
      <c r="S1326" s="36">
        <v>0.0</v>
      </c>
      <c r="T1326" s="36">
        <v>0.02</v>
      </c>
      <c r="U1326" s="36">
        <f t="shared" ref="U1326:V1326" si="308">SQRT(S1326)</f>
        <v>0</v>
      </c>
      <c r="V1326" s="36">
        <f t="shared" si="308"/>
        <v>0.1414213562</v>
      </c>
      <c r="W1326" s="37" t="s">
        <v>777</v>
      </c>
      <c r="X1326" s="31">
        <v>2.77</v>
      </c>
      <c r="Y1326" s="36">
        <v>-8.262558973010657</v>
      </c>
      <c r="Z1326" s="36">
        <v>0.3049874561493554</v>
      </c>
      <c r="AA1326" s="29" t="s">
        <v>820</v>
      </c>
      <c r="AB1326" s="31">
        <v>28.2483</v>
      </c>
      <c r="AC1326" s="35">
        <v>199.0</v>
      </c>
    </row>
    <row r="1327" ht="14.25" customHeight="1">
      <c r="A1327" s="29" t="s">
        <v>1258</v>
      </c>
      <c r="B1327" s="29">
        <v>138.0</v>
      </c>
      <c r="C1327" s="29" t="s">
        <v>608</v>
      </c>
      <c r="D1327" s="29" t="s">
        <v>1259</v>
      </c>
      <c r="E1327" s="29">
        <v>305.0</v>
      </c>
      <c r="F1327" s="39" t="s">
        <v>1260</v>
      </c>
      <c r="G1327" s="29" t="s">
        <v>611</v>
      </c>
      <c r="H1327" s="31">
        <v>7.74997</v>
      </c>
      <c r="I1327" s="29" t="s">
        <v>597</v>
      </c>
      <c r="J1327" s="32" t="s">
        <v>642</v>
      </c>
      <c r="K1327" s="29" t="s">
        <v>698</v>
      </c>
      <c r="L1327" s="29" t="s">
        <v>910</v>
      </c>
      <c r="M1327" s="36">
        <v>9.139209</v>
      </c>
      <c r="N1327" s="36">
        <v>5.273452</v>
      </c>
      <c r="O1327" s="34" t="s">
        <v>601</v>
      </c>
      <c r="P1327" s="32" t="s">
        <v>602</v>
      </c>
      <c r="Q1327" s="29">
        <v>6.0</v>
      </c>
      <c r="R1327" s="29">
        <v>11.0</v>
      </c>
      <c r="S1327" s="36">
        <v>0.0</v>
      </c>
      <c r="T1327" s="36">
        <v>0.02</v>
      </c>
      <c r="U1327" s="36">
        <f t="shared" ref="U1327:V1327" si="309">SQRT(S1327)</f>
        <v>0</v>
      </c>
      <c r="V1327" s="36">
        <f t="shared" si="309"/>
        <v>0.1414213562</v>
      </c>
      <c r="W1327" s="37" t="s">
        <v>777</v>
      </c>
      <c r="X1327" s="31">
        <v>4.2</v>
      </c>
      <c r="Y1327" s="36">
        <v>-8.262558973010657</v>
      </c>
      <c r="Z1327" s="36">
        <v>0.3049874561493554</v>
      </c>
      <c r="AA1327" s="29" t="s">
        <v>820</v>
      </c>
      <c r="AB1327" s="31">
        <v>28.2483</v>
      </c>
      <c r="AC1327" s="35">
        <v>153.0</v>
      </c>
    </row>
    <row r="1328" ht="14.25" customHeight="1">
      <c r="A1328" s="29" t="s">
        <v>1258</v>
      </c>
      <c r="B1328" s="29">
        <v>138.0</v>
      </c>
      <c r="C1328" s="29" t="s">
        <v>608</v>
      </c>
      <c r="D1328" s="29" t="s">
        <v>983</v>
      </c>
      <c r="E1328" s="29">
        <v>47.0</v>
      </c>
      <c r="F1328" s="30" t="s">
        <v>984</v>
      </c>
      <c r="G1328" s="29" t="s">
        <v>611</v>
      </c>
      <c r="H1328" s="31">
        <v>3.918</v>
      </c>
      <c r="I1328" s="29" t="s">
        <v>597</v>
      </c>
      <c r="J1328" s="32" t="s">
        <v>642</v>
      </c>
      <c r="K1328" s="29" t="s">
        <v>698</v>
      </c>
      <c r="L1328" s="29" t="s">
        <v>910</v>
      </c>
      <c r="M1328" s="36">
        <v>9.143606</v>
      </c>
      <c r="N1328" s="36">
        <v>5.360617</v>
      </c>
      <c r="O1328" s="34" t="s">
        <v>641</v>
      </c>
      <c r="P1328" s="32" t="s">
        <v>602</v>
      </c>
      <c r="Q1328" s="29">
        <v>6.0</v>
      </c>
      <c r="R1328" s="29">
        <v>11.0</v>
      </c>
      <c r="S1328" s="36">
        <v>0.09</v>
      </c>
      <c r="T1328" s="36">
        <v>0.09</v>
      </c>
      <c r="U1328" s="36">
        <f t="shared" ref="U1328:V1328" si="310">SQRT(S1328)</f>
        <v>0.3</v>
      </c>
      <c r="V1328" s="36">
        <f t="shared" si="310"/>
        <v>0.3</v>
      </c>
      <c r="W1328" s="37" t="s">
        <v>777</v>
      </c>
      <c r="X1328" s="31">
        <v>1.352</v>
      </c>
      <c r="Y1328" s="36">
        <v>2.5796466027220563E-4</v>
      </c>
      <c r="Z1328" s="36">
        <v>2.861952861952862</v>
      </c>
      <c r="AA1328" s="29" t="s">
        <v>820</v>
      </c>
      <c r="AB1328" s="31">
        <v>28.2483</v>
      </c>
      <c r="AC1328" s="35">
        <v>395.0</v>
      </c>
    </row>
    <row r="1329" ht="14.25" customHeight="1">
      <c r="A1329" s="29" t="s">
        <v>1258</v>
      </c>
      <c r="B1329" s="29">
        <v>138.0</v>
      </c>
      <c r="C1329" s="29" t="s">
        <v>608</v>
      </c>
      <c r="D1329" s="29" t="s">
        <v>983</v>
      </c>
      <c r="E1329" s="29">
        <v>47.0</v>
      </c>
      <c r="F1329" s="30" t="s">
        <v>984</v>
      </c>
      <c r="G1329" s="29" t="s">
        <v>611</v>
      </c>
      <c r="H1329" s="31">
        <v>3.918</v>
      </c>
      <c r="I1329" s="29" t="s">
        <v>597</v>
      </c>
      <c r="J1329" s="32" t="s">
        <v>642</v>
      </c>
      <c r="K1329" s="29" t="s">
        <v>698</v>
      </c>
      <c r="L1329" s="29" t="s">
        <v>910</v>
      </c>
      <c r="M1329" s="36">
        <v>9.165687</v>
      </c>
      <c r="N1329" s="36">
        <v>5.366404</v>
      </c>
      <c r="O1329" s="34" t="s">
        <v>641</v>
      </c>
      <c r="P1329" s="32" t="s">
        <v>602</v>
      </c>
      <c r="Q1329" s="29">
        <v>6.0</v>
      </c>
      <c r="R1329" s="29">
        <v>11.0</v>
      </c>
      <c r="S1329" s="36">
        <v>0.08</v>
      </c>
      <c r="T1329" s="36">
        <v>0.09</v>
      </c>
      <c r="U1329" s="36">
        <f t="shared" ref="U1329:V1329" si="311">SQRT(S1329)</f>
        <v>0.2828427125</v>
      </c>
      <c r="V1329" s="36">
        <f t="shared" si="311"/>
        <v>0.3</v>
      </c>
      <c r="W1329" s="37" t="s">
        <v>777</v>
      </c>
      <c r="X1329" s="31">
        <v>2.054</v>
      </c>
      <c r="Y1329" s="36">
        <v>-0.11749283009207345</v>
      </c>
      <c r="Z1329" s="36">
        <v>3.0934343434343434</v>
      </c>
      <c r="AA1329" s="29" t="s">
        <v>820</v>
      </c>
      <c r="AB1329" s="31">
        <v>28.2483</v>
      </c>
      <c r="AC1329" s="35">
        <v>363.0</v>
      </c>
    </row>
    <row r="1330" ht="14.25" customHeight="1">
      <c r="A1330" s="29" t="s">
        <v>1258</v>
      </c>
      <c r="B1330" s="29">
        <v>138.0</v>
      </c>
      <c r="C1330" s="29" t="s">
        <v>608</v>
      </c>
      <c r="D1330" s="29" t="s">
        <v>983</v>
      </c>
      <c r="E1330" s="29">
        <v>47.0</v>
      </c>
      <c r="F1330" s="30" t="s">
        <v>984</v>
      </c>
      <c r="G1330" s="29" t="s">
        <v>611</v>
      </c>
      <c r="H1330" s="31">
        <v>3.918</v>
      </c>
      <c r="I1330" s="29" t="s">
        <v>597</v>
      </c>
      <c r="J1330" s="32" t="s">
        <v>642</v>
      </c>
      <c r="K1330" s="29" t="s">
        <v>698</v>
      </c>
      <c r="L1330" s="29" t="s">
        <v>910</v>
      </c>
      <c r="M1330" s="36">
        <v>9.151601</v>
      </c>
      <c r="N1330" s="36">
        <v>5.375541</v>
      </c>
      <c r="O1330" s="34" t="s">
        <v>641</v>
      </c>
      <c r="P1330" s="32" t="s">
        <v>602</v>
      </c>
      <c r="Q1330" s="29">
        <v>6.0</v>
      </c>
      <c r="R1330" s="29">
        <v>11.0</v>
      </c>
      <c r="S1330" s="36">
        <v>0.34</v>
      </c>
      <c r="T1330" s="36">
        <v>0.09</v>
      </c>
      <c r="U1330" s="36">
        <f t="shared" ref="U1330:V1330" si="312">SQRT(S1330)</f>
        <v>0.5830951895</v>
      </c>
      <c r="V1330" s="36">
        <f t="shared" si="312"/>
        <v>0.3</v>
      </c>
      <c r="W1330" s="37" t="s">
        <v>777</v>
      </c>
      <c r="X1330" s="31">
        <v>2.515</v>
      </c>
      <c r="Y1330" s="36">
        <v>1.3292042385193408</v>
      </c>
      <c r="Z1330" s="36">
        <v>1.5002970885323827</v>
      </c>
      <c r="AA1330" s="29" t="s">
        <v>820</v>
      </c>
      <c r="AB1330" s="31">
        <v>28.2483</v>
      </c>
      <c r="AC1330" s="35">
        <v>399.0</v>
      </c>
    </row>
    <row r="1331" ht="14.25" customHeight="1">
      <c r="A1331" s="29" t="s">
        <v>1258</v>
      </c>
      <c r="B1331" s="29">
        <v>138.0</v>
      </c>
      <c r="C1331" s="29" t="s">
        <v>608</v>
      </c>
      <c r="D1331" s="29" t="s">
        <v>983</v>
      </c>
      <c r="E1331" s="29">
        <v>47.0</v>
      </c>
      <c r="F1331" s="30" t="s">
        <v>984</v>
      </c>
      <c r="G1331" s="29" t="s">
        <v>611</v>
      </c>
      <c r="H1331" s="31">
        <v>3.918</v>
      </c>
      <c r="I1331" s="29" t="s">
        <v>597</v>
      </c>
      <c r="J1331" s="32" t="s">
        <v>642</v>
      </c>
      <c r="K1331" s="29" t="s">
        <v>698</v>
      </c>
      <c r="L1331" s="29" t="s">
        <v>910</v>
      </c>
      <c r="M1331" s="36">
        <v>9.120649</v>
      </c>
      <c r="N1331" s="36">
        <v>5.290585</v>
      </c>
      <c r="O1331" s="34" t="s">
        <v>601</v>
      </c>
      <c r="P1331" s="32" t="s">
        <v>602</v>
      </c>
      <c r="Q1331" s="29">
        <v>6.0</v>
      </c>
      <c r="R1331" s="29">
        <v>11.0</v>
      </c>
      <c r="S1331" s="36">
        <v>0.04</v>
      </c>
      <c r="T1331" s="36">
        <v>0.09</v>
      </c>
      <c r="U1331" s="36">
        <f t="shared" ref="U1331:V1331" si="313">SQRT(S1331)</f>
        <v>0.2</v>
      </c>
      <c r="V1331" s="36">
        <f t="shared" si="313"/>
        <v>0.3</v>
      </c>
      <c r="W1331" s="37" t="s">
        <v>777</v>
      </c>
      <c r="X1331" s="31">
        <v>2.77</v>
      </c>
      <c r="Y1331" s="36">
        <v>-0.810349889282545</v>
      </c>
      <c r="Z1331" s="36">
        <v>5.176767676767677</v>
      </c>
      <c r="AA1331" s="29" t="s">
        <v>820</v>
      </c>
      <c r="AB1331" s="31">
        <v>28.2483</v>
      </c>
      <c r="AC1331" s="35">
        <v>199.0</v>
      </c>
    </row>
    <row r="1332" ht="14.25" customHeight="1">
      <c r="A1332" s="29" t="s">
        <v>1258</v>
      </c>
      <c r="B1332" s="29">
        <v>138.0</v>
      </c>
      <c r="C1332" s="29" t="s">
        <v>608</v>
      </c>
      <c r="D1332" s="29" t="s">
        <v>983</v>
      </c>
      <c r="E1332" s="29">
        <v>47.0</v>
      </c>
      <c r="F1332" s="30" t="s">
        <v>984</v>
      </c>
      <c r="G1332" s="29" t="s">
        <v>611</v>
      </c>
      <c r="H1332" s="31">
        <v>3.918</v>
      </c>
      <c r="I1332" s="29" t="s">
        <v>597</v>
      </c>
      <c r="J1332" s="32" t="s">
        <v>642</v>
      </c>
      <c r="K1332" s="29" t="s">
        <v>698</v>
      </c>
      <c r="L1332" s="29" t="s">
        <v>910</v>
      </c>
      <c r="M1332" s="36">
        <v>9.139209</v>
      </c>
      <c r="N1332" s="36">
        <v>5.273452</v>
      </c>
      <c r="O1332" s="34" t="s">
        <v>601</v>
      </c>
      <c r="P1332" s="32" t="s">
        <v>602</v>
      </c>
      <c r="Q1332" s="29">
        <v>6.0</v>
      </c>
      <c r="R1332" s="29">
        <v>11.0</v>
      </c>
      <c r="S1332" s="36">
        <v>0.0</v>
      </c>
      <c r="T1332" s="36">
        <v>0.09</v>
      </c>
      <c r="U1332" s="36">
        <f t="shared" ref="U1332:V1332" si="314">SQRT(S1332)</f>
        <v>0</v>
      </c>
      <c r="V1332" s="36">
        <f t="shared" si="314"/>
        <v>0.3</v>
      </c>
      <c r="W1332" s="37" t="s">
        <v>777</v>
      </c>
      <c r="X1332" s="31">
        <v>4.2</v>
      </c>
      <c r="Y1332" s="36">
        <v>-8.262558973010657</v>
      </c>
      <c r="Z1332" s="36">
        <v>0.33380777032026676</v>
      </c>
      <c r="AA1332" s="29" t="s">
        <v>820</v>
      </c>
      <c r="AB1332" s="31">
        <v>28.2483</v>
      </c>
      <c r="AC1332" s="35">
        <v>153.0</v>
      </c>
    </row>
    <row r="1333" ht="14.25" customHeight="1">
      <c r="A1333" s="29" t="s">
        <v>1258</v>
      </c>
      <c r="B1333" s="29">
        <v>138.0</v>
      </c>
      <c r="C1333" s="29" t="s">
        <v>608</v>
      </c>
      <c r="D1333" s="35" t="s">
        <v>1066</v>
      </c>
      <c r="E1333" s="29">
        <v>306.0</v>
      </c>
      <c r="F1333" s="39" t="s">
        <v>1067</v>
      </c>
      <c r="G1333" s="29" t="s">
        <v>611</v>
      </c>
      <c r="H1333" s="31">
        <v>4.20833</v>
      </c>
      <c r="I1333" s="29" t="s">
        <v>597</v>
      </c>
      <c r="J1333" s="32" t="s">
        <v>642</v>
      </c>
      <c r="K1333" s="29" t="s">
        <v>698</v>
      </c>
      <c r="L1333" s="29" t="s">
        <v>910</v>
      </c>
      <c r="M1333" s="36">
        <v>9.143606</v>
      </c>
      <c r="N1333" s="36">
        <v>5.360617</v>
      </c>
      <c r="O1333" s="34" t="s">
        <v>641</v>
      </c>
      <c r="P1333" s="32" t="s">
        <v>602</v>
      </c>
      <c r="Q1333" s="29">
        <v>6.0</v>
      </c>
      <c r="R1333" s="29">
        <v>11.0</v>
      </c>
      <c r="S1333" s="36">
        <v>0.27</v>
      </c>
      <c r="T1333" s="36">
        <v>0.04</v>
      </c>
      <c r="U1333" s="36">
        <f t="shared" ref="U1333:V1333" si="315">SQRT(S1333)</f>
        <v>0.5196152423</v>
      </c>
      <c r="V1333" s="36">
        <f t="shared" si="315"/>
        <v>0.2</v>
      </c>
      <c r="W1333" s="37" t="s">
        <v>777</v>
      </c>
      <c r="X1333" s="31">
        <v>1.352</v>
      </c>
      <c r="Y1333" s="36">
        <v>1.9095807260704465</v>
      </c>
      <c r="Z1333" s="36">
        <v>2.890011223344557</v>
      </c>
      <c r="AA1333" s="29" t="s">
        <v>820</v>
      </c>
      <c r="AB1333" s="31">
        <v>28.2483</v>
      </c>
      <c r="AC1333" s="35">
        <v>395.0</v>
      </c>
    </row>
    <row r="1334" ht="14.25" customHeight="1">
      <c r="A1334" s="29" t="s">
        <v>1258</v>
      </c>
      <c r="B1334" s="29">
        <v>138.0</v>
      </c>
      <c r="C1334" s="29" t="s">
        <v>608</v>
      </c>
      <c r="D1334" s="35" t="s">
        <v>1066</v>
      </c>
      <c r="E1334" s="29">
        <v>306.0</v>
      </c>
      <c r="F1334" s="39" t="s">
        <v>1067</v>
      </c>
      <c r="G1334" s="29" t="s">
        <v>611</v>
      </c>
      <c r="H1334" s="31">
        <v>4.20833</v>
      </c>
      <c r="I1334" s="29" t="s">
        <v>597</v>
      </c>
      <c r="J1334" s="32" t="s">
        <v>642</v>
      </c>
      <c r="K1334" s="29" t="s">
        <v>698</v>
      </c>
      <c r="L1334" s="29" t="s">
        <v>910</v>
      </c>
      <c r="M1334" s="36">
        <v>9.165687</v>
      </c>
      <c r="N1334" s="36">
        <v>5.366404</v>
      </c>
      <c r="O1334" s="34" t="s">
        <v>641</v>
      </c>
      <c r="P1334" s="32" t="s">
        <v>602</v>
      </c>
      <c r="Q1334" s="29">
        <v>6.0</v>
      </c>
      <c r="R1334" s="29">
        <v>11.0</v>
      </c>
      <c r="S1334" s="36">
        <v>0.08</v>
      </c>
      <c r="T1334" s="36">
        <v>0.04</v>
      </c>
      <c r="U1334" s="36">
        <f t="shared" ref="U1334:V1334" si="316">SQRT(S1334)</f>
        <v>0.2828427125</v>
      </c>
      <c r="V1334" s="36">
        <f t="shared" si="316"/>
        <v>0.2</v>
      </c>
      <c r="W1334" s="37" t="s">
        <v>777</v>
      </c>
      <c r="X1334" s="31">
        <v>2.054</v>
      </c>
      <c r="Y1334" s="36">
        <v>0.6932761712083021</v>
      </c>
      <c r="Z1334" s="36">
        <v>4.3560606060606055</v>
      </c>
      <c r="AA1334" s="29" t="s">
        <v>820</v>
      </c>
      <c r="AB1334" s="31">
        <v>28.2483</v>
      </c>
      <c r="AC1334" s="35">
        <v>363.0</v>
      </c>
    </row>
    <row r="1335" ht="14.25" customHeight="1">
      <c r="A1335" s="29" t="s">
        <v>1258</v>
      </c>
      <c r="B1335" s="29">
        <v>138.0</v>
      </c>
      <c r="C1335" s="29" t="s">
        <v>608</v>
      </c>
      <c r="D1335" s="35" t="s">
        <v>1066</v>
      </c>
      <c r="E1335" s="29">
        <v>306.0</v>
      </c>
      <c r="F1335" s="39" t="s">
        <v>1067</v>
      </c>
      <c r="G1335" s="29" t="s">
        <v>611</v>
      </c>
      <c r="H1335" s="31">
        <v>4.20833</v>
      </c>
      <c r="I1335" s="29" t="s">
        <v>597</v>
      </c>
      <c r="J1335" s="32" t="s">
        <v>642</v>
      </c>
      <c r="K1335" s="29" t="s">
        <v>698</v>
      </c>
      <c r="L1335" s="29" t="s">
        <v>910</v>
      </c>
      <c r="M1335" s="36">
        <v>9.151601</v>
      </c>
      <c r="N1335" s="36">
        <v>5.375541</v>
      </c>
      <c r="O1335" s="34" t="s">
        <v>641</v>
      </c>
      <c r="P1335" s="32" t="s">
        <v>602</v>
      </c>
      <c r="Q1335" s="29">
        <v>6.0</v>
      </c>
      <c r="R1335" s="29">
        <v>11.0</v>
      </c>
      <c r="S1335" s="36">
        <v>0.0</v>
      </c>
      <c r="T1335" s="36">
        <v>0.04</v>
      </c>
      <c r="U1335" s="36">
        <f t="shared" ref="U1335:V1335" si="317">SQRT(S1335)</f>
        <v>0</v>
      </c>
      <c r="V1335" s="36">
        <f t="shared" si="317"/>
        <v>0.2</v>
      </c>
      <c r="W1335" s="37" t="s">
        <v>777</v>
      </c>
      <c r="X1335" s="31">
        <v>2.515</v>
      </c>
      <c r="Y1335" s="36">
        <v>-8.262558973010657</v>
      </c>
      <c r="Z1335" s="36">
        <v>0.3194288564658935</v>
      </c>
      <c r="AA1335" s="29" t="s">
        <v>820</v>
      </c>
      <c r="AB1335" s="31">
        <v>28.2483</v>
      </c>
      <c r="AC1335" s="35">
        <v>399.0</v>
      </c>
    </row>
    <row r="1336" ht="14.25" customHeight="1">
      <c r="A1336" s="29" t="s">
        <v>1258</v>
      </c>
      <c r="B1336" s="29">
        <v>138.0</v>
      </c>
      <c r="C1336" s="29" t="s">
        <v>608</v>
      </c>
      <c r="D1336" s="35" t="s">
        <v>1066</v>
      </c>
      <c r="E1336" s="29">
        <v>306.0</v>
      </c>
      <c r="F1336" s="39" t="s">
        <v>1067</v>
      </c>
      <c r="G1336" s="29" t="s">
        <v>611</v>
      </c>
      <c r="H1336" s="31">
        <v>4.20833</v>
      </c>
      <c r="I1336" s="29" t="s">
        <v>597</v>
      </c>
      <c r="J1336" s="32" t="s">
        <v>642</v>
      </c>
      <c r="K1336" s="29" t="s">
        <v>698</v>
      </c>
      <c r="L1336" s="29" t="s">
        <v>910</v>
      </c>
      <c r="M1336" s="36">
        <v>9.120649</v>
      </c>
      <c r="N1336" s="36">
        <v>5.290585</v>
      </c>
      <c r="O1336" s="34" t="s">
        <v>601</v>
      </c>
      <c r="P1336" s="32" t="s">
        <v>602</v>
      </c>
      <c r="Q1336" s="29">
        <v>6.0</v>
      </c>
      <c r="R1336" s="29">
        <v>11.0</v>
      </c>
      <c r="S1336" s="36">
        <v>0.0</v>
      </c>
      <c r="T1336" s="36">
        <v>0.04</v>
      </c>
      <c r="U1336" s="36">
        <f t="shared" ref="U1336:V1336" si="318">SQRT(S1336)</f>
        <v>0</v>
      </c>
      <c r="V1336" s="36">
        <f t="shared" si="318"/>
        <v>0.2</v>
      </c>
      <c r="W1336" s="37" t="s">
        <v>777</v>
      </c>
      <c r="X1336" s="31">
        <v>2.77</v>
      </c>
      <c r="Y1336" s="36">
        <v>-8.262558973010657</v>
      </c>
      <c r="Z1336" s="36">
        <v>0.3194288564658935</v>
      </c>
      <c r="AA1336" s="29" t="s">
        <v>820</v>
      </c>
      <c r="AB1336" s="31">
        <v>28.2483</v>
      </c>
      <c r="AC1336" s="35">
        <v>199.0</v>
      </c>
    </row>
    <row r="1337" ht="14.25" customHeight="1">
      <c r="A1337" s="29" t="s">
        <v>1258</v>
      </c>
      <c r="B1337" s="29">
        <v>138.0</v>
      </c>
      <c r="C1337" s="29" t="s">
        <v>608</v>
      </c>
      <c r="D1337" s="35" t="s">
        <v>1066</v>
      </c>
      <c r="E1337" s="29">
        <v>306.0</v>
      </c>
      <c r="F1337" s="39" t="s">
        <v>1067</v>
      </c>
      <c r="G1337" s="29" t="s">
        <v>611</v>
      </c>
      <c r="H1337" s="31">
        <v>4.20833</v>
      </c>
      <c r="I1337" s="29" t="s">
        <v>597</v>
      </c>
      <c r="J1337" s="32" t="s">
        <v>642</v>
      </c>
      <c r="K1337" s="29" t="s">
        <v>698</v>
      </c>
      <c r="L1337" s="29" t="s">
        <v>910</v>
      </c>
      <c r="M1337" s="36">
        <v>9.139209</v>
      </c>
      <c r="N1337" s="36">
        <v>5.273452</v>
      </c>
      <c r="O1337" s="34" t="s">
        <v>601</v>
      </c>
      <c r="P1337" s="32" t="s">
        <v>602</v>
      </c>
      <c r="Q1337" s="29">
        <v>6.0</v>
      </c>
      <c r="R1337" s="29">
        <v>11.0</v>
      </c>
      <c r="S1337" s="36">
        <v>0.1</v>
      </c>
      <c r="T1337" s="36">
        <v>0.04</v>
      </c>
      <c r="U1337" s="36">
        <f t="shared" ref="U1337:V1337" si="319">SQRT(S1337)</f>
        <v>0.316227766</v>
      </c>
      <c r="V1337" s="36">
        <f t="shared" si="319"/>
        <v>0.2</v>
      </c>
      <c r="W1337" s="37" t="s">
        <v>777</v>
      </c>
      <c r="X1337" s="31">
        <v>4.2</v>
      </c>
      <c r="Y1337" s="36">
        <v>0.9163939257238932</v>
      </c>
      <c r="Z1337" s="36">
        <v>3.9393939393939394</v>
      </c>
      <c r="AA1337" s="29" t="s">
        <v>820</v>
      </c>
      <c r="AB1337" s="31">
        <v>28.2483</v>
      </c>
      <c r="AC1337" s="35">
        <v>153.0</v>
      </c>
    </row>
    <row r="1338" ht="14.25" customHeight="1">
      <c r="A1338" s="29" t="s">
        <v>1258</v>
      </c>
      <c r="B1338" s="29">
        <v>138.0</v>
      </c>
      <c r="C1338" s="29" t="s">
        <v>608</v>
      </c>
      <c r="D1338" s="29" t="s">
        <v>941</v>
      </c>
      <c r="E1338" s="29">
        <v>48.0</v>
      </c>
      <c r="F1338" s="30" t="s">
        <v>942</v>
      </c>
      <c r="G1338" s="29" t="s">
        <v>611</v>
      </c>
      <c r="H1338" s="31">
        <v>5.8</v>
      </c>
      <c r="I1338" s="29" t="s">
        <v>597</v>
      </c>
      <c r="J1338" s="32" t="s">
        <v>642</v>
      </c>
      <c r="K1338" s="29" t="s">
        <v>698</v>
      </c>
      <c r="L1338" s="29" t="s">
        <v>910</v>
      </c>
      <c r="M1338" s="36">
        <v>9.143606</v>
      </c>
      <c r="N1338" s="36">
        <v>5.360617</v>
      </c>
      <c r="O1338" s="34" t="s">
        <v>641</v>
      </c>
      <c r="P1338" s="32" t="s">
        <v>602</v>
      </c>
      <c r="Q1338" s="29">
        <v>6.0</v>
      </c>
      <c r="R1338" s="29">
        <v>11.0</v>
      </c>
      <c r="S1338" s="36">
        <v>0.27</v>
      </c>
      <c r="T1338" s="36">
        <v>0.31</v>
      </c>
      <c r="U1338" s="36">
        <f t="shared" ref="U1338:V1338" si="320">SQRT(S1338)</f>
        <v>0.5196152423</v>
      </c>
      <c r="V1338" s="36">
        <f t="shared" si="320"/>
        <v>0.5567764363</v>
      </c>
      <c r="W1338" s="37" t="s">
        <v>777</v>
      </c>
      <c r="X1338" s="31">
        <v>1.352</v>
      </c>
      <c r="Y1338" s="36">
        <v>-0.13785416249279195</v>
      </c>
      <c r="Z1338" s="36">
        <v>0.9105390825820936</v>
      </c>
      <c r="AA1338" s="29" t="s">
        <v>820</v>
      </c>
      <c r="AB1338" s="31">
        <v>28.2483</v>
      </c>
      <c r="AC1338" s="35">
        <v>395.0</v>
      </c>
    </row>
    <row r="1339" ht="14.25" customHeight="1">
      <c r="A1339" s="29" t="s">
        <v>1258</v>
      </c>
      <c r="B1339" s="29">
        <v>138.0</v>
      </c>
      <c r="C1339" s="29" t="s">
        <v>608</v>
      </c>
      <c r="D1339" s="29" t="s">
        <v>941</v>
      </c>
      <c r="E1339" s="29">
        <v>48.0</v>
      </c>
      <c r="F1339" s="30" t="s">
        <v>942</v>
      </c>
      <c r="G1339" s="29" t="s">
        <v>611</v>
      </c>
      <c r="H1339" s="31">
        <v>5.8</v>
      </c>
      <c r="I1339" s="29" t="s">
        <v>597</v>
      </c>
      <c r="J1339" s="32" t="s">
        <v>642</v>
      </c>
      <c r="K1339" s="29" t="s">
        <v>698</v>
      </c>
      <c r="L1339" s="29" t="s">
        <v>910</v>
      </c>
      <c r="M1339" s="36">
        <v>9.165687</v>
      </c>
      <c r="N1339" s="36">
        <v>5.366404</v>
      </c>
      <c r="O1339" s="34" t="s">
        <v>641</v>
      </c>
      <c r="P1339" s="32" t="s">
        <v>602</v>
      </c>
      <c r="Q1339" s="29">
        <v>6.0</v>
      </c>
      <c r="R1339" s="29">
        <v>11.0</v>
      </c>
      <c r="S1339" s="36">
        <v>0.08</v>
      </c>
      <c r="T1339" s="36">
        <v>0.31</v>
      </c>
      <c r="U1339" s="36">
        <f t="shared" ref="U1339:V1339" si="321">SQRT(S1339)</f>
        <v>0.2828427125</v>
      </c>
      <c r="V1339" s="36">
        <f t="shared" si="321"/>
        <v>0.5567764363</v>
      </c>
      <c r="W1339" s="37" t="s">
        <v>777</v>
      </c>
      <c r="X1339" s="31">
        <v>2.054</v>
      </c>
      <c r="Y1339" s="36">
        <v>-1.3535464202124559</v>
      </c>
      <c r="Z1339" s="36">
        <v>2.3765884652981426</v>
      </c>
      <c r="AA1339" s="29" t="s">
        <v>820</v>
      </c>
      <c r="AB1339" s="31">
        <v>28.2483</v>
      </c>
      <c r="AC1339" s="35">
        <v>363.0</v>
      </c>
    </row>
    <row r="1340" ht="14.25" customHeight="1">
      <c r="A1340" s="29" t="s">
        <v>1258</v>
      </c>
      <c r="B1340" s="29">
        <v>138.0</v>
      </c>
      <c r="C1340" s="29" t="s">
        <v>608</v>
      </c>
      <c r="D1340" s="29" t="s">
        <v>941</v>
      </c>
      <c r="E1340" s="29">
        <v>48.0</v>
      </c>
      <c r="F1340" s="30" t="s">
        <v>942</v>
      </c>
      <c r="G1340" s="29" t="s">
        <v>611</v>
      </c>
      <c r="H1340" s="31">
        <v>5.8</v>
      </c>
      <c r="I1340" s="29" t="s">
        <v>597</v>
      </c>
      <c r="J1340" s="32" t="s">
        <v>642</v>
      </c>
      <c r="K1340" s="29" t="s">
        <v>698</v>
      </c>
      <c r="L1340" s="29" t="s">
        <v>910</v>
      </c>
      <c r="M1340" s="36">
        <v>9.151601</v>
      </c>
      <c r="N1340" s="36">
        <v>5.375541</v>
      </c>
      <c r="O1340" s="34" t="s">
        <v>641</v>
      </c>
      <c r="P1340" s="32" t="s">
        <v>602</v>
      </c>
      <c r="Q1340" s="29">
        <v>6.0</v>
      </c>
      <c r="R1340" s="29">
        <v>11.0</v>
      </c>
      <c r="S1340" s="36">
        <v>0.17</v>
      </c>
      <c r="T1340" s="36">
        <v>0.31</v>
      </c>
      <c r="U1340" s="36">
        <f t="shared" ref="U1340:V1340" si="322">SQRT(S1340)</f>
        <v>0.4123105626</v>
      </c>
      <c r="V1340" s="36">
        <f t="shared" si="322"/>
        <v>0.5567764363</v>
      </c>
      <c r="W1340" s="37" t="s">
        <v>777</v>
      </c>
      <c r="X1340" s="31">
        <v>2.515</v>
      </c>
      <c r="Y1340" s="36">
        <v>-0.600303504239247</v>
      </c>
      <c r="Z1340" s="36">
        <v>1.2736472888275545</v>
      </c>
      <c r="AA1340" s="29" t="s">
        <v>820</v>
      </c>
      <c r="AB1340" s="31">
        <v>28.2483</v>
      </c>
      <c r="AC1340" s="35">
        <v>399.0</v>
      </c>
    </row>
    <row r="1341" ht="14.25" customHeight="1">
      <c r="A1341" s="29" t="s">
        <v>1258</v>
      </c>
      <c r="B1341" s="29">
        <v>138.0</v>
      </c>
      <c r="C1341" s="29" t="s">
        <v>608</v>
      </c>
      <c r="D1341" s="29" t="s">
        <v>941</v>
      </c>
      <c r="E1341" s="29">
        <v>48.0</v>
      </c>
      <c r="F1341" s="30" t="s">
        <v>942</v>
      </c>
      <c r="G1341" s="29" t="s">
        <v>611</v>
      </c>
      <c r="H1341" s="31">
        <v>5.8</v>
      </c>
      <c r="I1341" s="29" t="s">
        <v>597</v>
      </c>
      <c r="J1341" s="32" t="s">
        <v>642</v>
      </c>
      <c r="K1341" s="29" t="s">
        <v>698</v>
      </c>
      <c r="L1341" s="29" t="s">
        <v>910</v>
      </c>
      <c r="M1341" s="36">
        <v>9.120649</v>
      </c>
      <c r="N1341" s="36">
        <v>5.290585</v>
      </c>
      <c r="O1341" s="34" t="s">
        <v>601</v>
      </c>
      <c r="P1341" s="32" t="s">
        <v>602</v>
      </c>
      <c r="Q1341" s="29">
        <v>6.0</v>
      </c>
      <c r="R1341" s="29">
        <v>11.0</v>
      </c>
      <c r="S1341" s="36">
        <v>0.13</v>
      </c>
      <c r="T1341" s="36">
        <v>0.31</v>
      </c>
      <c r="U1341" s="36">
        <f t="shared" ref="U1341:V1341" si="323">SQRT(S1341)</f>
        <v>0.3605551275</v>
      </c>
      <c r="V1341" s="36">
        <f t="shared" si="323"/>
        <v>0.5567764363</v>
      </c>
      <c r="W1341" s="37" t="s">
        <v>777</v>
      </c>
      <c r="X1341" s="31">
        <v>2.77</v>
      </c>
      <c r="Y1341" s="36">
        <v>-0.8684228103500214</v>
      </c>
      <c r="Z1341" s="36">
        <v>1.5753064140160915</v>
      </c>
      <c r="AA1341" s="29" t="s">
        <v>820</v>
      </c>
      <c r="AB1341" s="31">
        <v>28.2483</v>
      </c>
      <c r="AC1341" s="35">
        <v>199.0</v>
      </c>
    </row>
    <row r="1342" ht="14.25" customHeight="1">
      <c r="A1342" s="29" t="s">
        <v>1258</v>
      </c>
      <c r="B1342" s="29">
        <v>138.0</v>
      </c>
      <c r="C1342" s="29" t="s">
        <v>608</v>
      </c>
      <c r="D1342" s="29" t="s">
        <v>941</v>
      </c>
      <c r="E1342" s="29">
        <v>48.0</v>
      </c>
      <c r="F1342" s="30" t="s">
        <v>942</v>
      </c>
      <c r="G1342" s="29" t="s">
        <v>611</v>
      </c>
      <c r="H1342" s="31">
        <v>5.8</v>
      </c>
      <c r="I1342" s="29" t="s">
        <v>597</v>
      </c>
      <c r="J1342" s="32" t="s">
        <v>642</v>
      </c>
      <c r="K1342" s="29" t="s">
        <v>698</v>
      </c>
      <c r="L1342" s="29" t="s">
        <v>910</v>
      </c>
      <c r="M1342" s="36">
        <v>9.139209</v>
      </c>
      <c r="N1342" s="36">
        <v>5.273452</v>
      </c>
      <c r="O1342" s="34" t="s">
        <v>601</v>
      </c>
      <c r="P1342" s="32" t="s">
        <v>602</v>
      </c>
      <c r="Q1342" s="29">
        <v>6.0</v>
      </c>
      <c r="R1342" s="29">
        <v>11.0</v>
      </c>
      <c r="S1342" s="36">
        <v>0.14</v>
      </c>
      <c r="T1342" s="36">
        <v>0.31</v>
      </c>
      <c r="U1342" s="36">
        <f t="shared" ref="U1342:V1342" si="324">SQRT(S1342)</f>
        <v>0.3741657387</v>
      </c>
      <c r="V1342" s="36">
        <f t="shared" si="324"/>
        <v>0.5567764363</v>
      </c>
      <c r="W1342" s="37" t="s">
        <v>777</v>
      </c>
      <c r="X1342" s="31">
        <v>4.2</v>
      </c>
      <c r="Y1342" s="36">
        <v>-0.7943587568448021</v>
      </c>
      <c r="Z1342" s="36">
        <v>1.4837313224409998</v>
      </c>
      <c r="AA1342" s="29" t="s">
        <v>820</v>
      </c>
      <c r="AB1342" s="31">
        <v>28.2483</v>
      </c>
      <c r="AC1342" s="35">
        <v>153.0</v>
      </c>
    </row>
    <row r="1343" ht="14.25" customHeight="1">
      <c r="A1343" s="29" t="s">
        <v>1258</v>
      </c>
      <c r="B1343" s="29">
        <v>138.0</v>
      </c>
      <c r="C1343" s="29" t="s">
        <v>608</v>
      </c>
      <c r="D1343" s="29" t="s">
        <v>943</v>
      </c>
      <c r="E1343" s="29">
        <v>49.0</v>
      </c>
      <c r="F1343" s="30" t="s">
        <v>944</v>
      </c>
      <c r="G1343" s="29" t="s">
        <v>611</v>
      </c>
      <c r="H1343" s="31">
        <v>3.76</v>
      </c>
      <c r="I1343" s="29" t="s">
        <v>597</v>
      </c>
      <c r="J1343" s="32" t="s">
        <v>642</v>
      </c>
      <c r="K1343" s="29" t="s">
        <v>698</v>
      </c>
      <c r="L1343" s="29" t="s">
        <v>910</v>
      </c>
      <c r="M1343" s="36">
        <v>9.143606</v>
      </c>
      <c r="N1343" s="36">
        <v>5.360617</v>
      </c>
      <c r="O1343" s="34" t="s">
        <v>641</v>
      </c>
      <c r="P1343" s="32" t="s">
        <v>602</v>
      </c>
      <c r="Q1343" s="29">
        <v>6.0</v>
      </c>
      <c r="R1343" s="29">
        <v>11.0</v>
      </c>
      <c r="S1343" s="36">
        <v>0.0</v>
      </c>
      <c r="T1343" s="36">
        <v>0.1</v>
      </c>
      <c r="U1343" s="36">
        <f t="shared" ref="U1343:V1343" si="325">SQRT(S1343)</f>
        <v>0</v>
      </c>
      <c r="V1343" s="36">
        <f t="shared" si="325"/>
        <v>0.316227766</v>
      </c>
      <c r="W1343" s="37" t="s">
        <v>777</v>
      </c>
      <c r="X1343" s="31">
        <v>1.352</v>
      </c>
      <c r="Y1343" s="36">
        <v>-8.262558973010657</v>
      </c>
      <c r="Z1343" s="36">
        <v>0.33490600151940353</v>
      </c>
      <c r="AA1343" s="29" t="s">
        <v>820</v>
      </c>
      <c r="AB1343" s="31">
        <v>28.2483</v>
      </c>
      <c r="AC1343" s="35">
        <v>395.0</v>
      </c>
    </row>
    <row r="1344" ht="14.25" customHeight="1">
      <c r="A1344" s="29" t="s">
        <v>1258</v>
      </c>
      <c r="B1344" s="29">
        <v>138.0</v>
      </c>
      <c r="C1344" s="29" t="s">
        <v>608</v>
      </c>
      <c r="D1344" s="29" t="s">
        <v>943</v>
      </c>
      <c r="E1344" s="29">
        <v>49.0</v>
      </c>
      <c r="F1344" s="30" t="s">
        <v>944</v>
      </c>
      <c r="G1344" s="29" t="s">
        <v>611</v>
      </c>
      <c r="H1344" s="31">
        <v>3.76</v>
      </c>
      <c r="I1344" s="29" t="s">
        <v>597</v>
      </c>
      <c r="J1344" s="32" t="s">
        <v>642</v>
      </c>
      <c r="K1344" s="29" t="s">
        <v>698</v>
      </c>
      <c r="L1344" s="29" t="s">
        <v>910</v>
      </c>
      <c r="M1344" s="36">
        <v>9.165687</v>
      </c>
      <c r="N1344" s="36">
        <v>5.366404</v>
      </c>
      <c r="O1344" s="34" t="s">
        <v>641</v>
      </c>
      <c r="P1344" s="32" t="s">
        <v>602</v>
      </c>
      <c r="Q1344" s="29">
        <v>6.0</v>
      </c>
      <c r="R1344" s="29">
        <v>11.0</v>
      </c>
      <c r="S1344" s="36">
        <v>0.0</v>
      </c>
      <c r="T1344" s="36">
        <v>0.1</v>
      </c>
      <c r="U1344" s="36">
        <f t="shared" ref="U1344:V1344" si="326">SQRT(S1344)</f>
        <v>0</v>
      </c>
      <c r="V1344" s="36">
        <f t="shared" si="326"/>
        <v>0.316227766</v>
      </c>
      <c r="W1344" s="37" t="s">
        <v>777</v>
      </c>
      <c r="X1344" s="31">
        <v>2.054</v>
      </c>
      <c r="Y1344" s="36">
        <v>-8.262558973010657</v>
      </c>
      <c r="Z1344" s="36">
        <v>0.33490600151940353</v>
      </c>
      <c r="AA1344" s="29" t="s">
        <v>820</v>
      </c>
      <c r="AB1344" s="31">
        <v>28.2483</v>
      </c>
      <c r="AC1344" s="35">
        <v>363.0</v>
      </c>
    </row>
    <row r="1345" ht="14.25" customHeight="1">
      <c r="A1345" s="29" t="s">
        <v>1258</v>
      </c>
      <c r="B1345" s="29">
        <v>138.0</v>
      </c>
      <c r="C1345" s="29" t="s">
        <v>608</v>
      </c>
      <c r="D1345" s="29" t="s">
        <v>943</v>
      </c>
      <c r="E1345" s="29">
        <v>49.0</v>
      </c>
      <c r="F1345" s="30" t="s">
        <v>944</v>
      </c>
      <c r="G1345" s="29" t="s">
        <v>611</v>
      </c>
      <c r="H1345" s="31">
        <v>3.76</v>
      </c>
      <c r="I1345" s="29" t="s">
        <v>597</v>
      </c>
      <c r="J1345" s="32" t="s">
        <v>642</v>
      </c>
      <c r="K1345" s="29" t="s">
        <v>698</v>
      </c>
      <c r="L1345" s="29" t="s">
        <v>910</v>
      </c>
      <c r="M1345" s="36">
        <v>9.151601</v>
      </c>
      <c r="N1345" s="36">
        <v>5.375541</v>
      </c>
      <c r="O1345" s="34" t="s">
        <v>641</v>
      </c>
      <c r="P1345" s="32" t="s">
        <v>602</v>
      </c>
      <c r="Q1345" s="29">
        <v>6.0</v>
      </c>
      <c r="R1345" s="29">
        <v>11.0</v>
      </c>
      <c r="S1345" s="36">
        <v>0.0</v>
      </c>
      <c r="T1345" s="36">
        <v>0.1</v>
      </c>
      <c r="U1345" s="36">
        <f t="shared" ref="U1345:V1345" si="327">SQRT(S1345)</f>
        <v>0</v>
      </c>
      <c r="V1345" s="36">
        <f t="shared" si="327"/>
        <v>0.316227766</v>
      </c>
      <c r="W1345" s="37" t="s">
        <v>777</v>
      </c>
      <c r="X1345" s="31">
        <v>2.515</v>
      </c>
      <c r="Y1345" s="36">
        <v>-8.262558973010657</v>
      </c>
      <c r="Z1345" s="36">
        <v>0.33490600151940353</v>
      </c>
      <c r="AA1345" s="29" t="s">
        <v>820</v>
      </c>
      <c r="AB1345" s="31">
        <v>28.2483</v>
      </c>
      <c r="AC1345" s="35">
        <v>399.0</v>
      </c>
    </row>
    <row r="1346" ht="14.25" customHeight="1">
      <c r="A1346" s="29" t="s">
        <v>1258</v>
      </c>
      <c r="B1346" s="29">
        <v>138.0</v>
      </c>
      <c r="C1346" s="29" t="s">
        <v>608</v>
      </c>
      <c r="D1346" s="29" t="s">
        <v>943</v>
      </c>
      <c r="E1346" s="29">
        <v>49.0</v>
      </c>
      <c r="F1346" s="30" t="s">
        <v>944</v>
      </c>
      <c r="G1346" s="29" t="s">
        <v>611</v>
      </c>
      <c r="H1346" s="31">
        <v>3.76</v>
      </c>
      <c r="I1346" s="29" t="s">
        <v>597</v>
      </c>
      <c r="J1346" s="32" t="s">
        <v>642</v>
      </c>
      <c r="K1346" s="29" t="s">
        <v>698</v>
      </c>
      <c r="L1346" s="29" t="s">
        <v>910</v>
      </c>
      <c r="M1346" s="36">
        <v>9.120649</v>
      </c>
      <c r="N1346" s="36">
        <v>5.290585</v>
      </c>
      <c r="O1346" s="34" t="s">
        <v>601</v>
      </c>
      <c r="P1346" s="32" t="s">
        <v>602</v>
      </c>
      <c r="Q1346" s="29">
        <v>6.0</v>
      </c>
      <c r="R1346" s="29">
        <v>11.0</v>
      </c>
      <c r="S1346" s="36">
        <v>0.04</v>
      </c>
      <c r="T1346" s="36">
        <v>0.1</v>
      </c>
      <c r="U1346" s="36">
        <f t="shared" ref="U1346:V1346" si="328">SQRT(S1346)</f>
        <v>0.2</v>
      </c>
      <c r="V1346" s="36">
        <f t="shared" si="328"/>
        <v>0.316227766</v>
      </c>
      <c r="W1346" s="37" t="s">
        <v>777</v>
      </c>
      <c r="X1346" s="31">
        <v>2.77</v>
      </c>
      <c r="Y1346" s="36">
        <v>-0.9156459449538857</v>
      </c>
      <c r="Z1346" s="36">
        <v>5.075757575757576</v>
      </c>
      <c r="AA1346" s="29" t="s">
        <v>820</v>
      </c>
      <c r="AB1346" s="31">
        <v>28.2483</v>
      </c>
      <c r="AC1346" s="35">
        <v>199.0</v>
      </c>
    </row>
    <row r="1347" ht="14.25" customHeight="1">
      <c r="A1347" s="29" t="s">
        <v>1258</v>
      </c>
      <c r="B1347" s="29">
        <v>138.0</v>
      </c>
      <c r="C1347" s="29" t="s">
        <v>608</v>
      </c>
      <c r="D1347" s="29" t="s">
        <v>943</v>
      </c>
      <c r="E1347" s="29">
        <v>49.0</v>
      </c>
      <c r="F1347" s="30" t="s">
        <v>944</v>
      </c>
      <c r="G1347" s="29" t="s">
        <v>611</v>
      </c>
      <c r="H1347" s="31">
        <v>3.76</v>
      </c>
      <c r="I1347" s="29" t="s">
        <v>597</v>
      </c>
      <c r="J1347" s="32" t="s">
        <v>642</v>
      </c>
      <c r="K1347" s="29" t="s">
        <v>698</v>
      </c>
      <c r="L1347" s="29" t="s">
        <v>910</v>
      </c>
      <c r="M1347" s="36">
        <v>9.139209</v>
      </c>
      <c r="N1347" s="36">
        <v>5.273452</v>
      </c>
      <c r="O1347" s="34" t="s">
        <v>601</v>
      </c>
      <c r="P1347" s="32" t="s">
        <v>602</v>
      </c>
      <c r="Q1347" s="29">
        <v>6.0</v>
      </c>
      <c r="R1347" s="29">
        <v>11.0</v>
      </c>
      <c r="S1347" s="36">
        <v>0.05</v>
      </c>
      <c r="T1347" s="36">
        <v>0.1</v>
      </c>
      <c r="U1347" s="36">
        <f t="shared" ref="U1347:V1347" si="329">SQRT(S1347)</f>
        <v>0.2236067977</v>
      </c>
      <c r="V1347" s="36">
        <f t="shared" si="329"/>
        <v>0.316227766</v>
      </c>
      <c r="W1347" s="37" t="s">
        <v>777</v>
      </c>
      <c r="X1347" s="31">
        <v>4.2</v>
      </c>
      <c r="Y1347" s="36">
        <v>-0.692631317768005</v>
      </c>
      <c r="Z1347" s="36">
        <v>4.242424242424241</v>
      </c>
      <c r="AA1347" s="29" t="s">
        <v>820</v>
      </c>
      <c r="AB1347" s="31">
        <v>28.2483</v>
      </c>
      <c r="AC1347" s="35">
        <v>153.0</v>
      </c>
    </row>
    <row r="1348" ht="14.25" customHeight="1">
      <c r="A1348" s="29" t="s">
        <v>1258</v>
      </c>
      <c r="B1348" s="29">
        <v>138.0</v>
      </c>
      <c r="C1348" s="29" t="s">
        <v>608</v>
      </c>
      <c r="D1348" s="35" t="s">
        <v>989</v>
      </c>
      <c r="E1348" s="29">
        <v>99.0</v>
      </c>
      <c r="F1348" s="30" t="s">
        <v>990</v>
      </c>
      <c r="G1348" s="29" t="s">
        <v>611</v>
      </c>
      <c r="H1348" s="31">
        <v>15.0</v>
      </c>
      <c r="I1348" s="29" t="s">
        <v>597</v>
      </c>
      <c r="J1348" s="32" t="s">
        <v>642</v>
      </c>
      <c r="K1348" s="29" t="s">
        <v>698</v>
      </c>
      <c r="L1348" s="29" t="s">
        <v>910</v>
      </c>
      <c r="M1348" s="36">
        <v>9.143606</v>
      </c>
      <c r="N1348" s="36">
        <v>5.360617</v>
      </c>
      <c r="O1348" s="34" t="s">
        <v>641</v>
      </c>
      <c r="P1348" s="32" t="s">
        <v>602</v>
      </c>
      <c r="Q1348" s="29">
        <v>6.0</v>
      </c>
      <c r="R1348" s="29">
        <v>11.0</v>
      </c>
      <c r="S1348" s="36">
        <v>0.0</v>
      </c>
      <c r="T1348" s="36">
        <v>0.02</v>
      </c>
      <c r="U1348" s="36">
        <f t="shared" ref="U1348:V1348" si="330">SQRT(S1348)</f>
        <v>0</v>
      </c>
      <c r="V1348" s="36">
        <f t="shared" si="330"/>
        <v>0.1414213562</v>
      </c>
      <c r="W1348" s="37" t="s">
        <v>777</v>
      </c>
      <c r="X1348" s="31">
        <v>1.352</v>
      </c>
      <c r="Y1348" s="36">
        <v>-8.262558973010657</v>
      </c>
      <c r="Z1348" s="36">
        <v>0.3049874561493554</v>
      </c>
      <c r="AA1348" s="29" t="s">
        <v>820</v>
      </c>
      <c r="AB1348" s="31">
        <v>28.2483</v>
      </c>
      <c r="AC1348" s="35">
        <v>395.0</v>
      </c>
    </row>
    <row r="1349" ht="14.25" customHeight="1">
      <c r="A1349" s="29" t="s">
        <v>1258</v>
      </c>
      <c r="B1349" s="29">
        <v>138.0</v>
      </c>
      <c r="C1349" s="29" t="s">
        <v>608</v>
      </c>
      <c r="D1349" s="35" t="s">
        <v>989</v>
      </c>
      <c r="E1349" s="29">
        <v>99.0</v>
      </c>
      <c r="F1349" s="30" t="s">
        <v>990</v>
      </c>
      <c r="G1349" s="29" t="s">
        <v>611</v>
      </c>
      <c r="H1349" s="31">
        <v>15.0</v>
      </c>
      <c r="I1349" s="29" t="s">
        <v>597</v>
      </c>
      <c r="J1349" s="32" t="s">
        <v>642</v>
      </c>
      <c r="K1349" s="29" t="s">
        <v>698</v>
      </c>
      <c r="L1349" s="29" t="s">
        <v>910</v>
      </c>
      <c r="M1349" s="36">
        <v>9.165687</v>
      </c>
      <c r="N1349" s="36">
        <v>5.366404</v>
      </c>
      <c r="O1349" s="34" t="s">
        <v>641</v>
      </c>
      <c r="P1349" s="32" t="s">
        <v>602</v>
      </c>
      <c r="Q1349" s="29">
        <v>6.0</v>
      </c>
      <c r="R1349" s="29">
        <v>11.0</v>
      </c>
      <c r="S1349" s="36">
        <v>0.0</v>
      </c>
      <c r="T1349" s="36">
        <v>0.02</v>
      </c>
      <c r="U1349" s="36">
        <f t="shared" ref="U1349:V1349" si="331">SQRT(S1349)</f>
        <v>0</v>
      </c>
      <c r="V1349" s="36">
        <f t="shared" si="331"/>
        <v>0.1414213562</v>
      </c>
      <c r="W1349" s="37" t="s">
        <v>777</v>
      </c>
      <c r="X1349" s="31">
        <v>2.054</v>
      </c>
      <c r="Y1349" s="36">
        <v>-8.262558973010657</v>
      </c>
      <c r="Z1349" s="36">
        <v>0.3049874561493554</v>
      </c>
      <c r="AA1349" s="29" t="s">
        <v>820</v>
      </c>
      <c r="AB1349" s="31">
        <v>28.2483</v>
      </c>
      <c r="AC1349" s="35">
        <v>363.0</v>
      </c>
    </row>
    <row r="1350" ht="14.25" customHeight="1">
      <c r="A1350" s="29" t="s">
        <v>1258</v>
      </c>
      <c r="B1350" s="29">
        <v>138.0</v>
      </c>
      <c r="C1350" s="29" t="s">
        <v>608</v>
      </c>
      <c r="D1350" s="35" t="s">
        <v>989</v>
      </c>
      <c r="E1350" s="29">
        <v>99.0</v>
      </c>
      <c r="F1350" s="30" t="s">
        <v>990</v>
      </c>
      <c r="G1350" s="29" t="s">
        <v>611</v>
      </c>
      <c r="H1350" s="31">
        <v>15.0</v>
      </c>
      <c r="I1350" s="29" t="s">
        <v>597</v>
      </c>
      <c r="J1350" s="32" t="s">
        <v>642</v>
      </c>
      <c r="K1350" s="29" t="s">
        <v>698</v>
      </c>
      <c r="L1350" s="29" t="s">
        <v>910</v>
      </c>
      <c r="M1350" s="36">
        <v>9.151601</v>
      </c>
      <c r="N1350" s="36">
        <v>5.375541</v>
      </c>
      <c r="O1350" s="34" t="s">
        <v>641</v>
      </c>
      <c r="P1350" s="32" t="s">
        <v>602</v>
      </c>
      <c r="Q1350" s="29">
        <v>6.0</v>
      </c>
      <c r="R1350" s="29">
        <v>11.0</v>
      </c>
      <c r="S1350" s="36">
        <v>0.0</v>
      </c>
      <c r="T1350" s="36">
        <v>0.02</v>
      </c>
      <c r="U1350" s="36">
        <f t="shared" ref="U1350:V1350" si="332">SQRT(S1350)</f>
        <v>0</v>
      </c>
      <c r="V1350" s="36">
        <f t="shared" si="332"/>
        <v>0.1414213562</v>
      </c>
      <c r="W1350" s="37" t="s">
        <v>777</v>
      </c>
      <c r="X1350" s="31">
        <v>2.515</v>
      </c>
      <c r="Y1350" s="36">
        <v>-8.262558973010657</v>
      </c>
      <c r="Z1350" s="36">
        <v>0.3049874561493554</v>
      </c>
      <c r="AA1350" s="29" t="s">
        <v>820</v>
      </c>
      <c r="AB1350" s="31">
        <v>28.2483</v>
      </c>
      <c r="AC1350" s="35">
        <v>399.0</v>
      </c>
    </row>
    <row r="1351" ht="14.25" customHeight="1">
      <c r="A1351" s="29" t="s">
        <v>1258</v>
      </c>
      <c r="B1351" s="29">
        <v>138.0</v>
      </c>
      <c r="C1351" s="29" t="s">
        <v>608</v>
      </c>
      <c r="D1351" s="35" t="s">
        <v>989</v>
      </c>
      <c r="E1351" s="29">
        <v>99.0</v>
      </c>
      <c r="F1351" s="30" t="s">
        <v>990</v>
      </c>
      <c r="G1351" s="29" t="s">
        <v>611</v>
      </c>
      <c r="H1351" s="31">
        <v>15.0</v>
      </c>
      <c r="I1351" s="29" t="s">
        <v>597</v>
      </c>
      <c r="J1351" s="32" t="s">
        <v>642</v>
      </c>
      <c r="K1351" s="29" t="s">
        <v>698</v>
      </c>
      <c r="L1351" s="29" t="s">
        <v>910</v>
      </c>
      <c r="M1351" s="36">
        <v>9.120649</v>
      </c>
      <c r="N1351" s="36">
        <v>5.290585</v>
      </c>
      <c r="O1351" s="34" t="s">
        <v>601</v>
      </c>
      <c r="P1351" s="32" t="s">
        <v>602</v>
      </c>
      <c r="Q1351" s="29">
        <v>6.0</v>
      </c>
      <c r="R1351" s="29">
        <v>11.0</v>
      </c>
      <c r="S1351" s="36">
        <v>0.0</v>
      </c>
      <c r="T1351" s="36">
        <v>0.02</v>
      </c>
      <c r="U1351" s="36">
        <f t="shared" ref="U1351:V1351" si="333">SQRT(S1351)</f>
        <v>0</v>
      </c>
      <c r="V1351" s="36">
        <f t="shared" si="333"/>
        <v>0.1414213562</v>
      </c>
      <c r="W1351" s="37" t="s">
        <v>777</v>
      </c>
      <c r="X1351" s="31">
        <v>2.77</v>
      </c>
      <c r="Y1351" s="36">
        <v>-8.262558973010657</v>
      </c>
      <c r="Z1351" s="36">
        <v>0.3049874561493554</v>
      </c>
      <c r="AA1351" s="29" t="s">
        <v>820</v>
      </c>
      <c r="AB1351" s="31">
        <v>28.2483</v>
      </c>
      <c r="AC1351" s="35">
        <v>199.0</v>
      </c>
    </row>
    <row r="1352" ht="14.25" customHeight="1">
      <c r="A1352" s="29" t="s">
        <v>1258</v>
      </c>
      <c r="B1352" s="29">
        <v>138.0</v>
      </c>
      <c r="C1352" s="29" t="s">
        <v>608</v>
      </c>
      <c r="D1352" s="35" t="s">
        <v>989</v>
      </c>
      <c r="E1352" s="29">
        <v>99.0</v>
      </c>
      <c r="F1352" s="30" t="s">
        <v>990</v>
      </c>
      <c r="G1352" s="29" t="s">
        <v>611</v>
      </c>
      <c r="H1352" s="31">
        <v>15.0</v>
      </c>
      <c r="I1352" s="29" t="s">
        <v>597</v>
      </c>
      <c r="J1352" s="32" t="s">
        <v>642</v>
      </c>
      <c r="K1352" s="29" t="s">
        <v>698</v>
      </c>
      <c r="L1352" s="29" t="s">
        <v>910</v>
      </c>
      <c r="M1352" s="36">
        <v>9.139209</v>
      </c>
      <c r="N1352" s="36">
        <v>5.273452</v>
      </c>
      <c r="O1352" s="34" t="s">
        <v>601</v>
      </c>
      <c r="P1352" s="32" t="s">
        <v>602</v>
      </c>
      <c r="Q1352" s="29">
        <v>6.0</v>
      </c>
      <c r="R1352" s="29">
        <v>11.0</v>
      </c>
      <c r="S1352" s="36">
        <v>0.0</v>
      </c>
      <c r="T1352" s="36">
        <v>0.02</v>
      </c>
      <c r="U1352" s="36">
        <f t="shared" ref="U1352:V1352" si="334">SQRT(S1352)</f>
        <v>0</v>
      </c>
      <c r="V1352" s="36">
        <f t="shared" si="334"/>
        <v>0.1414213562</v>
      </c>
      <c r="W1352" s="37" t="s">
        <v>777</v>
      </c>
      <c r="X1352" s="31">
        <v>4.2</v>
      </c>
      <c r="Y1352" s="36">
        <v>-8.262558973010657</v>
      </c>
      <c r="Z1352" s="36">
        <v>0.3049874561493554</v>
      </c>
      <c r="AA1352" s="29" t="s">
        <v>820</v>
      </c>
      <c r="AB1352" s="31">
        <v>28.2483</v>
      </c>
      <c r="AC1352" s="35">
        <v>153.0</v>
      </c>
    </row>
    <row r="1353" ht="14.25" customHeight="1">
      <c r="A1353" s="29" t="s">
        <v>1258</v>
      </c>
      <c r="B1353" s="29">
        <v>138.0</v>
      </c>
      <c r="C1353" s="29" t="s">
        <v>608</v>
      </c>
      <c r="D1353" s="29" t="s">
        <v>991</v>
      </c>
      <c r="E1353" s="29">
        <v>152.0</v>
      </c>
      <c r="F1353" s="30" t="s">
        <v>992</v>
      </c>
      <c r="G1353" s="29" t="s">
        <v>611</v>
      </c>
      <c r="H1353" s="31">
        <v>10.896</v>
      </c>
      <c r="I1353" s="29" t="s">
        <v>612</v>
      </c>
      <c r="J1353" s="32" t="s">
        <v>642</v>
      </c>
      <c r="K1353" s="29" t="s">
        <v>698</v>
      </c>
      <c r="L1353" s="29" t="s">
        <v>910</v>
      </c>
      <c r="M1353" s="36">
        <v>9.143606</v>
      </c>
      <c r="N1353" s="36">
        <v>5.360617</v>
      </c>
      <c r="O1353" s="34" t="s">
        <v>641</v>
      </c>
      <c r="P1353" s="32" t="s">
        <v>602</v>
      </c>
      <c r="Q1353" s="29">
        <v>6.0</v>
      </c>
      <c r="R1353" s="29">
        <v>11.0</v>
      </c>
      <c r="S1353" s="36">
        <v>0.0</v>
      </c>
      <c r="T1353" s="36">
        <v>0.19</v>
      </c>
      <c r="U1353" s="36">
        <f t="shared" ref="U1353:V1353" si="335">SQRT(S1353)</f>
        <v>0</v>
      </c>
      <c r="V1353" s="36">
        <f t="shared" si="335"/>
        <v>0.4358898944</v>
      </c>
      <c r="W1353" s="37" t="s">
        <v>777</v>
      </c>
      <c r="X1353" s="31">
        <v>1.352</v>
      </c>
      <c r="Y1353" s="36">
        <v>-8.262558973010657</v>
      </c>
      <c r="Z1353" s="36">
        <v>0.33391378708714126</v>
      </c>
      <c r="AA1353" s="29" t="s">
        <v>820</v>
      </c>
      <c r="AB1353" s="31">
        <v>28.2483</v>
      </c>
      <c r="AC1353" s="35">
        <v>395.0</v>
      </c>
    </row>
    <row r="1354" ht="14.25" customHeight="1">
      <c r="A1354" s="29" t="s">
        <v>1258</v>
      </c>
      <c r="B1354" s="29">
        <v>138.0</v>
      </c>
      <c r="C1354" s="29" t="s">
        <v>608</v>
      </c>
      <c r="D1354" s="29" t="s">
        <v>991</v>
      </c>
      <c r="E1354" s="29">
        <v>152.0</v>
      </c>
      <c r="F1354" s="30" t="s">
        <v>992</v>
      </c>
      <c r="G1354" s="29" t="s">
        <v>611</v>
      </c>
      <c r="H1354" s="31">
        <v>10.896</v>
      </c>
      <c r="I1354" s="29" t="s">
        <v>612</v>
      </c>
      <c r="J1354" s="32" t="s">
        <v>642</v>
      </c>
      <c r="K1354" s="29" t="s">
        <v>698</v>
      </c>
      <c r="L1354" s="29" t="s">
        <v>910</v>
      </c>
      <c r="M1354" s="36">
        <v>9.165687</v>
      </c>
      <c r="N1354" s="36">
        <v>5.366404</v>
      </c>
      <c r="O1354" s="34" t="s">
        <v>641</v>
      </c>
      <c r="P1354" s="32" t="s">
        <v>602</v>
      </c>
      <c r="Q1354" s="29">
        <v>6.0</v>
      </c>
      <c r="R1354" s="29">
        <v>11.0</v>
      </c>
      <c r="S1354" s="36">
        <v>0.0</v>
      </c>
      <c r="T1354" s="36">
        <v>0.19</v>
      </c>
      <c r="U1354" s="36">
        <f t="shared" ref="U1354:V1354" si="336">SQRT(S1354)</f>
        <v>0</v>
      </c>
      <c r="V1354" s="36">
        <f t="shared" si="336"/>
        <v>0.4358898944</v>
      </c>
      <c r="W1354" s="37" t="s">
        <v>777</v>
      </c>
      <c r="X1354" s="31">
        <v>2.054</v>
      </c>
      <c r="Y1354" s="36">
        <v>-8.262558973010657</v>
      </c>
      <c r="Z1354" s="36">
        <v>0.33391378708714126</v>
      </c>
      <c r="AA1354" s="29" t="s">
        <v>820</v>
      </c>
      <c r="AB1354" s="31">
        <v>28.2483</v>
      </c>
      <c r="AC1354" s="35">
        <v>363.0</v>
      </c>
    </row>
    <row r="1355" ht="14.25" customHeight="1">
      <c r="A1355" s="29" t="s">
        <v>1258</v>
      </c>
      <c r="B1355" s="29">
        <v>138.0</v>
      </c>
      <c r="C1355" s="29" t="s">
        <v>608</v>
      </c>
      <c r="D1355" s="29" t="s">
        <v>991</v>
      </c>
      <c r="E1355" s="29">
        <v>152.0</v>
      </c>
      <c r="F1355" s="30" t="s">
        <v>992</v>
      </c>
      <c r="G1355" s="29" t="s">
        <v>611</v>
      </c>
      <c r="H1355" s="31">
        <v>10.896</v>
      </c>
      <c r="I1355" s="29" t="s">
        <v>612</v>
      </c>
      <c r="J1355" s="32" t="s">
        <v>642</v>
      </c>
      <c r="K1355" s="29" t="s">
        <v>698</v>
      </c>
      <c r="L1355" s="29" t="s">
        <v>910</v>
      </c>
      <c r="M1355" s="36">
        <v>9.151601</v>
      </c>
      <c r="N1355" s="36">
        <v>5.375541</v>
      </c>
      <c r="O1355" s="34" t="s">
        <v>641</v>
      </c>
      <c r="P1355" s="32" t="s">
        <v>602</v>
      </c>
      <c r="Q1355" s="29">
        <v>6.0</v>
      </c>
      <c r="R1355" s="29">
        <v>11.0</v>
      </c>
      <c r="S1355" s="36">
        <v>0.0</v>
      </c>
      <c r="T1355" s="36">
        <v>0.19</v>
      </c>
      <c r="U1355" s="36">
        <f t="shared" ref="U1355:V1355" si="337">SQRT(S1355)</f>
        <v>0</v>
      </c>
      <c r="V1355" s="36">
        <f t="shared" si="337"/>
        <v>0.4358898944</v>
      </c>
      <c r="W1355" s="37" t="s">
        <v>777</v>
      </c>
      <c r="X1355" s="31">
        <v>2.515</v>
      </c>
      <c r="Y1355" s="36">
        <v>-8.262558973010657</v>
      </c>
      <c r="Z1355" s="36">
        <v>0.33391378708714126</v>
      </c>
      <c r="AA1355" s="29" t="s">
        <v>820</v>
      </c>
      <c r="AB1355" s="31">
        <v>28.2483</v>
      </c>
      <c r="AC1355" s="35">
        <v>399.0</v>
      </c>
    </row>
    <row r="1356" ht="14.25" customHeight="1">
      <c r="A1356" s="29" t="s">
        <v>1258</v>
      </c>
      <c r="B1356" s="29">
        <v>138.0</v>
      </c>
      <c r="C1356" s="29" t="s">
        <v>608</v>
      </c>
      <c r="D1356" s="29" t="s">
        <v>991</v>
      </c>
      <c r="E1356" s="29">
        <v>152.0</v>
      </c>
      <c r="F1356" s="30" t="s">
        <v>992</v>
      </c>
      <c r="G1356" s="29" t="s">
        <v>611</v>
      </c>
      <c r="H1356" s="31">
        <v>10.896</v>
      </c>
      <c r="I1356" s="29" t="s">
        <v>612</v>
      </c>
      <c r="J1356" s="32" t="s">
        <v>642</v>
      </c>
      <c r="K1356" s="29" t="s">
        <v>698</v>
      </c>
      <c r="L1356" s="29" t="s">
        <v>910</v>
      </c>
      <c r="M1356" s="36">
        <v>9.120649</v>
      </c>
      <c r="N1356" s="36">
        <v>5.290585</v>
      </c>
      <c r="O1356" s="34" t="s">
        <v>601</v>
      </c>
      <c r="P1356" s="32" t="s">
        <v>602</v>
      </c>
      <c r="Q1356" s="29">
        <v>6.0</v>
      </c>
      <c r="R1356" s="29">
        <v>11.0</v>
      </c>
      <c r="S1356" s="36">
        <v>0.0</v>
      </c>
      <c r="T1356" s="36">
        <v>0.19</v>
      </c>
      <c r="U1356" s="36">
        <f t="shared" ref="U1356:V1356" si="338">SQRT(S1356)</f>
        <v>0</v>
      </c>
      <c r="V1356" s="36">
        <f t="shared" si="338"/>
        <v>0.4358898944</v>
      </c>
      <c r="W1356" s="37" t="s">
        <v>777</v>
      </c>
      <c r="X1356" s="31">
        <v>2.77</v>
      </c>
      <c r="Y1356" s="36">
        <v>-8.262558973010657</v>
      </c>
      <c r="Z1356" s="36">
        <v>0.33391378708714126</v>
      </c>
      <c r="AA1356" s="29" t="s">
        <v>820</v>
      </c>
      <c r="AB1356" s="31">
        <v>28.2483</v>
      </c>
      <c r="AC1356" s="35">
        <v>199.0</v>
      </c>
    </row>
    <row r="1357" ht="14.25" customHeight="1">
      <c r="A1357" s="29" t="s">
        <v>1258</v>
      </c>
      <c r="B1357" s="29">
        <v>138.0</v>
      </c>
      <c r="C1357" s="29" t="s">
        <v>608</v>
      </c>
      <c r="D1357" s="29" t="s">
        <v>991</v>
      </c>
      <c r="E1357" s="29">
        <v>152.0</v>
      </c>
      <c r="F1357" s="30" t="s">
        <v>992</v>
      </c>
      <c r="G1357" s="29" t="s">
        <v>611</v>
      </c>
      <c r="H1357" s="31">
        <v>10.896</v>
      </c>
      <c r="I1357" s="29" t="s">
        <v>612</v>
      </c>
      <c r="J1357" s="32" t="s">
        <v>642</v>
      </c>
      <c r="K1357" s="29" t="s">
        <v>698</v>
      </c>
      <c r="L1357" s="29" t="s">
        <v>910</v>
      </c>
      <c r="M1357" s="36">
        <v>9.139209</v>
      </c>
      <c r="N1357" s="36">
        <v>5.273452</v>
      </c>
      <c r="O1357" s="34" t="s">
        <v>601</v>
      </c>
      <c r="P1357" s="32" t="s">
        <v>602</v>
      </c>
      <c r="Q1357" s="29">
        <v>6.0</v>
      </c>
      <c r="R1357" s="29">
        <v>11.0</v>
      </c>
      <c r="S1357" s="36">
        <v>0.1</v>
      </c>
      <c r="T1357" s="36">
        <v>0.19</v>
      </c>
      <c r="U1357" s="36">
        <f t="shared" ref="U1357:V1357" si="339">SQRT(S1357)</f>
        <v>0.316227766</v>
      </c>
      <c r="V1357" s="36">
        <f t="shared" si="339"/>
        <v>0.4358898944</v>
      </c>
      <c r="W1357" s="37" t="s">
        <v>777</v>
      </c>
      <c r="X1357" s="31">
        <v>4.2</v>
      </c>
      <c r="Y1357" s="36">
        <v>-0.641363810200812</v>
      </c>
      <c r="Z1357" s="36">
        <v>2.1451355661881975</v>
      </c>
      <c r="AA1357" s="29" t="s">
        <v>820</v>
      </c>
      <c r="AB1357" s="31">
        <v>28.2483</v>
      </c>
      <c r="AC1357" s="35">
        <v>153.0</v>
      </c>
    </row>
    <row r="1358" ht="14.25" customHeight="1">
      <c r="A1358" s="35" t="s">
        <v>347</v>
      </c>
      <c r="B1358" s="35">
        <v>163.0</v>
      </c>
      <c r="C1358" s="35" t="s">
        <v>608</v>
      </c>
      <c r="D1358" s="35" t="s">
        <v>1261</v>
      </c>
      <c r="E1358" s="35">
        <v>348.0</v>
      </c>
      <c r="F1358" s="39" t="s">
        <v>1262</v>
      </c>
      <c r="G1358" s="35" t="s">
        <v>626</v>
      </c>
      <c r="H1358" s="31">
        <v>17.0</v>
      </c>
      <c r="I1358" s="29" t="s">
        <v>612</v>
      </c>
      <c r="J1358" s="35" t="s">
        <v>642</v>
      </c>
      <c r="K1358" s="35" t="s">
        <v>698</v>
      </c>
      <c r="L1358" s="35" t="s">
        <v>1263</v>
      </c>
      <c r="M1358" s="35">
        <v>30.443346</v>
      </c>
      <c r="N1358" s="35">
        <v>0.47266</v>
      </c>
      <c r="O1358" s="34" t="s">
        <v>601</v>
      </c>
      <c r="P1358" s="48" t="s">
        <v>602</v>
      </c>
      <c r="Q1358" s="35">
        <v>50.0</v>
      </c>
      <c r="R1358" s="35">
        <v>50.0</v>
      </c>
      <c r="S1358" s="36">
        <v>0.26</v>
      </c>
      <c r="T1358" s="36">
        <v>0.69</v>
      </c>
      <c r="U1358" s="36">
        <v>0.3</v>
      </c>
      <c r="V1358" s="36">
        <v>0.45</v>
      </c>
      <c r="W1358" s="35" t="s">
        <v>780</v>
      </c>
      <c r="X1358" s="31">
        <v>8.29</v>
      </c>
      <c r="Y1358" s="36">
        <v>-0.9753255140366693</v>
      </c>
      <c r="Z1358" s="36">
        <v>0.035133835192000085</v>
      </c>
      <c r="AA1358" s="35" t="s">
        <v>820</v>
      </c>
      <c r="AB1358" s="35">
        <v>67.68</v>
      </c>
      <c r="AC1358" s="35">
        <v>397.0</v>
      </c>
    </row>
    <row r="1359" ht="14.25" customHeight="1">
      <c r="A1359" s="35" t="s">
        <v>347</v>
      </c>
      <c r="B1359" s="35">
        <v>163.0</v>
      </c>
      <c r="C1359" s="35" t="s">
        <v>608</v>
      </c>
      <c r="D1359" s="29" t="s">
        <v>781</v>
      </c>
      <c r="E1359" s="29">
        <v>136.0</v>
      </c>
      <c r="F1359" s="30" t="s">
        <v>782</v>
      </c>
      <c r="G1359" s="29" t="s">
        <v>626</v>
      </c>
      <c r="H1359" s="31">
        <v>4.9</v>
      </c>
      <c r="I1359" s="29" t="s">
        <v>597</v>
      </c>
      <c r="J1359" s="35" t="s">
        <v>642</v>
      </c>
      <c r="K1359" s="35" t="s">
        <v>698</v>
      </c>
      <c r="L1359" s="35" t="s">
        <v>1263</v>
      </c>
      <c r="M1359" s="35">
        <v>30.443346</v>
      </c>
      <c r="N1359" s="35">
        <v>0.47266</v>
      </c>
      <c r="O1359" s="34" t="s">
        <v>601</v>
      </c>
      <c r="P1359" s="48" t="s">
        <v>602</v>
      </c>
      <c r="Q1359" s="35">
        <v>50.0</v>
      </c>
      <c r="R1359" s="35">
        <v>50.0</v>
      </c>
      <c r="S1359" s="36">
        <v>0.22</v>
      </c>
      <c r="T1359" s="36">
        <v>0.26</v>
      </c>
      <c r="U1359" s="36">
        <v>0.29</v>
      </c>
      <c r="V1359" s="36">
        <v>0.31</v>
      </c>
      <c r="W1359" s="35" t="s">
        <v>780</v>
      </c>
      <c r="X1359" s="31">
        <v>8.29</v>
      </c>
      <c r="Y1359" s="36">
        <v>-0.1667492244860967</v>
      </c>
      <c r="Z1359" s="36">
        <v>0.06318401877842438</v>
      </c>
      <c r="AA1359" s="35" t="s">
        <v>820</v>
      </c>
      <c r="AB1359" s="35">
        <v>67.68</v>
      </c>
      <c r="AC1359" s="35">
        <v>397.0</v>
      </c>
    </row>
    <row r="1360" ht="14.25" customHeight="1">
      <c r="A1360" s="29" t="s">
        <v>364</v>
      </c>
      <c r="B1360" s="29">
        <v>45.0</v>
      </c>
      <c r="C1360" s="29" t="s">
        <v>608</v>
      </c>
      <c r="D1360" s="29" t="s">
        <v>1264</v>
      </c>
      <c r="E1360" s="29">
        <v>146.0</v>
      </c>
      <c r="F1360" s="30" t="s">
        <v>1265</v>
      </c>
      <c r="G1360" s="29" t="s">
        <v>611</v>
      </c>
      <c r="H1360" s="31">
        <v>37.0</v>
      </c>
      <c r="I1360" s="29" t="s">
        <v>597</v>
      </c>
      <c r="J1360" s="32" t="s">
        <v>598</v>
      </c>
      <c r="K1360" s="29" t="s">
        <v>951</v>
      </c>
      <c r="L1360" s="29" t="s">
        <v>1266</v>
      </c>
      <c r="M1360" s="33">
        <v>116.934</v>
      </c>
      <c r="N1360" s="33">
        <v>1.588</v>
      </c>
      <c r="O1360" s="34" t="s">
        <v>641</v>
      </c>
      <c r="P1360" s="32" t="s">
        <v>602</v>
      </c>
      <c r="Q1360" s="35">
        <v>12.0</v>
      </c>
      <c r="R1360" s="35">
        <v>10.0</v>
      </c>
      <c r="S1360" s="36">
        <v>16.6222</v>
      </c>
      <c r="T1360" s="36">
        <v>47.1176</v>
      </c>
      <c r="U1360" s="36">
        <v>12.72</v>
      </c>
      <c r="V1360" s="36">
        <v>35.5858</v>
      </c>
      <c r="W1360" s="37" t="s">
        <v>1267</v>
      </c>
      <c r="X1360" s="31">
        <v>7.25</v>
      </c>
      <c r="Y1360" s="36">
        <v>-1.0411763944534014</v>
      </c>
      <c r="Z1360" s="36">
        <v>0.10584056904740471</v>
      </c>
      <c r="AA1360" s="29" t="s">
        <v>820</v>
      </c>
      <c r="AB1360" s="31">
        <v>0.547029256821</v>
      </c>
      <c r="AC1360" s="38">
        <v>2830.0</v>
      </c>
    </row>
    <row r="1361" ht="14.25" customHeight="1">
      <c r="A1361" s="29" t="s">
        <v>364</v>
      </c>
      <c r="B1361" s="29">
        <v>45.0</v>
      </c>
      <c r="C1361" s="29" t="s">
        <v>608</v>
      </c>
      <c r="D1361" s="29" t="s">
        <v>1264</v>
      </c>
      <c r="E1361" s="29">
        <v>146.0</v>
      </c>
      <c r="F1361" s="30" t="s">
        <v>1265</v>
      </c>
      <c r="G1361" s="29" t="s">
        <v>611</v>
      </c>
      <c r="H1361" s="31">
        <v>37.0</v>
      </c>
      <c r="I1361" s="29" t="s">
        <v>597</v>
      </c>
      <c r="J1361" s="32" t="s">
        <v>598</v>
      </c>
      <c r="K1361" s="29" t="s">
        <v>951</v>
      </c>
      <c r="L1361" s="29" t="s">
        <v>1266</v>
      </c>
      <c r="M1361" s="33">
        <v>116.934</v>
      </c>
      <c r="N1361" s="33">
        <v>1.588</v>
      </c>
      <c r="O1361" s="34" t="s">
        <v>641</v>
      </c>
      <c r="P1361" s="32" t="s">
        <v>602</v>
      </c>
      <c r="Q1361" s="35">
        <v>8.0</v>
      </c>
      <c r="R1361" s="35">
        <v>10.0</v>
      </c>
      <c r="S1361" s="36">
        <v>5.7755</v>
      </c>
      <c r="T1361" s="36">
        <v>47.1176</v>
      </c>
      <c r="U1361" s="36">
        <v>5.0939</v>
      </c>
      <c r="V1361" s="36">
        <v>35.5858</v>
      </c>
      <c r="W1361" s="37" t="s">
        <v>1267</v>
      </c>
      <c r="X1361" s="31">
        <v>15.0</v>
      </c>
      <c r="Y1361" s="36">
        <v>-2.096919188486426</v>
      </c>
      <c r="Z1361" s="36">
        <v>0.15427802770985946</v>
      </c>
      <c r="AA1361" s="29" t="s">
        <v>820</v>
      </c>
      <c r="AB1361" s="31">
        <v>0.547029256821</v>
      </c>
      <c r="AC1361" s="38">
        <v>2830.0</v>
      </c>
    </row>
    <row r="1362" ht="14.25" customHeight="1">
      <c r="A1362" s="29" t="s">
        <v>364</v>
      </c>
      <c r="B1362" s="29">
        <v>45.0</v>
      </c>
      <c r="C1362" s="29" t="s">
        <v>608</v>
      </c>
      <c r="D1362" s="29" t="s">
        <v>1264</v>
      </c>
      <c r="E1362" s="29">
        <v>146.0</v>
      </c>
      <c r="F1362" s="30" t="s">
        <v>1265</v>
      </c>
      <c r="G1362" s="29" t="s">
        <v>611</v>
      </c>
      <c r="H1362" s="31">
        <v>37.0</v>
      </c>
      <c r="I1362" s="29" t="s">
        <v>597</v>
      </c>
      <c r="J1362" s="32" t="s">
        <v>598</v>
      </c>
      <c r="K1362" s="29" t="s">
        <v>951</v>
      </c>
      <c r="L1362" s="29" t="s">
        <v>1266</v>
      </c>
      <c r="M1362" s="33">
        <v>116.934</v>
      </c>
      <c r="N1362" s="33">
        <v>1.588</v>
      </c>
      <c r="O1362" s="34" t="s">
        <v>641</v>
      </c>
      <c r="P1362" s="32" t="s">
        <v>602</v>
      </c>
      <c r="Q1362" s="35">
        <v>6.0</v>
      </c>
      <c r="R1362" s="35">
        <v>10.0</v>
      </c>
      <c r="S1362" s="36">
        <v>11.1208</v>
      </c>
      <c r="T1362" s="36">
        <v>47.1176</v>
      </c>
      <c r="U1362" s="36">
        <v>10.6639</v>
      </c>
      <c r="V1362" s="36">
        <v>35.5858</v>
      </c>
      <c r="W1362" s="37" t="s">
        <v>1267</v>
      </c>
      <c r="X1362" s="31">
        <v>25.0</v>
      </c>
      <c r="Y1362" s="36">
        <v>-1.4427368638589675</v>
      </c>
      <c r="Z1362" s="36">
        <v>0.2102939425973621</v>
      </c>
      <c r="AA1362" s="29" t="s">
        <v>820</v>
      </c>
      <c r="AB1362" s="31">
        <v>0.547029256821</v>
      </c>
      <c r="AC1362" s="38">
        <v>2830.0</v>
      </c>
    </row>
    <row r="1363" ht="14.25" customHeight="1">
      <c r="A1363" s="29" t="s">
        <v>364</v>
      </c>
      <c r="B1363" s="29">
        <v>45.0</v>
      </c>
      <c r="C1363" s="29" t="s">
        <v>608</v>
      </c>
      <c r="D1363" s="29" t="s">
        <v>1264</v>
      </c>
      <c r="E1363" s="29">
        <v>146.0</v>
      </c>
      <c r="F1363" s="30" t="s">
        <v>1265</v>
      </c>
      <c r="G1363" s="29" t="s">
        <v>611</v>
      </c>
      <c r="H1363" s="31">
        <v>37.0</v>
      </c>
      <c r="I1363" s="29" t="s">
        <v>597</v>
      </c>
      <c r="J1363" s="32" t="s">
        <v>598</v>
      </c>
      <c r="K1363" s="29" t="s">
        <v>951</v>
      </c>
      <c r="L1363" s="29" t="s">
        <v>1266</v>
      </c>
      <c r="M1363" s="33">
        <v>116.934</v>
      </c>
      <c r="N1363" s="33">
        <v>1.588</v>
      </c>
      <c r="O1363" s="34" t="s">
        <v>641</v>
      </c>
      <c r="P1363" s="32" t="s">
        <v>602</v>
      </c>
      <c r="Q1363" s="35">
        <v>6.0</v>
      </c>
      <c r="R1363" s="35">
        <v>10.0</v>
      </c>
      <c r="S1363" s="36">
        <v>19.902</v>
      </c>
      <c r="T1363" s="36">
        <v>47.1176</v>
      </c>
      <c r="U1363" s="36">
        <v>12.659</v>
      </c>
      <c r="V1363" s="36">
        <v>35.5858</v>
      </c>
      <c r="W1363" s="37" t="s">
        <v>1267</v>
      </c>
      <c r="X1363" s="31">
        <v>35.0</v>
      </c>
      <c r="Y1363" s="36">
        <v>-0.8612157564100333</v>
      </c>
      <c r="Z1363" s="36">
        <v>0.12447114878153084</v>
      </c>
      <c r="AA1363" s="29" t="s">
        <v>820</v>
      </c>
      <c r="AB1363" s="31">
        <v>0.547029256821</v>
      </c>
      <c r="AC1363" s="38">
        <v>2830.0</v>
      </c>
    </row>
    <row r="1364" ht="14.25" customHeight="1">
      <c r="A1364" s="29" t="s">
        <v>364</v>
      </c>
      <c r="B1364" s="29">
        <v>45.0</v>
      </c>
      <c r="C1364" s="29" t="s">
        <v>608</v>
      </c>
      <c r="D1364" s="29" t="s">
        <v>1264</v>
      </c>
      <c r="E1364" s="29">
        <v>146.0</v>
      </c>
      <c r="F1364" s="30" t="s">
        <v>1265</v>
      </c>
      <c r="G1364" s="29" t="s">
        <v>611</v>
      </c>
      <c r="H1364" s="31">
        <v>37.0</v>
      </c>
      <c r="I1364" s="29" t="s">
        <v>597</v>
      </c>
      <c r="J1364" s="32" t="s">
        <v>598</v>
      </c>
      <c r="K1364" s="29" t="s">
        <v>951</v>
      </c>
      <c r="L1364" s="29" t="s">
        <v>1266</v>
      </c>
      <c r="M1364" s="33">
        <v>116.934</v>
      </c>
      <c r="N1364" s="33">
        <v>1.588</v>
      </c>
      <c r="O1364" s="34" t="s">
        <v>641</v>
      </c>
      <c r="P1364" s="32" t="s">
        <v>602</v>
      </c>
      <c r="Q1364" s="35">
        <v>9.0</v>
      </c>
      <c r="R1364" s="35">
        <v>10.0</v>
      </c>
      <c r="S1364" s="36">
        <v>70.3306</v>
      </c>
      <c r="T1364" s="36">
        <v>47.1176</v>
      </c>
      <c r="U1364" s="36">
        <v>25.7039</v>
      </c>
      <c r="V1364" s="36">
        <v>35.5858</v>
      </c>
      <c r="W1364" s="37" t="s">
        <v>1267</v>
      </c>
      <c r="X1364" s="31">
        <v>50.0</v>
      </c>
      <c r="Y1364" s="36">
        <v>0.40073320660079853</v>
      </c>
      <c r="Z1364" s="36">
        <v>0.07188212926673826</v>
      </c>
      <c r="AA1364" s="29" t="s">
        <v>820</v>
      </c>
      <c r="AB1364" s="31">
        <v>0.547029256821</v>
      </c>
      <c r="AC1364" s="38">
        <v>2830.0</v>
      </c>
    </row>
    <row r="1365" ht="14.25" customHeight="1">
      <c r="A1365" s="29" t="s">
        <v>368</v>
      </c>
      <c r="B1365" s="29">
        <v>46.0</v>
      </c>
      <c r="C1365" s="29" t="s">
        <v>593</v>
      </c>
      <c r="D1365" s="29" t="s">
        <v>1268</v>
      </c>
      <c r="E1365" s="29">
        <v>63.0</v>
      </c>
      <c r="F1365" s="30" t="s">
        <v>1269</v>
      </c>
      <c r="G1365" s="29" t="s">
        <v>607</v>
      </c>
      <c r="H1365" s="31">
        <v>3.94</v>
      </c>
      <c r="I1365" s="29" t="s">
        <v>597</v>
      </c>
      <c r="J1365" s="32" t="s">
        <v>598</v>
      </c>
      <c r="K1365" s="29" t="s">
        <v>840</v>
      </c>
      <c r="L1365" s="29" t="s">
        <v>1270</v>
      </c>
      <c r="M1365" s="33">
        <v>-86.916</v>
      </c>
      <c r="N1365" s="33">
        <v>20.45</v>
      </c>
      <c r="O1365" s="34" t="s">
        <v>641</v>
      </c>
      <c r="P1365" s="32" t="s">
        <v>643</v>
      </c>
      <c r="Q1365" s="35">
        <v>90.0</v>
      </c>
      <c r="R1365" s="35">
        <v>90.0</v>
      </c>
      <c r="S1365" s="36">
        <v>0.0</v>
      </c>
      <c r="T1365" s="36">
        <v>0.8711</v>
      </c>
      <c r="U1365" s="36">
        <v>0.0</v>
      </c>
      <c r="V1365" s="36">
        <v>2.6142</v>
      </c>
      <c r="W1365" s="37" t="s">
        <v>623</v>
      </c>
      <c r="X1365" s="31">
        <v>0.5</v>
      </c>
      <c r="Y1365" s="36">
        <v>-6.643789733147672</v>
      </c>
      <c r="Z1365" s="36">
        <v>0.06843190934245497</v>
      </c>
      <c r="AA1365" s="29" t="s">
        <v>820</v>
      </c>
      <c r="AB1365" s="31">
        <v>360.591949463</v>
      </c>
      <c r="AC1365" s="38">
        <v>222.0</v>
      </c>
    </row>
    <row r="1366" ht="14.25" customHeight="1">
      <c r="A1366" s="29" t="s">
        <v>368</v>
      </c>
      <c r="B1366" s="29">
        <v>46.0</v>
      </c>
      <c r="C1366" s="29" t="s">
        <v>593</v>
      </c>
      <c r="D1366" s="29" t="s">
        <v>1268</v>
      </c>
      <c r="E1366" s="29">
        <v>63.0</v>
      </c>
      <c r="F1366" s="30" t="s">
        <v>1269</v>
      </c>
      <c r="G1366" s="29" t="s">
        <v>607</v>
      </c>
      <c r="H1366" s="31">
        <v>3.94</v>
      </c>
      <c r="I1366" s="29" t="s">
        <v>597</v>
      </c>
      <c r="J1366" s="32" t="s">
        <v>598</v>
      </c>
      <c r="K1366" s="29" t="s">
        <v>840</v>
      </c>
      <c r="L1366" s="29" t="s">
        <v>1270</v>
      </c>
      <c r="M1366" s="33">
        <v>-86.916</v>
      </c>
      <c r="N1366" s="33">
        <v>20.45</v>
      </c>
      <c r="O1366" s="34" t="s">
        <v>641</v>
      </c>
      <c r="P1366" s="32" t="s">
        <v>643</v>
      </c>
      <c r="Q1366" s="35">
        <v>90.0</v>
      </c>
      <c r="R1366" s="35">
        <v>90.0</v>
      </c>
      <c r="S1366" s="36">
        <v>0.0</v>
      </c>
      <c r="T1366" s="36">
        <v>0.8711</v>
      </c>
      <c r="U1366" s="36">
        <v>0.0</v>
      </c>
      <c r="V1366" s="36">
        <v>2.6142</v>
      </c>
      <c r="W1366" s="37" t="s">
        <v>623</v>
      </c>
      <c r="X1366" s="31">
        <v>1.0</v>
      </c>
      <c r="Y1366" s="36">
        <v>-6.643789733147672</v>
      </c>
      <c r="Z1366" s="36">
        <v>0.06843190934245497</v>
      </c>
      <c r="AA1366" s="29" t="s">
        <v>820</v>
      </c>
      <c r="AB1366" s="31">
        <v>360.591949463</v>
      </c>
      <c r="AC1366" s="38">
        <v>222.0</v>
      </c>
    </row>
    <row r="1367" ht="14.25" customHeight="1">
      <c r="A1367" s="29" t="s">
        <v>368</v>
      </c>
      <c r="B1367" s="29">
        <v>46.0</v>
      </c>
      <c r="C1367" s="29" t="s">
        <v>593</v>
      </c>
      <c r="D1367" s="29" t="s">
        <v>1268</v>
      </c>
      <c r="E1367" s="29">
        <v>63.0</v>
      </c>
      <c r="F1367" s="30" t="s">
        <v>1269</v>
      </c>
      <c r="G1367" s="29" t="s">
        <v>607</v>
      </c>
      <c r="H1367" s="31">
        <v>3.94</v>
      </c>
      <c r="I1367" s="29" t="s">
        <v>597</v>
      </c>
      <c r="J1367" s="32" t="s">
        <v>598</v>
      </c>
      <c r="K1367" s="29" t="s">
        <v>840</v>
      </c>
      <c r="L1367" s="29" t="s">
        <v>1270</v>
      </c>
      <c r="M1367" s="33">
        <v>-86.916</v>
      </c>
      <c r="N1367" s="33">
        <v>20.45</v>
      </c>
      <c r="O1367" s="34" t="s">
        <v>641</v>
      </c>
      <c r="P1367" s="32" t="s">
        <v>643</v>
      </c>
      <c r="Q1367" s="35">
        <v>90.0</v>
      </c>
      <c r="R1367" s="35">
        <v>90.0</v>
      </c>
      <c r="S1367" s="36">
        <v>0.0</v>
      </c>
      <c r="T1367" s="36">
        <v>0.8711</v>
      </c>
      <c r="U1367" s="36">
        <v>0.0</v>
      </c>
      <c r="V1367" s="36">
        <v>2.6142</v>
      </c>
      <c r="W1367" s="37" t="s">
        <v>623</v>
      </c>
      <c r="X1367" s="31">
        <v>1.5</v>
      </c>
      <c r="Y1367" s="36">
        <v>-6.643789733147672</v>
      </c>
      <c r="Z1367" s="36">
        <v>0.06843190934245497</v>
      </c>
      <c r="AA1367" s="29" t="s">
        <v>820</v>
      </c>
      <c r="AB1367" s="31">
        <v>360.591949463</v>
      </c>
      <c r="AC1367" s="38">
        <v>222.0</v>
      </c>
    </row>
    <row r="1368" ht="14.25" customHeight="1">
      <c r="A1368" s="29" t="s">
        <v>368</v>
      </c>
      <c r="B1368" s="29">
        <v>46.0</v>
      </c>
      <c r="C1368" s="29" t="s">
        <v>593</v>
      </c>
      <c r="D1368" s="29" t="s">
        <v>1268</v>
      </c>
      <c r="E1368" s="29">
        <v>63.0</v>
      </c>
      <c r="F1368" s="30" t="s">
        <v>1269</v>
      </c>
      <c r="G1368" s="29" t="s">
        <v>607</v>
      </c>
      <c r="H1368" s="31">
        <v>3.94</v>
      </c>
      <c r="I1368" s="29" t="s">
        <v>597</v>
      </c>
      <c r="J1368" s="32" t="s">
        <v>598</v>
      </c>
      <c r="K1368" s="29" t="s">
        <v>840</v>
      </c>
      <c r="L1368" s="29" t="s">
        <v>1270</v>
      </c>
      <c r="M1368" s="33">
        <v>-86.916</v>
      </c>
      <c r="N1368" s="33">
        <v>20.45</v>
      </c>
      <c r="O1368" s="34" t="s">
        <v>641</v>
      </c>
      <c r="P1368" s="32" t="s">
        <v>643</v>
      </c>
      <c r="Q1368" s="35">
        <v>90.0</v>
      </c>
      <c r="R1368" s="35">
        <v>90.0</v>
      </c>
      <c r="S1368" s="36">
        <v>0.2978</v>
      </c>
      <c r="T1368" s="36">
        <v>0.8711</v>
      </c>
      <c r="U1368" s="36">
        <v>3.7104</v>
      </c>
      <c r="V1368" s="36">
        <v>2.6142</v>
      </c>
      <c r="W1368" s="37" t="s">
        <v>623</v>
      </c>
      <c r="X1368" s="31">
        <v>2.0</v>
      </c>
      <c r="Y1368" s="36">
        <v>-1.0695331487041946</v>
      </c>
      <c r="Z1368" s="36">
        <v>1.824911873600505</v>
      </c>
      <c r="AA1368" s="29" t="s">
        <v>820</v>
      </c>
      <c r="AB1368" s="31">
        <v>360.591949463</v>
      </c>
      <c r="AC1368" s="38">
        <v>222.0</v>
      </c>
    </row>
    <row r="1369" ht="14.25" customHeight="1">
      <c r="A1369" s="29" t="s">
        <v>368</v>
      </c>
      <c r="B1369" s="29">
        <v>46.0</v>
      </c>
      <c r="C1369" s="29" t="s">
        <v>593</v>
      </c>
      <c r="D1369" s="29" t="s">
        <v>1268</v>
      </c>
      <c r="E1369" s="29">
        <v>63.0</v>
      </c>
      <c r="F1369" s="30" t="s">
        <v>1269</v>
      </c>
      <c r="G1369" s="29" t="s">
        <v>607</v>
      </c>
      <c r="H1369" s="31">
        <v>3.94</v>
      </c>
      <c r="I1369" s="29" t="s">
        <v>597</v>
      </c>
      <c r="J1369" s="32" t="s">
        <v>598</v>
      </c>
      <c r="K1369" s="29" t="s">
        <v>840</v>
      </c>
      <c r="L1369" s="29" t="s">
        <v>1270</v>
      </c>
      <c r="M1369" s="33">
        <v>-86.916</v>
      </c>
      <c r="N1369" s="33">
        <v>20.45</v>
      </c>
      <c r="O1369" s="34" t="s">
        <v>641</v>
      </c>
      <c r="P1369" s="32" t="s">
        <v>643</v>
      </c>
      <c r="Q1369" s="35">
        <v>90.0</v>
      </c>
      <c r="R1369" s="35">
        <v>90.0</v>
      </c>
      <c r="S1369" s="36">
        <v>0.1778</v>
      </c>
      <c r="T1369" s="36">
        <v>0.8711</v>
      </c>
      <c r="U1369" s="36">
        <v>1.9395</v>
      </c>
      <c r="V1369" s="36">
        <v>2.6142</v>
      </c>
      <c r="W1369" s="37" t="s">
        <v>623</v>
      </c>
      <c r="X1369" s="31">
        <v>2.5</v>
      </c>
      <c r="Y1369" s="36">
        <v>-1.5827383900053131</v>
      </c>
      <c r="Z1369" s="36">
        <v>1.4221970192403022</v>
      </c>
      <c r="AA1369" s="29" t="s">
        <v>820</v>
      </c>
      <c r="AB1369" s="31">
        <v>360.591949463</v>
      </c>
      <c r="AC1369" s="38">
        <v>222.0</v>
      </c>
    </row>
    <row r="1370" ht="14.25" customHeight="1">
      <c r="A1370" s="29" t="s">
        <v>368</v>
      </c>
      <c r="B1370" s="29">
        <v>46.0</v>
      </c>
      <c r="C1370" s="29" t="s">
        <v>593</v>
      </c>
      <c r="D1370" s="29" t="s">
        <v>1268</v>
      </c>
      <c r="E1370" s="29">
        <v>63.0</v>
      </c>
      <c r="F1370" s="30" t="s">
        <v>1269</v>
      </c>
      <c r="G1370" s="29" t="s">
        <v>607</v>
      </c>
      <c r="H1370" s="31">
        <v>3.94</v>
      </c>
      <c r="I1370" s="29" t="s">
        <v>597</v>
      </c>
      <c r="J1370" s="32" t="s">
        <v>598</v>
      </c>
      <c r="K1370" s="29" t="s">
        <v>840</v>
      </c>
      <c r="L1370" s="29" t="s">
        <v>1270</v>
      </c>
      <c r="M1370" s="33">
        <v>-86.916</v>
      </c>
      <c r="N1370" s="33">
        <v>20.45</v>
      </c>
      <c r="O1370" s="34" t="s">
        <v>641</v>
      </c>
      <c r="P1370" s="32" t="s">
        <v>643</v>
      </c>
      <c r="Q1370" s="35">
        <v>90.0</v>
      </c>
      <c r="R1370" s="35">
        <v>90.0</v>
      </c>
      <c r="S1370" s="36">
        <v>0.2578</v>
      </c>
      <c r="T1370" s="36">
        <v>0.8711</v>
      </c>
      <c r="U1370" s="36">
        <v>1.8552</v>
      </c>
      <c r="V1370" s="36">
        <v>2.6142</v>
      </c>
      <c r="W1370" s="37" t="s">
        <v>623</v>
      </c>
      <c r="X1370" s="31">
        <v>3.0</v>
      </c>
      <c r="Y1370" s="36">
        <v>-1.2131826324718304</v>
      </c>
      <c r="Z1370" s="36">
        <v>0.6754732336598867</v>
      </c>
      <c r="AA1370" s="29" t="s">
        <v>820</v>
      </c>
      <c r="AB1370" s="31">
        <v>360.591949463</v>
      </c>
      <c r="AC1370" s="38">
        <v>222.0</v>
      </c>
    </row>
    <row r="1371" ht="14.25" customHeight="1">
      <c r="A1371" s="29" t="s">
        <v>368</v>
      </c>
      <c r="B1371" s="29">
        <v>46.0</v>
      </c>
      <c r="C1371" s="29" t="s">
        <v>593</v>
      </c>
      <c r="D1371" s="29" t="s">
        <v>1268</v>
      </c>
      <c r="E1371" s="29">
        <v>63.0</v>
      </c>
      <c r="F1371" s="30" t="s">
        <v>1269</v>
      </c>
      <c r="G1371" s="29" t="s">
        <v>607</v>
      </c>
      <c r="H1371" s="31">
        <v>3.94</v>
      </c>
      <c r="I1371" s="29" t="s">
        <v>597</v>
      </c>
      <c r="J1371" s="32" t="s">
        <v>598</v>
      </c>
      <c r="K1371" s="29" t="s">
        <v>840</v>
      </c>
      <c r="L1371" s="29" t="s">
        <v>1270</v>
      </c>
      <c r="M1371" s="33">
        <v>-86.916</v>
      </c>
      <c r="N1371" s="33">
        <v>20.45</v>
      </c>
      <c r="O1371" s="34" t="s">
        <v>641</v>
      </c>
      <c r="P1371" s="32" t="s">
        <v>643</v>
      </c>
      <c r="Q1371" s="35">
        <v>90.0</v>
      </c>
      <c r="R1371" s="35">
        <v>90.0</v>
      </c>
      <c r="S1371" s="36">
        <v>0.7022</v>
      </c>
      <c r="T1371" s="36">
        <v>0.8711</v>
      </c>
      <c r="U1371" s="36">
        <v>3.0358</v>
      </c>
      <c r="V1371" s="36">
        <v>2.6142</v>
      </c>
      <c r="W1371" s="37" t="s">
        <v>623</v>
      </c>
      <c r="X1371" s="31">
        <v>3.5</v>
      </c>
      <c r="Y1371" s="36">
        <v>-0.21392454711136108</v>
      </c>
      <c r="Z1371" s="36">
        <v>0.3077429025577335</v>
      </c>
      <c r="AA1371" s="29" t="s">
        <v>820</v>
      </c>
      <c r="AB1371" s="31">
        <v>360.591949463</v>
      </c>
      <c r="AC1371" s="38">
        <v>222.0</v>
      </c>
    </row>
    <row r="1372" ht="14.25" customHeight="1">
      <c r="A1372" s="29" t="s">
        <v>368</v>
      </c>
      <c r="B1372" s="29">
        <v>46.0</v>
      </c>
      <c r="C1372" s="29" t="s">
        <v>593</v>
      </c>
      <c r="D1372" s="29" t="s">
        <v>1268</v>
      </c>
      <c r="E1372" s="29">
        <v>63.0</v>
      </c>
      <c r="F1372" s="30" t="s">
        <v>1269</v>
      </c>
      <c r="G1372" s="29" t="s">
        <v>607</v>
      </c>
      <c r="H1372" s="31">
        <v>3.94</v>
      </c>
      <c r="I1372" s="29" t="s">
        <v>597</v>
      </c>
      <c r="J1372" s="32" t="s">
        <v>598</v>
      </c>
      <c r="K1372" s="29" t="s">
        <v>840</v>
      </c>
      <c r="L1372" s="29" t="s">
        <v>1270</v>
      </c>
      <c r="M1372" s="33">
        <v>-86.916</v>
      </c>
      <c r="N1372" s="33">
        <v>20.45</v>
      </c>
      <c r="O1372" s="34" t="s">
        <v>641</v>
      </c>
      <c r="P1372" s="32" t="s">
        <v>643</v>
      </c>
      <c r="Q1372" s="35">
        <v>90.0</v>
      </c>
      <c r="R1372" s="35">
        <v>90.0</v>
      </c>
      <c r="S1372" s="36">
        <v>0.8978</v>
      </c>
      <c r="T1372" s="36">
        <v>0.8711</v>
      </c>
      <c r="U1372" s="36">
        <v>4.0477</v>
      </c>
      <c r="V1372" s="36">
        <v>2.6142</v>
      </c>
      <c r="W1372" s="37" t="s">
        <v>623</v>
      </c>
      <c r="X1372" s="31">
        <v>4.0</v>
      </c>
      <c r="Y1372" s="36">
        <v>0.03145310835956114</v>
      </c>
      <c r="Z1372" s="36">
        <v>0.32591620019637235</v>
      </c>
      <c r="AA1372" s="29" t="s">
        <v>820</v>
      </c>
      <c r="AB1372" s="31">
        <v>360.591949463</v>
      </c>
      <c r="AC1372" s="38">
        <v>222.0</v>
      </c>
    </row>
    <row r="1373" ht="14.25" customHeight="1">
      <c r="A1373" s="29" t="s">
        <v>368</v>
      </c>
      <c r="B1373" s="29">
        <v>46.0</v>
      </c>
      <c r="C1373" s="29" t="s">
        <v>593</v>
      </c>
      <c r="D1373" s="29" t="s">
        <v>1268</v>
      </c>
      <c r="E1373" s="29">
        <v>63.0</v>
      </c>
      <c r="F1373" s="30" t="s">
        <v>1269</v>
      </c>
      <c r="G1373" s="29" t="s">
        <v>607</v>
      </c>
      <c r="H1373" s="31">
        <v>3.94</v>
      </c>
      <c r="I1373" s="29" t="s">
        <v>597</v>
      </c>
      <c r="J1373" s="32" t="s">
        <v>598</v>
      </c>
      <c r="K1373" s="29" t="s">
        <v>840</v>
      </c>
      <c r="L1373" s="29" t="s">
        <v>1270</v>
      </c>
      <c r="M1373" s="33">
        <v>-86.916</v>
      </c>
      <c r="N1373" s="33">
        <v>20.45</v>
      </c>
      <c r="O1373" s="34" t="s">
        <v>641</v>
      </c>
      <c r="P1373" s="32" t="s">
        <v>643</v>
      </c>
      <c r="Q1373" s="35">
        <v>90.0</v>
      </c>
      <c r="R1373" s="35">
        <v>90.0</v>
      </c>
      <c r="S1373" s="36">
        <v>0.8711</v>
      </c>
      <c r="T1373" s="36">
        <v>0.8711</v>
      </c>
      <c r="U1373" s="36">
        <v>3.078</v>
      </c>
      <c r="V1373" s="36">
        <v>2.6142</v>
      </c>
      <c r="W1373" s="37" t="s">
        <v>623</v>
      </c>
      <c r="X1373" s="31">
        <v>4.5</v>
      </c>
      <c r="Y1373" s="36">
        <v>0.001301236357971734</v>
      </c>
      <c r="Z1373" s="36">
        <v>0.23879515541076202</v>
      </c>
      <c r="AA1373" s="29" t="s">
        <v>820</v>
      </c>
      <c r="AB1373" s="31">
        <v>360.591949463</v>
      </c>
      <c r="AC1373" s="38">
        <v>222.0</v>
      </c>
    </row>
    <row r="1374" ht="14.25" customHeight="1">
      <c r="A1374" s="29" t="s">
        <v>368</v>
      </c>
      <c r="B1374" s="29">
        <v>46.0</v>
      </c>
      <c r="C1374" s="29" t="s">
        <v>593</v>
      </c>
      <c r="D1374" s="29" t="s">
        <v>1268</v>
      </c>
      <c r="E1374" s="29">
        <v>63.0</v>
      </c>
      <c r="F1374" s="30" t="s">
        <v>1269</v>
      </c>
      <c r="G1374" s="29" t="s">
        <v>607</v>
      </c>
      <c r="H1374" s="31">
        <v>3.94</v>
      </c>
      <c r="I1374" s="29" t="s">
        <v>597</v>
      </c>
      <c r="J1374" s="32" t="s">
        <v>598</v>
      </c>
      <c r="K1374" s="29" t="s">
        <v>840</v>
      </c>
      <c r="L1374" s="29" t="s">
        <v>1270</v>
      </c>
      <c r="M1374" s="33">
        <v>-86.916</v>
      </c>
      <c r="N1374" s="33">
        <v>20.45</v>
      </c>
      <c r="O1374" s="34" t="s">
        <v>641</v>
      </c>
      <c r="P1374" s="32" t="s">
        <v>643</v>
      </c>
      <c r="Q1374" s="35">
        <v>90.0</v>
      </c>
      <c r="R1374" s="35">
        <v>90.0</v>
      </c>
      <c r="S1374" s="36">
        <v>0.9022</v>
      </c>
      <c r="T1374" s="36">
        <v>0.8711</v>
      </c>
      <c r="U1374" s="36">
        <v>2.7828</v>
      </c>
      <c r="V1374" s="36">
        <v>2.6142</v>
      </c>
      <c r="W1374" s="37" t="s">
        <v>623</v>
      </c>
      <c r="X1374" s="31">
        <v>5.0</v>
      </c>
      <c r="Y1374" s="36">
        <v>0.03633585337474671</v>
      </c>
      <c r="Z1374" s="36">
        <v>0.20577883225768487</v>
      </c>
      <c r="AA1374" s="29" t="s">
        <v>820</v>
      </c>
      <c r="AB1374" s="31">
        <v>360.591949463</v>
      </c>
      <c r="AC1374" s="38">
        <v>222.0</v>
      </c>
    </row>
    <row r="1375" ht="14.25" customHeight="1">
      <c r="A1375" s="29" t="s">
        <v>368</v>
      </c>
      <c r="B1375" s="29">
        <v>46.0</v>
      </c>
      <c r="C1375" s="29" t="s">
        <v>593</v>
      </c>
      <c r="D1375" s="29" t="s">
        <v>1268</v>
      </c>
      <c r="E1375" s="29">
        <v>63.0</v>
      </c>
      <c r="F1375" s="30" t="s">
        <v>1269</v>
      </c>
      <c r="G1375" s="29" t="s">
        <v>607</v>
      </c>
      <c r="H1375" s="31">
        <v>3.94</v>
      </c>
      <c r="I1375" s="29" t="s">
        <v>597</v>
      </c>
      <c r="J1375" s="32" t="s">
        <v>598</v>
      </c>
      <c r="K1375" s="29" t="s">
        <v>840</v>
      </c>
      <c r="L1375" s="29" t="s">
        <v>1270</v>
      </c>
      <c r="M1375" s="33">
        <v>-86.916</v>
      </c>
      <c r="N1375" s="33">
        <v>20.45</v>
      </c>
      <c r="O1375" s="34" t="s">
        <v>641</v>
      </c>
      <c r="P1375" s="32" t="s">
        <v>643</v>
      </c>
      <c r="Q1375" s="35">
        <v>90.0</v>
      </c>
      <c r="R1375" s="35">
        <v>90.0</v>
      </c>
      <c r="S1375" s="36">
        <v>0.8489</v>
      </c>
      <c r="T1375" s="36">
        <v>0.8711</v>
      </c>
      <c r="U1375" s="36">
        <v>2.6984</v>
      </c>
      <c r="V1375" s="36">
        <v>2.6142</v>
      </c>
      <c r="W1375" s="37" t="s">
        <v>623</v>
      </c>
      <c r="X1375" s="31">
        <v>5.5</v>
      </c>
      <c r="Y1375" s="36">
        <v>-0.02448014416182752</v>
      </c>
      <c r="Z1375" s="36">
        <v>0.2123371730425119</v>
      </c>
      <c r="AA1375" s="29" t="s">
        <v>820</v>
      </c>
      <c r="AB1375" s="31">
        <v>360.591949463</v>
      </c>
      <c r="AC1375" s="38">
        <v>222.0</v>
      </c>
    </row>
    <row r="1376" ht="14.25" customHeight="1">
      <c r="A1376" s="29" t="s">
        <v>368</v>
      </c>
      <c r="B1376" s="29">
        <v>46.0</v>
      </c>
      <c r="C1376" s="29" t="s">
        <v>593</v>
      </c>
      <c r="D1376" s="29" t="s">
        <v>1268</v>
      </c>
      <c r="E1376" s="29">
        <v>63.0</v>
      </c>
      <c r="F1376" s="30" t="s">
        <v>1269</v>
      </c>
      <c r="G1376" s="29" t="s">
        <v>607</v>
      </c>
      <c r="H1376" s="31">
        <v>3.94</v>
      </c>
      <c r="I1376" s="29" t="s">
        <v>597</v>
      </c>
      <c r="J1376" s="32" t="s">
        <v>598</v>
      </c>
      <c r="K1376" s="29" t="s">
        <v>840</v>
      </c>
      <c r="L1376" s="29" t="s">
        <v>1270</v>
      </c>
      <c r="M1376" s="33">
        <v>-86.916</v>
      </c>
      <c r="N1376" s="33">
        <v>20.45</v>
      </c>
      <c r="O1376" s="34" t="s">
        <v>641</v>
      </c>
      <c r="P1376" s="32" t="s">
        <v>643</v>
      </c>
      <c r="Q1376" s="35">
        <v>90.0</v>
      </c>
      <c r="R1376" s="35">
        <v>90.0</v>
      </c>
      <c r="S1376" s="36">
        <v>1.0089</v>
      </c>
      <c r="T1376" s="36">
        <v>0.8711</v>
      </c>
      <c r="U1376" s="36">
        <v>2.825</v>
      </c>
      <c r="V1376" s="36">
        <v>2.6142</v>
      </c>
      <c r="W1376" s="37" t="s">
        <v>623</v>
      </c>
      <c r="X1376" s="31">
        <v>6.0</v>
      </c>
      <c r="Y1376" s="36">
        <v>0.1479827341699957</v>
      </c>
      <c r="Z1376" s="36">
        <v>0.18718493533750724</v>
      </c>
      <c r="AA1376" s="29" t="s">
        <v>820</v>
      </c>
      <c r="AB1376" s="31">
        <v>360.591949463</v>
      </c>
      <c r="AC1376" s="38">
        <v>222.0</v>
      </c>
    </row>
    <row r="1377" ht="14.25" customHeight="1">
      <c r="A1377" s="29" t="s">
        <v>368</v>
      </c>
      <c r="B1377" s="29">
        <v>46.0</v>
      </c>
      <c r="C1377" s="29" t="s">
        <v>593</v>
      </c>
      <c r="D1377" s="29" t="s">
        <v>1268</v>
      </c>
      <c r="E1377" s="29">
        <v>63.0</v>
      </c>
      <c r="F1377" s="30" t="s">
        <v>1269</v>
      </c>
      <c r="G1377" s="29" t="s">
        <v>607</v>
      </c>
      <c r="H1377" s="31">
        <v>3.94</v>
      </c>
      <c r="I1377" s="29" t="s">
        <v>597</v>
      </c>
      <c r="J1377" s="32" t="s">
        <v>598</v>
      </c>
      <c r="K1377" s="29" t="s">
        <v>840</v>
      </c>
      <c r="L1377" s="29" t="s">
        <v>1270</v>
      </c>
      <c r="M1377" s="33">
        <v>-86.916</v>
      </c>
      <c r="N1377" s="33">
        <v>20.45</v>
      </c>
      <c r="O1377" s="34" t="s">
        <v>641</v>
      </c>
      <c r="P1377" s="32" t="s">
        <v>643</v>
      </c>
      <c r="Q1377" s="35">
        <v>90.0</v>
      </c>
      <c r="R1377" s="35">
        <v>90.0</v>
      </c>
      <c r="S1377" s="36">
        <v>0.9822</v>
      </c>
      <c r="T1377" s="36">
        <v>0.8711</v>
      </c>
      <c r="U1377" s="36">
        <v>2.7828</v>
      </c>
      <c r="V1377" s="36">
        <v>2.6142</v>
      </c>
      <c r="W1377" s="37" t="s">
        <v>623</v>
      </c>
      <c r="X1377" s="31">
        <v>6.5</v>
      </c>
      <c r="Y1377" s="36">
        <v>0.12119230674725942</v>
      </c>
      <c r="Z1377" s="36">
        <v>0.18926001086809738</v>
      </c>
      <c r="AA1377" s="29" t="s">
        <v>820</v>
      </c>
      <c r="AB1377" s="31">
        <v>360.591949463</v>
      </c>
      <c r="AC1377" s="38">
        <v>222.0</v>
      </c>
    </row>
    <row r="1378" ht="14.25" customHeight="1">
      <c r="A1378" s="29" t="s">
        <v>368</v>
      </c>
      <c r="B1378" s="29">
        <v>46.0</v>
      </c>
      <c r="C1378" s="29" t="s">
        <v>593</v>
      </c>
      <c r="D1378" s="29" t="s">
        <v>1268</v>
      </c>
      <c r="E1378" s="29">
        <v>63.0</v>
      </c>
      <c r="F1378" s="30" t="s">
        <v>1269</v>
      </c>
      <c r="G1378" s="29" t="s">
        <v>607</v>
      </c>
      <c r="H1378" s="31">
        <v>3.94</v>
      </c>
      <c r="I1378" s="29" t="s">
        <v>597</v>
      </c>
      <c r="J1378" s="32" t="s">
        <v>598</v>
      </c>
      <c r="K1378" s="29" t="s">
        <v>840</v>
      </c>
      <c r="L1378" s="29" t="s">
        <v>1270</v>
      </c>
      <c r="M1378" s="33">
        <v>-86.916</v>
      </c>
      <c r="N1378" s="33">
        <v>20.45</v>
      </c>
      <c r="O1378" s="34" t="s">
        <v>641</v>
      </c>
      <c r="P1378" s="32" t="s">
        <v>643</v>
      </c>
      <c r="Q1378" s="35">
        <v>90.0</v>
      </c>
      <c r="R1378" s="35">
        <v>90.0</v>
      </c>
      <c r="S1378" s="36">
        <v>0.9556</v>
      </c>
      <c r="T1378" s="36">
        <v>0.8711</v>
      </c>
      <c r="U1378" s="36">
        <v>2.7406</v>
      </c>
      <c r="V1378" s="36">
        <v>2.6142</v>
      </c>
      <c r="W1378" s="37" t="s">
        <v>623</v>
      </c>
      <c r="X1378" s="31">
        <v>7.0</v>
      </c>
      <c r="Y1378" s="36">
        <v>0.09376887592093544</v>
      </c>
      <c r="Z1378" s="36">
        <v>0.19145843530514767</v>
      </c>
      <c r="AA1378" s="29" t="s">
        <v>820</v>
      </c>
      <c r="AB1378" s="31">
        <v>360.591949463</v>
      </c>
      <c r="AC1378" s="38">
        <v>222.0</v>
      </c>
    </row>
    <row r="1379" ht="14.25" customHeight="1">
      <c r="A1379" s="29" t="s">
        <v>368</v>
      </c>
      <c r="B1379" s="29">
        <v>46.0</v>
      </c>
      <c r="C1379" s="29" t="s">
        <v>593</v>
      </c>
      <c r="D1379" s="29" t="s">
        <v>1268</v>
      </c>
      <c r="E1379" s="29">
        <v>63.0</v>
      </c>
      <c r="F1379" s="30" t="s">
        <v>1269</v>
      </c>
      <c r="G1379" s="29" t="s">
        <v>607</v>
      </c>
      <c r="H1379" s="31">
        <v>3.94</v>
      </c>
      <c r="I1379" s="29" t="s">
        <v>597</v>
      </c>
      <c r="J1379" s="32" t="s">
        <v>598</v>
      </c>
      <c r="K1379" s="29" t="s">
        <v>840</v>
      </c>
      <c r="L1379" s="29" t="s">
        <v>1270</v>
      </c>
      <c r="M1379" s="33">
        <v>-86.916</v>
      </c>
      <c r="N1379" s="33">
        <v>20.45</v>
      </c>
      <c r="O1379" s="34" t="s">
        <v>641</v>
      </c>
      <c r="P1379" s="32" t="s">
        <v>643</v>
      </c>
      <c r="Q1379" s="35">
        <v>90.0</v>
      </c>
      <c r="R1379" s="35">
        <v>90.0</v>
      </c>
      <c r="S1379" s="36">
        <v>0.9022</v>
      </c>
      <c r="T1379" s="36">
        <v>0.8711</v>
      </c>
      <c r="U1379" s="36">
        <v>2.6563</v>
      </c>
      <c r="V1379" s="36">
        <v>2.6142</v>
      </c>
      <c r="W1379" s="37" t="s">
        <v>623</v>
      </c>
      <c r="X1379" s="31">
        <v>7.5</v>
      </c>
      <c r="Y1379" s="36">
        <v>0.03633585337474671</v>
      </c>
      <c r="Z1379" s="36">
        <v>0.19638658722874452</v>
      </c>
      <c r="AA1379" s="29" t="s">
        <v>820</v>
      </c>
      <c r="AB1379" s="31">
        <v>360.591949463</v>
      </c>
      <c r="AC1379" s="38">
        <v>222.0</v>
      </c>
    </row>
    <row r="1380" ht="14.25" customHeight="1">
      <c r="A1380" s="29" t="s">
        <v>368</v>
      </c>
      <c r="B1380" s="29">
        <v>46.0</v>
      </c>
      <c r="C1380" s="29" t="s">
        <v>593</v>
      </c>
      <c r="D1380" s="29" t="s">
        <v>1268</v>
      </c>
      <c r="E1380" s="29">
        <v>63.0</v>
      </c>
      <c r="F1380" s="30" t="s">
        <v>1269</v>
      </c>
      <c r="G1380" s="29" t="s">
        <v>607</v>
      </c>
      <c r="H1380" s="31">
        <v>3.94</v>
      </c>
      <c r="I1380" s="29" t="s">
        <v>597</v>
      </c>
      <c r="J1380" s="32" t="s">
        <v>598</v>
      </c>
      <c r="K1380" s="29" t="s">
        <v>840</v>
      </c>
      <c r="L1380" s="29" t="s">
        <v>1270</v>
      </c>
      <c r="M1380" s="33">
        <v>-86.916</v>
      </c>
      <c r="N1380" s="33">
        <v>20.45</v>
      </c>
      <c r="O1380" s="34" t="s">
        <v>641</v>
      </c>
      <c r="P1380" s="32" t="s">
        <v>643</v>
      </c>
      <c r="Q1380" s="35">
        <v>90.0</v>
      </c>
      <c r="R1380" s="35">
        <v>90.0</v>
      </c>
      <c r="S1380" s="36">
        <v>0.8889</v>
      </c>
      <c r="T1380" s="36">
        <v>0.8711</v>
      </c>
      <c r="U1380" s="36">
        <v>2.6141</v>
      </c>
      <c r="V1380" s="36">
        <v>2.6142</v>
      </c>
      <c r="W1380" s="37" t="s">
        <v>623</v>
      </c>
      <c r="X1380" s="31">
        <v>8.0</v>
      </c>
      <c r="Y1380" s="36">
        <v>0.02150315845511482</v>
      </c>
      <c r="Z1380" s="36">
        <v>0.19616284619187974</v>
      </c>
      <c r="AA1380" s="29" t="s">
        <v>820</v>
      </c>
      <c r="AB1380" s="31">
        <v>360.591949463</v>
      </c>
      <c r="AC1380" s="38">
        <v>222.0</v>
      </c>
    </row>
    <row r="1381" ht="14.25" customHeight="1">
      <c r="A1381" s="29" t="s">
        <v>368</v>
      </c>
      <c r="B1381" s="29">
        <v>46.0</v>
      </c>
      <c r="C1381" s="29" t="s">
        <v>593</v>
      </c>
      <c r="D1381" s="29" t="s">
        <v>1268</v>
      </c>
      <c r="E1381" s="29">
        <v>63.0</v>
      </c>
      <c r="F1381" s="30" t="s">
        <v>1269</v>
      </c>
      <c r="G1381" s="29" t="s">
        <v>607</v>
      </c>
      <c r="H1381" s="31">
        <v>3.94</v>
      </c>
      <c r="I1381" s="29" t="s">
        <v>597</v>
      </c>
      <c r="J1381" s="32" t="s">
        <v>598</v>
      </c>
      <c r="K1381" s="29" t="s">
        <v>840</v>
      </c>
      <c r="L1381" s="29" t="s">
        <v>1270</v>
      </c>
      <c r="M1381" s="33">
        <v>-86.916</v>
      </c>
      <c r="N1381" s="33">
        <v>20.45</v>
      </c>
      <c r="O1381" s="34" t="s">
        <v>641</v>
      </c>
      <c r="P1381" s="32" t="s">
        <v>643</v>
      </c>
      <c r="Q1381" s="35">
        <v>90.0</v>
      </c>
      <c r="R1381" s="35">
        <v>90.0</v>
      </c>
      <c r="S1381" s="36">
        <v>0.8756</v>
      </c>
      <c r="T1381" s="36">
        <v>0.8711</v>
      </c>
      <c r="U1381" s="36">
        <v>2.6141</v>
      </c>
      <c r="V1381" s="36">
        <v>2.6142</v>
      </c>
      <c r="W1381" s="37" t="s">
        <v>623</v>
      </c>
      <c r="X1381" s="31">
        <v>8.5</v>
      </c>
      <c r="Y1381" s="36">
        <v>0.006447138021622524</v>
      </c>
      <c r="Z1381" s="36">
        <v>0.1991042718078119</v>
      </c>
      <c r="AA1381" s="29" t="s">
        <v>820</v>
      </c>
      <c r="AB1381" s="31">
        <v>360.591949463</v>
      </c>
      <c r="AC1381" s="38">
        <v>222.0</v>
      </c>
    </row>
    <row r="1382" ht="14.25" customHeight="1">
      <c r="A1382" s="29" t="s">
        <v>373</v>
      </c>
      <c r="B1382" s="29">
        <v>81.0</v>
      </c>
      <c r="C1382" s="29" t="s">
        <v>593</v>
      </c>
      <c r="D1382" s="35" t="s">
        <v>1271</v>
      </c>
      <c r="E1382" s="29">
        <v>226.0</v>
      </c>
      <c r="F1382" s="30" t="s">
        <v>1272</v>
      </c>
      <c r="G1382" s="29" t="s">
        <v>886</v>
      </c>
      <c r="H1382" s="31">
        <v>0.63</v>
      </c>
      <c r="I1382" s="29" t="s">
        <v>597</v>
      </c>
      <c r="J1382" s="32" t="s">
        <v>598</v>
      </c>
      <c r="K1382" s="29" t="s">
        <v>599</v>
      </c>
      <c r="L1382" s="29" t="s">
        <v>915</v>
      </c>
      <c r="M1382" s="33">
        <v>-77.165</v>
      </c>
      <c r="N1382" s="33">
        <v>-1.02</v>
      </c>
      <c r="O1382" s="34" t="s">
        <v>641</v>
      </c>
      <c r="P1382" s="32" t="s">
        <v>602</v>
      </c>
      <c r="Q1382" s="35">
        <v>60.0</v>
      </c>
      <c r="R1382" s="35">
        <v>60.0</v>
      </c>
      <c r="S1382" s="36">
        <v>39.1</v>
      </c>
      <c r="T1382" s="36">
        <v>58.8</v>
      </c>
      <c r="U1382" s="36">
        <v>6.253</v>
      </c>
      <c r="V1382" s="36">
        <v>7.6681</v>
      </c>
      <c r="W1382" s="37" t="s">
        <v>623</v>
      </c>
      <c r="X1382" s="31">
        <v>2.0</v>
      </c>
      <c r="Y1382" s="36">
        <v>-0.40606318232706407</v>
      </c>
      <c r="Z1382" s="36">
        <v>7.097031011928062E-4</v>
      </c>
      <c r="AA1382" s="29" t="s">
        <v>820</v>
      </c>
      <c r="AB1382" s="31">
        <v>0.268584609032</v>
      </c>
      <c r="AC1382" s="38">
        <v>1485.0</v>
      </c>
    </row>
    <row r="1383" ht="14.25" customHeight="1">
      <c r="A1383" s="29" t="s">
        <v>373</v>
      </c>
      <c r="B1383" s="29">
        <v>81.0</v>
      </c>
      <c r="C1383" s="29" t="s">
        <v>593</v>
      </c>
      <c r="D1383" s="29" t="s">
        <v>913</v>
      </c>
      <c r="E1383" s="29">
        <v>230.0</v>
      </c>
      <c r="F1383" s="30" t="s">
        <v>914</v>
      </c>
      <c r="G1383" s="29" t="s">
        <v>607</v>
      </c>
      <c r="H1383" s="31">
        <v>3.1</v>
      </c>
      <c r="I1383" s="29" t="s">
        <v>597</v>
      </c>
      <c r="J1383" s="32" t="s">
        <v>598</v>
      </c>
      <c r="K1383" s="29" t="s">
        <v>599</v>
      </c>
      <c r="L1383" s="29" t="s">
        <v>915</v>
      </c>
      <c r="M1383" s="33">
        <v>-77.165</v>
      </c>
      <c r="N1383" s="33">
        <v>-1.02</v>
      </c>
      <c r="O1383" s="34" t="s">
        <v>641</v>
      </c>
      <c r="P1383" s="32" t="s">
        <v>602</v>
      </c>
      <c r="Q1383" s="35">
        <v>60.0</v>
      </c>
      <c r="R1383" s="35">
        <v>60.0</v>
      </c>
      <c r="S1383" s="36">
        <v>0.0</v>
      </c>
      <c r="T1383" s="36">
        <v>12.5</v>
      </c>
      <c r="U1383" s="36">
        <v>0.0</v>
      </c>
      <c r="V1383" s="36">
        <v>3.5355</v>
      </c>
      <c r="W1383" s="37" t="s">
        <v>623</v>
      </c>
      <c r="X1383" s="31">
        <v>2.0</v>
      </c>
      <c r="Y1383" s="36">
        <v>-6.643789733147672</v>
      </c>
      <c r="Z1383" s="36">
        <v>0.018272708111439842</v>
      </c>
      <c r="AA1383" s="29" t="s">
        <v>820</v>
      </c>
      <c r="AB1383" s="31">
        <v>0.268584609032</v>
      </c>
      <c r="AC1383" s="38">
        <v>1485.0</v>
      </c>
    </row>
    <row r="1384" ht="14.25" customHeight="1">
      <c r="A1384" s="29" t="s">
        <v>373</v>
      </c>
      <c r="B1384" s="29">
        <v>81.0</v>
      </c>
      <c r="C1384" s="29" t="s">
        <v>593</v>
      </c>
      <c r="D1384" s="29" t="s">
        <v>1134</v>
      </c>
      <c r="E1384" s="29">
        <v>231.0</v>
      </c>
      <c r="F1384" s="30" t="s">
        <v>1135</v>
      </c>
      <c r="G1384" s="29" t="s">
        <v>607</v>
      </c>
      <c r="H1384" s="31">
        <v>1.7</v>
      </c>
      <c r="I1384" s="29" t="s">
        <v>597</v>
      </c>
      <c r="J1384" s="32" t="s">
        <v>598</v>
      </c>
      <c r="K1384" s="29" t="s">
        <v>599</v>
      </c>
      <c r="L1384" s="29" t="s">
        <v>915</v>
      </c>
      <c r="M1384" s="33">
        <v>-77.165</v>
      </c>
      <c r="N1384" s="33">
        <v>-1.02</v>
      </c>
      <c r="O1384" s="34" t="s">
        <v>641</v>
      </c>
      <c r="P1384" s="32" t="s">
        <v>602</v>
      </c>
      <c r="Q1384" s="35">
        <v>60.0</v>
      </c>
      <c r="R1384" s="35">
        <v>60.0</v>
      </c>
      <c r="S1384" s="36">
        <v>6.8</v>
      </c>
      <c r="T1384" s="36">
        <v>5.2</v>
      </c>
      <c r="U1384" s="36">
        <v>2.6077</v>
      </c>
      <c r="V1384" s="36">
        <v>2.2804</v>
      </c>
      <c r="W1384" s="37" t="s">
        <v>623</v>
      </c>
      <c r="X1384" s="31">
        <v>2.0</v>
      </c>
      <c r="Y1384" s="36">
        <v>0.26925920198782716</v>
      </c>
      <c r="Z1384" s="36">
        <v>0.00565628255088365</v>
      </c>
      <c r="AA1384" s="29" t="s">
        <v>820</v>
      </c>
      <c r="AB1384" s="31">
        <v>0.268584609032</v>
      </c>
      <c r="AC1384" s="38">
        <v>1485.0</v>
      </c>
    </row>
    <row r="1385" ht="14.25" customHeight="1">
      <c r="A1385" s="29" t="s">
        <v>373</v>
      </c>
      <c r="B1385" s="29">
        <v>81.0</v>
      </c>
      <c r="C1385" s="29" t="s">
        <v>593</v>
      </c>
      <c r="D1385" s="29" t="s">
        <v>1110</v>
      </c>
      <c r="E1385" s="29">
        <v>115.0</v>
      </c>
      <c r="F1385" s="30" t="s">
        <v>1111</v>
      </c>
      <c r="G1385" s="29" t="s">
        <v>607</v>
      </c>
      <c r="H1385" s="31">
        <v>0.31</v>
      </c>
      <c r="I1385" s="29" t="s">
        <v>616</v>
      </c>
      <c r="J1385" s="32" t="s">
        <v>598</v>
      </c>
      <c r="K1385" s="29" t="s">
        <v>599</v>
      </c>
      <c r="L1385" s="29" t="s">
        <v>915</v>
      </c>
      <c r="M1385" s="33">
        <v>-77.165</v>
      </c>
      <c r="N1385" s="33">
        <v>-1.02</v>
      </c>
      <c r="O1385" s="34" t="s">
        <v>641</v>
      </c>
      <c r="P1385" s="32" t="s">
        <v>602</v>
      </c>
      <c r="Q1385" s="35">
        <v>60.0</v>
      </c>
      <c r="R1385" s="35">
        <v>60.0</v>
      </c>
      <c r="S1385" s="36">
        <v>31.2</v>
      </c>
      <c r="T1385" s="36">
        <v>35.3</v>
      </c>
      <c r="U1385" s="36">
        <v>5.5857</v>
      </c>
      <c r="V1385" s="36">
        <v>5.9414</v>
      </c>
      <c r="W1385" s="37" t="s">
        <v>623</v>
      </c>
      <c r="X1385" s="31">
        <v>2.0</v>
      </c>
      <c r="Y1385" s="36">
        <v>-0.12199276276623944</v>
      </c>
      <c r="Z1385" s="36">
        <v>0.0010063354568082183</v>
      </c>
      <c r="AA1385" s="29" t="s">
        <v>820</v>
      </c>
      <c r="AB1385" s="31">
        <v>0.268584609032</v>
      </c>
      <c r="AC1385" s="38">
        <v>1485.0</v>
      </c>
    </row>
    <row r="1386" ht="14.25" customHeight="1">
      <c r="A1386" s="29" t="s">
        <v>373</v>
      </c>
      <c r="B1386" s="29">
        <v>81.0</v>
      </c>
      <c r="C1386" s="29" t="s">
        <v>593</v>
      </c>
      <c r="D1386" s="29" t="s">
        <v>1112</v>
      </c>
      <c r="E1386" s="29">
        <v>130.0</v>
      </c>
      <c r="F1386" s="30" t="s">
        <v>867</v>
      </c>
      <c r="G1386" s="29" t="s">
        <v>607</v>
      </c>
      <c r="H1386" s="31">
        <v>1.49</v>
      </c>
      <c r="I1386" s="29" t="s">
        <v>597</v>
      </c>
      <c r="J1386" s="32" t="s">
        <v>598</v>
      </c>
      <c r="K1386" s="29" t="s">
        <v>599</v>
      </c>
      <c r="L1386" s="29" t="s">
        <v>915</v>
      </c>
      <c r="M1386" s="33">
        <v>-77.165</v>
      </c>
      <c r="N1386" s="33">
        <v>-1.02</v>
      </c>
      <c r="O1386" s="34" t="s">
        <v>641</v>
      </c>
      <c r="P1386" s="32" t="s">
        <v>602</v>
      </c>
      <c r="Q1386" s="35">
        <v>60.0</v>
      </c>
      <c r="R1386" s="35">
        <v>60.0</v>
      </c>
      <c r="S1386" s="36">
        <v>21.4</v>
      </c>
      <c r="T1386" s="36">
        <v>31.7</v>
      </c>
      <c r="U1386" s="36">
        <v>4.626</v>
      </c>
      <c r="V1386" s="36">
        <v>5.6303</v>
      </c>
      <c r="W1386" s="37" t="s">
        <v>623</v>
      </c>
      <c r="X1386" s="31">
        <v>2.0</v>
      </c>
      <c r="Y1386" s="36">
        <v>-0.3909988295829112</v>
      </c>
      <c r="Z1386" s="36">
        <v>0.0013045786543048245</v>
      </c>
      <c r="AA1386" s="29" t="s">
        <v>820</v>
      </c>
      <c r="AB1386" s="31">
        <v>0.268584609032</v>
      </c>
      <c r="AC1386" s="38">
        <v>1485.0</v>
      </c>
    </row>
    <row r="1387" ht="14.25" customHeight="1">
      <c r="A1387" s="29" t="s">
        <v>373</v>
      </c>
      <c r="B1387" s="29">
        <v>81.0</v>
      </c>
      <c r="C1387" s="29" t="s">
        <v>593</v>
      </c>
      <c r="D1387" s="29" t="s">
        <v>1113</v>
      </c>
      <c r="E1387" s="29">
        <v>139.0</v>
      </c>
      <c r="F1387" s="30" t="s">
        <v>869</v>
      </c>
      <c r="G1387" s="29" t="s">
        <v>607</v>
      </c>
      <c r="H1387" s="31">
        <v>1.24</v>
      </c>
      <c r="I1387" s="29" t="s">
        <v>597</v>
      </c>
      <c r="J1387" s="32" t="s">
        <v>598</v>
      </c>
      <c r="K1387" s="29" t="s">
        <v>599</v>
      </c>
      <c r="L1387" s="29" t="s">
        <v>915</v>
      </c>
      <c r="M1387" s="33">
        <v>-77.165</v>
      </c>
      <c r="N1387" s="33">
        <v>-1.02</v>
      </c>
      <c r="O1387" s="34" t="s">
        <v>641</v>
      </c>
      <c r="P1387" s="32" t="s">
        <v>602</v>
      </c>
      <c r="Q1387" s="35">
        <v>60.0</v>
      </c>
      <c r="R1387" s="35">
        <v>60.0</v>
      </c>
      <c r="S1387" s="36">
        <v>0.0</v>
      </c>
      <c r="T1387" s="36">
        <v>24.1</v>
      </c>
      <c r="U1387" s="36">
        <v>0.0</v>
      </c>
      <c r="V1387" s="36">
        <v>4.9092</v>
      </c>
      <c r="W1387" s="37" t="s">
        <v>623</v>
      </c>
      <c r="X1387" s="31">
        <v>2.0</v>
      </c>
      <c r="Y1387" s="36">
        <v>-6.643789733147672</v>
      </c>
      <c r="Z1387" s="36">
        <v>0.017472498860907307</v>
      </c>
      <c r="AA1387" s="29" t="s">
        <v>820</v>
      </c>
      <c r="AB1387" s="31">
        <v>0.268584609032</v>
      </c>
      <c r="AC1387" s="38">
        <v>1485.0</v>
      </c>
    </row>
    <row r="1388" ht="14.25" customHeight="1">
      <c r="A1388" s="29" t="s">
        <v>373</v>
      </c>
      <c r="B1388" s="29">
        <v>81.0</v>
      </c>
      <c r="C1388" s="29" t="s">
        <v>593</v>
      </c>
      <c r="D1388" s="35" t="s">
        <v>1136</v>
      </c>
      <c r="E1388" s="29">
        <v>153.0</v>
      </c>
      <c r="F1388" s="30" t="s">
        <v>1137</v>
      </c>
      <c r="G1388" s="29" t="s">
        <v>877</v>
      </c>
      <c r="H1388" s="31">
        <v>1.03</v>
      </c>
      <c r="I1388" s="29" t="s">
        <v>597</v>
      </c>
      <c r="J1388" s="32" t="s">
        <v>598</v>
      </c>
      <c r="K1388" s="29" t="s">
        <v>599</v>
      </c>
      <c r="L1388" s="29" t="s">
        <v>915</v>
      </c>
      <c r="M1388" s="33">
        <v>-77.165</v>
      </c>
      <c r="N1388" s="33">
        <v>-1.02</v>
      </c>
      <c r="O1388" s="34" t="s">
        <v>641</v>
      </c>
      <c r="P1388" s="32" t="s">
        <v>602</v>
      </c>
      <c r="Q1388" s="35">
        <v>60.0</v>
      </c>
      <c r="R1388" s="35">
        <v>60.0</v>
      </c>
      <c r="S1388" s="36">
        <v>28.5</v>
      </c>
      <c r="T1388" s="36">
        <v>80.0</v>
      </c>
      <c r="U1388" s="36">
        <v>5.3385</v>
      </c>
      <c r="V1388" s="36">
        <v>8.9443</v>
      </c>
      <c r="W1388" s="37" t="s">
        <v>623</v>
      </c>
      <c r="X1388" s="31">
        <v>2.0</v>
      </c>
      <c r="Y1388" s="36">
        <v>-1.0284742398138014</v>
      </c>
      <c r="Z1388" s="36">
        <v>7.931213916702014E-4</v>
      </c>
      <c r="AA1388" s="29" t="s">
        <v>820</v>
      </c>
      <c r="AB1388" s="31">
        <v>0.268584609032</v>
      </c>
      <c r="AC1388" s="38">
        <v>1485.0</v>
      </c>
    </row>
    <row r="1389" ht="14.25" customHeight="1">
      <c r="A1389" s="29" t="s">
        <v>373</v>
      </c>
      <c r="B1389" s="29">
        <v>81.0</v>
      </c>
      <c r="C1389" s="29" t="s">
        <v>593</v>
      </c>
      <c r="D1389" s="29" t="s">
        <v>1273</v>
      </c>
      <c r="E1389" s="29">
        <v>232.0</v>
      </c>
      <c r="F1389" s="30" t="s">
        <v>1274</v>
      </c>
      <c r="G1389" s="29" t="s">
        <v>909</v>
      </c>
      <c r="H1389" s="31">
        <v>0.6</v>
      </c>
      <c r="I1389" s="29" t="s">
        <v>616</v>
      </c>
      <c r="J1389" s="32" t="s">
        <v>598</v>
      </c>
      <c r="K1389" s="29" t="s">
        <v>599</v>
      </c>
      <c r="L1389" s="29" t="s">
        <v>915</v>
      </c>
      <c r="M1389" s="33">
        <v>-77.165</v>
      </c>
      <c r="N1389" s="33">
        <v>-1.02</v>
      </c>
      <c r="O1389" s="34" t="s">
        <v>641</v>
      </c>
      <c r="P1389" s="32" t="s">
        <v>602</v>
      </c>
      <c r="Q1389" s="35">
        <v>60.0</v>
      </c>
      <c r="R1389" s="35">
        <v>60.0</v>
      </c>
      <c r="S1389" s="36">
        <v>39.4</v>
      </c>
      <c r="T1389" s="36">
        <v>52.0</v>
      </c>
      <c r="U1389" s="36">
        <v>6.2769</v>
      </c>
      <c r="V1389" s="36">
        <v>7.2111</v>
      </c>
      <c r="W1389" s="37" t="s">
        <v>623</v>
      </c>
      <c r="X1389" s="31">
        <v>2.0</v>
      </c>
      <c r="Y1389" s="36">
        <v>-0.27576089156685507</v>
      </c>
      <c r="Z1389" s="36">
        <v>7.43518786578983E-4</v>
      </c>
      <c r="AA1389" s="29" t="s">
        <v>820</v>
      </c>
      <c r="AB1389" s="31">
        <v>0.268584609032</v>
      </c>
      <c r="AC1389" s="38">
        <v>1485.0</v>
      </c>
    </row>
    <row r="1390" ht="14.25" customHeight="1">
      <c r="A1390" s="29" t="s">
        <v>373</v>
      </c>
      <c r="B1390" s="29">
        <v>81.0</v>
      </c>
      <c r="C1390" s="29" t="s">
        <v>593</v>
      </c>
      <c r="D1390" s="29" t="s">
        <v>882</v>
      </c>
      <c r="E1390" s="29">
        <v>192.0</v>
      </c>
      <c r="F1390" s="30" t="s">
        <v>883</v>
      </c>
      <c r="G1390" s="29" t="s">
        <v>596</v>
      </c>
      <c r="H1390" s="31">
        <v>0.69</v>
      </c>
      <c r="I1390" s="29" t="s">
        <v>597</v>
      </c>
      <c r="J1390" s="32" t="s">
        <v>598</v>
      </c>
      <c r="K1390" s="29" t="s">
        <v>599</v>
      </c>
      <c r="L1390" s="29" t="s">
        <v>915</v>
      </c>
      <c r="M1390" s="33">
        <v>-77.165</v>
      </c>
      <c r="N1390" s="33">
        <v>-1.02</v>
      </c>
      <c r="O1390" s="34" t="s">
        <v>641</v>
      </c>
      <c r="P1390" s="32" t="s">
        <v>602</v>
      </c>
      <c r="Q1390" s="35">
        <v>60.0</v>
      </c>
      <c r="R1390" s="35">
        <v>60.0</v>
      </c>
      <c r="S1390" s="36">
        <v>12.8</v>
      </c>
      <c r="T1390" s="36">
        <v>7.4</v>
      </c>
      <c r="U1390" s="36">
        <v>3.5777</v>
      </c>
      <c r="V1390" s="36">
        <v>2.7203</v>
      </c>
      <c r="W1390" s="37" t="s">
        <v>623</v>
      </c>
      <c r="X1390" s="31">
        <v>2.0</v>
      </c>
      <c r="Y1390" s="36">
        <v>0.5487176544556144</v>
      </c>
      <c r="Z1390" s="36">
        <v>0.003554338973255961</v>
      </c>
      <c r="AA1390" s="29" t="s">
        <v>820</v>
      </c>
      <c r="AB1390" s="31">
        <v>0.268584609032</v>
      </c>
      <c r="AC1390" s="38">
        <v>1485.0</v>
      </c>
    </row>
    <row r="1391" ht="14.25" customHeight="1">
      <c r="A1391" s="29" t="s">
        <v>373</v>
      </c>
      <c r="B1391" s="29">
        <v>81.0</v>
      </c>
      <c r="C1391" s="29" t="s">
        <v>593</v>
      </c>
      <c r="D1391" s="29" t="s">
        <v>849</v>
      </c>
      <c r="E1391" s="29">
        <v>193.0</v>
      </c>
      <c r="F1391" s="30" t="s">
        <v>850</v>
      </c>
      <c r="G1391" s="29" t="s">
        <v>596</v>
      </c>
      <c r="H1391" s="31">
        <v>1.03</v>
      </c>
      <c r="I1391" s="29" t="s">
        <v>597</v>
      </c>
      <c r="J1391" s="32" t="s">
        <v>598</v>
      </c>
      <c r="K1391" s="29" t="s">
        <v>599</v>
      </c>
      <c r="L1391" s="29" t="s">
        <v>915</v>
      </c>
      <c r="M1391" s="33">
        <v>-77.165</v>
      </c>
      <c r="N1391" s="33">
        <v>-1.02</v>
      </c>
      <c r="O1391" s="34" t="s">
        <v>641</v>
      </c>
      <c r="P1391" s="32" t="s">
        <v>602</v>
      </c>
      <c r="Q1391" s="35">
        <v>60.0</v>
      </c>
      <c r="R1391" s="35">
        <v>60.0</v>
      </c>
      <c r="S1391" s="36">
        <v>26.6</v>
      </c>
      <c r="T1391" s="36">
        <v>23.7</v>
      </c>
      <c r="U1391" s="36">
        <v>5.1575</v>
      </c>
      <c r="V1391" s="36">
        <v>4.8683</v>
      </c>
      <c r="W1391" s="37" t="s">
        <v>623</v>
      </c>
      <c r="X1391" s="31">
        <v>2.0</v>
      </c>
      <c r="Y1391" s="36">
        <v>0.1165956220990956</v>
      </c>
      <c r="Z1391" s="36">
        <v>0.0013298069663835288</v>
      </c>
      <c r="AA1391" s="29" t="s">
        <v>820</v>
      </c>
      <c r="AB1391" s="31">
        <v>0.268584609032</v>
      </c>
      <c r="AC1391" s="38">
        <v>1485.0</v>
      </c>
    </row>
    <row r="1392" ht="14.25" customHeight="1">
      <c r="A1392" s="29" t="s">
        <v>373</v>
      </c>
      <c r="B1392" s="29">
        <v>81.0</v>
      </c>
      <c r="C1392" s="29" t="s">
        <v>608</v>
      </c>
      <c r="D1392" s="29" t="s">
        <v>825</v>
      </c>
      <c r="E1392" s="29">
        <v>5.0</v>
      </c>
      <c r="F1392" s="30" t="s">
        <v>826</v>
      </c>
      <c r="G1392" s="29" t="s">
        <v>611</v>
      </c>
      <c r="H1392" s="31">
        <v>6.15</v>
      </c>
      <c r="I1392" s="29" t="s">
        <v>612</v>
      </c>
      <c r="J1392" s="32" t="s">
        <v>598</v>
      </c>
      <c r="K1392" s="29" t="s">
        <v>599</v>
      </c>
      <c r="L1392" s="29" t="s">
        <v>915</v>
      </c>
      <c r="M1392" s="33">
        <v>-77.165</v>
      </c>
      <c r="N1392" s="33">
        <v>-1.02</v>
      </c>
      <c r="O1392" s="34" t="s">
        <v>641</v>
      </c>
      <c r="P1392" s="32" t="s">
        <v>602</v>
      </c>
      <c r="Q1392" s="35">
        <v>60.0</v>
      </c>
      <c r="R1392" s="35">
        <v>60.0</v>
      </c>
      <c r="S1392" s="36">
        <v>6.3</v>
      </c>
      <c r="T1392" s="36">
        <v>17.2</v>
      </c>
      <c r="U1392" s="36">
        <v>2.51</v>
      </c>
      <c r="V1392" s="36">
        <v>4.1473</v>
      </c>
      <c r="W1392" s="37" t="s">
        <v>623</v>
      </c>
      <c r="X1392" s="31">
        <v>2.0</v>
      </c>
      <c r="Y1392" s="36">
        <v>-1.0036556230604068</v>
      </c>
      <c r="Z1392" s="36">
        <v>0.0036145423666733905</v>
      </c>
      <c r="AA1392" s="29" t="s">
        <v>820</v>
      </c>
      <c r="AB1392" s="31">
        <v>0.268584609032</v>
      </c>
      <c r="AC1392" s="38">
        <v>1485.0</v>
      </c>
    </row>
    <row r="1393" ht="14.25" customHeight="1">
      <c r="A1393" s="29" t="s">
        <v>373</v>
      </c>
      <c r="B1393" s="29">
        <v>81.0</v>
      </c>
      <c r="C1393" s="29" t="s">
        <v>608</v>
      </c>
      <c r="D1393" s="29" t="s">
        <v>1275</v>
      </c>
      <c r="E1393" s="29">
        <v>227.0</v>
      </c>
      <c r="F1393" s="30" t="s">
        <v>1276</v>
      </c>
      <c r="G1393" s="29" t="s">
        <v>611</v>
      </c>
      <c r="H1393" s="31">
        <v>0.87</v>
      </c>
      <c r="I1393" s="29" t="s">
        <v>616</v>
      </c>
      <c r="J1393" s="32" t="s">
        <v>598</v>
      </c>
      <c r="K1393" s="29" t="s">
        <v>599</v>
      </c>
      <c r="L1393" s="29" t="s">
        <v>915</v>
      </c>
      <c r="M1393" s="33">
        <v>-77.165</v>
      </c>
      <c r="N1393" s="33">
        <v>-1.02</v>
      </c>
      <c r="O1393" s="34" t="s">
        <v>641</v>
      </c>
      <c r="P1393" s="32" t="s">
        <v>602</v>
      </c>
      <c r="Q1393" s="35">
        <v>60.0</v>
      </c>
      <c r="R1393" s="35">
        <v>60.0</v>
      </c>
      <c r="S1393" s="36">
        <v>40.0</v>
      </c>
      <c r="T1393" s="36">
        <v>37.5</v>
      </c>
      <c r="U1393" s="36">
        <v>6.3246</v>
      </c>
      <c r="V1393" s="36">
        <v>6.1237</v>
      </c>
      <c r="W1393" s="37" t="s">
        <v>623</v>
      </c>
      <c r="X1393" s="31">
        <v>2.0</v>
      </c>
      <c r="Y1393" s="36">
        <v>0.06478036495601266</v>
      </c>
      <c r="Z1393" s="36">
        <v>8.611134626685186E-4</v>
      </c>
      <c r="AA1393" s="29" t="s">
        <v>820</v>
      </c>
      <c r="AB1393" s="31">
        <v>0.268584609032</v>
      </c>
      <c r="AC1393" s="38">
        <v>1485.0</v>
      </c>
    </row>
    <row r="1394" ht="14.25" customHeight="1">
      <c r="A1394" s="29" t="s">
        <v>373</v>
      </c>
      <c r="B1394" s="29">
        <v>81.0</v>
      </c>
      <c r="C1394" s="29" t="s">
        <v>608</v>
      </c>
      <c r="D1394" s="29" t="s">
        <v>921</v>
      </c>
      <c r="E1394" s="29">
        <v>228.0</v>
      </c>
      <c r="F1394" s="30" t="s">
        <v>922</v>
      </c>
      <c r="G1394" s="29" t="s">
        <v>611</v>
      </c>
      <c r="H1394" s="31">
        <v>5.0</v>
      </c>
      <c r="I1394" s="29" t="s">
        <v>597</v>
      </c>
      <c r="J1394" s="32" t="s">
        <v>598</v>
      </c>
      <c r="K1394" s="29" t="s">
        <v>599</v>
      </c>
      <c r="L1394" s="29" t="s">
        <v>915</v>
      </c>
      <c r="M1394" s="33">
        <v>-77.165</v>
      </c>
      <c r="N1394" s="33">
        <v>-1.02</v>
      </c>
      <c r="O1394" s="34" t="s">
        <v>641</v>
      </c>
      <c r="P1394" s="32" t="s">
        <v>602</v>
      </c>
      <c r="Q1394" s="35">
        <v>60.0</v>
      </c>
      <c r="R1394" s="35">
        <v>60.0</v>
      </c>
      <c r="S1394" s="36">
        <v>0.0</v>
      </c>
      <c r="T1394" s="36">
        <v>9.4</v>
      </c>
      <c r="U1394" s="36">
        <v>0.0</v>
      </c>
      <c r="V1394" s="36">
        <v>3.0659</v>
      </c>
      <c r="W1394" s="37" t="s">
        <v>623</v>
      </c>
      <c r="X1394" s="31">
        <v>2.0</v>
      </c>
      <c r="Y1394" s="36">
        <v>-8.262558973010657</v>
      </c>
      <c r="Z1394" s="36">
        <v>0.018828970310852632</v>
      </c>
      <c r="AA1394" s="29" t="s">
        <v>820</v>
      </c>
      <c r="AB1394" s="31">
        <v>0.268584609032</v>
      </c>
      <c r="AC1394" s="38">
        <v>1485.0</v>
      </c>
    </row>
    <row r="1395" ht="14.25" customHeight="1">
      <c r="A1395" s="29" t="s">
        <v>373</v>
      </c>
      <c r="B1395" s="29">
        <v>81.0</v>
      </c>
      <c r="C1395" s="29" t="s">
        <v>608</v>
      </c>
      <c r="D1395" s="29" t="s">
        <v>1277</v>
      </c>
      <c r="E1395" s="29">
        <v>25.0</v>
      </c>
      <c r="F1395" s="30" t="s">
        <v>1278</v>
      </c>
      <c r="G1395" s="29" t="s">
        <v>611</v>
      </c>
      <c r="H1395" s="31">
        <v>0.85</v>
      </c>
      <c r="I1395" s="29" t="s">
        <v>616</v>
      </c>
      <c r="J1395" s="32" t="s">
        <v>598</v>
      </c>
      <c r="K1395" s="29" t="s">
        <v>599</v>
      </c>
      <c r="L1395" s="29" t="s">
        <v>915</v>
      </c>
      <c r="M1395" s="33">
        <v>-77.165</v>
      </c>
      <c r="N1395" s="33">
        <v>-1.02</v>
      </c>
      <c r="O1395" s="34" t="s">
        <v>641</v>
      </c>
      <c r="P1395" s="32" t="s">
        <v>602</v>
      </c>
      <c r="Q1395" s="35">
        <v>60.0</v>
      </c>
      <c r="R1395" s="35">
        <v>60.0</v>
      </c>
      <c r="S1395" s="36">
        <v>14.3</v>
      </c>
      <c r="T1395" s="36">
        <v>19.4</v>
      </c>
      <c r="U1395" s="36">
        <v>3.7815</v>
      </c>
      <c r="V1395" s="36">
        <v>4.4045</v>
      </c>
      <c r="W1395" s="37" t="s">
        <v>623</v>
      </c>
      <c r="X1395" s="31">
        <v>2.0</v>
      </c>
      <c r="Y1395" s="36">
        <v>-0.3046635788571221</v>
      </c>
      <c r="Z1395" s="36">
        <v>0.002024569870374666</v>
      </c>
      <c r="AA1395" s="29" t="s">
        <v>820</v>
      </c>
      <c r="AB1395" s="31">
        <v>0.268584609032</v>
      </c>
      <c r="AC1395" s="38">
        <v>1485.0</v>
      </c>
    </row>
    <row r="1396" ht="14.25" customHeight="1">
      <c r="A1396" s="29" t="s">
        <v>373</v>
      </c>
      <c r="B1396" s="29">
        <v>81.0</v>
      </c>
      <c r="C1396" s="29" t="s">
        <v>608</v>
      </c>
      <c r="D1396" s="29" t="s">
        <v>830</v>
      </c>
      <c r="E1396" s="29">
        <v>30.0</v>
      </c>
      <c r="F1396" s="30" t="s">
        <v>831</v>
      </c>
      <c r="G1396" s="29" t="s">
        <v>611</v>
      </c>
      <c r="H1396" s="31">
        <v>2.63</v>
      </c>
      <c r="I1396" s="29" t="s">
        <v>616</v>
      </c>
      <c r="J1396" s="32" t="s">
        <v>598</v>
      </c>
      <c r="K1396" s="29" t="s">
        <v>599</v>
      </c>
      <c r="L1396" s="29" t="s">
        <v>915</v>
      </c>
      <c r="M1396" s="33">
        <v>-77.165</v>
      </c>
      <c r="N1396" s="33">
        <v>-1.02</v>
      </c>
      <c r="O1396" s="34" t="s">
        <v>641</v>
      </c>
      <c r="P1396" s="32" t="s">
        <v>602</v>
      </c>
      <c r="Q1396" s="35">
        <v>60.0</v>
      </c>
      <c r="R1396" s="35">
        <v>60.0</v>
      </c>
      <c r="S1396" s="36">
        <v>15.9</v>
      </c>
      <c r="T1396" s="36">
        <v>22.2</v>
      </c>
      <c r="U1396" s="36">
        <v>3.9875</v>
      </c>
      <c r="V1396" s="36">
        <v>4.7117</v>
      </c>
      <c r="W1396" s="37" t="s">
        <v>623</v>
      </c>
      <c r="X1396" s="31">
        <v>2.0</v>
      </c>
      <c r="Y1396" s="36">
        <v>-0.333413020983662</v>
      </c>
      <c r="Z1396" s="36">
        <v>0.001798983033925004</v>
      </c>
      <c r="AA1396" s="29" t="s">
        <v>820</v>
      </c>
      <c r="AB1396" s="31">
        <v>0.268584609032</v>
      </c>
      <c r="AC1396" s="38">
        <v>1485.0</v>
      </c>
    </row>
    <row r="1397" ht="14.25" customHeight="1">
      <c r="A1397" s="29" t="s">
        <v>373</v>
      </c>
      <c r="B1397" s="29">
        <v>81.0</v>
      </c>
      <c r="C1397" s="29" t="s">
        <v>608</v>
      </c>
      <c r="D1397" s="29" t="s">
        <v>650</v>
      </c>
      <c r="E1397" s="29">
        <v>70.0</v>
      </c>
      <c r="F1397" s="30" t="s">
        <v>651</v>
      </c>
      <c r="G1397" s="29" t="s">
        <v>615</v>
      </c>
      <c r="H1397" s="31">
        <v>8.17</v>
      </c>
      <c r="I1397" s="29" t="s">
        <v>616</v>
      </c>
      <c r="J1397" s="32" t="s">
        <v>598</v>
      </c>
      <c r="K1397" s="29" t="s">
        <v>599</v>
      </c>
      <c r="L1397" s="29" t="s">
        <v>915</v>
      </c>
      <c r="M1397" s="33">
        <v>-77.165</v>
      </c>
      <c r="N1397" s="33">
        <v>-1.02</v>
      </c>
      <c r="O1397" s="34" t="s">
        <v>641</v>
      </c>
      <c r="P1397" s="32" t="s">
        <v>602</v>
      </c>
      <c r="Q1397" s="35">
        <v>60.0</v>
      </c>
      <c r="R1397" s="35">
        <v>60.0</v>
      </c>
      <c r="S1397" s="36">
        <v>30.0</v>
      </c>
      <c r="T1397" s="36">
        <v>14.3</v>
      </c>
      <c r="U1397" s="36">
        <v>5.4772</v>
      </c>
      <c r="V1397" s="36">
        <v>3.7815</v>
      </c>
      <c r="W1397" s="37" t="s">
        <v>623</v>
      </c>
      <c r="X1397" s="31">
        <v>2.0</v>
      </c>
      <c r="Y1397" s="36">
        <v>0.7410608158511623</v>
      </c>
      <c r="Z1397" s="36">
        <v>0.0017210305253613414</v>
      </c>
      <c r="AA1397" s="29" t="s">
        <v>820</v>
      </c>
      <c r="AB1397" s="31">
        <v>0.268584609032</v>
      </c>
      <c r="AC1397" s="38">
        <v>1485.0</v>
      </c>
    </row>
    <row r="1398" ht="14.25" customHeight="1">
      <c r="A1398" s="29" t="s">
        <v>373</v>
      </c>
      <c r="B1398" s="29">
        <v>81.0</v>
      </c>
      <c r="C1398" s="29" t="s">
        <v>608</v>
      </c>
      <c r="D1398" s="29" t="s">
        <v>923</v>
      </c>
      <c r="E1398" s="29">
        <v>229.0</v>
      </c>
      <c r="F1398" s="30" t="s">
        <v>924</v>
      </c>
      <c r="G1398" s="29" t="s">
        <v>615</v>
      </c>
      <c r="H1398" s="31">
        <v>3.5</v>
      </c>
      <c r="I1398" s="29" t="s">
        <v>616</v>
      </c>
      <c r="J1398" s="32" t="s">
        <v>598</v>
      </c>
      <c r="K1398" s="29" t="s">
        <v>599</v>
      </c>
      <c r="L1398" s="29" t="s">
        <v>915</v>
      </c>
      <c r="M1398" s="33">
        <v>-77.165</v>
      </c>
      <c r="N1398" s="33">
        <v>-1.02</v>
      </c>
      <c r="O1398" s="34" t="s">
        <v>641</v>
      </c>
      <c r="P1398" s="32" t="s">
        <v>602</v>
      </c>
      <c r="Q1398" s="35">
        <v>60.0</v>
      </c>
      <c r="R1398" s="35">
        <v>60.0</v>
      </c>
      <c r="S1398" s="36">
        <v>16.7</v>
      </c>
      <c r="T1398" s="36">
        <v>16.7</v>
      </c>
      <c r="U1398" s="36">
        <v>4.0866</v>
      </c>
      <c r="V1398" s="36">
        <v>4.0866</v>
      </c>
      <c r="W1398" s="37" t="s">
        <v>623</v>
      </c>
      <c r="X1398" s="31">
        <v>2.0</v>
      </c>
      <c r="Y1398" s="36">
        <v>2.5796466027220563E-4</v>
      </c>
      <c r="Z1398" s="36">
        <v>0.001996043787873355</v>
      </c>
      <c r="AA1398" s="29" t="s">
        <v>820</v>
      </c>
      <c r="AB1398" s="31">
        <v>0.268584609032</v>
      </c>
      <c r="AC1398" s="38">
        <v>1485.0</v>
      </c>
    </row>
    <row r="1399" ht="14.25" customHeight="1">
      <c r="A1399" s="29" t="s">
        <v>373</v>
      </c>
      <c r="B1399" s="29">
        <v>81.0</v>
      </c>
      <c r="C1399" s="29" t="s">
        <v>608</v>
      </c>
      <c r="D1399" s="29" t="s">
        <v>832</v>
      </c>
      <c r="E1399" s="29">
        <v>90.0</v>
      </c>
      <c r="F1399" s="30" t="s">
        <v>833</v>
      </c>
      <c r="G1399" s="29" t="s">
        <v>611</v>
      </c>
      <c r="H1399" s="31">
        <v>6.3</v>
      </c>
      <c r="I1399" s="29" t="s">
        <v>597</v>
      </c>
      <c r="J1399" s="32" t="s">
        <v>598</v>
      </c>
      <c r="K1399" s="29" t="s">
        <v>599</v>
      </c>
      <c r="L1399" s="29" t="s">
        <v>915</v>
      </c>
      <c r="M1399" s="33">
        <v>-77.165</v>
      </c>
      <c r="N1399" s="33">
        <v>-1.02</v>
      </c>
      <c r="O1399" s="34" t="s">
        <v>641</v>
      </c>
      <c r="P1399" s="32" t="s">
        <v>602</v>
      </c>
      <c r="Q1399" s="35">
        <v>60.0</v>
      </c>
      <c r="R1399" s="35">
        <v>60.0</v>
      </c>
      <c r="S1399" s="36">
        <v>0.0</v>
      </c>
      <c r="T1399" s="36">
        <v>36.8</v>
      </c>
      <c r="U1399" s="36">
        <v>0.0</v>
      </c>
      <c r="V1399" s="36">
        <v>6.0663</v>
      </c>
      <c r="W1399" s="37" t="s">
        <v>623</v>
      </c>
      <c r="X1399" s="31">
        <v>2.0</v>
      </c>
      <c r="Y1399" s="36">
        <v>-8.262558973010657</v>
      </c>
      <c r="Z1399" s="36">
        <v>0.01718316928521971</v>
      </c>
      <c r="AA1399" s="29" t="s">
        <v>820</v>
      </c>
      <c r="AB1399" s="31">
        <v>0.268584609032</v>
      </c>
      <c r="AC1399" s="38">
        <v>1485.0</v>
      </c>
    </row>
    <row r="1400" ht="14.25" customHeight="1">
      <c r="A1400" s="29" t="s">
        <v>373</v>
      </c>
      <c r="B1400" s="29">
        <v>81.0</v>
      </c>
      <c r="C1400" s="29" t="s">
        <v>608</v>
      </c>
      <c r="D1400" s="29" t="s">
        <v>677</v>
      </c>
      <c r="E1400" s="29">
        <v>100.0</v>
      </c>
      <c r="F1400" s="30" t="s">
        <v>678</v>
      </c>
      <c r="G1400" s="29" t="s">
        <v>626</v>
      </c>
      <c r="H1400" s="31">
        <v>22.8</v>
      </c>
      <c r="I1400" s="29" t="s">
        <v>612</v>
      </c>
      <c r="J1400" s="32" t="s">
        <v>598</v>
      </c>
      <c r="K1400" s="29" t="s">
        <v>599</v>
      </c>
      <c r="L1400" s="29" t="s">
        <v>915</v>
      </c>
      <c r="M1400" s="33">
        <v>-77.165</v>
      </c>
      <c r="N1400" s="33">
        <v>-1.02</v>
      </c>
      <c r="O1400" s="34" t="s">
        <v>641</v>
      </c>
      <c r="P1400" s="32" t="s">
        <v>602</v>
      </c>
      <c r="Q1400" s="35">
        <v>60.0</v>
      </c>
      <c r="R1400" s="35">
        <v>60.0</v>
      </c>
      <c r="S1400" s="36">
        <v>12.5</v>
      </c>
      <c r="T1400" s="36">
        <v>18.8</v>
      </c>
      <c r="U1400" s="36">
        <v>3.5355</v>
      </c>
      <c r="V1400" s="36">
        <v>4.3359</v>
      </c>
      <c r="W1400" s="37" t="s">
        <v>623</v>
      </c>
      <c r="X1400" s="31">
        <v>2.0</v>
      </c>
      <c r="Y1400" s="36">
        <v>-0.4077402718956221</v>
      </c>
      <c r="Z1400" s="36">
        <v>0.0022198339412471705</v>
      </c>
      <c r="AA1400" s="29" t="s">
        <v>820</v>
      </c>
      <c r="AB1400" s="31">
        <v>0.268584609032</v>
      </c>
      <c r="AC1400" s="38">
        <v>1485.0</v>
      </c>
    </row>
    <row r="1401" ht="14.25" customHeight="1">
      <c r="A1401" s="29" t="s">
        <v>373</v>
      </c>
      <c r="B1401" s="29">
        <v>81.0</v>
      </c>
      <c r="C1401" s="29" t="s">
        <v>608</v>
      </c>
      <c r="D1401" s="29" t="s">
        <v>681</v>
      </c>
      <c r="E1401" s="29">
        <v>216.0</v>
      </c>
      <c r="F1401" s="30" t="s">
        <v>682</v>
      </c>
      <c r="G1401" s="29" t="s">
        <v>615</v>
      </c>
      <c r="H1401" s="31">
        <v>0.6</v>
      </c>
      <c r="I1401" s="29" t="s">
        <v>616</v>
      </c>
      <c r="J1401" s="32" t="s">
        <v>598</v>
      </c>
      <c r="K1401" s="29" t="s">
        <v>599</v>
      </c>
      <c r="L1401" s="29" t="s">
        <v>915</v>
      </c>
      <c r="M1401" s="33">
        <v>-77.165</v>
      </c>
      <c r="N1401" s="33">
        <v>-1.02</v>
      </c>
      <c r="O1401" s="34" t="s">
        <v>641</v>
      </c>
      <c r="P1401" s="32" t="s">
        <v>602</v>
      </c>
      <c r="Q1401" s="35">
        <v>60.0</v>
      </c>
      <c r="R1401" s="35">
        <v>60.0</v>
      </c>
      <c r="S1401" s="36">
        <v>6.7</v>
      </c>
      <c r="T1401" s="36">
        <v>19.3</v>
      </c>
      <c r="U1401" s="36">
        <v>2.5884</v>
      </c>
      <c r="V1401" s="36">
        <v>4.3932</v>
      </c>
      <c r="W1401" s="37" t="s">
        <v>623</v>
      </c>
      <c r="X1401" s="31">
        <v>2.0</v>
      </c>
      <c r="Y1401" s="36">
        <v>-1.057254657457086</v>
      </c>
      <c r="Z1401" s="36">
        <v>0.003351060425638515</v>
      </c>
      <c r="AA1401" s="29" t="s">
        <v>820</v>
      </c>
      <c r="AB1401" s="31">
        <v>0.268584609032</v>
      </c>
      <c r="AC1401" s="38">
        <v>1485.0</v>
      </c>
    </row>
    <row r="1402" ht="14.25" customHeight="1">
      <c r="A1402" s="29" t="s">
        <v>373</v>
      </c>
      <c r="B1402" s="29">
        <v>81.0</v>
      </c>
      <c r="C1402" s="29" t="s">
        <v>608</v>
      </c>
      <c r="D1402" s="29" t="s">
        <v>630</v>
      </c>
      <c r="E1402" s="29">
        <v>129.0</v>
      </c>
      <c r="F1402" s="30" t="s">
        <v>631</v>
      </c>
      <c r="G1402" s="29" t="s">
        <v>626</v>
      </c>
      <c r="H1402" s="31">
        <v>21.27</v>
      </c>
      <c r="I1402" s="29" t="s">
        <v>612</v>
      </c>
      <c r="J1402" s="32" t="s">
        <v>598</v>
      </c>
      <c r="K1402" s="29" t="s">
        <v>599</v>
      </c>
      <c r="L1402" s="29" t="s">
        <v>915</v>
      </c>
      <c r="M1402" s="33">
        <v>-77.165</v>
      </c>
      <c r="N1402" s="33">
        <v>-1.02</v>
      </c>
      <c r="O1402" s="34" t="s">
        <v>641</v>
      </c>
      <c r="P1402" s="32" t="s">
        <v>602</v>
      </c>
      <c r="Q1402" s="35">
        <v>60.0</v>
      </c>
      <c r="R1402" s="35">
        <v>60.0</v>
      </c>
      <c r="S1402" s="36">
        <v>26.4</v>
      </c>
      <c r="T1402" s="36">
        <v>34.6</v>
      </c>
      <c r="U1402" s="36">
        <v>5.1381</v>
      </c>
      <c r="V1402" s="36">
        <v>5.8822</v>
      </c>
      <c r="W1402" s="37" t="s">
        <v>623</v>
      </c>
      <c r="X1402" s="31">
        <v>2.0</v>
      </c>
      <c r="Y1402" s="36">
        <v>-0.27015159540714306</v>
      </c>
      <c r="Z1402" s="36">
        <v>0.0011130142662721914</v>
      </c>
      <c r="AA1402" s="29" t="s">
        <v>820</v>
      </c>
      <c r="AB1402" s="31">
        <v>0.268584609032</v>
      </c>
      <c r="AC1402" s="38">
        <v>1485.0</v>
      </c>
    </row>
    <row r="1403" ht="14.25" customHeight="1">
      <c r="A1403" s="29" t="s">
        <v>373</v>
      </c>
      <c r="B1403" s="29">
        <v>81.0</v>
      </c>
      <c r="C1403" s="29" t="s">
        <v>608</v>
      </c>
      <c r="D1403" s="29" t="s">
        <v>834</v>
      </c>
      <c r="E1403" s="29">
        <v>141.0</v>
      </c>
      <c r="F1403" s="30" t="s">
        <v>835</v>
      </c>
      <c r="G1403" s="29" t="s">
        <v>611</v>
      </c>
      <c r="H1403" s="31">
        <v>1.54</v>
      </c>
      <c r="I1403" s="29" t="s">
        <v>616</v>
      </c>
      <c r="J1403" s="32" t="s">
        <v>598</v>
      </c>
      <c r="K1403" s="29" t="s">
        <v>599</v>
      </c>
      <c r="L1403" s="29" t="s">
        <v>915</v>
      </c>
      <c r="M1403" s="33">
        <v>-77.165</v>
      </c>
      <c r="N1403" s="33">
        <v>-1.02</v>
      </c>
      <c r="O1403" s="34" t="s">
        <v>641</v>
      </c>
      <c r="P1403" s="32" t="s">
        <v>602</v>
      </c>
      <c r="Q1403" s="35">
        <v>60.0</v>
      </c>
      <c r="R1403" s="35">
        <v>60.0</v>
      </c>
      <c r="S1403" s="36">
        <v>20.0</v>
      </c>
      <c r="T1403" s="36">
        <v>36.9</v>
      </c>
      <c r="U1403" s="36">
        <v>4.4721</v>
      </c>
      <c r="V1403" s="36">
        <v>6.0745</v>
      </c>
      <c r="W1403" s="37" t="s">
        <v>623</v>
      </c>
      <c r="X1403" s="31">
        <v>2.0</v>
      </c>
      <c r="Y1403" s="36">
        <v>-0.6120033845555488</v>
      </c>
      <c r="Z1403" s="36">
        <v>0.0012849856120034403</v>
      </c>
      <c r="AA1403" s="29" t="s">
        <v>820</v>
      </c>
      <c r="AB1403" s="31">
        <v>0.268584609032</v>
      </c>
      <c r="AC1403" s="38">
        <v>1485.0</v>
      </c>
    </row>
    <row r="1404" ht="14.25" customHeight="1">
      <c r="A1404" s="29" t="s">
        <v>373</v>
      </c>
      <c r="B1404" s="29">
        <v>81.0</v>
      </c>
      <c r="C1404" s="29" t="s">
        <v>608</v>
      </c>
      <c r="D1404" s="29" t="s">
        <v>687</v>
      </c>
      <c r="E1404" s="29">
        <v>217.0</v>
      </c>
      <c r="F1404" s="30" t="s">
        <v>688</v>
      </c>
      <c r="G1404" s="29" t="s">
        <v>629</v>
      </c>
      <c r="H1404" s="31">
        <v>3.0</v>
      </c>
      <c r="I1404" s="29" t="s">
        <v>597</v>
      </c>
      <c r="J1404" s="32" t="s">
        <v>598</v>
      </c>
      <c r="K1404" s="29" t="s">
        <v>599</v>
      </c>
      <c r="L1404" s="29" t="s">
        <v>915</v>
      </c>
      <c r="M1404" s="33">
        <v>-77.165</v>
      </c>
      <c r="N1404" s="33">
        <v>-1.02</v>
      </c>
      <c r="O1404" s="34" t="s">
        <v>641</v>
      </c>
      <c r="P1404" s="32" t="s">
        <v>602</v>
      </c>
      <c r="Q1404" s="35">
        <v>60.0</v>
      </c>
      <c r="R1404" s="35">
        <v>60.0</v>
      </c>
      <c r="S1404" s="36">
        <v>12.3</v>
      </c>
      <c r="T1404" s="36">
        <v>12.5</v>
      </c>
      <c r="U1404" s="36">
        <v>3.5071</v>
      </c>
      <c r="V1404" s="36">
        <v>3.5355</v>
      </c>
      <c r="W1404" s="37" t="s">
        <v>623</v>
      </c>
      <c r="X1404" s="31">
        <v>2.0</v>
      </c>
      <c r="Y1404" s="36">
        <v>-0.015867223272060502</v>
      </c>
      <c r="Z1404" s="36">
        <v>0.0026882938143768034</v>
      </c>
      <c r="AA1404" s="29" t="s">
        <v>820</v>
      </c>
      <c r="AB1404" s="31">
        <v>0.268584609032</v>
      </c>
      <c r="AC1404" s="38">
        <v>1485.0</v>
      </c>
    </row>
    <row r="1405" ht="14.25" customHeight="1">
      <c r="A1405" s="29" t="s">
        <v>373</v>
      </c>
      <c r="B1405" s="29">
        <v>81.0</v>
      </c>
      <c r="C1405" s="29" t="s">
        <v>608</v>
      </c>
      <c r="D1405" s="29" t="s">
        <v>691</v>
      </c>
      <c r="E1405" s="29">
        <v>170.0</v>
      </c>
      <c r="F1405" s="30" t="s">
        <v>692</v>
      </c>
      <c r="G1405" s="29" t="s">
        <v>611</v>
      </c>
      <c r="H1405" s="31">
        <v>0.74</v>
      </c>
      <c r="I1405" s="29" t="s">
        <v>616</v>
      </c>
      <c r="J1405" s="32" t="s">
        <v>598</v>
      </c>
      <c r="K1405" s="29" t="s">
        <v>599</v>
      </c>
      <c r="L1405" s="29" t="s">
        <v>915</v>
      </c>
      <c r="M1405" s="33">
        <v>-77.165</v>
      </c>
      <c r="N1405" s="33">
        <v>-1.02</v>
      </c>
      <c r="O1405" s="34" t="s">
        <v>641</v>
      </c>
      <c r="P1405" s="32" t="s">
        <v>602</v>
      </c>
      <c r="Q1405" s="35">
        <v>60.0</v>
      </c>
      <c r="R1405" s="35">
        <v>60.0</v>
      </c>
      <c r="S1405" s="36">
        <v>0.0</v>
      </c>
      <c r="T1405" s="36">
        <v>22.2</v>
      </c>
      <c r="U1405" s="36">
        <v>0.0</v>
      </c>
      <c r="V1405" s="36">
        <v>4.7117</v>
      </c>
      <c r="W1405" s="37" t="s">
        <v>623</v>
      </c>
      <c r="X1405" s="31">
        <v>2.0</v>
      </c>
      <c r="Y1405" s="36">
        <v>-8.262558973010657</v>
      </c>
      <c r="Z1405" s="36">
        <v>0.0175451951616242</v>
      </c>
      <c r="AA1405" s="29" t="s">
        <v>820</v>
      </c>
      <c r="AB1405" s="31">
        <v>0.268584609032</v>
      </c>
      <c r="AC1405" s="38">
        <v>1485.0</v>
      </c>
    </row>
    <row r="1406" ht="14.25" customHeight="1">
      <c r="A1406" s="29" t="s">
        <v>373</v>
      </c>
      <c r="B1406" s="29">
        <v>81.0</v>
      </c>
      <c r="C1406" s="29" t="s">
        <v>608</v>
      </c>
      <c r="D1406" s="29" t="s">
        <v>1279</v>
      </c>
      <c r="E1406" s="29">
        <v>175.0</v>
      </c>
      <c r="F1406" s="30" t="s">
        <v>1280</v>
      </c>
      <c r="G1406" s="29" t="s">
        <v>615</v>
      </c>
      <c r="H1406" s="31">
        <v>0.4</v>
      </c>
      <c r="I1406" s="29" t="s">
        <v>597</v>
      </c>
      <c r="J1406" s="32" t="s">
        <v>598</v>
      </c>
      <c r="K1406" s="29" t="s">
        <v>599</v>
      </c>
      <c r="L1406" s="29" t="s">
        <v>915</v>
      </c>
      <c r="M1406" s="33">
        <v>-77.165</v>
      </c>
      <c r="N1406" s="33">
        <v>-1.02</v>
      </c>
      <c r="O1406" s="34" t="s">
        <v>641</v>
      </c>
      <c r="P1406" s="32" t="s">
        <v>602</v>
      </c>
      <c r="Q1406" s="35">
        <v>60.0</v>
      </c>
      <c r="R1406" s="35">
        <v>60.0</v>
      </c>
      <c r="S1406" s="36">
        <v>16.7</v>
      </c>
      <c r="T1406" s="36">
        <v>18.8</v>
      </c>
      <c r="U1406" s="36">
        <v>4.0866</v>
      </c>
      <c r="V1406" s="36">
        <v>4.3359</v>
      </c>
      <c r="W1406" s="37" t="s">
        <v>623</v>
      </c>
      <c r="X1406" s="31">
        <v>2.0</v>
      </c>
      <c r="Y1406" s="36">
        <v>-0.11815775179270943</v>
      </c>
      <c r="Z1406" s="36">
        <v>0.001884548075183848</v>
      </c>
      <c r="AA1406" s="29" t="s">
        <v>820</v>
      </c>
      <c r="AB1406" s="31">
        <v>0.268584609032</v>
      </c>
      <c r="AC1406" s="38">
        <v>1485.0</v>
      </c>
    </row>
    <row r="1407" ht="14.25" customHeight="1">
      <c r="A1407" s="29" t="s">
        <v>378</v>
      </c>
      <c r="B1407" s="29">
        <v>14.0</v>
      </c>
      <c r="C1407" s="29" t="s">
        <v>608</v>
      </c>
      <c r="D1407" s="29" t="s">
        <v>1064</v>
      </c>
      <c r="E1407" s="29">
        <v>18.0</v>
      </c>
      <c r="F1407" s="30" t="s">
        <v>1065</v>
      </c>
      <c r="G1407" s="29" t="s">
        <v>615</v>
      </c>
      <c r="H1407" s="31">
        <v>1.93</v>
      </c>
      <c r="I1407" s="29" t="s">
        <v>612</v>
      </c>
      <c r="J1407" s="32" t="s">
        <v>642</v>
      </c>
      <c r="K1407" s="29" t="s">
        <v>698</v>
      </c>
      <c r="L1407" s="29" t="s">
        <v>910</v>
      </c>
      <c r="M1407" s="33">
        <v>12.48</v>
      </c>
      <c r="N1407" s="33">
        <v>3.06</v>
      </c>
      <c r="O1407" s="34" t="s">
        <v>601</v>
      </c>
      <c r="P1407" s="32" t="s">
        <v>602</v>
      </c>
      <c r="Q1407" s="35">
        <v>31.0</v>
      </c>
      <c r="R1407" s="35">
        <v>13.0</v>
      </c>
      <c r="S1407" s="36">
        <v>0.74</v>
      </c>
      <c r="T1407" s="36">
        <v>0.77</v>
      </c>
      <c r="U1407" s="36">
        <v>4.9553</v>
      </c>
      <c r="V1407" s="36">
        <v>3.6416</v>
      </c>
      <c r="W1407" s="37" t="s">
        <v>1281</v>
      </c>
      <c r="X1407" s="31">
        <v>1.5</v>
      </c>
      <c r="Y1407" s="36">
        <v>-0.03947190736592947</v>
      </c>
      <c r="Z1407" s="36">
        <v>3.1670076004208476</v>
      </c>
      <c r="AA1407" s="29" t="s">
        <v>820</v>
      </c>
      <c r="AB1407" s="31">
        <v>5.58730459213</v>
      </c>
      <c r="AC1407" s="38">
        <v>233.0</v>
      </c>
    </row>
    <row r="1408" ht="14.25" customHeight="1">
      <c r="A1408" s="29" t="s">
        <v>378</v>
      </c>
      <c r="B1408" s="29">
        <v>14.0</v>
      </c>
      <c r="C1408" s="29" t="s">
        <v>608</v>
      </c>
      <c r="D1408" s="29" t="s">
        <v>1064</v>
      </c>
      <c r="E1408" s="29">
        <v>18.0</v>
      </c>
      <c r="F1408" s="30" t="s">
        <v>1065</v>
      </c>
      <c r="G1408" s="29" t="s">
        <v>615</v>
      </c>
      <c r="H1408" s="31">
        <v>1.93</v>
      </c>
      <c r="I1408" s="29" t="s">
        <v>612</v>
      </c>
      <c r="J1408" s="32" t="s">
        <v>642</v>
      </c>
      <c r="K1408" s="29" t="s">
        <v>698</v>
      </c>
      <c r="L1408" s="29" t="s">
        <v>910</v>
      </c>
      <c r="M1408" s="33">
        <v>12.48</v>
      </c>
      <c r="N1408" s="33">
        <v>3.06</v>
      </c>
      <c r="O1408" s="34" t="s">
        <v>601</v>
      </c>
      <c r="P1408" s="32" t="s">
        <v>602</v>
      </c>
      <c r="Q1408" s="35">
        <v>19.0</v>
      </c>
      <c r="R1408" s="35">
        <v>13.0</v>
      </c>
      <c r="S1408" s="36">
        <v>1.16</v>
      </c>
      <c r="T1408" s="36">
        <v>0.77</v>
      </c>
      <c r="U1408" s="36">
        <v>4.664</v>
      </c>
      <c r="V1408" s="36">
        <v>3.6416</v>
      </c>
      <c r="W1408" s="37" t="s">
        <v>1281</v>
      </c>
      <c r="X1408" s="31">
        <v>15.0</v>
      </c>
      <c r="Y1408" s="36">
        <v>0.4099560118404634</v>
      </c>
      <c r="Z1408" s="36">
        <v>2.571359039139639</v>
      </c>
      <c r="AA1408" s="29" t="s">
        <v>820</v>
      </c>
      <c r="AB1408" s="31">
        <v>5.58730459213</v>
      </c>
      <c r="AC1408" s="38">
        <v>233.0</v>
      </c>
    </row>
    <row r="1409" ht="14.25" customHeight="1">
      <c r="A1409" s="29" t="s">
        <v>378</v>
      </c>
      <c r="B1409" s="29">
        <v>14.0</v>
      </c>
      <c r="C1409" s="29" t="s">
        <v>608</v>
      </c>
      <c r="D1409" s="29" t="s">
        <v>1064</v>
      </c>
      <c r="E1409" s="29">
        <v>18.0</v>
      </c>
      <c r="F1409" s="30" t="s">
        <v>1065</v>
      </c>
      <c r="G1409" s="29" t="s">
        <v>615</v>
      </c>
      <c r="H1409" s="31">
        <v>1.93</v>
      </c>
      <c r="I1409" s="29" t="s">
        <v>612</v>
      </c>
      <c r="J1409" s="32" t="s">
        <v>642</v>
      </c>
      <c r="K1409" s="29" t="s">
        <v>698</v>
      </c>
      <c r="L1409" s="29" t="s">
        <v>910</v>
      </c>
      <c r="M1409" s="33">
        <v>12.48</v>
      </c>
      <c r="N1409" s="33">
        <v>3.06</v>
      </c>
      <c r="O1409" s="34" t="s">
        <v>601</v>
      </c>
      <c r="P1409" s="32" t="s">
        <v>602</v>
      </c>
      <c r="Q1409" s="35">
        <v>27.0</v>
      </c>
      <c r="R1409" s="35">
        <v>13.0</v>
      </c>
      <c r="S1409" s="36">
        <v>0.74</v>
      </c>
      <c r="T1409" s="36">
        <v>0.77</v>
      </c>
      <c r="U1409" s="36">
        <v>5.3001</v>
      </c>
      <c r="V1409" s="36">
        <v>3.6416</v>
      </c>
      <c r="W1409" s="37" t="s">
        <v>1281</v>
      </c>
      <c r="X1409" s="31">
        <v>30.0</v>
      </c>
      <c r="Y1409" s="36">
        <v>-0.03947190736592947</v>
      </c>
      <c r="Z1409" s="36">
        <v>3.620464352464958</v>
      </c>
      <c r="AA1409" s="29" t="s">
        <v>820</v>
      </c>
      <c r="AB1409" s="31">
        <v>5.58730459213</v>
      </c>
      <c r="AC1409" s="38">
        <v>233.0</v>
      </c>
    </row>
    <row r="1410" ht="14.25" customHeight="1">
      <c r="A1410" s="29" t="s">
        <v>378</v>
      </c>
      <c r="B1410" s="29">
        <v>14.0</v>
      </c>
      <c r="C1410" s="29" t="s">
        <v>608</v>
      </c>
      <c r="D1410" s="29" t="s">
        <v>935</v>
      </c>
      <c r="E1410" s="29">
        <v>35.0</v>
      </c>
      <c r="F1410" s="30" t="s">
        <v>936</v>
      </c>
      <c r="G1410" s="29" t="s">
        <v>626</v>
      </c>
      <c r="H1410" s="31">
        <v>16.74</v>
      </c>
      <c r="I1410" s="29" t="s">
        <v>612</v>
      </c>
      <c r="J1410" s="32" t="s">
        <v>642</v>
      </c>
      <c r="K1410" s="29" t="s">
        <v>698</v>
      </c>
      <c r="L1410" s="29" t="s">
        <v>910</v>
      </c>
      <c r="M1410" s="33">
        <v>12.48</v>
      </c>
      <c r="N1410" s="33">
        <v>3.06</v>
      </c>
      <c r="O1410" s="34" t="s">
        <v>601</v>
      </c>
      <c r="P1410" s="32" t="s">
        <v>602</v>
      </c>
      <c r="Q1410" s="35">
        <v>31.0</v>
      </c>
      <c r="R1410" s="35">
        <v>13.0</v>
      </c>
      <c r="S1410" s="36">
        <v>3.97</v>
      </c>
      <c r="T1410" s="36">
        <v>6.15</v>
      </c>
      <c r="U1410" s="36">
        <v>12.5831</v>
      </c>
      <c r="V1410" s="36">
        <v>11.5738</v>
      </c>
      <c r="W1410" s="37" t="s">
        <v>1281</v>
      </c>
      <c r="X1410" s="31">
        <v>1.5</v>
      </c>
      <c r="Y1410" s="36">
        <v>-0.43728639761912086</v>
      </c>
      <c r="Z1410" s="36">
        <v>0.5964974965353703</v>
      </c>
      <c r="AA1410" s="29" t="s">
        <v>820</v>
      </c>
      <c r="AB1410" s="31">
        <v>5.58730459213</v>
      </c>
      <c r="AC1410" s="38">
        <v>233.0</v>
      </c>
    </row>
    <row r="1411" ht="14.25" customHeight="1">
      <c r="A1411" s="29" t="s">
        <v>378</v>
      </c>
      <c r="B1411" s="29">
        <v>14.0</v>
      </c>
      <c r="C1411" s="29" t="s">
        <v>608</v>
      </c>
      <c r="D1411" s="29" t="s">
        <v>935</v>
      </c>
      <c r="E1411" s="29">
        <v>35.0</v>
      </c>
      <c r="F1411" s="30" t="s">
        <v>936</v>
      </c>
      <c r="G1411" s="29" t="s">
        <v>626</v>
      </c>
      <c r="H1411" s="31">
        <v>16.74</v>
      </c>
      <c r="I1411" s="29" t="s">
        <v>612</v>
      </c>
      <c r="J1411" s="32" t="s">
        <v>642</v>
      </c>
      <c r="K1411" s="29" t="s">
        <v>698</v>
      </c>
      <c r="L1411" s="29" t="s">
        <v>910</v>
      </c>
      <c r="M1411" s="33">
        <v>12.48</v>
      </c>
      <c r="N1411" s="33">
        <v>3.06</v>
      </c>
      <c r="O1411" s="34" t="s">
        <v>601</v>
      </c>
      <c r="P1411" s="32" t="s">
        <v>602</v>
      </c>
      <c r="Q1411" s="35">
        <v>19.0</v>
      </c>
      <c r="R1411" s="35">
        <v>13.0</v>
      </c>
      <c r="S1411" s="36">
        <v>5.11</v>
      </c>
      <c r="T1411" s="36">
        <v>6.15</v>
      </c>
      <c r="U1411" s="36">
        <v>10.9844</v>
      </c>
      <c r="V1411" s="36">
        <v>11.5738</v>
      </c>
      <c r="W1411" s="37" t="s">
        <v>1281</v>
      </c>
      <c r="X1411" s="31">
        <v>15.0</v>
      </c>
      <c r="Y1411" s="36">
        <v>-0.18494221947771314</v>
      </c>
      <c r="Z1411" s="36">
        <v>0.5156286291880068</v>
      </c>
      <c r="AA1411" s="29" t="s">
        <v>820</v>
      </c>
      <c r="AB1411" s="31">
        <v>5.58730459213</v>
      </c>
      <c r="AC1411" s="38">
        <v>233.0</v>
      </c>
    </row>
    <row r="1412" ht="14.25" customHeight="1">
      <c r="A1412" s="29" t="s">
        <v>378</v>
      </c>
      <c r="B1412" s="29">
        <v>14.0</v>
      </c>
      <c r="C1412" s="29" t="s">
        <v>608</v>
      </c>
      <c r="D1412" s="29" t="s">
        <v>935</v>
      </c>
      <c r="E1412" s="29">
        <v>35.0</v>
      </c>
      <c r="F1412" s="30" t="s">
        <v>936</v>
      </c>
      <c r="G1412" s="29" t="s">
        <v>626</v>
      </c>
      <c r="H1412" s="31">
        <v>16.74</v>
      </c>
      <c r="I1412" s="29" t="s">
        <v>612</v>
      </c>
      <c r="J1412" s="32" t="s">
        <v>642</v>
      </c>
      <c r="K1412" s="29" t="s">
        <v>698</v>
      </c>
      <c r="L1412" s="29" t="s">
        <v>910</v>
      </c>
      <c r="M1412" s="33">
        <v>12.48</v>
      </c>
      <c r="N1412" s="33">
        <v>3.06</v>
      </c>
      <c r="O1412" s="34" t="s">
        <v>601</v>
      </c>
      <c r="P1412" s="32" t="s">
        <v>602</v>
      </c>
      <c r="Q1412" s="35">
        <v>27.0</v>
      </c>
      <c r="R1412" s="35">
        <v>13.0</v>
      </c>
      <c r="S1412" s="36">
        <v>5.74</v>
      </c>
      <c r="T1412" s="36">
        <v>6.15</v>
      </c>
      <c r="U1412" s="36">
        <v>12.2629</v>
      </c>
      <c r="V1412" s="36">
        <v>11.5738</v>
      </c>
      <c r="W1412" s="37" t="s">
        <v>1281</v>
      </c>
      <c r="X1412" s="31">
        <v>30.0</v>
      </c>
      <c r="Y1412" s="36">
        <v>-0.06871648332566081</v>
      </c>
      <c r="Z1412" s="36">
        <v>0.4414757887330998</v>
      </c>
      <c r="AA1412" s="29" t="s">
        <v>820</v>
      </c>
      <c r="AB1412" s="31">
        <v>5.58730459213</v>
      </c>
      <c r="AC1412" s="38">
        <v>233.0</v>
      </c>
    </row>
    <row r="1413" ht="14.25" customHeight="1">
      <c r="A1413" s="29" t="s">
        <v>378</v>
      </c>
      <c r="B1413" s="29">
        <v>14.0</v>
      </c>
      <c r="C1413" s="29" t="s">
        <v>608</v>
      </c>
      <c r="D1413" s="29" t="s">
        <v>1053</v>
      </c>
      <c r="E1413" s="29">
        <v>41.0</v>
      </c>
      <c r="F1413" s="30" t="s">
        <v>1054</v>
      </c>
      <c r="G1413" s="29" t="s">
        <v>626</v>
      </c>
      <c r="H1413" s="31">
        <v>72.5</v>
      </c>
      <c r="I1413" s="29" t="s">
        <v>612</v>
      </c>
      <c r="J1413" s="32" t="s">
        <v>642</v>
      </c>
      <c r="K1413" s="29" t="s">
        <v>698</v>
      </c>
      <c r="L1413" s="29" t="s">
        <v>910</v>
      </c>
      <c r="M1413" s="33">
        <v>12.48</v>
      </c>
      <c r="N1413" s="33">
        <v>3.06</v>
      </c>
      <c r="O1413" s="34" t="s">
        <v>601</v>
      </c>
      <c r="P1413" s="32" t="s">
        <v>602</v>
      </c>
      <c r="Q1413" s="35">
        <v>31.0</v>
      </c>
      <c r="R1413" s="35">
        <v>13.0</v>
      </c>
      <c r="S1413" s="36">
        <v>1.48</v>
      </c>
      <c r="T1413" s="36">
        <v>1.92</v>
      </c>
      <c r="U1413" s="36">
        <v>10.7458</v>
      </c>
      <c r="V1413" s="36">
        <v>9.6989</v>
      </c>
      <c r="W1413" s="37" t="s">
        <v>1281</v>
      </c>
      <c r="X1413" s="31">
        <v>1.5</v>
      </c>
      <c r="Y1413" s="36">
        <v>-0.2599484542381224</v>
      </c>
      <c r="Z1413" s="36">
        <v>3.6634660760694207</v>
      </c>
      <c r="AA1413" s="29" t="s">
        <v>820</v>
      </c>
      <c r="AB1413" s="31">
        <v>5.58730459213</v>
      </c>
      <c r="AC1413" s="38">
        <v>233.0</v>
      </c>
    </row>
    <row r="1414" ht="14.25" customHeight="1">
      <c r="A1414" s="29" t="s">
        <v>378</v>
      </c>
      <c r="B1414" s="29">
        <v>14.0</v>
      </c>
      <c r="C1414" s="29" t="s">
        <v>608</v>
      </c>
      <c r="D1414" s="29" t="s">
        <v>1053</v>
      </c>
      <c r="E1414" s="29">
        <v>41.0</v>
      </c>
      <c r="F1414" s="30" t="s">
        <v>1054</v>
      </c>
      <c r="G1414" s="29" t="s">
        <v>626</v>
      </c>
      <c r="H1414" s="31">
        <v>72.5</v>
      </c>
      <c r="I1414" s="29" t="s">
        <v>612</v>
      </c>
      <c r="J1414" s="32" t="s">
        <v>642</v>
      </c>
      <c r="K1414" s="29" t="s">
        <v>698</v>
      </c>
      <c r="L1414" s="29" t="s">
        <v>910</v>
      </c>
      <c r="M1414" s="33">
        <v>12.48</v>
      </c>
      <c r="N1414" s="33">
        <v>3.06</v>
      </c>
      <c r="O1414" s="34" t="s">
        <v>601</v>
      </c>
      <c r="P1414" s="32" t="s">
        <v>602</v>
      </c>
      <c r="Q1414" s="35">
        <v>19.0</v>
      </c>
      <c r="R1414" s="35">
        <v>13.0</v>
      </c>
      <c r="S1414" s="36">
        <v>1.371</v>
      </c>
      <c r="T1414" s="36">
        <v>1.92</v>
      </c>
      <c r="U1414" s="36">
        <v>2.3102</v>
      </c>
      <c r="V1414" s="36">
        <v>9.6989</v>
      </c>
      <c r="W1414" s="37" t="s">
        <v>1281</v>
      </c>
      <c r="X1414" s="31">
        <v>15.0</v>
      </c>
      <c r="Y1414" s="36">
        <v>-0.33642354069645547</v>
      </c>
      <c r="Z1414" s="36">
        <v>2.1123457262911165</v>
      </c>
      <c r="AA1414" s="29" t="s">
        <v>820</v>
      </c>
      <c r="AB1414" s="31">
        <v>5.58730459213</v>
      </c>
      <c r="AC1414" s="38">
        <v>233.0</v>
      </c>
    </row>
    <row r="1415" ht="14.25" customHeight="1">
      <c r="A1415" s="29" t="s">
        <v>378</v>
      </c>
      <c r="B1415" s="29">
        <v>14.0</v>
      </c>
      <c r="C1415" s="29" t="s">
        <v>608</v>
      </c>
      <c r="D1415" s="29" t="s">
        <v>1053</v>
      </c>
      <c r="E1415" s="29">
        <v>41.0</v>
      </c>
      <c r="F1415" s="30" t="s">
        <v>1054</v>
      </c>
      <c r="G1415" s="29" t="s">
        <v>626</v>
      </c>
      <c r="H1415" s="31">
        <v>72.5</v>
      </c>
      <c r="I1415" s="29" t="s">
        <v>612</v>
      </c>
      <c r="J1415" s="32" t="s">
        <v>642</v>
      </c>
      <c r="K1415" s="29" t="s">
        <v>698</v>
      </c>
      <c r="L1415" s="29" t="s">
        <v>910</v>
      </c>
      <c r="M1415" s="33">
        <v>12.48</v>
      </c>
      <c r="N1415" s="33">
        <v>3.06</v>
      </c>
      <c r="O1415" s="34" t="s">
        <v>601</v>
      </c>
      <c r="P1415" s="32" t="s">
        <v>602</v>
      </c>
      <c r="Q1415" s="35">
        <v>27.0</v>
      </c>
      <c r="R1415" s="35">
        <v>13.0</v>
      </c>
      <c r="S1415" s="36">
        <v>1.52</v>
      </c>
      <c r="T1415" s="36">
        <v>1.92</v>
      </c>
      <c r="U1415" s="36">
        <v>7.2746</v>
      </c>
      <c r="V1415" s="36">
        <v>9.6989</v>
      </c>
      <c r="W1415" s="37" t="s">
        <v>1281</v>
      </c>
      <c r="X1415" s="31">
        <v>30.0</v>
      </c>
      <c r="Y1415" s="36">
        <v>-0.23328901214310568</v>
      </c>
      <c r="Z1415" s="36">
        <v>2.811239249025549</v>
      </c>
      <c r="AA1415" s="29" t="s">
        <v>820</v>
      </c>
      <c r="AB1415" s="31">
        <v>5.58730459213</v>
      </c>
      <c r="AC1415" s="38">
        <v>233.0</v>
      </c>
    </row>
    <row r="1416" ht="14.25" customHeight="1">
      <c r="A1416" s="29" t="s">
        <v>378</v>
      </c>
      <c r="B1416" s="29">
        <v>14.0</v>
      </c>
      <c r="C1416" s="29" t="s">
        <v>608</v>
      </c>
      <c r="D1416" s="29" t="s">
        <v>939</v>
      </c>
      <c r="E1416" s="29">
        <v>45.0</v>
      </c>
      <c r="F1416" s="30" t="s">
        <v>940</v>
      </c>
      <c r="G1416" s="29" t="s">
        <v>611</v>
      </c>
      <c r="H1416" s="31">
        <v>3.48</v>
      </c>
      <c r="I1416" s="29" t="s">
        <v>597</v>
      </c>
      <c r="J1416" s="32" t="s">
        <v>642</v>
      </c>
      <c r="K1416" s="29" t="s">
        <v>698</v>
      </c>
      <c r="L1416" s="29" t="s">
        <v>910</v>
      </c>
      <c r="M1416" s="33">
        <v>12.48</v>
      </c>
      <c r="N1416" s="33">
        <v>3.06</v>
      </c>
      <c r="O1416" s="34" t="s">
        <v>601</v>
      </c>
      <c r="P1416" s="32" t="s">
        <v>602</v>
      </c>
      <c r="Q1416" s="35">
        <v>31.0</v>
      </c>
      <c r="R1416" s="35">
        <v>13.0</v>
      </c>
      <c r="S1416" s="36">
        <v>1.71</v>
      </c>
      <c r="T1416" s="36">
        <v>0.69</v>
      </c>
      <c r="U1416" s="36">
        <v>9.1311</v>
      </c>
      <c r="V1416" s="36">
        <v>3.0647</v>
      </c>
      <c r="W1416" s="37" t="s">
        <v>1281</v>
      </c>
      <c r="X1416" s="31">
        <v>1.5</v>
      </c>
      <c r="Y1416" s="36">
        <v>0.9076611509172329</v>
      </c>
      <c r="Z1416" s="36">
        <v>2.4373175520229995</v>
      </c>
      <c r="AA1416" s="29" t="s">
        <v>820</v>
      </c>
      <c r="AB1416" s="31">
        <v>5.58730459213</v>
      </c>
      <c r="AC1416" s="38">
        <v>233.0</v>
      </c>
    </row>
    <row r="1417" ht="14.25" customHeight="1">
      <c r="A1417" s="29" t="s">
        <v>378</v>
      </c>
      <c r="B1417" s="29">
        <v>14.0</v>
      </c>
      <c r="C1417" s="29" t="s">
        <v>608</v>
      </c>
      <c r="D1417" s="29" t="s">
        <v>939</v>
      </c>
      <c r="E1417" s="29">
        <v>45.0</v>
      </c>
      <c r="F1417" s="30" t="s">
        <v>940</v>
      </c>
      <c r="G1417" s="29" t="s">
        <v>611</v>
      </c>
      <c r="H1417" s="31">
        <v>3.48</v>
      </c>
      <c r="I1417" s="29" t="s">
        <v>597</v>
      </c>
      <c r="J1417" s="32" t="s">
        <v>642</v>
      </c>
      <c r="K1417" s="29" t="s">
        <v>698</v>
      </c>
      <c r="L1417" s="29" t="s">
        <v>910</v>
      </c>
      <c r="M1417" s="33">
        <v>12.48</v>
      </c>
      <c r="N1417" s="33">
        <v>3.06</v>
      </c>
      <c r="O1417" s="34" t="s">
        <v>601</v>
      </c>
      <c r="P1417" s="32" t="s">
        <v>602</v>
      </c>
      <c r="Q1417" s="35">
        <v>19.0</v>
      </c>
      <c r="R1417" s="35">
        <v>13.0</v>
      </c>
      <c r="S1417" s="36">
        <v>1.21</v>
      </c>
      <c r="T1417" s="36">
        <v>0.69</v>
      </c>
      <c r="U1417" s="36">
        <v>5.1435</v>
      </c>
      <c r="V1417" s="36">
        <v>3.0647</v>
      </c>
      <c r="W1417" s="37" t="s">
        <v>1281</v>
      </c>
      <c r="X1417" s="31">
        <v>15.0</v>
      </c>
      <c r="Y1417" s="36">
        <v>0.5618311529679454</v>
      </c>
      <c r="Z1417" s="36">
        <v>2.468547584592886</v>
      </c>
      <c r="AA1417" s="29" t="s">
        <v>820</v>
      </c>
      <c r="AB1417" s="31">
        <v>5.58730459213</v>
      </c>
      <c r="AC1417" s="38">
        <v>233.0</v>
      </c>
    </row>
    <row r="1418" ht="14.25" customHeight="1">
      <c r="A1418" s="29" t="s">
        <v>378</v>
      </c>
      <c r="B1418" s="29">
        <v>14.0</v>
      </c>
      <c r="C1418" s="29" t="s">
        <v>608</v>
      </c>
      <c r="D1418" s="29" t="s">
        <v>939</v>
      </c>
      <c r="E1418" s="29">
        <v>45.0</v>
      </c>
      <c r="F1418" s="30" t="s">
        <v>940</v>
      </c>
      <c r="G1418" s="29" t="s">
        <v>611</v>
      </c>
      <c r="H1418" s="31">
        <v>3.48</v>
      </c>
      <c r="I1418" s="29" t="s">
        <v>597</v>
      </c>
      <c r="J1418" s="32" t="s">
        <v>642</v>
      </c>
      <c r="K1418" s="29" t="s">
        <v>698</v>
      </c>
      <c r="L1418" s="29" t="s">
        <v>910</v>
      </c>
      <c r="M1418" s="33">
        <v>12.48</v>
      </c>
      <c r="N1418" s="33">
        <v>3.06</v>
      </c>
      <c r="O1418" s="34" t="s">
        <v>601</v>
      </c>
      <c r="P1418" s="32" t="s">
        <v>602</v>
      </c>
      <c r="Q1418" s="35">
        <v>27.0</v>
      </c>
      <c r="R1418" s="35">
        <v>13.0</v>
      </c>
      <c r="S1418" s="36">
        <v>1.72</v>
      </c>
      <c r="T1418" s="36">
        <v>0.69</v>
      </c>
      <c r="U1418" s="36">
        <v>6.807</v>
      </c>
      <c r="V1418" s="36">
        <v>3.0647</v>
      </c>
      <c r="W1418" s="37" t="s">
        <v>1281</v>
      </c>
      <c r="X1418" s="31">
        <v>30.0</v>
      </c>
      <c r="Y1418" s="36">
        <v>0.9134914660325305</v>
      </c>
      <c r="Z1418" s="36">
        <v>2.0976038697104817</v>
      </c>
      <c r="AA1418" s="29" t="s">
        <v>820</v>
      </c>
      <c r="AB1418" s="31">
        <v>5.58730459213</v>
      </c>
      <c r="AC1418" s="38">
        <v>233.0</v>
      </c>
    </row>
    <row r="1419" ht="14.25" customHeight="1">
      <c r="A1419" s="29" t="s">
        <v>378</v>
      </c>
      <c r="B1419" s="29">
        <v>14.0</v>
      </c>
      <c r="C1419" s="29" t="s">
        <v>608</v>
      </c>
      <c r="D1419" s="29" t="s">
        <v>941</v>
      </c>
      <c r="E1419" s="29">
        <v>48.0</v>
      </c>
      <c r="F1419" s="30" t="s">
        <v>942</v>
      </c>
      <c r="G1419" s="29" t="s">
        <v>611</v>
      </c>
      <c r="H1419" s="31">
        <v>5.8</v>
      </c>
      <c r="I1419" s="29" t="s">
        <v>597</v>
      </c>
      <c r="J1419" s="32" t="s">
        <v>642</v>
      </c>
      <c r="K1419" s="29" t="s">
        <v>698</v>
      </c>
      <c r="L1419" s="29" t="s">
        <v>910</v>
      </c>
      <c r="M1419" s="33">
        <v>12.48</v>
      </c>
      <c r="N1419" s="33">
        <v>3.06</v>
      </c>
      <c r="O1419" s="34" t="s">
        <v>601</v>
      </c>
      <c r="P1419" s="32" t="s">
        <v>602</v>
      </c>
      <c r="Q1419" s="35">
        <v>31.0</v>
      </c>
      <c r="R1419" s="35">
        <v>13.0</v>
      </c>
      <c r="S1419" s="36">
        <v>1.55</v>
      </c>
      <c r="T1419" s="36">
        <v>1.61</v>
      </c>
      <c r="U1419" s="36">
        <v>8.8527</v>
      </c>
      <c r="V1419" s="36">
        <v>5.4083</v>
      </c>
      <c r="W1419" s="37" t="s">
        <v>1281</v>
      </c>
      <c r="X1419" s="31">
        <v>1.5</v>
      </c>
      <c r="Y1419" s="36">
        <v>-0.03771129901387542</v>
      </c>
      <c r="Z1419" s="36">
        <v>1.9202815263635244</v>
      </c>
      <c r="AA1419" s="29" t="s">
        <v>820</v>
      </c>
      <c r="AB1419" s="31">
        <v>5.58730459213</v>
      </c>
      <c r="AC1419" s="38">
        <v>233.0</v>
      </c>
    </row>
    <row r="1420" ht="14.25" customHeight="1">
      <c r="A1420" s="29" t="s">
        <v>378</v>
      </c>
      <c r="B1420" s="29">
        <v>14.0</v>
      </c>
      <c r="C1420" s="29" t="s">
        <v>608</v>
      </c>
      <c r="D1420" s="29" t="s">
        <v>941</v>
      </c>
      <c r="E1420" s="29">
        <v>48.0</v>
      </c>
      <c r="F1420" s="30" t="s">
        <v>942</v>
      </c>
      <c r="G1420" s="29" t="s">
        <v>611</v>
      </c>
      <c r="H1420" s="31">
        <v>5.8</v>
      </c>
      <c r="I1420" s="29" t="s">
        <v>597</v>
      </c>
      <c r="J1420" s="32" t="s">
        <v>642</v>
      </c>
      <c r="K1420" s="29" t="s">
        <v>698</v>
      </c>
      <c r="L1420" s="29" t="s">
        <v>910</v>
      </c>
      <c r="M1420" s="33">
        <v>12.48</v>
      </c>
      <c r="N1420" s="33">
        <v>3.06</v>
      </c>
      <c r="O1420" s="34" t="s">
        <v>601</v>
      </c>
      <c r="P1420" s="32" t="s">
        <v>602</v>
      </c>
      <c r="Q1420" s="35">
        <v>19.0</v>
      </c>
      <c r="R1420" s="35">
        <v>13.0</v>
      </c>
      <c r="S1420" s="36">
        <v>1.74</v>
      </c>
      <c r="T1420" s="36">
        <v>1.61</v>
      </c>
      <c r="U1420" s="36">
        <v>6.3204</v>
      </c>
      <c r="V1420" s="36">
        <v>5.4083</v>
      </c>
      <c r="W1420" s="37" t="s">
        <v>1281</v>
      </c>
      <c r="X1420" s="31">
        <v>15.0</v>
      </c>
      <c r="Y1420" s="36">
        <v>0.07788962796860188</v>
      </c>
      <c r="Z1420" s="36">
        <v>1.5624571104118696</v>
      </c>
      <c r="AA1420" s="29" t="s">
        <v>820</v>
      </c>
      <c r="AB1420" s="31">
        <v>5.58730459213</v>
      </c>
      <c r="AC1420" s="38">
        <v>233.0</v>
      </c>
    </row>
    <row r="1421" ht="14.25" customHeight="1">
      <c r="A1421" s="29" t="s">
        <v>378</v>
      </c>
      <c r="B1421" s="29">
        <v>14.0</v>
      </c>
      <c r="C1421" s="29" t="s">
        <v>608</v>
      </c>
      <c r="D1421" s="29" t="s">
        <v>941</v>
      </c>
      <c r="E1421" s="29">
        <v>48.0</v>
      </c>
      <c r="F1421" s="30" t="s">
        <v>942</v>
      </c>
      <c r="G1421" s="29" t="s">
        <v>611</v>
      </c>
      <c r="H1421" s="31">
        <v>5.8</v>
      </c>
      <c r="I1421" s="29" t="s">
        <v>597</v>
      </c>
      <c r="J1421" s="32" t="s">
        <v>642</v>
      </c>
      <c r="K1421" s="29" t="s">
        <v>698</v>
      </c>
      <c r="L1421" s="29" t="s">
        <v>910</v>
      </c>
      <c r="M1421" s="33">
        <v>12.48</v>
      </c>
      <c r="N1421" s="33">
        <v>3.06</v>
      </c>
      <c r="O1421" s="34" t="s">
        <v>601</v>
      </c>
      <c r="P1421" s="32" t="s">
        <v>602</v>
      </c>
      <c r="Q1421" s="35">
        <v>27.0</v>
      </c>
      <c r="R1421" s="35">
        <v>13.0</v>
      </c>
      <c r="S1421" s="36">
        <v>1.88</v>
      </c>
      <c r="T1421" s="36">
        <v>1.61</v>
      </c>
      <c r="U1421" s="36">
        <v>8.106</v>
      </c>
      <c r="V1421" s="36">
        <v>5.4083</v>
      </c>
      <c r="W1421" s="37" t="s">
        <v>1281</v>
      </c>
      <c r="X1421" s="31">
        <v>30.0</v>
      </c>
      <c r="Y1421" s="36">
        <v>0.15525851848167557</v>
      </c>
      <c r="Z1421" s="36">
        <v>1.5565606591034036</v>
      </c>
      <c r="AA1421" s="29" t="s">
        <v>820</v>
      </c>
      <c r="AB1421" s="31">
        <v>5.58730459213</v>
      </c>
      <c r="AC1421" s="38">
        <v>233.0</v>
      </c>
    </row>
    <row r="1422" ht="14.25" customHeight="1">
      <c r="A1422" s="29" t="s">
        <v>378</v>
      </c>
      <c r="B1422" s="29">
        <v>14.0</v>
      </c>
      <c r="C1422" s="29" t="s">
        <v>608</v>
      </c>
      <c r="D1422" s="29" t="s">
        <v>943</v>
      </c>
      <c r="E1422" s="29">
        <v>49.0</v>
      </c>
      <c r="F1422" s="30" t="s">
        <v>944</v>
      </c>
      <c r="G1422" s="29" t="s">
        <v>611</v>
      </c>
      <c r="H1422" s="31">
        <v>3.76</v>
      </c>
      <c r="I1422" s="29" t="s">
        <v>597</v>
      </c>
      <c r="J1422" s="32" t="s">
        <v>642</v>
      </c>
      <c r="K1422" s="29" t="s">
        <v>698</v>
      </c>
      <c r="L1422" s="29" t="s">
        <v>910</v>
      </c>
      <c r="M1422" s="33">
        <v>12.48</v>
      </c>
      <c r="N1422" s="33">
        <v>3.06</v>
      </c>
      <c r="O1422" s="34" t="s">
        <v>601</v>
      </c>
      <c r="P1422" s="32" t="s">
        <v>602</v>
      </c>
      <c r="Q1422" s="35">
        <v>31.0</v>
      </c>
      <c r="R1422" s="35">
        <v>13.0</v>
      </c>
      <c r="S1422" s="36">
        <v>0.71</v>
      </c>
      <c r="T1422" s="36">
        <v>0.77</v>
      </c>
      <c r="U1422" s="36">
        <v>4.3429</v>
      </c>
      <c r="V1422" s="36">
        <v>2.9926</v>
      </c>
      <c r="W1422" s="37" t="s">
        <v>1281</v>
      </c>
      <c r="X1422" s="31">
        <v>1.5</v>
      </c>
      <c r="Y1422" s="36">
        <v>-0.08084578337075332</v>
      </c>
      <c r="Z1422" s="36">
        <v>2.3688378717690255</v>
      </c>
      <c r="AA1422" s="29" t="s">
        <v>820</v>
      </c>
      <c r="AB1422" s="31">
        <v>5.58730459213</v>
      </c>
      <c r="AC1422" s="38">
        <v>233.0</v>
      </c>
    </row>
    <row r="1423" ht="14.25" customHeight="1">
      <c r="A1423" s="29" t="s">
        <v>378</v>
      </c>
      <c r="B1423" s="29">
        <v>14.0</v>
      </c>
      <c r="C1423" s="29" t="s">
        <v>608</v>
      </c>
      <c r="D1423" s="29" t="s">
        <v>943</v>
      </c>
      <c r="E1423" s="29">
        <v>49.0</v>
      </c>
      <c r="F1423" s="30" t="s">
        <v>944</v>
      </c>
      <c r="G1423" s="29" t="s">
        <v>611</v>
      </c>
      <c r="H1423" s="31">
        <v>3.76</v>
      </c>
      <c r="I1423" s="29" t="s">
        <v>597</v>
      </c>
      <c r="J1423" s="32" t="s">
        <v>642</v>
      </c>
      <c r="K1423" s="29" t="s">
        <v>698</v>
      </c>
      <c r="L1423" s="29" t="s">
        <v>910</v>
      </c>
      <c r="M1423" s="33">
        <v>12.48</v>
      </c>
      <c r="N1423" s="33">
        <v>3.06</v>
      </c>
      <c r="O1423" s="34" t="s">
        <v>601</v>
      </c>
      <c r="P1423" s="32" t="s">
        <v>602</v>
      </c>
      <c r="Q1423" s="35">
        <v>19.0</v>
      </c>
      <c r="R1423" s="35">
        <v>13.0</v>
      </c>
      <c r="S1423" s="36">
        <v>0.63</v>
      </c>
      <c r="T1423" s="36">
        <v>0.77</v>
      </c>
      <c r="U1423" s="36">
        <v>3.6179</v>
      </c>
      <c r="V1423" s="36">
        <v>2.9926</v>
      </c>
      <c r="W1423" s="37" t="s">
        <v>1281</v>
      </c>
      <c r="X1423" s="31">
        <v>15.0</v>
      </c>
      <c r="Y1423" s="36">
        <v>-0.2003554143577754</v>
      </c>
      <c r="Z1423" s="36">
        <v>2.8976251397328863</v>
      </c>
      <c r="AA1423" s="29" t="s">
        <v>820</v>
      </c>
      <c r="AB1423" s="31">
        <v>5.58730459213</v>
      </c>
      <c r="AC1423" s="38">
        <v>233.0</v>
      </c>
    </row>
    <row r="1424" ht="14.25" customHeight="1">
      <c r="A1424" s="29" t="s">
        <v>378</v>
      </c>
      <c r="B1424" s="29">
        <v>14.0</v>
      </c>
      <c r="C1424" s="29" t="s">
        <v>608</v>
      </c>
      <c r="D1424" s="29" t="s">
        <v>943</v>
      </c>
      <c r="E1424" s="29">
        <v>49.0</v>
      </c>
      <c r="F1424" s="30" t="s">
        <v>944</v>
      </c>
      <c r="G1424" s="29" t="s">
        <v>611</v>
      </c>
      <c r="H1424" s="31">
        <v>3.76</v>
      </c>
      <c r="I1424" s="29" t="s">
        <v>597</v>
      </c>
      <c r="J1424" s="32" t="s">
        <v>642</v>
      </c>
      <c r="K1424" s="29" t="s">
        <v>698</v>
      </c>
      <c r="L1424" s="29" t="s">
        <v>910</v>
      </c>
      <c r="M1424" s="33">
        <v>12.48</v>
      </c>
      <c r="N1424" s="33">
        <v>3.06</v>
      </c>
      <c r="O1424" s="34" t="s">
        <v>601</v>
      </c>
      <c r="P1424" s="32" t="s">
        <v>602</v>
      </c>
      <c r="Q1424" s="35">
        <v>27.0</v>
      </c>
      <c r="R1424" s="35">
        <v>13.0</v>
      </c>
      <c r="S1424" s="36">
        <v>0.76</v>
      </c>
      <c r="T1424" s="36">
        <v>0.77</v>
      </c>
      <c r="U1424" s="36">
        <v>3.7412</v>
      </c>
      <c r="V1424" s="36">
        <v>2.9926</v>
      </c>
      <c r="W1424" s="37" t="s">
        <v>1281</v>
      </c>
      <c r="X1424" s="31">
        <v>30.0</v>
      </c>
      <c r="Y1424" s="36">
        <v>-0.012810723078757372</v>
      </c>
      <c r="Z1424" s="36">
        <v>2.059402790766625</v>
      </c>
      <c r="AA1424" s="29" t="s">
        <v>820</v>
      </c>
      <c r="AB1424" s="31">
        <v>5.58730459213</v>
      </c>
      <c r="AC1424" s="38">
        <v>233.0</v>
      </c>
    </row>
    <row r="1425" ht="14.25" customHeight="1">
      <c r="A1425" s="29" t="s">
        <v>378</v>
      </c>
      <c r="B1425" s="29">
        <v>14.0</v>
      </c>
      <c r="C1425" s="29" t="s">
        <v>608</v>
      </c>
      <c r="D1425" s="43" t="s">
        <v>1234</v>
      </c>
      <c r="E1425" s="29">
        <v>57.0</v>
      </c>
      <c r="F1425" s="30" t="s">
        <v>1235</v>
      </c>
      <c r="G1425" s="29" t="s">
        <v>611</v>
      </c>
      <c r="H1425" s="31">
        <v>10.6</v>
      </c>
      <c r="I1425" s="29" t="s">
        <v>612</v>
      </c>
      <c r="J1425" s="32" t="s">
        <v>642</v>
      </c>
      <c r="K1425" s="29" t="s">
        <v>698</v>
      </c>
      <c r="L1425" s="29" t="s">
        <v>910</v>
      </c>
      <c r="M1425" s="33">
        <v>12.48</v>
      </c>
      <c r="N1425" s="33">
        <v>3.06</v>
      </c>
      <c r="O1425" s="34" t="s">
        <v>601</v>
      </c>
      <c r="P1425" s="32" t="s">
        <v>602</v>
      </c>
      <c r="Q1425" s="35">
        <v>31.0</v>
      </c>
      <c r="R1425" s="35">
        <v>13.0</v>
      </c>
      <c r="S1425" s="36">
        <v>0.0</v>
      </c>
      <c r="T1425" s="36">
        <v>0.15</v>
      </c>
      <c r="U1425" s="36">
        <v>0.0</v>
      </c>
      <c r="V1425" s="36">
        <v>1.3341</v>
      </c>
      <c r="W1425" s="37" t="s">
        <v>1281</v>
      </c>
      <c r="X1425" s="31">
        <v>1.5</v>
      </c>
      <c r="Y1425" s="36">
        <v>-8.262558973010657</v>
      </c>
      <c r="Z1425" s="36">
        <v>0.6447155629230474</v>
      </c>
      <c r="AA1425" s="29" t="s">
        <v>820</v>
      </c>
      <c r="AB1425" s="31">
        <v>5.58730459213</v>
      </c>
      <c r="AC1425" s="38">
        <v>233.0</v>
      </c>
    </row>
    <row r="1426" ht="14.25" customHeight="1">
      <c r="A1426" s="29" t="s">
        <v>378</v>
      </c>
      <c r="B1426" s="29">
        <v>14.0</v>
      </c>
      <c r="C1426" s="29" t="s">
        <v>608</v>
      </c>
      <c r="D1426" s="43" t="s">
        <v>1234</v>
      </c>
      <c r="E1426" s="29">
        <v>57.0</v>
      </c>
      <c r="F1426" s="30" t="s">
        <v>1235</v>
      </c>
      <c r="G1426" s="29" t="s">
        <v>611</v>
      </c>
      <c r="H1426" s="31">
        <v>10.6</v>
      </c>
      <c r="I1426" s="29" t="s">
        <v>612</v>
      </c>
      <c r="J1426" s="32" t="s">
        <v>642</v>
      </c>
      <c r="K1426" s="29" t="s">
        <v>698</v>
      </c>
      <c r="L1426" s="29" t="s">
        <v>910</v>
      </c>
      <c r="M1426" s="33">
        <v>12.48</v>
      </c>
      <c r="N1426" s="33">
        <v>3.06</v>
      </c>
      <c r="O1426" s="34" t="s">
        <v>601</v>
      </c>
      <c r="P1426" s="32" t="s">
        <v>602</v>
      </c>
      <c r="Q1426" s="35">
        <v>19.0</v>
      </c>
      <c r="R1426" s="35">
        <v>13.0</v>
      </c>
      <c r="S1426" s="36">
        <v>0.1</v>
      </c>
      <c r="T1426" s="36">
        <v>0.15</v>
      </c>
      <c r="U1426" s="36">
        <v>1.3513</v>
      </c>
      <c r="V1426" s="36">
        <v>1.3341</v>
      </c>
      <c r="W1426" s="37" t="s">
        <v>1281</v>
      </c>
      <c r="X1426" s="31">
        <v>15.0</v>
      </c>
      <c r="Y1426" s="36">
        <v>-0.4050781860681272</v>
      </c>
      <c r="Z1426" s="36">
        <v>15.69545214979757</v>
      </c>
      <c r="AA1426" s="29" t="s">
        <v>820</v>
      </c>
      <c r="AB1426" s="31">
        <v>5.58730459213</v>
      </c>
      <c r="AC1426" s="38">
        <v>233.0</v>
      </c>
    </row>
    <row r="1427" ht="14.25" customHeight="1">
      <c r="A1427" s="29" t="s">
        <v>378</v>
      </c>
      <c r="B1427" s="29">
        <v>14.0</v>
      </c>
      <c r="C1427" s="29" t="s">
        <v>608</v>
      </c>
      <c r="D1427" s="43" t="s">
        <v>1234</v>
      </c>
      <c r="E1427" s="29">
        <v>57.0</v>
      </c>
      <c r="F1427" s="30" t="s">
        <v>1235</v>
      </c>
      <c r="G1427" s="29" t="s">
        <v>611</v>
      </c>
      <c r="H1427" s="31">
        <v>10.6</v>
      </c>
      <c r="I1427" s="29" t="s">
        <v>612</v>
      </c>
      <c r="J1427" s="32" t="s">
        <v>642</v>
      </c>
      <c r="K1427" s="29" t="s">
        <v>698</v>
      </c>
      <c r="L1427" s="29" t="s">
        <v>910</v>
      </c>
      <c r="M1427" s="33">
        <v>12.48</v>
      </c>
      <c r="N1427" s="33">
        <v>3.06</v>
      </c>
      <c r="O1427" s="34" t="s">
        <v>601</v>
      </c>
      <c r="P1427" s="32" t="s">
        <v>602</v>
      </c>
      <c r="Q1427" s="35">
        <v>27.0</v>
      </c>
      <c r="R1427" s="35">
        <v>13.0</v>
      </c>
      <c r="S1427" s="36">
        <v>0.07</v>
      </c>
      <c r="T1427" s="36">
        <v>0.15</v>
      </c>
      <c r="U1427" s="36">
        <v>1.403</v>
      </c>
      <c r="V1427" s="36">
        <v>1.3341</v>
      </c>
      <c r="W1427" s="37" t="s">
        <v>1281</v>
      </c>
      <c r="X1427" s="31">
        <v>30.0</v>
      </c>
      <c r="Y1427" s="36">
        <v>-0.7615873520936239</v>
      </c>
      <c r="Z1427" s="36">
        <v>20.963239213210066</v>
      </c>
      <c r="AA1427" s="29" t="s">
        <v>820</v>
      </c>
      <c r="AB1427" s="31">
        <v>5.58730459213</v>
      </c>
      <c r="AC1427" s="38">
        <v>233.0</v>
      </c>
    </row>
    <row r="1428" ht="14.25" customHeight="1">
      <c r="A1428" s="29" t="s">
        <v>378</v>
      </c>
      <c r="B1428" s="29">
        <v>14.0</v>
      </c>
      <c r="C1428" s="29" t="s">
        <v>608</v>
      </c>
      <c r="D1428" s="29" t="s">
        <v>931</v>
      </c>
      <c r="E1428" s="29">
        <v>83.0</v>
      </c>
      <c r="F1428" s="30" t="s">
        <v>932</v>
      </c>
      <c r="G1428" s="29" t="s">
        <v>611</v>
      </c>
      <c r="H1428" s="31">
        <v>131.63</v>
      </c>
      <c r="I1428" s="29" t="s">
        <v>612</v>
      </c>
      <c r="J1428" s="32" t="s">
        <v>642</v>
      </c>
      <c r="K1428" s="29" t="s">
        <v>698</v>
      </c>
      <c r="L1428" s="29" t="s">
        <v>910</v>
      </c>
      <c r="M1428" s="33">
        <v>12.48</v>
      </c>
      <c r="N1428" s="33">
        <v>3.06</v>
      </c>
      <c r="O1428" s="34" t="s">
        <v>601</v>
      </c>
      <c r="P1428" s="32" t="s">
        <v>602</v>
      </c>
      <c r="Q1428" s="35">
        <v>31.0</v>
      </c>
      <c r="R1428" s="35">
        <v>13.0</v>
      </c>
      <c r="S1428" s="36">
        <v>0.13</v>
      </c>
      <c r="T1428" s="36">
        <v>0.23</v>
      </c>
      <c r="U1428" s="36">
        <v>2.3941</v>
      </c>
      <c r="V1428" s="36">
        <v>1.5864</v>
      </c>
      <c r="W1428" s="37" t="s">
        <v>1281</v>
      </c>
      <c r="X1428" s="31">
        <v>1.5</v>
      </c>
      <c r="Y1428" s="36">
        <v>-0.570088504726025</v>
      </c>
      <c r="Z1428" s="36">
        <v>14.600013903900187</v>
      </c>
      <c r="AA1428" s="29" t="s">
        <v>820</v>
      </c>
      <c r="AB1428" s="31">
        <v>5.58730459213</v>
      </c>
      <c r="AC1428" s="38">
        <v>233.0</v>
      </c>
    </row>
    <row r="1429" ht="14.25" customHeight="1">
      <c r="A1429" s="29" t="s">
        <v>378</v>
      </c>
      <c r="B1429" s="29">
        <v>14.0</v>
      </c>
      <c r="C1429" s="29" t="s">
        <v>608</v>
      </c>
      <c r="D1429" s="29" t="s">
        <v>931</v>
      </c>
      <c r="E1429" s="29">
        <v>83.0</v>
      </c>
      <c r="F1429" s="30" t="s">
        <v>932</v>
      </c>
      <c r="G1429" s="29" t="s">
        <v>611</v>
      </c>
      <c r="H1429" s="31">
        <v>131.63</v>
      </c>
      <c r="I1429" s="29" t="s">
        <v>612</v>
      </c>
      <c r="J1429" s="32" t="s">
        <v>642</v>
      </c>
      <c r="K1429" s="29" t="s">
        <v>698</v>
      </c>
      <c r="L1429" s="29" t="s">
        <v>910</v>
      </c>
      <c r="M1429" s="33">
        <v>12.48</v>
      </c>
      <c r="N1429" s="33">
        <v>3.06</v>
      </c>
      <c r="O1429" s="34" t="s">
        <v>601</v>
      </c>
      <c r="P1429" s="32" t="s">
        <v>602</v>
      </c>
      <c r="Q1429" s="35">
        <v>19.0</v>
      </c>
      <c r="R1429" s="35">
        <v>13.0</v>
      </c>
      <c r="S1429" s="36">
        <v>0.0526</v>
      </c>
      <c r="T1429" s="36">
        <v>0.23</v>
      </c>
      <c r="U1429" s="36">
        <v>0.2294</v>
      </c>
      <c r="V1429" s="36">
        <v>1.5864</v>
      </c>
      <c r="W1429" s="37" t="s">
        <v>1281</v>
      </c>
      <c r="X1429" s="31">
        <v>15.0</v>
      </c>
      <c r="Y1429" s="36">
        <v>-1.474235697180481</v>
      </c>
      <c r="Z1429" s="36">
        <v>4.660602741146936</v>
      </c>
      <c r="AA1429" s="29" t="s">
        <v>820</v>
      </c>
      <c r="AB1429" s="31">
        <v>5.58730459213</v>
      </c>
      <c r="AC1429" s="38">
        <v>233.0</v>
      </c>
    </row>
    <row r="1430" ht="14.25" customHeight="1">
      <c r="A1430" s="29" t="s">
        <v>378</v>
      </c>
      <c r="B1430" s="29">
        <v>14.0</v>
      </c>
      <c r="C1430" s="29" t="s">
        <v>608</v>
      </c>
      <c r="D1430" s="29" t="s">
        <v>931</v>
      </c>
      <c r="E1430" s="29">
        <v>83.0</v>
      </c>
      <c r="F1430" s="30" t="s">
        <v>932</v>
      </c>
      <c r="G1430" s="29" t="s">
        <v>611</v>
      </c>
      <c r="H1430" s="31">
        <v>131.63</v>
      </c>
      <c r="I1430" s="29" t="s">
        <v>612</v>
      </c>
      <c r="J1430" s="32" t="s">
        <v>642</v>
      </c>
      <c r="K1430" s="29" t="s">
        <v>698</v>
      </c>
      <c r="L1430" s="29" t="s">
        <v>910</v>
      </c>
      <c r="M1430" s="33">
        <v>12.48</v>
      </c>
      <c r="N1430" s="33">
        <v>3.06</v>
      </c>
      <c r="O1430" s="34" t="s">
        <v>601</v>
      </c>
      <c r="P1430" s="32" t="s">
        <v>602</v>
      </c>
      <c r="Q1430" s="35">
        <v>27.0</v>
      </c>
      <c r="R1430" s="35">
        <v>13.0</v>
      </c>
      <c r="S1430" s="36">
        <v>0.07</v>
      </c>
      <c r="T1430" s="36">
        <v>0.23</v>
      </c>
      <c r="U1430" s="36">
        <v>1.403</v>
      </c>
      <c r="V1430" s="36">
        <v>1.5864</v>
      </c>
      <c r="W1430" s="37" t="s">
        <v>1281</v>
      </c>
      <c r="X1430" s="31">
        <v>30.0</v>
      </c>
      <c r="Y1430" s="36">
        <v>-1.1887367184708608</v>
      </c>
      <c r="Z1430" s="36">
        <v>18.5379138905403</v>
      </c>
      <c r="AA1430" s="29" t="s">
        <v>820</v>
      </c>
      <c r="AB1430" s="31">
        <v>5.58730459213</v>
      </c>
      <c r="AC1430" s="38">
        <v>233.0</v>
      </c>
    </row>
    <row r="1431" ht="14.25" customHeight="1">
      <c r="A1431" s="29" t="s">
        <v>378</v>
      </c>
      <c r="B1431" s="29">
        <v>14.0</v>
      </c>
      <c r="C1431" s="29" t="s">
        <v>608</v>
      </c>
      <c r="D1431" s="29" t="s">
        <v>1282</v>
      </c>
      <c r="E1431" s="29">
        <v>84.0</v>
      </c>
      <c r="F1431" s="30" t="s">
        <v>1283</v>
      </c>
      <c r="G1431" s="29" t="s">
        <v>629</v>
      </c>
      <c r="H1431" s="31">
        <v>2.528</v>
      </c>
      <c r="I1431" s="29" t="s">
        <v>657</v>
      </c>
      <c r="J1431" s="32" t="s">
        <v>642</v>
      </c>
      <c r="K1431" s="29" t="s">
        <v>698</v>
      </c>
      <c r="L1431" s="29" t="s">
        <v>910</v>
      </c>
      <c r="M1431" s="33">
        <v>12.48</v>
      </c>
      <c r="N1431" s="33">
        <v>3.06</v>
      </c>
      <c r="O1431" s="34" t="s">
        <v>601</v>
      </c>
      <c r="P1431" s="32" t="s">
        <v>602</v>
      </c>
      <c r="Q1431" s="35">
        <v>31.0</v>
      </c>
      <c r="R1431" s="35">
        <v>13.0</v>
      </c>
      <c r="S1431" s="36">
        <v>0.06</v>
      </c>
      <c r="T1431" s="36">
        <v>0.15</v>
      </c>
      <c r="U1431" s="36">
        <v>1.3919</v>
      </c>
      <c r="V1431" s="36">
        <v>1.3341</v>
      </c>
      <c r="W1431" s="37" t="s">
        <v>1281</v>
      </c>
      <c r="X1431" s="31">
        <v>1.5</v>
      </c>
      <c r="Y1431" s="36">
        <v>-0.9156459449538856</v>
      </c>
      <c r="Z1431" s="36">
        <v>23.444950418803415</v>
      </c>
      <c r="AA1431" s="29" t="s">
        <v>820</v>
      </c>
      <c r="AB1431" s="31">
        <v>5.58730459213</v>
      </c>
      <c r="AC1431" s="38">
        <v>233.0</v>
      </c>
    </row>
    <row r="1432" ht="14.25" customHeight="1">
      <c r="A1432" s="29" t="s">
        <v>378</v>
      </c>
      <c r="B1432" s="29">
        <v>14.0</v>
      </c>
      <c r="C1432" s="29" t="s">
        <v>608</v>
      </c>
      <c r="D1432" s="29" t="s">
        <v>1282</v>
      </c>
      <c r="E1432" s="29">
        <v>84.0</v>
      </c>
      <c r="F1432" s="30" t="s">
        <v>1283</v>
      </c>
      <c r="G1432" s="29" t="s">
        <v>629</v>
      </c>
      <c r="H1432" s="31">
        <v>2.528</v>
      </c>
      <c r="I1432" s="29" t="s">
        <v>657</v>
      </c>
      <c r="J1432" s="32" t="s">
        <v>642</v>
      </c>
      <c r="K1432" s="29" t="s">
        <v>698</v>
      </c>
      <c r="L1432" s="29" t="s">
        <v>910</v>
      </c>
      <c r="M1432" s="33">
        <v>12.48</v>
      </c>
      <c r="N1432" s="33">
        <v>3.06</v>
      </c>
      <c r="O1432" s="34" t="s">
        <v>601</v>
      </c>
      <c r="P1432" s="32" t="s">
        <v>602</v>
      </c>
      <c r="Q1432" s="35">
        <v>19.0</v>
      </c>
      <c r="R1432" s="35">
        <v>13.0</v>
      </c>
      <c r="S1432" s="36">
        <v>0.0</v>
      </c>
      <c r="T1432" s="36">
        <v>0.15</v>
      </c>
      <c r="U1432" s="36">
        <v>0.0</v>
      </c>
      <c r="V1432" s="36">
        <v>1.3341</v>
      </c>
      <c r="W1432" s="37" t="s">
        <v>1281</v>
      </c>
      <c r="X1432" s="31">
        <v>15.0</v>
      </c>
      <c r="Y1432" s="36">
        <v>-8.262558973010657</v>
      </c>
      <c r="Z1432" s="36">
        <v>0.6650890773542868</v>
      </c>
      <c r="AA1432" s="29" t="s">
        <v>820</v>
      </c>
      <c r="AB1432" s="31">
        <v>5.58730459213</v>
      </c>
      <c r="AC1432" s="38">
        <v>233.0</v>
      </c>
    </row>
    <row r="1433" ht="14.25" customHeight="1">
      <c r="A1433" s="29" t="s">
        <v>378</v>
      </c>
      <c r="B1433" s="29">
        <v>14.0</v>
      </c>
      <c r="C1433" s="29" t="s">
        <v>608</v>
      </c>
      <c r="D1433" s="29" t="s">
        <v>1282</v>
      </c>
      <c r="E1433" s="29">
        <v>84.0</v>
      </c>
      <c r="F1433" s="30" t="s">
        <v>1283</v>
      </c>
      <c r="G1433" s="29" t="s">
        <v>629</v>
      </c>
      <c r="H1433" s="31">
        <v>2.528</v>
      </c>
      <c r="I1433" s="29" t="s">
        <v>657</v>
      </c>
      <c r="J1433" s="32" t="s">
        <v>642</v>
      </c>
      <c r="K1433" s="29" t="s">
        <v>698</v>
      </c>
      <c r="L1433" s="29" t="s">
        <v>910</v>
      </c>
      <c r="M1433" s="33">
        <v>12.48</v>
      </c>
      <c r="N1433" s="33">
        <v>3.06</v>
      </c>
      <c r="O1433" s="34" t="s">
        <v>601</v>
      </c>
      <c r="P1433" s="32" t="s">
        <v>602</v>
      </c>
      <c r="Q1433" s="35">
        <v>27.0</v>
      </c>
      <c r="R1433" s="35">
        <v>13.0</v>
      </c>
      <c r="S1433" s="36">
        <v>0.0</v>
      </c>
      <c r="T1433" s="36">
        <v>0.15</v>
      </c>
      <c r="U1433" s="36">
        <v>0.0</v>
      </c>
      <c r="V1433" s="36">
        <v>1.3341</v>
      </c>
      <c r="W1433" s="37" t="s">
        <v>1281</v>
      </c>
      <c r="X1433" s="31">
        <v>30.0</v>
      </c>
      <c r="Y1433" s="36">
        <v>-8.262558973010657</v>
      </c>
      <c r="Z1433" s="36">
        <v>0.6494945354439554</v>
      </c>
      <c r="AA1433" s="29" t="s">
        <v>820</v>
      </c>
      <c r="AB1433" s="31">
        <v>5.58730459213</v>
      </c>
      <c r="AC1433" s="38">
        <v>233.0</v>
      </c>
    </row>
    <row r="1434" ht="14.25" customHeight="1">
      <c r="A1434" s="29" t="s">
        <v>378</v>
      </c>
      <c r="B1434" s="29">
        <v>14.0</v>
      </c>
      <c r="C1434" s="29" t="s">
        <v>608</v>
      </c>
      <c r="D1434" s="29" t="s">
        <v>945</v>
      </c>
      <c r="E1434" s="29">
        <v>95.0</v>
      </c>
      <c r="F1434" s="30" t="s">
        <v>946</v>
      </c>
      <c r="G1434" s="29" t="s">
        <v>611</v>
      </c>
      <c r="H1434" s="31">
        <v>7.69</v>
      </c>
      <c r="I1434" s="29" t="s">
        <v>616</v>
      </c>
      <c r="J1434" s="32" t="s">
        <v>642</v>
      </c>
      <c r="K1434" s="29" t="s">
        <v>698</v>
      </c>
      <c r="L1434" s="29" t="s">
        <v>910</v>
      </c>
      <c r="M1434" s="33">
        <v>12.48</v>
      </c>
      <c r="N1434" s="33">
        <v>3.06</v>
      </c>
      <c r="O1434" s="34" t="s">
        <v>601</v>
      </c>
      <c r="P1434" s="32" t="s">
        <v>602</v>
      </c>
      <c r="Q1434" s="35">
        <v>31.0</v>
      </c>
      <c r="R1434" s="35">
        <v>13.0</v>
      </c>
      <c r="S1434" s="36">
        <v>0.03</v>
      </c>
      <c r="T1434" s="36">
        <v>0.85</v>
      </c>
      <c r="U1434" s="36">
        <v>1.0022</v>
      </c>
      <c r="V1434" s="36">
        <v>3.5695</v>
      </c>
      <c r="W1434" s="37" t="s">
        <v>1281</v>
      </c>
      <c r="X1434" s="31">
        <v>1.5</v>
      </c>
      <c r="Y1434" s="36">
        <v>-3.3367556144310986</v>
      </c>
      <c r="Z1434" s="36">
        <v>37.35671648974483</v>
      </c>
      <c r="AA1434" s="29" t="s">
        <v>820</v>
      </c>
      <c r="AB1434" s="31">
        <v>5.58730459213</v>
      </c>
      <c r="AC1434" s="38">
        <v>233.0</v>
      </c>
    </row>
    <row r="1435" ht="14.25" customHeight="1">
      <c r="A1435" s="29" t="s">
        <v>378</v>
      </c>
      <c r="B1435" s="29">
        <v>14.0</v>
      </c>
      <c r="C1435" s="29" t="s">
        <v>608</v>
      </c>
      <c r="D1435" s="29" t="s">
        <v>945</v>
      </c>
      <c r="E1435" s="29">
        <v>95.0</v>
      </c>
      <c r="F1435" s="30" t="s">
        <v>946</v>
      </c>
      <c r="G1435" s="29" t="s">
        <v>611</v>
      </c>
      <c r="H1435" s="31">
        <v>7.69</v>
      </c>
      <c r="I1435" s="29" t="s">
        <v>616</v>
      </c>
      <c r="J1435" s="32" t="s">
        <v>642</v>
      </c>
      <c r="K1435" s="29" t="s">
        <v>698</v>
      </c>
      <c r="L1435" s="29" t="s">
        <v>910</v>
      </c>
      <c r="M1435" s="33">
        <v>12.48</v>
      </c>
      <c r="N1435" s="33">
        <v>3.06</v>
      </c>
      <c r="O1435" s="34" t="s">
        <v>601</v>
      </c>
      <c r="P1435" s="32" t="s">
        <v>602</v>
      </c>
      <c r="Q1435" s="35">
        <v>19.0</v>
      </c>
      <c r="R1435" s="35">
        <v>13.0</v>
      </c>
      <c r="S1435" s="36">
        <v>0.42</v>
      </c>
      <c r="T1435" s="36">
        <v>0.85</v>
      </c>
      <c r="U1435" s="36">
        <v>2.6589</v>
      </c>
      <c r="V1435" s="36">
        <v>3.5695</v>
      </c>
      <c r="W1435" s="37" t="s">
        <v>1281</v>
      </c>
      <c r="X1435" s="31">
        <v>15.0</v>
      </c>
      <c r="Y1435" s="36">
        <v>-0.7044596357938838</v>
      </c>
      <c r="Z1435" s="36">
        <v>3.4659084534290026</v>
      </c>
      <c r="AA1435" s="29" t="s">
        <v>820</v>
      </c>
      <c r="AB1435" s="31">
        <v>5.58730459213</v>
      </c>
      <c r="AC1435" s="38">
        <v>233.0</v>
      </c>
    </row>
    <row r="1436" ht="14.25" customHeight="1">
      <c r="A1436" s="29" t="s">
        <v>378</v>
      </c>
      <c r="B1436" s="29">
        <v>14.0</v>
      </c>
      <c r="C1436" s="29" t="s">
        <v>608</v>
      </c>
      <c r="D1436" s="29" t="s">
        <v>945</v>
      </c>
      <c r="E1436" s="29">
        <v>95.0</v>
      </c>
      <c r="F1436" s="30" t="s">
        <v>946</v>
      </c>
      <c r="G1436" s="29" t="s">
        <v>611</v>
      </c>
      <c r="H1436" s="31">
        <v>7.69</v>
      </c>
      <c r="I1436" s="29" t="s">
        <v>616</v>
      </c>
      <c r="J1436" s="32" t="s">
        <v>642</v>
      </c>
      <c r="K1436" s="29" t="s">
        <v>698</v>
      </c>
      <c r="L1436" s="29" t="s">
        <v>910</v>
      </c>
      <c r="M1436" s="33">
        <v>12.48</v>
      </c>
      <c r="N1436" s="33">
        <v>3.06</v>
      </c>
      <c r="O1436" s="34" t="s">
        <v>601</v>
      </c>
      <c r="P1436" s="32" t="s">
        <v>602</v>
      </c>
      <c r="Q1436" s="35">
        <v>27.0</v>
      </c>
      <c r="R1436" s="35">
        <v>13.0</v>
      </c>
      <c r="S1436" s="36">
        <v>0.65</v>
      </c>
      <c r="T1436" s="36">
        <v>0.85</v>
      </c>
      <c r="U1436" s="36">
        <v>3.5853</v>
      </c>
      <c r="V1436" s="36">
        <v>3.5695</v>
      </c>
      <c r="W1436" s="37" t="s">
        <v>1281</v>
      </c>
      <c r="X1436" s="31">
        <v>30.0</v>
      </c>
      <c r="Y1436" s="36">
        <v>-0.2679266615788309</v>
      </c>
      <c r="Z1436" s="36">
        <v>2.4833785238904476</v>
      </c>
      <c r="AA1436" s="29" t="s">
        <v>820</v>
      </c>
      <c r="AB1436" s="31">
        <v>5.58730459213</v>
      </c>
      <c r="AC1436" s="38">
        <v>233.0</v>
      </c>
    </row>
    <row r="1437" ht="14.25" customHeight="1">
      <c r="A1437" s="29" t="s">
        <v>378</v>
      </c>
      <c r="B1437" s="29">
        <v>14.0</v>
      </c>
      <c r="C1437" s="29" t="s">
        <v>608</v>
      </c>
      <c r="D1437" s="35" t="s">
        <v>947</v>
      </c>
      <c r="E1437" s="29">
        <v>121.0</v>
      </c>
      <c r="F1437" s="30" t="s">
        <v>948</v>
      </c>
      <c r="G1437" s="29" t="s">
        <v>611</v>
      </c>
      <c r="H1437" s="31">
        <v>42.5</v>
      </c>
      <c r="I1437" s="29" t="s">
        <v>597</v>
      </c>
      <c r="J1437" s="32" t="s">
        <v>642</v>
      </c>
      <c r="K1437" s="29" t="s">
        <v>698</v>
      </c>
      <c r="L1437" s="29" t="s">
        <v>910</v>
      </c>
      <c r="M1437" s="33">
        <v>12.48</v>
      </c>
      <c r="N1437" s="33">
        <v>3.06</v>
      </c>
      <c r="O1437" s="34" t="s">
        <v>601</v>
      </c>
      <c r="P1437" s="32" t="s">
        <v>602</v>
      </c>
      <c r="Q1437" s="35">
        <v>31.0</v>
      </c>
      <c r="R1437" s="35">
        <v>13.0</v>
      </c>
      <c r="S1437" s="36">
        <v>0.13</v>
      </c>
      <c r="T1437" s="36">
        <v>1.23</v>
      </c>
      <c r="U1437" s="36">
        <v>1.893</v>
      </c>
      <c r="V1437" s="36">
        <v>5.7328</v>
      </c>
      <c r="W1437" s="37" t="s">
        <v>1281</v>
      </c>
      <c r="X1437" s="31">
        <v>1.5</v>
      </c>
      <c r="Y1437" s="36">
        <v>-2.2447969150571647</v>
      </c>
      <c r="Z1437" s="36">
        <v>8.51096214781296</v>
      </c>
      <c r="AA1437" s="29" t="s">
        <v>820</v>
      </c>
      <c r="AB1437" s="31">
        <v>5.58730459213</v>
      </c>
      <c r="AC1437" s="38">
        <v>233.0</v>
      </c>
    </row>
    <row r="1438" ht="14.25" customHeight="1">
      <c r="A1438" s="29" t="s">
        <v>378</v>
      </c>
      <c r="B1438" s="29">
        <v>14.0</v>
      </c>
      <c r="C1438" s="29" t="s">
        <v>608</v>
      </c>
      <c r="D1438" s="35" t="s">
        <v>947</v>
      </c>
      <c r="E1438" s="29">
        <v>121.0</v>
      </c>
      <c r="F1438" s="30" t="s">
        <v>948</v>
      </c>
      <c r="G1438" s="29" t="s">
        <v>611</v>
      </c>
      <c r="H1438" s="31">
        <v>42.5</v>
      </c>
      <c r="I1438" s="29" t="s">
        <v>597</v>
      </c>
      <c r="J1438" s="32" t="s">
        <v>642</v>
      </c>
      <c r="K1438" s="29" t="s">
        <v>698</v>
      </c>
      <c r="L1438" s="29" t="s">
        <v>910</v>
      </c>
      <c r="M1438" s="33">
        <v>12.48</v>
      </c>
      <c r="N1438" s="33">
        <v>3.06</v>
      </c>
      <c r="O1438" s="34" t="s">
        <v>601</v>
      </c>
      <c r="P1438" s="32" t="s">
        <v>602</v>
      </c>
      <c r="Q1438" s="35">
        <v>19.0</v>
      </c>
      <c r="R1438" s="35">
        <v>13.0</v>
      </c>
      <c r="S1438" s="36">
        <v>0.63</v>
      </c>
      <c r="T1438" s="36">
        <v>1.23</v>
      </c>
      <c r="U1438" s="36">
        <v>4.882</v>
      </c>
      <c r="V1438" s="36">
        <v>5.7328</v>
      </c>
      <c r="W1438" s="37" t="s">
        <v>1281</v>
      </c>
      <c r="X1438" s="31">
        <v>15.0</v>
      </c>
      <c r="Y1438" s="36">
        <v>-0.6685460455442784</v>
      </c>
      <c r="Z1438" s="36">
        <v>4.831550476080473</v>
      </c>
      <c r="AA1438" s="29" t="s">
        <v>820</v>
      </c>
      <c r="AB1438" s="31">
        <v>5.58730459213</v>
      </c>
      <c r="AC1438" s="38">
        <v>233.0</v>
      </c>
    </row>
    <row r="1439" ht="14.25" customHeight="1">
      <c r="A1439" s="29" t="s">
        <v>378</v>
      </c>
      <c r="B1439" s="29">
        <v>14.0</v>
      </c>
      <c r="C1439" s="29" t="s">
        <v>608</v>
      </c>
      <c r="D1439" s="35" t="s">
        <v>947</v>
      </c>
      <c r="E1439" s="29">
        <v>121.0</v>
      </c>
      <c r="F1439" s="30" t="s">
        <v>948</v>
      </c>
      <c r="G1439" s="29" t="s">
        <v>611</v>
      </c>
      <c r="H1439" s="31">
        <v>42.5</v>
      </c>
      <c r="I1439" s="29" t="s">
        <v>597</v>
      </c>
      <c r="J1439" s="32" t="s">
        <v>642</v>
      </c>
      <c r="K1439" s="29" t="s">
        <v>698</v>
      </c>
      <c r="L1439" s="29" t="s">
        <v>910</v>
      </c>
      <c r="M1439" s="33">
        <v>12.48</v>
      </c>
      <c r="N1439" s="33">
        <v>3.06</v>
      </c>
      <c r="O1439" s="34" t="s">
        <v>601</v>
      </c>
      <c r="P1439" s="32" t="s">
        <v>602</v>
      </c>
      <c r="Q1439" s="35">
        <v>27.0</v>
      </c>
      <c r="R1439" s="35">
        <v>13.0</v>
      </c>
      <c r="S1439" s="36">
        <v>0.85</v>
      </c>
      <c r="T1439" s="36">
        <v>1.23</v>
      </c>
      <c r="U1439" s="36">
        <v>4.7285</v>
      </c>
      <c r="V1439" s="36">
        <v>5.7328</v>
      </c>
      <c r="W1439" s="37" t="s">
        <v>1281</v>
      </c>
      <c r="X1439" s="31">
        <v>30.0</v>
      </c>
      <c r="Y1439" s="36">
        <v>-0.3691598303656973</v>
      </c>
      <c r="Z1439" s="36">
        <v>2.8171734818795136</v>
      </c>
      <c r="AA1439" s="29" t="s">
        <v>820</v>
      </c>
      <c r="AB1439" s="31">
        <v>5.58730459213</v>
      </c>
      <c r="AC1439" s="38">
        <v>233.0</v>
      </c>
    </row>
    <row r="1440" ht="14.25" customHeight="1">
      <c r="A1440" s="29" t="s">
        <v>378</v>
      </c>
      <c r="B1440" s="29">
        <v>14.0</v>
      </c>
      <c r="C1440" s="29" t="s">
        <v>608</v>
      </c>
      <c r="D1440" s="29" t="s">
        <v>781</v>
      </c>
      <c r="E1440" s="29">
        <v>136.0</v>
      </c>
      <c r="F1440" s="30" t="s">
        <v>782</v>
      </c>
      <c r="G1440" s="29" t="s">
        <v>626</v>
      </c>
      <c r="H1440" s="31">
        <v>4.9</v>
      </c>
      <c r="I1440" s="29" t="s">
        <v>597</v>
      </c>
      <c r="J1440" s="32" t="s">
        <v>642</v>
      </c>
      <c r="K1440" s="29" t="s">
        <v>698</v>
      </c>
      <c r="L1440" s="29" t="s">
        <v>910</v>
      </c>
      <c r="M1440" s="33">
        <v>12.48</v>
      </c>
      <c r="N1440" s="33">
        <v>3.06</v>
      </c>
      <c r="O1440" s="34" t="s">
        <v>601</v>
      </c>
      <c r="P1440" s="32" t="s">
        <v>602</v>
      </c>
      <c r="Q1440" s="35">
        <v>31.0</v>
      </c>
      <c r="R1440" s="35">
        <v>13.0</v>
      </c>
      <c r="S1440" s="36">
        <v>2.87</v>
      </c>
      <c r="T1440" s="36">
        <v>4.15</v>
      </c>
      <c r="U1440" s="36">
        <v>12.5275</v>
      </c>
      <c r="V1440" s="36">
        <v>10.384</v>
      </c>
      <c r="W1440" s="37" t="s">
        <v>1281</v>
      </c>
      <c r="X1440" s="31">
        <v>1.5</v>
      </c>
      <c r="Y1440" s="36">
        <v>-0.3684233108242724</v>
      </c>
      <c r="Z1440" s="36">
        <v>1.0962189533553524</v>
      </c>
      <c r="AA1440" s="29" t="s">
        <v>820</v>
      </c>
      <c r="AB1440" s="31">
        <v>5.58730459213</v>
      </c>
      <c r="AC1440" s="38">
        <v>233.0</v>
      </c>
    </row>
    <row r="1441" ht="14.25" customHeight="1">
      <c r="A1441" s="29" t="s">
        <v>378</v>
      </c>
      <c r="B1441" s="29">
        <v>14.0</v>
      </c>
      <c r="C1441" s="29" t="s">
        <v>608</v>
      </c>
      <c r="D1441" s="29" t="s">
        <v>781</v>
      </c>
      <c r="E1441" s="29">
        <v>136.0</v>
      </c>
      <c r="F1441" s="30" t="s">
        <v>782</v>
      </c>
      <c r="G1441" s="29" t="s">
        <v>626</v>
      </c>
      <c r="H1441" s="31">
        <v>4.9</v>
      </c>
      <c r="I1441" s="29" t="s">
        <v>597</v>
      </c>
      <c r="J1441" s="32" t="s">
        <v>642</v>
      </c>
      <c r="K1441" s="29" t="s">
        <v>698</v>
      </c>
      <c r="L1441" s="29" t="s">
        <v>910</v>
      </c>
      <c r="M1441" s="33">
        <v>12.48</v>
      </c>
      <c r="N1441" s="33">
        <v>3.06</v>
      </c>
      <c r="O1441" s="34" t="s">
        <v>601</v>
      </c>
      <c r="P1441" s="32" t="s">
        <v>602</v>
      </c>
      <c r="Q1441" s="35">
        <v>19.0</v>
      </c>
      <c r="R1441" s="35">
        <v>13.0</v>
      </c>
      <c r="S1441" s="36">
        <v>1.94</v>
      </c>
      <c r="T1441" s="36">
        <v>4.15</v>
      </c>
      <c r="U1441" s="36">
        <v>5.8845</v>
      </c>
      <c r="V1441" s="36">
        <v>10.384</v>
      </c>
      <c r="W1441" s="37" t="s">
        <v>1281</v>
      </c>
      <c r="X1441" s="31">
        <v>15.0</v>
      </c>
      <c r="Y1441" s="36">
        <v>-0.759868610608436</v>
      </c>
      <c r="Z1441" s="36">
        <v>0.9658452733190297</v>
      </c>
      <c r="AA1441" s="29" t="s">
        <v>820</v>
      </c>
      <c r="AB1441" s="31">
        <v>5.58730459213</v>
      </c>
      <c r="AC1441" s="38">
        <v>233.0</v>
      </c>
    </row>
    <row r="1442" ht="14.25" customHeight="1">
      <c r="A1442" s="29" t="s">
        <v>378</v>
      </c>
      <c r="B1442" s="29">
        <v>14.0</v>
      </c>
      <c r="C1442" s="29" t="s">
        <v>608</v>
      </c>
      <c r="D1442" s="29" t="s">
        <v>781</v>
      </c>
      <c r="E1442" s="29">
        <v>136.0</v>
      </c>
      <c r="F1442" s="30" t="s">
        <v>782</v>
      </c>
      <c r="G1442" s="29" t="s">
        <v>626</v>
      </c>
      <c r="H1442" s="31">
        <v>4.9</v>
      </c>
      <c r="I1442" s="29" t="s">
        <v>597</v>
      </c>
      <c r="J1442" s="32" t="s">
        <v>642</v>
      </c>
      <c r="K1442" s="29" t="s">
        <v>698</v>
      </c>
      <c r="L1442" s="29" t="s">
        <v>910</v>
      </c>
      <c r="M1442" s="33">
        <v>12.48</v>
      </c>
      <c r="N1442" s="33">
        <v>3.06</v>
      </c>
      <c r="O1442" s="34" t="s">
        <v>601</v>
      </c>
      <c r="P1442" s="32" t="s">
        <v>602</v>
      </c>
      <c r="Q1442" s="35">
        <v>27.0</v>
      </c>
      <c r="R1442" s="35">
        <v>13.0</v>
      </c>
      <c r="S1442" s="36">
        <v>2.85</v>
      </c>
      <c r="T1442" s="36">
        <v>4.15</v>
      </c>
      <c r="U1442" s="36">
        <v>9.3011</v>
      </c>
      <c r="V1442" s="36">
        <v>10.384</v>
      </c>
      <c r="W1442" s="37" t="s">
        <v>1281</v>
      </c>
      <c r="X1442" s="31">
        <v>30.0</v>
      </c>
      <c r="Y1442" s="36">
        <v>-0.37541372930748584</v>
      </c>
      <c r="Z1442" s="36">
        <v>0.876074754642397</v>
      </c>
      <c r="AA1442" s="29" t="s">
        <v>820</v>
      </c>
      <c r="AB1442" s="31">
        <v>5.58730459213</v>
      </c>
      <c r="AC1442" s="38">
        <v>233.0</v>
      </c>
    </row>
    <row r="1443" ht="14.25" customHeight="1">
      <c r="A1443" s="29" t="s">
        <v>378</v>
      </c>
      <c r="B1443" s="29">
        <v>14.0</v>
      </c>
      <c r="C1443" s="29" t="s">
        <v>608</v>
      </c>
      <c r="D1443" s="29" t="s">
        <v>1195</v>
      </c>
      <c r="E1443" s="29">
        <v>148.0</v>
      </c>
      <c r="F1443" s="30" t="s">
        <v>1196</v>
      </c>
      <c r="G1443" s="29" t="s">
        <v>626</v>
      </c>
      <c r="H1443" s="31">
        <v>70.0</v>
      </c>
      <c r="I1443" s="29" t="s">
        <v>616</v>
      </c>
      <c r="J1443" s="32" t="s">
        <v>642</v>
      </c>
      <c r="K1443" s="29" t="s">
        <v>698</v>
      </c>
      <c r="L1443" s="29" t="s">
        <v>910</v>
      </c>
      <c r="M1443" s="33">
        <v>12.48</v>
      </c>
      <c r="N1443" s="33">
        <v>3.06</v>
      </c>
      <c r="O1443" s="34" t="s">
        <v>601</v>
      </c>
      <c r="P1443" s="32" t="s">
        <v>602</v>
      </c>
      <c r="Q1443" s="35">
        <v>31.0</v>
      </c>
      <c r="R1443" s="35">
        <v>13.0</v>
      </c>
      <c r="S1443" s="36">
        <v>0.93</v>
      </c>
      <c r="T1443" s="36">
        <v>1.38</v>
      </c>
      <c r="U1443" s="36">
        <v>5.5678</v>
      </c>
      <c r="V1443" s="36">
        <v>5.6247</v>
      </c>
      <c r="W1443" s="37" t="s">
        <v>1281</v>
      </c>
      <c r="X1443" s="31">
        <v>1.5</v>
      </c>
      <c r="Y1443" s="36">
        <v>-0.3942714296198249</v>
      </c>
      <c r="Z1443" s="36">
        <v>2.434118808039925</v>
      </c>
      <c r="AA1443" s="29" t="s">
        <v>820</v>
      </c>
      <c r="AB1443" s="31">
        <v>5.58730459213</v>
      </c>
      <c r="AC1443" s="38">
        <v>233.0</v>
      </c>
    </row>
    <row r="1444" ht="14.25" customHeight="1">
      <c r="A1444" s="29" t="s">
        <v>378</v>
      </c>
      <c r="B1444" s="29">
        <v>14.0</v>
      </c>
      <c r="C1444" s="29" t="s">
        <v>608</v>
      </c>
      <c r="D1444" s="29" t="s">
        <v>1195</v>
      </c>
      <c r="E1444" s="29">
        <v>148.0</v>
      </c>
      <c r="F1444" s="30" t="s">
        <v>1196</v>
      </c>
      <c r="G1444" s="29" t="s">
        <v>626</v>
      </c>
      <c r="H1444" s="31">
        <v>70.0</v>
      </c>
      <c r="I1444" s="29" t="s">
        <v>616</v>
      </c>
      <c r="J1444" s="32" t="s">
        <v>642</v>
      </c>
      <c r="K1444" s="29" t="s">
        <v>698</v>
      </c>
      <c r="L1444" s="29" t="s">
        <v>910</v>
      </c>
      <c r="M1444" s="33">
        <v>12.48</v>
      </c>
      <c r="N1444" s="33">
        <v>3.06</v>
      </c>
      <c r="O1444" s="34" t="s">
        <v>601</v>
      </c>
      <c r="P1444" s="32" t="s">
        <v>602</v>
      </c>
      <c r="Q1444" s="35">
        <v>19.0</v>
      </c>
      <c r="R1444" s="35">
        <v>13.0</v>
      </c>
      <c r="S1444" s="36">
        <v>2.53</v>
      </c>
      <c r="T1444" s="36">
        <v>1.38</v>
      </c>
      <c r="U1444" s="36">
        <v>9.1101</v>
      </c>
      <c r="V1444" s="36">
        <v>5.6247</v>
      </c>
      <c r="W1444" s="37" t="s">
        <v>1281</v>
      </c>
      <c r="X1444" s="31">
        <v>15.0</v>
      </c>
      <c r="Y1444" s="36">
        <v>0.6062765198162383</v>
      </c>
      <c r="Z1444" s="36">
        <v>1.9603208186105283</v>
      </c>
      <c r="AA1444" s="29" t="s">
        <v>820</v>
      </c>
      <c r="AB1444" s="31">
        <v>5.58730459213</v>
      </c>
      <c r="AC1444" s="38">
        <v>233.0</v>
      </c>
    </row>
    <row r="1445" ht="14.25" customHeight="1">
      <c r="A1445" s="29" t="s">
        <v>378</v>
      </c>
      <c r="B1445" s="29">
        <v>14.0</v>
      </c>
      <c r="C1445" s="29" t="s">
        <v>608</v>
      </c>
      <c r="D1445" s="29" t="s">
        <v>1195</v>
      </c>
      <c r="E1445" s="29">
        <v>148.0</v>
      </c>
      <c r="F1445" s="30" t="s">
        <v>1196</v>
      </c>
      <c r="G1445" s="29" t="s">
        <v>626</v>
      </c>
      <c r="H1445" s="31">
        <v>70.0</v>
      </c>
      <c r="I1445" s="29" t="s">
        <v>616</v>
      </c>
      <c r="J1445" s="32" t="s">
        <v>642</v>
      </c>
      <c r="K1445" s="29" t="s">
        <v>698</v>
      </c>
      <c r="L1445" s="29" t="s">
        <v>910</v>
      </c>
      <c r="M1445" s="33">
        <v>12.48</v>
      </c>
      <c r="N1445" s="33">
        <v>3.06</v>
      </c>
      <c r="O1445" s="34" t="s">
        <v>601</v>
      </c>
      <c r="P1445" s="32" t="s">
        <v>602</v>
      </c>
      <c r="Q1445" s="35">
        <v>27.0</v>
      </c>
      <c r="R1445" s="35">
        <v>13.0</v>
      </c>
      <c r="S1445" s="36">
        <v>2.78</v>
      </c>
      <c r="T1445" s="36">
        <v>1.38</v>
      </c>
      <c r="U1445" s="36">
        <v>10.0286</v>
      </c>
      <c r="V1445" s="36">
        <v>5.6247</v>
      </c>
      <c r="W1445" s="37" t="s">
        <v>1281</v>
      </c>
      <c r="X1445" s="31">
        <v>30.0</v>
      </c>
      <c r="Y1445" s="36">
        <v>0.7004954912509312</v>
      </c>
      <c r="Z1445" s="36">
        <v>1.7598790307548136</v>
      </c>
      <c r="AA1445" s="29" t="s">
        <v>820</v>
      </c>
      <c r="AB1445" s="31">
        <v>5.58730459213</v>
      </c>
      <c r="AC1445" s="38">
        <v>233.0</v>
      </c>
    </row>
    <row r="1446" ht="14.25" customHeight="1">
      <c r="A1446" s="29" t="s">
        <v>378</v>
      </c>
      <c r="B1446" s="29">
        <v>14.0</v>
      </c>
      <c r="C1446" s="29" t="s">
        <v>608</v>
      </c>
      <c r="D1446" s="29" t="s">
        <v>1035</v>
      </c>
      <c r="E1446" s="29">
        <v>176.0</v>
      </c>
      <c r="F1446" s="30" t="s">
        <v>1036</v>
      </c>
      <c r="G1446" s="29" t="s">
        <v>615</v>
      </c>
      <c r="H1446" s="31">
        <v>0.6</v>
      </c>
      <c r="I1446" s="29" t="s">
        <v>597</v>
      </c>
      <c r="J1446" s="32" t="s">
        <v>642</v>
      </c>
      <c r="K1446" s="29" t="s">
        <v>698</v>
      </c>
      <c r="L1446" s="29" t="s">
        <v>910</v>
      </c>
      <c r="M1446" s="33">
        <v>12.48</v>
      </c>
      <c r="N1446" s="33">
        <v>3.06</v>
      </c>
      <c r="O1446" s="34" t="s">
        <v>601</v>
      </c>
      <c r="P1446" s="32" t="s">
        <v>602</v>
      </c>
      <c r="Q1446" s="35">
        <v>31.0</v>
      </c>
      <c r="R1446" s="35">
        <v>13.0</v>
      </c>
      <c r="S1446" s="36">
        <v>1.32</v>
      </c>
      <c r="T1446" s="36">
        <v>2.31</v>
      </c>
      <c r="U1446" s="36">
        <v>7.0711</v>
      </c>
      <c r="V1446" s="36">
        <v>6.6342</v>
      </c>
      <c r="W1446" s="37" t="s">
        <v>1281</v>
      </c>
      <c r="X1446" s="31">
        <v>1.5</v>
      </c>
      <c r="Y1446" s="36">
        <v>-0.5591643934412195</v>
      </c>
      <c r="Z1446" s="36">
        <v>1.5601556298229189</v>
      </c>
      <c r="AA1446" s="29" t="s">
        <v>820</v>
      </c>
      <c r="AB1446" s="31">
        <v>5.58730459213</v>
      </c>
      <c r="AC1446" s="38">
        <v>233.0</v>
      </c>
    </row>
    <row r="1447" ht="14.25" customHeight="1">
      <c r="A1447" s="29" t="s">
        <v>378</v>
      </c>
      <c r="B1447" s="29">
        <v>14.0</v>
      </c>
      <c r="C1447" s="29" t="s">
        <v>608</v>
      </c>
      <c r="D1447" s="29" t="s">
        <v>1035</v>
      </c>
      <c r="E1447" s="29">
        <v>176.0</v>
      </c>
      <c r="F1447" s="30" t="s">
        <v>1036</v>
      </c>
      <c r="G1447" s="29" t="s">
        <v>615</v>
      </c>
      <c r="H1447" s="31">
        <v>0.6</v>
      </c>
      <c r="I1447" s="29" t="s">
        <v>597</v>
      </c>
      <c r="J1447" s="32" t="s">
        <v>642</v>
      </c>
      <c r="K1447" s="29" t="s">
        <v>698</v>
      </c>
      <c r="L1447" s="29" t="s">
        <v>910</v>
      </c>
      <c r="M1447" s="33">
        <v>12.48</v>
      </c>
      <c r="N1447" s="33">
        <v>3.06</v>
      </c>
      <c r="O1447" s="34" t="s">
        <v>601</v>
      </c>
      <c r="P1447" s="32" t="s">
        <v>602</v>
      </c>
      <c r="Q1447" s="35">
        <v>19.0</v>
      </c>
      <c r="R1447" s="35">
        <v>13.0</v>
      </c>
      <c r="S1447" s="36">
        <v>2.74</v>
      </c>
      <c r="T1447" s="36">
        <v>2.31</v>
      </c>
      <c r="U1447" s="36">
        <v>5.5794</v>
      </c>
      <c r="V1447" s="36">
        <v>6.6342</v>
      </c>
      <c r="W1447" s="37" t="s">
        <v>1281</v>
      </c>
      <c r="X1447" s="31">
        <v>15.0</v>
      </c>
      <c r="Y1447" s="36">
        <v>0.1709278814234099</v>
      </c>
      <c r="Z1447" s="36">
        <v>0.8527010470726236</v>
      </c>
      <c r="AA1447" s="29" t="s">
        <v>820</v>
      </c>
      <c r="AB1447" s="31">
        <v>5.58730459213</v>
      </c>
      <c r="AC1447" s="38">
        <v>233.0</v>
      </c>
    </row>
    <row r="1448" ht="14.25" customHeight="1">
      <c r="A1448" s="29" t="s">
        <v>378</v>
      </c>
      <c r="B1448" s="29">
        <v>14.0</v>
      </c>
      <c r="C1448" s="29" t="s">
        <v>608</v>
      </c>
      <c r="D1448" s="29" t="s">
        <v>1035</v>
      </c>
      <c r="E1448" s="29">
        <v>176.0</v>
      </c>
      <c r="F1448" s="30" t="s">
        <v>1036</v>
      </c>
      <c r="G1448" s="29" t="s">
        <v>615</v>
      </c>
      <c r="H1448" s="31">
        <v>0.6</v>
      </c>
      <c r="I1448" s="29" t="s">
        <v>597</v>
      </c>
      <c r="J1448" s="32" t="s">
        <v>642</v>
      </c>
      <c r="K1448" s="29" t="s">
        <v>698</v>
      </c>
      <c r="L1448" s="29" t="s">
        <v>910</v>
      </c>
      <c r="M1448" s="33">
        <v>12.48</v>
      </c>
      <c r="N1448" s="33">
        <v>3.06</v>
      </c>
      <c r="O1448" s="34" t="s">
        <v>601</v>
      </c>
      <c r="P1448" s="32" t="s">
        <v>602</v>
      </c>
      <c r="Q1448" s="35">
        <v>27.0</v>
      </c>
      <c r="R1448" s="35">
        <v>13.0</v>
      </c>
      <c r="S1448" s="36">
        <v>3.55</v>
      </c>
      <c r="T1448" s="36">
        <v>2.31</v>
      </c>
      <c r="U1448" s="36">
        <v>12.211</v>
      </c>
      <c r="V1448" s="36">
        <v>6.6342</v>
      </c>
      <c r="W1448" s="37" t="s">
        <v>1281</v>
      </c>
      <c r="X1448" s="31">
        <v>30.0</v>
      </c>
      <c r="Y1448" s="36">
        <v>0.4298679452103918</v>
      </c>
      <c r="Z1448" s="36">
        <v>1.0726778296829798</v>
      </c>
      <c r="AA1448" s="29" t="s">
        <v>820</v>
      </c>
      <c r="AB1448" s="31">
        <v>5.58730459213</v>
      </c>
      <c r="AC1448" s="38">
        <v>233.0</v>
      </c>
    </row>
    <row r="1449" ht="14.25" customHeight="1">
      <c r="A1449" s="29" t="s">
        <v>378</v>
      </c>
      <c r="B1449" s="29">
        <v>14.0</v>
      </c>
      <c r="C1449" s="29" t="s">
        <v>608</v>
      </c>
      <c r="D1449" s="29" t="s">
        <v>771</v>
      </c>
      <c r="E1449" s="29">
        <v>184.0</v>
      </c>
      <c r="F1449" s="30" t="s">
        <v>772</v>
      </c>
      <c r="G1449" s="29" t="s">
        <v>626</v>
      </c>
      <c r="H1449" s="31">
        <v>580.0</v>
      </c>
      <c r="I1449" s="29" t="s">
        <v>612</v>
      </c>
      <c r="J1449" s="32" t="s">
        <v>642</v>
      </c>
      <c r="K1449" s="29" t="s">
        <v>698</v>
      </c>
      <c r="L1449" s="29" t="s">
        <v>910</v>
      </c>
      <c r="M1449" s="33">
        <v>12.48</v>
      </c>
      <c r="N1449" s="33">
        <v>3.06</v>
      </c>
      <c r="O1449" s="34" t="s">
        <v>601</v>
      </c>
      <c r="P1449" s="32" t="s">
        <v>602</v>
      </c>
      <c r="Q1449" s="35">
        <v>31.0</v>
      </c>
      <c r="R1449" s="35">
        <v>13.0</v>
      </c>
      <c r="S1449" s="36">
        <v>0.032</v>
      </c>
      <c r="T1449" s="36">
        <v>1.0</v>
      </c>
      <c r="U1449" s="36">
        <v>0.1789</v>
      </c>
      <c r="V1449" s="36">
        <v>5.5165</v>
      </c>
      <c r="W1449" s="37" t="s">
        <v>1281</v>
      </c>
      <c r="X1449" s="31">
        <v>1.5</v>
      </c>
      <c r="Y1449" s="36">
        <v>-3.4339892684707642</v>
      </c>
      <c r="Z1449" s="36">
        <v>3.349134199325372</v>
      </c>
      <c r="AA1449" s="29" t="s">
        <v>820</v>
      </c>
      <c r="AB1449" s="31">
        <v>5.58730459213</v>
      </c>
      <c r="AC1449" s="38">
        <v>233.0</v>
      </c>
    </row>
    <row r="1450" ht="14.25" customHeight="1">
      <c r="A1450" s="29" t="s">
        <v>378</v>
      </c>
      <c r="B1450" s="29">
        <v>14.0</v>
      </c>
      <c r="C1450" s="29" t="s">
        <v>608</v>
      </c>
      <c r="D1450" s="29" t="s">
        <v>771</v>
      </c>
      <c r="E1450" s="29">
        <v>184.0</v>
      </c>
      <c r="F1450" s="30" t="s">
        <v>772</v>
      </c>
      <c r="G1450" s="29" t="s">
        <v>626</v>
      </c>
      <c r="H1450" s="31">
        <v>580.0</v>
      </c>
      <c r="I1450" s="29" t="s">
        <v>612</v>
      </c>
      <c r="J1450" s="32" t="s">
        <v>642</v>
      </c>
      <c r="K1450" s="29" t="s">
        <v>698</v>
      </c>
      <c r="L1450" s="29" t="s">
        <v>910</v>
      </c>
      <c r="M1450" s="33">
        <v>12.48</v>
      </c>
      <c r="N1450" s="33">
        <v>3.06</v>
      </c>
      <c r="O1450" s="34" t="s">
        <v>601</v>
      </c>
      <c r="P1450" s="32" t="s">
        <v>602</v>
      </c>
      <c r="Q1450" s="35">
        <v>19.0</v>
      </c>
      <c r="R1450" s="35">
        <v>13.0</v>
      </c>
      <c r="S1450" s="36">
        <v>0.21</v>
      </c>
      <c r="T1450" s="36">
        <v>1.0</v>
      </c>
      <c r="U1450" s="36">
        <v>1.8307</v>
      </c>
      <c r="V1450" s="36">
        <v>5.5165</v>
      </c>
      <c r="W1450" s="37" t="s">
        <v>1281</v>
      </c>
      <c r="X1450" s="31">
        <v>15.0</v>
      </c>
      <c r="Y1450" s="36">
        <v>-1.559419940728846</v>
      </c>
      <c r="Z1450" s="36">
        <v>6.3407414450297</v>
      </c>
      <c r="AA1450" s="29" t="s">
        <v>820</v>
      </c>
      <c r="AB1450" s="31">
        <v>5.58730459213</v>
      </c>
      <c r="AC1450" s="38">
        <v>233.0</v>
      </c>
    </row>
    <row r="1451" ht="14.25" customHeight="1">
      <c r="A1451" s="29" t="s">
        <v>378</v>
      </c>
      <c r="B1451" s="29">
        <v>14.0</v>
      </c>
      <c r="C1451" s="29" t="s">
        <v>608</v>
      </c>
      <c r="D1451" s="29" t="s">
        <v>771</v>
      </c>
      <c r="E1451" s="29">
        <v>184.0</v>
      </c>
      <c r="F1451" s="30" t="s">
        <v>772</v>
      </c>
      <c r="G1451" s="29" t="s">
        <v>626</v>
      </c>
      <c r="H1451" s="31">
        <v>580.0</v>
      </c>
      <c r="I1451" s="29" t="s">
        <v>612</v>
      </c>
      <c r="J1451" s="32" t="s">
        <v>642</v>
      </c>
      <c r="K1451" s="29" t="s">
        <v>698</v>
      </c>
      <c r="L1451" s="29" t="s">
        <v>910</v>
      </c>
      <c r="M1451" s="33">
        <v>12.48</v>
      </c>
      <c r="N1451" s="33">
        <v>3.06</v>
      </c>
      <c r="O1451" s="34" t="s">
        <v>601</v>
      </c>
      <c r="P1451" s="32" t="s">
        <v>602</v>
      </c>
      <c r="Q1451" s="35">
        <v>27.0</v>
      </c>
      <c r="R1451" s="35">
        <v>13.0</v>
      </c>
      <c r="S1451" s="36">
        <v>0.33</v>
      </c>
      <c r="T1451" s="36">
        <v>1.0</v>
      </c>
      <c r="U1451" s="36">
        <v>2.4942</v>
      </c>
      <c r="V1451" s="36">
        <v>5.5165</v>
      </c>
      <c r="W1451" s="37" t="s">
        <v>1281</v>
      </c>
      <c r="X1451" s="31">
        <v>30.0</v>
      </c>
      <c r="Y1451" s="36">
        <v>-1.1078811180500374</v>
      </c>
      <c r="Z1451" s="36">
        <v>4.456687498310612</v>
      </c>
      <c r="AA1451" s="29" t="s">
        <v>820</v>
      </c>
      <c r="AB1451" s="31">
        <v>5.58730459213</v>
      </c>
      <c r="AC1451" s="38">
        <v>233.0</v>
      </c>
    </row>
    <row r="1452" ht="14.25" customHeight="1">
      <c r="A1452" s="29" t="s">
        <v>378</v>
      </c>
      <c r="B1452" s="29">
        <v>14.0</v>
      </c>
      <c r="C1452" s="29" t="s">
        <v>608</v>
      </c>
      <c r="D1452" s="29" t="s">
        <v>773</v>
      </c>
      <c r="E1452" s="29">
        <v>191.0</v>
      </c>
      <c r="F1452" s="30" t="s">
        <v>774</v>
      </c>
      <c r="G1452" s="29" t="s">
        <v>615</v>
      </c>
      <c r="H1452" s="31">
        <v>3.18</v>
      </c>
      <c r="I1452" s="29" t="s">
        <v>612</v>
      </c>
      <c r="J1452" s="32" t="s">
        <v>642</v>
      </c>
      <c r="K1452" s="29" t="s">
        <v>698</v>
      </c>
      <c r="L1452" s="29" t="s">
        <v>910</v>
      </c>
      <c r="M1452" s="33">
        <v>12.48</v>
      </c>
      <c r="N1452" s="33">
        <v>3.06</v>
      </c>
      <c r="O1452" s="34" t="s">
        <v>601</v>
      </c>
      <c r="P1452" s="32" t="s">
        <v>602</v>
      </c>
      <c r="Q1452" s="35">
        <v>31.0</v>
      </c>
      <c r="R1452" s="35">
        <v>13.0</v>
      </c>
      <c r="S1452" s="36">
        <v>0.26</v>
      </c>
      <c r="T1452" s="36">
        <v>0.15</v>
      </c>
      <c r="U1452" s="36">
        <v>2.8396</v>
      </c>
      <c r="V1452" s="36">
        <v>1.3341</v>
      </c>
      <c r="W1452" s="37" t="s">
        <v>1281</v>
      </c>
      <c r="X1452" s="31">
        <v>1.5</v>
      </c>
      <c r="Y1452" s="36">
        <v>0.5501951708060461</v>
      </c>
      <c r="Z1452" s="36">
        <v>9.932606319526627</v>
      </c>
      <c r="AA1452" s="29" t="s">
        <v>820</v>
      </c>
      <c r="AB1452" s="31">
        <v>5.58730459213</v>
      </c>
      <c r="AC1452" s="38">
        <v>233.0</v>
      </c>
    </row>
    <row r="1453" ht="14.25" customHeight="1">
      <c r="A1453" s="29" t="s">
        <v>378</v>
      </c>
      <c r="B1453" s="29">
        <v>14.0</v>
      </c>
      <c r="C1453" s="29" t="s">
        <v>608</v>
      </c>
      <c r="D1453" s="29" t="s">
        <v>773</v>
      </c>
      <c r="E1453" s="29">
        <v>191.0</v>
      </c>
      <c r="F1453" s="30" t="s">
        <v>774</v>
      </c>
      <c r="G1453" s="29" t="s">
        <v>615</v>
      </c>
      <c r="H1453" s="31">
        <v>3.18</v>
      </c>
      <c r="I1453" s="29" t="s">
        <v>612</v>
      </c>
      <c r="J1453" s="32" t="s">
        <v>642</v>
      </c>
      <c r="K1453" s="29" t="s">
        <v>698</v>
      </c>
      <c r="L1453" s="29" t="s">
        <v>910</v>
      </c>
      <c r="M1453" s="33">
        <v>12.48</v>
      </c>
      <c r="N1453" s="33">
        <v>3.06</v>
      </c>
      <c r="O1453" s="34" t="s">
        <v>601</v>
      </c>
      <c r="P1453" s="32" t="s">
        <v>602</v>
      </c>
      <c r="Q1453" s="35">
        <v>19.0</v>
      </c>
      <c r="R1453" s="35">
        <v>13.0</v>
      </c>
      <c r="S1453" s="36">
        <v>0.26</v>
      </c>
      <c r="T1453" s="36">
        <v>0.15</v>
      </c>
      <c r="U1453" s="36">
        <v>2.223</v>
      </c>
      <c r="V1453" s="36">
        <v>1.3341</v>
      </c>
      <c r="W1453" s="37" t="s">
        <v>1281</v>
      </c>
      <c r="X1453" s="31">
        <v>15.0</v>
      </c>
      <c r="Y1453" s="36">
        <v>0.5501951708060461</v>
      </c>
      <c r="Z1453" s="36">
        <v>9.932364307692307</v>
      </c>
      <c r="AA1453" s="29" t="s">
        <v>820</v>
      </c>
      <c r="AB1453" s="31">
        <v>5.58730459213</v>
      </c>
      <c r="AC1453" s="38">
        <v>233.0</v>
      </c>
    </row>
    <row r="1454" ht="14.25" customHeight="1">
      <c r="A1454" s="29" t="s">
        <v>378</v>
      </c>
      <c r="B1454" s="29">
        <v>14.0</v>
      </c>
      <c r="C1454" s="29" t="s">
        <v>608</v>
      </c>
      <c r="D1454" s="29" t="s">
        <v>773</v>
      </c>
      <c r="E1454" s="29">
        <v>191.0</v>
      </c>
      <c r="F1454" s="30" t="s">
        <v>774</v>
      </c>
      <c r="G1454" s="29" t="s">
        <v>615</v>
      </c>
      <c r="H1454" s="31">
        <v>3.18</v>
      </c>
      <c r="I1454" s="29" t="s">
        <v>612</v>
      </c>
      <c r="J1454" s="32" t="s">
        <v>642</v>
      </c>
      <c r="K1454" s="29" t="s">
        <v>698</v>
      </c>
      <c r="L1454" s="29" t="s">
        <v>910</v>
      </c>
      <c r="M1454" s="33">
        <v>12.48</v>
      </c>
      <c r="N1454" s="33">
        <v>3.06</v>
      </c>
      <c r="O1454" s="34" t="s">
        <v>601</v>
      </c>
      <c r="P1454" s="32" t="s">
        <v>602</v>
      </c>
      <c r="Q1454" s="35">
        <v>27.0</v>
      </c>
      <c r="R1454" s="35">
        <v>13.0</v>
      </c>
      <c r="S1454" s="36">
        <v>0.33</v>
      </c>
      <c r="T1454" s="36">
        <v>0.15</v>
      </c>
      <c r="U1454" s="36">
        <v>2.8579</v>
      </c>
      <c r="V1454" s="36">
        <v>1.3341</v>
      </c>
      <c r="W1454" s="37" t="s">
        <v>1281</v>
      </c>
      <c r="X1454" s="31">
        <v>30.0</v>
      </c>
      <c r="Y1454" s="36">
        <v>0.7885746252775699</v>
      </c>
      <c r="Z1454" s="36">
        <v>8.862673514235858</v>
      </c>
      <c r="AA1454" s="29" t="s">
        <v>820</v>
      </c>
      <c r="AB1454" s="31">
        <v>5.58730459213</v>
      </c>
      <c r="AC1454" s="38">
        <v>233.0</v>
      </c>
    </row>
    <row r="1455" ht="14.25" customHeight="1">
      <c r="A1455" s="29" t="s">
        <v>378</v>
      </c>
      <c r="B1455" s="29">
        <v>14.0</v>
      </c>
      <c r="C1455" s="29" t="s">
        <v>608</v>
      </c>
      <c r="D1455" s="29" t="s">
        <v>1199</v>
      </c>
      <c r="E1455" s="29">
        <v>199.0</v>
      </c>
      <c r="F1455" s="30" t="s">
        <v>1200</v>
      </c>
      <c r="G1455" s="29" t="s">
        <v>626</v>
      </c>
      <c r="H1455" s="31">
        <v>78.0</v>
      </c>
      <c r="I1455" s="29" t="s">
        <v>612</v>
      </c>
      <c r="J1455" s="32" t="s">
        <v>642</v>
      </c>
      <c r="K1455" s="29" t="s">
        <v>698</v>
      </c>
      <c r="L1455" s="29" t="s">
        <v>910</v>
      </c>
      <c r="M1455" s="33">
        <v>12.48</v>
      </c>
      <c r="N1455" s="33">
        <v>3.06</v>
      </c>
      <c r="O1455" s="34" t="s">
        <v>601</v>
      </c>
      <c r="P1455" s="32" t="s">
        <v>602</v>
      </c>
      <c r="Q1455" s="35">
        <v>31.0</v>
      </c>
      <c r="R1455" s="35">
        <v>13.0</v>
      </c>
      <c r="S1455" s="36">
        <v>0.9</v>
      </c>
      <c r="T1455" s="36">
        <v>0.46</v>
      </c>
      <c r="U1455" s="36">
        <v>5.7905</v>
      </c>
      <c r="V1455" s="36">
        <v>3.4974</v>
      </c>
      <c r="W1455" s="37" t="s">
        <v>1281</v>
      </c>
      <c r="X1455" s="31">
        <v>1.5</v>
      </c>
      <c r="Y1455" s="36">
        <v>0.6713001307594063</v>
      </c>
      <c r="Z1455" s="36">
        <v>5.781956365140104</v>
      </c>
      <c r="AA1455" s="29" t="s">
        <v>820</v>
      </c>
      <c r="AB1455" s="31">
        <v>5.58730459213</v>
      </c>
      <c r="AC1455" s="38">
        <v>233.0</v>
      </c>
    </row>
    <row r="1456" ht="14.25" customHeight="1">
      <c r="A1456" s="29" t="s">
        <v>378</v>
      </c>
      <c r="B1456" s="29">
        <v>14.0</v>
      </c>
      <c r="C1456" s="29" t="s">
        <v>608</v>
      </c>
      <c r="D1456" s="29" t="s">
        <v>1199</v>
      </c>
      <c r="E1456" s="29">
        <v>199.0</v>
      </c>
      <c r="F1456" s="30" t="s">
        <v>1200</v>
      </c>
      <c r="G1456" s="29" t="s">
        <v>626</v>
      </c>
      <c r="H1456" s="31">
        <v>78.0</v>
      </c>
      <c r="I1456" s="29" t="s">
        <v>612</v>
      </c>
      <c r="J1456" s="32" t="s">
        <v>642</v>
      </c>
      <c r="K1456" s="29" t="s">
        <v>698</v>
      </c>
      <c r="L1456" s="29" t="s">
        <v>910</v>
      </c>
      <c r="M1456" s="33">
        <v>12.48</v>
      </c>
      <c r="N1456" s="33">
        <v>3.06</v>
      </c>
      <c r="O1456" s="34" t="s">
        <v>601</v>
      </c>
      <c r="P1456" s="32" t="s">
        <v>602</v>
      </c>
      <c r="Q1456" s="35">
        <v>19.0</v>
      </c>
      <c r="R1456" s="35">
        <v>13.0</v>
      </c>
      <c r="S1456" s="36">
        <v>1.1</v>
      </c>
      <c r="T1456" s="36">
        <v>0.46</v>
      </c>
      <c r="U1456" s="36">
        <v>3.7922</v>
      </c>
      <c r="V1456" s="36">
        <v>3.4974</v>
      </c>
      <c r="W1456" s="37" t="s">
        <v>1281</v>
      </c>
      <c r="X1456" s="31">
        <v>15.0</v>
      </c>
      <c r="Y1456" s="36">
        <v>0.8719468535295793</v>
      </c>
      <c r="Z1456" s="36">
        <v>5.072159471550022</v>
      </c>
      <c r="AA1456" s="29" t="s">
        <v>820</v>
      </c>
      <c r="AB1456" s="31">
        <v>5.58730459213</v>
      </c>
      <c r="AC1456" s="38">
        <v>233.0</v>
      </c>
    </row>
    <row r="1457" ht="14.25" customHeight="1">
      <c r="A1457" s="29" t="s">
        <v>378</v>
      </c>
      <c r="B1457" s="29">
        <v>14.0</v>
      </c>
      <c r="C1457" s="29" t="s">
        <v>608</v>
      </c>
      <c r="D1457" s="29" t="s">
        <v>1199</v>
      </c>
      <c r="E1457" s="29">
        <v>199.0</v>
      </c>
      <c r="F1457" s="30" t="s">
        <v>1200</v>
      </c>
      <c r="G1457" s="29" t="s">
        <v>626</v>
      </c>
      <c r="H1457" s="31">
        <v>78.0</v>
      </c>
      <c r="I1457" s="29" t="s">
        <v>612</v>
      </c>
      <c r="J1457" s="32" t="s">
        <v>642</v>
      </c>
      <c r="K1457" s="29" t="s">
        <v>698</v>
      </c>
      <c r="L1457" s="29" t="s">
        <v>910</v>
      </c>
      <c r="M1457" s="33">
        <v>12.48</v>
      </c>
      <c r="N1457" s="33">
        <v>3.06</v>
      </c>
      <c r="O1457" s="34" t="s">
        <v>601</v>
      </c>
      <c r="P1457" s="32" t="s">
        <v>602</v>
      </c>
      <c r="Q1457" s="35">
        <v>27.0</v>
      </c>
      <c r="R1457" s="35">
        <v>13.0</v>
      </c>
      <c r="S1457" s="36">
        <v>0.22</v>
      </c>
      <c r="T1457" s="36">
        <v>0.46</v>
      </c>
      <c r="U1457" s="36">
        <v>2.1824</v>
      </c>
      <c r="V1457" s="36">
        <v>3.4974</v>
      </c>
      <c r="W1457" s="37" t="s">
        <v>1281</v>
      </c>
      <c r="X1457" s="31">
        <v>30.0</v>
      </c>
      <c r="Y1457" s="36">
        <v>-0.737059638351895</v>
      </c>
      <c r="Z1457" s="36">
        <v>8.091317645506493</v>
      </c>
      <c r="AA1457" s="29" t="s">
        <v>820</v>
      </c>
      <c r="AB1457" s="31">
        <v>5.58730459213</v>
      </c>
      <c r="AC1457" s="38">
        <v>233.0</v>
      </c>
    </row>
    <row r="1458" ht="14.25" customHeight="1">
      <c r="A1458" s="29" t="s">
        <v>387</v>
      </c>
      <c r="B1458" s="29">
        <v>26.0</v>
      </c>
      <c r="C1458" s="29" t="s">
        <v>608</v>
      </c>
      <c r="D1458" s="42" t="s">
        <v>1284</v>
      </c>
      <c r="E1458" s="29">
        <v>149.0</v>
      </c>
      <c r="F1458" s="30" t="s">
        <v>1285</v>
      </c>
      <c r="G1458" s="29" t="s">
        <v>611</v>
      </c>
      <c r="H1458" s="31">
        <v>6.5</v>
      </c>
      <c r="I1458" s="29" t="s">
        <v>597</v>
      </c>
      <c r="J1458" s="32" t="s">
        <v>642</v>
      </c>
      <c r="K1458" s="29" t="s">
        <v>951</v>
      </c>
      <c r="L1458" s="29" t="s">
        <v>1266</v>
      </c>
      <c r="M1458" s="33">
        <v>115.817</v>
      </c>
      <c r="N1458" s="33">
        <v>2.883</v>
      </c>
      <c r="O1458" s="34" t="s">
        <v>641</v>
      </c>
      <c r="P1458" s="32" t="s">
        <v>602</v>
      </c>
      <c r="Q1458" s="35">
        <v>19.0</v>
      </c>
      <c r="R1458" s="35">
        <v>44.0</v>
      </c>
      <c r="S1458" s="36">
        <v>5.57</v>
      </c>
      <c r="T1458" s="36">
        <v>17.67</v>
      </c>
      <c r="U1458" s="36">
        <v>2.3601</v>
      </c>
      <c r="V1458" s="36">
        <v>4.2036</v>
      </c>
      <c r="W1458" s="37" t="s">
        <v>1286</v>
      </c>
      <c r="X1458" s="31">
        <v>0.5</v>
      </c>
      <c r="Y1458" s="36">
        <v>-1.1536551069096763</v>
      </c>
      <c r="Z1458" s="36">
        <v>0.010735463799757549</v>
      </c>
      <c r="AA1458" s="29" t="s">
        <v>820</v>
      </c>
      <c r="AB1458" s="31">
        <v>0.257849812508</v>
      </c>
      <c r="AC1458" s="38">
        <v>3846.0</v>
      </c>
    </row>
    <row r="1459" ht="14.25" customHeight="1">
      <c r="A1459" s="29" t="s">
        <v>387</v>
      </c>
      <c r="B1459" s="29">
        <v>26.0</v>
      </c>
      <c r="C1459" s="29" t="s">
        <v>608</v>
      </c>
      <c r="D1459" s="42" t="s">
        <v>1284</v>
      </c>
      <c r="E1459" s="29">
        <v>149.0</v>
      </c>
      <c r="F1459" s="30" t="s">
        <v>1285</v>
      </c>
      <c r="G1459" s="29" t="s">
        <v>611</v>
      </c>
      <c r="H1459" s="31">
        <v>6.5</v>
      </c>
      <c r="I1459" s="29" t="s">
        <v>597</v>
      </c>
      <c r="J1459" s="32" t="s">
        <v>642</v>
      </c>
      <c r="K1459" s="29" t="s">
        <v>951</v>
      </c>
      <c r="L1459" s="29" t="s">
        <v>1266</v>
      </c>
      <c r="M1459" s="33">
        <v>115.817</v>
      </c>
      <c r="N1459" s="33">
        <v>2.883</v>
      </c>
      <c r="O1459" s="34" t="s">
        <v>641</v>
      </c>
      <c r="P1459" s="32" t="s">
        <v>602</v>
      </c>
      <c r="Q1459" s="35">
        <v>19.0</v>
      </c>
      <c r="R1459" s="35">
        <v>44.0</v>
      </c>
      <c r="S1459" s="36">
        <v>4.81</v>
      </c>
      <c r="T1459" s="36">
        <v>17.67</v>
      </c>
      <c r="U1459" s="36">
        <v>2.1932</v>
      </c>
      <c r="V1459" s="36">
        <v>4.2036</v>
      </c>
      <c r="W1459" s="37" t="s">
        <v>1286</v>
      </c>
      <c r="X1459" s="31">
        <v>1.0</v>
      </c>
      <c r="Y1459" s="36">
        <v>-1.3002238707146037</v>
      </c>
      <c r="Z1459" s="36">
        <v>0.012228628516848467</v>
      </c>
      <c r="AA1459" s="29" t="s">
        <v>820</v>
      </c>
      <c r="AB1459" s="31">
        <v>0.257849812508</v>
      </c>
      <c r="AC1459" s="38">
        <v>3846.0</v>
      </c>
    </row>
    <row r="1460" ht="14.25" customHeight="1">
      <c r="A1460" s="29" t="s">
        <v>387</v>
      </c>
      <c r="B1460" s="29">
        <v>26.0</v>
      </c>
      <c r="C1460" s="29" t="s">
        <v>608</v>
      </c>
      <c r="D1460" s="42" t="s">
        <v>1284</v>
      </c>
      <c r="E1460" s="29">
        <v>149.0</v>
      </c>
      <c r="F1460" s="30" t="s">
        <v>1285</v>
      </c>
      <c r="G1460" s="29" t="s">
        <v>611</v>
      </c>
      <c r="H1460" s="31">
        <v>6.5</v>
      </c>
      <c r="I1460" s="29" t="s">
        <v>597</v>
      </c>
      <c r="J1460" s="32" t="s">
        <v>642</v>
      </c>
      <c r="K1460" s="29" t="s">
        <v>951</v>
      </c>
      <c r="L1460" s="29" t="s">
        <v>1266</v>
      </c>
      <c r="M1460" s="33">
        <v>115.817</v>
      </c>
      <c r="N1460" s="33">
        <v>2.883</v>
      </c>
      <c r="O1460" s="34" t="s">
        <v>641</v>
      </c>
      <c r="P1460" s="32" t="s">
        <v>602</v>
      </c>
      <c r="Q1460" s="35">
        <v>20.0</v>
      </c>
      <c r="R1460" s="35">
        <v>44.0</v>
      </c>
      <c r="S1460" s="36">
        <v>7.4</v>
      </c>
      <c r="T1460" s="36">
        <v>17.67</v>
      </c>
      <c r="U1460" s="36">
        <v>2.7203</v>
      </c>
      <c r="V1460" s="36">
        <v>4.2036</v>
      </c>
      <c r="W1460" s="37" t="s">
        <v>1286</v>
      </c>
      <c r="X1460" s="31">
        <v>1.25</v>
      </c>
      <c r="Y1460" s="36">
        <v>-0.8697724185731337</v>
      </c>
      <c r="Z1460" s="36">
        <v>0.008043011189549636</v>
      </c>
      <c r="AA1460" s="29" t="s">
        <v>820</v>
      </c>
      <c r="AB1460" s="31">
        <v>0.257849812508</v>
      </c>
      <c r="AC1460" s="38">
        <v>3846.0</v>
      </c>
    </row>
    <row r="1461" ht="14.25" customHeight="1">
      <c r="A1461" s="29" t="s">
        <v>387</v>
      </c>
      <c r="B1461" s="29">
        <v>26.0</v>
      </c>
      <c r="C1461" s="29" t="s">
        <v>608</v>
      </c>
      <c r="D1461" s="42" t="s">
        <v>1284</v>
      </c>
      <c r="E1461" s="29">
        <v>149.0</v>
      </c>
      <c r="F1461" s="30" t="s">
        <v>1285</v>
      </c>
      <c r="G1461" s="29" t="s">
        <v>611</v>
      </c>
      <c r="H1461" s="31">
        <v>6.5</v>
      </c>
      <c r="I1461" s="29" t="s">
        <v>597</v>
      </c>
      <c r="J1461" s="32" t="s">
        <v>642</v>
      </c>
      <c r="K1461" s="29" t="s">
        <v>951</v>
      </c>
      <c r="L1461" s="29" t="s">
        <v>1266</v>
      </c>
      <c r="M1461" s="33">
        <v>115.817</v>
      </c>
      <c r="N1461" s="33">
        <v>2.883</v>
      </c>
      <c r="O1461" s="34" t="s">
        <v>641</v>
      </c>
      <c r="P1461" s="32" t="s">
        <v>602</v>
      </c>
      <c r="Q1461" s="35">
        <v>44.0</v>
      </c>
      <c r="R1461" s="35">
        <v>44.0</v>
      </c>
      <c r="S1461" s="36">
        <v>17.67</v>
      </c>
      <c r="T1461" s="36">
        <v>17.67</v>
      </c>
      <c r="U1461" s="36">
        <v>4.2036</v>
      </c>
      <c r="V1461" s="36">
        <v>4.2036</v>
      </c>
      <c r="W1461" s="37" t="s">
        <v>1286</v>
      </c>
      <c r="X1461" s="31">
        <v>3.0</v>
      </c>
      <c r="Y1461" s="36">
        <v>2.5796466027220563E-4</v>
      </c>
      <c r="Z1461" s="36">
        <v>0.0025724502644170226</v>
      </c>
      <c r="AA1461" s="29" t="s">
        <v>820</v>
      </c>
      <c r="AB1461" s="31">
        <v>0.257849812508</v>
      </c>
      <c r="AC1461" s="38">
        <v>3846.0</v>
      </c>
    </row>
    <row r="1462" ht="14.25" customHeight="1">
      <c r="A1462" s="29" t="s">
        <v>387</v>
      </c>
      <c r="B1462" s="29">
        <v>26.0</v>
      </c>
      <c r="C1462" s="29" t="s">
        <v>608</v>
      </c>
      <c r="D1462" s="42" t="s">
        <v>1284</v>
      </c>
      <c r="E1462" s="29">
        <v>149.0</v>
      </c>
      <c r="F1462" s="30" t="s">
        <v>1285</v>
      </c>
      <c r="G1462" s="29" t="s">
        <v>611</v>
      </c>
      <c r="H1462" s="31">
        <v>6.5</v>
      </c>
      <c r="I1462" s="29" t="s">
        <v>597</v>
      </c>
      <c r="J1462" s="32" t="s">
        <v>642</v>
      </c>
      <c r="K1462" s="29" t="s">
        <v>951</v>
      </c>
      <c r="L1462" s="29" t="s">
        <v>1266</v>
      </c>
      <c r="M1462" s="33">
        <v>115.817</v>
      </c>
      <c r="N1462" s="33">
        <v>2.883</v>
      </c>
      <c r="O1462" s="34" t="s">
        <v>641</v>
      </c>
      <c r="P1462" s="32" t="s">
        <v>602</v>
      </c>
      <c r="Q1462" s="35">
        <v>6.0</v>
      </c>
      <c r="R1462" s="35">
        <v>44.0</v>
      </c>
      <c r="S1462" s="36">
        <v>9.5</v>
      </c>
      <c r="T1462" s="36">
        <v>17.67</v>
      </c>
      <c r="U1462" s="36">
        <v>3.0822</v>
      </c>
      <c r="V1462" s="36">
        <v>4.2036</v>
      </c>
      <c r="W1462" s="37" t="s">
        <v>1286</v>
      </c>
      <c r="X1462" s="31">
        <v>4.25</v>
      </c>
      <c r="Y1462" s="36">
        <v>-0.6200967266678621</v>
      </c>
      <c r="Z1462" s="36">
        <v>0.018830005076806846</v>
      </c>
      <c r="AA1462" s="29" t="s">
        <v>820</v>
      </c>
      <c r="AB1462" s="31">
        <v>0.257849812508</v>
      </c>
      <c r="AC1462" s="38">
        <v>3846.0</v>
      </c>
    </row>
    <row r="1463" ht="14.25" customHeight="1">
      <c r="A1463" s="29" t="s">
        <v>387</v>
      </c>
      <c r="B1463" s="29">
        <v>26.0</v>
      </c>
      <c r="C1463" s="29" t="s">
        <v>608</v>
      </c>
      <c r="D1463" s="42" t="s">
        <v>1284</v>
      </c>
      <c r="E1463" s="29">
        <v>149.0</v>
      </c>
      <c r="F1463" s="30" t="s">
        <v>1285</v>
      </c>
      <c r="G1463" s="29" t="s">
        <v>611</v>
      </c>
      <c r="H1463" s="31">
        <v>6.5</v>
      </c>
      <c r="I1463" s="29" t="s">
        <v>597</v>
      </c>
      <c r="J1463" s="32" t="s">
        <v>642</v>
      </c>
      <c r="K1463" s="29" t="s">
        <v>951</v>
      </c>
      <c r="L1463" s="29" t="s">
        <v>1266</v>
      </c>
      <c r="M1463" s="33">
        <v>115.817</v>
      </c>
      <c r="N1463" s="33">
        <v>2.883</v>
      </c>
      <c r="O1463" s="34" t="s">
        <v>641</v>
      </c>
      <c r="P1463" s="32" t="s">
        <v>602</v>
      </c>
      <c r="Q1463" s="35">
        <v>44.0</v>
      </c>
      <c r="R1463" s="35">
        <v>44.0</v>
      </c>
      <c r="S1463" s="36">
        <v>19.11</v>
      </c>
      <c r="T1463" s="36">
        <v>17.67</v>
      </c>
      <c r="U1463" s="36">
        <v>4.3715</v>
      </c>
      <c r="V1463" s="36">
        <v>4.2036</v>
      </c>
      <c r="W1463" s="37" t="s">
        <v>1286</v>
      </c>
      <c r="X1463" s="31">
        <v>4.5</v>
      </c>
      <c r="Y1463" s="36">
        <v>0.0785820004316352</v>
      </c>
      <c r="Z1463" s="36">
        <v>0.002475512798144529</v>
      </c>
      <c r="AA1463" s="29" t="s">
        <v>820</v>
      </c>
      <c r="AB1463" s="31">
        <v>0.257849812508</v>
      </c>
      <c r="AC1463" s="38">
        <v>3846.0</v>
      </c>
    </row>
    <row r="1464" ht="14.25" customHeight="1">
      <c r="A1464" s="29" t="s">
        <v>391</v>
      </c>
      <c r="B1464" s="29">
        <v>71.0</v>
      </c>
      <c r="C1464" s="29" t="s">
        <v>608</v>
      </c>
      <c r="D1464" s="29" t="s">
        <v>1064</v>
      </c>
      <c r="E1464" s="29">
        <v>18.0</v>
      </c>
      <c r="F1464" s="30" t="s">
        <v>1065</v>
      </c>
      <c r="G1464" s="29" t="s">
        <v>615</v>
      </c>
      <c r="H1464" s="31">
        <v>1.93</v>
      </c>
      <c r="I1464" s="29" t="s">
        <v>612</v>
      </c>
      <c r="J1464" s="32" t="s">
        <v>598</v>
      </c>
      <c r="K1464" s="29" t="s">
        <v>698</v>
      </c>
      <c r="L1464" s="29" t="s">
        <v>1287</v>
      </c>
      <c r="M1464" s="33">
        <v>16.262</v>
      </c>
      <c r="N1464" s="33">
        <v>2.964</v>
      </c>
      <c r="O1464" s="34" t="s">
        <v>601</v>
      </c>
      <c r="P1464" s="32" t="s">
        <v>602</v>
      </c>
      <c r="Q1464" s="35">
        <v>6.0</v>
      </c>
      <c r="R1464" s="35">
        <v>6.0</v>
      </c>
      <c r="S1464" s="36">
        <v>2.7</v>
      </c>
      <c r="T1464" s="36">
        <v>5.3</v>
      </c>
      <c r="U1464" s="36">
        <v>1.6432</v>
      </c>
      <c r="V1464" s="36">
        <v>2.3022</v>
      </c>
      <c r="W1464" s="37" t="s">
        <v>623</v>
      </c>
      <c r="X1464" s="31">
        <v>2.5</v>
      </c>
      <c r="Y1464" s="36">
        <v>-0.673948735352526</v>
      </c>
      <c r="Z1464" s="36">
        <v>0.09317810555463583</v>
      </c>
      <c r="AA1464" s="29" t="s">
        <v>820</v>
      </c>
      <c r="AB1464" s="31">
        <v>5.19089746475</v>
      </c>
      <c r="AC1464" s="38">
        <v>259.0</v>
      </c>
    </row>
    <row r="1465" ht="14.25" customHeight="1">
      <c r="A1465" s="29" t="s">
        <v>391</v>
      </c>
      <c r="B1465" s="29">
        <v>71.0</v>
      </c>
      <c r="C1465" s="29" t="s">
        <v>608</v>
      </c>
      <c r="D1465" s="29" t="s">
        <v>1064</v>
      </c>
      <c r="E1465" s="29">
        <v>18.0</v>
      </c>
      <c r="F1465" s="30" t="s">
        <v>1065</v>
      </c>
      <c r="G1465" s="29" t="s">
        <v>615</v>
      </c>
      <c r="H1465" s="31">
        <v>1.93</v>
      </c>
      <c r="I1465" s="29" t="s">
        <v>612</v>
      </c>
      <c r="J1465" s="32" t="s">
        <v>598</v>
      </c>
      <c r="K1465" s="29" t="s">
        <v>698</v>
      </c>
      <c r="L1465" s="29" t="s">
        <v>1287</v>
      </c>
      <c r="M1465" s="33">
        <v>16.262</v>
      </c>
      <c r="N1465" s="33">
        <v>2.964</v>
      </c>
      <c r="O1465" s="34" t="s">
        <v>601</v>
      </c>
      <c r="P1465" s="32" t="s">
        <v>602</v>
      </c>
      <c r="Q1465" s="35">
        <v>6.0</v>
      </c>
      <c r="R1465" s="35">
        <v>6.0</v>
      </c>
      <c r="S1465" s="36">
        <v>3.6</v>
      </c>
      <c r="T1465" s="36">
        <v>5.3</v>
      </c>
      <c r="U1465" s="36">
        <v>1.8974</v>
      </c>
      <c r="V1465" s="36">
        <v>2.3022</v>
      </c>
      <c r="W1465" s="37" t="s">
        <v>623</v>
      </c>
      <c r="X1465" s="31">
        <v>7.5</v>
      </c>
      <c r="Y1465" s="36">
        <v>-0.3863932169185861</v>
      </c>
      <c r="Z1465" s="36">
        <v>0.07774520803520284</v>
      </c>
      <c r="AA1465" s="29" t="s">
        <v>820</v>
      </c>
      <c r="AB1465" s="31">
        <v>5.19089746475</v>
      </c>
      <c r="AC1465" s="38">
        <v>259.0</v>
      </c>
    </row>
    <row r="1466" ht="14.25" customHeight="1">
      <c r="A1466" s="29" t="s">
        <v>391</v>
      </c>
      <c r="B1466" s="29">
        <v>71.0</v>
      </c>
      <c r="C1466" s="29" t="s">
        <v>608</v>
      </c>
      <c r="D1466" s="29" t="s">
        <v>1045</v>
      </c>
      <c r="E1466" s="29">
        <v>33.0</v>
      </c>
      <c r="F1466" s="30" t="s">
        <v>1046</v>
      </c>
      <c r="G1466" s="29" t="s">
        <v>626</v>
      </c>
      <c r="H1466" s="31">
        <v>18.25</v>
      </c>
      <c r="I1466" s="29" t="s">
        <v>612</v>
      </c>
      <c r="J1466" s="32" t="s">
        <v>598</v>
      </c>
      <c r="K1466" s="29" t="s">
        <v>698</v>
      </c>
      <c r="L1466" s="29" t="s">
        <v>1287</v>
      </c>
      <c r="M1466" s="33">
        <v>16.262</v>
      </c>
      <c r="N1466" s="33">
        <v>2.964</v>
      </c>
      <c r="O1466" s="34" t="s">
        <v>601</v>
      </c>
      <c r="P1466" s="32" t="s">
        <v>602</v>
      </c>
      <c r="Q1466" s="35">
        <v>6.0</v>
      </c>
      <c r="R1466" s="35">
        <v>6.0</v>
      </c>
      <c r="S1466" s="36">
        <v>0.9</v>
      </c>
      <c r="T1466" s="36">
        <v>1.0</v>
      </c>
      <c r="U1466" s="36">
        <v>0.9487</v>
      </c>
      <c r="V1466" s="36">
        <v>1.0</v>
      </c>
      <c r="W1466" s="37" t="s">
        <v>623</v>
      </c>
      <c r="X1466" s="31">
        <v>2.5</v>
      </c>
      <c r="Y1466" s="36">
        <v>-0.10507389236485536</v>
      </c>
      <c r="Z1466" s="36">
        <v>0.3518583724279835</v>
      </c>
      <c r="AA1466" s="29" t="s">
        <v>820</v>
      </c>
      <c r="AB1466" s="31">
        <v>5.19089746475</v>
      </c>
      <c r="AC1466" s="38">
        <v>259.0</v>
      </c>
    </row>
    <row r="1467" ht="14.25" customHeight="1">
      <c r="A1467" s="29" t="s">
        <v>391</v>
      </c>
      <c r="B1467" s="29">
        <v>71.0</v>
      </c>
      <c r="C1467" s="29" t="s">
        <v>608</v>
      </c>
      <c r="D1467" s="29" t="s">
        <v>1045</v>
      </c>
      <c r="E1467" s="29">
        <v>33.0</v>
      </c>
      <c r="F1467" s="30" t="s">
        <v>1046</v>
      </c>
      <c r="G1467" s="29" t="s">
        <v>626</v>
      </c>
      <c r="H1467" s="31">
        <v>18.25</v>
      </c>
      <c r="I1467" s="29" t="s">
        <v>612</v>
      </c>
      <c r="J1467" s="32" t="s">
        <v>598</v>
      </c>
      <c r="K1467" s="29" t="s">
        <v>698</v>
      </c>
      <c r="L1467" s="29" t="s">
        <v>1287</v>
      </c>
      <c r="M1467" s="33">
        <v>16.262</v>
      </c>
      <c r="N1467" s="33">
        <v>2.964</v>
      </c>
      <c r="O1467" s="34" t="s">
        <v>601</v>
      </c>
      <c r="P1467" s="32" t="s">
        <v>602</v>
      </c>
      <c r="Q1467" s="35">
        <v>6.0</v>
      </c>
      <c r="R1467" s="35">
        <v>6.0</v>
      </c>
      <c r="S1467" s="36">
        <v>1.2</v>
      </c>
      <c r="T1467" s="36">
        <v>1.0</v>
      </c>
      <c r="U1467" s="36">
        <v>1.0954</v>
      </c>
      <c r="V1467" s="36">
        <v>1.0</v>
      </c>
      <c r="W1467" s="37" t="s">
        <v>623</v>
      </c>
      <c r="X1467" s="31">
        <v>7.5</v>
      </c>
      <c r="Y1467" s="36">
        <v>0.18253653196515027</v>
      </c>
      <c r="Z1467" s="36">
        <v>0.3055441157407407</v>
      </c>
      <c r="AA1467" s="29" t="s">
        <v>820</v>
      </c>
      <c r="AB1467" s="31">
        <v>5.19089746475</v>
      </c>
      <c r="AC1467" s="38">
        <v>259.0</v>
      </c>
    </row>
    <row r="1468" ht="14.25" customHeight="1">
      <c r="A1468" s="29" t="s">
        <v>391</v>
      </c>
      <c r="B1468" s="29">
        <v>71.0</v>
      </c>
      <c r="C1468" s="29" t="s">
        <v>608</v>
      </c>
      <c r="D1468" s="29" t="s">
        <v>1047</v>
      </c>
      <c r="E1468" s="29">
        <v>37.0</v>
      </c>
      <c r="F1468" s="30" t="s">
        <v>1048</v>
      </c>
      <c r="G1468" s="29" t="s">
        <v>626</v>
      </c>
      <c r="H1468" s="31">
        <v>20.0</v>
      </c>
      <c r="I1468" s="29" t="s">
        <v>612</v>
      </c>
      <c r="J1468" s="32" t="s">
        <v>598</v>
      </c>
      <c r="K1468" s="29" t="s">
        <v>698</v>
      </c>
      <c r="L1468" s="29" t="s">
        <v>1287</v>
      </c>
      <c r="M1468" s="33">
        <v>16.262</v>
      </c>
      <c r="N1468" s="33">
        <v>2.964</v>
      </c>
      <c r="O1468" s="34" t="s">
        <v>601</v>
      </c>
      <c r="P1468" s="32" t="s">
        <v>602</v>
      </c>
      <c r="Q1468" s="35">
        <v>6.0</v>
      </c>
      <c r="R1468" s="35">
        <v>6.0</v>
      </c>
      <c r="S1468" s="36">
        <v>1.8</v>
      </c>
      <c r="T1468" s="36">
        <v>2.0</v>
      </c>
      <c r="U1468" s="36">
        <v>1.3416</v>
      </c>
      <c r="V1468" s="36">
        <v>1.4142</v>
      </c>
      <c r="W1468" s="37" t="s">
        <v>623</v>
      </c>
      <c r="X1468" s="31">
        <v>2.5</v>
      </c>
      <c r="Y1468" s="36">
        <v>-0.10507389236485536</v>
      </c>
      <c r="Z1468" s="36">
        <v>0.17591869796296294</v>
      </c>
      <c r="AA1468" s="29" t="s">
        <v>820</v>
      </c>
      <c r="AB1468" s="31">
        <v>5.19089746475</v>
      </c>
      <c r="AC1468" s="38">
        <v>259.0</v>
      </c>
    </row>
    <row r="1469" ht="14.25" customHeight="1">
      <c r="A1469" s="29" t="s">
        <v>391</v>
      </c>
      <c r="B1469" s="29">
        <v>71.0</v>
      </c>
      <c r="C1469" s="29" t="s">
        <v>608</v>
      </c>
      <c r="D1469" s="29" t="s">
        <v>1047</v>
      </c>
      <c r="E1469" s="29">
        <v>37.0</v>
      </c>
      <c r="F1469" s="30" t="s">
        <v>1048</v>
      </c>
      <c r="G1469" s="29" t="s">
        <v>626</v>
      </c>
      <c r="H1469" s="31">
        <v>20.0</v>
      </c>
      <c r="I1469" s="29" t="s">
        <v>612</v>
      </c>
      <c r="J1469" s="32" t="s">
        <v>598</v>
      </c>
      <c r="K1469" s="29" t="s">
        <v>698</v>
      </c>
      <c r="L1469" s="29" t="s">
        <v>1287</v>
      </c>
      <c r="M1469" s="33">
        <v>16.262</v>
      </c>
      <c r="N1469" s="33">
        <v>2.964</v>
      </c>
      <c r="O1469" s="34" t="s">
        <v>601</v>
      </c>
      <c r="P1469" s="32" t="s">
        <v>602</v>
      </c>
      <c r="Q1469" s="35">
        <v>6.0</v>
      </c>
      <c r="R1469" s="35">
        <v>6.0</v>
      </c>
      <c r="S1469" s="36">
        <v>1.2</v>
      </c>
      <c r="T1469" s="36">
        <v>2.0</v>
      </c>
      <c r="U1469" s="36">
        <v>1.0954</v>
      </c>
      <c r="V1469" s="36">
        <v>1.4142</v>
      </c>
      <c r="W1469" s="37" t="s">
        <v>623</v>
      </c>
      <c r="X1469" s="31">
        <v>7.5</v>
      </c>
      <c r="Y1469" s="36">
        <v>-0.5103957196279908</v>
      </c>
      <c r="Z1469" s="36">
        <v>0.22220918407407403</v>
      </c>
      <c r="AA1469" s="29" t="s">
        <v>820</v>
      </c>
      <c r="AB1469" s="31">
        <v>5.19089746475</v>
      </c>
      <c r="AC1469" s="38">
        <v>259.0</v>
      </c>
    </row>
    <row r="1470" ht="14.25" customHeight="1">
      <c r="A1470" s="29" t="s">
        <v>391</v>
      </c>
      <c r="B1470" s="29">
        <v>71.0</v>
      </c>
      <c r="C1470" s="29" t="s">
        <v>608</v>
      </c>
      <c r="D1470" s="29" t="s">
        <v>781</v>
      </c>
      <c r="E1470" s="29">
        <v>136.0</v>
      </c>
      <c r="F1470" s="30" t="s">
        <v>782</v>
      </c>
      <c r="G1470" s="29" t="s">
        <v>626</v>
      </c>
      <c r="H1470" s="31">
        <v>4.9</v>
      </c>
      <c r="I1470" s="29" t="s">
        <v>597</v>
      </c>
      <c r="J1470" s="32" t="s">
        <v>598</v>
      </c>
      <c r="K1470" s="29" t="s">
        <v>698</v>
      </c>
      <c r="L1470" s="29" t="s">
        <v>1287</v>
      </c>
      <c r="M1470" s="33">
        <v>16.262</v>
      </c>
      <c r="N1470" s="33">
        <v>2.964</v>
      </c>
      <c r="O1470" s="34" t="s">
        <v>601</v>
      </c>
      <c r="P1470" s="32" t="s">
        <v>602</v>
      </c>
      <c r="Q1470" s="35">
        <v>6.0</v>
      </c>
      <c r="R1470" s="35">
        <v>6.0</v>
      </c>
      <c r="S1470" s="36">
        <v>10.7</v>
      </c>
      <c r="T1470" s="36">
        <v>20.4</v>
      </c>
      <c r="U1470" s="36">
        <v>3.2711</v>
      </c>
      <c r="V1470" s="36">
        <v>4.5166</v>
      </c>
      <c r="W1470" s="37" t="s">
        <v>623</v>
      </c>
      <c r="X1470" s="31">
        <v>2.5</v>
      </c>
      <c r="Y1470" s="36">
        <v>-0.6447993964021517</v>
      </c>
      <c r="Z1470" s="36">
        <v>0.023746267294230943</v>
      </c>
      <c r="AA1470" s="29" t="s">
        <v>820</v>
      </c>
      <c r="AB1470" s="31">
        <v>5.19089746475</v>
      </c>
      <c r="AC1470" s="38">
        <v>259.0</v>
      </c>
    </row>
    <row r="1471" ht="14.25" customHeight="1">
      <c r="A1471" s="29" t="s">
        <v>391</v>
      </c>
      <c r="B1471" s="29">
        <v>71.0</v>
      </c>
      <c r="C1471" s="29" t="s">
        <v>608</v>
      </c>
      <c r="D1471" s="29" t="s">
        <v>781</v>
      </c>
      <c r="E1471" s="29">
        <v>136.0</v>
      </c>
      <c r="F1471" s="30" t="s">
        <v>782</v>
      </c>
      <c r="G1471" s="29" t="s">
        <v>626</v>
      </c>
      <c r="H1471" s="31">
        <v>4.9</v>
      </c>
      <c r="I1471" s="29" t="s">
        <v>597</v>
      </c>
      <c r="J1471" s="32" t="s">
        <v>598</v>
      </c>
      <c r="K1471" s="29" t="s">
        <v>698</v>
      </c>
      <c r="L1471" s="29" t="s">
        <v>1287</v>
      </c>
      <c r="M1471" s="33">
        <v>16.262</v>
      </c>
      <c r="N1471" s="33">
        <v>2.964</v>
      </c>
      <c r="O1471" s="34" t="s">
        <v>601</v>
      </c>
      <c r="P1471" s="32" t="s">
        <v>602</v>
      </c>
      <c r="Q1471" s="35">
        <v>6.0</v>
      </c>
      <c r="R1471" s="35">
        <v>6.0</v>
      </c>
      <c r="S1471" s="36">
        <v>14.8</v>
      </c>
      <c r="T1471" s="36">
        <v>20.4</v>
      </c>
      <c r="U1471" s="36">
        <v>3.8471</v>
      </c>
      <c r="V1471" s="36">
        <v>4.5166</v>
      </c>
      <c r="W1471" s="37" t="s">
        <v>623</v>
      </c>
      <c r="X1471" s="31">
        <v>7.5</v>
      </c>
      <c r="Y1471" s="36">
        <v>-0.3205521645207998</v>
      </c>
      <c r="Z1471" s="36">
        <v>0.01943120171924531</v>
      </c>
      <c r="AA1471" s="29" t="s">
        <v>820</v>
      </c>
      <c r="AB1471" s="31">
        <v>5.19089746475</v>
      </c>
      <c r="AC1471" s="38">
        <v>259.0</v>
      </c>
    </row>
    <row r="1472" ht="14.25" customHeight="1">
      <c r="A1472" s="29" t="s">
        <v>400</v>
      </c>
      <c r="B1472" s="29">
        <v>68.0</v>
      </c>
      <c r="C1472" s="29" t="s">
        <v>608</v>
      </c>
      <c r="D1472" s="29" t="s">
        <v>961</v>
      </c>
      <c r="E1472" s="29">
        <v>73.0</v>
      </c>
      <c r="F1472" s="30" t="s">
        <v>962</v>
      </c>
      <c r="G1472" s="29" t="s">
        <v>615</v>
      </c>
      <c r="H1472" s="31">
        <v>2.67</v>
      </c>
      <c r="I1472" s="29" t="s">
        <v>616</v>
      </c>
      <c r="J1472" s="32" t="s">
        <v>598</v>
      </c>
      <c r="K1472" s="29" t="s">
        <v>840</v>
      </c>
      <c r="L1472" s="29" t="s">
        <v>841</v>
      </c>
      <c r="M1472" s="33">
        <v>-89.633</v>
      </c>
      <c r="N1472" s="33">
        <v>17.394</v>
      </c>
      <c r="O1472" s="34" t="s">
        <v>601</v>
      </c>
      <c r="P1472" s="32" t="s">
        <v>602</v>
      </c>
      <c r="Q1472" s="35">
        <v>6.0</v>
      </c>
      <c r="R1472" s="35">
        <v>6.0</v>
      </c>
      <c r="S1472" s="36">
        <v>7.52</v>
      </c>
      <c r="T1472" s="36">
        <v>10.5</v>
      </c>
      <c r="U1472" s="36">
        <v>2.42</v>
      </c>
      <c r="V1472" s="36">
        <v>2.99</v>
      </c>
      <c r="W1472" s="37" t="s">
        <v>623</v>
      </c>
      <c r="X1472" s="31">
        <v>8.0</v>
      </c>
      <c r="Y1472" s="36">
        <v>-0.3334489475915012</v>
      </c>
      <c r="Z1472" s="36">
        <v>0.0307750099871446</v>
      </c>
      <c r="AA1472" s="29" t="s">
        <v>820</v>
      </c>
      <c r="AB1472" s="31">
        <v>6.95739412308</v>
      </c>
      <c r="AC1472" s="38">
        <v>315.0</v>
      </c>
    </row>
    <row r="1473" ht="14.25" customHeight="1">
      <c r="A1473" s="29" t="s">
        <v>400</v>
      </c>
      <c r="B1473" s="29">
        <v>68.0</v>
      </c>
      <c r="C1473" s="29" t="s">
        <v>608</v>
      </c>
      <c r="D1473" s="29" t="s">
        <v>851</v>
      </c>
      <c r="E1473" s="29">
        <v>102.0</v>
      </c>
      <c r="F1473" s="30" t="s">
        <v>852</v>
      </c>
      <c r="G1473" s="29" t="s">
        <v>626</v>
      </c>
      <c r="H1473" s="31">
        <v>16.5</v>
      </c>
      <c r="I1473" s="29" t="s">
        <v>612</v>
      </c>
      <c r="J1473" s="32" t="s">
        <v>598</v>
      </c>
      <c r="K1473" s="29" t="s">
        <v>840</v>
      </c>
      <c r="L1473" s="29" t="s">
        <v>841</v>
      </c>
      <c r="M1473" s="33">
        <v>-89.633</v>
      </c>
      <c r="N1473" s="33">
        <v>17.394</v>
      </c>
      <c r="O1473" s="34" t="s">
        <v>601</v>
      </c>
      <c r="P1473" s="32" t="s">
        <v>602</v>
      </c>
      <c r="Q1473" s="35">
        <v>6.0</v>
      </c>
      <c r="R1473" s="35">
        <v>6.0</v>
      </c>
      <c r="S1473" s="36">
        <v>1.76</v>
      </c>
      <c r="T1473" s="36">
        <v>3.11</v>
      </c>
      <c r="U1473" s="36">
        <v>0.35</v>
      </c>
      <c r="V1473" s="36">
        <v>0.74</v>
      </c>
      <c r="W1473" s="37" t="s">
        <v>623</v>
      </c>
      <c r="X1473" s="31">
        <v>8.0</v>
      </c>
      <c r="Y1473" s="36">
        <v>-0.5688531269490948</v>
      </c>
      <c r="Z1473" s="36">
        <v>0.016027199896396935</v>
      </c>
      <c r="AA1473" s="29" t="s">
        <v>820</v>
      </c>
      <c r="AB1473" s="31">
        <v>6.95739412308</v>
      </c>
      <c r="AC1473" s="38">
        <v>315.0</v>
      </c>
    </row>
    <row r="1474" ht="14.25" customHeight="1">
      <c r="A1474" s="29" t="s">
        <v>400</v>
      </c>
      <c r="B1474" s="29">
        <v>68.0</v>
      </c>
      <c r="C1474" s="29" t="s">
        <v>608</v>
      </c>
      <c r="D1474" s="35" t="s">
        <v>627</v>
      </c>
      <c r="E1474" s="29">
        <v>111.0</v>
      </c>
      <c r="F1474" s="39" t="s">
        <v>628</v>
      </c>
      <c r="G1474" s="29" t="s">
        <v>629</v>
      </c>
      <c r="H1474" s="31">
        <v>3.79</v>
      </c>
      <c r="I1474" s="29" t="s">
        <v>597</v>
      </c>
      <c r="J1474" s="32" t="s">
        <v>598</v>
      </c>
      <c r="K1474" s="29" t="s">
        <v>840</v>
      </c>
      <c r="L1474" s="29" t="s">
        <v>841</v>
      </c>
      <c r="M1474" s="33">
        <v>-89.633</v>
      </c>
      <c r="N1474" s="33">
        <v>17.394</v>
      </c>
      <c r="O1474" s="34" t="s">
        <v>601</v>
      </c>
      <c r="P1474" s="32" t="s">
        <v>602</v>
      </c>
      <c r="Q1474" s="35">
        <v>6.0</v>
      </c>
      <c r="R1474" s="35">
        <v>6.0</v>
      </c>
      <c r="S1474" s="36">
        <v>52.89</v>
      </c>
      <c r="T1474" s="36">
        <v>22.58</v>
      </c>
      <c r="U1474" s="36">
        <v>15.31</v>
      </c>
      <c r="V1474" s="36">
        <v>3.93</v>
      </c>
      <c r="W1474" s="37" t="s">
        <v>623</v>
      </c>
      <c r="X1474" s="31">
        <v>8.0</v>
      </c>
      <c r="Y1474" s="36">
        <v>0.8512598657511066</v>
      </c>
      <c r="Z1474" s="36">
        <v>0.019014130064694722</v>
      </c>
      <c r="AA1474" s="29" t="s">
        <v>820</v>
      </c>
      <c r="AB1474" s="31">
        <v>6.95739412308</v>
      </c>
      <c r="AC1474" s="38">
        <v>315.0</v>
      </c>
    </row>
    <row r="1475" ht="14.25" customHeight="1">
      <c r="A1475" s="29" t="s">
        <v>400</v>
      </c>
      <c r="B1475" s="29">
        <v>68.0</v>
      </c>
      <c r="C1475" s="29" t="s">
        <v>608</v>
      </c>
      <c r="D1475" s="29" t="s">
        <v>855</v>
      </c>
      <c r="E1475" s="29">
        <v>114.0</v>
      </c>
      <c r="F1475" s="30" t="s">
        <v>856</v>
      </c>
      <c r="G1475" s="29" t="s">
        <v>626</v>
      </c>
      <c r="H1475" s="31">
        <v>55.51</v>
      </c>
      <c r="I1475" s="29" t="s">
        <v>612</v>
      </c>
      <c r="J1475" s="32" t="s">
        <v>598</v>
      </c>
      <c r="K1475" s="29" t="s">
        <v>840</v>
      </c>
      <c r="L1475" s="29" t="s">
        <v>841</v>
      </c>
      <c r="M1475" s="33">
        <v>-89.633</v>
      </c>
      <c r="N1475" s="33">
        <v>17.394</v>
      </c>
      <c r="O1475" s="34" t="s">
        <v>601</v>
      </c>
      <c r="P1475" s="32" t="s">
        <v>602</v>
      </c>
      <c r="Q1475" s="35">
        <v>6.0</v>
      </c>
      <c r="R1475" s="35">
        <v>6.0</v>
      </c>
      <c r="S1475" s="36">
        <v>1.32</v>
      </c>
      <c r="T1475" s="36">
        <v>1.18</v>
      </c>
      <c r="U1475" s="36">
        <v>0.52</v>
      </c>
      <c r="V1475" s="36">
        <v>0.38</v>
      </c>
      <c r="W1475" s="37" t="s">
        <v>623</v>
      </c>
      <c r="X1475" s="31">
        <v>8.0</v>
      </c>
      <c r="Y1475" s="36">
        <v>0.1123479060472144</v>
      </c>
      <c r="Z1475" s="36">
        <v>0.04314901295915111</v>
      </c>
      <c r="AA1475" s="29" t="s">
        <v>820</v>
      </c>
      <c r="AB1475" s="31">
        <v>6.95739412308</v>
      </c>
      <c r="AC1475" s="38">
        <v>315.0</v>
      </c>
    </row>
    <row r="1476" ht="14.25" customHeight="1">
      <c r="A1476" s="29" t="s">
        <v>400</v>
      </c>
      <c r="B1476" s="29">
        <v>68.0</v>
      </c>
      <c r="C1476" s="29" t="s">
        <v>608</v>
      </c>
      <c r="D1476" s="29" t="s">
        <v>630</v>
      </c>
      <c r="E1476" s="29">
        <v>129.0</v>
      </c>
      <c r="F1476" s="30" t="s">
        <v>631</v>
      </c>
      <c r="G1476" s="29" t="s">
        <v>626</v>
      </c>
      <c r="H1476" s="31">
        <v>21.27</v>
      </c>
      <c r="I1476" s="29" t="s">
        <v>612</v>
      </c>
      <c r="J1476" s="32" t="s">
        <v>598</v>
      </c>
      <c r="K1476" s="29" t="s">
        <v>840</v>
      </c>
      <c r="L1476" s="29" t="s">
        <v>841</v>
      </c>
      <c r="M1476" s="33">
        <v>-89.633</v>
      </c>
      <c r="N1476" s="33">
        <v>17.394</v>
      </c>
      <c r="O1476" s="34" t="s">
        <v>601</v>
      </c>
      <c r="P1476" s="32" t="s">
        <v>602</v>
      </c>
      <c r="Q1476" s="35">
        <v>6.0</v>
      </c>
      <c r="R1476" s="35">
        <v>6.0</v>
      </c>
      <c r="S1476" s="36">
        <v>2.38</v>
      </c>
      <c r="T1476" s="36">
        <v>8.12</v>
      </c>
      <c r="U1476" s="36">
        <v>1.01</v>
      </c>
      <c r="V1476" s="36">
        <v>2.49</v>
      </c>
      <c r="W1476" s="37" t="s">
        <v>623</v>
      </c>
      <c r="X1476" s="31">
        <v>8.0</v>
      </c>
      <c r="Y1476" s="36">
        <v>-1.2263498254116154</v>
      </c>
      <c r="Z1476" s="36">
        <v>0.0456873427485284</v>
      </c>
      <c r="AA1476" s="29" t="s">
        <v>820</v>
      </c>
      <c r="AB1476" s="31">
        <v>6.95739412308</v>
      </c>
      <c r="AC1476" s="38">
        <v>315.0</v>
      </c>
    </row>
    <row r="1477" ht="14.25" customHeight="1">
      <c r="A1477" s="29" t="s">
        <v>400</v>
      </c>
      <c r="B1477" s="29">
        <v>68.0</v>
      </c>
      <c r="C1477" s="29" t="s">
        <v>608</v>
      </c>
      <c r="D1477" s="29" t="s">
        <v>639</v>
      </c>
      <c r="E1477" s="29">
        <v>190.0</v>
      </c>
      <c r="F1477" s="30" t="s">
        <v>640</v>
      </c>
      <c r="G1477" s="29" t="s">
        <v>626</v>
      </c>
      <c r="H1477" s="31">
        <v>32.23</v>
      </c>
      <c r="I1477" s="29" t="s">
        <v>597</v>
      </c>
      <c r="J1477" s="32" t="s">
        <v>598</v>
      </c>
      <c r="K1477" s="29" t="s">
        <v>840</v>
      </c>
      <c r="L1477" s="29" t="s">
        <v>841</v>
      </c>
      <c r="M1477" s="33">
        <v>-89.633</v>
      </c>
      <c r="N1477" s="33">
        <v>17.394</v>
      </c>
      <c r="O1477" s="34" t="s">
        <v>601</v>
      </c>
      <c r="P1477" s="32" t="s">
        <v>602</v>
      </c>
      <c r="Q1477" s="35">
        <v>6.0</v>
      </c>
      <c r="R1477" s="35">
        <v>6.0</v>
      </c>
      <c r="S1477" s="36">
        <v>0.0</v>
      </c>
      <c r="T1477" s="36">
        <v>9.59</v>
      </c>
      <c r="U1477" s="36">
        <v>0.0</v>
      </c>
      <c r="V1477" s="36">
        <v>7.38</v>
      </c>
      <c r="W1477" s="37" t="s">
        <v>623</v>
      </c>
      <c r="X1477" s="31">
        <v>8.0</v>
      </c>
      <c r="Y1477" s="36">
        <v>-8.262558973010657</v>
      </c>
      <c r="Z1477" s="36">
        <v>0.2683193511452756</v>
      </c>
      <c r="AA1477" s="29" t="s">
        <v>820</v>
      </c>
      <c r="AB1477" s="31">
        <v>6.95739412308</v>
      </c>
      <c r="AC1477" s="38">
        <v>315.0</v>
      </c>
    </row>
    <row r="1478" ht="14.25" customHeight="1">
      <c r="A1478" s="29" t="s">
        <v>1288</v>
      </c>
      <c r="B1478" s="29">
        <v>84.0</v>
      </c>
      <c r="C1478" s="29" t="s">
        <v>593</v>
      </c>
      <c r="D1478" s="29" t="s">
        <v>862</v>
      </c>
      <c r="E1478" s="29">
        <v>104.0</v>
      </c>
      <c r="F1478" s="30" t="s">
        <v>863</v>
      </c>
      <c r="G1478" s="29" t="s">
        <v>607</v>
      </c>
      <c r="H1478" s="31">
        <v>2.77</v>
      </c>
      <c r="I1478" s="29" t="s">
        <v>597</v>
      </c>
      <c r="J1478" s="32" t="s">
        <v>642</v>
      </c>
      <c r="K1478" s="29" t="s">
        <v>599</v>
      </c>
      <c r="L1478" s="29" t="s">
        <v>819</v>
      </c>
      <c r="M1478" s="33">
        <v>-70.917</v>
      </c>
      <c r="N1478" s="33">
        <v>-12.233</v>
      </c>
      <c r="O1478" s="34" t="s">
        <v>641</v>
      </c>
      <c r="P1478" s="32" t="s">
        <v>602</v>
      </c>
      <c r="Q1478" s="35">
        <v>158.0</v>
      </c>
      <c r="R1478" s="35">
        <v>175.0</v>
      </c>
      <c r="S1478" s="36">
        <v>0.0</v>
      </c>
      <c r="T1478" s="36">
        <v>4.2</v>
      </c>
      <c r="U1478" s="36">
        <v>0.0</v>
      </c>
      <c r="V1478" s="36">
        <v>15.8745</v>
      </c>
      <c r="W1478" s="37" t="s">
        <v>623</v>
      </c>
      <c r="X1478" s="31">
        <v>5.5</v>
      </c>
      <c r="Y1478" s="36">
        <v>-6.643789733147672</v>
      </c>
      <c r="Z1478" s="36">
        <v>0.07568803528471801</v>
      </c>
      <c r="AA1478" s="29" t="s">
        <v>820</v>
      </c>
      <c r="AB1478" s="31">
        <v>0.287846595049</v>
      </c>
      <c r="AC1478" s="38">
        <v>482.0</v>
      </c>
    </row>
    <row r="1479" ht="14.25" customHeight="1">
      <c r="A1479" s="29" t="s">
        <v>1288</v>
      </c>
      <c r="B1479" s="29">
        <v>84.0</v>
      </c>
      <c r="C1479" s="29" t="s">
        <v>593</v>
      </c>
      <c r="D1479" s="29" t="s">
        <v>1112</v>
      </c>
      <c r="E1479" s="29">
        <v>130.0</v>
      </c>
      <c r="F1479" s="30" t="s">
        <v>867</v>
      </c>
      <c r="G1479" s="29" t="s">
        <v>607</v>
      </c>
      <c r="H1479" s="31">
        <v>1.49</v>
      </c>
      <c r="I1479" s="29" t="s">
        <v>597</v>
      </c>
      <c r="J1479" s="32" t="s">
        <v>642</v>
      </c>
      <c r="K1479" s="29" t="s">
        <v>599</v>
      </c>
      <c r="L1479" s="29" t="s">
        <v>819</v>
      </c>
      <c r="M1479" s="33">
        <v>-70.917</v>
      </c>
      <c r="N1479" s="33">
        <v>-12.233</v>
      </c>
      <c r="O1479" s="34" t="s">
        <v>641</v>
      </c>
      <c r="P1479" s="32" t="s">
        <v>602</v>
      </c>
      <c r="Q1479" s="35">
        <v>158.0</v>
      </c>
      <c r="R1479" s="35">
        <v>175.0</v>
      </c>
      <c r="S1479" s="36">
        <v>7.6</v>
      </c>
      <c r="T1479" s="36">
        <v>7.8</v>
      </c>
      <c r="U1479" s="36">
        <v>22.6256</v>
      </c>
      <c r="V1479" s="36">
        <v>18.5203</v>
      </c>
      <c r="W1479" s="37" t="s">
        <v>623</v>
      </c>
      <c r="X1479" s="31">
        <v>5.5</v>
      </c>
      <c r="Y1479" s="36">
        <v>-0.024640029838253353</v>
      </c>
      <c r="Z1479" s="36">
        <v>0.08830972867872212</v>
      </c>
      <c r="AA1479" s="29" t="s">
        <v>820</v>
      </c>
      <c r="AB1479" s="31">
        <v>0.287846595049</v>
      </c>
      <c r="AC1479" s="38">
        <v>482.0</v>
      </c>
    </row>
    <row r="1480" ht="14.25" customHeight="1">
      <c r="A1480" s="29" t="s">
        <v>1288</v>
      </c>
      <c r="B1480" s="29">
        <v>84.0</v>
      </c>
      <c r="C1480" s="29" t="s">
        <v>593</v>
      </c>
      <c r="D1480" s="29" t="s">
        <v>875</v>
      </c>
      <c r="E1480" s="29">
        <v>154.0</v>
      </c>
      <c r="F1480" s="30" t="s">
        <v>876</v>
      </c>
      <c r="G1480" s="29" t="s">
        <v>877</v>
      </c>
      <c r="H1480" s="31">
        <v>1.32</v>
      </c>
      <c r="I1480" s="29" t="s">
        <v>597</v>
      </c>
      <c r="J1480" s="32" t="s">
        <v>642</v>
      </c>
      <c r="K1480" s="29" t="s">
        <v>599</v>
      </c>
      <c r="L1480" s="29" t="s">
        <v>819</v>
      </c>
      <c r="M1480" s="33">
        <v>-70.917</v>
      </c>
      <c r="N1480" s="33">
        <v>-12.233</v>
      </c>
      <c r="O1480" s="34" t="s">
        <v>641</v>
      </c>
      <c r="P1480" s="32" t="s">
        <v>602</v>
      </c>
      <c r="Q1480" s="35">
        <v>158.0</v>
      </c>
      <c r="R1480" s="35">
        <v>175.0</v>
      </c>
      <c r="S1480" s="36">
        <v>5.3</v>
      </c>
      <c r="T1480" s="36">
        <v>11.7</v>
      </c>
      <c r="U1480" s="36">
        <v>16.3407</v>
      </c>
      <c r="V1480" s="36">
        <v>25.1346</v>
      </c>
      <c r="W1480" s="37" t="s">
        <v>623</v>
      </c>
      <c r="X1480" s="31">
        <v>5.5</v>
      </c>
      <c r="Y1480" s="36">
        <v>-0.7890117340864601</v>
      </c>
      <c r="Z1480" s="36">
        <v>0.08653487666993517</v>
      </c>
      <c r="AA1480" s="29" t="s">
        <v>820</v>
      </c>
      <c r="AB1480" s="31">
        <v>0.287846595049</v>
      </c>
      <c r="AC1480" s="38">
        <v>482.0</v>
      </c>
    </row>
    <row r="1481" ht="14.25" customHeight="1">
      <c r="A1481" s="29" t="s">
        <v>1288</v>
      </c>
      <c r="B1481" s="29">
        <v>84.0</v>
      </c>
      <c r="C1481" s="29" t="s">
        <v>608</v>
      </c>
      <c r="D1481" s="29" t="s">
        <v>825</v>
      </c>
      <c r="E1481" s="29">
        <v>5.0</v>
      </c>
      <c r="F1481" s="30" t="s">
        <v>826</v>
      </c>
      <c r="G1481" s="29" t="s">
        <v>611</v>
      </c>
      <c r="H1481" s="31">
        <v>6.15</v>
      </c>
      <c r="I1481" s="29" t="s">
        <v>612</v>
      </c>
      <c r="J1481" s="32" t="s">
        <v>642</v>
      </c>
      <c r="K1481" s="29" t="s">
        <v>599</v>
      </c>
      <c r="L1481" s="29" t="s">
        <v>819</v>
      </c>
      <c r="M1481" s="33">
        <v>-70.917</v>
      </c>
      <c r="N1481" s="33">
        <v>-12.233</v>
      </c>
      <c r="O1481" s="34" t="s">
        <v>641</v>
      </c>
      <c r="P1481" s="32" t="s">
        <v>602</v>
      </c>
      <c r="Q1481" s="35">
        <v>158.0</v>
      </c>
      <c r="R1481" s="35">
        <v>175.0</v>
      </c>
      <c r="S1481" s="36">
        <v>1.0</v>
      </c>
      <c r="T1481" s="36">
        <v>1.6</v>
      </c>
      <c r="U1481" s="36">
        <v>3.7709</v>
      </c>
      <c r="V1481" s="36">
        <v>3.9686</v>
      </c>
      <c r="W1481" s="37" t="s">
        <v>623</v>
      </c>
      <c r="X1481" s="31">
        <v>5.5</v>
      </c>
      <c r="Y1481" s="36">
        <v>-0.4695909177252261</v>
      </c>
      <c r="Z1481" s="36">
        <v>0.12515379001695298</v>
      </c>
      <c r="AA1481" s="29" t="s">
        <v>820</v>
      </c>
      <c r="AB1481" s="31">
        <v>0.287846595049</v>
      </c>
      <c r="AC1481" s="38">
        <v>482.0</v>
      </c>
    </row>
    <row r="1482" ht="14.25" customHeight="1">
      <c r="A1482" s="29" t="s">
        <v>1288</v>
      </c>
      <c r="B1482" s="29">
        <v>84.0</v>
      </c>
      <c r="C1482" s="29" t="s">
        <v>608</v>
      </c>
      <c r="D1482" s="29" t="s">
        <v>1289</v>
      </c>
      <c r="E1482" s="29">
        <v>240.0</v>
      </c>
      <c r="F1482" s="30" t="s">
        <v>1290</v>
      </c>
      <c r="G1482" s="29" t="s">
        <v>611</v>
      </c>
      <c r="H1482" s="31">
        <v>1.06</v>
      </c>
      <c r="I1482" s="29" t="s">
        <v>616</v>
      </c>
      <c r="J1482" s="32" t="s">
        <v>642</v>
      </c>
      <c r="K1482" s="29" t="s">
        <v>599</v>
      </c>
      <c r="L1482" s="29" t="s">
        <v>819</v>
      </c>
      <c r="M1482" s="33">
        <v>-70.917</v>
      </c>
      <c r="N1482" s="33">
        <v>-12.233</v>
      </c>
      <c r="O1482" s="34" t="s">
        <v>641</v>
      </c>
      <c r="P1482" s="32" t="s">
        <v>602</v>
      </c>
      <c r="Q1482" s="35">
        <v>158.0</v>
      </c>
      <c r="R1482" s="35">
        <v>175.0</v>
      </c>
      <c r="S1482" s="36">
        <v>25.0</v>
      </c>
      <c r="T1482" s="36">
        <v>16.6</v>
      </c>
      <c r="U1482" s="36">
        <v>47.7653</v>
      </c>
      <c r="V1482" s="36">
        <v>34.3948</v>
      </c>
      <c r="W1482" s="37" t="s">
        <v>623</v>
      </c>
      <c r="X1482" s="31">
        <v>5.5</v>
      </c>
      <c r="Y1482" s="36">
        <v>0.4096444254632279</v>
      </c>
      <c r="Z1482" s="36">
        <v>0.04763594873346523</v>
      </c>
      <c r="AA1482" s="29" t="s">
        <v>820</v>
      </c>
      <c r="AB1482" s="31">
        <v>0.287846595049</v>
      </c>
      <c r="AC1482" s="38">
        <v>482.0</v>
      </c>
    </row>
    <row r="1483" ht="14.25" customHeight="1">
      <c r="A1483" s="29" t="s">
        <v>1288</v>
      </c>
      <c r="B1483" s="29">
        <v>84.0</v>
      </c>
      <c r="C1483" s="29" t="s">
        <v>608</v>
      </c>
      <c r="D1483" s="29" t="s">
        <v>1118</v>
      </c>
      <c r="E1483" s="29">
        <v>15.0</v>
      </c>
      <c r="F1483" s="30" t="s">
        <v>1119</v>
      </c>
      <c r="G1483" s="29" t="s">
        <v>611</v>
      </c>
      <c r="H1483" s="31">
        <v>6.0</v>
      </c>
      <c r="I1483" s="29" t="s">
        <v>597</v>
      </c>
      <c r="J1483" s="32" t="s">
        <v>642</v>
      </c>
      <c r="K1483" s="29" t="s">
        <v>599</v>
      </c>
      <c r="L1483" s="29" t="s">
        <v>819</v>
      </c>
      <c r="M1483" s="33">
        <v>-70.917</v>
      </c>
      <c r="N1483" s="33">
        <v>-12.233</v>
      </c>
      <c r="O1483" s="34" t="s">
        <v>641</v>
      </c>
      <c r="P1483" s="32" t="s">
        <v>602</v>
      </c>
      <c r="Q1483" s="35">
        <v>158.0</v>
      </c>
      <c r="R1483" s="35">
        <v>175.0</v>
      </c>
      <c r="S1483" s="36">
        <v>0.0</v>
      </c>
      <c r="T1483" s="36">
        <v>22.2</v>
      </c>
      <c r="U1483" s="36">
        <v>0.0</v>
      </c>
      <c r="V1483" s="36">
        <v>3.9686</v>
      </c>
      <c r="W1483" s="37" t="s">
        <v>623</v>
      </c>
      <c r="X1483" s="31">
        <v>5.5</v>
      </c>
      <c r="Y1483" s="36">
        <v>-8.262558973010657</v>
      </c>
      <c r="Z1483" s="36">
        <v>0.006550552458911723</v>
      </c>
      <c r="AA1483" s="29" t="s">
        <v>820</v>
      </c>
      <c r="AB1483" s="31">
        <v>0.287846595049</v>
      </c>
      <c r="AC1483" s="38">
        <v>482.0</v>
      </c>
    </row>
    <row r="1484" ht="14.25" customHeight="1">
      <c r="A1484" s="29" t="s">
        <v>1288</v>
      </c>
      <c r="B1484" s="29">
        <v>84.0</v>
      </c>
      <c r="C1484" s="29" t="s">
        <v>608</v>
      </c>
      <c r="D1484" s="29" t="s">
        <v>1138</v>
      </c>
      <c r="E1484" s="29">
        <v>241.0</v>
      </c>
      <c r="F1484" s="30" t="s">
        <v>1139</v>
      </c>
      <c r="G1484" s="29" t="s">
        <v>629</v>
      </c>
      <c r="H1484" s="31">
        <v>7.75</v>
      </c>
      <c r="I1484" s="29" t="s">
        <v>657</v>
      </c>
      <c r="J1484" s="32" t="s">
        <v>642</v>
      </c>
      <c r="K1484" s="29" t="s">
        <v>599</v>
      </c>
      <c r="L1484" s="29" t="s">
        <v>819</v>
      </c>
      <c r="M1484" s="33">
        <v>-70.917</v>
      </c>
      <c r="N1484" s="33">
        <v>-12.233</v>
      </c>
      <c r="O1484" s="34" t="s">
        <v>641</v>
      </c>
      <c r="P1484" s="32" t="s">
        <v>602</v>
      </c>
      <c r="Q1484" s="35">
        <v>3.0</v>
      </c>
      <c r="R1484" s="35">
        <v>3.0</v>
      </c>
      <c r="S1484" s="36">
        <v>0.0</v>
      </c>
      <c r="T1484" s="36">
        <v>1.3333</v>
      </c>
      <c r="U1484" s="36">
        <v>0.0</v>
      </c>
      <c r="V1484" s="36">
        <v>2.3094</v>
      </c>
      <c r="W1484" s="37" t="s">
        <v>780</v>
      </c>
      <c r="X1484" s="31">
        <v>5.5</v>
      </c>
      <c r="Y1484" s="36">
        <v>-8.262558973010657</v>
      </c>
      <c r="Z1484" s="36">
        <v>1.1161117177430877</v>
      </c>
      <c r="AA1484" s="29" t="s">
        <v>820</v>
      </c>
      <c r="AB1484" s="31">
        <v>0.287846595049</v>
      </c>
      <c r="AC1484" s="38">
        <v>482.0</v>
      </c>
    </row>
    <row r="1485" ht="14.25" customHeight="1">
      <c r="A1485" s="29" t="s">
        <v>1288</v>
      </c>
      <c r="B1485" s="29">
        <v>84.0</v>
      </c>
      <c r="C1485" s="29" t="s">
        <v>608</v>
      </c>
      <c r="D1485" s="29" t="s">
        <v>1291</v>
      </c>
      <c r="E1485" s="29">
        <v>242.0</v>
      </c>
      <c r="F1485" s="30" t="s">
        <v>1292</v>
      </c>
      <c r="G1485" s="29" t="s">
        <v>629</v>
      </c>
      <c r="H1485" s="31">
        <v>1.25</v>
      </c>
      <c r="I1485" s="29" t="s">
        <v>597</v>
      </c>
      <c r="J1485" s="32" t="s">
        <v>642</v>
      </c>
      <c r="K1485" s="29" t="s">
        <v>599</v>
      </c>
      <c r="L1485" s="29" t="s">
        <v>819</v>
      </c>
      <c r="M1485" s="33">
        <v>-70.917</v>
      </c>
      <c r="N1485" s="33">
        <v>-12.233</v>
      </c>
      <c r="O1485" s="34" t="s">
        <v>641</v>
      </c>
      <c r="P1485" s="32" t="s">
        <v>602</v>
      </c>
      <c r="Q1485" s="35">
        <v>3.0</v>
      </c>
      <c r="R1485" s="35">
        <v>3.0</v>
      </c>
      <c r="S1485" s="36">
        <v>2.0</v>
      </c>
      <c r="T1485" s="36">
        <v>1.6667</v>
      </c>
      <c r="U1485" s="36">
        <v>3.4641</v>
      </c>
      <c r="V1485" s="36">
        <v>2.0817</v>
      </c>
      <c r="W1485" s="37" t="s">
        <v>780</v>
      </c>
      <c r="X1485" s="31">
        <v>5.5</v>
      </c>
      <c r="Y1485" s="36">
        <v>0.18251653646418914</v>
      </c>
      <c r="Z1485" s="36">
        <v>1.5199952542445319</v>
      </c>
      <c r="AA1485" s="29" t="s">
        <v>820</v>
      </c>
      <c r="AB1485" s="31">
        <v>0.287846595049</v>
      </c>
      <c r="AC1485" s="38">
        <v>482.0</v>
      </c>
    </row>
    <row r="1486" ht="14.25" customHeight="1">
      <c r="A1486" s="29" t="s">
        <v>1288</v>
      </c>
      <c r="B1486" s="29">
        <v>84.0</v>
      </c>
      <c r="C1486" s="29" t="s">
        <v>608</v>
      </c>
      <c r="D1486" s="29" t="s">
        <v>1120</v>
      </c>
      <c r="E1486" s="29">
        <v>23.0</v>
      </c>
      <c r="F1486" s="30" t="s">
        <v>1121</v>
      </c>
      <c r="G1486" s="29" t="s">
        <v>611</v>
      </c>
      <c r="H1486" s="31">
        <v>0.99</v>
      </c>
      <c r="I1486" s="29" t="s">
        <v>616</v>
      </c>
      <c r="J1486" s="32" t="s">
        <v>642</v>
      </c>
      <c r="K1486" s="29" t="s">
        <v>599</v>
      </c>
      <c r="L1486" s="29" t="s">
        <v>819</v>
      </c>
      <c r="M1486" s="33">
        <v>-70.917</v>
      </c>
      <c r="N1486" s="33">
        <v>-12.233</v>
      </c>
      <c r="O1486" s="34" t="s">
        <v>641</v>
      </c>
      <c r="P1486" s="32" t="s">
        <v>602</v>
      </c>
      <c r="Q1486" s="35">
        <v>158.0</v>
      </c>
      <c r="R1486" s="35">
        <v>175.0</v>
      </c>
      <c r="S1486" s="36">
        <v>3.0</v>
      </c>
      <c r="T1486" s="36">
        <v>1.4</v>
      </c>
      <c r="U1486" s="36">
        <v>13.8268</v>
      </c>
      <c r="V1486" s="36">
        <v>7.9373</v>
      </c>
      <c r="W1486" s="37" t="s">
        <v>623</v>
      </c>
      <c r="X1486" s="31">
        <v>5.5</v>
      </c>
      <c r="Y1486" s="36">
        <v>0.7622604438363223</v>
      </c>
      <c r="Z1486" s="36">
        <v>0.31812032592927464</v>
      </c>
      <c r="AA1486" s="29" t="s">
        <v>820</v>
      </c>
      <c r="AB1486" s="31">
        <v>0.287846595049</v>
      </c>
      <c r="AC1486" s="38">
        <v>482.0</v>
      </c>
    </row>
    <row r="1487" ht="14.25" customHeight="1">
      <c r="A1487" s="29" t="s">
        <v>1288</v>
      </c>
      <c r="B1487" s="29">
        <v>84.0</v>
      </c>
      <c r="C1487" s="29" t="s">
        <v>608</v>
      </c>
      <c r="D1487" s="29" t="s">
        <v>830</v>
      </c>
      <c r="E1487" s="29">
        <v>30.0</v>
      </c>
      <c r="F1487" s="30" t="s">
        <v>831</v>
      </c>
      <c r="G1487" s="29" t="s">
        <v>611</v>
      </c>
      <c r="H1487" s="31">
        <v>2.63</v>
      </c>
      <c r="I1487" s="29" t="s">
        <v>616</v>
      </c>
      <c r="J1487" s="32" t="s">
        <v>642</v>
      </c>
      <c r="K1487" s="29" t="s">
        <v>599</v>
      </c>
      <c r="L1487" s="29" t="s">
        <v>819</v>
      </c>
      <c r="M1487" s="33">
        <v>-70.917</v>
      </c>
      <c r="N1487" s="33">
        <v>-12.233</v>
      </c>
      <c r="O1487" s="34" t="s">
        <v>641</v>
      </c>
      <c r="P1487" s="32" t="s">
        <v>602</v>
      </c>
      <c r="Q1487" s="35">
        <v>158.0</v>
      </c>
      <c r="R1487" s="35">
        <v>175.0</v>
      </c>
      <c r="S1487" s="36">
        <v>3.1</v>
      </c>
      <c r="T1487" s="36">
        <v>15.6</v>
      </c>
      <c r="U1487" s="36">
        <v>23.8826</v>
      </c>
      <c r="V1487" s="36">
        <v>51.5922</v>
      </c>
      <c r="W1487" s="37" t="s">
        <v>623</v>
      </c>
      <c r="X1487" s="31">
        <v>5.5</v>
      </c>
      <c r="Y1487" s="36">
        <v>-1.614571332648745</v>
      </c>
      <c r="Z1487" s="36">
        <v>0.43814955058618726</v>
      </c>
      <c r="AA1487" s="29" t="s">
        <v>820</v>
      </c>
      <c r="AB1487" s="31">
        <v>0.287846595049</v>
      </c>
      <c r="AC1487" s="38">
        <v>482.0</v>
      </c>
    </row>
    <row r="1488" ht="14.25" customHeight="1">
      <c r="A1488" s="29" t="s">
        <v>1288</v>
      </c>
      <c r="B1488" s="29">
        <v>84.0</v>
      </c>
      <c r="C1488" s="29" t="s">
        <v>608</v>
      </c>
      <c r="D1488" s="29" t="s">
        <v>650</v>
      </c>
      <c r="E1488" s="29">
        <v>70.0</v>
      </c>
      <c r="F1488" s="30" t="s">
        <v>651</v>
      </c>
      <c r="G1488" s="29" t="s">
        <v>615</v>
      </c>
      <c r="H1488" s="31">
        <v>8.17</v>
      </c>
      <c r="I1488" s="29" t="s">
        <v>616</v>
      </c>
      <c r="J1488" s="32" t="s">
        <v>642</v>
      </c>
      <c r="K1488" s="29" t="s">
        <v>599</v>
      </c>
      <c r="L1488" s="29" t="s">
        <v>819</v>
      </c>
      <c r="M1488" s="33">
        <v>-70.917</v>
      </c>
      <c r="N1488" s="33">
        <v>-12.233</v>
      </c>
      <c r="O1488" s="34" t="s">
        <v>641</v>
      </c>
      <c r="P1488" s="32" t="s">
        <v>602</v>
      </c>
      <c r="Q1488" s="35">
        <v>158.0</v>
      </c>
      <c r="R1488" s="35">
        <v>175.0</v>
      </c>
      <c r="S1488" s="36">
        <v>3.8</v>
      </c>
      <c r="T1488" s="36">
        <v>2.7</v>
      </c>
      <c r="U1488" s="36">
        <v>16.3407</v>
      </c>
      <c r="V1488" s="36">
        <v>7.9373</v>
      </c>
      <c r="W1488" s="37" t="s">
        <v>623</v>
      </c>
      <c r="X1488" s="31">
        <v>5.5</v>
      </c>
      <c r="Y1488" s="36">
        <v>0.3419325912449982</v>
      </c>
      <c r="Z1488" s="36">
        <v>0.16641863259234269</v>
      </c>
      <c r="AA1488" s="29" t="s">
        <v>820</v>
      </c>
      <c r="AB1488" s="31">
        <v>0.287846595049</v>
      </c>
      <c r="AC1488" s="38">
        <v>482.0</v>
      </c>
    </row>
    <row r="1489" ht="14.25" customHeight="1">
      <c r="A1489" s="29" t="s">
        <v>1288</v>
      </c>
      <c r="B1489" s="29">
        <v>84.0</v>
      </c>
      <c r="C1489" s="29" t="s">
        <v>608</v>
      </c>
      <c r="D1489" s="29" t="s">
        <v>961</v>
      </c>
      <c r="E1489" s="29">
        <v>73.0</v>
      </c>
      <c r="F1489" s="30" t="s">
        <v>962</v>
      </c>
      <c r="G1489" s="29" t="s">
        <v>615</v>
      </c>
      <c r="H1489" s="31">
        <v>2.67</v>
      </c>
      <c r="I1489" s="29" t="s">
        <v>616</v>
      </c>
      <c r="J1489" s="32" t="s">
        <v>642</v>
      </c>
      <c r="K1489" s="29" t="s">
        <v>599</v>
      </c>
      <c r="L1489" s="29" t="s">
        <v>819</v>
      </c>
      <c r="M1489" s="33">
        <v>-70.917</v>
      </c>
      <c r="N1489" s="33">
        <v>-12.233</v>
      </c>
      <c r="O1489" s="34" t="s">
        <v>641</v>
      </c>
      <c r="P1489" s="32" t="s">
        <v>602</v>
      </c>
      <c r="Q1489" s="35">
        <v>158.0</v>
      </c>
      <c r="R1489" s="35">
        <v>175.0</v>
      </c>
      <c r="S1489" s="36">
        <v>9.6</v>
      </c>
      <c r="T1489" s="36">
        <v>10.5</v>
      </c>
      <c r="U1489" s="36">
        <v>12.5698</v>
      </c>
      <c r="V1489" s="36">
        <v>15.8745</v>
      </c>
      <c r="W1489" s="37" t="s">
        <v>623</v>
      </c>
      <c r="X1489" s="31">
        <v>5.5</v>
      </c>
      <c r="Y1489" s="36">
        <v>-0.08933001325393632</v>
      </c>
      <c r="Z1489" s="36">
        <v>0.023911897201944955</v>
      </c>
      <c r="AA1489" s="29" t="s">
        <v>820</v>
      </c>
      <c r="AB1489" s="31">
        <v>0.287846595049</v>
      </c>
      <c r="AC1489" s="38">
        <v>482.0</v>
      </c>
    </row>
    <row r="1490" ht="14.25" customHeight="1">
      <c r="A1490" s="29" t="s">
        <v>1288</v>
      </c>
      <c r="B1490" s="29">
        <v>84.0</v>
      </c>
      <c r="C1490" s="29" t="s">
        <v>608</v>
      </c>
      <c r="D1490" s="29" t="s">
        <v>617</v>
      </c>
      <c r="E1490" s="29">
        <v>75.0</v>
      </c>
      <c r="F1490" s="30" t="s">
        <v>618</v>
      </c>
      <c r="G1490" s="29" t="s">
        <v>619</v>
      </c>
      <c r="H1490" s="31">
        <v>4.2</v>
      </c>
      <c r="I1490" s="29" t="s">
        <v>620</v>
      </c>
      <c r="J1490" s="32" t="s">
        <v>642</v>
      </c>
      <c r="K1490" s="29" t="s">
        <v>599</v>
      </c>
      <c r="L1490" s="29" t="s">
        <v>819</v>
      </c>
      <c r="M1490" s="33">
        <v>-70.917</v>
      </c>
      <c r="N1490" s="33">
        <v>-12.233</v>
      </c>
      <c r="O1490" s="34" t="s">
        <v>641</v>
      </c>
      <c r="P1490" s="32" t="s">
        <v>602</v>
      </c>
      <c r="Q1490" s="35">
        <v>3.0</v>
      </c>
      <c r="R1490" s="35">
        <v>3.0</v>
      </c>
      <c r="S1490" s="36">
        <v>2.3333</v>
      </c>
      <c r="T1490" s="36">
        <v>2.6667</v>
      </c>
      <c r="U1490" s="36">
        <v>4.0415</v>
      </c>
      <c r="V1490" s="36">
        <v>1.5275</v>
      </c>
      <c r="W1490" s="37" t="s">
        <v>780</v>
      </c>
      <c r="X1490" s="31">
        <v>5.5</v>
      </c>
      <c r="Y1490" s="36">
        <v>-0.13326335914415527</v>
      </c>
      <c r="Z1490" s="36">
        <v>1.1094210364310022</v>
      </c>
      <c r="AA1490" s="29" t="s">
        <v>820</v>
      </c>
      <c r="AB1490" s="31">
        <v>0.287846595049</v>
      </c>
      <c r="AC1490" s="38">
        <v>482.0</v>
      </c>
    </row>
    <row r="1491" ht="14.25" customHeight="1">
      <c r="A1491" s="29" t="s">
        <v>1288</v>
      </c>
      <c r="B1491" s="29">
        <v>84.0</v>
      </c>
      <c r="C1491" s="29" t="s">
        <v>608</v>
      </c>
      <c r="D1491" s="29" t="s">
        <v>973</v>
      </c>
      <c r="E1491" s="29">
        <v>243.0</v>
      </c>
      <c r="F1491" s="30" t="s">
        <v>974</v>
      </c>
      <c r="G1491" s="29" t="s">
        <v>656</v>
      </c>
      <c r="H1491" s="31">
        <v>1.09</v>
      </c>
      <c r="I1491" s="29" t="s">
        <v>657</v>
      </c>
      <c r="J1491" s="32" t="s">
        <v>642</v>
      </c>
      <c r="K1491" s="29" t="s">
        <v>599</v>
      </c>
      <c r="L1491" s="29" t="s">
        <v>819</v>
      </c>
      <c r="M1491" s="33">
        <v>-70.917</v>
      </c>
      <c r="N1491" s="33">
        <v>-12.233</v>
      </c>
      <c r="O1491" s="34" t="s">
        <v>641</v>
      </c>
      <c r="P1491" s="32" t="s">
        <v>602</v>
      </c>
      <c r="Q1491" s="35">
        <v>3.0</v>
      </c>
      <c r="R1491" s="35">
        <v>3.0</v>
      </c>
      <c r="S1491" s="36">
        <v>5.3333</v>
      </c>
      <c r="T1491" s="36">
        <v>9.3333</v>
      </c>
      <c r="U1491" s="36">
        <v>7.5719</v>
      </c>
      <c r="V1491" s="36">
        <v>4.9329</v>
      </c>
      <c r="W1491" s="37" t="s">
        <v>780</v>
      </c>
      <c r="X1491" s="31">
        <v>5.5</v>
      </c>
      <c r="Y1491" s="36">
        <v>-0.5591670708169745</v>
      </c>
      <c r="Z1491" s="36">
        <v>0.765000896278331</v>
      </c>
      <c r="AA1491" s="29" t="s">
        <v>820</v>
      </c>
      <c r="AB1491" s="31">
        <v>0.287846595049</v>
      </c>
      <c r="AC1491" s="38">
        <v>482.0</v>
      </c>
    </row>
    <row r="1492" ht="14.25" customHeight="1">
      <c r="A1492" s="29" t="s">
        <v>1288</v>
      </c>
      <c r="B1492" s="29">
        <v>84.0</v>
      </c>
      <c r="C1492" s="29" t="s">
        <v>608</v>
      </c>
      <c r="D1492" s="29" t="s">
        <v>675</v>
      </c>
      <c r="E1492" s="29">
        <v>204.0</v>
      </c>
      <c r="F1492" s="30" t="s">
        <v>676</v>
      </c>
      <c r="G1492" s="29" t="s">
        <v>629</v>
      </c>
      <c r="H1492" s="31">
        <v>3.91</v>
      </c>
      <c r="I1492" s="29" t="s">
        <v>657</v>
      </c>
      <c r="J1492" s="32" t="s">
        <v>642</v>
      </c>
      <c r="K1492" s="29" t="s">
        <v>599</v>
      </c>
      <c r="L1492" s="29" t="s">
        <v>819</v>
      </c>
      <c r="M1492" s="33">
        <v>-70.917</v>
      </c>
      <c r="N1492" s="33">
        <v>-12.233</v>
      </c>
      <c r="O1492" s="34" t="s">
        <v>641</v>
      </c>
      <c r="P1492" s="32" t="s">
        <v>602</v>
      </c>
      <c r="Q1492" s="35">
        <v>3.0</v>
      </c>
      <c r="R1492" s="35">
        <v>3.0</v>
      </c>
      <c r="S1492" s="36">
        <v>0.6667</v>
      </c>
      <c r="T1492" s="36">
        <v>1.3333</v>
      </c>
      <c r="U1492" s="36">
        <v>0.5774</v>
      </c>
      <c r="V1492" s="36">
        <v>0.5774</v>
      </c>
      <c r="W1492" s="37" t="s">
        <v>780</v>
      </c>
      <c r="X1492" s="31">
        <v>5.5</v>
      </c>
      <c r="Y1492" s="36">
        <v>-0.6925563573832568</v>
      </c>
      <c r="Z1492" s="36">
        <v>0.31253196072378464</v>
      </c>
      <c r="AA1492" s="29" t="s">
        <v>820</v>
      </c>
      <c r="AB1492" s="31">
        <v>0.287846595049</v>
      </c>
      <c r="AC1492" s="38">
        <v>482.0</v>
      </c>
    </row>
    <row r="1493" ht="14.25" customHeight="1">
      <c r="A1493" s="29" t="s">
        <v>1288</v>
      </c>
      <c r="B1493" s="29">
        <v>84.0</v>
      </c>
      <c r="C1493" s="29" t="s">
        <v>608</v>
      </c>
      <c r="D1493" s="29" t="s">
        <v>963</v>
      </c>
      <c r="E1493" s="29">
        <v>92.0</v>
      </c>
      <c r="F1493" s="30" t="s">
        <v>964</v>
      </c>
      <c r="G1493" s="29" t="s">
        <v>629</v>
      </c>
      <c r="H1493" s="31">
        <v>11.9</v>
      </c>
      <c r="I1493" s="29" t="s">
        <v>657</v>
      </c>
      <c r="J1493" s="32" t="s">
        <v>642</v>
      </c>
      <c r="K1493" s="29" t="s">
        <v>599</v>
      </c>
      <c r="L1493" s="29" t="s">
        <v>819</v>
      </c>
      <c r="M1493" s="33">
        <v>-70.917</v>
      </c>
      <c r="N1493" s="33">
        <v>-12.233</v>
      </c>
      <c r="O1493" s="34" t="s">
        <v>641</v>
      </c>
      <c r="P1493" s="32" t="s">
        <v>602</v>
      </c>
      <c r="Q1493" s="35">
        <v>3.0</v>
      </c>
      <c r="R1493" s="35">
        <v>3.0</v>
      </c>
      <c r="S1493" s="36">
        <v>2.3333</v>
      </c>
      <c r="T1493" s="36">
        <v>4.0</v>
      </c>
      <c r="U1493" s="36">
        <v>4.0415</v>
      </c>
      <c r="V1493" s="36">
        <v>1.7321</v>
      </c>
      <c r="W1493" s="37" t="s">
        <v>780</v>
      </c>
      <c r="X1493" s="31">
        <v>5.5</v>
      </c>
      <c r="Y1493" s="36">
        <v>-0.5385685958353048</v>
      </c>
      <c r="Z1493" s="36">
        <v>1.0625559341539865</v>
      </c>
      <c r="AA1493" s="29" t="s">
        <v>820</v>
      </c>
      <c r="AB1493" s="31">
        <v>0.287846595049</v>
      </c>
      <c r="AC1493" s="38">
        <v>482.0</v>
      </c>
    </row>
    <row r="1494" ht="14.25" customHeight="1">
      <c r="A1494" s="29" t="s">
        <v>1288</v>
      </c>
      <c r="B1494" s="29">
        <v>84.0</v>
      </c>
      <c r="C1494" s="29" t="s">
        <v>608</v>
      </c>
      <c r="D1494" s="29" t="s">
        <v>677</v>
      </c>
      <c r="E1494" s="29">
        <v>100.0</v>
      </c>
      <c r="F1494" s="30" t="s">
        <v>678</v>
      </c>
      <c r="G1494" s="29" t="s">
        <v>626</v>
      </c>
      <c r="H1494" s="31">
        <v>22.8</v>
      </c>
      <c r="I1494" s="29" t="s">
        <v>612</v>
      </c>
      <c r="J1494" s="32" t="s">
        <v>642</v>
      </c>
      <c r="K1494" s="29" t="s">
        <v>599</v>
      </c>
      <c r="L1494" s="29" t="s">
        <v>819</v>
      </c>
      <c r="M1494" s="33">
        <v>-70.917</v>
      </c>
      <c r="N1494" s="33">
        <v>-12.233</v>
      </c>
      <c r="O1494" s="34" t="s">
        <v>641</v>
      </c>
      <c r="P1494" s="32" t="s">
        <v>602</v>
      </c>
      <c r="Q1494" s="35">
        <v>158.0</v>
      </c>
      <c r="R1494" s="35">
        <v>175.0</v>
      </c>
      <c r="S1494" s="36">
        <v>1.2</v>
      </c>
      <c r="T1494" s="36">
        <v>1.9</v>
      </c>
      <c r="U1494" s="36">
        <v>3.7709</v>
      </c>
      <c r="V1494" s="36">
        <v>6.6144</v>
      </c>
      <c r="W1494" s="37" t="s">
        <v>623</v>
      </c>
      <c r="X1494" s="31">
        <v>5.5</v>
      </c>
      <c r="Y1494" s="36">
        <v>-0.4591239160584891</v>
      </c>
      <c r="Z1494" s="36">
        <v>0.13175115588747505</v>
      </c>
      <c r="AA1494" s="29" t="s">
        <v>820</v>
      </c>
      <c r="AB1494" s="31">
        <v>0.287846595049</v>
      </c>
      <c r="AC1494" s="38">
        <v>482.0</v>
      </c>
    </row>
    <row r="1495" ht="14.25" customHeight="1">
      <c r="A1495" s="29" t="s">
        <v>1288</v>
      </c>
      <c r="B1495" s="29">
        <v>84.0</v>
      </c>
      <c r="C1495" s="29" t="s">
        <v>608</v>
      </c>
      <c r="D1495" s="29" t="s">
        <v>821</v>
      </c>
      <c r="E1495" s="29">
        <v>103.0</v>
      </c>
      <c r="F1495" s="30" t="s">
        <v>822</v>
      </c>
      <c r="G1495" s="29" t="s">
        <v>626</v>
      </c>
      <c r="H1495" s="31">
        <v>16.63</v>
      </c>
      <c r="I1495" s="29" t="s">
        <v>616</v>
      </c>
      <c r="J1495" s="32" t="s">
        <v>642</v>
      </c>
      <c r="K1495" s="29" t="s">
        <v>599</v>
      </c>
      <c r="L1495" s="29" t="s">
        <v>819</v>
      </c>
      <c r="M1495" s="33">
        <v>-70.917</v>
      </c>
      <c r="N1495" s="33">
        <v>-12.233</v>
      </c>
      <c r="O1495" s="34" t="s">
        <v>641</v>
      </c>
      <c r="P1495" s="32" t="s">
        <v>602</v>
      </c>
      <c r="Q1495" s="35">
        <v>3.0</v>
      </c>
      <c r="R1495" s="35">
        <v>3.0</v>
      </c>
      <c r="S1495" s="36">
        <v>0.3333</v>
      </c>
      <c r="T1495" s="36">
        <v>0.3333</v>
      </c>
      <c r="U1495" s="36">
        <v>0.5774</v>
      </c>
      <c r="V1495" s="36">
        <v>0.5774</v>
      </c>
      <c r="W1495" s="37" t="s">
        <v>780</v>
      </c>
      <c r="X1495" s="31">
        <v>5.5</v>
      </c>
      <c r="Y1495" s="36">
        <v>2.5796466027220563E-4</v>
      </c>
      <c r="Z1495" s="36">
        <v>2.0007446889303395</v>
      </c>
      <c r="AA1495" s="29" t="s">
        <v>820</v>
      </c>
      <c r="AB1495" s="31">
        <v>0.287846595049</v>
      </c>
      <c r="AC1495" s="38">
        <v>482.0</v>
      </c>
    </row>
    <row r="1496" ht="14.25" customHeight="1">
      <c r="A1496" s="29" t="s">
        <v>1288</v>
      </c>
      <c r="B1496" s="29">
        <v>84.0</v>
      </c>
      <c r="C1496" s="29" t="s">
        <v>608</v>
      </c>
      <c r="D1496" s="29" t="s">
        <v>925</v>
      </c>
      <c r="E1496" s="29">
        <v>108.0</v>
      </c>
      <c r="F1496" s="30" t="s">
        <v>926</v>
      </c>
      <c r="G1496" s="29" t="s">
        <v>615</v>
      </c>
      <c r="H1496" s="31">
        <v>0.97</v>
      </c>
      <c r="I1496" s="29" t="s">
        <v>616</v>
      </c>
      <c r="J1496" s="32" t="s">
        <v>642</v>
      </c>
      <c r="K1496" s="29" t="s">
        <v>599</v>
      </c>
      <c r="L1496" s="29" t="s">
        <v>819</v>
      </c>
      <c r="M1496" s="33">
        <v>-70.917</v>
      </c>
      <c r="N1496" s="33">
        <v>-12.233</v>
      </c>
      <c r="O1496" s="34" t="s">
        <v>641</v>
      </c>
      <c r="P1496" s="32" t="s">
        <v>602</v>
      </c>
      <c r="Q1496" s="35">
        <v>3.0</v>
      </c>
      <c r="R1496" s="35">
        <v>3.0</v>
      </c>
      <c r="S1496" s="36">
        <v>0.3333</v>
      </c>
      <c r="T1496" s="36">
        <v>0.3333</v>
      </c>
      <c r="U1496" s="36">
        <v>0.5774</v>
      </c>
      <c r="V1496" s="36">
        <v>0.5774</v>
      </c>
      <c r="W1496" s="37" t="s">
        <v>780</v>
      </c>
      <c r="X1496" s="31">
        <v>5.5</v>
      </c>
      <c r="Y1496" s="36">
        <v>2.5796466027220563E-4</v>
      </c>
      <c r="Z1496" s="36">
        <v>2.0007446889303395</v>
      </c>
      <c r="AA1496" s="29" t="s">
        <v>820</v>
      </c>
      <c r="AB1496" s="31">
        <v>0.287846595049</v>
      </c>
      <c r="AC1496" s="38">
        <v>482.0</v>
      </c>
    </row>
    <row r="1497" ht="14.25" customHeight="1">
      <c r="A1497" s="29" t="s">
        <v>1288</v>
      </c>
      <c r="B1497" s="29">
        <v>84.0</v>
      </c>
      <c r="C1497" s="29" t="s">
        <v>608</v>
      </c>
      <c r="D1497" s="35" t="s">
        <v>627</v>
      </c>
      <c r="E1497" s="29">
        <v>111.0</v>
      </c>
      <c r="F1497" s="39" t="s">
        <v>628</v>
      </c>
      <c r="G1497" s="29" t="s">
        <v>629</v>
      </c>
      <c r="H1497" s="31">
        <v>3.79</v>
      </c>
      <c r="I1497" s="29" t="s">
        <v>597</v>
      </c>
      <c r="J1497" s="32" t="s">
        <v>642</v>
      </c>
      <c r="K1497" s="29" t="s">
        <v>599</v>
      </c>
      <c r="L1497" s="29" t="s">
        <v>819</v>
      </c>
      <c r="M1497" s="33">
        <v>-70.917</v>
      </c>
      <c r="N1497" s="33">
        <v>-12.233</v>
      </c>
      <c r="O1497" s="34" t="s">
        <v>641</v>
      </c>
      <c r="P1497" s="32" t="s">
        <v>602</v>
      </c>
      <c r="Q1497" s="35">
        <v>3.0</v>
      </c>
      <c r="R1497" s="35">
        <v>3.0</v>
      </c>
      <c r="S1497" s="36">
        <v>1.0</v>
      </c>
      <c r="T1497" s="36">
        <v>0.3333</v>
      </c>
      <c r="U1497" s="36">
        <v>1.0</v>
      </c>
      <c r="V1497" s="36">
        <v>0.5774</v>
      </c>
      <c r="W1497" s="37" t="s">
        <v>780</v>
      </c>
      <c r="X1497" s="31">
        <v>5.5</v>
      </c>
      <c r="Y1497" s="36">
        <v>1.098798280683528</v>
      </c>
      <c r="Z1497" s="36">
        <v>1.333705677798503</v>
      </c>
      <c r="AA1497" s="29" t="s">
        <v>820</v>
      </c>
      <c r="AB1497" s="31">
        <v>0.287846595049</v>
      </c>
      <c r="AC1497" s="38">
        <v>482.0</v>
      </c>
    </row>
    <row r="1498" ht="14.25" customHeight="1">
      <c r="A1498" s="29" t="s">
        <v>1288</v>
      </c>
      <c r="B1498" s="29">
        <v>84.0</v>
      </c>
      <c r="C1498" s="29" t="s">
        <v>608</v>
      </c>
      <c r="D1498" s="35" t="s">
        <v>1096</v>
      </c>
      <c r="E1498" s="29">
        <v>244.0</v>
      </c>
      <c r="F1498" s="30" t="s">
        <v>1097</v>
      </c>
      <c r="G1498" s="29" t="s">
        <v>615</v>
      </c>
      <c r="H1498" s="31">
        <v>0.06</v>
      </c>
      <c r="I1498" s="29" t="s">
        <v>616</v>
      </c>
      <c r="J1498" s="32" t="s">
        <v>642</v>
      </c>
      <c r="K1498" s="29" t="s">
        <v>599</v>
      </c>
      <c r="L1498" s="29" t="s">
        <v>819</v>
      </c>
      <c r="M1498" s="33">
        <v>-70.917</v>
      </c>
      <c r="N1498" s="33">
        <v>-12.233</v>
      </c>
      <c r="O1498" s="34" t="s">
        <v>641</v>
      </c>
      <c r="P1498" s="32" t="s">
        <v>602</v>
      </c>
      <c r="Q1498" s="35">
        <v>3.0</v>
      </c>
      <c r="R1498" s="35">
        <v>3.0</v>
      </c>
      <c r="S1498" s="36">
        <v>18.2</v>
      </c>
      <c r="T1498" s="36">
        <v>12.2</v>
      </c>
      <c r="U1498" s="36">
        <v>4.1569</v>
      </c>
      <c r="V1498" s="36">
        <v>3.6373</v>
      </c>
      <c r="W1498" s="37" t="s">
        <v>623</v>
      </c>
      <c r="X1498" s="31">
        <v>5.5</v>
      </c>
      <c r="Y1498" s="36">
        <v>0.4001585710619018</v>
      </c>
      <c r="Z1498" s="36">
        <v>0.047018043525460296</v>
      </c>
      <c r="AA1498" s="29" t="s">
        <v>820</v>
      </c>
      <c r="AB1498" s="31">
        <v>0.287846595049</v>
      </c>
      <c r="AC1498" s="38">
        <v>482.0</v>
      </c>
    </row>
    <row r="1499" ht="14.25" customHeight="1">
      <c r="A1499" s="29" t="s">
        <v>1288</v>
      </c>
      <c r="B1499" s="29">
        <v>84.0</v>
      </c>
      <c r="C1499" s="29" t="s">
        <v>608</v>
      </c>
      <c r="D1499" s="29" t="s">
        <v>683</v>
      </c>
      <c r="E1499" s="29">
        <v>122.0</v>
      </c>
      <c r="F1499" s="30" t="s">
        <v>684</v>
      </c>
      <c r="G1499" s="29" t="s">
        <v>629</v>
      </c>
      <c r="H1499" s="31">
        <v>100.0</v>
      </c>
      <c r="I1499" s="29" t="s">
        <v>657</v>
      </c>
      <c r="J1499" s="32" t="s">
        <v>642</v>
      </c>
      <c r="K1499" s="29" t="s">
        <v>599</v>
      </c>
      <c r="L1499" s="29" t="s">
        <v>819</v>
      </c>
      <c r="M1499" s="33">
        <v>-70.917</v>
      </c>
      <c r="N1499" s="33">
        <v>-12.233</v>
      </c>
      <c r="O1499" s="34" t="s">
        <v>641</v>
      </c>
      <c r="P1499" s="32" t="s">
        <v>602</v>
      </c>
      <c r="Q1499" s="35">
        <v>3.0</v>
      </c>
      <c r="R1499" s="35">
        <v>3.0</v>
      </c>
      <c r="S1499" s="36">
        <v>0.6667</v>
      </c>
      <c r="T1499" s="36">
        <v>0.6667</v>
      </c>
      <c r="U1499" s="36">
        <v>0.5774</v>
      </c>
      <c r="V1499" s="36">
        <v>0.5774</v>
      </c>
      <c r="W1499" s="37" t="s">
        <v>780</v>
      </c>
      <c r="X1499" s="31">
        <v>5.5</v>
      </c>
      <c r="Y1499" s="36">
        <v>2.5796466027220563E-4</v>
      </c>
      <c r="Z1499" s="36">
        <v>0.500036135136396</v>
      </c>
      <c r="AA1499" s="29" t="s">
        <v>820</v>
      </c>
      <c r="AB1499" s="31">
        <v>0.287846595049</v>
      </c>
      <c r="AC1499" s="38">
        <v>482.0</v>
      </c>
    </row>
    <row r="1500" ht="14.25" customHeight="1">
      <c r="A1500" s="29" t="s">
        <v>1288</v>
      </c>
      <c r="B1500" s="29">
        <v>84.0</v>
      </c>
      <c r="C1500" s="29" t="s">
        <v>608</v>
      </c>
      <c r="D1500" s="29" t="s">
        <v>630</v>
      </c>
      <c r="E1500" s="29">
        <v>129.0</v>
      </c>
      <c r="F1500" s="30" t="s">
        <v>631</v>
      </c>
      <c r="G1500" s="29" t="s">
        <v>626</v>
      </c>
      <c r="H1500" s="31">
        <v>21.27</v>
      </c>
      <c r="I1500" s="29" t="s">
        <v>612</v>
      </c>
      <c r="J1500" s="32" t="s">
        <v>642</v>
      </c>
      <c r="K1500" s="29" t="s">
        <v>599</v>
      </c>
      <c r="L1500" s="29" t="s">
        <v>819</v>
      </c>
      <c r="M1500" s="33">
        <v>-70.917</v>
      </c>
      <c r="N1500" s="33">
        <v>-12.233</v>
      </c>
      <c r="O1500" s="34" t="s">
        <v>641</v>
      </c>
      <c r="P1500" s="32" t="s">
        <v>602</v>
      </c>
      <c r="Q1500" s="35">
        <v>158.0</v>
      </c>
      <c r="R1500" s="35">
        <v>175.0</v>
      </c>
      <c r="S1500" s="36">
        <v>5.7</v>
      </c>
      <c r="T1500" s="36">
        <v>13.3</v>
      </c>
      <c r="U1500" s="36">
        <v>30.1675</v>
      </c>
      <c r="V1500" s="36">
        <v>51.5922</v>
      </c>
      <c r="W1500" s="37" t="s">
        <v>623</v>
      </c>
      <c r="X1500" s="31">
        <v>5.5</v>
      </c>
      <c r="Y1500" s="36">
        <v>-0.846696046329578</v>
      </c>
      <c r="Z1500" s="36">
        <v>0.26327074548549945</v>
      </c>
      <c r="AA1500" s="29" t="s">
        <v>820</v>
      </c>
      <c r="AB1500" s="31">
        <v>0.287846595049</v>
      </c>
      <c r="AC1500" s="38">
        <v>482.0</v>
      </c>
    </row>
    <row r="1501" ht="14.25" customHeight="1">
      <c r="A1501" s="29" t="s">
        <v>1288</v>
      </c>
      <c r="B1501" s="29">
        <v>84.0</v>
      </c>
      <c r="C1501" s="29" t="s">
        <v>608</v>
      </c>
      <c r="D1501" s="29" t="s">
        <v>687</v>
      </c>
      <c r="E1501" s="29">
        <v>217.0</v>
      </c>
      <c r="F1501" s="30" t="s">
        <v>688</v>
      </c>
      <c r="G1501" s="29" t="s">
        <v>629</v>
      </c>
      <c r="H1501" s="31">
        <v>3.0</v>
      </c>
      <c r="I1501" s="29" t="s">
        <v>597</v>
      </c>
      <c r="J1501" s="32" t="s">
        <v>642</v>
      </c>
      <c r="K1501" s="29" t="s">
        <v>599</v>
      </c>
      <c r="L1501" s="29" t="s">
        <v>819</v>
      </c>
      <c r="M1501" s="33">
        <v>-70.917</v>
      </c>
      <c r="N1501" s="33">
        <v>-12.233</v>
      </c>
      <c r="O1501" s="34" t="s">
        <v>641</v>
      </c>
      <c r="P1501" s="32" t="s">
        <v>602</v>
      </c>
      <c r="Q1501" s="35">
        <v>158.0</v>
      </c>
      <c r="R1501" s="35">
        <v>175.0</v>
      </c>
      <c r="S1501" s="36">
        <v>12.9</v>
      </c>
      <c r="T1501" s="36">
        <v>6.5</v>
      </c>
      <c r="U1501" s="36">
        <v>25.1396</v>
      </c>
      <c r="V1501" s="36">
        <v>15.8745</v>
      </c>
      <c r="W1501" s="37" t="s">
        <v>623</v>
      </c>
      <c r="X1501" s="31">
        <v>5.5</v>
      </c>
      <c r="Y1501" s="36">
        <v>0.6855551249769107</v>
      </c>
      <c r="Z1501" s="36">
        <v>0.05811980399740565</v>
      </c>
      <c r="AA1501" s="29" t="s">
        <v>820</v>
      </c>
      <c r="AB1501" s="31">
        <v>0.287846595049</v>
      </c>
      <c r="AC1501" s="38">
        <v>482.0</v>
      </c>
    </row>
    <row r="1502" ht="14.25" customHeight="1">
      <c r="A1502" s="29" t="s">
        <v>1288</v>
      </c>
      <c r="B1502" s="29">
        <v>84.0</v>
      </c>
      <c r="C1502" s="29" t="s">
        <v>608</v>
      </c>
      <c r="D1502" s="35" t="s">
        <v>1102</v>
      </c>
      <c r="E1502" s="29">
        <v>246.0</v>
      </c>
      <c r="F1502" s="30" t="s">
        <v>1103</v>
      </c>
      <c r="G1502" s="29" t="s">
        <v>615</v>
      </c>
      <c r="H1502" s="31">
        <v>0.29</v>
      </c>
      <c r="I1502" s="29" t="s">
        <v>612</v>
      </c>
      <c r="J1502" s="32" t="s">
        <v>642</v>
      </c>
      <c r="K1502" s="29" t="s">
        <v>599</v>
      </c>
      <c r="L1502" s="29" t="s">
        <v>819</v>
      </c>
      <c r="M1502" s="33">
        <v>-70.917</v>
      </c>
      <c r="N1502" s="33">
        <v>-12.233</v>
      </c>
      <c r="O1502" s="34" t="s">
        <v>641</v>
      </c>
      <c r="P1502" s="32" t="s">
        <v>602</v>
      </c>
      <c r="Q1502" s="35">
        <v>3.0</v>
      </c>
      <c r="R1502" s="35">
        <v>3.0</v>
      </c>
      <c r="S1502" s="36">
        <v>3.7</v>
      </c>
      <c r="T1502" s="36">
        <v>2.7</v>
      </c>
      <c r="U1502" s="36">
        <v>1.3856</v>
      </c>
      <c r="V1502" s="36">
        <v>2.9445</v>
      </c>
      <c r="W1502" s="37" t="s">
        <v>623</v>
      </c>
      <c r="X1502" s="31">
        <v>5.5</v>
      </c>
      <c r="Y1502" s="36">
        <v>0.3152692976836757</v>
      </c>
      <c r="Z1502" s="36">
        <v>0.44318384943802647</v>
      </c>
      <c r="AA1502" s="29" t="s">
        <v>820</v>
      </c>
      <c r="AB1502" s="31">
        <v>0.287846595049</v>
      </c>
      <c r="AC1502" s="38">
        <v>482.0</v>
      </c>
    </row>
    <row r="1503" ht="14.25" customHeight="1">
      <c r="A1503" s="29" t="s">
        <v>1288</v>
      </c>
      <c r="B1503" s="29">
        <v>84.0</v>
      </c>
      <c r="C1503" s="29" t="s">
        <v>608</v>
      </c>
      <c r="D1503" s="29" t="s">
        <v>723</v>
      </c>
      <c r="E1503" s="29">
        <v>158.0</v>
      </c>
      <c r="F1503" s="30" t="s">
        <v>724</v>
      </c>
      <c r="G1503" s="29" t="s">
        <v>629</v>
      </c>
      <c r="H1503" s="31">
        <v>51.6</v>
      </c>
      <c r="I1503" s="29" t="s">
        <v>657</v>
      </c>
      <c r="J1503" s="32" t="s">
        <v>642</v>
      </c>
      <c r="K1503" s="29" t="s">
        <v>599</v>
      </c>
      <c r="L1503" s="29" t="s">
        <v>819</v>
      </c>
      <c r="M1503" s="33">
        <v>-70.917</v>
      </c>
      <c r="N1503" s="33">
        <v>-12.233</v>
      </c>
      <c r="O1503" s="34" t="s">
        <v>641</v>
      </c>
      <c r="P1503" s="32" t="s">
        <v>602</v>
      </c>
      <c r="Q1503" s="35">
        <v>3.0</v>
      </c>
      <c r="R1503" s="35">
        <v>3.0</v>
      </c>
      <c r="S1503" s="36">
        <v>0.6667</v>
      </c>
      <c r="T1503" s="36">
        <v>1.0</v>
      </c>
      <c r="U1503" s="36">
        <v>1.1547</v>
      </c>
      <c r="V1503" s="36">
        <v>1.0</v>
      </c>
      <c r="W1503" s="37" t="s">
        <v>780</v>
      </c>
      <c r="X1503" s="31">
        <v>5.5</v>
      </c>
      <c r="Y1503" s="36">
        <v>-0.4050282066594786</v>
      </c>
      <c r="Z1503" s="36">
        <v>1.3332324084260765</v>
      </c>
      <c r="AA1503" s="29" t="s">
        <v>820</v>
      </c>
      <c r="AB1503" s="31">
        <v>0.287846595049</v>
      </c>
      <c r="AC1503" s="38">
        <v>482.0</v>
      </c>
    </row>
    <row r="1504" ht="14.25" customHeight="1">
      <c r="A1504" s="29" t="s">
        <v>1288</v>
      </c>
      <c r="B1504" s="29">
        <v>84.0</v>
      </c>
      <c r="C1504" s="29" t="s">
        <v>608</v>
      </c>
      <c r="D1504" s="29" t="s">
        <v>1124</v>
      </c>
      <c r="E1504" s="29">
        <v>164.0</v>
      </c>
      <c r="F1504" s="30" t="s">
        <v>1125</v>
      </c>
      <c r="G1504" s="29" t="s">
        <v>611</v>
      </c>
      <c r="H1504" s="31">
        <v>0.39</v>
      </c>
      <c r="I1504" s="29" t="s">
        <v>616</v>
      </c>
      <c r="J1504" s="32" t="s">
        <v>642</v>
      </c>
      <c r="K1504" s="29" t="s">
        <v>599</v>
      </c>
      <c r="L1504" s="29" t="s">
        <v>819</v>
      </c>
      <c r="M1504" s="33">
        <v>-70.917</v>
      </c>
      <c r="N1504" s="33">
        <v>-12.233</v>
      </c>
      <c r="O1504" s="34" t="s">
        <v>641</v>
      </c>
      <c r="P1504" s="32" t="s">
        <v>602</v>
      </c>
      <c r="Q1504" s="35">
        <v>158.0</v>
      </c>
      <c r="R1504" s="35">
        <v>175.0</v>
      </c>
      <c r="S1504" s="36">
        <v>34.0</v>
      </c>
      <c r="T1504" s="36">
        <v>9.5</v>
      </c>
      <c r="U1504" s="36">
        <v>96.7875</v>
      </c>
      <c r="V1504" s="36">
        <v>37.0405</v>
      </c>
      <c r="W1504" s="37" t="s">
        <v>623</v>
      </c>
      <c r="X1504" s="31">
        <v>5.5</v>
      </c>
      <c r="Y1504" s="36">
        <v>1.2751408110700686</v>
      </c>
      <c r="Z1504" s="36">
        <v>0.13815864819111076</v>
      </c>
      <c r="AA1504" s="29" t="s">
        <v>820</v>
      </c>
      <c r="AB1504" s="31">
        <v>0.287846595049</v>
      </c>
      <c r="AC1504" s="38">
        <v>482.0</v>
      </c>
    </row>
    <row r="1505" ht="14.25" customHeight="1">
      <c r="A1505" s="29" t="s">
        <v>1288</v>
      </c>
      <c r="B1505" s="29">
        <v>84.0</v>
      </c>
      <c r="C1505" s="29" t="s">
        <v>608</v>
      </c>
      <c r="D1505" s="29" t="s">
        <v>1293</v>
      </c>
      <c r="E1505" s="29">
        <v>165.0</v>
      </c>
      <c r="F1505" s="30" t="s">
        <v>1294</v>
      </c>
      <c r="G1505" s="29" t="s">
        <v>611</v>
      </c>
      <c r="H1505" s="31">
        <v>0.4</v>
      </c>
      <c r="I1505" s="29" t="s">
        <v>616</v>
      </c>
      <c r="J1505" s="32" t="s">
        <v>642</v>
      </c>
      <c r="K1505" s="29" t="s">
        <v>599</v>
      </c>
      <c r="L1505" s="29" t="s">
        <v>819</v>
      </c>
      <c r="M1505" s="33">
        <v>-70.917</v>
      </c>
      <c r="N1505" s="33">
        <v>-12.233</v>
      </c>
      <c r="O1505" s="34" t="s">
        <v>641</v>
      </c>
      <c r="P1505" s="32" t="s">
        <v>602</v>
      </c>
      <c r="Q1505" s="35">
        <v>3.0</v>
      </c>
      <c r="R1505" s="35">
        <v>3.0</v>
      </c>
      <c r="S1505" s="36">
        <v>1.0</v>
      </c>
      <c r="T1505" s="36">
        <v>0.3333</v>
      </c>
      <c r="U1505" s="36">
        <v>1.0</v>
      </c>
      <c r="V1505" s="36">
        <v>0.5774</v>
      </c>
      <c r="W1505" s="37" t="s">
        <v>780</v>
      </c>
      <c r="X1505" s="31">
        <v>5.5</v>
      </c>
      <c r="Y1505" s="36">
        <v>1.098798280683528</v>
      </c>
      <c r="Z1505" s="36">
        <v>1.333705677798503</v>
      </c>
      <c r="AA1505" s="29" t="s">
        <v>820</v>
      </c>
      <c r="AB1505" s="31">
        <v>0.287846595049</v>
      </c>
      <c r="AC1505" s="38">
        <v>482.0</v>
      </c>
    </row>
    <row r="1506" ht="14.25" customHeight="1">
      <c r="A1506" s="29" t="s">
        <v>1288</v>
      </c>
      <c r="B1506" s="29">
        <v>84.0</v>
      </c>
      <c r="C1506" s="29" t="s">
        <v>608</v>
      </c>
      <c r="D1506" s="29" t="s">
        <v>691</v>
      </c>
      <c r="E1506" s="29">
        <v>170.0</v>
      </c>
      <c r="F1506" s="30" t="s">
        <v>692</v>
      </c>
      <c r="G1506" s="29" t="s">
        <v>611</v>
      </c>
      <c r="H1506" s="31">
        <v>0.74</v>
      </c>
      <c r="I1506" s="29" t="s">
        <v>616</v>
      </c>
      <c r="J1506" s="32" t="s">
        <v>642</v>
      </c>
      <c r="K1506" s="29" t="s">
        <v>599</v>
      </c>
      <c r="L1506" s="29" t="s">
        <v>819</v>
      </c>
      <c r="M1506" s="33">
        <v>-70.917</v>
      </c>
      <c r="N1506" s="33">
        <v>-12.233</v>
      </c>
      <c r="O1506" s="34" t="s">
        <v>641</v>
      </c>
      <c r="P1506" s="32" t="s">
        <v>602</v>
      </c>
      <c r="Q1506" s="35">
        <v>158.0</v>
      </c>
      <c r="R1506" s="35">
        <v>175.0</v>
      </c>
      <c r="S1506" s="36">
        <v>143.1</v>
      </c>
      <c r="T1506" s="36">
        <v>50.7</v>
      </c>
      <c r="U1506" s="36">
        <v>564.3842</v>
      </c>
      <c r="V1506" s="36">
        <v>215.6287</v>
      </c>
      <c r="W1506" s="37" t="s">
        <v>623</v>
      </c>
      <c r="X1506" s="31">
        <v>5.5</v>
      </c>
      <c r="Y1506" s="36">
        <v>1.037709179861571</v>
      </c>
      <c r="Z1506" s="36">
        <v>0.2018110456664165</v>
      </c>
      <c r="AA1506" s="29" t="s">
        <v>820</v>
      </c>
      <c r="AB1506" s="31">
        <v>0.287846595049</v>
      </c>
      <c r="AC1506" s="38">
        <v>482.0</v>
      </c>
    </row>
    <row r="1507" ht="14.25" customHeight="1">
      <c r="A1507" s="29" t="s">
        <v>1288</v>
      </c>
      <c r="B1507" s="29">
        <v>84.0</v>
      </c>
      <c r="C1507" s="29" t="s">
        <v>608</v>
      </c>
      <c r="D1507" s="29" t="s">
        <v>632</v>
      </c>
      <c r="E1507" s="29">
        <v>173.0</v>
      </c>
      <c r="F1507" s="30" t="s">
        <v>633</v>
      </c>
      <c r="G1507" s="29" t="s">
        <v>611</v>
      </c>
      <c r="H1507" s="31">
        <v>2.5</v>
      </c>
      <c r="I1507" s="29" t="s">
        <v>616</v>
      </c>
      <c r="J1507" s="32" t="s">
        <v>642</v>
      </c>
      <c r="K1507" s="29" t="s">
        <v>599</v>
      </c>
      <c r="L1507" s="29" t="s">
        <v>819</v>
      </c>
      <c r="M1507" s="33">
        <v>-70.917</v>
      </c>
      <c r="N1507" s="33">
        <v>-12.233</v>
      </c>
      <c r="O1507" s="34" t="s">
        <v>641</v>
      </c>
      <c r="P1507" s="32" t="s">
        <v>602</v>
      </c>
      <c r="Q1507" s="35">
        <v>158.0</v>
      </c>
      <c r="R1507" s="35">
        <v>175.0</v>
      </c>
      <c r="S1507" s="36">
        <v>13.8</v>
      </c>
      <c r="T1507" s="36">
        <v>32.3</v>
      </c>
      <c r="U1507" s="36">
        <v>40.2234</v>
      </c>
      <c r="V1507" s="36">
        <v>64.8209</v>
      </c>
      <c r="W1507" s="37" t="s">
        <v>623</v>
      </c>
      <c r="X1507" s="31">
        <v>5.5</v>
      </c>
      <c r="Y1507" s="36">
        <v>-0.8497949555840939</v>
      </c>
      <c r="Z1507" s="36">
        <v>0.07678401007554825</v>
      </c>
      <c r="AA1507" s="29" t="s">
        <v>820</v>
      </c>
      <c r="AB1507" s="31">
        <v>0.287846595049</v>
      </c>
      <c r="AC1507" s="38">
        <v>482.0</v>
      </c>
    </row>
    <row r="1508" ht="14.25" customHeight="1">
      <c r="A1508" s="29" t="s">
        <v>1288</v>
      </c>
      <c r="B1508" s="29">
        <v>84.0</v>
      </c>
      <c r="C1508" s="29" t="s">
        <v>608</v>
      </c>
      <c r="D1508" s="29" t="s">
        <v>1295</v>
      </c>
      <c r="E1508" s="29">
        <v>246.0</v>
      </c>
      <c r="F1508" s="30" t="s">
        <v>1296</v>
      </c>
      <c r="G1508" s="29" t="s">
        <v>615</v>
      </c>
      <c r="H1508" s="31">
        <v>0.19</v>
      </c>
      <c r="I1508" s="29" t="s">
        <v>597</v>
      </c>
      <c r="J1508" s="32" t="s">
        <v>642</v>
      </c>
      <c r="K1508" s="29" t="s">
        <v>599</v>
      </c>
      <c r="L1508" s="29" t="s">
        <v>819</v>
      </c>
      <c r="M1508" s="33">
        <v>-70.917</v>
      </c>
      <c r="N1508" s="33">
        <v>-12.233</v>
      </c>
      <c r="O1508" s="34" t="s">
        <v>641</v>
      </c>
      <c r="P1508" s="32" t="s">
        <v>602</v>
      </c>
      <c r="Q1508" s="35">
        <v>3.0</v>
      </c>
      <c r="R1508" s="35">
        <v>3.0</v>
      </c>
      <c r="S1508" s="36">
        <v>1.6667</v>
      </c>
      <c r="T1508" s="36">
        <v>9.6667</v>
      </c>
      <c r="U1508" s="36">
        <v>2.0817</v>
      </c>
      <c r="V1508" s="36">
        <v>7.5056</v>
      </c>
      <c r="W1508" s="37" t="s">
        <v>780</v>
      </c>
      <c r="X1508" s="31">
        <v>5.5</v>
      </c>
      <c r="Y1508" s="36">
        <v>-1.7563461211966185</v>
      </c>
      <c r="Z1508" s="36">
        <v>0.720948539365632</v>
      </c>
      <c r="AA1508" s="29" t="s">
        <v>820</v>
      </c>
      <c r="AB1508" s="31">
        <v>0.287846595049</v>
      </c>
      <c r="AC1508" s="38">
        <v>482.0</v>
      </c>
    </row>
    <row r="1509" ht="14.25" customHeight="1">
      <c r="A1509" s="29" t="s">
        <v>1288</v>
      </c>
      <c r="B1509" s="29">
        <v>84.0</v>
      </c>
      <c r="C1509" s="29" t="s">
        <v>608</v>
      </c>
      <c r="D1509" s="29" t="s">
        <v>1279</v>
      </c>
      <c r="E1509" s="29">
        <v>175.0</v>
      </c>
      <c r="F1509" s="30" t="s">
        <v>1280</v>
      </c>
      <c r="G1509" s="29" t="s">
        <v>615</v>
      </c>
      <c r="H1509" s="31">
        <v>0.4</v>
      </c>
      <c r="I1509" s="29" t="s">
        <v>597</v>
      </c>
      <c r="J1509" s="32" t="s">
        <v>642</v>
      </c>
      <c r="K1509" s="29" t="s">
        <v>599</v>
      </c>
      <c r="L1509" s="29" t="s">
        <v>819</v>
      </c>
      <c r="M1509" s="33">
        <v>-70.917</v>
      </c>
      <c r="N1509" s="33">
        <v>-12.233</v>
      </c>
      <c r="O1509" s="34" t="s">
        <v>641</v>
      </c>
      <c r="P1509" s="32" t="s">
        <v>602</v>
      </c>
      <c r="Q1509" s="35">
        <v>158.0</v>
      </c>
      <c r="R1509" s="35">
        <v>175.0</v>
      </c>
      <c r="S1509" s="36">
        <v>26.2</v>
      </c>
      <c r="T1509" s="36">
        <v>13.2</v>
      </c>
      <c r="U1509" s="36">
        <v>51.5362</v>
      </c>
      <c r="V1509" s="36">
        <v>26.4575</v>
      </c>
      <c r="W1509" s="37" t="s">
        <v>623</v>
      </c>
      <c r="X1509" s="31">
        <v>5.5</v>
      </c>
      <c r="Y1509" s="36">
        <v>0.6856725564205326</v>
      </c>
      <c r="Z1509" s="36">
        <v>0.047445483722674486</v>
      </c>
      <c r="AA1509" s="29" t="s">
        <v>820</v>
      </c>
      <c r="AB1509" s="31">
        <v>0.287846595049</v>
      </c>
      <c r="AC1509" s="38">
        <v>482.0</v>
      </c>
    </row>
    <row r="1510" ht="14.25" customHeight="1">
      <c r="A1510" s="29" t="s">
        <v>1288</v>
      </c>
      <c r="B1510" s="29">
        <v>84.0</v>
      </c>
      <c r="C1510" s="29" t="s">
        <v>608</v>
      </c>
      <c r="D1510" s="29" t="s">
        <v>660</v>
      </c>
      <c r="E1510" s="29">
        <v>208.0</v>
      </c>
      <c r="F1510" s="30" t="s">
        <v>661</v>
      </c>
      <c r="G1510" s="29" t="s">
        <v>662</v>
      </c>
      <c r="H1510" s="31">
        <v>0.95</v>
      </c>
      <c r="I1510" s="29" t="s">
        <v>612</v>
      </c>
      <c r="J1510" s="32" t="s">
        <v>642</v>
      </c>
      <c r="K1510" s="29" t="s">
        <v>599</v>
      </c>
      <c r="L1510" s="29" t="s">
        <v>819</v>
      </c>
      <c r="M1510" s="33">
        <v>-70.917</v>
      </c>
      <c r="N1510" s="33">
        <v>-12.233</v>
      </c>
      <c r="O1510" s="34" t="s">
        <v>641</v>
      </c>
      <c r="P1510" s="32" t="s">
        <v>602</v>
      </c>
      <c r="Q1510" s="35">
        <v>3.0</v>
      </c>
      <c r="R1510" s="35">
        <v>3.0</v>
      </c>
      <c r="S1510" s="36">
        <v>4.3333</v>
      </c>
      <c r="T1510" s="36">
        <v>1.6667</v>
      </c>
      <c r="U1510" s="36">
        <v>6.6583</v>
      </c>
      <c r="V1510" s="36">
        <v>2.0817</v>
      </c>
      <c r="W1510" s="37" t="s">
        <v>780</v>
      </c>
      <c r="X1510" s="31">
        <v>5.5</v>
      </c>
      <c r="Y1510" s="36">
        <v>0.9555829806902336</v>
      </c>
      <c r="Z1510" s="36">
        <v>1.3069838957988136</v>
      </c>
      <c r="AA1510" s="29" t="s">
        <v>820</v>
      </c>
      <c r="AB1510" s="31">
        <v>0.287846595049</v>
      </c>
      <c r="AC1510" s="38">
        <v>482.0</v>
      </c>
    </row>
    <row r="1511" ht="14.25" customHeight="1">
      <c r="A1511" s="29" t="s">
        <v>1288</v>
      </c>
      <c r="B1511" s="29">
        <v>84.0</v>
      </c>
      <c r="C1511" s="29" t="s">
        <v>608</v>
      </c>
      <c r="D1511" s="29" t="s">
        <v>693</v>
      </c>
      <c r="E1511" s="29">
        <v>209.0</v>
      </c>
      <c r="F1511" s="30" t="s">
        <v>694</v>
      </c>
      <c r="G1511" s="29" t="s">
        <v>695</v>
      </c>
      <c r="H1511" s="31">
        <v>5.52</v>
      </c>
      <c r="I1511" s="29" t="s">
        <v>620</v>
      </c>
      <c r="J1511" s="32" t="s">
        <v>642</v>
      </c>
      <c r="K1511" s="29" t="s">
        <v>599</v>
      </c>
      <c r="L1511" s="29" t="s">
        <v>819</v>
      </c>
      <c r="M1511" s="33">
        <v>-70.917</v>
      </c>
      <c r="N1511" s="33">
        <v>-12.233</v>
      </c>
      <c r="O1511" s="34" t="s">
        <v>641</v>
      </c>
      <c r="P1511" s="32" t="s">
        <v>602</v>
      </c>
      <c r="Q1511" s="35">
        <v>3.0</v>
      </c>
      <c r="R1511" s="35">
        <v>3.0</v>
      </c>
      <c r="S1511" s="36">
        <v>2.6667</v>
      </c>
      <c r="T1511" s="36">
        <v>4.0</v>
      </c>
      <c r="U1511" s="36">
        <v>3.7859</v>
      </c>
      <c r="V1511" s="36">
        <v>3.0</v>
      </c>
      <c r="W1511" s="37" t="s">
        <v>780</v>
      </c>
      <c r="X1511" s="31">
        <v>5.5</v>
      </c>
      <c r="Y1511" s="36">
        <v>-0.4050656909817813</v>
      </c>
      <c r="Z1511" s="36">
        <v>0.8593443980038241</v>
      </c>
      <c r="AA1511" s="29" t="s">
        <v>820</v>
      </c>
      <c r="AB1511" s="31">
        <v>0.287846595049</v>
      </c>
      <c r="AC1511" s="38">
        <v>482.0</v>
      </c>
    </row>
    <row r="1512" ht="14.25" customHeight="1">
      <c r="A1512" s="29" t="s">
        <v>1288</v>
      </c>
      <c r="B1512" s="29">
        <v>84.0</v>
      </c>
      <c r="C1512" s="29" t="s">
        <v>608</v>
      </c>
      <c r="D1512" s="29" t="s">
        <v>663</v>
      </c>
      <c r="E1512" s="29">
        <v>189.0</v>
      </c>
      <c r="F1512" s="30" t="s">
        <v>637</v>
      </c>
      <c r="G1512" s="29" t="s">
        <v>638</v>
      </c>
      <c r="H1512" s="31">
        <v>207.5</v>
      </c>
      <c r="I1512" s="29" t="s">
        <v>612</v>
      </c>
      <c r="J1512" s="32" t="s">
        <v>642</v>
      </c>
      <c r="K1512" s="29" t="s">
        <v>599</v>
      </c>
      <c r="L1512" s="29" t="s">
        <v>819</v>
      </c>
      <c r="M1512" s="33">
        <v>-70.917</v>
      </c>
      <c r="N1512" s="33">
        <v>-12.233</v>
      </c>
      <c r="O1512" s="34" t="s">
        <v>641</v>
      </c>
      <c r="P1512" s="32" t="s">
        <v>602</v>
      </c>
      <c r="Q1512" s="35">
        <v>3.0</v>
      </c>
      <c r="R1512" s="35">
        <v>3.0</v>
      </c>
      <c r="S1512" s="36">
        <v>1.6667</v>
      </c>
      <c r="T1512" s="36">
        <v>2.6667</v>
      </c>
      <c r="U1512" s="36">
        <v>0.5774</v>
      </c>
      <c r="V1512" s="36">
        <v>1.5275</v>
      </c>
      <c r="W1512" s="37" t="s">
        <v>780</v>
      </c>
      <c r="X1512" s="31">
        <v>5.5</v>
      </c>
      <c r="Y1512" s="36">
        <v>-0.4695834209417349</v>
      </c>
      <c r="Z1512" s="36">
        <v>0.14937394345770802</v>
      </c>
      <c r="AA1512" s="29" t="s">
        <v>820</v>
      </c>
      <c r="AB1512" s="31">
        <v>0.287846595049</v>
      </c>
      <c r="AC1512" s="38">
        <v>482.0</v>
      </c>
    </row>
    <row r="1513" ht="14.25" customHeight="1">
      <c r="A1513" s="29" t="s">
        <v>1288</v>
      </c>
      <c r="B1513" s="29">
        <v>84.0</v>
      </c>
      <c r="C1513" s="29" t="s">
        <v>608</v>
      </c>
      <c r="D1513" s="29" t="s">
        <v>639</v>
      </c>
      <c r="E1513" s="29">
        <v>190.0</v>
      </c>
      <c r="F1513" s="30" t="s">
        <v>640</v>
      </c>
      <c r="G1513" s="29" t="s">
        <v>626</v>
      </c>
      <c r="H1513" s="31">
        <v>32.23</v>
      </c>
      <c r="I1513" s="29" t="s">
        <v>597</v>
      </c>
      <c r="J1513" s="32" t="s">
        <v>642</v>
      </c>
      <c r="K1513" s="29" t="s">
        <v>599</v>
      </c>
      <c r="L1513" s="29" t="s">
        <v>819</v>
      </c>
      <c r="M1513" s="33">
        <v>-70.917</v>
      </c>
      <c r="N1513" s="33">
        <v>-12.233</v>
      </c>
      <c r="O1513" s="34" t="s">
        <v>641</v>
      </c>
      <c r="P1513" s="32" t="s">
        <v>602</v>
      </c>
      <c r="Q1513" s="35">
        <v>158.0</v>
      </c>
      <c r="R1513" s="35">
        <v>175.0</v>
      </c>
      <c r="S1513" s="36">
        <v>0.1</v>
      </c>
      <c r="T1513" s="36">
        <v>0.7</v>
      </c>
      <c r="U1513" s="36">
        <v>0.05</v>
      </c>
      <c r="V1513" s="36">
        <v>0.2</v>
      </c>
      <c r="W1513" s="37" t="s">
        <v>1286</v>
      </c>
      <c r="X1513" s="31">
        <v>5.5</v>
      </c>
      <c r="Y1513" s="36">
        <v>-1.9441057923343028</v>
      </c>
      <c r="Z1513" s="36">
        <v>0.0020487507842196556</v>
      </c>
      <c r="AA1513" s="29" t="s">
        <v>820</v>
      </c>
      <c r="AB1513" s="31">
        <v>0.287846595049</v>
      </c>
      <c r="AC1513" s="38">
        <v>482.0</v>
      </c>
    </row>
    <row r="1514" ht="14.25" customHeight="1">
      <c r="A1514" s="29" t="s">
        <v>405</v>
      </c>
      <c r="B1514" s="29">
        <v>101.0</v>
      </c>
      <c r="C1514" s="29" t="s">
        <v>608</v>
      </c>
      <c r="D1514" s="40" t="s">
        <v>1297</v>
      </c>
      <c r="E1514" s="29">
        <v>277.0</v>
      </c>
      <c r="F1514" s="30" t="s">
        <v>1298</v>
      </c>
      <c r="G1514" s="29" t="s">
        <v>611</v>
      </c>
      <c r="H1514" s="31">
        <v>5.8</v>
      </c>
      <c r="I1514" s="29" t="s">
        <v>597</v>
      </c>
      <c r="J1514" s="32" t="s">
        <v>598</v>
      </c>
      <c r="K1514" s="29" t="s">
        <v>951</v>
      </c>
      <c r="L1514" s="29" t="s">
        <v>1266</v>
      </c>
      <c r="M1514" s="33">
        <v>100.282</v>
      </c>
      <c r="N1514" s="33">
        <v>-2.905</v>
      </c>
      <c r="O1514" s="34" t="s">
        <v>641</v>
      </c>
      <c r="P1514" s="32" t="s">
        <v>602</v>
      </c>
      <c r="Q1514" s="35">
        <v>9.0</v>
      </c>
      <c r="R1514" s="35">
        <v>9.0</v>
      </c>
      <c r="S1514" s="36">
        <v>2.56</v>
      </c>
      <c r="T1514" s="36">
        <v>0.83</v>
      </c>
      <c r="U1514" s="36">
        <v>1.6</v>
      </c>
      <c r="V1514" s="36">
        <v>0.911043358</v>
      </c>
      <c r="W1514" s="37" t="s">
        <v>623</v>
      </c>
      <c r="X1514" s="31">
        <v>3.5</v>
      </c>
      <c r="Y1514" s="36">
        <v>1.1264204809530032</v>
      </c>
      <c r="Z1514" s="36">
        <v>0.17727158637052892</v>
      </c>
      <c r="AA1514" s="29" t="s">
        <v>820</v>
      </c>
      <c r="AB1514" s="31">
        <v>7.25555992126</v>
      </c>
      <c r="AC1514" s="38">
        <v>661.0</v>
      </c>
    </row>
    <row r="1515" ht="14.25" customHeight="1">
      <c r="A1515" s="29" t="s">
        <v>405</v>
      </c>
      <c r="B1515" s="29">
        <v>101.0</v>
      </c>
      <c r="C1515" s="29" t="s">
        <v>608</v>
      </c>
      <c r="D1515" s="29" t="s">
        <v>1299</v>
      </c>
      <c r="E1515" s="29">
        <v>278.0</v>
      </c>
      <c r="F1515" s="30" t="s">
        <v>1300</v>
      </c>
      <c r="G1515" s="29" t="s">
        <v>611</v>
      </c>
      <c r="H1515" s="31">
        <v>4.534</v>
      </c>
      <c r="I1515" s="29" t="s">
        <v>597</v>
      </c>
      <c r="J1515" s="32" t="s">
        <v>598</v>
      </c>
      <c r="K1515" s="29" t="s">
        <v>951</v>
      </c>
      <c r="L1515" s="29" t="s">
        <v>1266</v>
      </c>
      <c r="M1515" s="33">
        <v>100.282</v>
      </c>
      <c r="N1515" s="33">
        <v>-2.905</v>
      </c>
      <c r="O1515" s="34" t="s">
        <v>641</v>
      </c>
      <c r="P1515" s="32" t="s">
        <v>602</v>
      </c>
      <c r="Q1515" s="35">
        <v>9.0</v>
      </c>
      <c r="R1515" s="35">
        <v>9.0</v>
      </c>
      <c r="S1515" s="36">
        <v>4.83</v>
      </c>
      <c r="T1515" s="36">
        <v>6.84</v>
      </c>
      <c r="U1515" s="36">
        <v>2.197726098</v>
      </c>
      <c r="V1515" s="36">
        <v>2.615339366</v>
      </c>
      <c r="W1515" s="37" t="s">
        <v>623</v>
      </c>
      <c r="X1515" s="31">
        <v>3.5</v>
      </c>
      <c r="Y1515" s="36">
        <v>-0.34757596716226263</v>
      </c>
      <c r="Z1515" s="36">
        <v>0.03924868532755832</v>
      </c>
      <c r="AA1515" s="29" t="s">
        <v>820</v>
      </c>
      <c r="AB1515" s="31">
        <v>7.25555992126</v>
      </c>
      <c r="AC1515" s="38">
        <v>661.0</v>
      </c>
    </row>
    <row r="1516" ht="14.25" customHeight="1">
      <c r="A1516" s="29" t="s">
        <v>405</v>
      </c>
      <c r="B1516" s="29">
        <v>101.0</v>
      </c>
      <c r="C1516" s="29" t="s">
        <v>608</v>
      </c>
      <c r="D1516" s="42" t="s">
        <v>1301</v>
      </c>
      <c r="E1516" s="29">
        <v>282.0</v>
      </c>
      <c r="F1516" s="30" t="s">
        <v>1302</v>
      </c>
      <c r="G1516" s="29" t="s">
        <v>611</v>
      </c>
      <c r="H1516" s="31">
        <v>6.45</v>
      </c>
      <c r="I1516" s="29" t="s">
        <v>597</v>
      </c>
      <c r="J1516" s="32" t="s">
        <v>598</v>
      </c>
      <c r="K1516" s="29" t="s">
        <v>951</v>
      </c>
      <c r="L1516" s="29" t="s">
        <v>1266</v>
      </c>
      <c r="M1516" s="33">
        <v>100.282</v>
      </c>
      <c r="N1516" s="33">
        <v>-2.905</v>
      </c>
      <c r="O1516" s="34" t="s">
        <v>641</v>
      </c>
      <c r="P1516" s="32" t="s">
        <v>602</v>
      </c>
      <c r="Q1516" s="35">
        <v>9.0</v>
      </c>
      <c r="R1516" s="35">
        <v>9.0</v>
      </c>
      <c r="S1516" s="36">
        <v>1.15</v>
      </c>
      <c r="T1516" s="36">
        <v>0.58</v>
      </c>
      <c r="U1516" s="36">
        <v>1.072380529</v>
      </c>
      <c r="V1516" s="36">
        <v>0.761577311</v>
      </c>
      <c r="W1516" s="37" t="s">
        <v>623</v>
      </c>
      <c r="X1516" s="31">
        <v>3.5</v>
      </c>
      <c r="Y1516" s="36">
        <v>0.684619230050032</v>
      </c>
      <c r="Z1516" s="36">
        <v>0.2881892388362215</v>
      </c>
      <c r="AA1516" s="29" t="s">
        <v>820</v>
      </c>
      <c r="AB1516" s="31">
        <v>7.25555992126</v>
      </c>
      <c r="AC1516" s="38">
        <v>661.0</v>
      </c>
    </row>
    <row r="1517" ht="14.25" customHeight="1">
      <c r="A1517" s="29" t="s">
        <v>405</v>
      </c>
      <c r="B1517" s="29">
        <v>101.0</v>
      </c>
      <c r="C1517" s="29" t="s">
        <v>608</v>
      </c>
      <c r="D1517" s="29" t="s">
        <v>1303</v>
      </c>
      <c r="E1517" s="29">
        <v>287.0</v>
      </c>
      <c r="F1517" s="30" t="s">
        <v>1304</v>
      </c>
      <c r="G1517" s="29" t="s">
        <v>611</v>
      </c>
      <c r="H1517" s="31">
        <v>7.393</v>
      </c>
      <c r="I1517" s="29" t="s">
        <v>612</v>
      </c>
      <c r="J1517" s="32" t="s">
        <v>598</v>
      </c>
      <c r="K1517" s="29" t="s">
        <v>951</v>
      </c>
      <c r="L1517" s="29" t="s">
        <v>1266</v>
      </c>
      <c r="M1517" s="33">
        <v>100.282</v>
      </c>
      <c r="N1517" s="33">
        <v>-2.905</v>
      </c>
      <c r="O1517" s="34" t="s">
        <v>641</v>
      </c>
      <c r="P1517" s="32" t="s">
        <v>602</v>
      </c>
      <c r="Q1517" s="35">
        <v>9.0</v>
      </c>
      <c r="R1517" s="35">
        <v>9.0</v>
      </c>
      <c r="S1517" s="36">
        <v>4.8</v>
      </c>
      <c r="T1517" s="36">
        <v>3.15</v>
      </c>
      <c r="U1517" s="36">
        <v>2.19089023</v>
      </c>
      <c r="V1517" s="36">
        <v>1.774823935</v>
      </c>
      <c r="W1517" s="37" t="s">
        <v>623</v>
      </c>
      <c r="X1517" s="31">
        <v>3.5</v>
      </c>
      <c r="Y1517" s="36">
        <v>0.42138276189029994</v>
      </c>
      <c r="Z1517" s="36">
        <v>0.0584215167572004</v>
      </c>
      <c r="AA1517" s="29" t="s">
        <v>820</v>
      </c>
      <c r="AB1517" s="31">
        <v>7.25555992126</v>
      </c>
      <c r="AC1517" s="38">
        <v>661.0</v>
      </c>
    </row>
    <row r="1518" ht="14.25" customHeight="1">
      <c r="A1518" s="29" t="s">
        <v>405</v>
      </c>
      <c r="B1518" s="29">
        <v>101.0</v>
      </c>
      <c r="C1518" s="29" t="s">
        <v>608</v>
      </c>
      <c r="D1518" s="40" t="s">
        <v>1297</v>
      </c>
      <c r="E1518" s="29">
        <v>277.0</v>
      </c>
      <c r="F1518" s="30" t="s">
        <v>1298</v>
      </c>
      <c r="G1518" s="29" t="s">
        <v>611</v>
      </c>
      <c r="H1518" s="31">
        <v>5.8</v>
      </c>
      <c r="I1518" s="29" t="s">
        <v>597</v>
      </c>
      <c r="J1518" s="32" t="s">
        <v>598</v>
      </c>
      <c r="K1518" s="29" t="s">
        <v>951</v>
      </c>
      <c r="L1518" s="29" t="s">
        <v>1266</v>
      </c>
      <c r="M1518" s="33">
        <v>100.336</v>
      </c>
      <c r="N1518" s="33">
        <v>-3.086</v>
      </c>
      <c r="O1518" s="34" t="s">
        <v>641</v>
      </c>
      <c r="P1518" s="32" t="s">
        <v>602</v>
      </c>
      <c r="Q1518" s="35">
        <v>9.0</v>
      </c>
      <c r="R1518" s="35">
        <v>9.0</v>
      </c>
      <c r="S1518" s="36">
        <v>1.5</v>
      </c>
      <c r="T1518" s="36">
        <v>0.83</v>
      </c>
      <c r="U1518" s="36">
        <v>1.224744871</v>
      </c>
      <c r="V1518" s="36">
        <v>0.911043358</v>
      </c>
      <c r="W1518" s="37" t="s">
        <v>623</v>
      </c>
      <c r="X1518" s="31">
        <v>0.25</v>
      </c>
      <c r="Y1518" s="36">
        <v>0.591937434968511</v>
      </c>
      <c r="Z1518" s="36">
        <v>0.20794288261945765</v>
      </c>
      <c r="AA1518" s="29" t="s">
        <v>820</v>
      </c>
      <c r="AB1518" s="31">
        <v>14.2387504578</v>
      </c>
      <c r="AC1518" s="38">
        <v>540.0</v>
      </c>
    </row>
    <row r="1519" ht="14.25" customHeight="1">
      <c r="A1519" s="29" t="s">
        <v>405</v>
      </c>
      <c r="B1519" s="29">
        <v>101.0</v>
      </c>
      <c r="C1519" s="29" t="s">
        <v>608</v>
      </c>
      <c r="D1519" s="29" t="s">
        <v>1299</v>
      </c>
      <c r="E1519" s="29">
        <v>278.0</v>
      </c>
      <c r="F1519" s="30" t="s">
        <v>1300</v>
      </c>
      <c r="G1519" s="29" t="s">
        <v>611</v>
      </c>
      <c r="H1519" s="31">
        <v>4.534</v>
      </c>
      <c r="I1519" s="29" t="s">
        <v>597</v>
      </c>
      <c r="J1519" s="32" t="s">
        <v>598</v>
      </c>
      <c r="K1519" s="29" t="s">
        <v>951</v>
      </c>
      <c r="L1519" s="29" t="s">
        <v>1266</v>
      </c>
      <c r="M1519" s="33">
        <v>100.336</v>
      </c>
      <c r="N1519" s="33">
        <v>-3.086</v>
      </c>
      <c r="O1519" s="34" t="s">
        <v>641</v>
      </c>
      <c r="P1519" s="32" t="s">
        <v>602</v>
      </c>
      <c r="Q1519" s="35">
        <v>9.0</v>
      </c>
      <c r="R1519" s="35">
        <v>9.0</v>
      </c>
      <c r="S1519" s="36">
        <v>9.03</v>
      </c>
      <c r="T1519" s="36">
        <v>6.84</v>
      </c>
      <c r="U1519" s="36">
        <v>3.00499584</v>
      </c>
      <c r="V1519" s="36">
        <v>2.615339366</v>
      </c>
      <c r="W1519" s="37" t="s">
        <v>623</v>
      </c>
      <c r="X1519" s="31">
        <v>0.25</v>
      </c>
      <c r="Y1519" s="36">
        <v>0.27796004370907723</v>
      </c>
      <c r="Z1519" s="36">
        <v>0.02854897795368066</v>
      </c>
      <c r="AA1519" s="29" t="s">
        <v>820</v>
      </c>
      <c r="AB1519" s="31">
        <v>14.2387504578</v>
      </c>
      <c r="AC1519" s="38">
        <v>540.0</v>
      </c>
    </row>
    <row r="1520" ht="14.25" customHeight="1">
      <c r="A1520" s="29" t="s">
        <v>405</v>
      </c>
      <c r="B1520" s="29">
        <v>101.0</v>
      </c>
      <c r="C1520" s="29" t="s">
        <v>608</v>
      </c>
      <c r="D1520" s="42" t="s">
        <v>1301</v>
      </c>
      <c r="E1520" s="29">
        <v>282.0</v>
      </c>
      <c r="F1520" s="30" t="s">
        <v>1302</v>
      </c>
      <c r="G1520" s="29" t="s">
        <v>611</v>
      </c>
      <c r="H1520" s="31">
        <v>6.45</v>
      </c>
      <c r="I1520" s="29" t="s">
        <v>597</v>
      </c>
      <c r="J1520" s="32" t="s">
        <v>598</v>
      </c>
      <c r="K1520" s="29" t="s">
        <v>951</v>
      </c>
      <c r="L1520" s="29" t="s">
        <v>1266</v>
      </c>
      <c r="M1520" s="33">
        <v>100.336</v>
      </c>
      <c r="N1520" s="33">
        <v>-3.086</v>
      </c>
      <c r="O1520" s="34" t="s">
        <v>641</v>
      </c>
      <c r="P1520" s="32" t="s">
        <v>602</v>
      </c>
      <c r="Q1520" s="35">
        <v>9.0</v>
      </c>
      <c r="R1520" s="35">
        <v>9.0</v>
      </c>
      <c r="S1520" s="36">
        <v>1.33</v>
      </c>
      <c r="T1520" s="36">
        <v>0.58</v>
      </c>
      <c r="U1520" s="36">
        <v>1.153256259</v>
      </c>
      <c r="V1520" s="36">
        <v>0.761577311</v>
      </c>
      <c r="W1520" s="37" t="s">
        <v>623</v>
      </c>
      <c r="X1520" s="31">
        <v>0.25</v>
      </c>
      <c r="Y1520" s="36">
        <v>0.8300186217246291</v>
      </c>
      <c r="Z1520" s="36">
        <v>0.2751130701718122</v>
      </c>
      <c r="AA1520" s="29" t="s">
        <v>820</v>
      </c>
      <c r="AB1520" s="31">
        <v>14.2387504578</v>
      </c>
      <c r="AC1520" s="38">
        <v>540.0</v>
      </c>
    </row>
    <row r="1521" ht="14.25" customHeight="1">
      <c r="A1521" s="29" t="s">
        <v>405</v>
      </c>
      <c r="B1521" s="29">
        <v>101.0</v>
      </c>
      <c r="C1521" s="29" t="s">
        <v>608</v>
      </c>
      <c r="D1521" s="29" t="s">
        <v>1303</v>
      </c>
      <c r="E1521" s="29">
        <v>287.0</v>
      </c>
      <c r="F1521" s="30" t="s">
        <v>1304</v>
      </c>
      <c r="G1521" s="29" t="s">
        <v>611</v>
      </c>
      <c r="H1521" s="31">
        <v>7.393</v>
      </c>
      <c r="I1521" s="29" t="s">
        <v>612</v>
      </c>
      <c r="J1521" s="32" t="s">
        <v>598</v>
      </c>
      <c r="K1521" s="29" t="s">
        <v>951</v>
      </c>
      <c r="L1521" s="29" t="s">
        <v>1266</v>
      </c>
      <c r="M1521" s="33">
        <v>100.336</v>
      </c>
      <c r="N1521" s="33">
        <v>-3.086</v>
      </c>
      <c r="O1521" s="34" t="s">
        <v>641</v>
      </c>
      <c r="P1521" s="32" t="s">
        <v>602</v>
      </c>
      <c r="Q1521" s="35">
        <v>9.0</v>
      </c>
      <c r="R1521" s="35">
        <v>9.0</v>
      </c>
      <c r="S1521" s="36">
        <v>7.55</v>
      </c>
      <c r="T1521" s="36">
        <v>3.15</v>
      </c>
      <c r="U1521" s="36">
        <v>2.747726333</v>
      </c>
      <c r="V1521" s="36">
        <v>1.774823935</v>
      </c>
      <c r="W1521" s="37" t="s">
        <v>623</v>
      </c>
      <c r="X1521" s="31">
        <v>0.25</v>
      </c>
      <c r="Y1521" s="36">
        <v>0.8742527461534325</v>
      </c>
      <c r="Z1521" s="36">
        <v>0.049990072069983585</v>
      </c>
      <c r="AA1521" s="29" t="s">
        <v>820</v>
      </c>
      <c r="AB1521" s="31">
        <v>14.2387504578</v>
      </c>
      <c r="AC1521" s="38">
        <v>540.0</v>
      </c>
    </row>
    <row r="1522" ht="14.25" customHeight="1">
      <c r="A1522" s="29" t="s">
        <v>405</v>
      </c>
      <c r="B1522" s="29">
        <v>102.0</v>
      </c>
      <c r="C1522" s="29" t="s">
        <v>608</v>
      </c>
      <c r="D1522" s="40" t="s">
        <v>1297</v>
      </c>
      <c r="E1522" s="29">
        <v>277.0</v>
      </c>
      <c r="F1522" s="30" t="s">
        <v>1298</v>
      </c>
      <c r="G1522" s="29" t="s">
        <v>611</v>
      </c>
      <c r="H1522" s="31">
        <v>5.8</v>
      </c>
      <c r="I1522" s="29" t="s">
        <v>597</v>
      </c>
      <c r="J1522" s="32" t="s">
        <v>598</v>
      </c>
      <c r="K1522" s="29" t="s">
        <v>951</v>
      </c>
      <c r="L1522" s="29" t="s">
        <v>1266</v>
      </c>
      <c r="M1522" s="33">
        <v>100.033</v>
      </c>
      <c r="N1522" s="33">
        <v>-2.635</v>
      </c>
      <c r="O1522" s="34" t="s">
        <v>641</v>
      </c>
      <c r="P1522" s="32" t="s">
        <v>602</v>
      </c>
      <c r="Q1522" s="35">
        <v>9.0</v>
      </c>
      <c r="R1522" s="35">
        <v>9.0</v>
      </c>
      <c r="S1522" s="36">
        <v>1.13</v>
      </c>
      <c r="T1522" s="36">
        <v>1.12</v>
      </c>
      <c r="U1522" s="36">
        <v>1.063014581</v>
      </c>
      <c r="V1522" s="36">
        <v>1.058300524</v>
      </c>
      <c r="W1522" s="37" t="s">
        <v>623</v>
      </c>
      <c r="X1522" s="31">
        <v>4.0</v>
      </c>
      <c r="Y1522" s="36">
        <v>0.009144629496238113</v>
      </c>
      <c r="Z1522" s="36">
        <v>0.19753476598840936</v>
      </c>
      <c r="AA1522" s="29" t="s">
        <v>820</v>
      </c>
      <c r="AB1522" s="31">
        <v>4.74897813797</v>
      </c>
      <c r="AC1522" s="38">
        <v>663.0</v>
      </c>
    </row>
    <row r="1523" ht="14.25" customHeight="1">
      <c r="A1523" s="29" t="s">
        <v>405</v>
      </c>
      <c r="B1523" s="29">
        <v>102.0</v>
      </c>
      <c r="C1523" s="29" t="s">
        <v>608</v>
      </c>
      <c r="D1523" s="29" t="s">
        <v>1299</v>
      </c>
      <c r="E1523" s="29">
        <v>278.0</v>
      </c>
      <c r="F1523" s="30" t="s">
        <v>1300</v>
      </c>
      <c r="G1523" s="29" t="s">
        <v>611</v>
      </c>
      <c r="H1523" s="31">
        <v>4.534</v>
      </c>
      <c r="I1523" s="29" t="s">
        <v>597</v>
      </c>
      <c r="J1523" s="32" t="s">
        <v>598</v>
      </c>
      <c r="K1523" s="29" t="s">
        <v>951</v>
      </c>
      <c r="L1523" s="29" t="s">
        <v>1266</v>
      </c>
      <c r="M1523" s="33">
        <v>100.033</v>
      </c>
      <c r="N1523" s="33">
        <v>-2.635</v>
      </c>
      <c r="O1523" s="34" t="s">
        <v>641</v>
      </c>
      <c r="P1523" s="32" t="s">
        <v>602</v>
      </c>
      <c r="Q1523" s="35">
        <v>9.0</v>
      </c>
      <c r="R1523" s="35">
        <v>9.0</v>
      </c>
      <c r="S1523" s="36">
        <v>17.98</v>
      </c>
      <c r="T1523" s="36">
        <v>5.69</v>
      </c>
      <c r="U1523" s="36">
        <v>4.240283009</v>
      </c>
      <c r="V1523" s="36">
        <v>2.385372088</v>
      </c>
      <c r="W1523" s="37" t="s">
        <v>623</v>
      </c>
      <c r="X1523" s="31">
        <v>4.0</v>
      </c>
      <c r="Y1523" s="36">
        <v>1.150631424305132</v>
      </c>
      <c r="Z1523" s="36">
        <v>0.025707141886271337</v>
      </c>
      <c r="AA1523" s="29" t="s">
        <v>820</v>
      </c>
      <c r="AB1523" s="31">
        <v>4.74897813797</v>
      </c>
      <c r="AC1523" s="38">
        <v>663.0</v>
      </c>
    </row>
    <row r="1524" ht="14.25" customHeight="1">
      <c r="A1524" s="29" t="s">
        <v>405</v>
      </c>
      <c r="B1524" s="29">
        <v>102.0</v>
      </c>
      <c r="C1524" s="29" t="s">
        <v>608</v>
      </c>
      <c r="D1524" s="42" t="s">
        <v>1301</v>
      </c>
      <c r="E1524" s="29">
        <v>282.0</v>
      </c>
      <c r="F1524" s="30" t="s">
        <v>1302</v>
      </c>
      <c r="G1524" s="29" t="s">
        <v>611</v>
      </c>
      <c r="H1524" s="31">
        <v>6.45</v>
      </c>
      <c r="I1524" s="29" t="s">
        <v>597</v>
      </c>
      <c r="J1524" s="32" t="s">
        <v>598</v>
      </c>
      <c r="K1524" s="29" t="s">
        <v>951</v>
      </c>
      <c r="L1524" s="29" t="s">
        <v>1266</v>
      </c>
      <c r="M1524" s="33">
        <v>100.033</v>
      </c>
      <c r="N1524" s="33">
        <v>-2.635</v>
      </c>
      <c r="O1524" s="34" t="s">
        <v>641</v>
      </c>
      <c r="P1524" s="32" t="s">
        <v>602</v>
      </c>
      <c r="Q1524" s="35">
        <v>9.0</v>
      </c>
      <c r="R1524" s="35">
        <v>9.0</v>
      </c>
      <c r="S1524" s="36">
        <v>0.73</v>
      </c>
      <c r="T1524" s="36">
        <v>0.69</v>
      </c>
      <c r="U1524" s="36">
        <v>0.854400375</v>
      </c>
      <c r="V1524" s="36">
        <v>0.830662386</v>
      </c>
      <c r="W1524" s="37" t="s">
        <v>623</v>
      </c>
      <c r="X1524" s="31">
        <v>4.0</v>
      </c>
      <c r="Y1524" s="36">
        <v>0.05659676788466597</v>
      </c>
      <c r="Z1524" s="36">
        <v>0.3132375973889676</v>
      </c>
      <c r="AA1524" s="29" t="s">
        <v>820</v>
      </c>
      <c r="AB1524" s="31">
        <v>4.74897813797</v>
      </c>
      <c r="AC1524" s="38">
        <v>663.0</v>
      </c>
    </row>
    <row r="1525" ht="14.25" customHeight="1">
      <c r="A1525" s="29" t="s">
        <v>405</v>
      </c>
      <c r="B1525" s="29">
        <v>102.0</v>
      </c>
      <c r="C1525" s="29" t="s">
        <v>608</v>
      </c>
      <c r="D1525" s="29" t="s">
        <v>1303</v>
      </c>
      <c r="E1525" s="29">
        <v>287.0</v>
      </c>
      <c r="F1525" s="30" t="s">
        <v>1304</v>
      </c>
      <c r="G1525" s="29" t="s">
        <v>611</v>
      </c>
      <c r="H1525" s="31">
        <v>7.393</v>
      </c>
      <c r="I1525" s="29" t="s">
        <v>612</v>
      </c>
      <c r="J1525" s="32" t="s">
        <v>598</v>
      </c>
      <c r="K1525" s="29" t="s">
        <v>951</v>
      </c>
      <c r="L1525" s="29" t="s">
        <v>1266</v>
      </c>
      <c r="M1525" s="33">
        <v>100.033</v>
      </c>
      <c r="N1525" s="33">
        <v>-2.635</v>
      </c>
      <c r="O1525" s="34" t="s">
        <v>641</v>
      </c>
      <c r="P1525" s="32" t="s">
        <v>602</v>
      </c>
      <c r="Q1525" s="35">
        <v>9.0</v>
      </c>
      <c r="R1525" s="35">
        <v>9.0</v>
      </c>
      <c r="S1525" s="36">
        <v>10.45</v>
      </c>
      <c r="T1525" s="36">
        <v>0.27</v>
      </c>
      <c r="U1525" s="36">
        <v>3.232645975</v>
      </c>
      <c r="V1525" s="36">
        <v>0.519615242</v>
      </c>
      <c r="W1525" s="37" t="s">
        <v>623</v>
      </c>
      <c r="X1525" s="31">
        <v>4.0</v>
      </c>
      <c r="Y1525" s="36">
        <v>3.655941964347745</v>
      </c>
      <c r="Z1525" s="36">
        <v>0.42215527552740634</v>
      </c>
      <c r="AA1525" s="29" t="s">
        <v>820</v>
      </c>
      <c r="AB1525" s="31">
        <v>4.74897813797</v>
      </c>
      <c r="AC1525" s="38">
        <v>663.0</v>
      </c>
    </row>
    <row r="1526" ht="14.25" customHeight="1">
      <c r="A1526" s="29" t="s">
        <v>405</v>
      </c>
      <c r="B1526" s="29">
        <v>102.0</v>
      </c>
      <c r="C1526" s="29" t="s">
        <v>608</v>
      </c>
      <c r="D1526" s="40" t="s">
        <v>1297</v>
      </c>
      <c r="E1526" s="29">
        <v>277.0</v>
      </c>
      <c r="F1526" s="30" t="s">
        <v>1298</v>
      </c>
      <c r="G1526" s="29" t="s">
        <v>611</v>
      </c>
      <c r="H1526" s="31">
        <v>5.8</v>
      </c>
      <c r="I1526" s="29" t="s">
        <v>597</v>
      </c>
      <c r="J1526" s="32" t="s">
        <v>598</v>
      </c>
      <c r="K1526" s="29" t="s">
        <v>951</v>
      </c>
      <c r="L1526" s="29" t="s">
        <v>1266</v>
      </c>
      <c r="M1526" s="33">
        <v>100.081</v>
      </c>
      <c r="N1526" s="33">
        <v>-2.628</v>
      </c>
      <c r="O1526" s="34" t="s">
        <v>641</v>
      </c>
      <c r="P1526" s="32" t="s">
        <v>602</v>
      </c>
      <c r="Q1526" s="35">
        <v>9.0</v>
      </c>
      <c r="R1526" s="35">
        <v>9.0</v>
      </c>
      <c r="S1526" s="36">
        <v>1.03</v>
      </c>
      <c r="T1526" s="36">
        <v>1.12</v>
      </c>
      <c r="U1526" s="36">
        <v>1.014889157</v>
      </c>
      <c r="V1526" s="36">
        <v>1.058300524</v>
      </c>
      <c r="W1526" s="37" t="s">
        <v>623</v>
      </c>
      <c r="X1526" s="31">
        <v>0.275</v>
      </c>
      <c r="Y1526" s="36">
        <v>-0.08348938096486282</v>
      </c>
      <c r="Z1526" s="36">
        <v>0.2070812143872628</v>
      </c>
      <c r="AA1526" s="29" t="s">
        <v>820</v>
      </c>
      <c r="AB1526" s="31">
        <v>23.2522773743</v>
      </c>
      <c r="AC1526" s="38">
        <v>568.0</v>
      </c>
    </row>
    <row r="1527" ht="14.25" customHeight="1">
      <c r="A1527" s="29" t="s">
        <v>405</v>
      </c>
      <c r="B1527" s="29">
        <v>102.0</v>
      </c>
      <c r="C1527" s="29" t="s">
        <v>608</v>
      </c>
      <c r="D1527" s="29" t="s">
        <v>1299</v>
      </c>
      <c r="E1527" s="29">
        <v>278.0</v>
      </c>
      <c r="F1527" s="30" t="s">
        <v>1300</v>
      </c>
      <c r="G1527" s="29" t="s">
        <v>611</v>
      </c>
      <c r="H1527" s="31">
        <v>4.534</v>
      </c>
      <c r="I1527" s="29" t="s">
        <v>597</v>
      </c>
      <c r="J1527" s="32" t="s">
        <v>598</v>
      </c>
      <c r="K1527" s="29" t="s">
        <v>951</v>
      </c>
      <c r="L1527" s="29" t="s">
        <v>1266</v>
      </c>
      <c r="M1527" s="33">
        <v>100.081</v>
      </c>
      <c r="N1527" s="33">
        <v>-2.628</v>
      </c>
      <c r="O1527" s="34" t="s">
        <v>641</v>
      </c>
      <c r="P1527" s="32" t="s">
        <v>602</v>
      </c>
      <c r="Q1527" s="35">
        <v>9.0</v>
      </c>
      <c r="R1527" s="35">
        <v>9.0</v>
      </c>
      <c r="S1527" s="36">
        <v>5.73</v>
      </c>
      <c r="T1527" s="36">
        <v>5.69</v>
      </c>
      <c r="U1527" s="36">
        <v>2.393741841</v>
      </c>
      <c r="V1527" s="36">
        <v>2.385372088</v>
      </c>
      <c r="W1527" s="37" t="s">
        <v>623</v>
      </c>
      <c r="X1527" s="31">
        <v>0.275</v>
      </c>
      <c r="Y1527" s="36">
        <v>0.0072614466788904885</v>
      </c>
      <c r="Z1527" s="36">
        <v>0.0389185549136431</v>
      </c>
      <c r="AA1527" s="29" t="s">
        <v>820</v>
      </c>
      <c r="AB1527" s="31">
        <v>23.2522773743</v>
      </c>
      <c r="AC1527" s="38">
        <v>568.0</v>
      </c>
    </row>
    <row r="1528" ht="14.25" customHeight="1">
      <c r="A1528" s="29" t="s">
        <v>405</v>
      </c>
      <c r="B1528" s="29">
        <v>102.0</v>
      </c>
      <c r="C1528" s="29" t="s">
        <v>608</v>
      </c>
      <c r="D1528" s="42" t="s">
        <v>1301</v>
      </c>
      <c r="E1528" s="29">
        <v>282.0</v>
      </c>
      <c r="F1528" s="30" t="s">
        <v>1302</v>
      </c>
      <c r="G1528" s="29" t="s">
        <v>611</v>
      </c>
      <c r="H1528" s="31">
        <v>6.45</v>
      </c>
      <c r="I1528" s="29" t="s">
        <v>597</v>
      </c>
      <c r="J1528" s="32" t="s">
        <v>598</v>
      </c>
      <c r="K1528" s="29" t="s">
        <v>951</v>
      </c>
      <c r="L1528" s="29" t="s">
        <v>1266</v>
      </c>
      <c r="M1528" s="33">
        <v>100.081</v>
      </c>
      <c r="N1528" s="33">
        <v>-2.628</v>
      </c>
      <c r="O1528" s="34" t="s">
        <v>641</v>
      </c>
      <c r="P1528" s="32" t="s">
        <v>602</v>
      </c>
      <c r="Q1528" s="35">
        <v>9.0</v>
      </c>
      <c r="R1528" s="35">
        <v>9.0</v>
      </c>
      <c r="S1528" s="36">
        <v>0.52</v>
      </c>
      <c r="T1528" s="36">
        <v>0.69</v>
      </c>
      <c r="U1528" s="36">
        <v>0.721110255</v>
      </c>
      <c r="V1528" s="36">
        <v>0.830662386</v>
      </c>
      <c r="W1528" s="37" t="s">
        <v>623</v>
      </c>
      <c r="X1528" s="31">
        <v>0.275</v>
      </c>
      <c r="Y1528" s="36">
        <v>-0.2825205011868694</v>
      </c>
      <c r="Z1528" s="36">
        <v>0.3747058093202851</v>
      </c>
      <c r="AA1528" s="29" t="s">
        <v>820</v>
      </c>
      <c r="AB1528" s="31">
        <v>23.2522773743</v>
      </c>
      <c r="AC1528" s="38">
        <v>568.0</v>
      </c>
    </row>
    <row r="1529" ht="14.25" customHeight="1">
      <c r="A1529" s="29" t="s">
        <v>405</v>
      </c>
      <c r="B1529" s="29">
        <v>102.0</v>
      </c>
      <c r="C1529" s="29" t="s">
        <v>608</v>
      </c>
      <c r="D1529" s="29" t="s">
        <v>1303</v>
      </c>
      <c r="E1529" s="29">
        <v>287.0</v>
      </c>
      <c r="F1529" s="30" t="s">
        <v>1304</v>
      </c>
      <c r="G1529" s="29" t="s">
        <v>611</v>
      </c>
      <c r="H1529" s="31">
        <v>7.393</v>
      </c>
      <c r="I1529" s="29" t="s">
        <v>612</v>
      </c>
      <c r="J1529" s="32" t="s">
        <v>598</v>
      </c>
      <c r="K1529" s="29" t="s">
        <v>951</v>
      </c>
      <c r="L1529" s="29" t="s">
        <v>1266</v>
      </c>
      <c r="M1529" s="33">
        <v>100.081</v>
      </c>
      <c r="N1529" s="33">
        <v>-2.628</v>
      </c>
      <c r="O1529" s="34" t="s">
        <v>641</v>
      </c>
      <c r="P1529" s="32" t="s">
        <v>602</v>
      </c>
      <c r="Q1529" s="35">
        <v>9.0</v>
      </c>
      <c r="R1529" s="35">
        <v>9.0</v>
      </c>
      <c r="S1529" s="36">
        <v>2.76</v>
      </c>
      <c r="T1529" s="36">
        <v>0.27</v>
      </c>
      <c r="U1529" s="36">
        <v>1.661324773</v>
      </c>
      <c r="V1529" s="36">
        <v>0.519615242</v>
      </c>
      <c r="W1529" s="37" t="s">
        <v>623</v>
      </c>
      <c r="X1529" s="31">
        <v>0.275</v>
      </c>
      <c r="Y1529" s="36">
        <v>2.3245892383228477</v>
      </c>
      <c r="Z1529" s="36">
        <v>0.45178028228961964</v>
      </c>
      <c r="AA1529" s="29" t="s">
        <v>820</v>
      </c>
      <c r="AB1529" s="31">
        <v>23.2522773743</v>
      </c>
      <c r="AC1529" s="38">
        <v>568.0</v>
      </c>
    </row>
    <row r="1530" ht="14.25" customHeight="1">
      <c r="A1530" s="29" t="s">
        <v>405</v>
      </c>
      <c r="B1530" s="29">
        <v>103.0</v>
      </c>
      <c r="C1530" s="29" t="s">
        <v>608</v>
      </c>
      <c r="D1530" s="40" t="s">
        <v>1297</v>
      </c>
      <c r="E1530" s="29">
        <v>277.0</v>
      </c>
      <c r="F1530" s="30" t="s">
        <v>1298</v>
      </c>
      <c r="G1530" s="29" t="s">
        <v>611</v>
      </c>
      <c r="H1530" s="31">
        <v>5.8</v>
      </c>
      <c r="I1530" s="29" t="s">
        <v>597</v>
      </c>
      <c r="J1530" s="32" t="s">
        <v>598</v>
      </c>
      <c r="K1530" s="29" t="s">
        <v>951</v>
      </c>
      <c r="L1530" s="29" t="s">
        <v>1266</v>
      </c>
      <c r="M1530" s="33">
        <v>100.292</v>
      </c>
      <c r="N1530" s="33">
        <v>-3.009</v>
      </c>
      <c r="O1530" s="34" t="s">
        <v>641</v>
      </c>
      <c r="P1530" s="32" t="s">
        <v>602</v>
      </c>
      <c r="Q1530" s="35">
        <v>9.0</v>
      </c>
      <c r="R1530" s="35">
        <v>9.0</v>
      </c>
      <c r="S1530" s="36">
        <v>1.28</v>
      </c>
      <c r="T1530" s="36">
        <v>1.26</v>
      </c>
      <c r="U1530" s="36">
        <v>1.13137085</v>
      </c>
      <c r="V1530" s="36">
        <v>1.122497216</v>
      </c>
      <c r="W1530" s="37" t="s">
        <v>623</v>
      </c>
      <c r="X1530" s="31">
        <v>0.025</v>
      </c>
      <c r="Y1530" s="36">
        <v>0.016002291442317473</v>
      </c>
      <c r="Z1530" s="36">
        <v>0.1749889770828329</v>
      </c>
      <c r="AA1530" s="29" t="s">
        <v>820</v>
      </c>
      <c r="AB1530" s="31">
        <v>11.4864635468</v>
      </c>
      <c r="AC1530" s="38">
        <v>804.0</v>
      </c>
    </row>
    <row r="1531" ht="14.25" customHeight="1">
      <c r="A1531" s="29" t="s">
        <v>405</v>
      </c>
      <c r="B1531" s="29">
        <v>103.0</v>
      </c>
      <c r="C1531" s="29" t="s">
        <v>608</v>
      </c>
      <c r="D1531" s="29" t="s">
        <v>1299</v>
      </c>
      <c r="E1531" s="29">
        <v>278.0</v>
      </c>
      <c r="F1531" s="30" t="s">
        <v>1300</v>
      </c>
      <c r="G1531" s="29" t="s">
        <v>611</v>
      </c>
      <c r="H1531" s="31">
        <v>4.534</v>
      </c>
      <c r="I1531" s="29" t="s">
        <v>597</v>
      </c>
      <c r="J1531" s="32" t="s">
        <v>598</v>
      </c>
      <c r="K1531" s="29" t="s">
        <v>951</v>
      </c>
      <c r="L1531" s="29" t="s">
        <v>1266</v>
      </c>
      <c r="M1531" s="33">
        <v>100.292</v>
      </c>
      <c r="N1531" s="33">
        <v>-3.009</v>
      </c>
      <c r="O1531" s="34" t="s">
        <v>641</v>
      </c>
      <c r="P1531" s="32" t="s">
        <v>602</v>
      </c>
      <c r="Q1531" s="35">
        <v>9.0</v>
      </c>
      <c r="R1531" s="35">
        <v>9.0</v>
      </c>
      <c r="S1531" s="36">
        <v>14.45</v>
      </c>
      <c r="T1531" s="36">
        <v>13.73</v>
      </c>
      <c r="U1531" s="36">
        <v>3.801315562</v>
      </c>
      <c r="V1531" s="36">
        <v>3.705401463</v>
      </c>
      <c r="W1531" s="37" t="s">
        <v>623</v>
      </c>
      <c r="X1531" s="31">
        <v>0.025</v>
      </c>
      <c r="Y1531" s="36">
        <v>0.05135630741154215</v>
      </c>
      <c r="Z1531" s="36">
        <v>0.015781929357057804</v>
      </c>
      <c r="AA1531" s="29" t="s">
        <v>820</v>
      </c>
      <c r="AB1531" s="31">
        <v>11.4864635468</v>
      </c>
      <c r="AC1531" s="38">
        <v>804.0</v>
      </c>
    </row>
    <row r="1532" ht="14.25" customHeight="1">
      <c r="A1532" s="29" t="s">
        <v>405</v>
      </c>
      <c r="B1532" s="29">
        <v>103.0</v>
      </c>
      <c r="C1532" s="29" t="s">
        <v>608</v>
      </c>
      <c r="D1532" s="42" t="s">
        <v>1301</v>
      </c>
      <c r="E1532" s="29">
        <v>282.0</v>
      </c>
      <c r="F1532" s="30" t="s">
        <v>1302</v>
      </c>
      <c r="G1532" s="29" t="s">
        <v>611</v>
      </c>
      <c r="H1532" s="31">
        <v>6.45</v>
      </c>
      <c r="I1532" s="29" t="s">
        <v>597</v>
      </c>
      <c r="J1532" s="32" t="s">
        <v>598</v>
      </c>
      <c r="K1532" s="29" t="s">
        <v>951</v>
      </c>
      <c r="L1532" s="29" t="s">
        <v>1266</v>
      </c>
      <c r="M1532" s="33">
        <v>100.292</v>
      </c>
      <c r="N1532" s="33">
        <v>-3.009</v>
      </c>
      <c r="O1532" s="34" t="s">
        <v>641</v>
      </c>
      <c r="P1532" s="32" t="s">
        <v>602</v>
      </c>
      <c r="Q1532" s="35">
        <v>9.0</v>
      </c>
      <c r="R1532" s="35">
        <v>9.0</v>
      </c>
      <c r="S1532" s="36">
        <v>5.15</v>
      </c>
      <c r="T1532" s="36">
        <v>2.21</v>
      </c>
      <c r="U1532" s="36">
        <v>2.269361144</v>
      </c>
      <c r="V1532" s="36">
        <v>1.486606875</v>
      </c>
      <c r="W1532" s="37" t="s">
        <v>623</v>
      </c>
      <c r="X1532" s="31">
        <v>0.025</v>
      </c>
      <c r="Y1532" s="36">
        <v>0.8461149066950738</v>
      </c>
      <c r="Z1532" s="36">
        <v>0.07185149392212438</v>
      </c>
      <c r="AA1532" s="29" t="s">
        <v>820</v>
      </c>
      <c r="AB1532" s="31">
        <v>11.4864635468</v>
      </c>
      <c r="AC1532" s="38">
        <v>804.0</v>
      </c>
    </row>
    <row r="1533" ht="14.25" customHeight="1">
      <c r="A1533" s="29" t="s">
        <v>405</v>
      </c>
      <c r="B1533" s="29">
        <v>103.0</v>
      </c>
      <c r="C1533" s="29" t="s">
        <v>608</v>
      </c>
      <c r="D1533" s="29" t="s">
        <v>1303</v>
      </c>
      <c r="E1533" s="29">
        <v>287.0</v>
      </c>
      <c r="F1533" s="30" t="s">
        <v>1304</v>
      </c>
      <c r="G1533" s="29" t="s">
        <v>611</v>
      </c>
      <c r="H1533" s="31">
        <v>7.393</v>
      </c>
      <c r="I1533" s="29" t="s">
        <v>612</v>
      </c>
      <c r="J1533" s="32" t="s">
        <v>598</v>
      </c>
      <c r="K1533" s="29" t="s">
        <v>951</v>
      </c>
      <c r="L1533" s="29" t="s">
        <v>1266</v>
      </c>
      <c r="M1533" s="33">
        <v>100.292</v>
      </c>
      <c r="N1533" s="33">
        <v>-3.009</v>
      </c>
      <c r="O1533" s="34" t="s">
        <v>641</v>
      </c>
      <c r="P1533" s="32" t="s">
        <v>602</v>
      </c>
      <c r="Q1533" s="35">
        <v>9.0</v>
      </c>
      <c r="R1533" s="35">
        <v>9.0</v>
      </c>
      <c r="S1533" s="36">
        <v>4.33</v>
      </c>
      <c r="T1533" s="36">
        <v>1.61</v>
      </c>
      <c r="U1533" s="36">
        <f t="shared" ref="U1533:V1533" si="340">SQRT(S1533)</f>
        <v>2.080865205</v>
      </c>
      <c r="V1533" s="36">
        <f t="shared" si="340"/>
        <v>1.268857754</v>
      </c>
      <c r="W1533" s="37" t="s">
        <v>623</v>
      </c>
      <c r="X1533" s="31">
        <v>0.025</v>
      </c>
      <c r="Y1533" s="36">
        <v>0.9894292883655394</v>
      </c>
      <c r="Z1533" s="36">
        <v>0.09467387718216114</v>
      </c>
      <c r="AA1533" s="29" t="s">
        <v>820</v>
      </c>
      <c r="AB1533" s="31">
        <v>11.4864635468</v>
      </c>
      <c r="AC1533" s="38">
        <v>804.0</v>
      </c>
    </row>
    <row r="1534" ht="14.25" customHeight="1">
      <c r="A1534" s="29" t="s">
        <v>405</v>
      </c>
      <c r="B1534" s="29">
        <v>103.0</v>
      </c>
      <c r="C1534" s="29" t="s">
        <v>608</v>
      </c>
      <c r="D1534" s="40" t="s">
        <v>1297</v>
      </c>
      <c r="E1534" s="29">
        <v>277.0</v>
      </c>
      <c r="F1534" s="30" t="s">
        <v>1298</v>
      </c>
      <c r="G1534" s="29" t="s">
        <v>611</v>
      </c>
      <c r="H1534" s="31">
        <v>5.8</v>
      </c>
      <c r="I1534" s="29" t="s">
        <v>597</v>
      </c>
      <c r="J1534" s="32" t="s">
        <v>598</v>
      </c>
      <c r="K1534" s="29" t="s">
        <v>951</v>
      </c>
      <c r="L1534" s="29" t="s">
        <v>1266</v>
      </c>
      <c r="M1534" s="33">
        <v>100.326</v>
      </c>
      <c r="N1534" s="33">
        <v>-3.029</v>
      </c>
      <c r="O1534" s="34" t="s">
        <v>641</v>
      </c>
      <c r="P1534" s="32" t="s">
        <v>602</v>
      </c>
      <c r="Q1534" s="35">
        <v>9.0</v>
      </c>
      <c r="R1534" s="35">
        <v>9.0</v>
      </c>
      <c r="S1534" s="36">
        <v>0.76</v>
      </c>
      <c r="T1534" s="36">
        <v>1.26</v>
      </c>
      <c r="U1534" s="36">
        <v>0.871779789</v>
      </c>
      <c r="V1534" s="36">
        <v>1.122497216</v>
      </c>
      <c r="W1534" s="37" t="s">
        <v>623</v>
      </c>
      <c r="X1534" s="31">
        <v>0.2</v>
      </c>
      <c r="Y1534" s="36">
        <v>-0.5051209246967713</v>
      </c>
      <c r="Z1534" s="36">
        <v>0.23438225201894758</v>
      </c>
      <c r="AA1534" s="29" t="s">
        <v>820</v>
      </c>
      <c r="AB1534" s="31">
        <v>13.372045517</v>
      </c>
      <c r="AC1534" s="38">
        <v>814.0</v>
      </c>
    </row>
    <row r="1535" ht="14.25" customHeight="1">
      <c r="A1535" s="29" t="s">
        <v>405</v>
      </c>
      <c r="B1535" s="29">
        <v>103.0</v>
      </c>
      <c r="C1535" s="29" t="s">
        <v>608</v>
      </c>
      <c r="D1535" s="29" t="s">
        <v>1299</v>
      </c>
      <c r="E1535" s="29">
        <v>278.0</v>
      </c>
      <c r="F1535" s="30" t="s">
        <v>1300</v>
      </c>
      <c r="G1535" s="29" t="s">
        <v>611</v>
      </c>
      <c r="H1535" s="31">
        <v>4.534</v>
      </c>
      <c r="I1535" s="29" t="s">
        <v>597</v>
      </c>
      <c r="J1535" s="32" t="s">
        <v>598</v>
      </c>
      <c r="K1535" s="29" t="s">
        <v>951</v>
      </c>
      <c r="L1535" s="29" t="s">
        <v>1266</v>
      </c>
      <c r="M1535" s="33">
        <v>100.326</v>
      </c>
      <c r="N1535" s="33">
        <v>-3.029</v>
      </c>
      <c r="O1535" s="34" t="s">
        <v>641</v>
      </c>
      <c r="P1535" s="32" t="s">
        <v>602</v>
      </c>
      <c r="Q1535" s="35">
        <v>9.0</v>
      </c>
      <c r="R1535" s="35">
        <v>9.0</v>
      </c>
      <c r="S1535" s="36">
        <v>8.63</v>
      </c>
      <c r="T1535" s="36">
        <v>13.73</v>
      </c>
      <c r="U1535" s="36">
        <v>2.937686164</v>
      </c>
      <c r="V1535" s="36">
        <v>3.705401463</v>
      </c>
      <c r="W1535" s="37" t="s">
        <v>623</v>
      </c>
      <c r="X1535" s="31">
        <v>0.2</v>
      </c>
      <c r="Y1535" s="36">
        <v>-0.46392833405149897</v>
      </c>
      <c r="Z1535" s="36">
        <v>0.020967563009661686</v>
      </c>
      <c r="AA1535" s="29" t="s">
        <v>820</v>
      </c>
      <c r="AB1535" s="31">
        <v>13.372045517</v>
      </c>
      <c r="AC1535" s="38">
        <v>814.0</v>
      </c>
    </row>
    <row r="1536" ht="14.25" customHeight="1">
      <c r="A1536" s="29" t="s">
        <v>405</v>
      </c>
      <c r="B1536" s="29">
        <v>103.0</v>
      </c>
      <c r="C1536" s="29" t="s">
        <v>608</v>
      </c>
      <c r="D1536" s="42" t="s">
        <v>1301</v>
      </c>
      <c r="E1536" s="29">
        <v>282.0</v>
      </c>
      <c r="F1536" s="30" t="s">
        <v>1302</v>
      </c>
      <c r="G1536" s="29" t="s">
        <v>611</v>
      </c>
      <c r="H1536" s="31">
        <v>6.45</v>
      </c>
      <c r="I1536" s="29" t="s">
        <v>597</v>
      </c>
      <c r="J1536" s="32" t="s">
        <v>598</v>
      </c>
      <c r="K1536" s="29" t="s">
        <v>951</v>
      </c>
      <c r="L1536" s="29" t="s">
        <v>1266</v>
      </c>
      <c r="M1536" s="33">
        <v>100.326</v>
      </c>
      <c r="N1536" s="33">
        <v>-3.029</v>
      </c>
      <c r="O1536" s="34" t="s">
        <v>641</v>
      </c>
      <c r="P1536" s="32" t="s">
        <v>602</v>
      </c>
      <c r="Q1536" s="35">
        <v>9.0</v>
      </c>
      <c r="R1536" s="35">
        <v>9.0</v>
      </c>
      <c r="S1536" s="36">
        <v>4.4</v>
      </c>
      <c r="T1536" s="36">
        <v>2.21</v>
      </c>
      <c r="U1536" s="36">
        <v>2.097617696</v>
      </c>
      <c r="V1536" s="36">
        <v>1.486606875</v>
      </c>
      <c r="W1536" s="37" t="s">
        <v>623</v>
      </c>
      <c r="X1536" s="31">
        <v>0.2</v>
      </c>
      <c r="Y1536" s="36">
        <v>0.6887416023260546</v>
      </c>
      <c r="Z1536" s="36">
        <v>0.07552904612722525</v>
      </c>
      <c r="AA1536" s="29" t="s">
        <v>820</v>
      </c>
      <c r="AB1536" s="31">
        <v>13.372045517</v>
      </c>
      <c r="AC1536" s="38">
        <v>814.0</v>
      </c>
    </row>
    <row r="1537" ht="14.25" customHeight="1">
      <c r="A1537" s="29" t="s">
        <v>405</v>
      </c>
      <c r="B1537" s="29">
        <v>103.0</v>
      </c>
      <c r="C1537" s="29" t="s">
        <v>608</v>
      </c>
      <c r="D1537" s="29" t="s">
        <v>1303</v>
      </c>
      <c r="E1537" s="29">
        <v>287.0</v>
      </c>
      <c r="F1537" s="30" t="s">
        <v>1304</v>
      </c>
      <c r="G1537" s="29" t="s">
        <v>611</v>
      </c>
      <c r="H1537" s="31">
        <v>7.393</v>
      </c>
      <c r="I1537" s="29" t="s">
        <v>612</v>
      </c>
      <c r="J1537" s="32" t="s">
        <v>598</v>
      </c>
      <c r="K1537" s="29" t="s">
        <v>951</v>
      </c>
      <c r="L1537" s="29" t="s">
        <v>1266</v>
      </c>
      <c r="M1537" s="33">
        <v>100.326</v>
      </c>
      <c r="N1537" s="33">
        <v>-3.029</v>
      </c>
      <c r="O1537" s="34" t="s">
        <v>641</v>
      </c>
      <c r="P1537" s="32" t="s">
        <v>602</v>
      </c>
      <c r="Q1537" s="35">
        <v>9.0</v>
      </c>
      <c r="R1537" s="35">
        <v>9.0</v>
      </c>
      <c r="S1537" s="36">
        <v>1.69</v>
      </c>
      <c r="T1537" s="36">
        <v>1.61</v>
      </c>
      <c r="U1537" s="36">
        <v>1.3</v>
      </c>
      <c r="V1537" s="36">
        <v>1.268857754</v>
      </c>
      <c r="W1537" s="37" t="s">
        <v>623</v>
      </c>
      <c r="X1537" s="31">
        <v>0.2</v>
      </c>
      <c r="Y1537" s="36">
        <v>0.04874010475439026</v>
      </c>
      <c r="Z1537" s="36">
        <v>0.13475933207885693</v>
      </c>
      <c r="AA1537" s="29" t="s">
        <v>820</v>
      </c>
      <c r="AB1537" s="31">
        <v>13.372045517</v>
      </c>
      <c r="AC1537" s="38">
        <v>814.0</v>
      </c>
    </row>
    <row r="1538" ht="14.25" customHeight="1">
      <c r="A1538" s="29" t="s">
        <v>411</v>
      </c>
      <c r="B1538" s="29">
        <v>85.0</v>
      </c>
      <c r="C1538" s="29" t="s">
        <v>593</v>
      </c>
      <c r="D1538" s="29" t="s">
        <v>1305</v>
      </c>
      <c r="E1538" s="29">
        <v>64.0</v>
      </c>
      <c r="F1538" s="30" t="s">
        <v>1306</v>
      </c>
      <c r="G1538" s="29" t="s">
        <v>607</v>
      </c>
      <c r="H1538" s="31">
        <v>2.87</v>
      </c>
      <c r="I1538" s="29" t="s">
        <v>597</v>
      </c>
      <c r="J1538" s="32" t="s">
        <v>598</v>
      </c>
      <c r="K1538" s="29" t="s">
        <v>599</v>
      </c>
      <c r="L1538" s="29" t="s">
        <v>600</v>
      </c>
      <c r="M1538" s="33">
        <v>-52.67</v>
      </c>
      <c r="N1538" s="33">
        <v>-0.801</v>
      </c>
      <c r="O1538" s="34" t="s">
        <v>641</v>
      </c>
      <c r="P1538" s="32" t="s">
        <v>602</v>
      </c>
      <c r="Q1538" s="35">
        <v>6.0</v>
      </c>
      <c r="R1538" s="35">
        <v>8.0</v>
      </c>
      <c r="S1538" s="36">
        <v>0.9474</v>
      </c>
      <c r="T1538" s="36">
        <v>1.6053</v>
      </c>
      <c r="U1538" s="36">
        <v>1.0475</v>
      </c>
      <c r="V1538" s="36">
        <v>1.8794</v>
      </c>
      <c r="W1538" s="37" t="s">
        <v>623</v>
      </c>
      <c r="X1538" s="31">
        <v>5.0</v>
      </c>
      <c r="Y1538" s="36">
        <v>-0.5251406888043497</v>
      </c>
      <c r="Z1538" s="36">
        <v>0.3750774889992925</v>
      </c>
      <c r="AA1538" s="29" t="s">
        <v>820</v>
      </c>
      <c r="AB1538" s="31">
        <v>0.531396508217</v>
      </c>
      <c r="AC1538" s="38">
        <v>299.0</v>
      </c>
    </row>
    <row r="1539" ht="14.25" customHeight="1">
      <c r="A1539" s="29" t="s">
        <v>411</v>
      </c>
      <c r="B1539" s="29">
        <v>85.0</v>
      </c>
      <c r="C1539" s="29" t="s">
        <v>593</v>
      </c>
      <c r="D1539" s="29" t="s">
        <v>594</v>
      </c>
      <c r="E1539" s="29">
        <v>67.0</v>
      </c>
      <c r="F1539" s="30" t="s">
        <v>595</v>
      </c>
      <c r="G1539" s="29" t="s">
        <v>596</v>
      </c>
      <c r="H1539" s="31">
        <v>0.4</v>
      </c>
      <c r="I1539" s="29" t="s">
        <v>597</v>
      </c>
      <c r="J1539" s="32" t="s">
        <v>598</v>
      </c>
      <c r="K1539" s="29" t="s">
        <v>599</v>
      </c>
      <c r="L1539" s="29" t="s">
        <v>600</v>
      </c>
      <c r="M1539" s="33">
        <v>-52.67</v>
      </c>
      <c r="N1539" s="33">
        <v>-0.801</v>
      </c>
      <c r="O1539" s="34" t="s">
        <v>641</v>
      </c>
      <c r="P1539" s="32" t="s">
        <v>602</v>
      </c>
      <c r="Q1539" s="35">
        <v>6.0</v>
      </c>
      <c r="R1539" s="35">
        <v>8.0</v>
      </c>
      <c r="S1539" s="36">
        <v>7.8206</v>
      </c>
      <c r="T1539" s="36">
        <v>3.3879</v>
      </c>
      <c r="U1539" s="36">
        <v>6.9025</v>
      </c>
      <c r="V1539" s="36">
        <v>3.1344</v>
      </c>
      <c r="W1539" s="37" t="s">
        <v>623</v>
      </c>
      <c r="X1539" s="31">
        <v>5.0</v>
      </c>
      <c r="Y1539" s="36">
        <v>0.837114923693278</v>
      </c>
      <c r="Z1539" s="36">
        <v>0.23682547752754318</v>
      </c>
      <c r="AA1539" s="29" t="s">
        <v>820</v>
      </c>
      <c r="AB1539" s="31">
        <v>0.531396508217</v>
      </c>
      <c r="AC1539" s="38">
        <v>299.0</v>
      </c>
    </row>
    <row r="1540" ht="14.25" customHeight="1">
      <c r="A1540" s="29" t="s">
        <v>411</v>
      </c>
      <c r="B1540" s="29">
        <v>85.0</v>
      </c>
      <c r="C1540" s="29" t="s">
        <v>593</v>
      </c>
      <c r="D1540" s="29" t="s">
        <v>1307</v>
      </c>
      <c r="E1540" s="29">
        <v>238.0</v>
      </c>
      <c r="F1540" s="30" t="s">
        <v>1308</v>
      </c>
      <c r="G1540" s="29" t="s">
        <v>607</v>
      </c>
      <c r="H1540" s="31">
        <v>0.52</v>
      </c>
      <c r="I1540" s="29" t="s">
        <v>597</v>
      </c>
      <c r="J1540" s="32" t="s">
        <v>598</v>
      </c>
      <c r="K1540" s="29" t="s">
        <v>599</v>
      </c>
      <c r="L1540" s="29" t="s">
        <v>600</v>
      </c>
      <c r="M1540" s="33">
        <v>-52.67</v>
      </c>
      <c r="N1540" s="33">
        <v>-0.801</v>
      </c>
      <c r="O1540" s="34" t="s">
        <v>641</v>
      </c>
      <c r="P1540" s="32" t="s">
        <v>602</v>
      </c>
      <c r="Q1540" s="35">
        <v>6.0</v>
      </c>
      <c r="R1540" s="35">
        <v>8.0</v>
      </c>
      <c r="S1540" s="36">
        <v>3.1579</v>
      </c>
      <c r="T1540" s="36">
        <v>0.6579</v>
      </c>
      <c r="U1540" s="36">
        <v>6.1237</v>
      </c>
      <c r="V1540" s="36">
        <v>1.4886</v>
      </c>
      <c r="W1540" s="37" t="s">
        <v>623</v>
      </c>
      <c r="X1540" s="31">
        <v>5.0</v>
      </c>
      <c r="Y1540" s="36">
        <v>1.5688808169034536</v>
      </c>
      <c r="Z1540" s="36">
        <v>1.2666793695703125</v>
      </c>
      <c r="AA1540" s="29" t="s">
        <v>820</v>
      </c>
      <c r="AB1540" s="31">
        <v>0.531396508217</v>
      </c>
      <c r="AC1540" s="38">
        <v>299.0</v>
      </c>
    </row>
    <row r="1541" ht="14.25" customHeight="1">
      <c r="A1541" s="29" t="s">
        <v>411</v>
      </c>
      <c r="B1541" s="29">
        <v>85.0</v>
      </c>
      <c r="C1541" s="29" t="s">
        <v>593</v>
      </c>
      <c r="D1541" s="29" t="s">
        <v>1309</v>
      </c>
      <c r="E1541" s="29">
        <v>239.0</v>
      </c>
      <c r="F1541" s="30" t="s">
        <v>1310</v>
      </c>
      <c r="G1541" s="29" t="s">
        <v>607</v>
      </c>
      <c r="H1541" s="31">
        <v>0.88</v>
      </c>
      <c r="I1541" s="29" t="s">
        <v>597</v>
      </c>
      <c r="J1541" s="32" t="s">
        <v>598</v>
      </c>
      <c r="K1541" s="29" t="s">
        <v>599</v>
      </c>
      <c r="L1541" s="29" t="s">
        <v>600</v>
      </c>
      <c r="M1541" s="33">
        <v>-52.67</v>
      </c>
      <c r="N1541" s="33">
        <v>-0.801</v>
      </c>
      <c r="O1541" s="34" t="s">
        <v>641</v>
      </c>
      <c r="P1541" s="32" t="s">
        <v>602</v>
      </c>
      <c r="Q1541" s="35">
        <v>6.0</v>
      </c>
      <c r="R1541" s="35">
        <v>8.0</v>
      </c>
      <c r="S1541" s="36">
        <v>2.1075</v>
      </c>
      <c r="T1541" s="36">
        <v>5.5149</v>
      </c>
      <c r="U1541" s="36">
        <v>1.9052</v>
      </c>
      <c r="V1541" s="36">
        <v>5.3426</v>
      </c>
      <c r="W1541" s="37" t="s">
        <v>623</v>
      </c>
      <c r="X1541" s="31">
        <v>5.0</v>
      </c>
      <c r="Y1541" s="36">
        <v>-0.9585496129747187</v>
      </c>
      <c r="Z1541" s="36">
        <v>0.2535168806810557</v>
      </c>
      <c r="AA1541" s="29" t="s">
        <v>820</v>
      </c>
      <c r="AB1541" s="31">
        <v>0.531396508217</v>
      </c>
      <c r="AC1541" s="38">
        <v>299.0</v>
      </c>
    </row>
    <row r="1542" ht="14.25" customHeight="1">
      <c r="A1542" s="29" t="s">
        <v>411</v>
      </c>
      <c r="B1542" s="29">
        <v>85.0</v>
      </c>
      <c r="C1542" s="29" t="s">
        <v>593</v>
      </c>
      <c r="D1542" s="35" t="s">
        <v>1136</v>
      </c>
      <c r="E1542" s="29">
        <v>153.0</v>
      </c>
      <c r="F1542" s="30" t="s">
        <v>1137</v>
      </c>
      <c r="G1542" s="29" t="s">
        <v>877</v>
      </c>
      <c r="H1542" s="31">
        <v>1.03</v>
      </c>
      <c r="I1542" s="29" t="s">
        <v>597</v>
      </c>
      <c r="J1542" s="32" t="s">
        <v>598</v>
      </c>
      <c r="K1542" s="29" t="s">
        <v>599</v>
      </c>
      <c r="L1542" s="29" t="s">
        <v>600</v>
      </c>
      <c r="M1542" s="33">
        <v>-52.67</v>
      </c>
      <c r="N1542" s="33">
        <v>-0.801</v>
      </c>
      <c r="O1542" s="34" t="s">
        <v>641</v>
      </c>
      <c r="P1542" s="32" t="s">
        <v>602</v>
      </c>
      <c r="Q1542" s="35">
        <v>6.0</v>
      </c>
      <c r="R1542" s="35">
        <v>8.0</v>
      </c>
      <c r="S1542" s="36">
        <v>1.8925</v>
      </c>
      <c r="T1542" s="36">
        <v>9.374</v>
      </c>
      <c r="U1542" s="36">
        <v>2.4495</v>
      </c>
      <c r="V1542" s="36">
        <v>12.0994</v>
      </c>
      <c r="W1542" s="37" t="s">
        <v>623</v>
      </c>
      <c r="X1542" s="31">
        <v>5.0</v>
      </c>
      <c r="Y1542" s="36">
        <v>-1.5936123757324043</v>
      </c>
      <c r="Z1542" s="36">
        <v>0.48746190359771635</v>
      </c>
      <c r="AA1542" s="29" t="s">
        <v>820</v>
      </c>
      <c r="AB1542" s="31">
        <v>0.531396508217</v>
      </c>
      <c r="AC1542" s="38">
        <v>299.0</v>
      </c>
    </row>
    <row r="1543" ht="14.25" customHeight="1">
      <c r="A1543" s="29" t="s">
        <v>411</v>
      </c>
      <c r="B1543" s="29">
        <v>85.0</v>
      </c>
      <c r="C1543" s="29" t="s">
        <v>593</v>
      </c>
      <c r="D1543" s="29" t="s">
        <v>594</v>
      </c>
      <c r="E1543" s="29">
        <v>194.0</v>
      </c>
      <c r="F1543" s="30" t="s">
        <v>1311</v>
      </c>
      <c r="G1543" s="29" t="s">
        <v>596</v>
      </c>
      <c r="H1543" s="31">
        <v>1.2</v>
      </c>
      <c r="I1543" s="29" t="s">
        <v>597</v>
      </c>
      <c r="J1543" s="32" t="s">
        <v>598</v>
      </c>
      <c r="K1543" s="29" t="s">
        <v>599</v>
      </c>
      <c r="L1543" s="29" t="s">
        <v>600</v>
      </c>
      <c r="M1543" s="33">
        <v>-52.67</v>
      </c>
      <c r="N1543" s="33">
        <v>-0.801</v>
      </c>
      <c r="O1543" s="34" t="s">
        <v>641</v>
      </c>
      <c r="P1543" s="32" t="s">
        <v>602</v>
      </c>
      <c r="Q1543" s="35">
        <v>6.0</v>
      </c>
      <c r="R1543" s="35">
        <v>8.0</v>
      </c>
      <c r="S1543" s="36">
        <v>7.4723</v>
      </c>
      <c r="T1543" s="36">
        <v>7.4406</v>
      </c>
      <c r="U1543" s="36">
        <v>4.2656</v>
      </c>
      <c r="V1543" s="36">
        <v>5.5524</v>
      </c>
      <c r="W1543" s="37" t="s">
        <v>623</v>
      </c>
      <c r="X1543" s="31">
        <v>5.0</v>
      </c>
      <c r="Y1543" s="36">
        <v>0.00554707891106138</v>
      </c>
      <c r="Z1543" s="36">
        <v>0.12392000475033213</v>
      </c>
      <c r="AA1543" s="29" t="s">
        <v>820</v>
      </c>
      <c r="AB1543" s="31">
        <v>0.531396508217</v>
      </c>
      <c r="AC1543" s="38">
        <v>299.0</v>
      </c>
    </row>
    <row r="1544" ht="14.25" customHeight="1">
      <c r="A1544" s="29" t="s">
        <v>411</v>
      </c>
      <c r="B1544" s="29">
        <v>85.0</v>
      </c>
      <c r="C1544" s="29" t="s">
        <v>608</v>
      </c>
      <c r="D1544" s="29" t="s">
        <v>664</v>
      </c>
      <c r="E1544" s="29">
        <v>2.0</v>
      </c>
      <c r="F1544" s="30" t="s">
        <v>665</v>
      </c>
      <c r="G1544" s="29" t="s">
        <v>611</v>
      </c>
      <c r="H1544" s="31">
        <v>6.32</v>
      </c>
      <c r="I1544" s="29" t="s">
        <v>612</v>
      </c>
      <c r="J1544" s="32" t="s">
        <v>598</v>
      </c>
      <c r="K1544" s="29" t="s">
        <v>599</v>
      </c>
      <c r="L1544" s="29" t="s">
        <v>600</v>
      </c>
      <c r="M1544" s="33">
        <v>-52.67</v>
      </c>
      <c r="N1544" s="33">
        <v>-0.801</v>
      </c>
      <c r="O1544" s="34" t="s">
        <v>641</v>
      </c>
      <c r="P1544" s="32" t="s">
        <v>602</v>
      </c>
      <c r="Q1544" s="35">
        <v>6.0</v>
      </c>
      <c r="R1544" s="35">
        <v>8.0</v>
      </c>
      <c r="S1544" s="36">
        <v>2.1372</v>
      </c>
      <c r="T1544" s="36">
        <v>5.6557</v>
      </c>
      <c r="U1544" s="36">
        <v>1.7691</v>
      </c>
      <c r="V1544" s="36">
        <v>5.3426</v>
      </c>
      <c r="W1544" s="37" t="s">
        <v>623</v>
      </c>
      <c r="X1544" s="31">
        <v>5.0</v>
      </c>
      <c r="Y1544" s="36">
        <v>-0.9724848147561213</v>
      </c>
      <c r="Z1544" s="36">
        <v>0.22574230458239528</v>
      </c>
      <c r="AA1544" s="29" t="s">
        <v>820</v>
      </c>
      <c r="AB1544" s="31">
        <v>0.531396508217</v>
      </c>
      <c r="AC1544" s="38">
        <v>299.0</v>
      </c>
    </row>
    <row r="1545" ht="14.25" customHeight="1">
      <c r="A1545" s="29" t="s">
        <v>411</v>
      </c>
      <c r="B1545" s="29">
        <v>85.0</v>
      </c>
      <c r="C1545" s="29" t="s">
        <v>608</v>
      </c>
      <c r="D1545" s="29" t="s">
        <v>669</v>
      </c>
      <c r="E1545" s="29">
        <v>17.0</v>
      </c>
      <c r="F1545" s="30" t="s">
        <v>670</v>
      </c>
      <c r="G1545" s="29" t="s">
        <v>611</v>
      </c>
      <c r="H1545" s="31">
        <v>7.9</v>
      </c>
      <c r="I1545" s="29" t="s">
        <v>597</v>
      </c>
      <c r="J1545" s="32" t="s">
        <v>598</v>
      </c>
      <c r="K1545" s="29" t="s">
        <v>599</v>
      </c>
      <c r="L1545" s="29" t="s">
        <v>600</v>
      </c>
      <c r="M1545" s="33">
        <v>-52.67</v>
      </c>
      <c r="N1545" s="33">
        <v>-0.801</v>
      </c>
      <c r="O1545" s="34" t="s">
        <v>641</v>
      </c>
      <c r="P1545" s="32" t="s">
        <v>602</v>
      </c>
      <c r="Q1545" s="35">
        <v>6.0</v>
      </c>
      <c r="R1545" s="35">
        <v>8.0</v>
      </c>
      <c r="S1545" s="36">
        <v>0.5667</v>
      </c>
      <c r="T1545" s="36">
        <v>8.3074</v>
      </c>
      <c r="U1545" s="36">
        <v>0.7711</v>
      </c>
      <c r="V1545" s="36">
        <v>6.9663</v>
      </c>
      <c r="W1545" s="37" t="s">
        <v>623</v>
      </c>
      <c r="X1545" s="31">
        <v>5.0</v>
      </c>
      <c r="Y1545" s="36">
        <v>-2.6812969760424448</v>
      </c>
      <c r="Z1545" s="36">
        <v>0.39647616312035866</v>
      </c>
      <c r="AA1545" s="29" t="s">
        <v>820</v>
      </c>
      <c r="AB1545" s="31">
        <v>0.531396508217</v>
      </c>
      <c r="AC1545" s="38">
        <v>299.0</v>
      </c>
    </row>
    <row r="1546" ht="14.25" customHeight="1">
      <c r="A1546" s="29" t="s">
        <v>411</v>
      </c>
      <c r="B1546" s="29">
        <v>85.0</v>
      </c>
      <c r="C1546" s="29" t="s">
        <v>608</v>
      </c>
      <c r="D1546" s="29" t="s">
        <v>652</v>
      </c>
      <c r="E1546" s="29">
        <v>72.0</v>
      </c>
      <c r="F1546" s="30" t="s">
        <v>653</v>
      </c>
      <c r="G1546" s="29" t="s">
        <v>615</v>
      </c>
      <c r="H1546" s="31">
        <v>3.02</v>
      </c>
      <c r="I1546" s="29" t="s">
        <v>616</v>
      </c>
      <c r="J1546" s="32" t="s">
        <v>598</v>
      </c>
      <c r="K1546" s="29" t="s">
        <v>599</v>
      </c>
      <c r="L1546" s="29" t="s">
        <v>600</v>
      </c>
      <c r="M1546" s="33">
        <v>-52.67</v>
      </c>
      <c r="N1546" s="33">
        <v>-0.801</v>
      </c>
      <c r="O1546" s="34" t="s">
        <v>641</v>
      </c>
      <c r="P1546" s="32" t="s">
        <v>602</v>
      </c>
      <c r="Q1546" s="35">
        <v>6.0</v>
      </c>
      <c r="R1546" s="35">
        <v>8.0</v>
      </c>
      <c r="S1546" s="36">
        <v>2.8947</v>
      </c>
      <c r="T1546" s="36">
        <v>1.579</v>
      </c>
      <c r="U1546" s="36">
        <v>1.9338</v>
      </c>
      <c r="V1546" s="36">
        <v>2.0469</v>
      </c>
      <c r="W1546" s="37" t="s">
        <v>623</v>
      </c>
      <c r="X1546" s="31">
        <v>5.0</v>
      </c>
      <c r="Y1546" s="36">
        <v>0.6062304661658305</v>
      </c>
      <c r="Z1546" s="36">
        <v>0.2844393599539502</v>
      </c>
      <c r="AA1546" s="29" t="s">
        <v>820</v>
      </c>
      <c r="AB1546" s="31">
        <v>0.531396508217</v>
      </c>
      <c r="AC1546" s="38">
        <v>299.0</v>
      </c>
    </row>
    <row r="1547" ht="14.25" customHeight="1">
      <c r="A1547" s="29" t="s">
        <v>411</v>
      </c>
      <c r="B1547" s="29">
        <v>85.0</v>
      </c>
      <c r="C1547" s="29" t="s">
        <v>608</v>
      </c>
      <c r="D1547" s="29" t="s">
        <v>677</v>
      </c>
      <c r="E1547" s="29">
        <v>100.0</v>
      </c>
      <c r="F1547" s="30" t="s">
        <v>678</v>
      </c>
      <c r="G1547" s="29" t="s">
        <v>626</v>
      </c>
      <c r="H1547" s="31">
        <v>22.8</v>
      </c>
      <c r="I1547" s="29" t="s">
        <v>612</v>
      </c>
      <c r="J1547" s="32" t="s">
        <v>598</v>
      </c>
      <c r="K1547" s="29" t="s">
        <v>599</v>
      </c>
      <c r="L1547" s="29" t="s">
        <v>600</v>
      </c>
      <c r="M1547" s="33">
        <v>-52.67</v>
      </c>
      <c r="N1547" s="33">
        <v>-0.801</v>
      </c>
      <c r="O1547" s="34" t="s">
        <v>641</v>
      </c>
      <c r="P1547" s="32" t="s">
        <v>602</v>
      </c>
      <c r="Q1547" s="35">
        <v>6.0</v>
      </c>
      <c r="R1547" s="35">
        <v>8.0</v>
      </c>
      <c r="S1547" s="36">
        <v>0.8158</v>
      </c>
      <c r="T1547" s="36">
        <v>1.3421</v>
      </c>
      <c r="U1547" s="36">
        <v>0.5318</v>
      </c>
      <c r="V1547" s="36">
        <v>1.0048</v>
      </c>
      <c r="W1547" s="37" t="s">
        <v>623</v>
      </c>
      <c r="X1547" s="31">
        <v>5.0</v>
      </c>
      <c r="Y1547" s="36">
        <v>-0.4973972524937807</v>
      </c>
      <c r="Z1547" s="36">
        <v>0.14088834221704638</v>
      </c>
      <c r="AA1547" s="29" t="s">
        <v>820</v>
      </c>
      <c r="AB1547" s="31">
        <v>0.531396508217</v>
      </c>
      <c r="AC1547" s="38">
        <v>299.0</v>
      </c>
    </row>
    <row r="1548" ht="14.25" customHeight="1">
      <c r="A1548" s="29" t="s">
        <v>411</v>
      </c>
      <c r="B1548" s="29">
        <v>85.0</v>
      </c>
      <c r="C1548" s="29" t="s">
        <v>608</v>
      </c>
      <c r="D1548" s="29" t="s">
        <v>821</v>
      </c>
      <c r="E1548" s="29">
        <v>103.0</v>
      </c>
      <c r="F1548" s="30" t="s">
        <v>822</v>
      </c>
      <c r="G1548" s="29" t="s">
        <v>626</v>
      </c>
      <c r="H1548" s="31">
        <v>16.63</v>
      </c>
      <c r="I1548" s="29" t="s">
        <v>616</v>
      </c>
      <c r="J1548" s="32" t="s">
        <v>598</v>
      </c>
      <c r="K1548" s="29" t="s">
        <v>599</v>
      </c>
      <c r="L1548" s="29" t="s">
        <v>600</v>
      </c>
      <c r="M1548" s="33">
        <v>-52.67</v>
      </c>
      <c r="N1548" s="33">
        <v>-0.801</v>
      </c>
      <c r="O1548" s="34" t="s">
        <v>641</v>
      </c>
      <c r="P1548" s="32" t="s">
        <v>602</v>
      </c>
      <c r="Q1548" s="35">
        <v>6.0</v>
      </c>
      <c r="R1548" s="35">
        <v>8.0</v>
      </c>
      <c r="S1548" s="36">
        <v>1.5198</v>
      </c>
      <c r="T1548" s="36">
        <v>0.9815</v>
      </c>
      <c r="U1548" s="36">
        <v>1.1633</v>
      </c>
      <c r="V1548" s="36">
        <v>0.806</v>
      </c>
      <c r="W1548" s="37" t="s">
        <v>623</v>
      </c>
      <c r="X1548" s="31">
        <v>5.0</v>
      </c>
      <c r="Y1548" s="36">
        <v>0.43741861594114023</v>
      </c>
      <c r="Z1548" s="36">
        <v>0.18194164301131488</v>
      </c>
      <c r="AA1548" s="29" t="s">
        <v>820</v>
      </c>
      <c r="AB1548" s="31">
        <v>0.531396508217</v>
      </c>
      <c r="AC1548" s="38">
        <v>299.0</v>
      </c>
    </row>
    <row r="1549" ht="14.25" customHeight="1">
      <c r="A1549" s="29" t="s">
        <v>411</v>
      </c>
      <c r="B1549" s="29">
        <v>85.0</v>
      </c>
      <c r="C1549" s="29" t="s">
        <v>608</v>
      </c>
      <c r="D1549" s="29" t="s">
        <v>630</v>
      </c>
      <c r="E1549" s="29">
        <v>129.0</v>
      </c>
      <c r="F1549" s="30" t="s">
        <v>631</v>
      </c>
      <c r="G1549" s="29" t="s">
        <v>626</v>
      </c>
      <c r="H1549" s="31">
        <v>21.27</v>
      </c>
      <c r="I1549" s="29" t="s">
        <v>612</v>
      </c>
      <c r="J1549" s="32" t="s">
        <v>598</v>
      </c>
      <c r="K1549" s="29" t="s">
        <v>599</v>
      </c>
      <c r="L1549" s="29" t="s">
        <v>600</v>
      </c>
      <c r="M1549" s="33">
        <v>-52.67</v>
      </c>
      <c r="N1549" s="33">
        <v>-0.801</v>
      </c>
      <c r="O1549" s="34" t="s">
        <v>641</v>
      </c>
      <c r="P1549" s="32" t="s">
        <v>602</v>
      </c>
      <c r="Q1549" s="35">
        <v>6.0</v>
      </c>
      <c r="R1549" s="35">
        <v>8.0</v>
      </c>
      <c r="S1549" s="36">
        <v>2.5</v>
      </c>
      <c r="T1549" s="36">
        <v>7.6111</v>
      </c>
      <c r="U1549" s="36">
        <v>3.2206</v>
      </c>
      <c r="V1549" s="36">
        <v>9.5852</v>
      </c>
      <c r="W1549" s="37" t="s">
        <v>623</v>
      </c>
      <c r="X1549" s="31">
        <v>5.0</v>
      </c>
      <c r="Y1549" s="36">
        <v>-1.1125318252780712</v>
      </c>
      <c r="Z1549" s="36">
        <v>0.47484568788583204</v>
      </c>
      <c r="AA1549" s="29" t="s">
        <v>820</v>
      </c>
      <c r="AB1549" s="31">
        <v>0.531396508217</v>
      </c>
      <c r="AC1549" s="38">
        <v>299.0</v>
      </c>
    </row>
    <row r="1550" ht="14.25" customHeight="1">
      <c r="A1550" s="29" t="s">
        <v>411</v>
      </c>
      <c r="B1550" s="29">
        <v>85.0</v>
      </c>
      <c r="C1550" s="29" t="s">
        <v>608</v>
      </c>
      <c r="D1550" s="29" t="s">
        <v>632</v>
      </c>
      <c r="E1550" s="29">
        <v>173.0</v>
      </c>
      <c r="F1550" s="30" t="s">
        <v>633</v>
      </c>
      <c r="G1550" s="29" t="s">
        <v>611</v>
      </c>
      <c r="H1550" s="31">
        <v>2.5</v>
      </c>
      <c r="I1550" s="29" t="s">
        <v>616</v>
      </c>
      <c r="J1550" s="32" t="s">
        <v>598</v>
      </c>
      <c r="K1550" s="29" t="s">
        <v>599</v>
      </c>
      <c r="L1550" s="29" t="s">
        <v>600</v>
      </c>
      <c r="M1550" s="33">
        <v>-52.67</v>
      </c>
      <c r="N1550" s="33">
        <v>-0.801</v>
      </c>
      <c r="O1550" s="34" t="s">
        <v>641</v>
      </c>
      <c r="P1550" s="32" t="s">
        <v>602</v>
      </c>
      <c r="Q1550" s="35">
        <v>6.0</v>
      </c>
      <c r="R1550" s="35">
        <v>8.0</v>
      </c>
      <c r="S1550" s="36">
        <v>31.9737</v>
      </c>
      <c r="T1550" s="36">
        <v>21.0526</v>
      </c>
      <c r="U1550" s="36">
        <v>27.8791</v>
      </c>
      <c r="V1550" s="36">
        <v>22.1436</v>
      </c>
      <c r="W1550" s="37" t="s">
        <v>623</v>
      </c>
      <c r="X1550" s="31">
        <v>5.0</v>
      </c>
      <c r="Y1550" s="36">
        <v>0.4180594823532942</v>
      </c>
      <c r="Z1550" s="36">
        <v>0.2650041330172578</v>
      </c>
      <c r="AA1550" s="29" t="s">
        <v>820</v>
      </c>
      <c r="AB1550" s="31">
        <v>0.531396508217</v>
      </c>
      <c r="AC1550" s="38">
        <v>299.0</v>
      </c>
    </row>
    <row r="1551" ht="14.25" customHeight="1">
      <c r="A1551" s="29" t="s">
        <v>417</v>
      </c>
      <c r="B1551" s="29">
        <v>164.0</v>
      </c>
      <c r="C1551" s="29" t="s">
        <v>593</v>
      </c>
      <c r="D1551" s="29" t="s">
        <v>1305</v>
      </c>
      <c r="E1551" s="29">
        <v>64.0</v>
      </c>
      <c r="F1551" s="30" t="s">
        <v>1306</v>
      </c>
      <c r="G1551" s="29" t="s">
        <v>607</v>
      </c>
      <c r="H1551" s="31">
        <v>2.87</v>
      </c>
      <c r="I1551" s="29" t="s">
        <v>597</v>
      </c>
      <c r="J1551" s="32" t="s">
        <v>598</v>
      </c>
      <c r="K1551" s="29" t="s">
        <v>599</v>
      </c>
      <c r="L1551" s="29" t="s">
        <v>1312</v>
      </c>
      <c r="M1551" s="35">
        <v>-64.812</v>
      </c>
      <c r="N1551" s="35">
        <v>5.03</v>
      </c>
      <c r="O1551" s="34" t="s">
        <v>601</v>
      </c>
      <c r="P1551" s="48" t="s">
        <v>602</v>
      </c>
      <c r="Q1551" s="29">
        <v>52.0</v>
      </c>
      <c r="R1551" s="29">
        <v>58.0</v>
      </c>
      <c r="S1551" s="36">
        <v>23.47</v>
      </c>
      <c r="T1551" s="36">
        <v>29.1</v>
      </c>
      <c r="U1551" s="36" t="str">
        <f t="shared" ref="U1551:V1551" si="341">#REF!*SQRT(Q1551)</f>
        <v>#REF!</v>
      </c>
      <c r="V1551" s="36" t="str">
        <f t="shared" si="341"/>
        <v>#REF!</v>
      </c>
      <c r="W1551" s="37" t="s">
        <v>1313</v>
      </c>
      <c r="X1551" s="31">
        <v>8.906</v>
      </c>
      <c r="Y1551" s="36">
        <v>-0.2134020381092976</v>
      </c>
      <c r="Z1551" s="36" t="e">
        <v>#REF!</v>
      </c>
      <c r="AA1551" s="35" t="s">
        <v>820</v>
      </c>
      <c r="AB1551" s="35">
        <v>0.256407</v>
      </c>
      <c r="AC1551" s="35">
        <v>5272.0</v>
      </c>
    </row>
    <row r="1552" ht="14.25" customHeight="1">
      <c r="A1552" s="29" t="s">
        <v>417</v>
      </c>
      <c r="B1552" s="29">
        <v>164.0</v>
      </c>
      <c r="C1552" s="29" t="s">
        <v>593</v>
      </c>
      <c r="D1552" s="29" t="s">
        <v>1305</v>
      </c>
      <c r="E1552" s="29">
        <v>64.0</v>
      </c>
      <c r="F1552" s="30" t="s">
        <v>1306</v>
      </c>
      <c r="G1552" s="29" t="s">
        <v>607</v>
      </c>
      <c r="H1552" s="31">
        <v>2.87</v>
      </c>
      <c r="I1552" s="29" t="s">
        <v>597</v>
      </c>
      <c r="J1552" s="32" t="s">
        <v>598</v>
      </c>
      <c r="K1552" s="29" t="s">
        <v>599</v>
      </c>
      <c r="L1552" s="29" t="s">
        <v>1312</v>
      </c>
      <c r="M1552" s="35">
        <v>-64.746</v>
      </c>
      <c r="N1552" s="35">
        <v>5.427</v>
      </c>
      <c r="O1552" s="34" t="s">
        <v>601</v>
      </c>
      <c r="P1552" s="48" t="s">
        <v>602</v>
      </c>
      <c r="Q1552" s="29">
        <v>53.0</v>
      </c>
      <c r="R1552" s="29">
        <v>58.0</v>
      </c>
      <c r="S1552" s="36">
        <v>20.2</v>
      </c>
      <c r="T1552" s="36">
        <v>29.1</v>
      </c>
      <c r="U1552" s="36" t="str">
        <f t="shared" ref="U1552:V1552" si="342">#REF!*SQRT(Q1552)</f>
        <v>#REF!</v>
      </c>
      <c r="V1552" s="36" t="str">
        <f t="shared" si="342"/>
        <v>#REF!</v>
      </c>
      <c r="W1552" s="37" t="s">
        <v>1313</v>
      </c>
      <c r="X1552" s="31">
        <v>10.8</v>
      </c>
      <c r="Y1552" s="36">
        <v>-0.3631815533216802</v>
      </c>
      <c r="Z1552" s="36" t="e">
        <v>#REF!</v>
      </c>
      <c r="AA1552" s="35" t="s">
        <v>820</v>
      </c>
      <c r="AB1552" s="35">
        <v>0.256407</v>
      </c>
      <c r="AC1552" s="35">
        <v>3906.0</v>
      </c>
    </row>
    <row r="1553" ht="14.25" customHeight="1">
      <c r="A1553" s="29" t="s">
        <v>417</v>
      </c>
      <c r="B1553" s="29">
        <v>164.0</v>
      </c>
      <c r="C1553" s="29" t="s">
        <v>593</v>
      </c>
      <c r="D1553" s="35" t="s">
        <v>1314</v>
      </c>
      <c r="E1553" s="29">
        <v>368.0</v>
      </c>
      <c r="F1553" s="39" t="s">
        <v>1315</v>
      </c>
      <c r="G1553" s="29" t="s">
        <v>607</v>
      </c>
      <c r="H1553" s="31">
        <v>2.18762</v>
      </c>
      <c r="I1553" s="29" t="s">
        <v>597</v>
      </c>
      <c r="J1553" s="32" t="s">
        <v>598</v>
      </c>
      <c r="K1553" s="29" t="s">
        <v>599</v>
      </c>
      <c r="L1553" s="29" t="s">
        <v>1312</v>
      </c>
      <c r="M1553" s="35">
        <v>-64.812</v>
      </c>
      <c r="N1553" s="35">
        <v>5.03</v>
      </c>
      <c r="O1553" s="34" t="s">
        <v>601</v>
      </c>
      <c r="P1553" s="48" t="s">
        <v>602</v>
      </c>
      <c r="Q1553" s="29">
        <v>52.0</v>
      </c>
      <c r="R1553" s="29">
        <v>58.0</v>
      </c>
      <c r="S1553" s="36">
        <v>2.98</v>
      </c>
      <c r="T1553" s="36">
        <v>19.19</v>
      </c>
      <c r="U1553" s="36" t="str">
        <f t="shared" ref="U1553:V1553" si="343">#REF!*SQRT(Q1553)</f>
        <v>#REF!</v>
      </c>
      <c r="V1553" s="36" t="str">
        <f t="shared" si="343"/>
        <v>#REF!</v>
      </c>
      <c r="W1553" s="37" t="s">
        <v>1313</v>
      </c>
      <c r="X1553" s="31">
        <v>8.906</v>
      </c>
      <c r="Y1553" s="36">
        <v>-1.8541160750978434</v>
      </c>
      <c r="Z1553" s="36" t="e">
        <v>#REF!</v>
      </c>
      <c r="AA1553" s="35" t="s">
        <v>820</v>
      </c>
      <c r="AB1553" s="35">
        <v>0.256407</v>
      </c>
      <c r="AC1553" s="35">
        <v>5272.0</v>
      </c>
    </row>
    <row r="1554" ht="14.25" customHeight="1">
      <c r="A1554" s="29" t="s">
        <v>417</v>
      </c>
      <c r="B1554" s="29">
        <v>164.0</v>
      </c>
      <c r="C1554" s="29" t="s">
        <v>593</v>
      </c>
      <c r="D1554" s="35" t="s">
        <v>1314</v>
      </c>
      <c r="E1554" s="29">
        <v>368.0</v>
      </c>
      <c r="F1554" s="39" t="s">
        <v>1315</v>
      </c>
      <c r="G1554" s="29" t="s">
        <v>607</v>
      </c>
      <c r="H1554" s="31">
        <v>2.18762</v>
      </c>
      <c r="I1554" s="29" t="s">
        <v>597</v>
      </c>
      <c r="J1554" s="32" t="s">
        <v>598</v>
      </c>
      <c r="K1554" s="29" t="s">
        <v>599</v>
      </c>
      <c r="L1554" s="29" t="s">
        <v>1312</v>
      </c>
      <c r="M1554" s="35">
        <v>-64.746</v>
      </c>
      <c r="N1554" s="35">
        <v>5.427</v>
      </c>
      <c r="O1554" s="34" t="s">
        <v>601</v>
      </c>
      <c r="P1554" s="48" t="s">
        <v>602</v>
      </c>
      <c r="Q1554" s="29">
        <v>53.0</v>
      </c>
      <c r="R1554" s="29">
        <v>58.0</v>
      </c>
      <c r="S1554" s="36">
        <v>8.64</v>
      </c>
      <c r="T1554" s="36">
        <v>19.19</v>
      </c>
      <c r="U1554" s="36" t="str">
        <f t="shared" ref="U1554:V1554" si="344">#REF!*SQRT(Q1554)</f>
        <v>#REF!</v>
      </c>
      <c r="V1554" s="36" t="str">
        <f t="shared" si="344"/>
        <v>#REF!</v>
      </c>
      <c r="W1554" s="37" t="s">
        <v>1313</v>
      </c>
      <c r="X1554" s="31">
        <v>10.8</v>
      </c>
      <c r="Y1554" s="36">
        <v>-0.7950988895459936</v>
      </c>
      <c r="Z1554" s="36" t="e">
        <v>#REF!</v>
      </c>
      <c r="AA1554" s="35" t="s">
        <v>820</v>
      </c>
      <c r="AB1554" s="35">
        <v>0.256407</v>
      </c>
      <c r="AC1554" s="35">
        <v>3906.0</v>
      </c>
    </row>
    <row r="1555" ht="14.25" customHeight="1">
      <c r="A1555" s="29" t="s">
        <v>417</v>
      </c>
      <c r="B1555" s="29">
        <v>164.0</v>
      </c>
      <c r="C1555" s="29" t="s">
        <v>593</v>
      </c>
      <c r="D1555" s="29" t="s">
        <v>1112</v>
      </c>
      <c r="E1555" s="29">
        <v>130.0</v>
      </c>
      <c r="F1555" s="30" t="s">
        <v>867</v>
      </c>
      <c r="G1555" s="29" t="s">
        <v>607</v>
      </c>
      <c r="H1555" s="31">
        <v>1.49</v>
      </c>
      <c r="I1555" s="29" t="s">
        <v>597</v>
      </c>
      <c r="J1555" s="32" t="s">
        <v>598</v>
      </c>
      <c r="K1555" s="29" t="s">
        <v>599</v>
      </c>
      <c r="L1555" s="29" t="s">
        <v>1312</v>
      </c>
      <c r="M1555" s="35">
        <v>-64.812</v>
      </c>
      <c r="N1555" s="35">
        <v>5.03</v>
      </c>
      <c r="O1555" s="34" t="s">
        <v>601</v>
      </c>
      <c r="P1555" s="48" t="s">
        <v>602</v>
      </c>
      <c r="Q1555" s="29">
        <v>52.0</v>
      </c>
      <c r="R1555" s="29">
        <v>58.0</v>
      </c>
      <c r="S1555" s="36">
        <v>9.23</v>
      </c>
      <c r="T1555" s="36">
        <v>1.08</v>
      </c>
      <c r="U1555" s="36" t="str">
        <f t="shared" ref="U1555:V1555" si="345">#REF!*SQRT(Q1555)</f>
        <v>#REF!</v>
      </c>
      <c r="V1555" s="36" t="str">
        <f t="shared" si="345"/>
        <v>#REF!</v>
      </c>
      <c r="W1555" s="37" t="s">
        <v>1313</v>
      </c>
      <c r="X1555" s="31">
        <v>8.906</v>
      </c>
      <c r="Y1555" s="36">
        <v>2.145650352219938</v>
      </c>
      <c r="Z1555" s="36" t="e">
        <v>#REF!</v>
      </c>
      <c r="AA1555" s="35" t="s">
        <v>820</v>
      </c>
      <c r="AB1555" s="35">
        <v>0.256407</v>
      </c>
      <c r="AC1555" s="35">
        <v>5272.0</v>
      </c>
    </row>
    <row r="1556" ht="14.25" customHeight="1">
      <c r="A1556" s="29" t="s">
        <v>417</v>
      </c>
      <c r="B1556" s="29">
        <v>164.0</v>
      </c>
      <c r="C1556" s="29" t="s">
        <v>593</v>
      </c>
      <c r="D1556" s="29" t="s">
        <v>1112</v>
      </c>
      <c r="E1556" s="29">
        <v>130.0</v>
      </c>
      <c r="F1556" s="30" t="s">
        <v>867</v>
      </c>
      <c r="G1556" s="29" t="s">
        <v>607</v>
      </c>
      <c r="H1556" s="31">
        <v>1.49</v>
      </c>
      <c r="I1556" s="29" t="s">
        <v>597</v>
      </c>
      <c r="J1556" s="32" t="s">
        <v>598</v>
      </c>
      <c r="K1556" s="29" t="s">
        <v>599</v>
      </c>
      <c r="L1556" s="29" t="s">
        <v>1312</v>
      </c>
      <c r="M1556" s="35">
        <v>-64.746</v>
      </c>
      <c r="N1556" s="35">
        <v>5.427</v>
      </c>
      <c r="O1556" s="34" t="s">
        <v>601</v>
      </c>
      <c r="P1556" s="48" t="s">
        <v>602</v>
      </c>
      <c r="Q1556" s="29">
        <v>53.0</v>
      </c>
      <c r="R1556" s="29">
        <v>58.0</v>
      </c>
      <c r="S1556" s="36">
        <v>1.17</v>
      </c>
      <c r="T1556" s="36">
        <v>1.08</v>
      </c>
      <c r="U1556" s="36" t="str">
        <f t="shared" ref="U1556:V1556" si="346">#REF!*SQRT(Q1556)</f>
        <v>#REF!</v>
      </c>
      <c r="V1556" s="36" t="str">
        <f t="shared" si="346"/>
        <v>#REF!</v>
      </c>
      <c r="W1556" s="37" t="s">
        <v>1313</v>
      </c>
      <c r="X1556" s="31">
        <v>10.8</v>
      </c>
      <c r="Y1556" s="36">
        <v>0.0812439090191706</v>
      </c>
      <c r="Z1556" s="36" t="e">
        <v>#REF!</v>
      </c>
      <c r="AA1556" s="35" t="s">
        <v>820</v>
      </c>
      <c r="AB1556" s="35">
        <v>0.256407</v>
      </c>
      <c r="AC1556" s="35">
        <v>3906.0</v>
      </c>
    </row>
    <row r="1557" ht="14.25" customHeight="1">
      <c r="A1557" s="29" t="s">
        <v>417</v>
      </c>
      <c r="B1557" s="29">
        <v>164.0</v>
      </c>
      <c r="C1557" s="29" t="s">
        <v>593</v>
      </c>
      <c r="D1557" s="35" t="s">
        <v>1136</v>
      </c>
      <c r="E1557" s="29">
        <v>153.0</v>
      </c>
      <c r="F1557" s="30" t="s">
        <v>1137</v>
      </c>
      <c r="G1557" s="29" t="s">
        <v>877</v>
      </c>
      <c r="H1557" s="31">
        <v>1.03</v>
      </c>
      <c r="I1557" s="29" t="s">
        <v>597</v>
      </c>
      <c r="J1557" s="32" t="s">
        <v>598</v>
      </c>
      <c r="K1557" s="29" t="s">
        <v>599</v>
      </c>
      <c r="L1557" s="29" t="s">
        <v>1312</v>
      </c>
      <c r="M1557" s="35">
        <v>-64.812</v>
      </c>
      <c r="N1557" s="35">
        <v>5.03</v>
      </c>
      <c r="O1557" s="34" t="s">
        <v>601</v>
      </c>
      <c r="P1557" s="48" t="s">
        <v>602</v>
      </c>
      <c r="Q1557" s="29">
        <v>52.0</v>
      </c>
      <c r="R1557" s="29">
        <v>58.0</v>
      </c>
      <c r="S1557" s="36">
        <v>46.47</v>
      </c>
      <c r="T1557" s="36">
        <v>46.38</v>
      </c>
      <c r="U1557" s="36" t="str">
        <f t="shared" ref="U1557:V1557" si="347">#REF!*SQRT(Q1557)</f>
        <v>#REF!</v>
      </c>
      <c r="V1557" s="36" t="str">
        <f t="shared" si="347"/>
        <v>#REF!</v>
      </c>
      <c r="W1557" s="37" t="s">
        <v>1313</v>
      </c>
      <c r="X1557" s="31">
        <v>8.906</v>
      </c>
      <c r="Y1557" s="36">
        <v>0.003237329115359705</v>
      </c>
      <c r="Z1557" s="36" t="e">
        <v>#REF!</v>
      </c>
      <c r="AA1557" s="35" t="s">
        <v>820</v>
      </c>
      <c r="AB1557" s="35">
        <v>0.256407</v>
      </c>
      <c r="AC1557" s="35">
        <v>5272.0</v>
      </c>
    </row>
    <row r="1558" ht="14.25" customHeight="1">
      <c r="A1558" s="29" t="s">
        <v>417</v>
      </c>
      <c r="B1558" s="29">
        <v>164.0</v>
      </c>
      <c r="C1558" s="29" t="s">
        <v>593</v>
      </c>
      <c r="D1558" s="35" t="s">
        <v>1136</v>
      </c>
      <c r="E1558" s="29">
        <v>153.0</v>
      </c>
      <c r="F1558" s="30" t="s">
        <v>1137</v>
      </c>
      <c r="G1558" s="29" t="s">
        <v>877</v>
      </c>
      <c r="H1558" s="31">
        <v>1.03</v>
      </c>
      <c r="I1558" s="29" t="s">
        <v>597</v>
      </c>
      <c r="J1558" s="32" t="s">
        <v>598</v>
      </c>
      <c r="K1558" s="29" t="s">
        <v>599</v>
      </c>
      <c r="L1558" s="29" t="s">
        <v>1312</v>
      </c>
      <c r="M1558" s="35">
        <v>-64.746</v>
      </c>
      <c r="N1558" s="35">
        <v>5.427</v>
      </c>
      <c r="O1558" s="34" t="s">
        <v>601</v>
      </c>
      <c r="P1558" s="48" t="s">
        <v>602</v>
      </c>
      <c r="Q1558" s="29">
        <v>53.0</v>
      </c>
      <c r="R1558" s="29">
        <v>58.0</v>
      </c>
      <c r="S1558" s="36">
        <v>30.41</v>
      </c>
      <c r="T1558" s="36">
        <v>46.38</v>
      </c>
      <c r="U1558" s="36" t="str">
        <f t="shared" ref="U1558:V1558" si="348">#REF!*SQRT(Q1558)</f>
        <v>#REF!</v>
      </c>
      <c r="V1558" s="36" t="str">
        <f t="shared" si="348"/>
        <v>#REF!</v>
      </c>
      <c r="W1558" s="37" t="s">
        <v>1313</v>
      </c>
      <c r="X1558" s="31">
        <v>10.8</v>
      </c>
      <c r="Y1558" s="36">
        <v>-0.42011291892507097</v>
      </c>
      <c r="Z1558" s="36" t="e">
        <v>#REF!</v>
      </c>
      <c r="AA1558" s="35" t="s">
        <v>820</v>
      </c>
      <c r="AB1558" s="35">
        <v>0.256407</v>
      </c>
      <c r="AC1558" s="35">
        <v>3906.0</v>
      </c>
    </row>
    <row r="1559" ht="14.25" customHeight="1">
      <c r="A1559" s="29" t="s">
        <v>417</v>
      </c>
      <c r="B1559" s="29">
        <v>164.0</v>
      </c>
      <c r="C1559" s="29" t="s">
        <v>608</v>
      </c>
      <c r="D1559" s="42" t="s">
        <v>1316</v>
      </c>
      <c r="E1559" s="29">
        <v>364.0</v>
      </c>
      <c r="F1559" s="39" t="s">
        <v>1317</v>
      </c>
      <c r="G1559" s="29" t="s">
        <v>619</v>
      </c>
      <c r="H1559" s="31">
        <v>4.79999</v>
      </c>
      <c r="I1559" s="29" t="s">
        <v>620</v>
      </c>
      <c r="J1559" s="32" t="s">
        <v>598</v>
      </c>
      <c r="K1559" s="29" t="s">
        <v>599</v>
      </c>
      <c r="L1559" s="29" t="s">
        <v>1312</v>
      </c>
      <c r="M1559" s="35">
        <v>-64.812</v>
      </c>
      <c r="N1559" s="35">
        <v>5.03</v>
      </c>
      <c r="O1559" s="34" t="s">
        <v>601</v>
      </c>
      <c r="P1559" s="48" t="s">
        <v>602</v>
      </c>
      <c r="Q1559" s="29">
        <v>52.0</v>
      </c>
      <c r="R1559" s="29">
        <v>58.0</v>
      </c>
      <c r="S1559" s="36">
        <v>0.74</v>
      </c>
      <c r="T1559" s="36">
        <v>1.02</v>
      </c>
      <c r="U1559" s="36" t="str">
        <f t="shared" ref="U1559:V1559" si="349">#REF!*SQRT(Q1559)</f>
        <v>#REF!</v>
      </c>
      <c r="V1559" s="36" t="str">
        <f t="shared" si="349"/>
        <v>#REF!</v>
      </c>
      <c r="W1559" s="37" t="s">
        <v>1313</v>
      </c>
      <c r="X1559" s="31">
        <v>8.906</v>
      </c>
      <c r="Y1559" s="36">
        <v>-0.3205521645208</v>
      </c>
      <c r="Z1559" s="36" t="e">
        <v>#REF!</v>
      </c>
      <c r="AA1559" s="35" t="s">
        <v>820</v>
      </c>
      <c r="AB1559" s="35">
        <v>0.256407</v>
      </c>
      <c r="AC1559" s="35">
        <v>5272.0</v>
      </c>
    </row>
    <row r="1560" ht="14.25" customHeight="1">
      <c r="A1560" s="29" t="s">
        <v>417</v>
      </c>
      <c r="B1560" s="29">
        <v>164.0</v>
      </c>
      <c r="C1560" s="29" t="s">
        <v>608</v>
      </c>
      <c r="D1560" s="42" t="s">
        <v>1316</v>
      </c>
      <c r="E1560" s="29">
        <v>364.0</v>
      </c>
      <c r="F1560" s="39" t="s">
        <v>1317</v>
      </c>
      <c r="G1560" s="29" t="s">
        <v>619</v>
      </c>
      <c r="H1560" s="31">
        <v>4.79999</v>
      </c>
      <c r="I1560" s="29" t="s">
        <v>620</v>
      </c>
      <c r="J1560" s="32" t="s">
        <v>598</v>
      </c>
      <c r="K1560" s="29" t="s">
        <v>599</v>
      </c>
      <c r="L1560" s="29" t="s">
        <v>1312</v>
      </c>
      <c r="M1560" s="35">
        <v>-64.746</v>
      </c>
      <c r="N1560" s="35">
        <v>5.427</v>
      </c>
      <c r="O1560" s="34" t="s">
        <v>601</v>
      </c>
      <c r="P1560" s="48" t="s">
        <v>602</v>
      </c>
      <c r="Q1560" s="29">
        <v>53.0</v>
      </c>
      <c r="R1560" s="29">
        <v>58.0</v>
      </c>
      <c r="S1560" s="36">
        <v>0.0</v>
      </c>
      <c r="T1560" s="36">
        <v>1.02</v>
      </c>
      <c r="U1560" s="36" t="str">
        <f t="shared" ref="U1560:V1560" si="350">#REF!*SQRT(Q1560)</f>
        <v>#REF!</v>
      </c>
      <c r="V1560" s="36" t="str">
        <f t="shared" si="350"/>
        <v>#REF!</v>
      </c>
      <c r="W1560" s="37" t="s">
        <v>1313</v>
      </c>
      <c r="X1560" s="31">
        <v>10.8</v>
      </c>
      <c r="Y1560" s="36">
        <v>-8.262558973010657</v>
      </c>
      <c r="Z1560" s="36" t="e">
        <v>#REF!</v>
      </c>
      <c r="AA1560" s="35" t="s">
        <v>820</v>
      </c>
      <c r="AB1560" s="35">
        <v>0.256407</v>
      </c>
      <c r="AC1560" s="35">
        <v>3906.0</v>
      </c>
    </row>
    <row r="1561" ht="14.25" customHeight="1">
      <c r="A1561" s="29" t="s">
        <v>417</v>
      </c>
      <c r="B1561" s="29">
        <v>164.0</v>
      </c>
      <c r="C1561" s="29" t="s">
        <v>608</v>
      </c>
      <c r="D1561" s="29" t="s">
        <v>650</v>
      </c>
      <c r="E1561" s="29">
        <v>70.0</v>
      </c>
      <c r="F1561" s="30" t="s">
        <v>651</v>
      </c>
      <c r="G1561" s="29" t="s">
        <v>615</v>
      </c>
      <c r="H1561" s="31">
        <v>8.17</v>
      </c>
      <c r="I1561" s="29" t="s">
        <v>616</v>
      </c>
      <c r="J1561" s="32" t="s">
        <v>598</v>
      </c>
      <c r="K1561" s="29" t="s">
        <v>599</v>
      </c>
      <c r="L1561" s="29" t="s">
        <v>1312</v>
      </c>
      <c r="M1561" s="35">
        <v>-64.812</v>
      </c>
      <c r="N1561" s="35">
        <v>5.03</v>
      </c>
      <c r="O1561" s="34" t="s">
        <v>601</v>
      </c>
      <c r="P1561" s="48" t="s">
        <v>602</v>
      </c>
      <c r="Q1561" s="29">
        <v>52.0</v>
      </c>
      <c r="R1561" s="29">
        <v>58.0</v>
      </c>
      <c r="S1561" s="36">
        <v>18.86</v>
      </c>
      <c r="T1561" s="36">
        <v>30.88</v>
      </c>
      <c r="U1561" s="36" t="str">
        <f t="shared" ref="U1561:V1561" si="351">#REF!*SQRT(Q1561)</f>
        <v>#REF!</v>
      </c>
      <c r="V1561" s="36" t="str">
        <f t="shared" si="351"/>
        <v>#REF!</v>
      </c>
      <c r="W1561" s="37" t="s">
        <v>1313</v>
      </c>
      <c r="X1561" s="31">
        <v>8.906</v>
      </c>
      <c r="Y1561" s="36">
        <v>-0.492643109987089</v>
      </c>
      <c r="Z1561" s="36" t="e">
        <v>#REF!</v>
      </c>
      <c r="AA1561" s="35" t="s">
        <v>820</v>
      </c>
      <c r="AB1561" s="35">
        <v>0.256407</v>
      </c>
      <c r="AC1561" s="35">
        <v>5272.0</v>
      </c>
    </row>
    <row r="1562" ht="14.25" customHeight="1">
      <c r="A1562" s="29" t="s">
        <v>417</v>
      </c>
      <c r="B1562" s="29">
        <v>164.0</v>
      </c>
      <c r="C1562" s="29" t="s">
        <v>608</v>
      </c>
      <c r="D1562" s="29" t="s">
        <v>650</v>
      </c>
      <c r="E1562" s="29">
        <v>70.0</v>
      </c>
      <c r="F1562" s="30" t="s">
        <v>651</v>
      </c>
      <c r="G1562" s="29" t="s">
        <v>615</v>
      </c>
      <c r="H1562" s="31">
        <v>8.17</v>
      </c>
      <c r="I1562" s="29" t="s">
        <v>616</v>
      </c>
      <c r="J1562" s="32" t="s">
        <v>598</v>
      </c>
      <c r="K1562" s="29" t="s">
        <v>599</v>
      </c>
      <c r="L1562" s="29" t="s">
        <v>1312</v>
      </c>
      <c r="M1562" s="35">
        <v>-64.746</v>
      </c>
      <c r="N1562" s="35">
        <v>5.427</v>
      </c>
      <c r="O1562" s="34" t="s">
        <v>601</v>
      </c>
      <c r="P1562" s="48" t="s">
        <v>602</v>
      </c>
      <c r="Q1562" s="29">
        <v>53.0</v>
      </c>
      <c r="R1562" s="29">
        <v>58.0</v>
      </c>
      <c r="S1562" s="36">
        <v>23.56</v>
      </c>
      <c r="T1562" s="36">
        <v>30.88</v>
      </c>
      <c r="U1562" s="36" t="str">
        <f t="shared" ref="U1562:V1562" si="352">#REF!*SQRT(Q1562)</f>
        <v>#REF!</v>
      </c>
      <c r="V1562" s="36" t="str">
        <f t="shared" si="352"/>
        <v>#REF!</v>
      </c>
      <c r="W1562" s="37" t="s">
        <v>1313</v>
      </c>
      <c r="X1562" s="31">
        <v>10.8</v>
      </c>
      <c r="Y1562" s="36">
        <v>-0.2702202666480689</v>
      </c>
      <c r="Z1562" s="36" t="e">
        <v>#REF!</v>
      </c>
      <c r="AA1562" s="35" t="s">
        <v>820</v>
      </c>
      <c r="AB1562" s="35">
        <v>0.256407</v>
      </c>
      <c r="AC1562" s="35">
        <v>3906.0</v>
      </c>
    </row>
    <row r="1563" ht="14.25" customHeight="1">
      <c r="A1563" s="29" t="s">
        <v>417</v>
      </c>
      <c r="B1563" s="29">
        <v>164.0</v>
      </c>
      <c r="C1563" s="29" t="s">
        <v>608</v>
      </c>
      <c r="D1563" s="29" t="s">
        <v>652</v>
      </c>
      <c r="E1563" s="29">
        <v>72.0</v>
      </c>
      <c r="F1563" s="30" t="s">
        <v>653</v>
      </c>
      <c r="G1563" s="29" t="s">
        <v>615</v>
      </c>
      <c r="H1563" s="31">
        <v>3.02</v>
      </c>
      <c r="I1563" s="29" t="s">
        <v>616</v>
      </c>
      <c r="J1563" s="32" t="s">
        <v>598</v>
      </c>
      <c r="K1563" s="29" t="s">
        <v>599</v>
      </c>
      <c r="L1563" s="29" t="s">
        <v>1312</v>
      </c>
      <c r="M1563" s="35">
        <v>-64.812</v>
      </c>
      <c r="N1563" s="35">
        <v>5.03</v>
      </c>
      <c r="O1563" s="34" t="s">
        <v>601</v>
      </c>
      <c r="P1563" s="48" t="s">
        <v>602</v>
      </c>
      <c r="Q1563" s="29">
        <v>52.0</v>
      </c>
      <c r="R1563" s="29">
        <v>58.0</v>
      </c>
      <c r="S1563" s="36">
        <v>144.35</v>
      </c>
      <c r="T1563" s="36">
        <v>113.74</v>
      </c>
      <c r="U1563" s="36" t="str">
        <f t="shared" ref="U1563:V1563" si="353">#REF!*SQRT(Q1563)</f>
        <v>#REF!</v>
      </c>
      <c r="V1563" s="36" t="str">
        <f t="shared" si="353"/>
        <v>#REF!</v>
      </c>
      <c r="W1563" s="37" t="s">
        <v>1313</v>
      </c>
      <c r="X1563" s="31">
        <v>8.906</v>
      </c>
      <c r="Y1563" s="36">
        <v>0.23852903200257408</v>
      </c>
      <c r="Z1563" s="36" t="e">
        <v>#REF!</v>
      </c>
      <c r="AA1563" s="35" t="s">
        <v>820</v>
      </c>
      <c r="AB1563" s="35">
        <v>0.256407</v>
      </c>
      <c r="AC1563" s="35">
        <v>5272.0</v>
      </c>
    </row>
    <row r="1564" ht="14.25" customHeight="1">
      <c r="A1564" s="29" t="s">
        <v>417</v>
      </c>
      <c r="B1564" s="29">
        <v>164.0</v>
      </c>
      <c r="C1564" s="29" t="s">
        <v>608</v>
      </c>
      <c r="D1564" s="29" t="s">
        <v>652</v>
      </c>
      <c r="E1564" s="29">
        <v>72.0</v>
      </c>
      <c r="F1564" s="30" t="s">
        <v>653</v>
      </c>
      <c r="G1564" s="29" t="s">
        <v>615</v>
      </c>
      <c r="H1564" s="31">
        <v>3.02</v>
      </c>
      <c r="I1564" s="29" t="s">
        <v>616</v>
      </c>
      <c r="J1564" s="32" t="s">
        <v>598</v>
      </c>
      <c r="K1564" s="29" t="s">
        <v>599</v>
      </c>
      <c r="L1564" s="29" t="s">
        <v>1312</v>
      </c>
      <c r="M1564" s="35">
        <v>-64.746</v>
      </c>
      <c r="N1564" s="35">
        <v>5.427</v>
      </c>
      <c r="O1564" s="34" t="s">
        <v>601</v>
      </c>
      <c r="P1564" s="48" t="s">
        <v>602</v>
      </c>
      <c r="Q1564" s="29">
        <v>53.0</v>
      </c>
      <c r="R1564" s="29">
        <v>58.0</v>
      </c>
      <c r="S1564" s="36">
        <v>183.62</v>
      </c>
      <c r="T1564" s="36">
        <v>113.74</v>
      </c>
      <c r="U1564" s="36" t="str">
        <f t="shared" ref="U1564:V1564" si="354">#REF!*SQRT(Q1564)</f>
        <v>#REF!</v>
      </c>
      <c r="V1564" s="36" t="str">
        <f t="shared" si="354"/>
        <v>#REF!</v>
      </c>
      <c r="W1564" s="37" t="s">
        <v>1313</v>
      </c>
      <c r="X1564" s="31">
        <v>10.8</v>
      </c>
      <c r="Y1564" s="36">
        <v>0.4791130620999186</v>
      </c>
      <c r="Z1564" s="36" t="e">
        <v>#REF!</v>
      </c>
      <c r="AA1564" s="35" t="s">
        <v>820</v>
      </c>
      <c r="AB1564" s="35">
        <v>0.256407</v>
      </c>
      <c r="AC1564" s="35">
        <v>3906.0</v>
      </c>
    </row>
    <row r="1565" ht="14.25" customHeight="1">
      <c r="A1565" s="29" t="s">
        <v>417</v>
      </c>
      <c r="B1565" s="29">
        <v>164.0</v>
      </c>
      <c r="C1565" s="29" t="s">
        <v>608</v>
      </c>
      <c r="D1565" s="29" t="s">
        <v>1318</v>
      </c>
      <c r="E1565" s="29">
        <v>365.0</v>
      </c>
      <c r="F1565" s="39" t="s">
        <v>1319</v>
      </c>
      <c r="G1565" s="29" t="s">
        <v>619</v>
      </c>
      <c r="H1565" s="31">
        <f t="shared" ref="H1565:H1566" si="356">AVERAGE(4.2, 9.5)</f>
        <v>6.85</v>
      </c>
      <c r="I1565" s="29" t="s">
        <v>620</v>
      </c>
      <c r="J1565" s="32" t="s">
        <v>598</v>
      </c>
      <c r="K1565" s="29" t="s">
        <v>599</v>
      </c>
      <c r="L1565" s="29" t="s">
        <v>1312</v>
      </c>
      <c r="M1565" s="35">
        <v>-64.812</v>
      </c>
      <c r="N1565" s="35">
        <v>5.03</v>
      </c>
      <c r="O1565" s="34" t="s">
        <v>601</v>
      </c>
      <c r="P1565" s="48" t="s">
        <v>602</v>
      </c>
      <c r="Q1565" s="29">
        <v>52.0</v>
      </c>
      <c r="R1565" s="29">
        <v>58.0</v>
      </c>
      <c r="S1565" s="36">
        <v>56.64</v>
      </c>
      <c r="T1565" s="36">
        <v>17.19</v>
      </c>
      <c r="U1565" s="36" t="str">
        <f t="shared" ref="U1565:V1565" si="355">#REF!*SQRT(Q1565)</f>
        <v>#REF!</v>
      </c>
      <c r="V1565" s="36" t="str">
        <f t="shared" si="355"/>
        <v>#REF!</v>
      </c>
      <c r="W1565" s="37" t="s">
        <v>1313</v>
      </c>
      <c r="X1565" s="31">
        <v>8.906</v>
      </c>
      <c r="Y1565" s="36">
        <v>1.1924659282056904</v>
      </c>
      <c r="Z1565" s="36" t="e">
        <v>#REF!</v>
      </c>
      <c r="AA1565" s="35" t="s">
        <v>820</v>
      </c>
      <c r="AB1565" s="35">
        <v>0.256407</v>
      </c>
      <c r="AC1565" s="35">
        <v>5272.0</v>
      </c>
    </row>
    <row r="1566" ht="14.25" customHeight="1">
      <c r="A1566" s="29" t="s">
        <v>417</v>
      </c>
      <c r="B1566" s="29">
        <v>164.0</v>
      </c>
      <c r="C1566" s="29" t="s">
        <v>608</v>
      </c>
      <c r="D1566" s="29" t="s">
        <v>1318</v>
      </c>
      <c r="E1566" s="29">
        <v>365.0</v>
      </c>
      <c r="F1566" s="39" t="s">
        <v>1319</v>
      </c>
      <c r="G1566" s="29" t="s">
        <v>619</v>
      </c>
      <c r="H1566" s="31">
        <f t="shared" si="356"/>
        <v>6.85</v>
      </c>
      <c r="I1566" s="29" t="s">
        <v>620</v>
      </c>
      <c r="J1566" s="32" t="s">
        <v>598</v>
      </c>
      <c r="K1566" s="29" t="s">
        <v>599</v>
      </c>
      <c r="L1566" s="29" t="s">
        <v>1312</v>
      </c>
      <c r="M1566" s="35">
        <v>-64.746</v>
      </c>
      <c r="N1566" s="35">
        <v>5.427</v>
      </c>
      <c r="O1566" s="34" t="s">
        <v>601</v>
      </c>
      <c r="P1566" s="48" t="s">
        <v>602</v>
      </c>
      <c r="Q1566" s="29">
        <v>53.0</v>
      </c>
      <c r="R1566" s="29">
        <v>58.0</v>
      </c>
      <c r="S1566" s="36">
        <v>14.95</v>
      </c>
      <c r="T1566" s="36">
        <v>17.19</v>
      </c>
      <c r="U1566" s="36" t="str">
        <f t="shared" ref="U1566:V1566" si="357">#REF!*SQRT(Q1566)</f>
        <v>#REF!</v>
      </c>
      <c r="V1566" s="36" t="str">
        <f t="shared" si="357"/>
        <v>#REF!</v>
      </c>
      <c r="W1566" s="37" t="s">
        <v>1313</v>
      </c>
      <c r="X1566" s="31">
        <v>10.8</v>
      </c>
      <c r="Y1566" s="36">
        <v>-0.1393199090683519</v>
      </c>
      <c r="Z1566" s="36" t="e">
        <v>#REF!</v>
      </c>
      <c r="AA1566" s="35" t="s">
        <v>820</v>
      </c>
      <c r="AB1566" s="35">
        <v>0.256407</v>
      </c>
      <c r="AC1566" s="35">
        <v>3906.0</v>
      </c>
    </row>
    <row r="1567" ht="14.25" customHeight="1">
      <c r="A1567" s="29" t="s">
        <v>417</v>
      </c>
      <c r="B1567" s="29">
        <v>164.0</v>
      </c>
      <c r="C1567" s="29" t="s">
        <v>608</v>
      </c>
      <c r="D1567" s="29" t="s">
        <v>973</v>
      </c>
      <c r="E1567" s="29">
        <v>243.0</v>
      </c>
      <c r="F1567" s="30" t="s">
        <v>974</v>
      </c>
      <c r="G1567" s="29" t="s">
        <v>656</v>
      </c>
      <c r="H1567" s="31">
        <v>1.09</v>
      </c>
      <c r="I1567" s="29" t="s">
        <v>657</v>
      </c>
      <c r="J1567" s="32" t="s">
        <v>598</v>
      </c>
      <c r="K1567" s="29" t="s">
        <v>599</v>
      </c>
      <c r="L1567" s="29" t="s">
        <v>1312</v>
      </c>
      <c r="M1567" s="35">
        <v>-64.812</v>
      </c>
      <c r="N1567" s="35">
        <v>5.03</v>
      </c>
      <c r="O1567" s="34" t="s">
        <v>601</v>
      </c>
      <c r="P1567" s="48" t="s">
        <v>602</v>
      </c>
      <c r="Q1567" s="29">
        <v>52.0</v>
      </c>
      <c r="R1567" s="29">
        <v>58.0</v>
      </c>
      <c r="S1567" s="36">
        <v>12.86</v>
      </c>
      <c r="T1567" s="36">
        <v>2.17</v>
      </c>
      <c r="U1567" s="36" t="str">
        <f t="shared" ref="U1567:V1567" si="358">#REF!*SQRT(Q1567)</f>
        <v>#REF!</v>
      </c>
      <c r="V1567" s="36" t="str">
        <f t="shared" si="358"/>
        <v>#REF!</v>
      </c>
      <c r="W1567" s="37" t="s">
        <v>1313</v>
      </c>
      <c r="X1567" s="31">
        <v>8.906</v>
      </c>
      <c r="Y1567" s="36">
        <v>1.779438084953447</v>
      </c>
      <c r="Z1567" s="36" t="e">
        <v>#REF!</v>
      </c>
      <c r="AA1567" s="35" t="s">
        <v>820</v>
      </c>
      <c r="AB1567" s="35">
        <v>0.256407</v>
      </c>
      <c r="AC1567" s="35">
        <v>5272.0</v>
      </c>
    </row>
    <row r="1568" ht="14.25" customHeight="1">
      <c r="A1568" s="29" t="s">
        <v>417</v>
      </c>
      <c r="B1568" s="29">
        <v>164.0</v>
      </c>
      <c r="C1568" s="29" t="s">
        <v>608</v>
      </c>
      <c r="D1568" s="29" t="s">
        <v>973</v>
      </c>
      <c r="E1568" s="29">
        <v>243.0</v>
      </c>
      <c r="F1568" s="30" t="s">
        <v>974</v>
      </c>
      <c r="G1568" s="29" t="s">
        <v>656</v>
      </c>
      <c r="H1568" s="31">
        <v>1.09</v>
      </c>
      <c r="I1568" s="29" t="s">
        <v>657</v>
      </c>
      <c r="J1568" s="32" t="s">
        <v>598</v>
      </c>
      <c r="K1568" s="29" t="s">
        <v>599</v>
      </c>
      <c r="L1568" s="29" t="s">
        <v>1312</v>
      </c>
      <c r="M1568" s="35">
        <v>-64.746</v>
      </c>
      <c r="N1568" s="35">
        <v>5.427</v>
      </c>
      <c r="O1568" s="34" t="s">
        <v>601</v>
      </c>
      <c r="P1568" s="48" t="s">
        <v>602</v>
      </c>
      <c r="Q1568" s="29">
        <v>53.0</v>
      </c>
      <c r="R1568" s="29">
        <v>58.0</v>
      </c>
      <c r="S1568" s="36">
        <v>4.92</v>
      </c>
      <c r="T1568" s="36">
        <v>2.17</v>
      </c>
      <c r="U1568" s="36" t="str">
        <f t="shared" ref="U1568:V1568" si="359">#REF!*SQRT(Q1568)</f>
        <v>#REF!</v>
      </c>
      <c r="V1568" s="36" t="str">
        <f t="shared" si="359"/>
        <v>#REF!</v>
      </c>
      <c r="W1568" s="37" t="s">
        <v>1313</v>
      </c>
      <c r="X1568" s="31">
        <v>10.8</v>
      </c>
      <c r="Y1568" s="36">
        <v>0.8186951482506485</v>
      </c>
      <c r="Z1568" s="36" t="e">
        <v>#REF!</v>
      </c>
      <c r="AA1568" s="35" t="s">
        <v>820</v>
      </c>
      <c r="AB1568" s="35">
        <v>0.256407</v>
      </c>
      <c r="AC1568" s="35">
        <v>3906.0</v>
      </c>
    </row>
    <row r="1569" ht="14.25" customHeight="1">
      <c r="A1569" s="29" t="s">
        <v>417</v>
      </c>
      <c r="B1569" s="29">
        <v>164.0</v>
      </c>
      <c r="C1569" s="29" t="s">
        <v>608</v>
      </c>
      <c r="D1569" s="35" t="s">
        <v>675</v>
      </c>
      <c r="E1569" s="29">
        <v>204.0</v>
      </c>
      <c r="F1569" s="30" t="s">
        <v>676</v>
      </c>
      <c r="G1569" s="29" t="s">
        <v>629</v>
      </c>
      <c r="H1569" s="31">
        <v>3.91</v>
      </c>
      <c r="I1569" s="29" t="s">
        <v>657</v>
      </c>
      <c r="J1569" s="32" t="s">
        <v>598</v>
      </c>
      <c r="K1569" s="29" t="s">
        <v>599</v>
      </c>
      <c r="L1569" s="29" t="s">
        <v>1312</v>
      </c>
      <c r="M1569" s="35">
        <v>-64.812</v>
      </c>
      <c r="N1569" s="35">
        <v>5.03</v>
      </c>
      <c r="O1569" s="34" t="s">
        <v>601</v>
      </c>
      <c r="P1569" s="48" t="s">
        <v>602</v>
      </c>
      <c r="Q1569" s="29">
        <v>52.0</v>
      </c>
      <c r="R1569" s="29">
        <v>58.0</v>
      </c>
      <c r="S1569" s="36">
        <v>2.88</v>
      </c>
      <c r="T1569" s="36">
        <v>3.89</v>
      </c>
      <c r="U1569" s="36" t="str">
        <f t="shared" ref="U1569:V1569" si="360">#REF!*SQRT(Q1569)</f>
        <v>#REF!</v>
      </c>
      <c r="V1569" s="36" t="str">
        <f t="shared" si="360"/>
        <v>#REF!</v>
      </c>
      <c r="W1569" s="37" t="s">
        <v>1313</v>
      </c>
      <c r="X1569" s="31">
        <v>8.906</v>
      </c>
      <c r="Y1569" s="36">
        <v>-0.300270447807436</v>
      </c>
      <c r="Z1569" s="36" t="e">
        <v>#REF!</v>
      </c>
      <c r="AA1569" s="35" t="s">
        <v>820</v>
      </c>
      <c r="AB1569" s="35">
        <v>0.256407</v>
      </c>
      <c r="AC1569" s="35">
        <v>5272.0</v>
      </c>
    </row>
    <row r="1570" ht="14.25" customHeight="1">
      <c r="A1570" s="29" t="s">
        <v>417</v>
      </c>
      <c r="B1570" s="29">
        <v>164.0</v>
      </c>
      <c r="C1570" s="29" t="s">
        <v>608</v>
      </c>
      <c r="D1570" s="35" t="s">
        <v>675</v>
      </c>
      <c r="E1570" s="29">
        <v>204.0</v>
      </c>
      <c r="F1570" s="30" t="s">
        <v>676</v>
      </c>
      <c r="G1570" s="29" t="s">
        <v>629</v>
      </c>
      <c r="H1570" s="31">
        <v>3.91</v>
      </c>
      <c r="I1570" s="29" t="s">
        <v>657</v>
      </c>
      <c r="J1570" s="32" t="s">
        <v>598</v>
      </c>
      <c r="K1570" s="29" t="s">
        <v>599</v>
      </c>
      <c r="L1570" s="29" t="s">
        <v>1312</v>
      </c>
      <c r="M1570" s="35">
        <v>-64.746</v>
      </c>
      <c r="N1570" s="35">
        <v>5.427</v>
      </c>
      <c r="O1570" s="34" t="s">
        <v>601</v>
      </c>
      <c r="P1570" s="48" t="s">
        <v>602</v>
      </c>
      <c r="Q1570" s="29">
        <v>53.0</v>
      </c>
      <c r="R1570" s="29">
        <v>58.0</v>
      </c>
      <c r="S1570" s="36">
        <v>1.91</v>
      </c>
      <c r="T1570" s="36">
        <v>3.89</v>
      </c>
      <c r="U1570" s="36" t="str">
        <f t="shared" ref="U1570:V1570" si="361">#REF!*SQRT(Q1570)</f>
        <v>#REF!</v>
      </c>
      <c r="V1570" s="36" t="str">
        <f t="shared" si="361"/>
        <v>#REF!</v>
      </c>
      <c r="W1570" s="37" t="s">
        <v>1313</v>
      </c>
      <c r="X1570" s="31">
        <v>10.8</v>
      </c>
      <c r="Y1570" s="36">
        <v>-0.7107806022792359</v>
      </c>
      <c r="Z1570" s="36" t="e">
        <v>#REF!</v>
      </c>
      <c r="AA1570" s="35" t="s">
        <v>820</v>
      </c>
      <c r="AB1570" s="35">
        <v>0.256407</v>
      </c>
      <c r="AC1570" s="35">
        <v>3906.0</v>
      </c>
    </row>
    <row r="1571" ht="14.25" customHeight="1">
      <c r="A1571" s="29" t="s">
        <v>417</v>
      </c>
      <c r="B1571" s="29">
        <v>164.0</v>
      </c>
      <c r="C1571" s="29" t="s">
        <v>608</v>
      </c>
      <c r="D1571" s="29" t="s">
        <v>963</v>
      </c>
      <c r="E1571" s="29">
        <v>92.0</v>
      </c>
      <c r="F1571" s="30" t="s">
        <v>964</v>
      </c>
      <c r="G1571" s="29" t="s">
        <v>629</v>
      </c>
      <c r="H1571" s="31">
        <v>11.9</v>
      </c>
      <c r="I1571" s="29" t="s">
        <v>657</v>
      </c>
      <c r="J1571" s="32" t="s">
        <v>598</v>
      </c>
      <c r="K1571" s="29" t="s">
        <v>599</v>
      </c>
      <c r="L1571" s="29" t="s">
        <v>1312</v>
      </c>
      <c r="M1571" s="35">
        <v>-64.812</v>
      </c>
      <c r="N1571" s="35">
        <v>5.03</v>
      </c>
      <c r="O1571" s="34" t="s">
        <v>601</v>
      </c>
      <c r="P1571" s="48" t="s">
        <v>602</v>
      </c>
      <c r="Q1571" s="29">
        <v>52.0</v>
      </c>
      <c r="R1571" s="29">
        <v>58.0</v>
      </c>
      <c r="S1571" s="36">
        <v>8.4</v>
      </c>
      <c r="T1571" s="36">
        <v>5.29</v>
      </c>
      <c r="U1571" s="36" t="str">
        <f t="shared" ref="U1571:V1571" si="362">#REF!*SQRT(Q1571)</f>
        <v>#REF!</v>
      </c>
      <c r="V1571" s="36" t="str">
        <f t="shared" si="362"/>
        <v>#REF!</v>
      </c>
      <c r="W1571" s="37" t="s">
        <v>1313</v>
      </c>
      <c r="X1571" s="31">
        <v>8.906</v>
      </c>
      <c r="Y1571" s="36">
        <v>0.46257592405266795</v>
      </c>
      <c r="Z1571" s="36" t="e">
        <v>#REF!</v>
      </c>
      <c r="AA1571" s="35" t="s">
        <v>820</v>
      </c>
      <c r="AB1571" s="35">
        <v>0.256407</v>
      </c>
      <c r="AC1571" s="35">
        <v>5272.0</v>
      </c>
    </row>
    <row r="1572" ht="14.25" customHeight="1">
      <c r="A1572" s="29" t="s">
        <v>417</v>
      </c>
      <c r="B1572" s="29">
        <v>164.0</v>
      </c>
      <c r="C1572" s="29" t="s">
        <v>608</v>
      </c>
      <c r="D1572" s="29" t="s">
        <v>963</v>
      </c>
      <c r="E1572" s="29">
        <v>92.0</v>
      </c>
      <c r="F1572" s="30" t="s">
        <v>964</v>
      </c>
      <c r="G1572" s="29" t="s">
        <v>629</v>
      </c>
      <c r="H1572" s="31">
        <v>11.9</v>
      </c>
      <c r="I1572" s="29" t="s">
        <v>657</v>
      </c>
      <c r="J1572" s="32" t="s">
        <v>598</v>
      </c>
      <c r="K1572" s="29" t="s">
        <v>599</v>
      </c>
      <c r="L1572" s="29" t="s">
        <v>1312</v>
      </c>
      <c r="M1572" s="35">
        <v>-64.746</v>
      </c>
      <c r="N1572" s="35">
        <v>5.427</v>
      </c>
      <c r="O1572" s="34" t="s">
        <v>601</v>
      </c>
      <c r="P1572" s="48" t="s">
        <v>602</v>
      </c>
      <c r="Q1572" s="29">
        <v>53.0</v>
      </c>
      <c r="R1572" s="29">
        <v>58.0</v>
      </c>
      <c r="S1572" s="36">
        <v>1.82</v>
      </c>
      <c r="T1572" s="36">
        <v>5.29</v>
      </c>
      <c r="U1572" s="36" t="str">
        <f t="shared" ref="U1572:V1572" si="363">#REF!*SQRT(Q1572)</f>
        <v>#REF!</v>
      </c>
      <c r="V1572" s="36" t="str">
        <f t="shared" si="363"/>
        <v>#REF!</v>
      </c>
      <c r="W1572" s="37" t="s">
        <v>1313</v>
      </c>
      <c r="X1572" s="31">
        <v>10.8</v>
      </c>
      <c r="Y1572" s="36">
        <v>-1.0662321307126068</v>
      </c>
      <c r="Z1572" s="36" t="e">
        <v>#REF!</v>
      </c>
      <c r="AA1572" s="35" t="s">
        <v>820</v>
      </c>
      <c r="AB1572" s="35">
        <v>0.256407</v>
      </c>
      <c r="AC1572" s="35">
        <v>3906.0</v>
      </c>
    </row>
    <row r="1573" ht="14.25" customHeight="1">
      <c r="A1573" s="29" t="s">
        <v>417</v>
      </c>
      <c r="B1573" s="29">
        <v>164.0</v>
      </c>
      <c r="C1573" s="29" t="s">
        <v>608</v>
      </c>
      <c r="D1573" s="29" t="s">
        <v>1320</v>
      </c>
      <c r="E1573" s="29">
        <v>366.0</v>
      </c>
      <c r="F1573" s="39" t="s">
        <v>1321</v>
      </c>
      <c r="G1573" s="29" t="s">
        <v>626</v>
      </c>
      <c r="H1573" s="31">
        <f t="shared" ref="H1573:H1574" si="365">AVERAGE(22.8,17.58)</f>
        <v>20.19</v>
      </c>
      <c r="I1573" s="29" t="s">
        <v>612</v>
      </c>
      <c r="J1573" s="32" t="s">
        <v>598</v>
      </c>
      <c r="K1573" s="29" t="s">
        <v>599</v>
      </c>
      <c r="L1573" s="29" t="s">
        <v>1312</v>
      </c>
      <c r="M1573" s="35">
        <v>-64.812</v>
      </c>
      <c r="N1573" s="35">
        <v>5.03</v>
      </c>
      <c r="O1573" s="34" t="s">
        <v>601</v>
      </c>
      <c r="P1573" s="48" t="s">
        <v>602</v>
      </c>
      <c r="Q1573" s="29">
        <v>52.0</v>
      </c>
      <c r="R1573" s="29">
        <v>58.0</v>
      </c>
      <c r="S1573" s="36">
        <v>19.85</v>
      </c>
      <c r="T1573" s="36">
        <v>28.87</v>
      </c>
      <c r="U1573" s="36" t="str">
        <f t="shared" ref="U1573:V1573" si="364">#REF!*SQRT(Q1573)</f>
        <v>#REF!</v>
      </c>
      <c r="V1573" s="36" t="str">
        <f t="shared" si="364"/>
        <v>#REF!</v>
      </c>
      <c r="W1573" s="37" t="s">
        <v>1313</v>
      </c>
      <c r="X1573" s="31">
        <v>8.906</v>
      </c>
      <c r="Y1573" s="36">
        <v>-0.37422382264669685</v>
      </c>
      <c r="Z1573" s="36" t="e">
        <v>#REF!</v>
      </c>
      <c r="AA1573" s="35" t="s">
        <v>820</v>
      </c>
      <c r="AB1573" s="35">
        <v>0.256407</v>
      </c>
      <c r="AC1573" s="35">
        <v>5272.0</v>
      </c>
    </row>
    <row r="1574" ht="14.25" customHeight="1">
      <c r="A1574" s="29" t="s">
        <v>417</v>
      </c>
      <c r="B1574" s="29">
        <v>164.0</v>
      </c>
      <c r="C1574" s="29" t="s">
        <v>608</v>
      </c>
      <c r="D1574" s="29" t="s">
        <v>1320</v>
      </c>
      <c r="E1574" s="29">
        <v>366.0</v>
      </c>
      <c r="F1574" s="39" t="s">
        <v>1321</v>
      </c>
      <c r="G1574" s="29" t="s">
        <v>626</v>
      </c>
      <c r="H1574" s="31">
        <f t="shared" si="365"/>
        <v>20.19</v>
      </c>
      <c r="I1574" s="29" t="s">
        <v>612</v>
      </c>
      <c r="J1574" s="32" t="s">
        <v>598</v>
      </c>
      <c r="K1574" s="29" t="s">
        <v>599</v>
      </c>
      <c r="L1574" s="29" t="s">
        <v>1312</v>
      </c>
      <c r="M1574" s="35">
        <v>-64.746</v>
      </c>
      <c r="N1574" s="35">
        <v>5.427</v>
      </c>
      <c r="O1574" s="34" t="s">
        <v>601</v>
      </c>
      <c r="P1574" s="48" t="s">
        <v>602</v>
      </c>
      <c r="Q1574" s="29">
        <v>53.0</v>
      </c>
      <c r="R1574" s="29">
        <v>58.0</v>
      </c>
      <c r="S1574" s="36">
        <v>25.86</v>
      </c>
      <c r="T1574" s="36">
        <v>28.87</v>
      </c>
      <c r="U1574" s="36" t="str">
        <f t="shared" ref="U1574:V1574" si="366">#REF!*SQRT(Q1574)</f>
        <v>#REF!</v>
      </c>
      <c r="V1574" s="36" t="str">
        <f t="shared" si="366"/>
        <v>#REF!</v>
      </c>
      <c r="W1574" s="37" t="s">
        <v>1313</v>
      </c>
      <c r="X1574" s="31">
        <v>10.8</v>
      </c>
      <c r="Y1574" s="36">
        <v>-0.10981763394500253</v>
      </c>
      <c r="Z1574" s="36" t="e">
        <v>#REF!</v>
      </c>
      <c r="AA1574" s="35" t="s">
        <v>820</v>
      </c>
      <c r="AB1574" s="35">
        <v>0.256407</v>
      </c>
      <c r="AC1574" s="35">
        <v>3906.0</v>
      </c>
    </row>
    <row r="1575" ht="14.25" customHeight="1">
      <c r="A1575" s="29" t="s">
        <v>417</v>
      </c>
      <c r="B1575" s="29">
        <v>164.0</v>
      </c>
      <c r="C1575" s="29" t="s">
        <v>608</v>
      </c>
      <c r="D1575" s="29" t="s">
        <v>925</v>
      </c>
      <c r="E1575" s="29">
        <v>108.0</v>
      </c>
      <c r="F1575" s="30" t="s">
        <v>926</v>
      </c>
      <c r="G1575" s="29" t="s">
        <v>615</v>
      </c>
      <c r="H1575" s="31">
        <v>0.97</v>
      </c>
      <c r="I1575" s="29" t="s">
        <v>616</v>
      </c>
      <c r="J1575" s="32" t="s">
        <v>598</v>
      </c>
      <c r="K1575" s="29" t="s">
        <v>599</v>
      </c>
      <c r="L1575" s="29" t="s">
        <v>1312</v>
      </c>
      <c r="M1575" s="35">
        <v>-64.812</v>
      </c>
      <c r="N1575" s="35">
        <v>5.03</v>
      </c>
      <c r="O1575" s="34" t="s">
        <v>601</v>
      </c>
      <c r="P1575" s="48" t="s">
        <v>602</v>
      </c>
      <c r="Q1575" s="29">
        <v>52.0</v>
      </c>
      <c r="R1575" s="29">
        <v>58.0</v>
      </c>
      <c r="S1575" s="36">
        <v>18.22</v>
      </c>
      <c r="T1575" s="36">
        <v>27.02</v>
      </c>
      <c r="U1575" s="36" t="str">
        <f t="shared" ref="U1575:V1575" si="367">#REF!*SQRT(Q1575)</f>
        <v>#REF!</v>
      </c>
      <c r="V1575" s="36" t="str">
        <f t="shared" si="367"/>
        <v>#REF!</v>
      </c>
      <c r="W1575" s="37" t="s">
        <v>1313</v>
      </c>
      <c r="X1575" s="31">
        <v>8.906</v>
      </c>
      <c r="Y1575" s="36">
        <v>-0.39367490661825966</v>
      </c>
      <c r="Z1575" s="36" t="e">
        <v>#REF!</v>
      </c>
      <c r="AA1575" s="35" t="s">
        <v>820</v>
      </c>
      <c r="AB1575" s="35">
        <v>0.256407</v>
      </c>
      <c r="AC1575" s="35">
        <v>5272.0</v>
      </c>
    </row>
    <row r="1576" ht="14.25" customHeight="1">
      <c r="A1576" s="29" t="s">
        <v>417</v>
      </c>
      <c r="B1576" s="29">
        <v>164.0</v>
      </c>
      <c r="C1576" s="29" t="s">
        <v>608</v>
      </c>
      <c r="D1576" s="29" t="s">
        <v>925</v>
      </c>
      <c r="E1576" s="29">
        <v>108.0</v>
      </c>
      <c r="F1576" s="30" t="s">
        <v>926</v>
      </c>
      <c r="G1576" s="29" t="s">
        <v>615</v>
      </c>
      <c r="H1576" s="31">
        <v>0.97</v>
      </c>
      <c r="I1576" s="29" t="s">
        <v>616</v>
      </c>
      <c r="J1576" s="32" t="s">
        <v>598</v>
      </c>
      <c r="K1576" s="29" t="s">
        <v>599</v>
      </c>
      <c r="L1576" s="29" t="s">
        <v>1312</v>
      </c>
      <c r="M1576" s="35">
        <v>-64.746</v>
      </c>
      <c r="N1576" s="35">
        <v>5.427</v>
      </c>
      <c r="O1576" s="34" t="s">
        <v>601</v>
      </c>
      <c r="P1576" s="48" t="s">
        <v>602</v>
      </c>
      <c r="Q1576" s="29">
        <v>53.0</v>
      </c>
      <c r="R1576" s="29">
        <v>58.0</v>
      </c>
      <c r="S1576" s="36">
        <v>21.79</v>
      </c>
      <c r="T1576" s="36">
        <v>27.02</v>
      </c>
      <c r="U1576" s="36" t="str">
        <f t="shared" ref="U1576:V1576" si="368">#REF!*SQRT(Q1576)</f>
        <v>#REF!</v>
      </c>
      <c r="V1576" s="36" t="str">
        <f t="shared" si="368"/>
        <v>#REF!</v>
      </c>
      <c r="W1576" s="37" t="s">
        <v>1313</v>
      </c>
      <c r="X1576" s="31">
        <v>10.8</v>
      </c>
      <c r="Y1576" s="36">
        <v>-0.21480631256297175</v>
      </c>
      <c r="Z1576" s="36" t="e">
        <v>#REF!</v>
      </c>
      <c r="AA1576" s="35" t="s">
        <v>820</v>
      </c>
      <c r="AB1576" s="35">
        <v>0.256407</v>
      </c>
      <c r="AC1576" s="35">
        <v>3906.0</v>
      </c>
    </row>
    <row r="1577" ht="14.25" customHeight="1">
      <c r="A1577" s="29" t="s">
        <v>417</v>
      </c>
      <c r="B1577" s="29">
        <v>164.0</v>
      </c>
      <c r="C1577" s="29" t="s">
        <v>608</v>
      </c>
      <c r="D1577" s="29" t="s">
        <v>927</v>
      </c>
      <c r="E1577" s="29">
        <v>109.0</v>
      </c>
      <c r="F1577" s="30" t="s">
        <v>928</v>
      </c>
      <c r="G1577" s="29" t="s">
        <v>695</v>
      </c>
      <c r="H1577" s="31">
        <v>22.33</v>
      </c>
      <c r="I1577" s="29" t="s">
        <v>620</v>
      </c>
      <c r="J1577" s="32" t="s">
        <v>598</v>
      </c>
      <c r="K1577" s="29" t="s">
        <v>599</v>
      </c>
      <c r="L1577" s="29" t="s">
        <v>1312</v>
      </c>
      <c r="M1577" s="35">
        <v>-64.812</v>
      </c>
      <c r="N1577" s="35">
        <v>5.03</v>
      </c>
      <c r="O1577" s="34" t="s">
        <v>601</v>
      </c>
      <c r="P1577" s="48" t="s">
        <v>602</v>
      </c>
      <c r="Q1577" s="29">
        <v>52.0</v>
      </c>
      <c r="R1577" s="29">
        <v>58.0</v>
      </c>
      <c r="S1577" s="36">
        <v>14.41</v>
      </c>
      <c r="T1577" s="36">
        <v>26.48</v>
      </c>
      <c r="U1577" s="36" t="str">
        <f t="shared" ref="U1577:V1577" si="369">#REF!*SQRT(Q1577)</f>
        <v>#REF!</v>
      </c>
      <c r="V1577" s="36" t="str">
        <f t="shared" si="369"/>
        <v>#REF!</v>
      </c>
      <c r="W1577" s="37" t="s">
        <v>1313</v>
      </c>
      <c r="X1577" s="31">
        <v>8.906</v>
      </c>
      <c r="Y1577" s="36">
        <v>-0.6079933331058396</v>
      </c>
      <c r="Z1577" s="36" t="e">
        <v>#REF!</v>
      </c>
      <c r="AA1577" s="35" t="s">
        <v>820</v>
      </c>
      <c r="AB1577" s="35">
        <v>0.256407</v>
      </c>
      <c r="AC1577" s="35">
        <v>5272.0</v>
      </c>
    </row>
    <row r="1578" ht="14.25" customHeight="1">
      <c r="A1578" s="29" t="s">
        <v>417</v>
      </c>
      <c r="B1578" s="29">
        <v>164.0</v>
      </c>
      <c r="C1578" s="29" t="s">
        <v>608</v>
      </c>
      <c r="D1578" s="29" t="s">
        <v>927</v>
      </c>
      <c r="E1578" s="29">
        <v>109.0</v>
      </c>
      <c r="F1578" s="30" t="s">
        <v>928</v>
      </c>
      <c r="G1578" s="29" t="s">
        <v>695</v>
      </c>
      <c r="H1578" s="31">
        <v>22.33</v>
      </c>
      <c r="I1578" s="29" t="s">
        <v>620</v>
      </c>
      <c r="J1578" s="32" t="s">
        <v>598</v>
      </c>
      <c r="K1578" s="29" t="s">
        <v>599</v>
      </c>
      <c r="L1578" s="29" t="s">
        <v>1312</v>
      </c>
      <c r="M1578" s="35">
        <v>-64.746</v>
      </c>
      <c r="N1578" s="35">
        <v>5.427</v>
      </c>
      <c r="O1578" s="34" t="s">
        <v>601</v>
      </c>
      <c r="P1578" s="48" t="s">
        <v>602</v>
      </c>
      <c r="Q1578" s="29">
        <v>53.0</v>
      </c>
      <c r="R1578" s="29">
        <v>58.0</v>
      </c>
      <c r="S1578" s="36">
        <v>10.68</v>
      </c>
      <c r="T1578" s="36">
        <v>26.48</v>
      </c>
      <c r="U1578" s="36" t="str">
        <f t="shared" ref="U1578:V1578" si="370">#REF!*SQRT(Q1578)</f>
        <v>#REF!</v>
      </c>
      <c r="V1578" s="36" t="str">
        <f t="shared" si="370"/>
        <v>#REF!</v>
      </c>
      <c r="W1578" s="37" t="s">
        <v>1313</v>
      </c>
      <c r="X1578" s="31">
        <v>10.8</v>
      </c>
      <c r="Y1578" s="36">
        <v>-0.9073774217691616</v>
      </c>
      <c r="Z1578" s="36" t="e">
        <v>#REF!</v>
      </c>
      <c r="AA1578" s="35" t="s">
        <v>820</v>
      </c>
      <c r="AB1578" s="35">
        <v>0.256407</v>
      </c>
      <c r="AC1578" s="35">
        <v>3906.0</v>
      </c>
    </row>
    <row r="1579" ht="14.25" customHeight="1">
      <c r="A1579" s="29" t="s">
        <v>417</v>
      </c>
      <c r="B1579" s="29">
        <v>164.0</v>
      </c>
      <c r="C1579" s="29" t="s">
        <v>608</v>
      </c>
      <c r="D1579" s="35" t="s">
        <v>627</v>
      </c>
      <c r="E1579" s="29">
        <v>111.0</v>
      </c>
      <c r="F1579" s="39" t="s">
        <v>628</v>
      </c>
      <c r="G1579" s="29" t="s">
        <v>629</v>
      </c>
      <c r="H1579" s="31">
        <v>3.79</v>
      </c>
      <c r="I1579" s="29" t="s">
        <v>597</v>
      </c>
      <c r="J1579" s="32" t="s">
        <v>598</v>
      </c>
      <c r="K1579" s="29" t="s">
        <v>599</v>
      </c>
      <c r="L1579" s="29" t="s">
        <v>1312</v>
      </c>
      <c r="M1579" s="35">
        <v>-64.812</v>
      </c>
      <c r="N1579" s="35">
        <v>5.03</v>
      </c>
      <c r="O1579" s="34" t="s">
        <v>601</v>
      </c>
      <c r="P1579" s="48" t="s">
        <v>602</v>
      </c>
      <c r="Q1579" s="29">
        <v>52.0</v>
      </c>
      <c r="R1579" s="29">
        <v>58.0</v>
      </c>
      <c r="S1579" s="36">
        <v>3.28</v>
      </c>
      <c r="T1579" s="36">
        <v>0.47</v>
      </c>
      <c r="U1579" s="36" t="str">
        <f t="shared" ref="U1579:V1579" si="371">#REF!*SQRT(Q1579)</f>
        <v>#REF!</v>
      </c>
      <c r="V1579" s="36" t="str">
        <f t="shared" si="371"/>
        <v>#REF!</v>
      </c>
      <c r="W1579" s="37" t="s">
        <v>1313</v>
      </c>
      <c r="X1579" s="31">
        <v>8.906</v>
      </c>
      <c r="Y1579" s="36">
        <v>1.9429029752071818</v>
      </c>
      <c r="Z1579" s="36" t="e">
        <v>#REF!</v>
      </c>
      <c r="AA1579" s="35" t="s">
        <v>820</v>
      </c>
      <c r="AB1579" s="35">
        <v>0.256407</v>
      </c>
      <c r="AC1579" s="35">
        <v>5272.0</v>
      </c>
    </row>
    <row r="1580" ht="14.25" customHeight="1">
      <c r="A1580" s="29" t="s">
        <v>417</v>
      </c>
      <c r="B1580" s="29">
        <v>164.0</v>
      </c>
      <c r="C1580" s="29" t="s">
        <v>608</v>
      </c>
      <c r="D1580" s="35" t="s">
        <v>627</v>
      </c>
      <c r="E1580" s="29">
        <v>111.0</v>
      </c>
      <c r="F1580" s="39" t="s">
        <v>628</v>
      </c>
      <c r="G1580" s="29" t="s">
        <v>629</v>
      </c>
      <c r="H1580" s="31">
        <v>3.79</v>
      </c>
      <c r="I1580" s="29" t="s">
        <v>597</v>
      </c>
      <c r="J1580" s="32" t="s">
        <v>598</v>
      </c>
      <c r="K1580" s="29" t="s">
        <v>599</v>
      </c>
      <c r="L1580" s="29" t="s">
        <v>1312</v>
      </c>
      <c r="M1580" s="35">
        <v>-64.746</v>
      </c>
      <c r="N1580" s="35">
        <v>5.427</v>
      </c>
      <c r="O1580" s="34" t="s">
        <v>601</v>
      </c>
      <c r="P1580" s="48" t="s">
        <v>602</v>
      </c>
      <c r="Q1580" s="29">
        <v>53.0</v>
      </c>
      <c r="R1580" s="29">
        <v>58.0</v>
      </c>
      <c r="S1580" s="36">
        <v>0.0</v>
      </c>
      <c r="T1580" s="36">
        <v>0.47</v>
      </c>
      <c r="U1580" s="36" t="str">
        <f t="shared" ref="U1580:V1580" si="372">#REF!*SQRT(Q1580)</f>
        <v>#REF!</v>
      </c>
      <c r="V1580" s="36" t="str">
        <f t="shared" si="372"/>
        <v>#REF!</v>
      </c>
      <c r="W1580" s="37" t="s">
        <v>1313</v>
      </c>
      <c r="X1580" s="31">
        <v>10.8</v>
      </c>
      <c r="Y1580" s="36">
        <v>-8.262558973010657</v>
      </c>
      <c r="Z1580" s="36" t="e">
        <v>#REF!</v>
      </c>
      <c r="AA1580" s="35" t="s">
        <v>820</v>
      </c>
      <c r="AB1580" s="35">
        <v>0.256407</v>
      </c>
      <c r="AC1580" s="35">
        <v>3906.0</v>
      </c>
    </row>
    <row r="1581" ht="14.25" customHeight="1">
      <c r="A1581" s="29" t="s">
        <v>417</v>
      </c>
      <c r="B1581" s="29">
        <v>164.0</v>
      </c>
      <c r="C1581" s="29" t="s">
        <v>608</v>
      </c>
      <c r="D1581" s="29" t="s">
        <v>683</v>
      </c>
      <c r="E1581" s="29">
        <v>122.0</v>
      </c>
      <c r="F1581" s="30" t="s">
        <v>684</v>
      </c>
      <c r="G1581" s="29" t="s">
        <v>629</v>
      </c>
      <c r="H1581" s="31">
        <v>100.0</v>
      </c>
      <c r="I1581" s="29" t="s">
        <v>657</v>
      </c>
      <c r="J1581" s="32" t="s">
        <v>598</v>
      </c>
      <c r="K1581" s="29" t="s">
        <v>599</v>
      </c>
      <c r="L1581" s="29" t="s">
        <v>1312</v>
      </c>
      <c r="M1581" s="35">
        <v>-64.812</v>
      </c>
      <c r="N1581" s="35">
        <v>5.03</v>
      </c>
      <c r="O1581" s="34" t="s">
        <v>601</v>
      </c>
      <c r="P1581" s="48" t="s">
        <v>602</v>
      </c>
      <c r="Q1581" s="29">
        <v>52.0</v>
      </c>
      <c r="R1581" s="29">
        <v>58.0</v>
      </c>
      <c r="S1581" s="36">
        <v>4.77</v>
      </c>
      <c r="T1581" s="36">
        <v>6.99</v>
      </c>
      <c r="U1581" s="36" t="str">
        <f t="shared" ref="U1581:V1581" si="373">#REF!*SQRT(Q1581)</f>
        <v>#REF!</v>
      </c>
      <c r="V1581" s="36" t="str">
        <f t="shared" si="373"/>
        <v>#REF!</v>
      </c>
      <c r="W1581" s="37" t="s">
        <v>1313</v>
      </c>
      <c r="X1581" s="31">
        <v>8.906</v>
      </c>
      <c r="Y1581" s="36">
        <v>-0.3817562503497296</v>
      </c>
      <c r="Z1581" s="36" t="e">
        <v>#REF!</v>
      </c>
      <c r="AA1581" s="35" t="s">
        <v>820</v>
      </c>
      <c r="AB1581" s="35">
        <v>0.256407</v>
      </c>
      <c r="AC1581" s="35">
        <v>5272.0</v>
      </c>
    </row>
    <row r="1582" ht="14.25" customHeight="1">
      <c r="A1582" s="29" t="s">
        <v>417</v>
      </c>
      <c r="B1582" s="29">
        <v>164.0</v>
      </c>
      <c r="C1582" s="29" t="s">
        <v>608</v>
      </c>
      <c r="D1582" s="29" t="s">
        <v>683</v>
      </c>
      <c r="E1582" s="29">
        <v>122.0</v>
      </c>
      <c r="F1582" s="30" t="s">
        <v>684</v>
      </c>
      <c r="G1582" s="29" t="s">
        <v>629</v>
      </c>
      <c r="H1582" s="31">
        <v>100.0</v>
      </c>
      <c r="I1582" s="29" t="s">
        <v>657</v>
      </c>
      <c r="J1582" s="32" t="s">
        <v>598</v>
      </c>
      <c r="K1582" s="29" t="s">
        <v>599</v>
      </c>
      <c r="L1582" s="29" t="s">
        <v>1312</v>
      </c>
      <c r="M1582" s="35">
        <v>-64.746</v>
      </c>
      <c r="N1582" s="35">
        <v>5.427</v>
      </c>
      <c r="O1582" s="34" t="s">
        <v>601</v>
      </c>
      <c r="P1582" s="48" t="s">
        <v>602</v>
      </c>
      <c r="Q1582" s="29">
        <v>53.0</v>
      </c>
      <c r="R1582" s="29">
        <v>58.0</v>
      </c>
      <c r="S1582" s="36">
        <v>2.46</v>
      </c>
      <c r="T1582" s="36">
        <v>6.99</v>
      </c>
      <c r="U1582" s="36" t="str">
        <f t="shared" ref="U1582:V1582" si="374">#REF!*SQRT(Q1582)</f>
        <v>#REF!</v>
      </c>
      <c r="V1582" s="36" t="str">
        <f t="shared" si="374"/>
        <v>#REF!</v>
      </c>
      <c r="W1582" s="37" t="s">
        <v>1313</v>
      </c>
      <c r="X1582" s="31">
        <v>10.8</v>
      </c>
      <c r="Y1582" s="36">
        <v>-1.0435863831856682</v>
      </c>
      <c r="Z1582" s="36" t="e">
        <v>#REF!</v>
      </c>
      <c r="AA1582" s="35" t="s">
        <v>820</v>
      </c>
      <c r="AB1582" s="35">
        <v>0.256407</v>
      </c>
      <c r="AC1582" s="35">
        <v>3906.0</v>
      </c>
    </row>
    <row r="1583" ht="14.25" customHeight="1">
      <c r="A1583" s="29" t="s">
        <v>417</v>
      </c>
      <c r="B1583" s="29">
        <v>164.0</v>
      </c>
      <c r="C1583" s="29" t="s">
        <v>608</v>
      </c>
      <c r="D1583" s="29" t="s">
        <v>630</v>
      </c>
      <c r="E1583" s="29">
        <v>129.0</v>
      </c>
      <c r="F1583" s="30" t="s">
        <v>631</v>
      </c>
      <c r="G1583" s="29" t="s">
        <v>626</v>
      </c>
      <c r="H1583" s="31">
        <v>21.27</v>
      </c>
      <c r="I1583" s="29" t="s">
        <v>612</v>
      </c>
      <c r="J1583" s="32" t="s">
        <v>598</v>
      </c>
      <c r="K1583" s="29" t="s">
        <v>599</v>
      </c>
      <c r="L1583" s="29" t="s">
        <v>1312</v>
      </c>
      <c r="M1583" s="35">
        <v>-64.812</v>
      </c>
      <c r="N1583" s="35">
        <v>5.03</v>
      </c>
      <c r="O1583" s="34" t="s">
        <v>601</v>
      </c>
      <c r="P1583" s="48" t="s">
        <v>602</v>
      </c>
      <c r="Q1583" s="29">
        <v>52.0</v>
      </c>
      <c r="R1583" s="29">
        <v>58.0</v>
      </c>
      <c r="S1583" s="36">
        <v>8.56</v>
      </c>
      <c r="T1583" s="36">
        <v>16.09</v>
      </c>
      <c r="U1583" s="36" t="str">
        <f t="shared" ref="U1583:V1583" si="375">#REF!*SQRT(Q1583)</f>
        <v>#REF!</v>
      </c>
      <c r="V1583" s="36" t="str">
        <f t="shared" si="375"/>
        <v>#REF!</v>
      </c>
      <c r="W1583" s="37" t="s">
        <v>1313</v>
      </c>
      <c r="X1583" s="31">
        <v>8.906</v>
      </c>
      <c r="Y1583" s="36">
        <v>-0.6306129366738644</v>
      </c>
      <c r="Z1583" s="36" t="e">
        <v>#REF!</v>
      </c>
      <c r="AA1583" s="35" t="s">
        <v>820</v>
      </c>
      <c r="AB1583" s="35">
        <v>0.256407</v>
      </c>
      <c r="AC1583" s="35">
        <v>5272.0</v>
      </c>
    </row>
    <row r="1584" ht="14.25" customHeight="1">
      <c r="A1584" s="29" t="s">
        <v>417</v>
      </c>
      <c r="B1584" s="29">
        <v>164.0</v>
      </c>
      <c r="C1584" s="29" t="s">
        <v>608</v>
      </c>
      <c r="D1584" s="29" t="s">
        <v>630</v>
      </c>
      <c r="E1584" s="29">
        <v>129.0</v>
      </c>
      <c r="F1584" s="30" t="s">
        <v>631</v>
      </c>
      <c r="G1584" s="29" t="s">
        <v>626</v>
      </c>
      <c r="H1584" s="31">
        <v>21.27</v>
      </c>
      <c r="I1584" s="29" t="s">
        <v>612</v>
      </c>
      <c r="J1584" s="32" t="s">
        <v>598</v>
      </c>
      <c r="K1584" s="29" t="s">
        <v>599</v>
      </c>
      <c r="L1584" s="29" t="s">
        <v>1312</v>
      </c>
      <c r="M1584" s="35">
        <v>-64.746</v>
      </c>
      <c r="N1584" s="35">
        <v>5.427</v>
      </c>
      <c r="O1584" s="34" t="s">
        <v>601</v>
      </c>
      <c r="P1584" s="48" t="s">
        <v>602</v>
      </c>
      <c r="Q1584" s="29">
        <v>53.0</v>
      </c>
      <c r="R1584" s="29">
        <v>58.0</v>
      </c>
      <c r="S1584" s="36">
        <v>11.46</v>
      </c>
      <c r="T1584" s="36">
        <v>16.09</v>
      </c>
      <c r="U1584" s="36" t="str">
        <f t="shared" ref="U1584:V1584" si="376">#REF!*SQRT(Q1584)</f>
        <v>#REF!</v>
      </c>
      <c r="V1584" s="36" t="str">
        <f t="shared" si="376"/>
        <v>#REF!</v>
      </c>
      <c r="W1584" s="37" t="s">
        <v>1313</v>
      </c>
      <c r="X1584" s="31">
        <v>10.8</v>
      </c>
      <c r="Y1584" s="36">
        <v>-0.33897308260389275</v>
      </c>
      <c r="Z1584" s="36" t="e">
        <v>#REF!</v>
      </c>
      <c r="AA1584" s="35" t="s">
        <v>820</v>
      </c>
      <c r="AB1584" s="35">
        <v>0.256407</v>
      </c>
      <c r="AC1584" s="35">
        <v>3906.0</v>
      </c>
    </row>
    <row r="1585" ht="14.25" customHeight="1">
      <c r="A1585" s="29" t="s">
        <v>417</v>
      </c>
      <c r="B1585" s="29">
        <v>164.0</v>
      </c>
      <c r="C1585" s="29" t="s">
        <v>608</v>
      </c>
      <c r="D1585" s="42" t="s">
        <v>1141</v>
      </c>
      <c r="E1585" s="29">
        <v>150.0</v>
      </c>
      <c r="F1585" s="30" t="s">
        <v>1142</v>
      </c>
      <c r="G1585" s="29" t="s">
        <v>619</v>
      </c>
      <c r="H1585" s="31">
        <v>45.36</v>
      </c>
      <c r="I1585" s="29" t="s">
        <v>620</v>
      </c>
      <c r="J1585" s="32" t="s">
        <v>598</v>
      </c>
      <c r="K1585" s="29" t="s">
        <v>599</v>
      </c>
      <c r="L1585" s="29" t="s">
        <v>1312</v>
      </c>
      <c r="M1585" s="35">
        <v>-64.812</v>
      </c>
      <c r="N1585" s="35">
        <v>5.03</v>
      </c>
      <c r="O1585" s="34" t="s">
        <v>601</v>
      </c>
      <c r="P1585" s="48" t="s">
        <v>602</v>
      </c>
      <c r="Q1585" s="29">
        <v>52.0</v>
      </c>
      <c r="R1585" s="29">
        <v>58.0</v>
      </c>
      <c r="S1585" s="36">
        <v>1.96</v>
      </c>
      <c r="T1585" s="36">
        <v>2.76</v>
      </c>
      <c r="U1585" s="36" t="str">
        <f t="shared" ref="U1585:V1585" si="377">#REF!*SQRT(Q1585)</f>
        <v>#REF!</v>
      </c>
      <c r="V1585" s="36" t="str">
        <f t="shared" si="377"/>
        <v>#REF!</v>
      </c>
      <c r="W1585" s="37" t="s">
        <v>1313</v>
      </c>
      <c r="X1585" s="31">
        <v>8.906</v>
      </c>
      <c r="Y1585" s="36">
        <v>-0.3419229692492431</v>
      </c>
      <c r="Z1585" s="36" t="e">
        <v>#REF!</v>
      </c>
      <c r="AA1585" s="35" t="s">
        <v>820</v>
      </c>
      <c r="AB1585" s="35">
        <v>0.256407</v>
      </c>
      <c r="AC1585" s="35">
        <v>5272.0</v>
      </c>
    </row>
    <row r="1586" ht="14.25" customHeight="1">
      <c r="A1586" s="29" t="s">
        <v>417</v>
      </c>
      <c r="B1586" s="29">
        <v>164.0</v>
      </c>
      <c r="C1586" s="29" t="s">
        <v>608</v>
      </c>
      <c r="D1586" s="42" t="s">
        <v>1141</v>
      </c>
      <c r="E1586" s="29">
        <v>150.0</v>
      </c>
      <c r="F1586" s="30" t="s">
        <v>1142</v>
      </c>
      <c r="G1586" s="29" t="s">
        <v>619</v>
      </c>
      <c r="H1586" s="31">
        <v>45.36</v>
      </c>
      <c r="I1586" s="29" t="s">
        <v>620</v>
      </c>
      <c r="J1586" s="32" t="s">
        <v>598</v>
      </c>
      <c r="K1586" s="29" t="s">
        <v>599</v>
      </c>
      <c r="L1586" s="29" t="s">
        <v>1312</v>
      </c>
      <c r="M1586" s="35">
        <v>-64.746</v>
      </c>
      <c r="N1586" s="35">
        <v>5.427</v>
      </c>
      <c r="O1586" s="34" t="s">
        <v>601</v>
      </c>
      <c r="P1586" s="48" t="s">
        <v>602</v>
      </c>
      <c r="Q1586" s="29">
        <v>53.0</v>
      </c>
      <c r="R1586" s="29">
        <v>58.0</v>
      </c>
      <c r="S1586" s="36">
        <v>6.04</v>
      </c>
      <c r="T1586" s="36">
        <v>2.76</v>
      </c>
      <c r="U1586" s="36" t="str">
        <f t="shared" ref="U1586:V1586" si="378">#REF!*SQRT(Q1586)</f>
        <v>#REF!</v>
      </c>
      <c r="V1586" s="36" t="str">
        <f t="shared" si="378"/>
        <v>#REF!</v>
      </c>
      <c r="W1586" s="37" t="s">
        <v>1313</v>
      </c>
      <c r="X1586" s="31">
        <v>10.8</v>
      </c>
      <c r="Y1586" s="36">
        <v>0.7832912183654106</v>
      </c>
      <c r="Z1586" s="36" t="e">
        <v>#REF!</v>
      </c>
      <c r="AA1586" s="35" t="s">
        <v>820</v>
      </c>
      <c r="AB1586" s="35">
        <v>0.256407</v>
      </c>
      <c r="AC1586" s="35">
        <v>3906.0</v>
      </c>
    </row>
    <row r="1587" ht="14.25" customHeight="1">
      <c r="A1587" s="29" t="s">
        <v>417</v>
      </c>
      <c r="B1587" s="29">
        <v>164.0</v>
      </c>
      <c r="C1587" s="29" t="s">
        <v>608</v>
      </c>
      <c r="D1587" s="35" t="s">
        <v>723</v>
      </c>
      <c r="E1587" s="35">
        <v>158.0</v>
      </c>
      <c r="F1587" s="39" t="s">
        <v>724</v>
      </c>
      <c r="G1587" s="29" t="s">
        <v>629</v>
      </c>
      <c r="H1587" s="31">
        <v>51.6</v>
      </c>
      <c r="I1587" s="29" t="s">
        <v>657</v>
      </c>
      <c r="J1587" s="32" t="s">
        <v>598</v>
      </c>
      <c r="K1587" s="29" t="s">
        <v>599</v>
      </c>
      <c r="L1587" s="29" t="s">
        <v>1312</v>
      </c>
      <c r="M1587" s="35">
        <v>-64.812</v>
      </c>
      <c r="N1587" s="35">
        <v>5.03</v>
      </c>
      <c r="O1587" s="34" t="s">
        <v>601</v>
      </c>
      <c r="P1587" s="48" t="s">
        <v>602</v>
      </c>
      <c r="Q1587" s="29">
        <v>52.0</v>
      </c>
      <c r="R1587" s="29">
        <v>58.0</v>
      </c>
      <c r="S1587" s="36">
        <v>2.16</v>
      </c>
      <c r="T1587" s="36">
        <v>6.96</v>
      </c>
      <c r="U1587" s="36" t="str">
        <f t="shared" ref="U1587:V1587" si="379">#REF!*SQRT(Q1587)</f>
        <v>#REF!</v>
      </c>
      <c r="V1587" s="36" t="str">
        <f t="shared" si="379"/>
        <v>#REF!</v>
      </c>
      <c r="W1587" s="37" t="s">
        <v>1313</v>
      </c>
      <c r="X1587" s="31">
        <v>8.906</v>
      </c>
      <c r="Y1587" s="36">
        <v>-1.1692402713281698</v>
      </c>
      <c r="Z1587" s="36" t="e">
        <v>#REF!</v>
      </c>
      <c r="AA1587" s="35" t="s">
        <v>820</v>
      </c>
      <c r="AB1587" s="35">
        <v>0.256407</v>
      </c>
      <c r="AC1587" s="35">
        <v>5272.0</v>
      </c>
    </row>
    <row r="1588" ht="14.25" customHeight="1">
      <c r="A1588" s="29" t="s">
        <v>417</v>
      </c>
      <c r="B1588" s="29">
        <v>164.0</v>
      </c>
      <c r="C1588" s="29" t="s">
        <v>608</v>
      </c>
      <c r="D1588" s="35" t="s">
        <v>723</v>
      </c>
      <c r="E1588" s="35">
        <v>158.0</v>
      </c>
      <c r="F1588" s="39" t="s">
        <v>724</v>
      </c>
      <c r="G1588" s="29" t="s">
        <v>629</v>
      </c>
      <c r="H1588" s="31">
        <v>51.6</v>
      </c>
      <c r="I1588" s="29" t="s">
        <v>657</v>
      </c>
      <c r="J1588" s="32" t="s">
        <v>598</v>
      </c>
      <c r="K1588" s="29" t="s">
        <v>599</v>
      </c>
      <c r="L1588" s="29" t="s">
        <v>1312</v>
      </c>
      <c r="M1588" s="35">
        <v>-64.746</v>
      </c>
      <c r="N1588" s="35">
        <v>5.427</v>
      </c>
      <c r="O1588" s="34" t="s">
        <v>601</v>
      </c>
      <c r="P1588" s="48" t="s">
        <v>602</v>
      </c>
      <c r="Q1588" s="29">
        <v>53.0</v>
      </c>
      <c r="R1588" s="29">
        <v>58.0</v>
      </c>
      <c r="S1588" s="36">
        <v>4.06</v>
      </c>
      <c r="T1588" s="36">
        <v>6.96</v>
      </c>
      <c r="U1588" s="36" t="str">
        <f t="shared" ref="U1588:V1588" si="380">#REF!*SQRT(Q1588)</f>
        <v>#REF!</v>
      </c>
      <c r="V1588" s="36" t="str">
        <f t="shared" si="380"/>
        <v>#REF!</v>
      </c>
      <c r="W1588" s="37" t="s">
        <v>1313</v>
      </c>
      <c r="X1588" s="31">
        <v>10.8</v>
      </c>
      <c r="Y1588" s="36">
        <v>-0.5385543163345914</v>
      </c>
      <c r="Z1588" s="36" t="e">
        <v>#REF!</v>
      </c>
      <c r="AA1588" s="35" t="s">
        <v>820</v>
      </c>
      <c r="AB1588" s="35">
        <v>0.256407</v>
      </c>
      <c r="AC1588" s="35">
        <v>3906.0</v>
      </c>
    </row>
    <row r="1589" ht="14.25" customHeight="1">
      <c r="A1589" s="29" t="s">
        <v>417</v>
      </c>
      <c r="B1589" s="29">
        <v>164.0</v>
      </c>
      <c r="C1589" s="29" t="s">
        <v>608</v>
      </c>
      <c r="D1589" s="29" t="s">
        <v>663</v>
      </c>
      <c r="E1589" s="29">
        <v>189.0</v>
      </c>
      <c r="F1589" s="30" t="s">
        <v>637</v>
      </c>
      <c r="G1589" s="29" t="s">
        <v>638</v>
      </c>
      <c r="H1589" s="31">
        <v>207.5</v>
      </c>
      <c r="I1589" s="29" t="s">
        <v>612</v>
      </c>
      <c r="J1589" s="32" t="s">
        <v>598</v>
      </c>
      <c r="K1589" s="29" t="s">
        <v>599</v>
      </c>
      <c r="L1589" s="29" t="s">
        <v>1312</v>
      </c>
      <c r="M1589" s="35">
        <v>-64.812</v>
      </c>
      <c r="N1589" s="35">
        <v>5.03</v>
      </c>
      <c r="O1589" s="34" t="s">
        <v>601</v>
      </c>
      <c r="P1589" s="48" t="s">
        <v>602</v>
      </c>
      <c r="Q1589" s="29">
        <v>52.0</v>
      </c>
      <c r="R1589" s="29">
        <v>58.0</v>
      </c>
      <c r="S1589" s="36">
        <v>1.44</v>
      </c>
      <c r="T1589" s="36">
        <v>20.89</v>
      </c>
      <c r="U1589" s="36" t="str">
        <f t="shared" ref="U1589:V1589" si="381">#REF!*SQRT(Q1589)</f>
        <v>#REF!</v>
      </c>
      <c r="V1589" s="36" t="str">
        <f t="shared" si="381"/>
        <v>#REF!</v>
      </c>
      <c r="W1589" s="37" t="s">
        <v>1313</v>
      </c>
      <c r="X1589" s="31">
        <v>8.906</v>
      </c>
      <c r="Y1589" s="36">
        <v>-2.670891686961034</v>
      </c>
      <c r="Z1589" s="36" t="e">
        <v>#REF!</v>
      </c>
      <c r="AA1589" s="35" t="s">
        <v>820</v>
      </c>
      <c r="AB1589" s="35">
        <v>0.256407</v>
      </c>
      <c r="AC1589" s="35">
        <v>5272.0</v>
      </c>
    </row>
    <row r="1590" ht="14.25" customHeight="1">
      <c r="A1590" s="29" t="s">
        <v>417</v>
      </c>
      <c r="B1590" s="29">
        <v>164.0</v>
      </c>
      <c r="C1590" s="29" t="s">
        <v>608</v>
      </c>
      <c r="D1590" s="29" t="s">
        <v>663</v>
      </c>
      <c r="E1590" s="29">
        <v>189.0</v>
      </c>
      <c r="F1590" s="30" t="s">
        <v>637</v>
      </c>
      <c r="G1590" s="29" t="s">
        <v>638</v>
      </c>
      <c r="H1590" s="31">
        <v>207.5</v>
      </c>
      <c r="I1590" s="29" t="s">
        <v>612</v>
      </c>
      <c r="J1590" s="32" t="s">
        <v>598</v>
      </c>
      <c r="K1590" s="29" t="s">
        <v>599</v>
      </c>
      <c r="L1590" s="29" t="s">
        <v>1312</v>
      </c>
      <c r="M1590" s="35">
        <v>-64.746</v>
      </c>
      <c r="N1590" s="35">
        <v>5.427</v>
      </c>
      <c r="O1590" s="34" t="s">
        <v>601</v>
      </c>
      <c r="P1590" s="48" t="s">
        <v>602</v>
      </c>
      <c r="Q1590" s="29">
        <v>53.0</v>
      </c>
      <c r="R1590" s="29">
        <v>58.0</v>
      </c>
      <c r="S1590" s="36">
        <v>7.04</v>
      </c>
      <c r="T1590" s="36">
        <v>20.89</v>
      </c>
      <c r="U1590" s="36" t="str">
        <f t="shared" ref="U1590:V1590" si="382">#REF!*SQRT(Q1590)</f>
        <v>#REF!</v>
      </c>
      <c r="V1590" s="36" t="str">
        <f t="shared" si="382"/>
        <v>#REF!</v>
      </c>
      <c r="W1590" s="37" t="s">
        <v>1313</v>
      </c>
      <c r="X1590" s="31">
        <v>10.8</v>
      </c>
      <c r="Y1590" s="36">
        <v>-1.0868971333956445</v>
      </c>
      <c r="Z1590" s="36" t="e">
        <v>#REF!</v>
      </c>
      <c r="AA1590" s="35" t="s">
        <v>820</v>
      </c>
      <c r="AB1590" s="35">
        <v>0.256407</v>
      </c>
      <c r="AC1590" s="35">
        <v>3906.0</v>
      </c>
    </row>
    <row r="1591" ht="14.25" customHeight="1">
      <c r="A1591" s="29" t="s">
        <v>417</v>
      </c>
      <c r="B1591" s="29">
        <v>164.0</v>
      </c>
      <c r="C1591" s="29" t="s">
        <v>608</v>
      </c>
      <c r="D1591" s="29" t="s">
        <v>639</v>
      </c>
      <c r="E1591" s="29">
        <v>190.0</v>
      </c>
      <c r="F1591" s="30" t="s">
        <v>640</v>
      </c>
      <c r="G1591" s="29" t="s">
        <v>626</v>
      </c>
      <c r="H1591" s="31">
        <v>32.23</v>
      </c>
      <c r="I1591" s="29" t="s">
        <v>597</v>
      </c>
      <c r="J1591" s="32" t="s">
        <v>598</v>
      </c>
      <c r="K1591" s="29" t="s">
        <v>599</v>
      </c>
      <c r="L1591" s="29" t="s">
        <v>1312</v>
      </c>
      <c r="M1591" s="35">
        <v>-64.812</v>
      </c>
      <c r="N1591" s="35">
        <v>5.03</v>
      </c>
      <c r="O1591" s="34" t="s">
        <v>601</v>
      </c>
      <c r="P1591" s="48" t="s">
        <v>602</v>
      </c>
      <c r="Q1591" s="29">
        <v>52.0</v>
      </c>
      <c r="R1591" s="29">
        <v>58.0</v>
      </c>
      <c r="S1591" s="36">
        <v>0.0</v>
      </c>
      <c r="T1591" s="36">
        <v>58.06</v>
      </c>
      <c r="U1591" s="36" t="str">
        <f t="shared" ref="U1591:V1591" si="383">#REF!*SQRT(Q1591)</f>
        <v>#REF!</v>
      </c>
      <c r="V1591" s="36" t="str">
        <f t="shared" si="383"/>
        <v>#REF!</v>
      </c>
      <c r="W1591" s="37" t="s">
        <v>1313</v>
      </c>
      <c r="X1591" s="31">
        <v>8.906</v>
      </c>
      <c r="Y1591" s="36">
        <v>-8.262558973010657</v>
      </c>
      <c r="Z1591" s="36" t="e">
        <v>#REF!</v>
      </c>
      <c r="AA1591" s="35" t="s">
        <v>820</v>
      </c>
      <c r="AB1591" s="35">
        <v>0.256407</v>
      </c>
      <c r="AC1591" s="35">
        <v>5272.0</v>
      </c>
    </row>
    <row r="1592" ht="14.25" customHeight="1">
      <c r="A1592" s="29" t="s">
        <v>417</v>
      </c>
      <c r="B1592" s="29">
        <v>164.0</v>
      </c>
      <c r="C1592" s="29" t="s">
        <v>608</v>
      </c>
      <c r="D1592" s="29" t="s">
        <v>639</v>
      </c>
      <c r="E1592" s="29">
        <v>190.0</v>
      </c>
      <c r="F1592" s="30" t="s">
        <v>640</v>
      </c>
      <c r="G1592" s="29" t="s">
        <v>626</v>
      </c>
      <c r="H1592" s="31">
        <v>32.23</v>
      </c>
      <c r="I1592" s="29" t="s">
        <v>597</v>
      </c>
      <c r="J1592" s="32" t="s">
        <v>598</v>
      </c>
      <c r="K1592" s="29" t="s">
        <v>599</v>
      </c>
      <c r="L1592" s="29" t="s">
        <v>1312</v>
      </c>
      <c r="M1592" s="35">
        <v>-64.746</v>
      </c>
      <c r="N1592" s="35">
        <v>5.427</v>
      </c>
      <c r="O1592" s="34" t="s">
        <v>601</v>
      </c>
      <c r="P1592" s="48" t="s">
        <v>602</v>
      </c>
      <c r="Q1592" s="29">
        <v>53.0</v>
      </c>
      <c r="R1592" s="29">
        <v>58.0</v>
      </c>
      <c r="S1592" s="36">
        <v>4.67</v>
      </c>
      <c r="T1592" s="36">
        <v>58.06</v>
      </c>
      <c r="U1592" s="36" t="str">
        <f t="shared" ref="U1592:V1592" si="384">#REF!*SQRT(Q1592)</f>
        <v>#REF!</v>
      </c>
      <c r="V1592" s="36" t="str">
        <f t="shared" si="384"/>
        <v>#REF!</v>
      </c>
      <c r="W1592" s="37" t="s">
        <v>1313</v>
      </c>
      <c r="X1592" s="31">
        <v>10.8</v>
      </c>
      <c r="Y1592" s="36">
        <v>-2.517115448430185</v>
      </c>
      <c r="Z1592" s="36" t="e">
        <v>#REF!</v>
      </c>
      <c r="AA1592" s="35" t="s">
        <v>820</v>
      </c>
      <c r="AB1592" s="35">
        <v>0.256407</v>
      </c>
      <c r="AC1592" s="35">
        <v>3906.0</v>
      </c>
    </row>
    <row r="1593" ht="14.25" customHeight="1">
      <c r="A1593" s="29" t="s">
        <v>36</v>
      </c>
      <c r="B1593" s="29">
        <v>9.0</v>
      </c>
      <c r="C1593" s="29" t="s">
        <v>593</v>
      </c>
      <c r="D1593" s="29" t="s">
        <v>1322</v>
      </c>
      <c r="E1593" s="29">
        <v>105.0</v>
      </c>
      <c r="F1593" s="30" t="s">
        <v>1323</v>
      </c>
      <c r="G1593" s="29" t="s">
        <v>607</v>
      </c>
      <c r="H1593" s="31">
        <v>3.0</v>
      </c>
      <c r="I1593" s="29" t="s">
        <v>597</v>
      </c>
      <c r="J1593" s="32" t="s">
        <v>598</v>
      </c>
      <c r="K1593" s="29" t="s">
        <v>599</v>
      </c>
      <c r="L1593" s="29" t="s">
        <v>600</v>
      </c>
      <c r="M1593" s="33">
        <v>-67.605</v>
      </c>
      <c r="N1593" s="33">
        <v>-6.05</v>
      </c>
      <c r="O1593" s="34" t="s">
        <v>601</v>
      </c>
      <c r="P1593" s="32" t="s">
        <v>1324</v>
      </c>
      <c r="Q1593" s="35">
        <v>45.0</v>
      </c>
      <c r="R1593" s="35">
        <v>45.0</v>
      </c>
      <c r="S1593" s="36">
        <v>0.2213</v>
      </c>
      <c r="T1593" s="36">
        <v>0.6393</v>
      </c>
      <c r="U1593" s="36">
        <v>0.4704</v>
      </c>
      <c r="V1593" s="36">
        <v>0.7996</v>
      </c>
      <c r="W1593" s="37" t="s">
        <v>1325</v>
      </c>
      <c r="X1593" s="31">
        <v>0.25</v>
      </c>
      <c r="Y1593" s="36">
        <v>-1.0571001288003576</v>
      </c>
      <c r="Z1593" s="36">
        <v>0.13516942410380134</v>
      </c>
      <c r="AA1593" s="29" t="s">
        <v>820</v>
      </c>
      <c r="AB1593" s="31">
        <v>0.237373918295</v>
      </c>
      <c r="AC1593" s="38">
        <v>2389.0</v>
      </c>
    </row>
    <row r="1594" ht="14.25" customHeight="1">
      <c r="A1594" s="29" t="s">
        <v>36</v>
      </c>
      <c r="B1594" s="29">
        <v>9.0</v>
      </c>
      <c r="C1594" s="29" t="s">
        <v>593</v>
      </c>
      <c r="D1594" s="29" t="s">
        <v>1322</v>
      </c>
      <c r="E1594" s="29">
        <v>105.0</v>
      </c>
      <c r="F1594" s="30" t="s">
        <v>1323</v>
      </c>
      <c r="G1594" s="29" t="s">
        <v>607</v>
      </c>
      <c r="H1594" s="31">
        <v>3.0</v>
      </c>
      <c r="I1594" s="29" t="s">
        <v>597</v>
      </c>
      <c r="J1594" s="32" t="s">
        <v>598</v>
      </c>
      <c r="K1594" s="29" t="s">
        <v>599</v>
      </c>
      <c r="L1594" s="29" t="s">
        <v>600</v>
      </c>
      <c r="M1594" s="33">
        <v>-67.605</v>
      </c>
      <c r="N1594" s="33">
        <v>-6.05</v>
      </c>
      <c r="O1594" s="34" t="s">
        <v>601</v>
      </c>
      <c r="P1594" s="32" t="s">
        <v>1324</v>
      </c>
      <c r="Q1594" s="35">
        <v>45.0</v>
      </c>
      <c r="R1594" s="35">
        <v>45.0</v>
      </c>
      <c r="S1594" s="36">
        <v>0.2787</v>
      </c>
      <c r="T1594" s="36">
        <v>0.6393</v>
      </c>
      <c r="U1594" s="36">
        <v>0.5279</v>
      </c>
      <c r="V1594" s="36">
        <v>0.7996</v>
      </c>
      <c r="W1594" s="37" t="s">
        <v>1325</v>
      </c>
      <c r="X1594" s="31">
        <v>0.75</v>
      </c>
      <c r="Y1594" s="36">
        <v>-0.8272555423521823</v>
      </c>
      <c r="Z1594" s="36">
        <v>0.11449261431287466</v>
      </c>
      <c r="AA1594" s="29" t="s">
        <v>820</v>
      </c>
      <c r="AB1594" s="31">
        <v>0.237373918295</v>
      </c>
      <c r="AC1594" s="38">
        <v>2389.0</v>
      </c>
    </row>
    <row r="1595" ht="14.25" customHeight="1">
      <c r="A1595" s="29" t="s">
        <v>36</v>
      </c>
      <c r="B1595" s="29">
        <v>9.0</v>
      </c>
      <c r="C1595" s="29" t="s">
        <v>593</v>
      </c>
      <c r="D1595" s="29" t="s">
        <v>1322</v>
      </c>
      <c r="E1595" s="29">
        <v>105.0</v>
      </c>
      <c r="F1595" s="30" t="s">
        <v>1323</v>
      </c>
      <c r="G1595" s="29" t="s">
        <v>607</v>
      </c>
      <c r="H1595" s="31">
        <v>3.0</v>
      </c>
      <c r="I1595" s="29" t="s">
        <v>597</v>
      </c>
      <c r="J1595" s="32" t="s">
        <v>598</v>
      </c>
      <c r="K1595" s="29" t="s">
        <v>599</v>
      </c>
      <c r="L1595" s="29" t="s">
        <v>600</v>
      </c>
      <c r="M1595" s="33">
        <v>-67.605</v>
      </c>
      <c r="N1595" s="33">
        <v>-6.05</v>
      </c>
      <c r="O1595" s="34" t="s">
        <v>601</v>
      </c>
      <c r="P1595" s="32" t="s">
        <v>1324</v>
      </c>
      <c r="Q1595" s="35">
        <v>45.0</v>
      </c>
      <c r="R1595" s="35">
        <v>45.0</v>
      </c>
      <c r="S1595" s="36">
        <v>0.3934</v>
      </c>
      <c r="T1595" s="36">
        <v>0.6393</v>
      </c>
      <c r="U1595" s="36">
        <v>0.6273</v>
      </c>
      <c r="V1595" s="36">
        <v>0.7996</v>
      </c>
      <c r="W1595" s="37" t="s">
        <v>1325</v>
      </c>
      <c r="X1595" s="31">
        <v>1.25</v>
      </c>
      <c r="Y1595" s="36">
        <v>-0.4834331891632247</v>
      </c>
      <c r="Z1595" s="36">
        <v>0.09126623165044295</v>
      </c>
      <c r="AA1595" s="29" t="s">
        <v>820</v>
      </c>
      <c r="AB1595" s="31">
        <v>0.237373918295</v>
      </c>
      <c r="AC1595" s="38">
        <v>2389.0</v>
      </c>
    </row>
    <row r="1596" ht="14.25" customHeight="1">
      <c r="A1596" s="29" t="s">
        <v>36</v>
      </c>
      <c r="B1596" s="29">
        <v>9.0</v>
      </c>
      <c r="C1596" s="29" t="s">
        <v>593</v>
      </c>
      <c r="D1596" s="29" t="s">
        <v>1322</v>
      </c>
      <c r="E1596" s="29">
        <v>105.0</v>
      </c>
      <c r="F1596" s="30" t="s">
        <v>1323</v>
      </c>
      <c r="G1596" s="29" t="s">
        <v>607</v>
      </c>
      <c r="H1596" s="31">
        <v>3.0</v>
      </c>
      <c r="I1596" s="29" t="s">
        <v>597</v>
      </c>
      <c r="J1596" s="32" t="s">
        <v>598</v>
      </c>
      <c r="K1596" s="29" t="s">
        <v>599</v>
      </c>
      <c r="L1596" s="29" t="s">
        <v>600</v>
      </c>
      <c r="M1596" s="33">
        <v>-67.605</v>
      </c>
      <c r="N1596" s="33">
        <v>-6.05</v>
      </c>
      <c r="O1596" s="34" t="s">
        <v>601</v>
      </c>
      <c r="P1596" s="32" t="s">
        <v>1324</v>
      </c>
      <c r="Q1596" s="35">
        <v>45.0</v>
      </c>
      <c r="R1596" s="35">
        <v>45.0</v>
      </c>
      <c r="S1596" s="36">
        <v>0.395</v>
      </c>
      <c r="T1596" s="36">
        <v>0.6393</v>
      </c>
      <c r="U1596" s="36">
        <v>0.6285</v>
      </c>
      <c r="V1596" s="36">
        <v>0.7996</v>
      </c>
      <c r="W1596" s="37" t="s">
        <v>1325</v>
      </c>
      <c r="X1596" s="31">
        <v>1.75</v>
      </c>
      <c r="Y1596" s="36">
        <v>-0.47938288316622457</v>
      </c>
      <c r="Z1596" s="36">
        <v>0.0910240474470965</v>
      </c>
      <c r="AA1596" s="29" t="s">
        <v>820</v>
      </c>
      <c r="AB1596" s="31">
        <v>0.237373918295</v>
      </c>
      <c r="AC1596" s="38">
        <v>2389.0</v>
      </c>
    </row>
    <row r="1597" ht="14.25" customHeight="1">
      <c r="A1597" s="29" t="s">
        <v>36</v>
      </c>
      <c r="B1597" s="29">
        <v>9.0</v>
      </c>
      <c r="C1597" s="29" t="s">
        <v>593</v>
      </c>
      <c r="D1597" s="29" t="s">
        <v>1322</v>
      </c>
      <c r="E1597" s="29">
        <v>105.0</v>
      </c>
      <c r="F1597" s="30" t="s">
        <v>1323</v>
      </c>
      <c r="G1597" s="29" t="s">
        <v>607</v>
      </c>
      <c r="H1597" s="31">
        <v>3.0</v>
      </c>
      <c r="I1597" s="29" t="s">
        <v>597</v>
      </c>
      <c r="J1597" s="32" t="s">
        <v>598</v>
      </c>
      <c r="K1597" s="29" t="s">
        <v>599</v>
      </c>
      <c r="L1597" s="29" t="s">
        <v>600</v>
      </c>
      <c r="M1597" s="33">
        <v>-67.605</v>
      </c>
      <c r="N1597" s="33">
        <v>-6.05</v>
      </c>
      <c r="O1597" s="34" t="s">
        <v>601</v>
      </c>
      <c r="P1597" s="32" t="s">
        <v>1324</v>
      </c>
      <c r="Q1597" s="35">
        <v>45.0</v>
      </c>
      <c r="R1597" s="35">
        <v>45.0</v>
      </c>
      <c r="S1597" s="36">
        <v>0.396</v>
      </c>
      <c r="T1597" s="36">
        <v>0.6393</v>
      </c>
      <c r="U1597" s="36">
        <v>0.6293</v>
      </c>
      <c r="V1597" s="36">
        <v>0.7996</v>
      </c>
      <c r="W1597" s="37" t="s">
        <v>1325</v>
      </c>
      <c r="X1597" s="31">
        <v>2.25</v>
      </c>
      <c r="Y1597" s="36">
        <v>-0.47685974734557457</v>
      </c>
      <c r="Z1597" s="36">
        <v>0.09088285525732574</v>
      </c>
      <c r="AA1597" s="29" t="s">
        <v>820</v>
      </c>
      <c r="AB1597" s="31">
        <v>0.237373918295</v>
      </c>
      <c r="AC1597" s="38">
        <v>2389.0</v>
      </c>
    </row>
    <row r="1598" ht="14.25" customHeight="1">
      <c r="A1598" s="29" t="s">
        <v>36</v>
      </c>
      <c r="B1598" s="29">
        <v>9.0</v>
      </c>
      <c r="C1598" s="29" t="s">
        <v>593</v>
      </c>
      <c r="D1598" s="29" t="s">
        <v>1322</v>
      </c>
      <c r="E1598" s="29">
        <v>105.0</v>
      </c>
      <c r="F1598" s="30" t="s">
        <v>1323</v>
      </c>
      <c r="G1598" s="29" t="s">
        <v>607</v>
      </c>
      <c r="H1598" s="31">
        <v>3.0</v>
      </c>
      <c r="I1598" s="29" t="s">
        <v>597</v>
      </c>
      <c r="J1598" s="32" t="s">
        <v>598</v>
      </c>
      <c r="K1598" s="29" t="s">
        <v>599</v>
      </c>
      <c r="L1598" s="29" t="s">
        <v>600</v>
      </c>
      <c r="M1598" s="33">
        <v>-67.605</v>
      </c>
      <c r="N1598" s="33">
        <v>-6.05</v>
      </c>
      <c r="O1598" s="34" t="s">
        <v>601</v>
      </c>
      <c r="P1598" s="32" t="s">
        <v>1324</v>
      </c>
      <c r="Q1598" s="35">
        <v>45.0</v>
      </c>
      <c r="R1598" s="35">
        <v>45.0</v>
      </c>
      <c r="S1598" s="36">
        <v>0.295</v>
      </c>
      <c r="T1598" s="36">
        <v>0.6393</v>
      </c>
      <c r="U1598" s="36">
        <v>0.5431</v>
      </c>
      <c r="V1598" s="36">
        <v>0.7996</v>
      </c>
      <c r="W1598" s="37" t="s">
        <v>1325</v>
      </c>
      <c r="X1598" s="31">
        <v>2.75</v>
      </c>
      <c r="Y1598" s="36">
        <v>-0.7705806760818816</v>
      </c>
      <c r="Z1598" s="36">
        <v>0.11008225465571603</v>
      </c>
      <c r="AA1598" s="29" t="s">
        <v>820</v>
      </c>
      <c r="AB1598" s="31">
        <v>0.237373918295</v>
      </c>
      <c r="AC1598" s="38">
        <v>2389.0</v>
      </c>
    </row>
    <row r="1599" ht="14.25" customHeight="1">
      <c r="A1599" s="29" t="s">
        <v>36</v>
      </c>
      <c r="B1599" s="29">
        <v>9.0</v>
      </c>
      <c r="C1599" s="29" t="s">
        <v>593</v>
      </c>
      <c r="D1599" s="29" t="s">
        <v>1322</v>
      </c>
      <c r="E1599" s="29">
        <v>105.0</v>
      </c>
      <c r="F1599" s="30" t="s">
        <v>1323</v>
      </c>
      <c r="G1599" s="29" t="s">
        <v>607</v>
      </c>
      <c r="H1599" s="31">
        <v>3.0</v>
      </c>
      <c r="I1599" s="29" t="s">
        <v>597</v>
      </c>
      <c r="J1599" s="32" t="s">
        <v>598</v>
      </c>
      <c r="K1599" s="29" t="s">
        <v>599</v>
      </c>
      <c r="L1599" s="29" t="s">
        <v>600</v>
      </c>
      <c r="M1599" s="33">
        <v>-67.605</v>
      </c>
      <c r="N1599" s="33">
        <v>-6.05</v>
      </c>
      <c r="O1599" s="34" t="s">
        <v>601</v>
      </c>
      <c r="P1599" s="32" t="s">
        <v>1324</v>
      </c>
      <c r="Q1599" s="35">
        <v>45.0</v>
      </c>
      <c r="R1599" s="35">
        <v>45.0</v>
      </c>
      <c r="S1599" s="36">
        <v>0.36</v>
      </c>
      <c r="T1599" s="36">
        <v>0.6393</v>
      </c>
      <c r="U1599" s="36">
        <v>0.6</v>
      </c>
      <c r="V1599" s="36">
        <v>0.7996</v>
      </c>
      <c r="W1599" s="37" t="s">
        <v>1325</v>
      </c>
      <c r="X1599" s="31">
        <v>3.25</v>
      </c>
      <c r="Y1599" s="36">
        <v>-0.5719601825488604</v>
      </c>
      <c r="Z1599" s="36">
        <v>0.09649190733817917</v>
      </c>
      <c r="AA1599" s="29" t="s">
        <v>820</v>
      </c>
      <c r="AB1599" s="31">
        <v>0.237373918295</v>
      </c>
      <c r="AC1599" s="38">
        <v>2389.0</v>
      </c>
    </row>
    <row r="1600" ht="14.25" customHeight="1">
      <c r="A1600" s="29" t="s">
        <v>36</v>
      </c>
      <c r="B1600" s="29">
        <v>9.0</v>
      </c>
      <c r="C1600" s="29" t="s">
        <v>593</v>
      </c>
      <c r="D1600" s="29" t="s">
        <v>1322</v>
      </c>
      <c r="E1600" s="29">
        <v>105.0</v>
      </c>
      <c r="F1600" s="30" t="s">
        <v>1323</v>
      </c>
      <c r="G1600" s="29" t="s">
        <v>607</v>
      </c>
      <c r="H1600" s="31">
        <v>3.0</v>
      </c>
      <c r="I1600" s="29" t="s">
        <v>597</v>
      </c>
      <c r="J1600" s="32" t="s">
        <v>598</v>
      </c>
      <c r="K1600" s="29" t="s">
        <v>599</v>
      </c>
      <c r="L1600" s="29" t="s">
        <v>600</v>
      </c>
      <c r="M1600" s="33">
        <v>-67.605</v>
      </c>
      <c r="N1600" s="33">
        <v>-6.05</v>
      </c>
      <c r="O1600" s="34" t="s">
        <v>601</v>
      </c>
      <c r="P1600" s="32" t="s">
        <v>1324</v>
      </c>
      <c r="Q1600" s="35">
        <v>45.0</v>
      </c>
      <c r="R1600" s="35">
        <v>45.0</v>
      </c>
      <c r="S1600" s="36">
        <v>0.5049</v>
      </c>
      <c r="T1600" s="36">
        <v>0.6393</v>
      </c>
      <c r="U1600" s="36">
        <v>0.7106</v>
      </c>
      <c r="V1600" s="36">
        <v>0.7996</v>
      </c>
      <c r="W1600" s="37" t="s">
        <v>1325</v>
      </c>
      <c r="X1600" s="31">
        <v>3.75</v>
      </c>
      <c r="Y1600" s="36">
        <v>-0.23436610887852774</v>
      </c>
      <c r="Z1600" s="36">
        <v>0.07878119250812278</v>
      </c>
      <c r="AA1600" s="29" t="s">
        <v>820</v>
      </c>
      <c r="AB1600" s="31">
        <v>0.237373918295</v>
      </c>
      <c r="AC1600" s="38">
        <v>2389.0</v>
      </c>
    </row>
    <row r="1601" ht="14.25" customHeight="1">
      <c r="A1601" s="29" t="s">
        <v>36</v>
      </c>
      <c r="B1601" s="29">
        <v>9.0</v>
      </c>
      <c r="C1601" s="29" t="s">
        <v>593</v>
      </c>
      <c r="D1601" s="29" t="s">
        <v>1322</v>
      </c>
      <c r="E1601" s="29">
        <v>105.0</v>
      </c>
      <c r="F1601" s="30" t="s">
        <v>1323</v>
      </c>
      <c r="G1601" s="29" t="s">
        <v>607</v>
      </c>
      <c r="H1601" s="31">
        <v>3.0</v>
      </c>
      <c r="I1601" s="29" t="s">
        <v>597</v>
      </c>
      <c r="J1601" s="32" t="s">
        <v>598</v>
      </c>
      <c r="K1601" s="29" t="s">
        <v>599</v>
      </c>
      <c r="L1601" s="29" t="s">
        <v>600</v>
      </c>
      <c r="M1601" s="33">
        <v>-67.605</v>
      </c>
      <c r="N1601" s="33">
        <v>-6.05</v>
      </c>
      <c r="O1601" s="34" t="s">
        <v>601</v>
      </c>
      <c r="P1601" s="32" t="s">
        <v>1324</v>
      </c>
      <c r="Q1601" s="35">
        <v>45.0</v>
      </c>
      <c r="R1601" s="35">
        <v>45.0</v>
      </c>
      <c r="S1601" s="36">
        <v>0.3688</v>
      </c>
      <c r="T1601" s="36">
        <v>0.6393</v>
      </c>
      <c r="U1601" s="36">
        <v>0.6073</v>
      </c>
      <c r="V1601" s="36">
        <v>0.7996</v>
      </c>
      <c r="W1601" s="37" t="s">
        <v>1325</v>
      </c>
      <c r="X1601" s="31">
        <v>4.25</v>
      </c>
      <c r="Y1601" s="36">
        <v>-0.5478647703291915</v>
      </c>
      <c r="Z1601" s="36">
        <v>0.09502116687947301</v>
      </c>
      <c r="AA1601" s="29" t="s">
        <v>820</v>
      </c>
      <c r="AB1601" s="31">
        <v>0.237373918295</v>
      </c>
      <c r="AC1601" s="38">
        <v>2389.0</v>
      </c>
    </row>
    <row r="1602" ht="14.25" customHeight="1">
      <c r="A1602" s="29" t="s">
        <v>36</v>
      </c>
      <c r="B1602" s="29">
        <v>9.0</v>
      </c>
      <c r="C1602" s="29" t="s">
        <v>593</v>
      </c>
      <c r="D1602" s="29" t="s">
        <v>1326</v>
      </c>
      <c r="E1602" s="29">
        <v>155.0</v>
      </c>
      <c r="F1602" s="30" t="s">
        <v>1327</v>
      </c>
      <c r="G1602" s="29" t="s">
        <v>877</v>
      </c>
      <c r="H1602" s="31">
        <v>1.2</v>
      </c>
      <c r="I1602" s="29" t="s">
        <v>597</v>
      </c>
      <c r="J1602" s="32" t="s">
        <v>598</v>
      </c>
      <c r="K1602" s="29" t="s">
        <v>599</v>
      </c>
      <c r="L1602" s="29" t="s">
        <v>600</v>
      </c>
      <c r="M1602" s="33">
        <v>-67.605</v>
      </c>
      <c r="N1602" s="33">
        <v>-6.05</v>
      </c>
      <c r="O1602" s="34" t="s">
        <v>601</v>
      </c>
      <c r="P1602" s="32" t="s">
        <v>1324</v>
      </c>
      <c r="Q1602" s="35">
        <v>45.0</v>
      </c>
      <c r="R1602" s="35">
        <v>45.0</v>
      </c>
      <c r="S1602" s="36">
        <v>0.1176</v>
      </c>
      <c r="T1602" s="36">
        <v>0.6686</v>
      </c>
      <c r="U1602" s="36">
        <v>0.343</v>
      </c>
      <c r="V1602" s="36">
        <v>0.8177</v>
      </c>
      <c r="W1602" s="37" t="s">
        <v>1325</v>
      </c>
      <c r="X1602" s="31">
        <v>0.25</v>
      </c>
      <c r="Y1602" s="36">
        <v>-1.7305213740669259</v>
      </c>
      <c r="Z1602" s="36">
        <v>0.2222818109536609</v>
      </c>
      <c r="AA1602" s="29" t="s">
        <v>820</v>
      </c>
      <c r="AB1602" s="31">
        <v>0.237373918295</v>
      </c>
      <c r="AC1602" s="38">
        <v>2389.0</v>
      </c>
    </row>
    <row r="1603" ht="14.25" customHeight="1">
      <c r="A1603" s="29" t="s">
        <v>36</v>
      </c>
      <c r="B1603" s="29">
        <v>9.0</v>
      </c>
      <c r="C1603" s="29" t="s">
        <v>593</v>
      </c>
      <c r="D1603" s="29" t="s">
        <v>1326</v>
      </c>
      <c r="E1603" s="29">
        <v>155.0</v>
      </c>
      <c r="F1603" s="30" t="s">
        <v>1327</v>
      </c>
      <c r="G1603" s="29" t="s">
        <v>877</v>
      </c>
      <c r="H1603" s="31">
        <v>1.2</v>
      </c>
      <c r="I1603" s="29" t="s">
        <v>597</v>
      </c>
      <c r="J1603" s="32" t="s">
        <v>598</v>
      </c>
      <c r="K1603" s="29" t="s">
        <v>599</v>
      </c>
      <c r="L1603" s="29" t="s">
        <v>600</v>
      </c>
      <c r="M1603" s="33">
        <v>-67.605</v>
      </c>
      <c r="N1603" s="33">
        <v>-6.05</v>
      </c>
      <c r="O1603" s="34" t="s">
        <v>601</v>
      </c>
      <c r="P1603" s="32" t="s">
        <v>1324</v>
      </c>
      <c r="Q1603" s="35">
        <v>45.0</v>
      </c>
      <c r="R1603" s="35">
        <v>45.0</v>
      </c>
      <c r="S1603" s="36">
        <v>0.2882</v>
      </c>
      <c r="T1603" s="36">
        <v>0.6686</v>
      </c>
      <c r="U1603" s="36">
        <v>0.5369</v>
      </c>
      <c r="V1603" s="36">
        <v>0.8177</v>
      </c>
      <c r="W1603" s="37" t="s">
        <v>1325</v>
      </c>
      <c r="X1603" s="31">
        <v>0.75</v>
      </c>
      <c r="Y1603" s="36">
        <v>-0.8385151187413032</v>
      </c>
      <c r="Z1603" s="36">
        <v>0.110362031962779</v>
      </c>
      <c r="AA1603" s="29" t="s">
        <v>820</v>
      </c>
      <c r="AB1603" s="31">
        <v>0.237373918295</v>
      </c>
      <c r="AC1603" s="38">
        <v>2389.0</v>
      </c>
    </row>
    <row r="1604" ht="14.25" customHeight="1">
      <c r="A1604" s="29" t="s">
        <v>36</v>
      </c>
      <c r="B1604" s="29">
        <v>9.0</v>
      </c>
      <c r="C1604" s="29" t="s">
        <v>593</v>
      </c>
      <c r="D1604" s="29" t="s">
        <v>1326</v>
      </c>
      <c r="E1604" s="29">
        <v>155.0</v>
      </c>
      <c r="F1604" s="30" t="s">
        <v>1327</v>
      </c>
      <c r="G1604" s="29" t="s">
        <v>877</v>
      </c>
      <c r="H1604" s="31">
        <v>1.2</v>
      </c>
      <c r="I1604" s="29" t="s">
        <v>597</v>
      </c>
      <c r="J1604" s="32" t="s">
        <v>598</v>
      </c>
      <c r="K1604" s="29" t="s">
        <v>599</v>
      </c>
      <c r="L1604" s="29" t="s">
        <v>600</v>
      </c>
      <c r="M1604" s="33">
        <v>-67.605</v>
      </c>
      <c r="N1604" s="33">
        <v>-6.05</v>
      </c>
      <c r="O1604" s="34" t="s">
        <v>601</v>
      </c>
      <c r="P1604" s="32" t="s">
        <v>1324</v>
      </c>
      <c r="Q1604" s="35">
        <v>45.0</v>
      </c>
      <c r="R1604" s="35">
        <v>45.0</v>
      </c>
      <c r="S1604" s="36">
        <v>0.5882</v>
      </c>
      <c r="T1604" s="36">
        <v>0.6686</v>
      </c>
      <c r="U1604" s="36">
        <v>0.767</v>
      </c>
      <c r="V1604" s="36">
        <v>0.8177</v>
      </c>
      <c r="W1604" s="37" t="s">
        <v>1325</v>
      </c>
      <c r="X1604" s="31">
        <v>1.25</v>
      </c>
      <c r="Y1604" s="36">
        <v>-0.12663997931735785</v>
      </c>
      <c r="Z1604" s="36">
        <v>0.07102436212130313</v>
      </c>
      <c r="AA1604" s="29" t="s">
        <v>820</v>
      </c>
      <c r="AB1604" s="31">
        <v>0.237373918295</v>
      </c>
      <c r="AC1604" s="38">
        <v>2389.0</v>
      </c>
    </row>
    <row r="1605" ht="14.25" customHeight="1">
      <c r="A1605" s="29" t="s">
        <v>36</v>
      </c>
      <c r="B1605" s="29">
        <v>9.0</v>
      </c>
      <c r="C1605" s="29" t="s">
        <v>593</v>
      </c>
      <c r="D1605" s="29" t="s">
        <v>1326</v>
      </c>
      <c r="E1605" s="29">
        <v>155.0</v>
      </c>
      <c r="F1605" s="30" t="s">
        <v>1327</v>
      </c>
      <c r="G1605" s="29" t="s">
        <v>877</v>
      </c>
      <c r="H1605" s="31">
        <v>1.2</v>
      </c>
      <c r="I1605" s="29" t="s">
        <v>597</v>
      </c>
      <c r="J1605" s="32" t="s">
        <v>598</v>
      </c>
      <c r="K1605" s="29" t="s">
        <v>599</v>
      </c>
      <c r="L1605" s="29" t="s">
        <v>600</v>
      </c>
      <c r="M1605" s="33">
        <v>-67.605</v>
      </c>
      <c r="N1605" s="33">
        <v>-6.05</v>
      </c>
      <c r="O1605" s="34" t="s">
        <v>601</v>
      </c>
      <c r="P1605" s="32" t="s">
        <v>1324</v>
      </c>
      <c r="Q1605" s="35">
        <v>45.0</v>
      </c>
      <c r="R1605" s="35">
        <v>45.0</v>
      </c>
      <c r="S1605" s="36">
        <v>0.647</v>
      </c>
      <c r="T1605" s="36">
        <v>0.6686</v>
      </c>
      <c r="U1605" s="36">
        <v>0.8044</v>
      </c>
      <c r="V1605" s="36">
        <v>0.8177</v>
      </c>
      <c r="W1605" s="37" t="s">
        <v>1325</v>
      </c>
      <c r="X1605" s="31">
        <v>1.75</v>
      </c>
      <c r="Y1605" s="36">
        <v>-0.031495030736338324</v>
      </c>
      <c r="Z1605" s="36">
        <v>0.06758830901194202</v>
      </c>
      <c r="AA1605" s="29" t="s">
        <v>820</v>
      </c>
      <c r="AB1605" s="31">
        <v>0.237373918295</v>
      </c>
      <c r="AC1605" s="38">
        <v>2389.0</v>
      </c>
    </row>
    <row r="1606" ht="14.25" customHeight="1">
      <c r="A1606" s="29" t="s">
        <v>36</v>
      </c>
      <c r="B1606" s="29">
        <v>9.0</v>
      </c>
      <c r="C1606" s="29" t="s">
        <v>593</v>
      </c>
      <c r="D1606" s="29" t="s">
        <v>1326</v>
      </c>
      <c r="E1606" s="29">
        <v>155.0</v>
      </c>
      <c r="F1606" s="30" t="s">
        <v>1327</v>
      </c>
      <c r="G1606" s="29" t="s">
        <v>877</v>
      </c>
      <c r="H1606" s="31">
        <v>1.2</v>
      </c>
      <c r="I1606" s="29" t="s">
        <v>597</v>
      </c>
      <c r="J1606" s="32" t="s">
        <v>598</v>
      </c>
      <c r="K1606" s="29" t="s">
        <v>599</v>
      </c>
      <c r="L1606" s="29" t="s">
        <v>600</v>
      </c>
      <c r="M1606" s="33">
        <v>-67.605</v>
      </c>
      <c r="N1606" s="33">
        <v>-6.05</v>
      </c>
      <c r="O1606" s="34" t="s">
        <v>601</v>
      </c>
      <c r="P1606" s="32" t="s">
        <v>1324</v>
      </c>
      <c r="Q1606" s="35">
        <v>45.0</v>
      </c>
      <c r="R1606" s="35">
        <v>45.0</v>
      </c>
      <c r="S1606" s="36">
        <v>0.533</v>
      </c>
      <c r="T1606" s="36">
        <v>0.6686</v>
      </c>
      <c r="U1606" s="36">
        <v>0.7301</v>
      </c>
      <c r="V1606" s="36">
        <v>0.8177</v>
      </c>
      <c r="W1606" s="37" t="s">
        <v>1325</v>
      </c>
      <c r="X1606" s="31">
        <v>2.25</v>
      </c>
      <c r="Y1606" s="36">
        <v>-0.22503253721807184</v>
      </c>
      <c r="Z1606" s="36">
        <v>0.07493492472530144</v>
      </c>
      <c r="AA1606" s="29" t="s">
        <v>820</v>
      </c>
      <c r="AB1606" s="31">
        <v>0.237373918295</v>
      </c>
      <c r="AC1606" s="38">
        <v>2389.0</v>
      </c>
    </row>
    <row r="1607" ht="14.25" customHeight="1">
      <c r="A1607" s="29" t="s">
        <v>36</v>
      </c>
      <c r="B1607" s="29">
        <v>9.0</v>
      </c>
      <c r="C1607" s="29" t="s">
        <v>593</v>
      </c>
      <c r="D1607" s="29" t="s">
        <v>1326</v>
      </c>
      <c r="E1607" s="29">
        <v>155.0</v>
      </c>
      <c r="F1607" s="30" t="s">
        <v>1327</v>
      </c>
      <c r="G1607" s="29" t="s">
        <v>877</v>
      </c>
      <c r="H1607" s="31">
        <v>1.2</v>
      </c>
      <c r="I1607" s="29" t="s">
        <v>597</v>
      </c>
      <c r="J1607" s="32" t="s">
        <v>598</v>
      </c>
      <c r="K1607" s="29" t="s">
        <v>599</v>
      </c>
      <c r="L1607" s="29" t="s">
        <v>600</v>
      </c>
      <c r="M1607" s="33">
        <v>-67.605</v>
      </c>
      <c r="N1607" s="33">
        <v>-6.05</v>
      </c>
      <c r="O1607" s="34" t="s">
        <v>601</v>
      </c>
      <c r="P1607" s="32" t="s">
        <v>1324</v>
      </c>
      <c r="Q1607" s="35">
        <v>45.0</v>
      </c>
      <c r="R1607" s="35">
        <v>45.0</v>
      </c>
      <c r="S1607" s="36">
        <v>0.431</v>
      </c>
      <c r="T1607" s="36">
        <v>0.6686</v>
      </c>
      <c r="U1607" s="36">
        <v>0.6565</v>
      </c>
      <c r="V1607" s="36">
        <v>0.8177</v>
      </c>
      <c r="W1607" s="37" t="s">
        <v>1325</v>
      </c>
      <c r="X1607" s="31">
        <v>2.75</v>
      </c>
      <c r="Y1607" s="36">
        <v>-0.4370600303607915</v>
      </c>
      <c r="Z1607" s="36">
        <v>0.08479735428987789</v>
      </c>
      <c r="AA1607" s="29" t="s">
        <v>820</v>
      </c>
      <c r="AB1607" s="31">
        <v>0.237373918295</v>
      </c>
      <c r="AC1607" s="38">
        <v>2389.0</v>
      </c>
    </row>
    <row r="1608" ht="14.25" customHeight="1">
      <c r="A1608" s="29" t="s">
        <v>36</v>
      </c>
      <c r="B1608" s="29">
        <v>9.0</v>
      </c>
      <c r="C1608" s="29" t="s">
        <v>593</v>
      </c>
      <c r="D1608" s="29" t="s">
        <v>1326</v>
      </c>
      <c r="E1608" s="29">
        <v>155.0</v>
      </c>
      <c r="F1608" s="30" t="s">
        <v>1327</v>
      </c>
      <c r="G1608" s="29" t="s">
        <v>877</v>
      </c>
      <c r="H1608" s="31">
        <v>1.2</v>
      </c>
      <c r="I1608" s="29" t="s">
        <v>597</v>
      </c>
      <c r="J1608" s="32" t="s">
        <v>598</v>
      </c>
      <c r="K1608" s="29" t="s">
        <v>599</v>
      </c>
      <c r="L1608" s="29" t="s">
        <v>600</v>
      </c>
      <c r="M1608" s="33">
        <v>-67.605</v>
      </c>
      <c r="N1608" s="33">
        <v>-6.05</v>
      </c>
      <c r="O1608" s="34" t="s">
        <v>601</v>
      </c>
      <c r="P1608" s="32" t="s">
        <v>1324</v>
      </c>
      <c r="Q1608" s="35">
        <v>45.0</v>
      </c>
      <c r="R1608" s="35">
        <v>45.0</v>
      </c>
      <c r="S1608" s="36">
        <v>0.568</v>
      </c>
      <c r="T1608" s="36">
        <v>0.6686</v>
      </c>
      <c r="U1608" s="36">
        <v>0.7537</v>
      </c>
      <c r="V1608" s="36">
        <v>0.8177</v>
      </c>
      <c r="W1608" s="37" t="s">
        <v>1325</v>
      </c>
      <c r="X1608" s="31">
        <v>3.25</v>
      </c>
      <c r="Y1608" s="36">
        <v>-0.16153302985188978</v>
      </c>
      <c r="Z1608" s="36">
        <v>0.0723666186937722</v>
      </c>
      <c r="AA1608" s="29" t="s">
        <v>820</v>
      </c>
      <c r="AB1608" s="31">
        <v>0.237373918295</v>
      </c>
      <c r="AC1608" s="38">
        <v>2389.0</v>
      </c>
    </row>
    <row r="1609" ht="14.25" customHeight="1">
      <c r="A1609" s="29" t="s">
        <v>36</v>
      </c>
      <c r="B1609" s="29">
        <v>9.0</v>
      </c>
      <c r="C1609" s="29" t="s">
        <v>593</v>
      </c>
      <c r="D1609" s="29" t="s">
        <v>1326</v>
      </c>
      <c r="E1609" s="29">
        <v>155.0</v>
      </c>
      <c r="F1609" s="30" t="s">
        <v>1327</v>
      </c>
      <c r="G1609" s="29" t="s">
        <v>877</v>
      </c>
      <c r="H1609" s="31">
        <v>1.2</v>
      </c>
      <c r="I1609" s="29" t="s">
        <v>597</v>
      </c>
      <c r="J1609" s="32" t="s">
        <v>598</v>
      </c>
      <c r="K1609" s="29" t="s">
        <v>599</v>
      </c>
      <c r="L1609" s="29" t="s">
        <v>600</v>
      </c>
      <c r="M1609" s="33">
        <v>-67.605</v>
      </c>
      <c r="N1609" s="33">
        <v>-6.05</v>
      </c>
      <c r="O1609" s="34" t="s">
        <v>601</v>
      </c>
      <c r="P1609" s="32" t="s">
        <v>1324</v>
      </c>
      <c r="Q1609" s="35">
        <v>45.0</v>
      </c>
      <c r="R1609" s="35">
        <v>45.0</v>
      </c>
      <c r="S1609" s="36">
        <v>0.568</v>
      </c>
      <c r="T1609" s="36">
        <v>0.6686</v>
      </c>
      <c r="U1609" s="36">
        <v>0.7537</v>
      </c>
      <c r="V1609" s="36">
        <v>0.8177</v>
      </c>
      <c r="W1609" s="37" t="s">
        <v>1325</v>
      </c>
      <c r="X1609" s="31">
        <v>3.75</v>
      </c>
      <c r="Y1609" s="36">
        <v>-0.16153302985188978</v>
      </c>
      <c r="Z1609" s="36">
        <v>0.0723666186937722</v>
      </c>
      <c r="AA1609" s="29" t="s">
        <v>820</v>
      </c>
      <c r="AB1609" s="31">
        <v>0.237373918295</v>
      </c>
      <c r="AC1609" s="38">
        <v>2389.0</v>
      </c>
    </row>
    <row r="1610" ht="14.25" customHeight="1">
      <c r="A1610" s="29" t="s">
        <v>36</v>
      </c>
      <c r="B1610" s="29">
        <v>9.0</v>
      </c>
      <c r="C1610" s="29" t="s">
        <v>593</v>
      </c>
      <c r="D1610" s="29" t="s">
        <v>1326</v>
      </c>
      <c r="E1610" s="29">
        <v>155.0</v>
      </c>
      <c r="F1610" s="30" t="s">
        <v>1327</v>
      </c>
      <c r="G1610" s="29" t="s">
        <v>877</v>
      </c>
      <c r="H1610" s="31">
        <v>1.2</v>
      </c>
      <c r="I1610" s="29" t="s">
        <v>597</v>
      </c>
      <c r="J1610" s="32" t="s">
        <v>598</v>
      </c>
      <c r="K1610" s="29" t="s">
        <v>599</v>
      </c>
      <c r="L1610" s="29" t="s">
        <v>600</v>
      </c>
      <c r="M1610" s="33">
        <v>-67.605</v>
      </c>
      <c r="N1610" s="33">
        <v>-6.05</v>
      </c>
      <c r="O1610" s="34" t="s">
        <v>601</v>
      </c>
      <c r="P1610" s="32" t="s">
        <v>1324</v>
      </c>
      <c r="Q1610" s="35">
        <v>45.0</v>
      </c>
      <c r="R1610" s="35">
        <v>45.0</v>
      </c>
      <c r="S1610" s="36">
        <v>0.541</v>
      </c>
      <c r="T1610" s="36">
        <v>0.6686</v>
      </c>
      <c r="U1610" s="36">
        <v>0.7355</v>
      </c>
      <c r="V1610" s="36">
        <v>0.8177</v>
      </c>
      <c r="W1610" s="37" t="s">
        <v>1325</v>
      </c>
      <c r="X1610" s="31">
        <v>4.25</v>
      </c>
      <c r="Y1610" s="36">
        <v>-0.21015879641920657</v>
      </c>
      <c r="Z1610" s="36">
        <v>0.07431177934591163</v>
      </c>
      <c r="AA1610" s="29" t="s">
        <v>820</v>
      </c>
      <c r="AB1610" s="31">
        <v>0.237373918295</v>
      </c>
      <c r="AC1610" s="38">
        <v>2389.0</v>
      </c>
    </row>
    <row r="1611" ht="14.25" customHeight="1">
      <c r="A1611" s="29" t="s">
        <v>36</v>
      </c>
      <c r="B1611" s="29">
        <v>9.0</v>
      </c>
      <c r="C1611" s="29" t="s">
        <v>608</v>
      </c>
      <c r="D1611" s="29" t="s">
        <v>1070</v>
      </c>
      <c r="E1611" s="29">
        <v>6.0</v>
      </c>
      <c r="F1611" s="30" t="s">
        <v>1071</v>
      </c>
      <c r="G1611" s="29" t="s">
        <v>611</v>
      </c>
      <c r="H1611" s="31">
        <v>6.5</v>
      </c>
      <c r="I1611" s="29" t="s">
        <v>612</v>
      </c>
      <c r="J1611" s="32" t="s">
        <v>598</v>
      </c>
      <c r="K1611" s="29" t="s">
        <v>599</v>
      </c>
      <c r="L1611" s="29" t="s">
        <v>600</v>
      </c>
      <c r="M1611" s="33">
        <v>-67.605</v>
      </c>
      <c r="N1611" s="33">
        <v>-6.05</v>
      </c>
      <c r="O1611" s="34" t="s">
        <v>601</v>
      </c>
      <c r="P1611" s="32" t="s">
        <v>1324</v>
      </c>
      <c r="Q1611" s="35">
        <v>45.0</v>
      </c>
      <c r="R1611" s="35">
        <v>45.0</v>
      </c>
      <c r="S1611" s="36">
        <v>1.0</v>
      </c>
      <c r="T1611" s="36">
        <v>0.217</v>
      </c>
      <c r="U1611" s="36">
        <v>1.0</v>
      </c>
      <c r="V1611" s="36">
        <v>0.4658</v>
      </c>
      <c r="W1611" s="37" t="s">
        <v>1325</v>
      </c>
      <c r="X1611" s="31">
        <v>0.25</v>
      </c>
      <c r="Y1611" s="36">
        <v>1.5279139094266607</v>
      </c>
      <c r="Z1611" s="36">
        <v>0.12461444876250882</v>
      </c>
      <c r="AA1611" s="29" t="s">
        <v>820</v>
      </c>
      <c r="AB1611" s="31">
        <v>0.237373918295</v>
      </c>
      <c r="AC1611" s="38">
        <v>2389.0</v>
      </c>
    </row>
    <row r="1612" ht="14.25" customHeight="1">
      <c r="A1612" s="29" t="s">
        <v>36</v>
      </c>
      <c r="B1612" s="29">
        <v>9.0</v>
      </c>
      <c r="C1612" s="29" t="s">
        <v>608</v>
      </c>
      <c r="D1612" s="29" t="s">
        <v>1070</v>
      </c>
      <c r="E1612" s="29">
        <v>6.0</v>
      </c>
      <c r="F1612" s="30" t="s">
        <v>1071</v>
      </c>
      <c r="G1612" s="29" t="s">
        <v>611</v>
      </c>
      <c r="H1612" s="31">
        <v>6.5</v>
      </c>
      <c r="I1612" s="29" t="s">
        <v>612</v>
      </c>
      <c r="J1612" s="32" t="s">
        <v>598</v>
      </c>
      <c r="K1612" s="29" t="s">
        <v>599</v>
      </c>
      <c r="L1612" s="29" t="s">
        <v>600</v>
      </c>
      <c r="M1612" s="33">
        <v>-67.605</v>
      </c>
      <c r="N1612" s="33">
        <v>-6.05</v>
      </c>
      <c r="O1612" s="34" t="s">
        <v>601</v>
      </c>
      <c r="P1612" s="32" t="s">
        <v>1324</v>
      </c>
      <c r="Q1612" s="35">
        <v>45.0</v>
      </c>
      <c r="R1612" s="35">
        <v>45.0</v>
      </c>
      <c r="S1612" s="36">
        <v>0.769</v>
      </c>
      <c r="T1612" s="36">
        <v>0.217</v>
      </c>
      <c r="U1612" s="36">
        <v>0.8769</v>
      </c>
      <c r="V1612" s="36">
        <v>0.4658</v>
      </c>
      <c r="W1612" s="37" t="s">
        <v>1325</v>
      </c>
      <c r="X1612" s="31">
        <v>0.75</v>
      </c>
      <c r="Y1612" s="36">
        <v>1.2652664163738383</v>
      </c>
      <c r="Z1612" s="36">
        <v>0.13128804144860826</v>
      </c>
      <c r="AA1612" s="29" t="s">
        <v>820</v>
      </c>
      <c r="AB1612" s="31">
        <v>0.237373918295</v>
      </c>
      <c r="AC1612" s="38">
        <v>2389.0</v>
      </c>
    </row>
    <row r="1613" ht="14.25" customHeight="1">
      <c r="A1613" s="29" t="s">
        <v>36</v>
      </c>
      <c r="B1613" s="29">
        <v>9.0</v>
      </c>
      <c r="C1613" s="29" t="s">
        <v>608</v>
      </c>
      <c r="D1613" s="29" t="s">
        <v>1070</v>
      </c>
      <c r="E1613" s="29">
        <v>6.0</v>
      </c>
      <c r="F1613" s="30" t="s">
        <v>1071</v>
      </c>
      <c r="G1613" s="29" t="s">
        <v>611</v>
      </c>
      <c r="H1613" s="31">
        <v>6.5</v>
      </c>
      <c r="I1613" s="29" t="s">
        <v>612</v>
      </c>
      <c r="J1613" s="32" t="s">
        <v>598</v>
      </c>
      <c r="K1613" s="29" t="s">
        <v>599</v>
      </c>
      <c r="L1613" s="29" t="s">
        <v>600</v>
      </c>
      <c r="M1613" s="33">
        <v>-67.605</v>
      </c>
      <c r="N1613" s="33">
        <v>-6.05</v>
      </c>
      <c r="O1613" s="34" t="s">
        <v>601</v>
      </c>
      <c r="P1613" s="32" t="s">
        <v>1324</v>
      </c>
      <c r="Q1613" s="35">
        <v>45.0</v>
      </c>
      <c r="R1613" s="35">
        <v>45.0</v>
      </c>
      <c r="S1613" s="36">
        <v>0.847</v>
      </c>
      <c r="T1613" s="36">
        <v>0.217</v>
      </c>
      <c r="U1613" s="36">
        <v>0.9203</v>
      </c>
      <c r="V1613" s="36">
        <v>0.4658</v>
      </c>
      <c r="W1613" s="37" t="s">
        <v>1325</v>
      </c>
      <c r="X1613" s="31">
        <v>1.25</v>
      </c>
      <c r="Y1613" s="36">
        <v>1.3618694375719405</v>
      </c>
      <c r="Z1613" s="36">
        <v>0.12862713236883844</v>
      </c>
      <c r="AA1613" s="29" t="s">
        <v>820</v>
      </c>
      <c r="AB1613" s="31">
        <v>0.237373918295</v>
      </c>
      <c r="AC1613" s="38">
        <v>2389.0</v>
      </c>
    </row>
    <row r="1614" ht="14.25" customHeight="1">
      <c r="A1614" s="29" t="s">
        <v>36</v>
      </c>
      <c r="B1614" s="29">
        <v>9.0</v>
      </c>
      <c r="C1614" s="29" t="s">
        <v>608</v>
      </c>
      <c r="D1614" s="29" t="s">
        <v>1070</v>
      </c>
      <c r="E1614" s="29">
        <v>6.0</v>
      </c>
      <c r="F1614" s="30" t="s">
        <v>1071</v>
      </c>
      <c r="G1614" s="29" t="s">
        <v>611</v>
      </c>
      <c r="H1614" s="31">
        <v>6.5</v>
      </c>
      <c r="I1614" s="29" t="s">
        <v>612</v>
      </c>
      <c r="J1614" s="32" t="s">
        <v>598</v>
      </c>
      <c r="K1614" s="29" t="s">
        <v>599</v>
      </c>
      <c r="L1614" s="29" t="s">
        <v>600</v>
      </c>
      <c r="M1614" s="33">
        <v>-67.605</v>
      </c>
      <c r="N1614" s="33">
        <v>-6.05</v>
      </c>
      <c r="O1614" s="34" t="s">
        <v>601</v>
      </c>
      <c r="P1614" s="32" t="s">
        <v>1324</v>
      </c>
      <c r="Q1614" s="35">
        <v>45.0</v>
      </c>
      <c r="R1614" s="35">
        <v>45.0</v>
      </c>
      <c r="S1614" s="36">
        <v>0.681</v>
      </c>
      <c r="T1614" s="36">
        <v>0.217</v>
      </c>
      <c r="U1614" s="36">
        <v>0.8252</v>
      </c>
      <c r="V1614" s="36">
        <v>0.4658</v>
      </c>
      <c r="W1614" s="37" t="s">
        <v>1325</v>
      </c>
      <c r="X1614" s="31">
        <v>1.75</v>
      </c>
      <c r="Y1614" s="36">
        <v>1.1437471600259888</v>
      </c>
      <c r="Z1614" s="36">
        <v>0.1350218228673219</v>
      </c>
      <c r="AA1614" s="29" t="s">
        <v>820</v>
      </c>
      <c r="AB1614" s="31">
        <v>0.237373918295</v>
      </c>
      <c r="AC1614" s="38">
        <v>2389.0</v>
      </c>
    </row>
    <row r="1615" ht="14.25" customHeight="1">
      <c r="A1615" s="29" t="s">
        <v>36</v>
      </c>
      <c r="B1615" s="29">
        <v>9.0</v>
      </c>
      <c r="C1615" s="29" t="s">
        <v>608</v>
      </c>
      <c r="D1615" s="29" t="s">
        <v>1070</v>
      </c>
      <c r="E1615" s="29">
        <v>6.0</v>
      </c>
      <c r="F1615" s="30" t="s">
        <v>1071</v>
      </c>
      <c r="G1615" s="29" t="s">
        <v>611</v>
      </c>
      <c r="H1615" s="31">
        <v>6.5</v>
      </c>
      <c r="I1615" s="29" t="s">
        <v>612</v>
      </c>
      <c r="J1615" s="32" t="s">
        <v>598</v>
      </c>
      <c r="K1615" s="29" t="s">
        <v>599</v>
      </c>
      <c r="L1615" s="29" t="s">
        <v>600</v>
      </c>
      <c r="M1615" s="33">
        <v>-67.605</v>
      </c>
      <c r="N1615" s="33">
        <v>-6.05</v>
      </c>
      <c r="O1615" s="34" t="s">
        <v>601</v>
      </c>
      <c r="P1615" s="32" t="s">
        <v>1324</v>
      </c>
      <c r="Q1615" s="35">
        <v>45.0</v>
      </c>
      <c r="R1615" s="35">
        <v>45.0</v>
      </c>
      <c r="S1615" s="36">
        <v>0.8</v>
      </c>
      <c r="T1615" s="36">
        <v>0.217</v>
      </c>
      <c r="U1615" s="36">
        <v>0.8944</v>
      </c>
      <c r="V1615" s="36">
        <v>0.4658</v>
      </c>
      <c r="W1615" s="37" t="s">
        <v>1325</v>
      </c>
      <c r="X1615" s="31">
        <v>2.25</v>
      </c>
      <c r="Y1615" s="36">
        <v>1.3047843536189905</v>
      </c>
      <c r="Z1615" s="36">
        <v>0.13016831542917548</v>
      </c>
      <c r="AA1615" s="29" t="s">
        <v>820</v>
      </c>
      <c r="AB1615" s="31">
        <v>0.237373918295</v>
      </c>
      <c r="AC1615" s="38">
        <v>2389.0</v>
      </c>
    </row>
    <row r="1616" ht="14.25" customHeight="1">
      <c r="A1616" s="29" t="s">
        <v>36</v>
      </c>
      <c r="B1616" s="29">
        <v>9.0</v>
      </c>
      <c r="C1616" s="29" t="s">
        <v>608</v>
      </c>
      <c r="D1616" s="29" t="s">
        <v>1070</v>
      </c>
      <c r="E1616" s="29">
        <v>6.0</v>
      </c>
      <c r="F1616" s="30" t="s">
        <v>1071</v>
      </c>
      <c r="G1616" s="29" t="s">
        <v>611</v>
      </c>
      <c r="H1616" s="31">
        <v>6.5</v>
      </c>
      <c r="I1616" s="29" t="s">
        <v>612</v>
      </c>
      <c r="J1616" s="32" t="s">
        <v>598</v>
      </c>
      <c r="K1616" s="29" t="s">
        <v>599</v>
      </c>
      <c r="L1616" s="29" t="s">
        <v>600</v>
      </c>
      <c r="M1616" s="33">
        <v>-67.605</v>
      </c>
      <c r="N1616" s="33">
        <v>-6.05</v>
      </c>
      <c r="O1616" s="34" t="s">
        <v>601</v>
      </c>
      <c r="P1616" s="32" t="s">
        <v>1324</v>
      </c>
      <c r="Q1616" s="35">
        <v>45.0</v>
      </c>
      <c r="R1616" s="35">
        <v>45.0</v>
      </c>
      <c r="S1616" s="36">
        <v>0.708</v>
      </c>
      <c r="T1616" s="36">
        <v>0.217</v>
      </c>
      <c r="U1616" s="36">
        <v>0.8414</v>
      </c>
      <c r="V1616" s="36">
        <v>0.4658</v>
      </c>
      <c r="W1616" s="37" t="s">
        <v>1325</v>
      </c>
      <c r="X1616" s="31">
        <v>2.75</v>
      </c>
      <c r="Y1616" s="36">
        <v>1.182625812665528</v>
      </c>
      <c r="Z1616" s="36">
        <v>0.13377750500078292</v>
      </c>
      <c r="AA1616" s="29" t="s">
        <v>820</v>
      </c>
      <c r="AB1616" s="31">
        <v>0.237373918295</v>
      </c>
      <c r="AC1616" s="38">
        <v>2389.0</v>
      </c>
    </row>
    <row r="1617" ht="14.25" customHeight="1">
      <c r="A1617" s="29" t="s">
        <v>36</v>
      </c>
      <c r="B1617" s="29">
        <v>9.0</v>
      </c>
      <c r="C1617" s="29" t="s">
        <v>608</v>
      </c>
      <c r="D1617" s="29" t="s">
        <v>1070</v>
      </c>
      <c r="E1617" s="29">
        <v>6.0</v>
      </c>
      <c r="F1617" s="30" t="s">
        <v>1071</v>
      </c>
      <c r="G1617" s="29" t="s">
        <v>611</v>
      </c>
      <c r="H1617" s="31">
        <v>6.5</v>
      </c>
      <c r="I1617" s="29" t="s">
        <v>612</v>
      </c>
      <c r="J1617" s="32" t="s">
        <v>598</v>
      </c>
      <c r="K1617" s="29" t="s">
        <v>599</v>
      </c>
      <c r="L1617" s="29" t="s">
        <v>600</v>
      </c>
      <c r="M1617" s="33">
        <v>-67.605</v>
      </c>
      <c r="N1617" s="33">
        <v>-6.05</v>
      </c>
      <c r="O1617" s="34" t="s">
        <v>601</v>
      </c>
      <c r="P1617" s="32" t="s">
        <v>1324</v>
      </c>
      <c r="Q1617" s="35">
        <v>45.0</v>
      </c>
      <c r="R1617" s="35">
        <v>45.0</v>
      </c>
      <c r="S1617" s="36">
        <v>0.419</v>
      </c>
      <c r="T1617" s="36">
        <v>0.217</v>
      </c>
      <c r="U1617" s="36">
        <v>0.6473</v>
      </c>
      <c r="V1617" s="36">
        <v>0.4658</v>
      </c>
      <c r="W1617" s="37" t="s">
        <v>1325</v>
      </c>
      <c r="X1617" s="31">
        <v>3.25</v>
      </c>
      <c r="Y1617" s="36">
        <v>0.6581071745252008</v>
      </c>
      <c r="Z1617" s="36">
        <v>0.155428213398922</v>
      </c>
      <c r="AA1617" s="29" t="s">
        <v>820</v>
      </c>
      <c r="AB1617" s="31">
        <v>0.237373918295</v>
      </c>
      <c r="AC1617" s="38">
        <v>2389.0</v>
      </c>
    </row>
    <row r="1618" ht="14.25" customHeight="1">
      <c r="A1618" s="29" t="s">
        <v>36</v>
      </c>
      <c r="B1618" s="29">
        <v>9.0</v>
      </c>
      <c r="C1618" s="29" t="s">
        <v>608</v>
      </c>
      <c r="D1618" s="29" t="s">
        <v>1070</v>
      </c>
      <c r="E1618" s="29">
        <v>6.0</v>
      </c>
      <c r="F1618" s="30" t="s">
        <v>1071</v>
      </c>
      <c r="G1618" s="29" t="s">
        <v>611</v>
      </c>
      <c r="H1618" s="31">
        <v>6.5</v>
      </c>
      <c r="I1618" s="29" t="s">
        <v>612</v>
      </c>
      <c r="J1618" s="32" t="s">
        <v>598</v>
      </c>
      <c r="K1618" s="29" t="s">
        <v>599</v>
      </c>
      <c r="L1618" s="29" t="s">
        <v>600</v>
      </c>
      <c r="M1618" s="33">
        <v>-67.605</v>
      </c>
      <c r="N1618" s="33">
        <v>-6.05</v>
      </c>
      <c r="O1618" s="34" t="s">
        <v>601</v>
      </c>
      <c r="P1618" s="32" t="s">
        <v>1324</v>
      </c>
      <c r="Q1618" s="35">
        <v>45.0</v>
      </c>
      <c r="R1618" s="35">
        <v>45.0</v>
      </c>
      <c r="S1618" s="36">
        <v>0.194</v>
      </c>
      <c r="T1618" s="36">
        <v>0.217</v>
      </c>
      <c r="U1618" s="36">
        <v>0.4405</v>
      </c>
      <c r="V1618" s="36">
        <v>0.4658</v>
      </c>
      <c r="W1618" s="37" t="s">
        <v>1325</v>
      </c>
      <c r="X1618" s="31">
        <v>3.75</v>
      </c>
      <c r="Y1618" s="36">
        <v>-0.11175065078968204</v>
      </c>
      <c r="Z1618" s="36">
        <v>0.21696352942995487</v>
      </c>
      <c r="AA1618" s="29" t="s">
        <v>820</v>
      </c>
      <c r="AB1618" s="31">
        <v>0.237373918295</v>
      </c>
      <c r="AC1618" s="38">
        <v>2389.0</v>
      </c>
    </row>
    <row r="1619" ht="14.25" customHeight="1">
      <c r="A1619" s="29" t="s">
        <v>36</v>
      </c>
      <c r="B1619" s="29">
        <v>9.0</v>
      </c>
      <c r="C1619" s="29" t="s">
        <v>608</v>
      </c>
      <c r="D1619" s="29" t="s">
        <v>1070</v>
      </c>
      <c r="E1619" s="29">
        <v>6.0</v>
      </c>
      <c r="F1619" s="30" t="s">
        <v>1071</v>
      </c>
      <c r="G1619" s="29" t="s">
        <v>611</v>
      </c>
      <c r="H1619" s="31">
        <v>6.5</v>
      </c>
      <c r="I1619" s="29" t="s">
        <v>612</v>
      </c>
      <c r="J1619" s="32" t="s">
        <v>598</v>
      </c>
      <c r="K1619" s="29" t="s">
        <v>599</v>
      </c>
      <c r="L1619" s="29" t="s">
        <v>600</v>
      </c>
      <c r="M1619" s="33">
        <v>-67.605</v>
      </c>
      <c r="N1619" s="33">
        <v>-6.05</v>
      </c>
      <c r="O1619" s="34" t="s">
        <v>601</v>
      </c>
      <c r="P1619" s="32" t="s">
        <v>1324</v>
      </c>
      <c r="Q1619" s="35">
        <v>45.0</v>
      </c>
      <c r="R1619" s="35">
        <v>45.0</v>
      </c>
      <c r="S1619" s="36">
        <v>0.1417</v>
      </c>
      <c r="T1619" s="36">
        <v>0.217</v>
      </c>
      <c r="U1619" s="36">
        <v>0.3764</v>
      </c>
      <c r="V1619" s="36">
        <v>0.4658</v>
      </c>
      <c r="W1619" s="37" t="s">
        <v>1325</v>
      </c>
      <c r="X1619" s="31">
        <v>4.25</v>
      </c>
      <c r="Y1619" s="36">
        <v>-0.42579018570687804</v>
      </c>
      <c r="Z1619" s="36">
        <v>0.25919257202197854</v>
      </c>
      <c r="AA1619" s="29" t="s">
        <v>820</v>
      </c>
      <c r="AB1619" s="31">
        <v>0.237373918295</v>
      </c>
      <c r="AC1619" s="38">
        <v>2389.0</v>
      </c>
    </row>
    <row r="1620" ht="14.25" customHeight="1">
      <c r="A1620" s="29" t="s">
        <v>36</v>
      </c>
      <c r="B1620" s="29">
        <v>9.0</v>
      </c>
      <c r="C1620" s="29" t="s">
        <v>608</v>
      </c>
      <c r="D1620" s="29" t="s">
        <v>1328</v>
      </c>
      <c r="E1620" s="29">
        <v>24.0</v>
      </c>
      <c r="F1620" s="30" t="s">
        <v>1329</v>
      </c>
      <c r="G1620" s="29" t="s">
        <v>611</v>
      </c>
      <c r="H1620" s="31">
        <v>1.1</v>
      </c>
      <c r="I1620" s="29" t="s">
        <v>616</v>
      </c>
      <c r="J1620" s="32" t="s">
        <v>598</v>
      </c>
      <c r="K1620" s="29" t="s">
        <v>599</v>
      </c>
      <c r="L1620" s="29" t="s">
        <v>600</v>
      </c>
      <c r="M1620" s="33">
        <v>-67.605</v>
      </c>
      <c r="N1620" s="33">
        <v>-6.05</v>
      </c>
      <c r="O1620" s="34" t="s">
        <v>601</v>
      </c>
      <c r="P1620" s="32" t="s">
        <v>1324</v>
      </c>
      <c r="Q1620" s="35">
        <v>45.0</v>
      </c>
      <c r="R1620" s="35">
        <v>45.0</v>
      </c>
      <c r="S1620" s="36">
        <v>2.533</v>
      </c>
      <c r="T1620" s="36">
        <v>0.076</v>
      </c>
      <c r="U1620" s="36">
        <v>1.5915</v>
      </c>
      <c r="V1620" s="36">
        <v>0.2757</v>
      </c>
      <c r="W1620" s="37" t="s">
        <v>1325</v>
      </c>
      <c r="X1620" s="31">
        <v>0.25</v>
      </c>
      <c r="Y1620" s="36">
        <v>3.5064340506420106</v>
      </c>
      <c r="Z1620" s="36">
        <v>0.3012106611042487</v>
      </c>
      <c r="AA1620" s="29" t="s">
        <v>820</v>
      </c>
      <c r="AB1620" s="31">
        <v>0.237373918295</v>
      </c>
      <c r="AC1620" s="38">
        <v>2389.0</v>
      </c>
    </row>
    <row r="1621" ht="14.25" customHeight="1">
      <c r="A1621" s="29" t="s">
        <v>36</v>
      </c>
      <c r="B1621" s="29">
        <v>9.0</v>
      </c>
      <c r="C1621" s="29" t="s">
        <v>608</v>
      </c>
      <c r="D1621" s="29" t="s">
        <v>1328</v>
      </c>
      <c r="E1621" s="29">
        <v>24.0</v>
      </c>
      <c r="F1621" s="30" t="s">
        <v>1329</v>
      </c>
      <c r="G1621" s="29" t="s">
        <v>611</v>
      </c>
      <c r="H1621" s="31">
        <v>1.1</v>
      </c>
      <c r="I1621" s="29" t="s">
        <v>616</v>
      </c>
      <c r="J1621" s="32" t="s">
        <v>598</v>
      </c>
      <c r="K1621" s="29" t="s">
        <v>599</v>
      </c>
      <c r="L1621" s="29" t="s">
        <v>600</v>
      </c>
      <c r="M1621" s="33">
        <v>-67.605</v>
      </c>
      <c r="N1621" s="33">
        <v>-6.05</v>
      </c>
      <c r="O1621" s="34" t="s">
        <v>601</v>
      </c>
      <c r="P1621" s="32" t="s">
        <v>1324</v>
      </c>
      <c r="Q1621" s="35">
        <v>45.0</v>
      </c>
      <c r="R1621" s="35">
        <v>45.0</v>
      </c>
      <c r="S1621" s="36">
        <v>0.84</v>
      </c>
      <c r="T1621" s="36">
        <v>0.076</v>
      </c>
      <c r="U1621" s="36">
        <v>0.9165</v>
      </c>
      <c r="V1621" s="36">
        <v>0.2757</v>
      </c>
      <c r="W1621" s="37" t="s">
        <v>1325</v>
      </c>
      <c r="X1621" s="31">
        <v>0.75</v>
      </c>
      <c r="Y1621" s="36">
        <v>2.402691893948994</v>
      </c>
      <c r="Z1621" s="36">
        <v>0.3188921718849128</v>
      </c>
      <c r="AA1621" s="29" t="s">
        <v>820</v>
      </c>
      <c r="AB1621" s="31">
        <v>0.237373918295</v>
      </c>
      <c r="AC1621" s="38">
        <v>2389.0</v>
      </c>
    </row>
    <row r="1622" ht="14.25" customHeight="1">
      <c r="A1622" s="29" t="s">
        <v>36</v>
      </c>
      <c r="B1622" s="29">
        <v>9.0</v>
      </c>
      <c r="C1622" s="29" t="s">
        <v>608</v>
      </c>
      <c r="D1622" s="29" t="s">
        <v>1328</v>
      </c>
      <c r="E1622" s="29">
        <v>24.0</v>
      </c>
      <c r="F1622" s="30" t="s">
        <v>1329</v>
      </c>
      <c r="G1622" s="29" t="s">
        <v>611</v>
      </c>
      <c r="H1622" s="31">
        <v>1.1</v>
      </c>
      <c r="I1622" s="29" t="s">
        <v>616</v>
      </c>
      <c r="J1622" s="32" t="s">
        <v>598</v>
      </c>
      <c r="K1622" s="29" t="s">
        <v>599</v>
      </c>
      <c r="L1622" s="29" t="s">
        <v>600</v>
      </c>
      <c r="M1622" s="33">
        <v>-67.605</v>
      </c>
      <c r="N1622" s="33">
        <v>-6.05</v>
      </c>
      <c r="O1622" s="34" t="s">
        <v>601</v>
      </c>
      <c r="P1622" s="32" t="s">
        <v>1324</v>
      </c>
      <c r="Q1622" s="35">
        <v>45.0</v>
      </c>
      <c r="R1622" s="35">
        <v>45.0</v>
      </c>
      <c r="S1622" s="36">
        <v>0.942</v>
      </c>
      <c r="T1622" s="36">
        <v>0.076</v>
      </c>
      <c r="U1622" s="36">
        <v>0.9706</v>
      </c>
      <c r="V1622" s="36">
        <v>0.2757</v>
      </c>
      <c r="W1622" s="37" t="s">
        <v>1325</v>
      </c>
      <c r="X1622" s="31">
        <v>1.25</v>
      </c>
      <c r="Y1622" s="36">
        <v>2.5172927491935035</v>
      </c>
      <c r="Z1622" s="36">
        <v>0.31603010060590664</v>
      </c>
      <c r="AA1622" s="29" t="s">
        <v>820</v>
      </c>
      <c r="AB1622" s="31">
        <v>0.237373918295</v>
      </c>
      <c r="AC1622" s="38">
        <v>2389.0</v>
      </c>
    </row>
    <row r="1623" ht="14.25" customHeight="1">
      <c r="A1623" s="29" t="s">
        <v>36</v>
      </c>
      <c r="B1623" s="29">
        <v>9.0</v>
      </c>
      <c r="C1623" s="29" t="s">
        <v>608</v>
      </c>
      <c r="D1623" s="29" t="s">
        <v>1328</v>
      </c>
      <c r="E1623" s="29">
        <v>24.0</v>
      </c>
      <c r="F1623" s="30" t="s">
        <v>1329</v>
      </c>
      <c r="G1623" s="29" t="s">
        <v>611</v>
      </c>
      <c r="H1623" s="31">
        <v>1.1</v>
      </c>
      <c r="I1623" s="29" t="s">
        <v>616</v>
      </c>
      <c r="J1623" s="32" t="s">
        <v>598</v>
      </c>
      <c r="K1623" s="29" t="s">
        <v>599</v>
      </c>
      <c r="L1623" s="29" t="s">
        <v>600</v>
      </c>
      <c r="M1623" s="33">
        <v>-67.605</v>
      </c>
      <c r="N1623" s="33">
        <v>-6.05</v>
      </c>
      <c r="O1623" s="34" t="s">
        <v>601</v>
      </c>
      <c r="P1623" s="32" t="s">
        <v>1324</v>
      </c>
      <c r="Q1623" s="35">
        <v>45.0</v>
      </c>
      <c r="R1623" s="35">
        <v>45.0</v>
      </c>
      <c r="S1623" s="36">
        <v>0.445</v>
      </c>
      <c r="T1623" s="36">
        <v>0.076</v>
      </c>
      <c r="U1623" s="36">
        <v>0.6671</v>
      </c>
      <c r="V1623" s="36">
        <v>0.2757</v>
      </c>
      <c r="W1623" s="37" t="s">
        <v>1325</v>
      </c>
      <c r="X1623" s="31">
        <v>1.75</v>
      </c>
      <c r="Y1623" s="36">
        <v>1.7673850034780303</v>
      </c>
      <c r="Z1623" s="36">
        <v>0.342378112252033</v>
      </c>
      <c r="AA1623" s="29" t="s">
        <v>820</v>
      </c>
      <c r="AB1623" s="31">
        <v>0.237373918295</v>
      </c>
      <c r="AC1623" s="38">
        <v>2389.0</v>
      </c>
    </row>
    <row r="1624" ht="14.25" customHeight="1">
      <c r="A1624" s="29" t="s">
        <v>36</v>
      </c>
      <c r="B1624" s="29">
        <v>9.0</v>
      </c>
      <c r="C1624" s="29" t="s">
        <v>608</v>
      </c>
      <c r="D1624" s="29" t="s">
        <v>1328</v>
      </c>
      <c r="E1624" s="29">
        <v>24.0</v>
      </c>
      <c r="F1624" s="30" t="s">
        <v>1329</v>
      </c>
      <c r="G1624" s="29" t="s">
        <v>611</v>
      </c>
      <c r="H1624" s="31">
        <v>1.1</v>
      </c>
      <c r="I1624" s="29" t="s">
        <v>616</v>
      </c>
      <c r="J1624" s="32" t="s">
        <v>598</v>
      </c>
      <c r="K1624" s="29" t="s">
        <v>599</v>
      </c>
      <c r="L1624" s="29" t="s">
        <v>600</v>
      </c>
      <c r="M1624" s="33">
        <v>-67.605</v>
      </c>
      <c r="N1624" s="33">
        <v>-6.05</v>
      </c>
      <c r="O1624" s="34" t="s">
        <v>601</v>
      </c>
      <c r="P1624" s="32" t="s">
        <v>1324</v>
      </c>
      <c r="Q1624" s="35">
        <v>45.0</v>
      </c>
      <c r="R1624" s="35">
        <v>45.0</v>
      </c>
      <c r="S1624" s="36">
        <v>0.668</v>
      </c>
      <c r="T1624" s="36">
        <v>0.076</v>
      </c>
      <c r="U1624" s="36">
        <v>0.8173</v>
      </c>
      <c r="V1624" s="36">
        <v>0.2757</v>
      </c>
      <c r="W1624" s="37" t="s">
        <v>1325</v>
      </c>
      <c r="X1624" s="31">
        <v>2.25</v>
      </c>
      <c r="Y1624" s="36">
        <v>2.173584185878111</v>
      </c>
      <c r="Z1624" s="36">
        <v>0.3257037877540544</v>
      </c>
      <c r="AA1624" s="29" t="s">
        <v>820</v>
      </c>
      <c r="AB1624" s="31">
        <v>0.237373918295</v>
      </c>
      <c r="AC1624" s="38">
        <v>2389.0</v>
      </c>
    </row>
    <row r="1625" ht="14.25" customHeight="1">
      <c r="A1625" s="29" t="s">
        <v>36</v>
      </c>
      <c r="B1625" s="29">
        <v>9.0</v>
      </c>
      <c r="C1625" s="29" t="s">
        <v>608</v>
      </c>
      <c r="D1625" s="29" t="s">
        <v>1328</v>
      </c>
      <c r="E1625" s="29">
        <v>24.0</v>
      </c>
      <c r="F1625" s="30" t="s">
        <v>1329</v>
      </c>
      <c r="G1625" s="29" t="s">
        <v>611</v>
      </c>
      <c r="H1625" s="31">
        <v>1.1</v>
      </c>
      <c r="I1625" s="29" t="s">
        <v>616</v>
      </c>
      <c r="J1625" s="32" t="s">
        <v>598</v>
      </c>
      <c r="K1625" s="29" t="s">
        <v>599</v>
      </c>
      <c r="L1625" s="29" t="s">
        <v>600</v>
      </c>
      <c r="M1625" s="33">
        <v>-67.605</v>
      </c>
      <c r="N1625" s="33">
        <v>-6.05</v>
      </c>
      <c r="O1625" s="34" t="s">
        <v>601</v>
      </c>
      <c r="P1625" s="32" t="s">
        <v>1324</v>
      </c>
      <c r="Q1625" s="35">
        <v>45.0</v>
      </c>
      <c r="R1625" s="35">
        <v>45.0</v>
      </c>
      <c r="S1625" s="36">
        <v>0.299</v>
      </c>
      <c r="T1625" s="36">
        <v>0.076</v>
      </c>
      <c r="U1625" s="36">
        <v>0.5468</v>
      </c>
      <c r="V1625" s="36">
        <v>0.2757</v>
      </c>
      <c r="W1625" s="37" t="s">
        <v>1325</v>
      </c>
      <c r="X1625" s="31">
        <v>2.75</v>
      </c>
      <c r="Y1625" s="36">
        <v>1.3697758090249008</v>
      </c>
      <c r="Z1625" s="36">
        <v>0.3667574068197554</v>
      </c>
      <c r="AA1625" s="29" t="s">
        <v>820</v>
      </c>
      <c r="AB1625" s="31">
        <v>0.237373918295</v>
      </c>
      <c r="AC1625" s="38">
        <v>2389.0</v>
      </c>
    </row>
    <row r="1626" ht="14.25" customHeight="1">
      <c r="A1626" s="29" t="s">
        <v>36</v>
      </c>
      <c r="B1626" s="29">
        <v>9.0</v>
      </c>
      <c r="C1626" s="29" t="s">
        <v>608</v>
      </c>
      <c r="D1626" s="29" t="s">
        <v>1328</v>
      </c>
      <c r="E1626" s="29">
        <v>24.0</v>
      </c>
      <c r="F1626" s="30" t="s">
        <v>1329</v>
      </c>
      <c r="G1626" s="29" t="s">
        <v>611</v>
      </c>
      <c r="H1626" s="31">
        <v>1.1</v>
      </c>
      <c r="I1626" s="29" t="s">
        <v>616</v>
      </c>
      <c r="J1626" s="32" t="s">
        <v>598</v>
      </c>
      <c r="K1626" s="29" t="s">
        <v>599</v>
      </c>
      <c r="L1626" s="29" t="s">
        <v>600</v>
      </c>
      <c r="M1626" s="33">
        <v>-67.605</v>
      </c>
      <c r="N1626" s="33">
        <v>-6.05</v>
      </c>
      <c r="O1626" s="34" t="s">
        <v>601</v>
      </c>
      <c r="P1626" s="32" t="s">
        <v>1324</v>
      </c>
      <c r="Q1626" s="35">
        <v>45.0</v>
      </c>
      <c r="R1626" s="35">
        <v>45.0</v>
      </c>
      <c r="S1626" s="36">
        <v>0.325</v>
      </c>
      <c r="T1626" s="36">
        <v>0.076</v>
      </c>
      <c r="U1626" s="36">
        <v>0.5701</v>
      </c>
      <c r="V1626" s="36">
        <v>0.2757</v>
      </c>
      <c r="W1626" s="37" t="s">
        <v>1325</v>
      </c>
      <c r="X1626" s="31">
        <v>3.25</v>
      </c>
      <c r="Y1626" s="36">
        <v>1.4531521720485527</v>
      </c>
      <c r="Z1626" s="36">
        <v>0.3608170353011669</v>
      </c>
      <c r="AA1626" s="29" t="s">
        <v>820</v>
      </c>
      <c r="AB1626" s="31">
        <v>0.237373918295</v>
      </c>
      <c r="AC1626" s="38">
        <v>2389.0</v>
      </c>
    </row>
    <row r="1627" ht="14.25" customHeight="1">
      <c r="A1627" s="29" t="s">
        <v>36</v>
      </c>
      <c r="B1627" s="29">
        <v>9.0</v>
      </c>
      <c r="C1627" s="29" t="s">
        <v>608</v>
      </c>
      <c r="D1627" s="29" t="s">
        <v>1328</v>
      </c>
      <c r="E1627" s="29">
        <v>24.0</v>
      </c>
      <c r="F1627" s="30" t="s">
        <v>1329</v>
      </c>
      <c r="G1627" s="29" t="s">
        <v>611</v>
      </c>
      <c r="H1627" s="31">
        <v>1.1</v>
      </c>
      <c r="I1627" s="29" t="s">
        <v>616</v>
      </c>
      <c r="J1627" s="32" t="s">
        <v>598</v>
      </c>
      <c r="K1627" s="29" t="s">
        <v>599</v>
      </c>
      <c r="L1627" s="29" t="s">
        <v>600</v>
      </c>
      <c r="M1627" s="33">
        <v>-67.605</v>
      </c>
      <c r="N1627" s="33">
        <v>-6.05</v>
      </c>
      <c r="O1627" s="34" t="s">
        <v>601</v>
      </c>
      <c r="P1627" s="32" t="s">
        <v>1324</v>
      </c>
      <c r="Q1627" s="35">
        <v>45.0</v>
      </c>
      <c r="R1627" s="35">
        <v>45.0</v>
      </c>
      <c r="S1627" s="36">
        <v>0.668</v>
      </c>
      <c r="T1627" s="36">
        <v>0.076</v>
      </c>
      <c r="U1627" s="36">
        <v>0.8173</v>
      </c>
      <c r="V1627" s="36">
        <v>0.2757</v>
      </c>
      <c r="W1627" s="37" t="s">
        <v>1325</v>
      </c>
      <c r="X1627" s="31">
        <v>3.75</v>
      </c>
      <c r="Y1627" s="36">
        <v>2.173584185878111</v>
      </c>
      <c r="Z1627" s="36">
        <v>0.3257037877540544</v>
      </c>
      <c r="AA1627" s="29" t="s">
        <v>820</v>
      </c>
      <c r="AB1627" s="31">
        <v>0.237373918295</v>
      </c>
      <c r="AC1627" s="38">
        <v>2389.0</v>
      </c>
    </row>
    <row r="1628" ht="14.25" customHeight="1">
      <c r="A1628" s="29" t="s">
        <v>36</v>
      </c>
      <c r="B1628" s="29">
        <v>9.0</v>
      </c>
      <c r="C1628" s="29" t="s">
        <v>608</v>
      </c>
      <c r="D1628" s="29" t="s">
        <v>1328</v>
      </c>
      <c r="E1628" s="29">
        <v>24.0</v>
      </c>
      <c r="F1628" s="30" t="s">
        <v>1329</v>
      </c>
      <c r="G1628" s="29" t="s">
        <v>611</v>
      </c>
      <c r="H1628" s="31">
        <v>1.1</v>
      </c>
      <c r="I1628" s="29" t="s">
        <v>616</v>
      </c>
      <c r="J1628" s="32" t="s">
        <v>598</v>
      </c>
      <c r="K1628" s="29" t="s">
        <v>599</v>
      </c>
      <c r="L1628" s="29" t="s">
        <v>600</v>
      </c>
      <c r="M1628" s="33">
        <v>-67.605</v>
      </c>
      <c r="N1628" s="33">
        <v>-6.05</v>
      </c>
      <c r="O1628" s="34" t="s">
        <v>601</v>
      </c>
      <c r="P1628" s="32" t="s">
        <v>1324</v>
      </c>
      <c r="Q1628" s="35">
        <v>45.0</v>
      </c>
      <c r="R1628" s="35">
        <v>45.0</v>
      </c>
      <c r="S1628" s="36">
        <v>0.1909</v>
      </c>
      <c r="T1628" s="36">
        <v>0.076</v>
      </c>
      <c r="U1628" s="36">
        <v>0.4369</v>
      </c>
      <c r="V1628" s="36">
        <v>0.2757</v>
      </c>
      <c r="W1628" s="37" t="s">
        <v>1325</v>
      </c>
      <c r="X1628" s="31">
        <v>4.25</v>
      </c>
      <c r="Y1628" s="36">
        <v>0.9211190978116334</v>
      </c>
      <c r="Z1628" s="36">
        <v>0.408834465097034</v>
      </c>
      <c r="AA1628" s="29" t="s">
        <v>820</v>
      </c>
      <c r="AB1628" s="31">
        <v>0.237373918295</v>
      </c>
      <c r="AC1628" s="38">
        <v>2389.0</v>
      </c>
    </row>
    <row r="1629" ht="14.25" customHeight="1">
      <c r="A1629" s="29" t="s">
        <v>36</v>
      </c>
      <c r="B1629" s="29">
        <v>9.0</v>
      </c>
      <c r="C1629" s="29" t="s">
        <v>608</v>
      </c>
      <c r="D1629" s="29" t="s">
        <v>1330</v>
      </c>
      <c r="E1629" s="29">
        <v>30.0</v>
      </c>
      <c r="F1629" s="30" t="s">
        <v>831</v>
      </c>
      <c r="G1629" s="29" t="s">
        <v>611</v>
      </c>
      <c r="H1629" s="31">
        <v>2.63</v>
      </c>
      <c r="I1629" s="29" t="s">
        <v>616</v>
      </c>
      <c r="J1629" s="32" t="s">
        <v>598</v>
      </c>
      <c r="K1629" s="29" t="s">
        <v>599</v>
      </c>
      <c r="L1629" s="29" t="s">
        <v>600</v>
      </c>
      <c r="M1629" s="33">
        <v>-67.605</v>
      </c>
      <c r="N1629" s="33">
        <v>-6.05</v>
      </c>
      <c r="O1629" s="34" t="s">
        <v>601</v>
      </c>
      <c r="P1629" s="32" t="s">
        <v>1324</v>
      </c>
      <c r="Q1629" s="35">
        <v>45.0</v>
      </c>
      <c r="R1629" s="35">
        <v>45.0</v>
      </c>
      <c r="S1629" s="36">
        <v>0.409</v>
      </c>
      <c r="T1629" s="36">
        <v>0.738</v>
      </c>
      <c r="U1629" s="36">
        <v>0.6395</v>
      </c>
      <c r="V1629" s="36">
        <v>0.8591</v>
      </c>
      <c r="W1629" s="37" t="s">
        <v>1325</v>
      </c>
      <c r="X1629" s="31">
        <v>0.25</v>
      </c>
      <c r="Y1629" s="36">
        <v>-0.5897632451558785</v>
      </c>
      <c r="Z1629" s="36">
        <v>0.08444134807774693</v>
      </c>
      <c r="AA1629" s="29" t="s">
        <v>820</v>
      </c>
      <c r="AB1629" s="31">
        <v>0.237373918295</v>
      </c>
      <c r="AC1629" s="38">
        <v>2389.0</v>
      </c>
    </row>
    <row r="1630" ht="14.25" customHeight="1">
      <c r="A1630" s="29" t="s">
        <v>36</v>
      </c>
      <c r="B1630" s="29">
        <v>9.0</v>
      </c>
      <c r="C1630" s="29" t="s">
        <v>608</v>
      </c>
      <c r="D1630" s="29" t="s">
        <v>1330</v>
      </c>
      <c r="E1630" s="29">
        <v>30.0</v>
      </c>
      <c r="F1630" s="30" t="s">
        <v>831</v>
      </c>
      <c r="G1630" s="29" t="s">
        <v>611</v>
      </c>
      <c r="H1630" s="31">
        <v>2.63</v>
      </c>
      <c r="I1630" s="29" t="s">
        <v>616</v>
      </c>
      <c r="J1630" s="32" t="s">
        <v>598</v>
      </c>
      <c r="K1630" s="29" t="s">
        <v>599</v>
      </c>
      <c r="L1630" s="29" t="s">
        <v>600</v>
      </c>
      <c r="M1630" s="33">
        <v>-67.605</v>
      </c>
      <c r="N1630" s="33">
        <v>-6.05</v>
      </c>
      <c r="O1630" s="34" t="s">
        <v>601</v>
      </c>
      <c r="P1630" s="32" t="s">
        <v>1324</v>
      </c>
      <c r="Q1630" s="35">
        <v>45.0</v>
      </c>
      <c r="R1630" s="35">
        <v>45.0</v>
      </c>
      <c r="S1630" s="36">
        <v>0.511</v>
      </c>
      <c r="T1630" s="36">
        <v>0.738</v>
      </c>
      <c r="U1630" s="36">
        <v>0.7148</v>
      </c>
      <c r="V1630" s="36">
        <v>0.8591</v>
      </c>
      <c r="W1630" s="37" t="s">
        <v>1325</v>
      </c>
      <c r="X1630" s="31">
        <v>0.75</v>
      </c>
      <c r="Y1630" s="36">
        <v>-0.36720169621108173</v>
      </c>
      <c r="Z1630" s="36">
        <v>0.07359609377762899</v>
      </c>
      <c r="AA1630" s="29" t="s">
        <v>820</v>
      </c>
      <c r="AB1630" s="31">
        <v>0.237373918295</v>
      </c>
      <c r="AC1630" s="38">
        <v>2389.0</v>
      </c>
    </row>
    <row r="1631" ht="14.25" customHeight="1">
      <c r="A1631" s="29" t="s">
        <v>36</v>
      </c>
      <c r="B1631" s="29">
        <v>9.0</v>
      </c>
      <c r="C1631" s="29" t="s">
        <v>608</v>
      </c>
      <c r="D1631" s="29" t="s">
        <v>1330</v>
      </c>
      <c r="E1631" s="29">
        <v>30.0</v>
      </c>
      <c r="F1631" s="30" t="s">
        <v>831</v>
      </c>
      <c r="G1631" s="29" t="s">
        <v>611</v>
      </c>
      <c r="H1631" s="31">
        <v>2.63</v>
      </c>
      <c r="I1631" s="29" t="s">
        <v>616</v>
      </c>
      <c r="J1631" s="32" t="s">
        <v>598</v>
      </c>
      <c r="K1631" s="29" t="s">
        <v>599</v>
      </c>
      <c r="L1631" s="29" t="s">
        <v>600</v>
      </c>
      <c r="M1631" s="33">
        <v>-67.605</v>
      </c>
      <c r="N1631" s="33">
        <v>-6.05</v>
      </c>
      <c r="O1631" s="34" t="s">
        <v>601</v>
      </c>
      <c r="P1631" s="32" t="s">
        <v>1324</v>
      </c>
      <c r="Q1631" s="35">
        <v>45.0</v>
      </c>
      <c r="R1631" s="35">
        <v>45.0</v>
      </c>
      <c r="S1631" s="36">
        <v>0.545</v>
      </c>
      <c r="T1631" s="36">
        <v>0.738</v>
      </c>
      <c r="U1631" s="36">
        <v>0.7382</v>
      </c>
      <c r="V1631" s="36">
        <v>0.8591</v>
      </c>
      <c r="W1631" s="37" t="s">
        <v>1325</v>
      </c>
      <c r="X1631" s="31">
        <v>1.25</v>
      </c>
      <c r="Y1631" s="36">
        <v>-0.30280872860732577</v>
      </c>
      <c r="Z1631" s="36">
        <v>0.07088374079934505</v>
      </c>
      <c r="AA1631" s="29" t="s">
        <v>820</v>
      </c>
      <c r="AB1631" s="31">
        <v>0.237373918295</v>
      </c>
      <c r="AC1631" s="38">
        <v>2389.0</v>
      </c>
    </row>
    <row r="1632" ht="14.25" customHeight="1">
      <c r="A1632" s="29" t="s">
        <v>36</v>
      </c>
      <c r="B1632" s="29">
        <v>9.0</v>
      </c>
      <c r="C1632" s="29" t="s">
        <v>608</v>
      </c>
      <c r="D1632" s="29" t="s">
        <v>1330</v>
      </c>
      <c r="E1632" s="29">
        <v>30.0</v>
      </c>
      <c r="F1632" s="30" t="s">
        <v>831</v>
      </c>
      <c r="G1632" s="29" t="s">
        <v>611</v>
      </c>
      <c r="H1632" s="31">
        <v>2.63</v>
      </c>
      <c r="I1632" s="29" t="s">
        <v>616</v>
      </c>
      <c r="J1632" s="32" t="s">
        <v>598</v>
      </c>
      <c r="K1632" s="29" t="s">
        <v>599</v>
      </c>
      <c r="L1632" s="29" t="s">
        <v>600</v>
      </c>
      <c r="M1632" s="33">
        <v>-67.605</v>
      </c>
      <c r="N1632" s="33">
        <v>-6.05</v>
      </c>
      <c r="O1632" s="34" t="s">
        <v>601</v>
      </c>
      <c r="P1632" s="32" t="s">
        <v>1324</v>
      </c>
      <c r="Q1632" s="35">
        <v>45.0</v>
      </c>
      <c r="R1632" s="35">
        <v>45.0</v>
      </c>
      <c r="S1632" s="36">
        <v>0.411</v>
      </c>
      <c r="T1632" s="36">
        <v>0.738</v>
      </c>
      <c r="U1632" s="36">
        <v>0.6411</v>
      </c>
      <c r="V1632" s="36">
        <v>0.8591</v>
      </c>
      <c r="W1632" s="37" t="s">
        <v>1325</v>
      </c>
      <c r="X1632" s="31">
        <v>1.75</v>
      </c>
      <c r="Y1632" s="36">
        <v>-0.5848874510121095</v>
      </c>
      <c r="Z1632" s="36">
        <v>0.0841834457647594</v>
      </c>
      <c r="AA1632" s="29" t="s">
        <v>820</v>
      </c>
      <c r="AB1632" s="31">
        <v>0.237373918295</v>
      </c>
      <c r="AC1632" s="38">
        <v>2389.0</v>
      </c>
    </row>
    <row r="1633" ht="14.25" customHeight="1">
      <c r="A1633" s="29" t="s">
        <v>36</v>
      </c>
      <c r="B1633" s="29">
        <v>9.0</v>
      </c>
      <c r="C1633" s="29" t="s">
        <v>608</v>
      </c>
      <c r="D1633" s="29" t="s">
        <v>1330</v>
      </c>
      <c r="E1633" s="29">
        <v>30.0</v>
      </c>
      <c r="F1633" s="30" t="s">
        <v>831</v>
      </c>
      <c r="G1633" s="29" t="s">
        <v>611</v>
      </c>
      <c r="H1633" s="31">
        <v>2.63</v>
      </c>
      <c r="I1633" s="29" t="s">
        <v>616</v>
      </c>
      <c r="J1633" s="32" t="s">
        <v>598</v>
      </c>
      <c r="K1633" s="29" t="s">
        <v>599</v>
      </c>
      <c r="L1633" s="29" t="s">
        <v>600</v>
      </c>
      <c r="M1633" s="33">
        <v>-67.605</v>
      </c>
      <c r="N1633" s="33">
        <v>-6.05</v>
      </c>
      <c r="O1633" s="34" t="s">
        <v>601</v>
      </c>
      <c r="P1633" s="32" t="s">
        <v>1324</v>
      </c>
      <c r="Q1633" s="35">
        <v>45.0</v>
      </c>
      <c r="R1633" s="35">
        <v>45.0</v>
      </c>
      <c r="S1633" s="36">
        <v>0.352</v>
      </c>
      <c r="T1633" s="36">
        <v>0.738</v>
      </c>
      <c r="U1633" s="36">
        <v>0.5933</v>
      </c>
      <c r="V1633" s="36">
        <v>0.8591</v>
      </c>
      <c r="W1633" s="37" t="s">
        <v>1325</v>
      </c>
      <c r="X1633" s="31">
        <v>2.25</v>
      </c>
      <c r="Y1633" s="36">
        <v>-0.739771879117553</v>
      </c>
      <c r="Z1633" s="36">
        <v>0.09324575710005122</v>
      </c>
      <c r="AA1633" s="29" t="s">
        <v>820</v>
      </c>
      <c r="AB1633" s="31">
        <v>0.237373918295</v>
      </c>
      <c r="AC1633" s="38">
        <v>2389.0</v>
      </c>
    </row>
    <row r="1634" ht="14.25" customHeight="1">
      <c r="A1634" s="29" t="s">
        <v>36</v>
      </c>
      <c r="B1634" s="29">
        <v>9.0</v>
      </c>
      <c r="C1634" s="29" t="s">
        <v>608</v>
      </c>
      <c r="D1634" s="29" t="s">
        <v>1330</v>
      </c>
      <c r="E1634" s="29">
        <v>30.0</v>
      </c>
      <c r="F1634" s="30" t="s">
        <v>831</v>
      </c>
      <c r="G1634" s="29" t="s">
        <v>611</v>
      </c>
      <c r="H1634" s="31">
        <v>2.63</v>
      </c>
      <c r="I1634" s="29" t="s">
        <v>616</v>
      </c>
      <c r="J1634" s="32" t="s">
        <v>598</v>
      </c>
      <c r="K1634" s="29" t="s">
        <v>599</v>
      </c>
      <c r="L1634" s="29" t="s">
        <v>600</v>
      </c>
      <c r="M1634" s="33">
        <v>-67.605</v>
      </c>
      <c r="N1634" s="33">
        <v>-6.05</v>
      </c>
      <c r="O1634" s="34" t="s">
        <v>601</v>
      </c>
      <c r="P1634" s="32" t="s">
        <v>1324</v>
      </c>
      <c r="Q1634" s="35">
        <v>45.0</v>
      </c>
      <c r="R1634" s="35">
        <v>45.0</v>
      </c>
      <c r="S1634" s="36">
        <v>0.511</v>
      </c>
      <c r="T1634" s="36">
        <v>0.738</v>
      </c>
      <c r="U1634" s="36">
        <v>0.7148</v>
      </c>
      <c r="V1634" s="36">
        <v>0.8591</v>
      </c>
      <c r="W1634" s="37" t="s">
        <v>1325</v>
      </c>
      <c r="X1634" s="31">
        <v>2.75</v>
      </c>
      <c r="Y1634" s="36">
        <v>-0.36720169621108173</v>
      </c>
      <c r="Z1634" s="36">
        <v>0.07359609377762899</v>
      </c>
      <c r="AA1634" s="29" t="s">
        <v>820</v>
      </c>
      <c r="AB1634" s="31">
        <v>0.237373918295</v>
      </c>
      <c r="AC1634" s="38">
        <v>2389.0</v>
      </c>
    </row>
    <row r="1635" ht="14.25" customHeight="1">
      <c r="A1635" s="29" t="s">
        <v>36</v>
      </c>
      <c r="B1635" s="29">
        <v>9.0</v>
      </c>
      <c r="C1635" s="29" t="s">
        <v>608</v>
      </c>
      <c r="D1635" s="29" t="s">
        <v>1330</v>
      </c>
      <c r="E1635" s="29">
        <v>30.0</v>
      </c>
      <c r="F1635" s="30" t="s">
        <v>831</v>
      </c>
      <c r="G1635" s="29" t="s">
        <v>611</v>
      </c>
      <c r="H1635" s="31">
        <v>2.63</v>
      </c>
      <c r="I1635" s="29" t="s">
        <v>616</v>
      </c>
      <c r="J1635" s="32" t="s">
        <v>598</v>
      </c>
      <c r="K1635" s="29" t="s">
        <v>599</v>
      </c>
      <c r="L1635" s="29" t="s">
        <v>600</v>
      </c>
      <c r="M1635" s="33">
        <v>-67.605</v>
      </c>
      <c r="N1635" s="33">
        <v>-6.05</v>
      </c>
      <c r="O1635" s="34" t="s">
        <v>601</v>
      </c>
      <c r="P1635" s="32" t="s">
        <v>1324</v>
      </c>
      <c r="Q1635" s="35">
        <v>45.0</v>
      </c>
      <c r="R1635" s="35">
        <v>45.0</v>
      </c>
      <c r="S1635" s="36">
        <v>0.839</v>
      </c>
      <c r="T1635" s="36">
        <v>0.738</v>
      </c>
      <c r="U1635" s="36">
        <v>0.916</v>
      </c>
      <c r="V1635" s="36">
        <v>0.8591</v>
      </c>
      <c r="W1635" s="37" t="s">
        <v>1325</v>
      </c>
      <c r="X1635" s="31">
        <v>3.25</v>
      </c>
      <c r="Y1635" s="36">
        <v>0.12849379590141805</v>
      </c>
      <c r="Z1635" s="36">
        <v>0.056601892892596414</v>
      </c>
      <c r="AA1635" s="29" t="s">
        <v>820</v>
      </c>
      <c r="AB1635" s="31">
        <v>0.237373918295</v>
      </c>
      <c r="AC1635" s="38">
        <v>2389.0</v>
      </c>
    </row>
    <row r="1636" ht="14.25" customHeight="1">
      <c r="A1636" s="29" t="s">
        <v>36</v>
      </c>
      <c r="B1636" s="29">
        <v>9.0</v>
      </c>
      <c r="C1636" s="29" t="s">
        <v>608</v>
      </c>
      <c r="D1636" s="29" t="s">
        <v>1330</v>
      </c>
      <c r="E1636" s="29">
        <v>30.0</v>
      </c>
      <c r="F1636" s="30" t="s">
        <v>831</v>
      </c>
      <c r="G1636" s="29" t="s">
        <v>611</v>
      </c>
      <c r="H1636" s="31">
        <v>2.63</v>
      </c>
      <c r="I1636" s="29" t="s">
        <v>616</v>
      </c>
      <c r="J1636" s="32" t="s">
        <v>598</v>
      </c>
      <c r="K1636" s="29" t="s">
        <v>599</v>
      </c>
      <c r="L1636" s="29" t="s">
        <v>600</v>
      </c>
      <c r="M1636" s="33">
        <v>-67.605</v>
      </c>
      <c r="N1636" s="33">
        <v>-6.05</v>
      </c>
      <c r="O1636" s="34" t="s">
        <v>601</v>
      </c>
      <c r="P1636" s="32" t="s">
        <v>1324</v>
      </c>
      <c r="Q1636" s="35">
        <v>45.0</v>
      </c>
      <c r="R1636" s="35">
        <v>45.0</v>
      </c>
      <c r="S1636" s="36">
        <v>0.711</v>
      </c>
      <c r="T1636" s="36">
        <v>0.738</v>
      </c>
      <c r="U1636" s="36">
        <v>0.8432</v>
      </c>
      <c r="V1636" s="36">
        <v>0.8591</v>
      </c>
      <c r="W1636" s="37" t="s">
        <v>1325</v>
      </c>
      <c r="X1636" s="31">
        <v>3.75</v>
      </c>
      <c r="Y1636" s="36">
        <v>-0.037003635322007795</v>
      </c>
      <c r="Z1636" s="36">
        <v>0.06136784564471598</v>
      </c>
      <c r="AA1636" s="29" t="s">
        <v>820</v>
      </c>
      <c r="AB1636" s="31">
        <v>0.237373918295</v>
      </c>
      <c r="AC1636" s="38">
        <v>2389.0</v>
      </c>
    </row>
    <row r="1637" ht="14.25" customHeight="1">
      <c r="A1637" s="29" t="s">
        <v>36</v>
      </c>
      <c r="B1637" s="29">
        <v>9.0</v>
      </c>
      <c r="C1637" s="29" t="s">
        <v>608</v>
      </c>
      <c r="D1637" s="29" t="s">
        <v>1330</v>
      </c>
      <c r="E1637" s="29">
        <v>30.0</v>
      </c>
      <c r="F1637" s="30" t="s">
        <v>831</v>
      </c>
      <c r="G1637" s="29" t="s">
        <v>611</v>
      </c>
      <c r="H1637" s="31">
        <v>2.63</v>
      </c>
      <c r="I1637" s="29" t="s">
        <v>616</v>
      </c>
      <c r="J1637" s="32" t="s">
        <v>598</v>
      </c>
      <c r="K1637" s="29" t="s">
        <v>599</v>
      </c>
      <c r="L1637" s="29" t="s">
        <v>600</v>
      </c>
      <c r="M1637" s="33">
        <v>-67.605</v>
      </c>
      <c r="N1637" s="33">
        <v>-6.05</v>
      </c>
      <c r="O1637" s="34" t="s">
        <v>601</v>
      </c>
      <c r="P1637" s="32" t="s">
        <v>1324</v>
      </c>
      <c r="Q1637" s="35">
        <v>45.0</v>
      </c>
      <c r="R1637" s="35">
        <v>45.0</v>
      </c>
      <c r="S1637" s="36">
        <v>0.745</v>
      </c>
      <c r="T1637" s="36">
        <v>0.738</v>
      </c>
      <c r="U1637" s="36">
        <v>0.8631</v>
      </c>
      <c r="V1637" s="36">
        <v>0.8591</v>
      </c>
      <c r="W1637" s="37" t="s">
        <v>1325</v>
      </c>
      <c r="X1637" s="31">
        <v>4.25</v>
      </c>
      <c r="Y1637" s="36">
        <v>0.009695934920004153</v>
      </c>
      <c r="Z1637" s="36">
        <v>0.05993971531736141</v>
      </c>
      <c r="AA1637" s="29" t="s">
        <v>820</v>
      </c>
      <c r="AB1637" s="31">
        <v>0.237373918295</v>
      </c>
      <c r="AC1637" s="38">
        <v>2389.0</v>
      </c>
    </row>
    <row r="1638" ht="14.25" customHeight="1">
      <c r="A1638" s="29" t="s">
        <v>36</v>
      </c>
      <c r="B1638" s="29">
        <v>9.0</v>
      </c>
      <c r="C1638" s="29" t="s">
        <v>608</v>
      </c>
      <c r="D1638" s="29" t="s">
        <v>1153</v>
      </c>
      <c r="E1638" s="29">
        <v>74.0</v>
      </c>
      <c r="F1638" s="30" t="s">
        <v>1154</v>
      </c>
      <c r="G1638" s="29" t="s">
        <v>615</v>
      </c>
      <c r="H1638" s="31">
        <v>2.5</v>
      </c>
      <c r="I1638" s="29" t="s">
        <v>616</v>
      </c>
      <c r="J1638" s="32" t="s">
        <v>598</v>
      </c>
      <c r="K1638" s="29" t="s">
        <v>599</v>
      </c>
      <c r="L1638" s="29" t="s">
        <v>600</v>
      </c>
      <c r="M1638" s="33">
        <v>-67.605</v>
      </c>
      <c r="N1638" s="33">
        <v>-6.05</v>
      </c>
      <c r="O1638" s="34" t="s">
        <v>601</v>
      </c>
      <c r="P1638" s="32" t="s">
        <v>1324</v>
      </c>
      <c r="Q1638" s="35">
        <v>45.0</v>
      </c>
      <c r="R1638" s="35">
        <v>45.0</v>
      </c>
      <c r="S1638" s="36">
        <v>2.627</v>
      </c>
      <c r="T1638" s="36">
        <v>0.833</v>
      </c>
      <c r="U1638" s="36">
        <v>1.6208</v>
      </c>
      <c r="V1638" s="36">
        <v>0.9127</v>
      </c>
      <c r="W1638" s="37" t="s">
        <v>1325</v>
      </c>
      <c r="X1638" s="31">
        <v>0.25</v>
      </c>
      <c r="Y1638" s="36">
        <v>1.1486459531868738</v>
      </c>
      <c r="Z1638" s="36">
        <v>0.035137159115973524</v>
      </c>
      <c r="AA1638" s="29" t="s">
        <v>820</v>
      </c>
      <c r="AB1638" s="31">
        <v>0.237373918295</v>
      </c>
      <c r="AC1638" s="38">
        <v>2389.0</v>
      </c>
    </row>
    <row r="1639" ht="14.25" customHeight="1">
      <c r="A1639" s="29" t="s">
        <v>36</v>
      </c>
      <c r="B1639" s="29">
        <v>9.0</v>
      </c>
      <c r="C1639" s="29" t="s">
        <v>608</v>
      </c>
      <c r="D1639" s="29" t="s">
        <v>1153</v>
      </c>
      <c r="E1639" s="29">
        <v>74.0</v>
      </c>
      <c r="F1639" s="30" t="s">
        <v>1154</v>
      </c>
      <c r="G1639" s="29" t="s">
        <v>615</v>
      </c>
      <c r="H1639" s="31">
        <v>2.5</v>
      </c>
      <c r="I1639" s="29" t="s">
        <v>616</v>
      </c>
      <c r="J1639" s="32" t="s">
        <v>598</v>
      </c>
      <c r="K1639" s="29" t="s">
        <v>599</v>
      </c>
      <c r="L1639" s="29" t="s">
        <v>600</v>
      </c>
      <c r="M1639" s="33">
        <v>-67.605</v>
      </c>
      <c r="N1639" s="33">
        <v>-6.05</v>
      </c>
      <c r="O1639" s="34" t="s">
        <v>601</v>
      </c>
      <c r="P1639" s="32" t="s">
        <v>1324</v>
      </c>
      <c r="Q1639" s="35">
        <v>45.0</v>
      </c>
      <c r="R1639" s="35">
        <v>45.0</v>
      </c>
      <c r="S1639" s="36">
        <v>2.921</v>
      </c>
      <c r="T1639" s="36">
        <v>0.833</v>
      </c>
      <c r="U1639" s="36">
        <v>1.7091</v>
      </c>
      <c r="V1639" s="36">
        <v>0.9127</v>
      </c>
      <c r="W1639" s="37" t="s">
        <v>1325</v>
      </c>
      <c r="X1639" s="31">
        <v>0.75</v>
      </c>
      <c r="Y1639" s="36">
        <v>1.2547212324136456</v>
      </c>
      <c r="Z1639" s="36">
        <v>0.034285823519793375</v>
      </c>
      <c r="AA1639" s="29" t="s">
        <v>820</v>
      </c>
      <c r="AB1639" s="31">
        <v>0.237373918295</v>
      </c>
      <c r="AC1639" s="38">
        <v>2389.0</v>
      </c>
    </row>
    <row r="1640" ht="14.25" customHeight="1">
      <c r="A1640" s="29" t="s">
        <v>36</v>
      </c>
      <c r="B1640" s="29">
        <v>9.0</v>
      </c>
      <c r="C1640" s="29" t="s">
        <v>608</v>
      </c>
      <c r="D1640" s="29" t="s">
        <v>1153</v>
      </c>
      <c r="E1640" s="29">
        <v>74.0</v>
      </c>
      <c r="F1640" s="30" t="s">
        <v>1154</v>
      </c>
      <c r="G1640" s="29" t="s">
        <v>615</v>
      </c>
      <c r="H1640" s="31">
        <v>2.5</v>
      </c>
      <c r="I1640" s="29" t="s">
        <v>616</v>
      </c>
      <c r="J1640" s="32" t="s">
        <v>598</v>
      </c>
      <c r="K1640" s="29" t="s">
        <v>599</v>
      </c>
      <c r="L1640" s="29" t="s">
        <v>600</v>
      </c>
      <c r="M1640" s="33">
        <v>-67.605</v>
      </c>
      <c r="N1640" s="33">
        <v>-6.05</v>
      </c>
      <c r="O1640" s="34" t="s">
        <v>601</v>
      </c>
      <c r="P1640" s="32" t="s">
        <v>1324</v>
      </c>
      <c r="Q1640" s="35">
        <v>45.0</v>
      </c>
      <c r="R1640" s="35">
        <v>45.0</v>
      </c>
      <c r="S1640" s="36">
        <v>3.095</v>
      </c>
      <c r="T1640" s="36">
        <v>0.833</v>
      </c>
      <c r="U1640" s="36">
        <v>1.7593</v>
      </c>
      <c r="V1640" s="36">
        <v>0.9127</v>
      </c>
      <c r="W1640" s="37" t="s">
        <v>1325</v>
      </c>
      <c r="X1640" s="31">
        <v>1.25</v>
      </c>
      <c r="Y1640" s="36">
        <v>1.3125789790809168</v>
      </c>
      <c r="Z1640" s="36">
        <v>0.03385837555817719</v>
      </c>
      <c r="AA1640" s="29" t="s">
        <v>820</v>
      </c>
      <c r="AB1640" s="31">
        <v>0.237373918295</v>
      </c>
      <c r="AC1640" s="38">
        <v>2389.0</v>
      </c>
    </row>
    <row r="1641" ht="14.25" customHeight="1">
      <c r="A1641" s="29" t="s">
        <v>36</v>
      </c>
      <c r="B1641" s="29">
        <v>9.0</v>
      </c>
      <c r="C1641" s="29" t="s">
        <v>608</v>
      </c>
      <c r="D1641" s="29" t="s">
        <v>1153</v>
      </c>
      <c r="E1641" s="29">
        <v>74.0</v>
      </c>
      <c r="F1641" s="30" t="s">
        <v>1154</v>
      </c>
      <c r="G1641" s="29" t="s">
        <v>615</v>
      </c>
      <c r="H1641" s="31">
        <v>2.5</v>
      </c>
      <c r="I1641" s="29" t="s">
        <v>616</v>
      </c>
      <c r="J1641" s="32" t="s">
        <v>598</v>
      </c>
      <c r="K1641" s="29" t="s">
        <v>599</v>
      </c>
      <c r="L1641" s="29" t="s">
        <v>600</v>
      </c>
      <c r="M1641" s="33">
        <v>-67.605</v>
      </c>
      <c r="N1641" s="33">
        <v>-6.05</v>
      </c>
      <c r="O1641" s="34" t="s">
        <v>601</v>
      </c>
      <c r="P1641" s="32" t="s">
        <v>1324</v>
      </c>
      <c r="Q1641" s="35">
        <v>45.0</v>
      </c>
      <c r="R1641" s="35">
        <v>45.0</v>
      </c>
      <c r="S1641" s="36">
        <v>2.944</v>
      </c>
      <c r="T1641" s="36">
        <v>0.833</v>
      </c>
      <c r="U1641" s="36">
        <v>1.7158</v>
      </c>
      <c r="V1641" s="36">
        <v>0.9127</v>
      </c>
      <c r="W1641" s="37" t="s">
        <v>1325</v>
      </c>
      <c r="X1641" s="31">
        <v>1.75</v>
      </c>
      <c r="Y1641" s="36">
        <v>1.2625638351128938</v>
      </c>
      <c r="Z1641" s="36">
        <v>0.03422625076386409</v>
      </c>
      <c r="AA1641" s="29" t="s">
        <v>820</v>
      </c>
      <c r="AB1641" s="31">
        <v>0.237373918295</v>
      </c>
      <c r="AC1641" s="38">
        <v>2389.0</v>
      </c>
    </row>
    <row r="1642" ht="14.25" customHeight="1">
      <c r="A1642" s="29" t="s">
        <v>36</v>
      </c>
      <c r="B1642" s="29">
        <v>9.0</v>
      </c>
      <c r="C1642" s="29" t="s">
        <v>608</v>
      </c>
      <c r="D1642" s="29" t="s">
        <v>1153</v>
      </c>
      <c r="E1642" s="29">
        <v>74.0</v>
      </c>
      <c r="F1642" s="30" t="s">
        <v>1154</v>
      </c>
      <c r="G1642" s="29" t="s">
        <v>615</v>
      </c>
      <c r="H1642" s="31">
        <v>2.5</v>
      </c>
      <c r="I1642" s="29" t="s">
        <v>616</v>
      </c>
      <c r="J1642" s="32" t="s">
        <v>598</v>
      </c>
      <c r="K1642" s="29" t="s">
        <v>599</v>
      </c>
      <c r="L1642" s="29" t="s">
        <v>600</v>
      </c>
      <c r="M1642" s="33">
        <v>-67.605</v>
      </c>
      <c r="N1642" s="33">
        <v>-6.05</v>
      </c>
      <c r="O1642" s="34" t="s">
        <v>601</v>
      </c>
      <c r="P1642" s="32" t="s">
        <v>1324</v>
      </c>
      <c r="Q1642" s="35">
        <v>45.0</v>
      </c>
      <c r="R1642" s="35">
        <v>45.0</v>
      </c>
      <c r="S1642" s="36">
        <v>2.46</v>
      </c>
      <c r="T1642" s="36">
        <v>0.833</v>
      </c>
      <c r="U1642" s="36">
        <v>1.5684</v>
      </c>
      <c r="V1642" s="36">
        <v>0.9127</v>
      </c>
      <c r="W1642" s="37" t="s">
        <v>1325</v>
      </c>
      <c r="X1642" s="31">
        <v>2.25</v>
      </c>
      <c r="Y1642" s="36">
        <v>1.0829703456593984</v>
      </c>
      <c r="Z1642" s="36">
        <v>0.03571099715195773</v>
      </c>
      <c r="AA1642" s="29" t="s">
        <v>820</v>
      </c>
      <c r="AB1642" s="31">
        <v>0.237373918295</v>
      </c>
      <c r="AC1642" s="38">
        <v>2389.0</v>
      </c>
    </row>
    <row r="1643" ht="14.25" customHeight="1">
      <c r="A1643" s="29" t="s">
        <v>36</v>
      </c>
      <c r="B1643" s="29">
        <v>9.0</v>
      </c>
      <c r="C1643" s="29" t="s">
        <v>608</v>
      </c>
      <c r="D1643" s="29" t="s">
        <v>1153</v>
      </c>
      <c r="E1643" s="29">
        <v>74.0</v>
      </c>
      <c r="F1643" s="30" t="s">
        <v>1154</v>
      </c>
      <c r="G1643" s="29" t="s">
        <v>615</v>
      </c>
      <c r="H1643" s="31">
        <v>2.5</v>
      </c>
      <c r="I1643" s="29" t="s">
        <v>616</v>
      </c>
      <c r="J1643" s="32" t="s">
        <v>598</v>
      </c>
      <c r="K1643" s="29" t="s">
        <v>599</v>
      </c>
      <c r="L1643" s="29" t="s">
        <v>600</v>
      </c>
      <c r="M1643" s="33">
        <v>-67.605</v>
      </c>
      <c r="N1643" s="33">
        <v>-6.05</v>
      </c>
      <c r="O1643" s="34" t="s">
        <v>601</v>
      </c>
      <c r="P1643" s="32" t="s">
        <v>1324</v>
      </c>
      <c r="Q1643" s="35">
        <v>45.0</v>
      </c>
      <c r="R1643" s="35">
        <v>45.0</v>
      </c>
      <c r="S1643" s="36">
        <v>1.984</v>
      </c>
      <c r="T1643" s="36">
        <v>0.833</v>
      </c>
      <c r="U1643" s="36">
        <v>1.4085</v>
      </c>
      <c r="V1643" s="36">
        <v>0.9127</v>
      </c>
      <c r="W1643" s="37" t="s">
        <v>1325</v>
      </c>
      <c r="X1643" s="31">
        <v>2.75</v>
      </c>
      <c r="Y1643" s="36">
        <v>0.8679449625336212</v>
      </c>
      <c r="Z1643" s="36">
        <v>0.03787801505742404</v>
      </c>
      <c r="AA1643" s="29" t="s">
        <v>820</v>
      </c>
      <c r="AB1643" s="31">
        <v>0.237373918295</v>
      </c>
      <c r="AC1643" s="38">
        <v>2389.0</v>
      </c>
    </row>
    <row r="1644" ht="14.25" customHeight="1">
      <c r="A1644" s="29" t="s">
        <v>36</v>
      </c>
      <c r="B1644" s="29">
        <v>9.0</v>
      </c>
      <c r="C1644" s="29" t="s">
        <v>608</v>
      </c>
      <c r="D1644" s="29" t="s">
        <v>1153</v>
      </c>
      <c r="E1644" s="29">
        <v>74.0</v>
      </c>
      <c r="F1644" s="30" t="s">
        <v>1154</v>
      </c>
      <c r="G1644" s="29" t="s">
        <v>615</v>
      </c>
      <c r="H1644" s="31">
        <v>2.5</v>
      </c>
      <c r="I1644" s="29" t="s">
        <v>616</v>
      </c>
      <c r="J1644" s="32" t="s">
        <v>598</v>
      </c>
      <c r="K1644" s="29" t="s">
        <v>599</v>
      </c>
      <c r="L1644" s="29" t="s">
        <v>600</v>
      </c>
      <c r="M1644" s="33">
        <v>-67.605</v>
      </c>
      <c r="N1644" s="33">
        <v>-6.05</v>
      </c>
      <c r="O1644" s="34" t="s">
        <v>601</v>
      </c>
      <c r="P1644" s="32" t="s">
        <v>1324</v>
      </c>
      <c r="Q1644" s="35">
        <v>45.0</v>
      </c>
      <c r="R1644" s="35">
        <v>45.0</v>
      </c>
      <c r="S1644" s="36">
        <v>2.46</v>
      </c>
      <c r="T1644" s="36">
        <v>0.833</v>
      </c>
      <c r="U1644" s="36">
        <v>1.5684</v>
      </c>
      <c r="V1644" s="36">
        <v>0.9127</v>
      </c>
      <c r="W1644" s="37" t="s">
        <v>1325</v>
      </c>
      <c r="X1644" s="31">
        <v>3.25</v>
      </c>
      <c r="Y1644" s="36">
        <v>1.0829703456593984</v>
      </c>
      <c r="Z1644" s="36">
        <v>0.03571099715195773</v>
      </c>
      <c r="AA1644" s="29" t="s">
        <v>820</v>
      </c>
      <c r="AB1644" s="31">
        <v>0.237373918295</v>
      </c>
      <c r="AC1644" s="38">
        <v>2389.0</v>
      </c>
    </row>
    <row r="1645" ht="14.25" customHeight="1">
      <c r="A1645" s="29" t="s">
        <v>36</v>
      </c>
      <c r="B1645" s="29">
        <v>9.0</v>
      </c>
      <c r="C1645" s="29" t="s">
        <v>608</v>
      </c>
      <c r="D1645" s="29" t="s">
        <v>1153</v>
      </c>
      <c r="E1645" s="29">
        <v>74.0</v>
      </c>
      <c r="F1645" s="30" t="s">
        <v>1154</v>
      </c>
      <c r="G1645" s="29" t="s">
        <v>615</v>
      </c>
      <c r="H1645" s="31">
        <v>2.5</v>
      </c>
      <c r="I1645" s="29" t="s">
        <v>616</v>
      </c>
      <c r="J1645" s="32" t="s">
        <v>598</v>
      </c>
      <c r="K1645" s="29" t="s">
        <v>599</v>
      </c>
      <c r="L1645" s="29" t="s">
        <v>600</v>
      </c>
      <c r="M1645" s="33">
        <v>-67.605</v>
      </c>
      <c r="N1645" s="33">
        <v>-6.05</v>
      </c>
      <c r="O1645" s="34" t="s">
        <v>601</v>
      </c>
      <c r="P1645" s="32" t="s">
        <v>1324</v>
      </c>
      <c r="Q1645" s="35">
        <v>45.0</v>
      </c>
      <c r="R1645" s="35">
        <v>45.0</v>
      </c>
      <c r="S1645" s="36">
        <v>1.286</v>
      </c>
      <c r="T1645" s="36">
        <v>0.833</v>
      </c>
      <c r="U1645" s="36">
        <v>1.134</v>
      </c>
      <c r="V1645" s="36">
        <v>0.9127</v>
      </c>
      <c r="W1645" s="37" t="s">
        <v>1325</v>
      </c>
      <c r="X1645" s="31">
        <v>3.75</v>
      </c>
      <c r="Y1645" s="36">
        <v>0.43442536552727684</v>
      </c>
      <c r="Z1645" s="36">
        <v>0.04395753878736658</v>
      </c>
      <c r="AA1645" s="29" t="s">
        <v>820</v>
      </c>
      <c r="AB1645" s="31">
        <v>0.237373918295</v>
      </c>
      <c r="AC1645" s="38">
        <v>2389.0</v>
      </c>
    </row>
    <row r="1646" ht="14.25" customHeight="1">
      <c r="A1646" s="29" t="s">
        <v>36</v>
      </c>
      <c r="B1646" s="29">
        <v>9.0</v>
      </c>
      <c r="C1646" s="29" t="s">
        <v>608</v>
      </c>
      <c r="D1646" s="29" t="s">
        <v>1153</v>
      </c>
      <c r="E1646" s="29">
        <v>74.0</v>
      </c>
      <c r="F1646" s="30" t="s">
        <v>1154</v>
      </c>
      <c r="G1646" s="29" t="s">
        <v>615</v>
      </c>
      <c r="H1646" s="31">
        <v>2.5</v>
      </c>
      <c r="I1646" s="29" t="s">
        <v>616</v>
      </c>
      <c r="J1646" s="32" t="s">
        <v>598</v>
      </c>
      <c r="K1646" s="29" t="s">
        <v>599</v>
      </c>
      <c r="L1646" s="29" t="s">
        <v>600</v>
      </c>
      <c r="M1646" s="33">
        <v>-67.605</v>
      </c>
      <c r="N1646" s="33">
        <v>-6.05</v>
      </c>
      <c r="O1646" s="34" t="s">
        <v>601</v>
      </c>
      <c r="P1646" s="32" t="s">
        <v>1324</v>
      </c>
      <c r="Q1646" s="35">
        <v>45.0</v>
      </c>
      <c r="R1646" s="35">
        <v>45.0</v>
      </c>
      <c r="S1646" s="36">
        <v>0.873</v>
      </c>
      <c r="T1646" s="36">
        <v>0.833</v>
      </c>
      <c r="U1646" s="36">
        <v>0.9344</v>
      </c>
      <c r="V1646" s="36">
        <v>0.9127</v>
      </c>
      <c r="W1646" s="37" t="s">
        <v>1325</v>
      </c>
      <c r="X1646" s="31">
        <v>4.25</v>
      </c>
      <c r="Y1646" s="36">
        <v>0.047148060100985906</v>
      </c>
      <c r="Z1646" s="36">
        <v>0.05213604147960986</v>
      </c>
      <c r="AA1646" s="29" t="s">
        <v>820</v>
      </c>
      <c r="AB1646" s="31">
        <v>0.237373918295</v>
      </c>
      <c r="AC1646" s="38">
        <v>2389.0</v>
      </c>
    </row>
    <row r="1647" ht="14.25" customHeight="1">
      <c r="A1647" s="29" t="s">
        <v>36</v>
      </c>
      <c r="B1647" s="29">
        <v>9.0</v>
      </c>
      <c r="C1647" s="29" t="s">
        <v>608</v>
      </c>
      <c r="D1647" s="29" t="s">
        <v>832</v>
      </c>
      <c r="E1647" s="29">
        <v>90.0</v>
      </c>
      <c r="F1647" s="30" t="s">
        <v>833</v>
      </c>
      <c r="G1647" s="29" t="s">
        <v>611</v>
      </c>
      <c r="H1647" s="31">
        <v>6.3</v>
      </c>
      <c r="I1647" s="29" t="s">
        <v>597</v>
      </c>
      <c r="J1647" s="32" t="s">
        <v>598</v>
      </c>
      <c r="K1647" s="29" t="s">
        <v>599</v>
      </c>
      <c r="L1647" s="29" t="s">
        <v>600</v>
      </c>
      <c r="M1647" s="33">
        <v>-67.605</v>
      </c>
      <c r="N1647" s="33">
        <v>-6.05</v>
      </c>
      <c r="O1647" s="34" t="s">
        <v>601</v>
      </c>
      <c r="P1647" s="32" t="s">
        <v>1324</v>
      </c>
      <c r="Q1647" s="35">
        <v>45.0</v>
      </c>
      <c r="R1647" s="35">
        <v>45.0</v>
      </c>
      <c r="S1647" s="36">
        <v>0.0688</v>
      </c>
      <c r="T1647" s="36">
        <v>0.7104</v>
      </c>
      <c r="U1647" s="36">
        <v>0.2622</v>
      </c>
      <c r="V1647" s="36">
        <v>0.8429</v>
      </c>
      <c r="W1647" s="37" t="s">
        <v>1325</v>
      </c>
      <c r="X1647" s="31">
        <v>0.25</v>
      </c>
      <c r="Y1647" s="36">
        <v>-2.3319640101523893</v>
      </c>
      <c r="Z1647" s="36">
        <v>0.3540420556415649</v>
      </c>
      <c r="AA1647" s="29" t="s">
        <v>820</v>
      </c>
      <c r="AB1647" s="31">
        <v>0.237373918295</v>
      </c>
      <c r="AC1647" s="38">
        <v>2389.0</v>
      </c>
    </row>
    <row r="1648" ht="14.25" customHeight="1">
      <c r="A1648" s="29" t="s">
        <v>36</v>
      </c>
      <c r="B1648" s="29">
        <v>9.0</v>
      </c>
      <c r="C1648" s="29" t="s">
        <v>608</v>
      </c>
      <c r="D1648" s="29" t="s">
        <v>832</v>
      </c>
      <c r="E1648" s="29">
        <v>90.0</v>
      </c>
      <c r="F1648" s="30" t="s">
        <v>833</v>
      </c>
      <c r="G1648" s="29" t="s">
        <v>611</v>
      </c>
      <c r="H1648" s="31">
        <v>6.3</v>
      </c>
      <c r="I1648" s="29" t="s">
        <v>597</v>
      </c>
      <c r="J1648" s="32" t="s">
        <v>598</v>
      </c>
      <c r="K1648" s="29" t="s">
        <v>599</v>
      </c>
      <c r="L1648" s="29" t="s">
        <v>600</v>
      </c>
      <c r="M1648" s="33">
        <v>-67.605</v>
      </c>
      <c r="N1648" s="33">
        <v>-6.05</v>
      </c>
      <c r="O1648" s="34" t="s">
        <v>601</v>
      </c>
      <c r="P1648" s="32" t="s">
        <v>1324</v>
      </c>
      <c r="Q1648" s="35">
        <v>45.0</v>
      </c>
      <c r="R1648" s="35">
        <v>45.0</v>
      </c>
      <c r="S1648" s="36">
        <v>0.208</v>
      </c>
      <c r="T1648" s="36">
        <v>0.7104</v>
      </c>
      <c r="U1648" s="36">
        <v>0.4561</v>
      </c>
      <c r="V1648" s="36">
        <v>0.8429</v>
      </c>
      <c r="W1648" s="37" t="s">
        <v>1325</v>
      </c>
      <c r="X1648" s="31">
        <v>0.75</v>
      </c>
      <c r="Y1648" s="36">
        <v>-1.2274093377906576</v>
      </c>
      <c r="Z1648" s="36">
        <v>0.13813640504745328</v>
      </c>
      <c r="AA1648" s="29" t="s">
        <v>820</v>
      </c>
      <c r="AB1648" s="31">
        <v>0.237373918295</v>
      </c>
      <c r="AC1648" s="38">
        <v>2389.0</v>
      </c>
    </row>
    <row r="1649" ht="14.25" customHeight="1">
      <c r="A1649" s="29" t="s">
        <v>36</v>
      </c>
      <c r="B1649" s="29">
        <v>9.0</v>
      </c>
      <c r="C1649" s="29" t="s">
        <v>608</v>
      </c>
      <c r="D1649" s="29" t="s">
        <v>832</v>
      </c>
      <c r="E1649" s="29">
        <v>90.0</v>
      </c>
      <c r="F1649" s="30" t="s">
        <v>833</v>
      </c>
      <c r="G1649" s="29" t="s">
        <v>611</v>
      </c>
      <c r="H1649" s="31">
        <v>6.3</v>
      </c>
      <c r="I1649" s="29" t="s">
        <v>597</v>
      </c>
      <c r="J1649" s="32" t="s">
        <v>598</v>
      </c>
      <c r="K1649" s="29" t="s">
        <v>599</v>
      </c>
      <c r="L1649" s="29" t="s">
        <v>600</v>
      </c>
      <c r="M1649" s="33">
        <v>-67.605</v>
      </c>
      <c r="N1649" s="33">
        <v>-6.05</v>
      </c>
      <c r="O1649" s="34" t="s">
        <v>601</v>
      </c>
      <c r="P1649" s="32" t="s">
        <v>1324</v>
      </c>
      <c r="Q1649" s="35">
        <v>45.0</v>
      </c>
      <c r="R1649" s="35">
        <v>45.0</v>
      </c>
      <c r="S1649" s="36">
        <v>0.275</v>
      </c>
      <c r="T1649" s="36">
        <v>0.7104</v>
      </c>
      <c r="U1649" s="36">
        <v>0.5244</v>
      </c>
      <c r="V1649" s="36">
        <v>0.8429</v>
      </c>
      <c r="W1649" s="37" t="s">
        <v>1325</v>
      </c>
      <c r="X1649" s="31">
        <v>1.25</v>
      </c>
      <c r="Y1649" s="36">
        <v>-0.9483908369781019</v>
      </c>
      <c r="Z1649" s="36">
        <v>0.11209153935713151</v>
      </c>
      <c r="AA1649" s="29" t="s">
        <v>820</v>
      </c>
      <c r="AB1649" s="31">
        <v>0.237373918295</v>
      </c>
      <c r="AC1649" s="38">
        <v>2389.0</v>
      </c>
    </row>
    <row r="1650" ht="14.25" customHeight="1">
      <c r="A1650" s="29" t="s">
        <v>36</v>
      </c>
      <c r="B1650" s="29">
        <v>9.0</v>
      </c>
      <c r="C1650" s="29" t="s">
        <v>608</v>
      </c>
      <c r="D1650" s="29" t="s">
        <v>832</v>
      </c>
      <c r="E1650" s="29">
        <v>90.0</v>
      </c>
      <c r="F1650" s="30" t="s">
        <v>833</v>
      </c>
      <c r="G1650" s="29" t="s">
        <v>611</v>
      </c>
      <c r="H1650" s="31">
        <v>6.3</v>
      </c>
      <c r="I1650" s="29" t="s">
        <v>597</v>
      </c>
      <c r="J1650" s="32" t="s">
        <v>598</v>
      </c>
      <c r="K1650" s="29" t="s">
        <v>599</v>
      </c>
      <c r="L1650" s="29" t="s">
        <v>600</v>
      </c>
      <c r="M1650" s="33">
        <v>-67.605</v>
      </c>
      <c r="N1650" s="33">
        <v>-6.05</v>
      </c>
      <c r="O1650" s="34" t="s">
        <v>601</v>
      </c>
      <c r="P1650" s="32" t="s">
        <v>1324</v>
      </c>
      <c r="Q1650" s="35">
        <v>45.0</v>
      </c>
      <c r="R1650" s="35">
        <v>45.0</v>
      </c>
      <c r="S1650" s="36">
        <v>0.494</v>
      </c>
      <c r="T1650" s="36">
        <v>0.7104</v>
      </c>
      <c r="U1650" s="36">
        <v>0.7029</v>
      </c>
      <c r="V1650" s="36">
        <v>0.8429</v>
      </c>
      <c r="W1650" s="37" t="s">
        <v>1325</v>
      </c>
      <c r="X1650" s="31">
        <v>1.75</v>
      </c>
      <c r="Y1650" s="36">
        <v>-0.36292172764397046</v>
      </c>
      <c r="Z1650" s="36">
        <v>0.07627530701216793</v>
      </c>
      <c r="AA1650" s="29" t="s">
        <v>820</v>
      </c>
      <c r="AB1650" s="31">
        <v>0.237373918295</v>
      </c>
      <c r="AC1650" s="38">
        <v>2389.0</v>
      </c>
    </row>
    <row r="1651" ht="14.25" customHeight="1">
      <c r="A1651" s="29" t="s">
        <v>36</v>
      </c>
      <c r="B1651" s="29">
        <v>9.0</v>
      </c>
      <c r="C1651" s="29" t="s">
        <v>608</v>
      </c>
      <c r="D1651" s="29" t="s">
        <v>832</v>
      </c>
      <c r="E1651" s="29">
        <v>90.0</v>
      </c>
      <c r="F1651" s="30" t="s">
        <v>833</v>
      </c>
      <c r="G1651" s="29" t="s">
        <v>611</v>
      </c>
      <c r="H1651" s="31">
        <v>6.3</v>
      </c>
      <c r="I1651" s="29" t="s">
        <v>597</v>
      </c>
      <c r="J1651" s="32" t="s">
        <v>598</v>
      </c>
      <c r="K1651" s="29" t="s">
        <v>599</v>
      </c>
      <c r="L1651" s="29" t="s">
        <v>600</v>
      </c>
      <c r="M1651" s="33">
        <v>-67.605</v>
      </c>
      <c r="N1651" s="33">
        <v>-6.05</v>
      </c>
      <c r="O1651" s="34" t="s">
        <v>601</v>
      </c>
      <c r="P1651" s="32" t="s">
        <v>1324</v>
      </c>
      <c r="Q1651" s="35">
        <v>45.0</v>
      </c>
      <c r="R1651" s="35">
        <v>45.0</v>
      </c>
      <c r="S1651" s="36">
        <v>0.635</v>
      </c>
      <c r="T1651" s="36">
        <v>0.7104</v>
      </c>
      <c r="U1651" s="36">
        <v>0.7969</v>
      </c>
      <c r="V1651" s="36">
        <v>0.8429</v>
      </c>
      <c r="W1651" s="37" t="s">
        <v>1325</v>
      </c>
      <c r="X1651" s="31">
        <v>2.25</v>
      </c>
      <c r="Y1651" s="36">
        <v>-0.11191460178009037</v>
      </c>
      <c r="Z1651" s="36">
        <v>0.06628318161625665</v>
      </c>
      <c r="AA1651" s="29" t="s">
        <v>820</v>
      </c>
      <c r="AB1651" s="31">
        <v>0.237373918295</v>
      </c>
      <c r="AC1651" s="38">
        <v>2389.0</v>
      </c>
    </row>
    <row r="1652" ht="14.25" customHeight="1">
      <c r="A1652" s="29" t="s">
        <v>36</v>
      </c>
      <c r="B1652" s="29">
        <v>9.0</v>
      </c>
      <c r="C1652" s="29" t="s">
        <v>608</v>
      </c>
      <c r="D1652" s="29" t="s">
        <v>832</v>
      </c>
      <c r="E1652" s="29">
        <v>90.0</v>
      </c>
      <c r="F1652" s="30" t="s">
        <v>833</v>
      </c>
      <c r="G1652" s="29" t="s">
        <v>611</v>
      </c>
      <c r="H1652" s="31">
        <v>6.3</v>
      </c>
      <c r="I1652" s="29" t="s">
        <v>597</v>
      </c>
      <c r="J1652" s="32" t="s">
        <v>598</v>
      </c>
      <c r="K1652" s="29" t="s">
        <v>599</v>
      </c>
      <c r="L1652" s="29" t="s">
        <v>600</v>
      </c>
      <c r="M1652" s="33">
        <v>-67.605</v>
      </c>
      <c r="N1652" s="33">
        <v>-6.05</v>
      </c>
      <c r="O1652" s="34" t="s">
        <v>601</v>
      </c>
      <c r="P1652" s="32" t="s">
        <v>1324</v>
      </c>
      <c r="Q1652" s="35">
        <v>45.0</v>
      </c>
      <c r="R1652" s="35">
        <v>45.0</v>
      </c>
      <c r="S1652" s="36">
        <v>0.667</v>
      </c>
      <c r="T1652" s="36">
        <v>0.7104</v>
      </c>
      <c r="U1652" s="36">
        <v>0.8167</v>
      </c>
      <c r="V1652" s="36">
        <v>0.8429</v>
      </c>
      <c r="W1652" s="37" t="s">
        <v>1325</v>
      </c>
      <c r="X1652" s="31">
        <v>2.75</v>
      </c>
      <c r="Y1652" s="36">
        <v>-0.06276339830086194</v>
      </c>
      <c r="Z1652" s="36">
        <v>0.06460144155305345</v>
      </c>
      <c r="AA1652" s="29" t="s">
        <v>820</v>
      </c>
      <c r="AB1652" s="31">
        <v>0.237373918295</v>
      </c>
      <c r="AC1652" s="38">
        <v>2389.0</v>
      </c>
    </row>
    <row r="1653" ht="14.25" customHeight="1">
      <c r="A1653" s="29" t="s">
        <v>36</v>
      </c>
      <c r="B1653" s="29">
        <v>9.0</v>
      </c>
      <c r="C1653" s="29" t="s">
        <v>608</v>
      </c>
      <c r="D1653" s="29" t="s">
        <v>832</v>
      </c>
      <c r="E1653" s="29">
        <v>90.0</v>
      </c>
      <c r="F1653" s="30" t="s">
        <v>833</v>
      </c>
      <c r="G1653" s="29" t="s">
        <v>611</v>
      </c>
      <c r="H1653" s="31">
        <v>6.3</v>
      </c>
      <c r="I1653" s="29" t="s">
        <v>597</v>
      </c>
      <c r="J1653" s="32" t="s">
        <v>598</v>
      </c>
      <c r="K1653" s="29" t="s">
        <v>599</v>
      </c>
      <c r="L1653" s="29" t="s">
        <v>600</v>
      </c>
      <c r="M1653" s="33">
        <v>-67.605</v>
      </c>
      <c r="N1653" s="33">
        <v>-6.05</v>
      </c>
      <c r="O1653" s="34" t="s">
        <v>601</v>
      </c>
      <c r="P1653" s="32" t="s">
        <v>1324</v>
      </c>
      <c r="Q1653" s="35">
        <v>45.0</v>
      </c>
      <c r="R1653" s="35">
        <v>45.0</v>
      </c>
      <c r="S1653" s="36">
        <v>0.771</v>
      </c>
      <c r="T1653" s="36">
        <v>0.7104</v>
      </c>
      <c r="U1653" s="36">
        <v>0.8781</v>
      </c>
      <c r="V1653" s="36">
        <v>0.8429</v>
      </c>
      <c r="W1653" s="37" t="s">
        <v>1325</v>
      </c>
      <c r="X1653" s="31">
        <v>3.25</v>
      </c>
      <c r="Y1653" s="36">
        <v>0.08209787313358842</v>
      </c>
      <c r="Z1653" s="36">
        <v>0.060109647341869084</v>
      </c>
      <c r="AA1653" s="29" t="s">
        <v>820</v>
      </c>
      <c r="AB1653" s="31">
        <v>0.237373918295</v>
      </c>
      <c r="AC1653" s="38">
        <v>2389.0</v>
      </c>
    </row>
    <row r="1654" ht="14.25" customHeight="1">
      <c r="A1654" s="29" t="s">
        <v>36</v>
      </c>
      <c r="B1654" s="29">
        <v>9.0</v>
      </c>
      <c r="C1654" s="29" t="s">
        <v>608</v>
      </c>
      <c r="D1654" s="29" t="s">
        <v>832</v>
      </c>
      <c r="E1654" s="29">
        <v>90.0</v>
      </c>
      <c r="F1654" s="30" t="s">
        <v>833</v>
      </c>
      <c r="G1654" s="29" t="s">
        <v>611</v>
      </c>
      <c r="H1654" s="31">
        <v>6.3</v>
      </c>
      <c r="I1654" s="29" t="s">
        <v>597</v>
      </c>
      <c r="J1654" s="32" t="s">
        <v>598</v>
      </c>
      <c r="K1654" s="29" t="s">
        <v>599</v>
      </c>
      <c r="L1654" s="29" t="s">
        <v>600</v>
      </c>
      <c r="M1654" s="33">
        <v>-67.605</v>
      </c>
      <c r="N1654" s="33">
        <v>-6.05</v>
      </c>
      <c r="O1654" s="34" t="s">
        <v>601</v>
      </c>
      <c r="P1654" s="32" t="s">
        <v>1324</v>
      </c>
      <c r="Q1654" s="35">
        <v>45.0</v>
      </c>
      <c r="R1654" s="35">
        <v>45.0</v>
      </c>
      <c r="S1654" s="36">
        <v>0.646</v>
      </c>
      <c r="T1654" s="36">
        <v>0.7104</v>
      </c>
      <c r="U1654" s="36">
        <v>0.8037</v>
      </c>
      <c r="V1654" s="36">
        <v>0.8429</v>
      </c>
      <c r="W1654" s="37" t="s">
        <v>1325</v>
      </c>
      <c r="X1654" s="31">
        <v>3.75</v>
      </c>
      <c r="Y1654" s="36">
        <v>-0.09474501028156164</v>
      </c>
      <c r="Z1654" s="36">
        <v>0.06568101577338593</v>
      </c>
      <c r="AA1654" s="29" t="s">
        <v>820</v>
      </c>
      <c r="AB1654" s="31">
        <v>0.237373918295</v>
      </c>
      <c r="AC1654" s="38">
        <v>2389.0</v>
      </c>
    </row>
    <row r="1655" ht="14.25" customHeight="1">
      <c r="A1655" s="29" t="s">
        <v>36</v>
      </c>
      <c r="B1655" s="29">
        <v>9.0</v>
      </c>
      <c r="C1655" s="29" t="s">
        <v>608</v>
      </c>
      <c r="D1655" s="29" t="s">
        <v>832</v>
      </c>
      <c r="E1655" s="29">
        <v>90.0</v>
      </c>
      <c r="F1655" s="30" t="s">
        <v>833</v>
      </c>
      <c r="G1655" s="29" t="s">
        <v>611</v>
      </c>
      <c r="H1655" s="31">
        <v>6.3</v>
      </c>
      <c r="I1655" s="29" t="s">
        <v>597</v>
      </c>
      <c r="J1655" s="32" t="s">
        <v>598</v>
      </c>
      <c r="K1655" s="29" t="s">
        <v>599</v>
      </c>
      <c r="L1655" s="29" t="s">
        <v>600</v>
      </c>
      <c r="M1655" s="33">
        <v>-67.605</v>
      </c>
      <c r="N1655" s="33">
        <v>-6.05</v>
      </c>
      <c r="O1655" s="34" t="s">
        <v>601</v>
      </c>
      <c r="P1655" s="32" t="s">
        <v>1324</v>
      </c>
      <c r="Q1655" s="35">
        <v>45.0</v>
      </c>
      <c r="R1655" s="35">
        <v>45.0</v>
      </c>
      <c r="S1655" s="36">
        <v>0.7917</v>
      </c>
      <c r="T1655" s="36">
        <v>0.7104</v>
      </c>
      <c r="U1655" s="36">
        <v>0.8898</v>
      </c>
      <c r="V1655" s="36">
        <v>0.8429</v>
      </c>
      <c r="W1655" s="37" t="s">
        <v>1325</v>
      </c>
      <c r="X1655" s="31">
        <v>4.25</v>
      </c>
      <c r="Y1655" s="36">
        <v>0.10858581772791148</v>
      </c>
      <c r="Z1655" s="36">
        <v>0.059355376985591596</v>
      </c>
      <c r="AA1655" s="29" t="s">
        <v>820</v>
      </c>
      <c r="AB1655" s="31">
        <v>0.237373918295</v>
      </c>
      <c r="AC1655" s="38">
        <v>2389.0</v>
      </c>
    </row>
    <row r="1656" ht="14.25" customHeight="1">
      <c r="A1656" s="29" t="s">
        <v>36</v>
      </c>
      <c r="B1656" s="29">
        <v>9.0</v>
      </c>
      <c r="C1656" s="29" t="s">
        <v>608</v>
      </c>
      <c r="D1656" s="29" t="s">
        <v>630</v>
      </c>
      <c r="E1656" s="29">
        <v>129.0</v>
      </c>
      <c r="F1656" s="30" t="s">
        <v>631</v>
      </c>
      <c r="G1656" s="29" t="s">
        <v>626</v>
      </c>
      <c r="H1656" s="31">
        <v>21.27</v>
      </c>
      <c r="I1656" s="29" t="s">
        <v>612</v>
      </c>
      <c r="J1656" s="32" t="s">
        <v>598</v>
      </c>
      <c r="K1656" s="29" t="s">
        <v>599</v>
      </c>
      <c r="L1656" s="29" t="s">
        <v>600</v>
      </c>
      <c r="M1656" s="33">
        <v>-67.605</v>
      </c>
      <c r="N1656" s="33">
        <v>-6.05</v>
      </c>
      <c r="O1656" s="34" t="s">
        <v>601</v>
      </c>
      <c r="P1656" s="32" t="s">
        <v>1324</v>
      </c>
      <c r="Q1656" s="35">
        <v>45.0</v>
      </c>
      <c r="R1656" s="35">
        <v>45.0</v>
      </c>
      <c r="S1656" s="36">
        <v>0.072</v>
      </c>
      <c r="T1656" s="36">
        <v>0.3209</v>
      </c>
      <c r="U1656" s="36">
        <v>0.2683</v>
      </c>
      <c r="V1656" s="36">
        <v>0.5665</v>
      </c>
      <c r="W1656" s="37" t="s">
        <v>1325</v>
      </c>
      <c r="X1656" s="31">
        <v>0.25</v>
      </c>
      <c r="Y1656" s="36">
        <v>-1.4933142072406276</v>
      </c>
      <c r="Z1656" s="36">
        <v>0.37783168459353855</v>
      </c>
      <c r="AA1656" s="29" t="s">
        <v>820</v>
      </c>
      <c r="AB1656" s="31">
        <v>0.237373918295</v>
      </c>
      <c r="AC1656" s="38">
        <v>2389.0</v>
      </c>
    </row>
    <row r="1657" ht="14.25" customHeight="1">
      <c r="A1657" s="29" t="s">
        <v>36</v>
      </c>
      <c r="B1657" s="29">
        <v>9.0</v>
      </c>
      <c r="C1657" s="29" t="s">
        <v>608</v>
      </c>
      <c r="D1657" s="29" t="s">
        <v>630</v>
      </c>
      <c r="E1657" s="29">
        <v>129.0</v>
      </c>
      <c r="F1657" s="30" t="s">
        <v>631</v>
      </c>
      <c r="G1657" s="29" t="s">
        <v>626</v>
      </c>
      <c r="H1657" s="31">
        <v>21.27</v>
      </c>
      <c r="I1657" s="29" t="s">
        <v>612</v>
      </c>
      <c r="J1657" s="32" t="s">
        <v>598</v>
      </c>
      <c r="K1657" s="29" t="s">
        <v>599</v>
      </c>
      <c r="L1657" s="29" t="s">
        <v>600</v>
      </c>
      <c r="M1657" s="33">
        <v>-67.605</v>
      </c>
      <c r="N1657" s="33">
        <v>-6.05</v>
      </c>
      <c r="O1657" s="34" t="s">
        <v>601</v>
      </c>
      <c r="P1657" s="32" t="s">
        <v>1324</v>
      </c>
      <c r="Q1657" s="35">
        <v>45.0</v>
      </c>
      <c r="R1657" s="35">
        <v>45.0</v>
      </c>
      <c r="S1657" s="36">
        <v>0.109</v>
      </c>
      <c r="T1657" s="36">
        <v>0.3209</v>
      </c>
      <c r="U1657" s="36">
        <v>0.3302</v>
      </c>
      <c r="V1657" s="36">
        <v>0.5665</v>
      </c>
      <c r="W1657" s="37" t="s">
        <v>1325</v>
      </c>
      <c r="X1657" s="31">
        <v>0.75</v>
      </c>
      <c r="Y1657" s="36">
        <v>-1.0790223988114314</v>
      </c>
      <c r="Z1657" s="36">
        <v>0.27318800721730213</v>
      </c>
      <c r="AA1657" s="29" t="s">
        <v>820</v>
      </c>
      <c r="AB1657" s="31">
        <v>0.237373918295</v>
      </c>
      <c r="AC1657" s="38">
        <v>2389.0</v>
      </c>
    </row>
    <row r="1658" ht="14.25" customHeight="1">
      <c r="A1658" s="29" t="s">
        <v>36</v>
      </c>
      <c r="B1658" s="29">
        <v>9.0</v>
      </c>
      <c r="C1658" s="29" t="s">
        <v>608</v>
      </c>
      <c r="D1658" s="29" t="s">
        <v>630</v>
      </c>
      <c r="E1658" s="29">
        <v>129.0</v>
      </c>
      <c r="F1658" s="30" t="s">
        <v>631</v>
      </c>
      <c r="G1658" s="29" t="s">
        <v>626</v>
      </c>
      <c r="H1658" s="31">
        <v>21.27</v>
      </c>
      <c r="I1658" s="29" t="s">
        <v>612</v>
      </c>
      <c r="J1658" s="32" t="s">
        <v>598</v>
      </c>
      <c r="K1658" s="29" t="s">
        <v>599</v>
      </c>
      <c r="L1658" s="29" t="s">
        <v>600</v>
      </c>
      <c r="M1658" s="33">
        <v>-67.605</v>
      </c>
      <c r="N1658" s="33">
        <v>-6.05</v>
      </c>
      <c r="O1658" s="34" t="s">
        <v>601</v>
      </c>
      <c r="P1658" s="32" t="s">
        <v>1324</v>
      </c>
      <c r="Q1658" s="35">
        <v>45.0</v>
      </c>
      <c r="R1658" s="35">
        <v>45.0</v>
      </c>
      <c r="S1658" s="36">
        <v>0.11</v>
      </c>
      <c r="T1658" s="36">
        <v>0.3209</v>
      </c>
      <c r="U1658" s="36">
        <v>0.3317</v>
      </c>
      <c r="V1658" s="36">
        <v>0.5665</v>
      </c>
      <c r="W1658" s="37" t="s">
        <v>1325</v>
      </c>
      <c r="X1658" s="31">
        <v>1.25</v>
      </c>
      <c r="Y1658" s="36">
        <v>-1.0698968150801895</v>
      </c>
      <c r="Z1658" s="36">
        <v>0.27132039491504767</v>
      </c>
      <c r="AA1658" s="29" t="s">
        <v>820</v>
      </c>
      <c r="AB1658" s="31">
        <v>0.237373918295</v>
      </c>
      <c r="AC1658" s="38">
        <v>2389.0</v>
      </c>
    </row>
    <row r="1659" ht="14.25" customHeight="1">
      <c r="A1659" s="29" t="s">
        <v>36</v>
      </c>
      <c r="B1659" s="29">
        <v>9.0</v>
      </c>
      <c r="C1659" s="29" t="s">
        <v>608</v>
      </c>
      <c r="D1659" s="29" t="s">
        <v>630</v>
      </c>
      <c r="E1659" s="29">
        <v>129.0</v>
      </c>
      <c r="F1659" s="30" t="s">
        <v>631</v>
      </c>
      <c r="G1659" s="29" t="s">
        <v>626</v>
      </c>
      <c r="H1659" s="31">
        <v>21.27</v>
      </c>
      <c r="I1659" s="29" t="s">
        <v>612</v>
      </c>
      <c r="J1659" s="32" t="s">
        <v>598</v>
      </c>
      <c r="K1659" s="29" t="s">
        <v>599</v>
      </c>
      <c r="L1659" s="29" t="s">
        <v>600</v>
      </c>
      <c r="M1659" s="33">
        <v>-67.605</v>
      </c>
      <c r="N1659" s="33">
        <v>-6.05</v>
      </c>
      <c r="O1659" s="34" t="s">
        <v>601</v>
      </c>
      <c r="P1659" s="32" t="s">
        <v>1324</v>
      </c>
      <c r="Q1659" s="35">
        <v>45.0</v>
      </c>
      <c r="R1659" s="35">
        <v>45.0</v>
      </c>
      <c r="S1659" s="36">
        <v>0.153</v>
      </c>
      <c r="T1659" s="36">
        <v>0.3209</v>
      </c>
      <c r="U1659" s="36">
        <v>0.3912</v>
      </c>
      <c r="V1659" s="36">
        <v>0.5665</v>
      </c>
      <c r="W1659" s="37" t="s">
        <v>1325</v>
      </c>
      <c r="X1659" s="31">
        <v>1.75</v>
      </c>
      <c r="Y1659" s="36">
        <v>-0.7401506519154104</v>
      </c>
      <c r="Z1659" s="36">
        <v>0.21453330561655437</v>
      </c>
      <c r="AA1659" s="29" t="s">
        <v>820</v>
      </c>
      <c r="AB1659" s="31">
        <v>0.237373918295</v>
      </c>
      <c r="AC1659" s="38">
        <v>2389.0</v>
      </c>
    </row>
    <row r="1660" ht="14.25" customHeight="1">
      <c r="A1660" s="29" t="s">
        <v>36</v>
      </c>
      <c r="B1660" s="29">
        <v>9.0</v>
      </c>
      <c r="C1660" s="29" t="s">
        <v>608</v>
      </c>
      <c r="D1660" s="29" t="s">
        <v>630</v>
      </c>
      <c r="E1660" s="29">
        <v>129.0</v>
      </c>
      <c r="F1660" s="30" t="s">
        <v>631</v>
      </c>
      <c r="G1660" s="29" t="s">
        <v>626</v>
      </c>
      <c r="H1660" s="31">
        <v>21.27</v>
      </c>
      <c r="I1660" s="29" t="s">
        <v>612</v>
      </c>
      <c r="J1660" s="32" t="s">
        <v>598</v>
      </c>
      <c r="K1660" s="29" t="s">
        <v>599</v>
      </c>
      <c r="L1660" s="29" t="s">
        <v>600</v>
      </c>
      <c r="M1660" s="33">
        <v>-67.605</v>
      </c>
      <c r="N1660" s="33">
        <v>-6.05</v>
      </c>
      <c r="O1660" s="34" t="s">
        <v>601</v>
      </c>
      <c r="P1660" s="32" t="s">
        <v>1324</v>
      </c>
      <c r="Q1660" s="35">
        <v>45.0</v>
      </c>
      <c r="R1660" s="35">
        <v>45.0</v>
      </c>
      <c r="S1660" s="36">
        <v>0.118</v>
      </c>
      <c r="T1660" s="36">
        <v>0.3209</v>
      </c>
      <c r="U1660" s="36">
        <v>0.3435</v>
      </c>
      <c r="V1660" s="36">
        <v>0.5665</v>
      </c>
      <c r="W1660" s="37" t="s">
        <v>1325</v>
      </c>
      <c r="X1660" s="31">
        <v>2.25</v>
      </c>
      <c r="Y1660" s="36">
        <v>-0.9997435464720608</v>
      </c>
      <c r="Z1660" s="36">
        <v>0.257566029638401</v>
      </c>
      <c r="AA1660" s="29" t="s">
        <v>820</v>
      </c>
      <c r="AB1660" s="31">
        <v>0.237373918295</v>
      </c>
      <c r="AC1660" s="38">
        <v>2389.0</v>
      </c>
    </row>
    <row r="1661" ht="14.25" customHeight="1">
      <c r="A1661" s="29" t="s">
        <v>36</v>
      </c>
      <c r="B1661" s="29">
        <v>9.0</v>
      </c>
      <c r="C1661" s="29" t="s">
        <v>608</v>
      </c>
      <c r="D1661" s="29" t="s">
        <v>630</v>
      </c>
      <c r="E1661" s="29">
        <v>129.0</v>
      </c>
      <c r="F1661" s="30" t="s">
        <v>631</v>
      </c>
      <c r="G1661" s="29" t="s">
        <v>626</v>
      </c>
      <c r="H1661" s="31">
        <v>21.27</v>
      </c>
      <c r="I1661" s="29" t="s">
        <v>612</v>
      </c>
      <c r="J1661" s="32" t="s">
        <v>598</v>
      </c>
      <c r="K1661" s="29" t="s">
        <v>599</v>
      </c>
      <c r="L1661" s="29" t="s">
        <v>600</v>
      </c>
      <c r="M1661" s="33">
        <v>-67.605</v>
      </c>
      <c r="N1661" s="33">
        <v>-6.05</v>
      </c>
      <c r="O1661" s="34" t="s">
        <v>601</v>
      </c>
      <c r="P1661" s="32" t="s">
        <v>1324</v>
      </c>
      <c r="Q1661" s="35">
        <v>45.0</v>
      </c>
      <c r="R1661" s="35">
        <v>45.0</v>
      </c>
      <c r="S1661" s="36">
        <v>0.291</v>
      </c>
      <c r="T1661" s="36">
        <v>0.3209</v>
      </c>
      <c r="U1661" s="36">
        <v>0.5394</v>
      </c>
      <c r="V1661" s="36">
        <v>0.5665</v>
      </c>
      <c r="W1661" s="37" t="s">
        <v>1325</v>
      </c>
      <c r="X1661" s="31">
        <v>2.75</v>
      </c>
      <c r="Y1661" s="36">
        <v>-0.09752181440646684</v>
      </c>
      <c r="Z1661" s="36">
        <v>0.14560700423084544</v>
      </c>
      <c r="AA1661" s="29" t="s">
        <v>820</v>
      </c>
      <c r="AB1661" s="31">
        <v>0.237373918295</v>
      </c>
      <c r="AC1661" s="38">
        <v>2389.0</v>
      </c>
    </row>
    <row r="1662" ht="14.25" customHeight="1">
      <c r="A1662" s="29" t="s">
        <v>36</v>
      </c>
      <c r="B1662" s="29">
        <v>9.0</v>
      </c>
      <c r="C1662" s="29" t="s">
        <v>608</v>
      </c>
      <c r="D1662" s="29" t="s">
        <v>630</v>
      </c>
      <c r="E1662" s="29">
        <v>129.0</v>
      </c>
      <c r="F1662" s="30" t="s">
        <v>631</v>
      </c>
      <c r="G1662" s="29" t="s">
        <v>626</v>
      </c>
      <c r="H1662" s="31">
        <v>21.27</v>
      </c>
      <c r="I1662" s="29" t="s">
        <v>612</v>
      </c>
      <c r="J1662" s="32" t="s">
        <v>598</v>
      </c>
      <c r="K1662" s="29" t="s">
        <v>599</v>
      </c>
      <c r="L1662" s="29" t="s">
        <v>600</v>
      </c>
      <c r="M1662" s="33">
        <v>-67.605</v>
      </c>
      <c r="N1662" s="33">
        <v>-6.05</v>
      </c>
      <c r="O1662" s="34" t="s">
        <v>601</v>
      </c>
      <c r="P1662" s="32" t="s">
        <v>1324</v>
      </c>
      <c r="Q1662" s="35">
        <v>45.0</v>
      </c>
      <c r="R1662" s="35">
        <v>45.0</v>
      </c>
      <c r="S1662" s="36">
        <v>0.26</v>
      </c>
      <c r="T1662" s="36">
        <v>0.3209</v>
      </c>
      <c r="U1662" s="36">
        <v>0.5099</v>
      </c>
      <c r="V1662" s="36">
        <v>0.5665</v>
      </c>
      <c r="W1662" s="37" t="s">
        <v>1325</v>
      </c>
      <c r="X1662" s="31">
        <v>3.25</v>
      </c>
      <c r="Y1662" s="36">
        <v>-0.21012953879700502</v>
      </c>
      <c r="Z1662" s="36">
        <v>0.15472391252797085</v>
      </c>
      <c r="AA1662" s="29" t="s">
        <v>820</v>
      </c>
      <c r="AB1662" s="31">
        <v>0.237373918295</v>
      </c>
      <c r="AC1662" s="38">
        <v>2389.0</v>
      </c>
    </row>
    <row r="1663" ht="14.25" customHeight="1">
      <c r="A1663" s="29" t="s">
        <v>36</v>
      </c>
      <c r="B1663" s="29">
        <v>9.0</v>
      </c>
      <c r="C1663" s="29" t="s">
        <v>608</v>
      </c>
      <c r="D1663" s="29" t="s">
        <v>630</v>
      </c>
      <c r="E1663" s="29">
        <v>129.0</v>
      </c>
      <c r="F1663" s="30" t="s">
        <v>631</v>
      </c>
      <c r="G1663" s="29" t="s">
        <v>626</v>
      </c>
      <c r="H1663" s="31">
        <v>21.27</v>
      </c>
      <c r="I1663" s="29" t="s">
        <v>612</v>
      </c>
      <c r="J1663" s="32" t="s">
        <v>598</v>
      </c>
      <c r="K1663" s="29" t="s">
        <v>599</v>
      </c>
      <c r="L1663" s="29" t="s">
        <v>600</v>
      </c>
      <c r="M1663" s="33">
        <v>-67.605</v>
      </c>
      <c r="N1663" s="33">
        <v>-6.05</v>
      </c>
      <c r="O1663" s="34" t="s">
        <v>601</v>
      </c>
      <c r="P1663" s="32" t="s">
        <v>1324</v>
      </c>
      <c r="Q1663" s="35">
        <v>45.0</v>
      </c>
      <c r="R1663" s="35">
        <v>45.0</v>
      </c>
      <c r="S1663" s="36">
        <v>0.329</v>
      </c>
      <c r="T1663" s="36">
        <v>0.3209</v>
      </c>
      <c r="U1663" s="36">
        <v>0.5736</v>
      </c>
      <c r="V1663" s="36">
        <v>0.5665</v>
      </c>
      <c r="W1663" s="37" t="s">
        <v>1325</v>
      </c>
      <c r="X1663" s="31">
        <v>3.75</v>
      </c>
      <c r="Y1663" s="36">
        <v>0.025179817003162172</v>
      </c>
      <c r="Z1663" s="36">
        <v>0.1368027115706275</v>
      </c>
      <c r="AA1663" s="29" t="s">
        <v>820</v>
      </c>
      <c r="AB1663" s="31">
        <v>0.237373918295</v>
      </c>
      <c r="AC1663" s="38">
        <v>2389.0</v>
      </c>
    </row>
    <row r="1664" ht="14.25" customHeight="1">
      <c r="A1664" s="29" t="s">
        <v>36</v>
      </c>
      <c r="B1664" s="29">
        <v>9.0</v>
      </c>
      <c r="C1664" s="29" t="s">
        <v>608</v>
      </c>
      <c r="D1664" s="29" t="s">
        <v>630</v>
      </c>
      <c r="E1664" s="29">
        <v>129.0</v>
      </c>
      <c r="F1664" s="30" t="s">
        <v>631</v>
      </c>
      <c r="G1664" s="29" t="s">
        <v>626</v>
      </c>
      <c r="H1664" s="31">
        <v>21.27</v>
      </c>
      <c r="I1664" s="29" t="s">
        <v>612</v>
      </c>
      <c r="J1664" s="32" t="s">
        <v>598</v>
      </c>
      <c r="K1664" s="29" t="s">
        <v>599</v>
      </c>
      <c r="L1664" s="29" t="s">
        <v>600</v>
      </c>
      <c r="M1664" s="33">
        <v>-67.605</v>
      </c>
      <c r="N1664" s="33">
        <v>-6.05</v>
      </c>
      <c r="O1664" s="34" t="s">
        <v>601</v>
      </c>
      <c r="P1664" s="32" t="s">
        <v>1324</v>
      </c>
      <c r="Q1664" s="35">
        <v>45.0</v>
      </c>
      <c r="R1664" s="35">
        <v>45.0</v>
      </c>
      <c r="S1664" s="36">
        <v>0.36</v>
      </c>
      <c r="T1664" s="36">
        <v>0.3209</v>
      </c>
      <c r="U1664" s="36">
        <v>0.6</v>
      </c>
      <c r="V1664" s="36">
        <v>0.5665</v>
      </c>
      <c r="W1664" s="37" t="s">
        <v>1325</v>
      </c>
      <c r="X1664" s="31">
        <v>4.25</v>
      </c>
      <c r="Y1664" s="36">
        <v>0.11520443338732565</v>
      </c>
      <c r="Z1664" s="36">
        <v>0.13098287629449873</v>
      </c>
      <c r="AA1664" s="29" t="s">
        <v>820</v>
      </c>
      <c r="AB1664" s="31">
        <v>0.237373918295</v>
      </c>
      <c r="AC1664" s="38">
        <v>2389.0</v>
      </c>
    </row>
    <row r="1665" ht="14.25" customHeight="1">
      <c r="A1665" s="29" t="s">
        <v>36</v>
      </c>
      <c r="B1665" s="29">
        <v>9.0</v>
      </c>
      <c r="C1665" s="29" t="s">
        <v>608</v>
      </c>
      <c r="D1665" s="29" t="s">
        <v>1331</v>
      </c>
      <c r="E1665" s="29">
        <v>168.0</v>
      </c>
      <c r="F1665" s="30" t="s">
        <v>1332</v>
      </c>
      <c r="G1665" s="29" t="s">
        <v>611</v>
      </c>
      <c r="H1665" s="31">
        <v>0.51</v>
      </c>
      <c r="I1665" s="29" t="s">
        <v>616</v>
      </c>
      <c r="J1665" s="32" t="s">
        <v>598</v>
      </c>
      <c r="K1665" s="29" t="s">
        <v>599</v>
      </c>
      <c r="L1665" s="29" t="s">
        <v>600</v>
      </c>
      <c r="M1665" s="33">
        <v>-67.605</v>
      </c>
      <c r="N1665" s="33">
        <v>-6.05</v>
      </c>
      <c r="O1665" s="34" t="s">
        <v>601</v>
      </c>
      <c r="P1665" s="32" t="s">
        <v>1324</v>
      </c>
      <c r="Q1665" s="35">
        <v>45.0</v>
      </c>
      <c r="R1665" s="35">
        <v>45.0</v>
      </c>
      <c r="S1665" s="36">
        <v>3.333</v>
      </c>
      <c r="T1665" s="36">
        <v>1.022</v>
      </c>
      <c r="U1665" s="36">
        <v>1.8257</v>
      </c>
      <c r="V1665" s="36">
        <v>1.0109</v>
      </c>
      <c r="W1665" s="37" t="s">
        <v>1325</v>
      </c>
      <c r="X1665" s="31">
        <v>0.25</v>
      </c>
      <c r="Y1665" s="36">
        <v>1.1821904144932431</v>
      </c>
      <c r="Z1665" s="36">
        <v>0.028409824431120678</v>
      </c>
      <c r="AA1665" s="29" t="s">
        <v>820</v>
      </c>
      <c r="AB1665" s="31">
        <v>0.237373918295</v>
      </c>
      <c r="AC1665" s="38">
        <v>2389.0</v>
      </c>
    </row>
    <row r="1666" ht="14.25" customHeight="1">
      <c r="A1666" s="29" t="s">
        <v>36</v>
      </c>
      <c r="B1666" s="29">
        <v>9.0</v>
      </c>
      <c r="C1666" s="29" t="s">
        <v>608</v>
      </c>
      <c r="D1666" s="29" t="s">
        <v>1331</v>
      </c>
      <c r="E1666" s="29">
        <v>168.0</v>
      </c>
      <c r="F1666" s="30" t="s">
        <v>1332</v>
      </c>
      <c r="G1666" s="29" t="s">
        <v>611</v>
      </c>
      <c r="H1666" s="31">
        <v>0.51</v>
      </c>
      <c r="I1666" s="29" t="s">
        <v>616</v>
      </c>
      <c r="J1666" s="32" t="s">
        <v>598</v>
      </c>
      <c r="K1666" s="29" t="s">
        <v>599</v>
      </c>
      <c r="L1666" s="29" t="s">
        <v>600</v>
      </c>
      <c r="M1666" s="33">
        <v>-67.605</v>
      </c>
      <c r="N1666" s="33">
        <v>-6.05</v>
      </c>
      <c r="O1666" s="34" t="s">
        <v>601</v>
      </c>
      <c r="P1666" s="32" t="s">
        <v>1324</v>
      </c>
      <c r="Q1666" s="35">
        <v>45.0</v>
      </c>
      <c r="R1666" s="35">
        <v>45.0</v>
      </c>
      <c r="S1666" s="36">
        <v>2.782</v>
      </c>
      <c r="T1666" s="36">
        <v>1.022</v>
      </c>
      <c r="U1666" s="36">
        <v>1.6679</v>
      </c>
      <c r="V1666" s="36">
        <v>1.0109</v>
      </c>
      <c r="W1666" s="37" t="s">
        <v>1325</v>
      </c>
      <c r="X1666" s="31">
        <v>0.75</v>
      </c>
      <c r="Y1666" s="36">
        <v>1.0015033757657792</v>
      </c>
      <c r="Z1666" s="36">
        <v>0.029729673772154526</v>
      </c>
      <c r="AA1666" s="29" t="s">
        <v>820</v>
      </c>
      <c r="AB1666" s="31">
        <v>0.237373918295</v>
      </c>
      <c r="AC1666" s="38">
        <v>2389.0</v>
      </c>
    </row>
    <row r="1667" ht="14.25" customHeight="1">
      <c r="A1667" s="29" t="s">
        <v>36</v>
      </c>
      <c r="B1667" s="29">
        <v>9.0</v>
      </c>
      <c r="C1667" s="29" t="s">
        <v>608</v>
      </c>
      <c r="D1667" s="29" t="s">
        <v>1331</v>
      </c>
      <c r="E1667" s="29">
        <v>168.0</v>
      </c>
      <c r="F1667" s="30" t="s">
        <v>1332</v>
      </c>
      <c r="G1667" s="29" t="s">
        <v>611</v>
      </c>
      <c r="H1667" s="31">
        <v>0.51</v>
      </c>
      <c r="I1667" s="29" t="s">
        <v>616</v>
      </c>
      <c r="J1667" s="32" t="s">
        <v>598</v>
      </c>
      <c r="K1667" s="29" t="s">
        <v>599</v>
      </c>
      <c r="L1667" s="29" t="s">
        <v>600</v>
      </c>
      <c r="M1667" s="33">
        <v>-67.605</v>
      </c>
      <c r="N1667" s="33">
        <v>-6.05</v>
      </c>
      <c r="O1667" s="34" t="s">
        <v>601</v>
      </c>
      <c r="P1667" s="32" t="s">
        <v>1324</v>
      </c>
      <c r="Q1667" s="35">
        <v>45.0</v>
      </c>
      <c r="R1667" s="35">
        <v>45.0</v>
      </c>
      <c r="S1667" s="36">
        <v>1.627</v>
      </c>
      <c r="T1667" s="36">
        <v>1.022</v>
      </c>
      <c r="U1667" s="36">
        <v>1.2755</v>
      </c>
      <c r="V1667" s="36">
        <v>1.0109</v>
      </c>
      <c r="W1667" s="37" t="s">
        <v>1325</v>
      </c>
      <c r="X1667" s="31">
        <v>1.25</v>
      </c>
      <c r="Y1667" s="36">
        <v>0.46513838472043884</v>
      </c>
      <c r="Z1667" s="36">
        <v>0.0353996959263502</v>
      </c>
      <c r="AA1667" s="29" t="s">
        <v>820</v>
      </c>
      <c r="AB1667" s="31">
        <v>0.237373918295</v>
      </c>
      <c r="AC1667" s="38">
        <v>2389.0</v>
      </c>
    </row>
    <row r="1668" ht="14.25" customHeight="1">
      <c r="A1668" s="29" t="s">
        <v>36</v>
      </c>
      <c r="B1668" s="29">
        <v>9.0</v>
      </c>
      <c r="C1668" s="29" t="s">
        <v>608</v>
      </c>
      <c r="D1668" s="29" t="s">
        <v>1331</v>
      </c>
      <c r="E1668" s="29">
        <v>168.0</v>
      </c>
      <c r="F1668" s="30" t="s">
        <v>1332</v>
      </c>
      <c r="G1668" s="29" t="s">
        <v>611</v>
      </c>
      <c r="H1668" s="31">
        <v>0.51</v>
      </c>
      <c r="I1668" s="29" t="s">
        <v>616</v>
      </c>
      <c r="J1668" s="32" t="s">
        <v>598</v>
      </c>
      <c r="K1668" s="29" t="s">
        <v>599</v>
      </c>
      <c r="L1668" s="29" t="s">
        <v>600</v>
      </c>
      <c r="M1668" s="33">
        <v>-67.605</v>
      </c>
      <c r="N1668" s="33">
        <v>-6.05</v>
      </c>
      <c r="O1668" s="34" t="s">
        <v>601</v>
      </c>
      <c r="P1668" s="32" t="s">
        <v>1324</v>
      </c>
      <c r="Q1668" s="35">
        <v>45.0</v>
      </c>
      <c r="R1668" s="35">
        <v>45.0</v>
      </c>
      <c r="S1668" s="36">
        <v>1.778</v>
      </c>
      <c r="T1668" s="36">
        <v>1.022</v>
      </c>
      <c r="U1668" s="36">
        <v>1.3334</v>
      </c>
      <c r="V1668" s="36">
        <v>1.0109</v>
      </c>
      <c r="W1668" s="37" t="s">
        <v>1325</v>
      </c>
      <c r="X1668" s="31">
        <v>1.75</v>
      </c>
      <c r="Y1668" s="36">
        <v>0.5538759323413491</v>
      </c>
      <c r="Z1668" s="36">
        <v>0.03424025528354781</v>
      </c>
      <c r="AA1668" s="29" t="s">
        <v>820</v>
      </c>
      <c r="AB1668" s="31">
        <v>0.237373918295</v>
      </c>
      <c r="AC1668" s="38">
        <v>2389.0</v>
      </c>
    </row>
    <row r="1669" ht="14.25" customHeight="1">
      <c r="A1669" s="29" t="s">
        <v>36</v>
      </c>
      <c r="B1669" s="29">
        <v>9.0</v>
      </c>
      <c r="C1669" s="29" t="s">
        <v>608</v>
      </c>
      <c r="D1669" s="29" t="s">
        <v>1331</v>
      </c>
      <c r="E1669" s="29">
        <v>168.0</v>
      </c>
      <c r="F1669" s="30" t="s">
        <v>1332</v>
      </c>
      <c r="G1669" s="29" t="s">
        <v>611</v>
      </c>
      <c r="H1669" s="31">
        <v>0.51</v>
      </c>
      <c r="I1669" s="29" t="s">
        <v>616</v>
      </c>
      <c r="J1669" s="32" t="s">
        <v>598</v>
      </c>
      <c r="K1669" s="29" t="s">
        <v>599</v>
      </c>
      <c r="L1669" s="29" t="s">
        <v>600</v>
      </c>
      <c r="M1669" s="33">
        <v>-67.605</v>
      </c>
      <c r="N1669" s="33">
        <v>-6.05</v>
      </c>
      <c r="O1669" s="34" t="s">
        <v>601</v>
      </c>
      <c r="P1669" s="32" t="s">
        <v>1324</v>
      </c>
      <c r="Q1669" s="35">
        <v>45.0</v>
      </c>
      <c r="R1669" s="35">
        <v>45.0</v>
      </c>
      <c r="S1669" s="36">
        <v>0.818</v>
      </c>
      <c r="T1669" s="36">
        <v>1.022</v>
      </c>
      <c r="U1669" s="36">
        <v>0.9044</v>
      </c>
      <c r="V1669" s="36">
        <v>1.0109</v>
      </c>
      <c r="W1669" s="37" t="s">
        <v>1325</v>
      </c>
      <c r="X1669" s="31">
        <v>2.25</v>
      </c>
      <c r="Y1669" s="36">
        <v>-0.22233214638161825</v>
      </c>
      <c r="Z1669" s="36">
        <v>0.04890664690285883</v>
      </c>
      <c r="AA1669" s="29" t="s">
        <v>820</v>
      </c>
      <c r="AB1669" s="31">
        <v>0.237373918295</v>
      </c>
      <c r="AC1669" s="38">
        <v>2389.0</v>
      </c>
    </row>
    <row r="1670" ht="14.25" customHeight="1">
      <c r="A1670" s="29" t="s">
        <v>36</v>
      </c>
      <c r="B1670" s="29">
        <v>9.0</v>
      </c>
      <c r="C1670" s="29" t="s">
        <v>608</v>
      </c>
      <c r="D1670" s="29" t="s">
        <v>1331</v>
      </c>
      <c r="E1670" s="29">
        <v>168.0</v>
      </c>
      <c r="F1670" s="30" t="s">
        <v>1332</v>
      </c>
      <c r="G1670" s="29" t="s">
        <v>611</v>
      </c>
      <c r="H1670" s="31">
        <v>0.51</v>
      </c>
      <c r="I1670" s="29" t="s">
        <v>616</v>
      </c>
      <c r="J1670" s="32" t="s">
        <v>598</v>
      </c>
      <c r="K1670" s="29" t="s">
        <v>599</v>
      </c>
      <c r="L1670" s="29" t="s">
        <v>600</v>
      </c>
      <c r="M1670" s="33">
        <v>-67.605</v>
      </c>
      <c r="N1670" s="33">
        <v>-6.05</v>
      </c>
      <c r="O1670" s="34" t="s">
        <v>601</v>
      </c>
      <c r="P1670" s="32" t="s">
        <v>1324</v>
      </c>
      <c r="Q1670" s="35">
        <v>45.0</v>
      </c>
      <c r="R1670" s="35">
        <v>45.0</v>
      </c>
      <c r="S1670" s="36">
        <v>0.907</v>
      </c>
      <c r="T1670" s="36">
        <v>1.022</v>
      </c>
      <c r="U1670" s="36">
        <v>0.9524</v>
      </c>
      <c r="V1670" s="36">
        <v>1.0109</v>
      </c>
      <c r="W1670" s="37" t="s">
        <v>1325</v>
      </c>
      <c r="X1670" s="31">
        <v>2.75</v>
      </c>
      <c r="Y1670" s="36">
        <v>-0.11908365298398367</v>
      </c>
      <c r="Z1670" s="36">
        <v>0.04624470263004866</v>
      </c>
      <c r="AA1670" s="29" t="s">
        <v>820</v>
      </c>
      <c r="AB1670" s="31">
        <v>0.237373918295</v>
      </c>
      <c r="AC1670" s="38">
        <v>2389.0</v>
      </c>
    </row>
    <row r="1671" ht="14.25" customHeight="1">
      <c r="A1671" s="29" t="s">
        <v>36</v>
      </c>
      <c r="B1671" s="29">
        <v>9.0</v>
      </c>
      <c r="C1671" s="29" t="s">
        <v>608</v>
      </c>
      <c r="D1671" s="29" t="s">
        <v>1331</v>
      </c>
      <c r="E1671" s="29">
        <v>168.0</v>
      </c>
      <c r="F1671" s="30" t="s">
        <v>1332</v>
      </c>
      <c r="G1671" s="29" t="s">
        <v>611</v>
      </c>
      <c r="H1671" s="31">
        <v>0.51</v>
      </c>
      <c r="I1671" s="29" t="s">
        <v>616</v>
      </c>
      <c r="J1671" s="32" t="s">
        <v>598</v>
      </c>
      <c r="K1671" s="29" t="s">
        <v>599</v>
      </c>
      <c r="L1671" s="29" t="s">
        <v>600</v>
      </c>
      <c r="M1671" s="33">
        <v>-67.605</v>
      </c>
      <c r="N1671" s="33">
        <v>-6.05</v>
      </c>
      <c r="O1671" s="34" t="s">
        <v>601</v>
      </c>
      <c r="P1671" s="32" t="s">
        <v>1324</v>
      </c>
      <c r="Q1671" s="35">
        <v>45.0</v>
      </c>
      <c r="R1671" s="35">
        <v>45.0</v>
      </c>
      <c r="S1671" s="36">
        <v>1.289</v>
      </c>
      <c r="T1671" s="36">
        <v>1.022</v>
      </c>
      <c r="U1671" s="36">
        <v>1.1353</v>
      </c>
      <c r="V1671" s="36">
        <v>1.0109</v>
      </c>
      <c r="W1671" s="37" t="s">
        <v>1325</v>
      </c>
      <c r="X1671" s="31">
        <v>3.25</v>
      </c>
      <c r="Y1671" s="36">
        <v>0.23230976819270152</v>
      </c>
      <c r="Z1671" s="36">
        <v>0.03898076708042775</v>
      </c>
      <c r="AA1671" s="29" t="s">
        <v>820</v>
      </c>
      <c r="AB1671" s="31">
        <v>0.237373918295</v>
      </c>
      <c r="AC1671" s="38">
        <v>2389.0</v>
      </c>
    </row>
    <row r="1672" ht="14.25" customHeight="1">
      <c r="A1672" s="29" t="s">
        <v>36</v>
      </c>
      <c r="B1672" s="29">
        <v>9.0</v>
      </c>
      <c r="C1672" s="29" t="s">
        <v>608</v>
      </c>
      <c r="D1672" s="29" t="s">
        <v>1331</v>
      </c>
      <c r="E1672" s="29">
        <v>168.0</v>
      </c>
      <c r="F1672" s="30" t="s">
        <v>1332</v>
      </c>
      <c r="G1672" s="29" t="s">
        <v>611</v>
      </c>
      <c r="H1672" s="31">
        <v>0.51</v>
      </c>
      <c r="I1672" s="29" t="s">
        <v>616</v>
      </c>
      <c r="J1672" s="32" t="s">
        <v>598</v>
      </c>
      <c r="K1672" s="29" t="s">
        <v>599</v>
      </c>
      <c r="L1672" s="29" t="s">
        <v>600</v>
      </c>
      <c r="M1672" s="33">
        <v>-67.605</v>
      </c>
      <c r="N1672" s="33">
        <v>-6.05</v>
      </c>
      <c r="O1672" s="34" t="s">
        <v>601</v>
      </c>
      <c r="P1672" s="32" t="s">
        <v>1324</v>
      </c>
      <c r="Q1672" s="35">
        <v>45.0</v>
      </c>
      <c r="R1672" s="35">
        <v>45.0</v>
      </c>
      <c r="S1672" s="36">
        <v>1.209</v>
      </c>
      <c r="T1672" s="36">
        <v>1.022</v>
      </c>
      <c r="U1672" s="36">
        <v>1.0995</v>
      </c>
      <c r="V1672" s="36">
        <v>1.0109</v>
      </c>
      <c r="W1672" s="37" t="s">
        <v>1325</v>
      </c>
      <c r="X1672" s="31">
        <v>3.75</v>
      </c>
      <c r="Y1672" s="36">
        <v>0.16825014862048404</v>
      </c>
      <c r="Z1672" s="36">
        <v>0.04012127700209486</v>
      </c>
      <c r="AA1672" s="29" t="s">
        <v>820</v>
      </c>
      <c r="AB1672" s="31">
        <v>0.237373918295</v>
      </c>
      <c r="AC1672" s="38">
        <v>2389.0</v>
      </c>
    </row>
    <row r="1673" ht="14.25" customHeight="1">
      <c r="A1673" s="29" t="s">
        <v>36</v>
      </c>
      <c r="B1673" s="29">
        <v>9.0</v>
      </c>
      <c r="C1673" s="29" t="s">
        <v>608</v>
      </c>
      <c r="D1673" s="29" t="s">
        <v>1331</v>
      </c>
      <c r="E1673" s="29">
        <v>168.0</v>
      </c>
      <c r="F1673" s="30" t="s">
        <v>1332</v>
      </c>
      <c r="G1673" s="29" t="s">
        <v>611</v>
      </c>
      <c r="H1673" s="31">
        <v>0.51</v>
      </c>
      <c r="I1673" s="29" t="s">
        <v>616</v>
      </c>
      <c r="J1673" s="32" t="s">
        <v>598</v>
      </c>
      <c r="K1673" s="29" t="s">
        <v>599</v>
      </c>
      <c r="L1673" s="29" t="s">
        <v>600</v>
      </c>
      <c r="M1673" s="33">
        <v>-67.605</v>
      </c>
      <c r="N1673" s="33">
        <v>-6.05</v>
      </c>
      <c r="O1673" s="34" t="s">
        <v>601</v>
      </c>
      <c r="P1673" s="32" t="s">
        <v>1324</v>
      </c>
      <c r="Q1673" s="35">
        <v>45.0</v>
      </c>
      <c r="R1673" s="35">
        <v>45.0</v>
      </c>
      <c r="S1673" s="36">
        <v>0.9067</v>
      </c>
      <c r="T1673" s="36">
        <v>1.022</v>
      </c>
      <c r="U1673" s="36">
        <v>0.9522</v>
      </c>
      <c r="V1673" s="36">
        <v>1.0109</v>
      </c>
      <c r="W1673" s="37" t="s">
        <v>1325</v>
      </c>
      <c r="X1673" s="31">
        <v>4.25</v>
      </c>
      <c r="Y1673" s="36">
        <v>-0.11941437228782543</v>
      </c>
      <c r="Z1673" s="36">
        <v>0.046250623049663646</v>
      </c>
      <c r="AA1673" s="29" t="s">
        <v>820</v>
      </c>
      <c r="AB1673" s="31">
        <v>0.237373918295</v>
      </c>
      <c r="AC1673" s="38">
        <v>2389.0</v>
      </c>
    </row>
    <row r="1674" ht="14.25" customHeight="1">
      <c r="A1674" s="29" t="s">
        <v>36</v>
      </c>
      <c r="B1674" s="29">
        <v>9.0</v>
      </c>
      <c r="C1674" s="29" t="s">
        <v>608</v>
      </c>
      <c r="D1674" s="29" t="s">
        <v>1104</v>
      </c>
      <c r="E1674" s="29">
        <v>171.0</v>
      </c>
      <c r="F1674" s="30" t="s">
        <v>1105</v>
      </c>
      <c r="G1674" s="29" t="s">
        <v>611</v>
      </c>
      <c r="H1674" s="31">
        <v>0.68</v>
      </c>
      <c r="I1674" s="29" t="s">
        <v>616</v>
      </c>
      <c r="J1674" s="32" t="s">
        <v>598</v>
      </c>
      <c r="K1674" s="29" t="s">
        <v>599</v>
      </c>
      <c r="L1674" s="29" t="s">
        <v>600</v>
      </c>
      <c r="M1674" s="33">
        <v>-67.605</v>
      </c>
      <c r="N1674" s="33">
        <v>-6.05</v>
      </c>
      <c r="O1674" s="34" t="s">
        <v>601</v>
      </c>
      <c r="P1674" s="32" t="s">
        <v>1324</v>
      </c>
      <c r="Q1674" s="35">
        <v>45.0</v>
      </c>
      <c r="R1674" s="35">
        <v>45.0</v>
      </c>
      <c r="S1674" s="36">
        <v>2.133</v>
      </c>
      <c r="T1674" s="36">
        <v>0.211</v>
      </c>
      <c r="U1674" s="36">
        <v>1.4605</v>
      </c>
      <c r="V1674" s="36">
        <v>0.4593</v>
      </c>
      <c r="W1674" s="37" t="s">
        <v>1325</v>
      </c>
      <c r="X1674" s="31">
        <v>0.25</v>
      </c>
      <c r="Y1674" s="36">
        <v>2.3134521062657223</v>
      </c>
      <c r="Z1674" s="36">
        <v>0.11571545994605739</v>
      </c>
      <c r="AA1674" s="29" t="s">
        <v>820</v>
      </c>
      <c r="AB1674" s="31">
        <v>0.237373918295</v>
      </c>
      <c r="AC1674" s="38">
        <v>2389.0</v>
      </c>
    </row>
    <row r="1675" ht="14.25" customHeight="1">
      <c r="A1675" s="29" t="s">
        <v>36</v>
      </c>
      <c r="B1675" s="29">
        <v>9.0</v>
      </c>
      <c r="C1675" s="29" t="s">
        <v>608</v>
      </c>
      <c r="D1675" s="29" t="s">
        <v>1104</v>
      </c>
      <c r="E1675" s="29">
        <v>171.0</v>
      </c>
      <c r="F1675" s="30" t="s">
        <v>1105</v>
      </c>
      <c r="G1675" s="29" t="s">
        <v>611</v>
      </c>
      <c r="H1675" s="31">
        <v>0.68</v>
      </c>
      <c r="I1675" s="29" t="s">
        <v>616</v>
      </c>
      <c r="J1675" s="32" t="s">
        <v>598</v>
      </c>
      <c r="K1675" s="29" t="s">
        <v>599</v>
      </c>
      <c r="L1675" s="29" t="s">
        <v>600</v>
      </c>
      <c r="M1675" s="33">
        <v>-67.605</v>
      </c>
      <c r="N1675" s="33">
        <v>-6.05</v>
      </c>
      <c r="O1675" s="34" t="s">
        <v>601</v>
      </c>
      <c r="P1675" s="32" t="s">
        <v>1324</v>
      </c>
      <c r="Q1675" s="35">
        <v>45.0</v>
      </c>
      <c r="R1675" s="35">
        <v>45.0</v>
      </c>
      <c r="S1675" s="36">
        <v>1.822</v>
      </c>
      <c r="T1675" s="36">
        <v>0.211</v>
      </c>
      <c r="U1675" s="36">
        <v>1.3498</v>
      </c>
      <c r="V1675" s="36">
        <v>0.4593</v>
      </c>
      <c r="W1675" s="37" t="s">
        <v>1325</v>
      </c>
      <c r="X1675" s="31">
        <v>0.75</v>
      </c>
      <c r="Y1675" s="36">
        <v>2.15586182181435</v>
      </c>
      <c r="Z1675" s="36">
        <v>0.11749321298672513</v>
      </c>
      <c r="AA1675" s="29" t="s">
        <v>820</v>
      </c>
      <c r="AB1675" s="31">
        <v>0.237373918295</v>
      </c>
      <c r="AC1675" s="38">
        <v>2389.0</v>
      </c>
    </row>
    <row r="1676" ht="14.25" customHeight="1">
      <c r="A1676" s="29" t="s">
        <v>36</v>
      </c>
      <c r="B1676" s="29">
        <v>9.0</v>
      </c>
      <c r="C1676" s="29" t="s">
        <v>608</v>
      </c>
      <c r="D1676" s="29" t="s">
        <v>1104</v>
      </c>
      <c r="E1676" s="29">
        <v>171.0</v>
      </c>
      <c r="F1676" s="30" t="s">
        <v>1105</v>
      </c>
      <c r="G1676" s="29" t="s">
        <v>611</v>
      </c>
      <c r="H1676" s="31">
        <v>0.68</v>
      </c>
      <c r="I1676" s="29" t="s">
        <v>616</v>
      </c>
      <c r="J1676" s="32" t="s">
        <v>598</v>
      </c>
      <c r="K1676" s="29" t="s">
        <v>599</v>
      </c>
      <c r="L1676" s="29" t="s">
        <v>600</v>
      </c>
      <c r="M1676" s="33">
        <v>-67.605</v>
      </c>
      <c r="N1676" s="33">
        <v>-6.05</v>
      </c>
      <c r="O1676" s="34" t="s">
        <v>601</v>
      </c>
      <c r="P1676" s="32" t="s">
        <v>1324</v>
      </c>
      <c r="Q1676" s="35">
        <v>45.0</v>
      </c>
      <c r="R1676" s="35">
        <v>45.0</v>
      </c>
      <c r="S1676" s="36">
        <v>0.85</v>
      </c>
      <c r="T1676" s="36">
        <v>0.211</v>
      </c>
      <c r="U1676" s="36">
        <v>0.922</v>
      </c>
      <c r="V1676" s="36">
        <v>0.4593</v>
      </c>
      <c r="W1676" s="37" t="s">
        <v>1325</v>
      </c>
      <c r="X1676" s="31">
        <v>1.25</v>
      </c>
      <c r="Y1676" s="36">
        <v>1.3934422581510826</v>
      </c>
      <c r="Z1676" s="36">
        <v>0.13144324561081946</v>
      </c>
      <c r="AA1676" s="29" t="s">
        <v>820</v>
      </c>
      <c r="AB1676" s="31">
        <v>0.237373918295</v>
      </c>
      <c r="AC1676" s="38">
        <v>2389.0</v>
      </c>
    </row>
    <row r="1677" ht="14.25" customHeight="1">
      <c r="A1677" s="29" t="s">
        <v>36</v>
      </c>
      <c r="B1677" s="29">
        <v>9.0</v>
      </c>
      <c r="C1677" s="29" t="s">
        <v>608</v>
      </c>
      <c r="D1677" s="29" t="s">
        <v>1104</v>
      </c>
      <c r="E1677" s="29">
        <v>171.0</v>
      </c>
      <c r="F1677" s="30" t="s">
        <v>1105</v>
      </c>
      <c r="G1677" s="29" t="s">
        <v>611</v>
      </c>
      <c r="H1677" s="31">
        <v>0.68</v>
      </c>
      <c r="I1677" s="29" t="s">
        <v>616</v>
      </c>
      <c r="J1677" s="32" t="s">
        <v>598</v>
      </c>
      <c r="K1677" s="29" t="s">
        <v>599</v>
      </c>
      <c r="L1677" s="29" t="s">
        <v>600</v>
      </c>
      <c r="M1677" s="33">
        <v>-67.605</v>
      </c>
      <c r="N1677" s="33">
        <v>-6.05</v>
      </c>
      <c r="O1677" s="34" t="s">
        <v>601</v>
      </c>
      <c r="P1677" s="32" t="s">
        <v>1324</v>
      </c>
      <c r="Q1677" s="35">
        <v>45.0</v>
      </c>
      <c r="R1677" s="35">
        <v>45.0</v>
      </c>
      <c r="S1677" s="36">
        <v>0.656</v>
      </c>
      <c r="T1677" s="36">
        <v>0.211</v>
      </c>
      <c r="U1677" s="36">
        <v>0.8099</v>
      </c>
      <c r="V1677" s="36">
        <v>0.4593</v>
      </c>
      <c r="W1677" s="37" t="s">
        <v>1325</v>
      </c>
      <c r="X1677" s="31">
        <v>1.75</v>
      </c>
      <c r="Y1677" s="36">
        <v>1.1343856361172582</v>
      </c>
      <c r="Z1677" s="36">
        <v>0.1391690087766161</v>
      </c>
      <c r="AA1677" s="29" t="s">
        <v>820</v>
      </c>
      <c r="AB1677" s="31">
        <v>0.237373918295</v>
      </c>
      <c r="AC1677" s="38">
        <v>2389.0</v>
      </c>
    </row>
    <row r="1678" ht="14.25" customHeight="1">
      <c r="A1678" s="29" t="s">
        <v>36</v>
      </c>
      <c r="B1678" s="29">
        <v>9.0</v>
      </c>
      <c r="C1678" s="29" t="s">
        <v>608</v>
      </c>
      <c r="D1678" s="29" t="s">
        <v>1104</v>
      </c>
      <c r="E1678" s="29">
        <v>171.0</v>
      </c>
      <c r="F1678" s="30" t="s">
        <v>1105</v>
      </c>
      <c r="G1678" s="29" t="s">
        <v>611</v>
      </c>
      <c r="H1678" s="31">
        <v>0.68</v>
      </c>
      <c r="I1678" s="29" t="s">
        <v>616</v>
      </c>
      <c r="J1678" s="32" t="s">
        <v>598</v>
      </c>
      <c r="K1678" s="29" t="s">
        <v>599</v>
      </c>
      <c r="L1678" s="29" t="s">
        <v>600</v>
      </c>
      <c r="M1678" s="33">
        <v>-67.605</v>
      </c>
      <c r="N1678" s="33">
        <v>-6.05</v>
      </c>
      <c r="O1678" s="34" t="s">
        <v>601</v>
      </c>
      <c r="P1678" s="32" t="s">
        <v>1324</v>
      </c>
      <c r="Q1678" s="35">
        <v>45.0</v>
      </c>
      <c r="R1678" s="35">
        <v>45.0</v>
      </c>
      <c r="S1678" s="36">
        <v>0.439</v>
      </c>
      <c r="T1678" s="36">
        <v>0.211</v>
      </c>
      <c r="U1678" s="36">
        <v>0.6626</v>
      </c>
      <c r="V1678" s="36">
        <v>0.4593</v>
      </c>
      <c r="W1678" s="37" t="s">
        <v>1325</v>
      </c>
      <c r="X1678" s="31">
        <v>2.25</v>
      </c>
      <c r="Y1678" s="36">
        <v>0.7327652754750786</v>
      </c>
      <c r="Z1678" s="36">
        <v>0.15592143664549893</v>
      </c>
      <c r="AA1678" s="29" t="s">
        <v>820</v>
      </c>
      <c r="AB1678" s="31">
        <v>0.237373918295</v>
      </c>
      <c r="AC1678" s="38">
        <v>2389.0</v>
      </c>
    </row>
    <row r="1679" ht="14.25" customHeight="1">
      <c r="A1679" s="29" t="s">
        <v>36</v>
      </c>
      <c r="B1679" s="29">
        <v>9.0</v>
      </c>
      <c r="C1679" s="29" t="s">
        <v>608</v>
      </c>
      <c r="D1679" s="29" t="s">
        <v>1104</v>
      </c>
      <c r="E1679" s="29">
        <v>171.0</v>
      </c>
      <c r="F1679" s="30" t="s">
        <v>1105</v>
      </c>
      <c r="G1679" s="29" t="s">
        <v>611</v>
      </c>
      <c r="H1679" s="31">
        <v>0.68</v>
      </c>
      <c r="I1679" s="29" t="s">
        <v>616</v>
      </c>
      <c r="J1679" s="32" t="s">
        <v>598</v>
      </c>
      <c r="K1679" s="29" t="s">
        <v>599</v>
      </c>
      <c r="L1679" s="29" t="s">
        <v>600</v>
      </c>
      <c r="M1679" s="33">
        <v>-67.605</v>
      </c>
      <c r="N1679" s="33">
        <v>-6.05</v>
      </c>
      <c r="O1679" s="34" t="s">
        <v>601</v>
      </c>
      <c r="P1679" s="32" t="s">
        <v>1324</v>
      </c>
      <c r="Q1679" s="35">
        <v>45.0</v>
      </c>
      <c r="R1679" s="35">
        <v>45.0</v>
      </c>
      <c r="S1679" s="36">
        <v>0.389</v>
      </c>
      <c r="T1679" s="36">
        <v>0.211</v>
      </c>
      <c r="U1679" s="36">
        <v>0.6237</v>
      </c>
      <c r="V1679" s="36">
        <v>0.4593</v>
      </c>
      <c r="W1679" s="37" t="s">
        <v>1325</v>
      </c>
      <c r="X1679" s="31">
        <v>2.75</v>
      </c>
      <c r="Y1679" s="36">
        <v>0.6118611426765576</v>
      </c>
      <c r="Z1679" s="36">
        <v>0.16242365459978836</v>
      </c>
      <c r="AA1679" s="29" t="s">
        <v>820</v>
      </c>
      <c r="AB1679" s="31">
        <v>0.237373918295</v>
      </c>
      <c r="AC1679" s="38">
        <v>2389.0</v>
      </c>
    </row>
    <row r="1680" ht="14.25" customHeight="1">
      <c r="A1680" s="29" t="s">
        <v>36</v>
      </c>
      <c r="B1680" s="29">
        <v>9.0</v>
      </c>
      <c r="C1680" s="29" t="s">
        <v>608</v>
      </c>
      <c r="D1680" s="29" t="s">
        <v>1104</v>
      </c>
      <c r="E1680" s="29">
        <v>171.0</v>
      </c>
      <c r="F1680" s="30" t="s">
        <v>1105</v>
      </c>
      <c r="G1680" s="29" t="s">
        <v>611</v>
      </c>
      <c r="H1680" s="31">
        <v>0.68</v>
      </c>
      <c r="I1680" s="29" t="s">
        <v>616</v>
      </c>
      <c r="J1680" s="32" t="s">
        <v>598</v>
      </c>
      <c r="K1680" s="29" t="s">
        <v>599</v>
      </c>
      <c r="L1680" s="29" t="s">
        <v>600</v>
      </c>
      <c r="M1680" s="33">
        <v>-67.605</v>
      </c>
      <c r="N1680" s="33">
        <v>-6.05</v>
      </c>
      <c r="O1680" s="34" t="s">
        <v>601</v>
      </c>
      <c r="P1680" s="32" t="s">
        <v>1324</v>
      </c>
      <c r="Q1680" s="35">
        <v>45.0</v>
      </c>
      <c r="R1680" s="35">
        <v>45.0</v>
      </c>
      <c r="S1680" s="36">
        <v>0.833</v>
      </c>
      <c r="T1680" s="36">
        <v>0.211</v>
      </c>
      <c r="U1680" s="36">
        <v>0.9127</v>
      </c>
      <c r="V1680" s="36">
        <v>0.4593</v>
      </c>
      <c r="W1680" s="37" t="s">
        <v>1325</v>
      </c>
      <c r="X1680" s="31">
        <v>3.25</v>
      </c>
      <c r="Y1680" s="36">
        <v>1.3732408577733648</v>
      </c>
      <c r="Z1680" s="36">
        <v>0.1319748905665208</v>
      </c>
      <c r="AA1680" s="29" t="s">
        <v>820</v>
      </c>
      <c r="AB1680" s="31">
        <v>0.237373918295</v>
      </c>
      <c r="AC1680" s="38">
        <v>2389.0</v>
      </c>
    </row>
    <row r="1681" ht="14.25" customHeight="1">
      <c r="A1681" s="29" t="s">
        <v>36</v>
      </c>
      <c r="B1681" s="29">
        <v>9.0</v>
      </c>
      <c r="C1681" s="29" t="s">
        <v>608</v>
      </c>
      <c r="D1681" s="29" t="s">
        <v>1104</v>
      </c>
      <c r="E1681" s="29">
        <v>171.0</v>
      </c>
      <c r="F1681" s="30" t="s">
        <v>1105</v>
      </c>
      <c r="G1681" s="29" t="s">
        <v>611</v>
      </c>
      <c r="H1681" s="31">
        <v>0.68</v>
      </c>
      <c r="I1681" s="29" t="s">
        <v>616</v>
      </c>
      <c r="J1681" s="32" t="s">
        <v>598</v>
      </c>
      <c r="K1681" s="29" t="s">
        <v>599</v>
      </c>
      <c r="L1681" s="29" t="s">
        <v>600</v>
      </c>
      <c r="M1681" s="33">
        <v>-67.605</v>
      </c>
      <c r="N1681" s="33">
        <v>-6.05</v>
      </c>
      <c r="O1681" s="34" t="s">
        <v>601</v>
      </c>
      <c r="P1681" s="32" t="s">
        <v>1324</v>
      </c>
      <c r="Q1681" s="35">
        <v>45.0</v>
      </c>
      <c r="R1681" s="35">
        <v>45.0</v>
      </c>
      <c r="S1681" s="36">
        <v>0.739</v>
      </c>
      <c r="T1681" s="36">
        <v>0.211</v>
      </c>
      <c r="U1681" s="36">
        <v>0.8597</v>
      </c>
      <c r="V1681" s="36">
        <v>0.4593</v>
      </c>
      <c r="W1681" s="37" t="s">
        <v>1325</v>
      </c>
      <c r="X1681" s="31">
        <v>3.75</v>
      </c>
      <c r="Y1681" s="36">
        <v>1.2535134485811452</v>
      </c>
      <c r="Z1681" s="36">
        <v>0.13537095891284748</v>
      </c>
      <c r="AA1681" s="29" t="s">
        <v>820</v>
      </c>
      <c r="AB1681" s="31">
        <v>0.237373918295</v>
      </c>
      <c r="AC1681" s="38">
        <v>2389.0</v>
      </c>
    </row>
    <row r="1682" ht="14.25" customHeight="1">
      <c r="A1682" s="29" t="s">
        <v>36</v>
      </c>
      <c r="B1682" s="29">
        <v>9.0</v>
      </c>
      <c r="C1682" s="29" t="s">
        <v>608</v>
      </c>
      <c r="D1682" s="29" t="s">
        <v>1104</v>
      </c>
      <c r="E1682" s="29">
        <v>171.0</v>
      </c>
      <c r="F1682" s="30" t="s">
        <v>1105</v>
      </c>
      <c r="G1682" s="29" t="s">
        <v>611</v>
      </c>
      <c r="H1682" s="31">
        <v>0.68</v>
      </c>
      <c r="I1682" s="29" t="s">
        <v>616</v>
      </c>
      <c r="J1682" s="32" t="s">
        <v>598</v>
      </c>
      <c r="K1682" s="29" t="s">
        <v>599</v>
      </c>
      <c r="L1682" s="29" t="s">
        <v>600</v>
      </c>
      <c r="M1682" s="33">
        <v>-67.605</v>
      </c>
      <c r="N1682" s="33">
        <v>-6.05</v>
      </c>
      <c r="O1682" s="34" t="s">
        <v>601</v>
      </c>
      <c r="P1682" s="32" t="s">
        <v>1324</v>
      </c>
      <c r="Q1682" s="35">
        <v>45.0</v>
      </c>
      <c r="R1682" s="35">
        <v>45.0</v>
      </c>
      <c r="S1682" s="36">
        <v>0.3056</v>
      </c>
      <c r="T1682" s="36">
        <v>0.211</v>
      </c>
      <c r="U1682" s="36">
        <v>0.5528</v>
      </c>
      <c r="V1682" s="36">
        <v>0.4593</v>
      </c>
      <c r="W1682" s="37" t="s">
        <v>1325</v>
      </c>
      <c r="X1682" s="31">
        <v>4.25</v>
      </c>
      <c r="Y1682" s="36">
        <v>0.37059704134411703</v>
      </c>
      <c r="Z1682" s="36">
        <v>0.1780106734536045</v>
      </c>
      <c r="AA1682" s="29" t="s">
        <v>820</v>
      </c>
      <c r="AB1682" s="31">
        <v>0.237373918295</v>
      </c>
      <c r="AC1682" s="38">
        <v>2389.0</v>
      </c>
    </row>
    <row r="1683" ht="14.25" customHeight="1">
      <c r="A1683" s="29" t="s">
        <v>36</v>
      </c>
      <c r="B1683" s="29">
        <v>9.0</v>
      </c>
      <c r="C1683" s="29" t="s">
        <v>608</v>
      </c>
      <c r="D1683" s="29" t="s">
        <v>1279</v>
      </c>
      <c r="E1683" s="29">
        <v>175.0</v>
      </c>
      <c r="F1683" s="30" t="s">
        <v>1280</v>
      </c>
      <c r="G1683" s="29" t="s">
        <v>615</v>
      </c>
      <c r="H1683" s="31">
        <v>0.4</v>
      </c>
      <c r="I1683" s="29" t="s">
        <v>597</v>
      </c>
      <c r="J1683" s="32" t="s">
        <v>598</v>
      </c>
      <c r="K1683" s="29" t="s">
        <v>599</v>
      </c>
      <c r="L1683" s="29" t="s">
        <v>600</v>
      </c>
      <c r="M1683" s="33">
        <v>-67.605</v>
      </c>
      <c r="N1683" s="33">
        <v>-6.05</v>
      </c>
      <c r="O1683" s="34" t="s">
        <v>601</v>
      </c>
      <c r="P1683" s="32" t="s">
        <v>1324</v>
      </c>
      <c r="Q1683" s="35">
        <v>45.0</v>
      </c>
      <c r="R1683" s="35">
        <v>45.0</v>
      </c>
      <c r="S1683" s="36">
        <v>3.437</v>
      </c>
      <c r="T1683" s="36">
        <v>0.349</v>
      </c>
      <c r="U1683" s="36">
        <v>1.8539</v>
      </c>
      <c r="V1683" s="36">
        <v>0.5908</v>
      </c>
      <c r="W1683" s="37" t="s">
        <v>1325</v>
      </c>
      <c r="X1683" s="31">
        <v>0.25</v>
      </c>
      <c r="Y1683" s="36">
        <v>2.287308551941633</v>
      </c>
      <c r="Z1683" s="36">
        <v>0.07014761745199172</v>
      </c>
      <c r="AA1683" s="29" t="s">
        <v>820</v>
      </c>
      <c r="AB1683" s="31">
        <v>0.237373918295</v>
      </c>
      <c r="AC1683" s="38">
        <v>2389.0</v>
      </c>
    </row>
    <row r="1684" ht="14.25" customHeight="1">
      <c r="A1684" s="29" t="s">
        <v>36</v>
      </c>
      <c r="B1684" s="29">
        <v>9.0</v>
      </c>
      <c r="C1684" s="29" t="s">
        <v>608</v>
      </c>
      <c r="D1684" s="29" t="s">
        <v>1279</v>
      </c>
      <c r="E1684" s="29">
        <v>175.0</v>
      </c>
      <c r="F1684" s="30" t="s">
        <v>1280</v>
      </c>
      <c r="G1684" s="29" t="s">
        <v>615</v>
      </c>
      <c r="H1684" s="31">
        <v>0.4</v>
      </c>
      <c r="I1684" s="29" t="s">
        <v>597</v>
      </c>
      <c r="J1684" s="32" t="s">
        <v>598</v>
      </c>
      <c r="K1684" s="29" t="s">
        <v>599</v>
      </c>
      <c r="L1684" s="29" t="s">
        <v>600</v>
      </c>
      <c r="M1684" s="33">
        <v>-67.605</v>
      </c>
      <c r="N1684" s="33">
        <v>-6.05</v>
      </c>
      <c r="O1684" s="34" t="s">
        <v>601</v>
      </c>
      <c r="P1684" s="32" t="s">
        <v>1324</v>
      </c>
      <c r="Q1684" s="35">
        <v>45.0</v>
      </c>
      <c r="R1684" s="35">
        <v>45.0</v>
      </c>
      <c r="S1684" s="36">
        <v>1.849</v>
      </c>
      <c r="T1684" s="36">
        <v>0.349</v>
      </c>
      <c r="U1684" s="36">
        <v>1.3598</v>
      </c>
      <c r="V1684" s="36">
        <v>0.5908</v>
      </c>
      <c r="W1684" s="37" t="s">
        <v>1325</v>
      </c>
      <c r="X1684" s="31">
        <v>0.75</v>
      </c>
      <c r="Y1684" s="36">
        <v>1.6673770052838637</v>
      </c>
      <c r="Z1684" s="36">
        <v>0.07570100637108605</v>
      </c>
      <c r="AA1684" s="29" t="s">
        <v>820</v>
      </c>
      <c r="AB1684" s="31">
        <v>0.237373918295</v>
      </c>
      <c r="AC1684" s="38">
        <v>2389.0</v>
      </c>
    </row>
    <row r="1685" ht="14.25" customHeight="1">
      <c r="A1685" s="29" t="s">
        <v>36</v>
      </c>
      <c r="B1685" s="29">
        <v>9.0</v>
      </c>
      <c r="C1685" s="29" t="s">
        <v>608</v>
      </c>
      <c r="D1685" s="29" t="s">
        <v>1279</v>
      </c>
      <c r="E1685" s="29">
        <v>175.0</v>
      </c>
      <c r="F1685" s="30" t="s">
        <v>1280</v>
      </c>
      <c r="G1685" s="29" t="s">
        <v>615</v>
      </c>
      <c r="H1685" s="31">
        <v>0.4</v>
      </c>
      <c r="I1685" s="29" t="s">
        <v>597</v>
      </c>
      <c r="J1685" s="32" t="s">
        <v>598</v>
      </c>
      <c r="K1685" s="29" t="s">
        <v>599</v>
      </c>
      <c r="L1685" s="29" t="s">
        <v>600</v>
      </c>
      <c r="M1685" s="33">
        <v>-67.605</v>
      </c>
      <c r="N1685" s="33">
        <v>-6.05</v>
      </c>
      <c r="O1685" s="34" t="s">
        <v>601</v>
      </c>
      <c r="P1685" s="32" t="s">
        <v>1324</v>
      </c>
      <c r="Q1685" s="35">
        <v>45.0</v>
      </c>
      <c r="R1685" s="35">
        <v>45.0</v>
      </c>
      <c r="S1685" s="36">
        <v>1.31</v>
      </c>
      <c r="T1685" s="36">
        <v>0.349</v>
      </c>
      <c r="U1685" s="36">
        <v>1.1446</v>
      </c>
      <c r="V1685" s="36">
        <v>0.5908</v>
      </c>
      <c r="W1685" s="37" t="s">
        <v>1325</v>
      </c>
      <c r="X1685" s="31">
        <v>1.25</v>
      </c>
      <c r="Y1685" s="36">
        <v>1.3227792254319852</v>
      </c>
      <c r="Z1685" s="36">
        <v>0.08064707556268311</v>
      </c>
      <c r="AA1685" s="29" t="s">
        <v>820</v>
      </c>
      <c r="AB1685" s="31">
        <v>0.237373918295</v>
      </c>
      <c r="AC1685" s="38">
        <v>2389.0</v>
      </c>
    </row>
    <row r="1686" ht="14.25" customHeight="1">
      <c r="A1686" s="29" t="s">
        <v>36</v>
      </c>
      <c r="B1686" s="29">
        <v>9.0</v>
      </c>
      <c r="C1686" s="29" t="s">
        <v>608</v>
      </c>
      <c r="D1686" s="29" t="s">
        <v>1279</v>
      </c>
      <c r="E1686" s="29">
        <v>175.0</v>
      </c>
      <c r="F1686" s="30" t="s">
        <v>1280</v>
      </c>
      <c r="G1686" s="29" t="s">
        <v>615</v>
      </c>
      <c r="H1686" s="31">
        <v>0.4</v>
      </c>
      <c r="I1686" s="29" t="s">
        <v>597</v>
      </c>
      <c r="J1686" s="32" t="s">
        <v>598</v>
      </c>
      <c r="K1686" s="29" t="s">
        <v>599</v>
      </c>
      <c r="L1686" s="29" t="s">
        <v>600</v>
      </c>
      <c r="M1686" s="33">
        <v>-67.605</v>
      </c>
      <c r="N1686" s="33">
        <v>-6.05</v>
      </c>
      <c r="O1686" s="34" t="s">
        <v>601</v>
      </c>
      <c r="P1686" s="32" t="s">
        <v>1324</v>
      </c>
      <c r="Q1686" s="35">
        <v>45.0</v>
      </c>
      <c r="R1686" s="35">
        <v>45.0</v>
      </c>
      <c r="S1686" s="36">
        <v>1.405</v>
      </c>
      <c r="T1686" s="36">
        <v>0.349</v>
      </c>
      <c r="U1686" s="36">
        <v>1.1853</v>
      </c>
      <c r="V1686" s="36">
        <v>0.5908</v>
      </c>
      <c r="W1686" s="37" t="s">
        <v>1325</v>
      </c>
      <c r="X1686" s="31">
        <v>1.75</v>
      </c>
      <c r="Y1686" s="36">
        <v>1.3927847438320282</v>
      </c>
      <c r="Z1686" s="36">
        <v>0.0794979424247445</v>
      </c>
      <c r="AA1686" s="29" t="s">
        <v>820</v>
      </c>
      <c r="AB1686" s="31">
        <v>0.237373918295</v>
      </c>
      <c r="AC1686" s="38">
        <v>2389.0</v>
      </c>
    </row>
    <row r="1687" ht="14.25" customHeight="1">
      <c r="A1687" s="29" t="s">
        <v>36</v>
      </c>
      <c r="B1687" s="29">
        <v>9.0</v>
      </c>
      <c r="C1687" s="29" t="s">
        <v>608</v>
      </c>
      <c r="D1687" s="29" t="s">
        <v>1279</v>
      </c>
      <c r="E1687" s="29">
        <v>175.0</v>
      </c>
      <c r="F1687" s="30" t="s">
        <v>1280</v>
      </c>
      <c r="G1687" s="29" t="s">
        <v>615</v>
      </c>
      <c r="H1687" s="31">
        <v>0.4</v>
      </c>
      <c r="I1687" s="29" t="s">
        <v>597</v>
      </c>
      <c r="J1687" s="32" t="s">
        <v>598</v>
      </c>
      <c r="K1687" s="29" t="s">
        <v>599</v>
      </c>
      <c r="L1687" s="29" t="s">
        <v>600</v>
      </c>
      <c r="M1687" s="33">
        <v>-67.605</v>
      </c>
      <c r="N1687" s="33">
        <v>-6.05</v>
      </c>
      <c r="O1687" s="34" t="s">
        <v>601</v>
      </c>
      <c r="P1687" s="32" t="s">
        <v>1324</v>
      </c>
      <c r="Q1687" s="35">
        <v>45.0</v>
      </c>
      <c r="R1687" s="35">
        <v>45.0</v>
      </c>
      <c r="S1687" s="36">
        <v>0.913</v>
      </c>
      <c r="T1687" s="36">
        <v>0.349</v>
      </c>
      <c r="U1687" s="36">
        <v>0.9555</v>
      </c>
      <c r="V1687" s="36">
        <v>0.5908</v>
      </c>
      <c r="W1687" s="37" t="s">
        <v>1325</v>
      </c>
      <c r="X1687" s="31">
        <v>2.25</v>
      </c>
      <c r="Y1687" s="36">
        <v>0.9617625748656697</v>
      </c>
      <c r="Z1687" s="36">
        <v>0.08802139046589408</v>
      </c>
      <c r="AA1687" s="29" t="s">
        <v>820</v>
      </c>
      <c r="AB1687" s="31">
        <v>0.237373918295</v>
      </c>
      <c r="AC1687" s="38">
        <v>2389.0</v>
      </c>
    </row>
    <row r="1688" ht="14.25" customHeight="1">
      <c r="A1688" s="29" t="s">
        <v>36</v>
      </c>
      <c r="B1688" s="29">
        <v>9.0</v>
      </c>
      <c r="C1688" s="29" t="s">
        <v>608</v>
      </c>
      <c r="D1688" s="29" t="s">
        <v>1279</v>
      </c>
      <c r="E1688" s="29">
        <v>175.0</v>
      </c>
      <c r="F1688" s="30" t="s">
        <v>1280</v>
      </c>
      <c r="G1688" s="29" t="s">
        <v>615</v>
      </c>
      <c r="H1688" s="31">
        <v>0.4</v>
      </c>
      <c r="I1688" s="29" t="s">
        <v>597</v>
      </c>
      <c r="J1688" s="32" t="s">
        <v>598</v>
      </c>
      <c r="K1688" s="29" t="s">
        <v>599</v>
      </c>
      <c r="L1688" s="29" t="s">
        <v>600</v>
      </c>
      <c r="M1688" s="33">
        <v>-67.605</v>
      </c>
      <c r="N1688" s="33">
        <v>-6.05</v>
      </c>
      <c r="O1688" s="34" t="s">
        <v>601</v>
      </c>
      <c r="P1688" s="32" t="s">
        <v>1324</v>
      </c>
      <c r="Q1688" s="35">
        <v>45.0</v>
      </c>
      <c r="R1688" s="35">
        <v>45.0</v>
      </c>
      <c r="S1688" s="36">
        <v>1.111</v>
      </c>
      <c r="T1688" s="36">
        <v>0.349</v>
      </c>
      <c r="U1688" s="36">
        <v>1.054</v>
      </c>
      <c r="V1688" s="36">
        <v>0.5908</v>
      </c>
      <c r="W1688" s="37" t="s">
        <v>1325</v>
      </c>
      <c r="X1688" s="31">
        <v>2.75</v>
      </c>
      <c r="Y1688" s="36">
        <v>1.158024909409442</v>
      </c>
      <c r="Z1688" s="36">
        <v>0.08368262150530821</v>
      </c>
      <c r="AA1688" s="29" t="s">
        <v>820</v>
      </c>
      <c r="AB1688" s="31">
        <v>0.237373918295</v>
      </c>
      <c r="AC1688" s="38">
        <v>2389.0</v>
      </c>
    </row>
    <row r="1689" ht="14.25" customHeight="1">
      <c r="A1689" s="29" t="s">
        <v>36</v>
      </c>
      <c r="B1689" s="29">
        <v>9.0</v>
      </c>
      <c r="C1689" s="29" t="s">
        <v>608</v>
      </c>
      <c r="D1689" s="29" t="s">
        <v>1279</v>
      </c>
      <c r="E1689" s="29">
        <v>175.0</v>
      </c>
      <c r="F1689" s="30" t="s">
        <v>1280</v>
      </c>
      <c r="G1689" s="29" t="s">
        <v>615</v>
      </c>
      <c r="H1689" s="31">
        <v>0.4</v>
      </c>
      <c r="I1689" s="29" t="s">
        <v>597</v>
      </c>
      <c r="J1689" s="32" t="s">
        <v>598</v>
      </c>
      <c r="K1689" s="29" t="s">
        <v>599</v>
      </c>
      <c r="L1689" s="29" t="s">
        <v>600</v>
      </c>
      <c r="M1689" s="33">
        <v>-67.605</v>
      </c>
      <c r="N1689" s="33">
        <v>-6.05</v>
      </c>
      <c r="O1689" s="34" t="s">
        <v>601</v>
      </c>
      <c r="P1689" s="32" t="s">
        <v>1324</v>
      </c>
      <c r="Q1689" s="35">
        <v>45.0</v>
      </c>
      <c r="R1689" s="35">
        <v>45.0</v>
      </c>
      <c r="S1689" s="36">
        <v>0.754</v>
      </c>
      <c r="T1689" s="36">
        <v>0.349</v>
      </c>
      <c r="U1689" s="36">
        <v>0.8683</v>
      </c>
      <c r="V1689" s="36">
        <v>0.5908</v>
      </c>
      <c r="W1689" s="37" t="s">
        <v>1325</v>
      </c>
      <c r="X1689" s="31">
        <v>3.25</v>
      </c>
      <c r="Y1689" s="36">
        <v>0.7704398568185482</v>
      </c>
      <c r="Z1689" s="36">
        <v>0.09315242272692967</v>
      </c>
      <c r="AA1689" s="29" t="s">
        <v>820</v>
      </c>
      <c r="AB1689" s="31">
        <v>0.237373918295</v>
      </c>
      <c r="AC1689" s="38">
        <v>2389.0</v>
      </c>
    </row>
    <row r="1690" ht="14.25" customHeight="1">
      <c r="A1690" s="29" t="s">
        <v>36</v>
      </c>
      <c r="B1690" s="29">
        <v>9.0</v>
      </c>
      <c r="C1690" s="29" t="s">
        <v>608</v>
      </c>
      <c r="D1690" s="29" t="s">
        <v>1279</v>
      </c>
      <c r="E1690" s="29">
        <v>175.0</v>
      </c>
      <c r="F1690" s="30" t="s">
        <v>1280</v>
      </c>
      <c r="G1690" s="29" t="s">
        <v>615</v>
      </c>
      <c r="H1690" s="31">
        <v>0.4</v>
      </c>
      <c r="I1690" s="29" t="s">
        <v>597</v>
      </c>
      <c r="J1690" s="32" t="s">
        <v>598</v>
      </c>
      <c r="K1690" s="29" t="s">
        <v>599</v>
      </c>
      <c r="L1690" s="29" t="s">
        <v>600</v>
      </c>
      <c r="M1690" s="33">
        <v>-67.605</v>
      </c>
      <c r="N1690" s="33">
        <v>-6.05</v>
      </c>
      <c r="O1690" s="34" t="s">
        <v>601</v>
      </c>
      <c r="P1690" s="32" t="s">
        <v>1324</v>
      </c>
      <c r="Q1690" s="35">
        <v>45.0</v>
      </c>
      <c r="R1690" s="35">
        <v>45.0</v>
      </c>
      <c r="S1690" s="36">
        <v>0.873</v>
      </c>
      <c r="T1690" s="36">
        <v>0.349</v>
      </c>
      <c r="U1690" s="36">
        <v>0.9343</v>
      </c>
      <c r="V1690" s="36">
        <v>0.5908</v>
      </c>
      <c r="W1690" s="37" t="s">
        <v>1325</v>
      </c>
      <c r="X1690" s="31">
        <v>3.75</v>
      </c>
      <c r="Y1690" s="36">
        <v>0.9169667683869541</v>
      </c>
      <c r="Z1690" s="36">
        <v>0.08913470688892643</v>
      </c>
      <c r="AA1690" s="29" t="s">
        <v>820</v>
      </c>
      <c r="AB1690" s="31">
        <v>0.237373918295</v>
      </c>
      <c r="AC1690" s="38">
        <v>2389.0</v>
      </c>
    </row>
    <row r="1691" ht="14.25" customHeight="1">
      <c r="A1691" s="29" t="s">
        <v>36</v>
      </c>
      <c r="B1691" s="29">
        <v>9.0</v>
      </c>
      <c r="C1691" s="29" t="s">
        <v>608</v>
      </c>
      <c r="D1691" s="29" t="s">
        <v>1279</v>
      </c>
      <c r="E1691" s="29">
        <v>175.0</v>
      </c>
      <c r="F1691" s="30" t="s">
        <v>1280</v>
      </c>
      <c r="G1691" s="29" t="s">
        <v>615</v>
      </c>
      <c r="H1691" s="31">
        <v>0.4</v>
      </c>
      <c r="I1691" s="29" t="s">
        <v>597</v>
      </c>
      <c r="J1691" s="32" t="s">
        <v>598</v>
      </c>
      <c r="K1691" s="29" t="s">
        <v>599</v>
      </c>
      <c r="L1691" s="29" t="s">
        <v>600</v>
      </c>
      <c r="M1691" s="33">
        <v>-67.605</v>
      </c>
      <c r="N1691" s="33">
        <v>-6.05</v>
      </c>
      <c r="O1691" s="34" t="s">
        <v>601</v>
      </c>
      <c r="P1691" s="32" t="s">
        <v>1324</v>
      </c>
      <c r="Q1691" s="35">
        <v>45.0</v>
      </c>
      <c r="R1691" s="35">
        <v>45.0</v>
      </c>
      <c r="S1691" s="36">
        <v>0.0873</v>
      </c>
      <c r="T1691" s="36">
        <v>0.349</v>
      </c>
      <c r="U1691" s="36">
        <v>0.2955</v>
      </c>
      <c r="V1691" s="36">
        <v>0.5908</v>
      </c>
      <c r="W1691" s="37" t="s">
        <v>1325</v>
      </c>
      <c r="X1691" s="31">
        <v>4.25</v>
      </c>
      <c r="Y1691" s="36">
        <v>-1.3846905902016056</v>
      </c>
      <c r="Z1691" s="36">
        <v>0.31829126145879283</v>
      </c>
      <c r="AA1691" s="29" t="s">
        <v>820</v>
      </c>
      <c r="AB1691" s="31">
        <v>0.237373918295</v>
      </c>
      <c r="AC1691" s="38">
        <v>2389.0</v>
      </c>
    </row>
    <row r="1692" ht="14.25" customHeight="1">
      <c r="A1692" s="29" t="s">
        <v>36</v>
      </c>
      <c r="B1692" s="29">
        <v>9.0</v>
      </c>
      <c r="C1692" s="29" t="s">
        <v>608</v>
      </c>
      <c r="D1692" s="29" t="s">
        <v>636</v>
      </c>
      <c r="E1692" s="29">
        <v>189.0</v>
      </c>
      <c r="F1692" s="30" t="s">
        <v>637</v>
      </c>
      <c r="G1692" s="29" t="s">
        <v>638</v>
      </c>
      <c r="H1692" s="31">
        <v>207.5</v>
      </c>
      <c r="I1692" s="29" t="s">
        <v>612</v>
      </c>
      <c r="J1692" s="32" t="s">
        <v>598</v>
      </c>
      <c r="K1692" s="29" t="s">
        <v>599</v>
      </c>
      <c r="L1692" s="29" t="s">
        <v>600</v>
      </c>
      <c r="M1692" s="33">
        <v>-67.605</v>
      </c>
      <c r="N1692" s="33">
        <v>-6.05</v>
      </c>
      <c r="O1692" s="34" t="s">
        <v>601</v>
      </c>
      <c r="P1692" s="32" t="s">
        <v>1324</v>
      </c>
      <c r="Q1692" s="35">
        <v>45.0</v>
      </c>
      <c r="R1692" s="35">
        <v>45.0</v>
      </c>
      <c r="S1692" s="36">
        <v>0.072</v>
      </c>
      <c r="T1692" s="36">
        <v>0.322</v>
      </c>
      <c r="U1692" s="36">
        <v>0.2683</v>
      </c>
      <c r="V1692" s="36">
        <v>0.5675</v>
      </c>
      <c r="W1692" s="37" t="s">
        <v>1325</v>
      </c>
      <c r="X1692" s="31">
        <v>0.25</v>
      </c>
      <c r="Y1692" s="36">
        <v>-1.4967322675690526</v>
      </c>
      <c r="Z1692" s="36">
        <v>0.3776023717141839</v>
      </c>
      <c r="AA1692" s="29" t="s">
        <v>820</v>
      </c>
      <c r="AB1692" s="31">
        <v>0.237373918295</v>
      </c>
      <c r="AC1692" s="38">
        <v>2389.0</v>
      </c>
    </row>
    <row r="1693" ht="14.25" customHeight="1">
      <c r="A1693" s="29" t="s">
        <v>36</v>
      </c>
      <c r="B1693" s="29">
        <v>9.0</v>
      </c>
      <c r="C1693" s="29" t="s">
        <v>608</v>
      </c>
      <c r="D1693" s="29" t="s">
        <v>636</v>
      </c>
      <c r="E1693" s="29">
        <v>189.0</v>
      </c>
      <c r="F1693" s="30" t="s">
        <v>637</v>
      </c>
      <c r="G1693" s="29" t="s">
        <v>638</v>
      </c>
      <c r="H1693" s="31">
        <v>207.5</v>
      </c>
      <c r="I1693" s="29" t="s">
        <v>612</v>
      </c>
      <c r="J1693" s="32" t="s">
        <v>598</v>
      </c>
      <c r="K1693" s="29" t="s">
        <v>599</v>
      </c>
      <c r="L1693" s="29" t="s">
        <v>600</v>
      </c>
      <c r="M1693" s="33">
        <v>-67.605</v>
      </c>
      <c r="N1693" s="33">
        <v>-6.05</v>
      </c>
      <c r="O1693" s="34" t="s">
        <v>601</v>
      </c>
      <c r="P1693" s="32" t="s">
        <v>1324</v>
      </c>
      <c r="Q1693" s="35">
        <v>45.0</v>
      </c>
      <c r="R1693" s="35">
        <v>45.0</v>
      </c>
      <c r="S1693" s="36">
        <v>0.072</v>
      </c>
      <c r="T1693" s="36">
        <v>0.322</v>
      </c>
      <c r="U1693" s="36">
        <v>0.2683</v>
      </c>
      <c r="V1693" s="36">
        <v>0.5675</v>
      </c>
      <c r="W1693" s="37" t="s">
        <v>1325</v>
      </c>
      <c r="X1693" s="31">
        <v>0.75</v>
      </c>
      <c r="Y1693" s="36">
        <v>-1.4967322675690526</v>
      </c>
      <c r="Z1693" s="36">
        <v>0.3776023717141839</v>
      </c>
      <c r="AA1693" s="29" t="s">
        <v>820</v>
      </c>
      <c r="AB1693" s="31">
        <v>0.237373918295</v>
      </c>
      <c r="AC1693" s="38">
        <v>2389.0</v>
      </c>
    </row>
    <row r="1694" ht="14.25" customHeight="1">
      <c r="A1694" s="29" t="s">
        <v>36</v>
      </c>
      <c r="B1694" s="29">
        <v>9.0</v>
      </c>
      <c r="C1694" s="29" t="s">
        <v>608</v>
      </c>
      <c r="D1694" s="29" t="s">
        <v>636</v>
      </c>
      <c r="E1694" s="29">
        <v>189.0</v>
      </c>
      <c r="F1694" s="30" t="s">
        <v>637</v>
      </c>
      <c r="G1694" s="29" t="s">
        <v>638</v>
      </c>
      <c r="H1694" s="31">
        <v>207.5</v>
      </c>
      <c r="I1694" s="29" t="s">
        <v>612</v>
      </c>
      <c r="J1694" s="32" t="s">
        <v>598</v>
      </c>
      <c r="K1694" s="29" t="s">
        <v>599</v>
      </c>
      <c r="L1694" s="29" t="s">
        <v>600</v>
      </c>
      <c r="M1694" s="33">
        <v>-67.605</v>
      </c>
      <c r="N1694" s="33">
        <v>-6.05</v>
      </c>
      <c r="O1694" s="34" t="s">
        <v>601</v>
      </c>
      <c r="P1694" s="32" t="s">
        <v>1324</v>
      </c>
      <c r="Q1694" s="35">
        <v>45.0</v>
      </c>
      <c r="R1694" s="35">
        <v>45.0</v>
      </c>
      <c r="S1694" s="36">
        <v>0.111</v>
      </c>
      <c r="T1694" s="36">
        <v>0.322</v>
      </c>
      <c r="U1694" s="36">
        <v>0.3332</v>
      </c>
      <c r="V1694" s="36">
        <v>0.5675</v>
      </c>
      <c r="W1694" s="37" t="s">
        <v>1325</v>
      </c>
      <c r="X1694" s="31">
        <v>1.25</v>
      </c>
      <c r="Y1694" s="36">
        <v>-1.0642731977184616</v>
      </c>
      <c r="Z1694" s="36">
        <v>0.26926548073787226</v>
      </c>
      <c r="AA1694" s="29" t="s">
        <v>820</v>
      </c>
      <c r="AB1694" s="31">
        <v>0.237373918295</v>
      </c>
      <c r="AC1694" s="38">
        <v>2389.0</v>
      </c>
    </row>
    <row r="1695" ht="14.25" customHeight="1">
      <c r="A1695" s="29" t="s">
        <v>36</v>
      </c>
      <c r="B1695" s="29">
        <v>9.0</v>
      </c>
      <c r="C1695" s="29" t="s">
        <v>608</v>
      </c>
      <c r="D1695" s="29" t="s">
        <v>636</v>
      </c>
      <c r="E1695" s="29">
        <v>189.0</v>
      </c>
      <c r="F1695" s="30" t="s">
        <v>637</v>
      </c>
      <c r="G1695" s="29" t="s">
        <v>638</v>
      </c>
      <c r="H1695" s="31">
        <v>207.5</v>
      </c>
      <c r="I1695" s="29" t="s">
        <v>612</v>
      </c>
      <c r="J1695" s="32" t="s">
        <v>598</v>
      </c>
      <c r="K1695" s="29" t="s">
        <v>599</v>
      </c>
      <c r="L1695" s="29" t="s">
        <v>600</v>
      </c>
      <c r="M1695" s="33">
        <v>-67.605</v>
      </c>
      <c r="N1695" s="33">
        <v>-6.05</v>
      </c>
      <c r="O1695" s="34" t="s">
        <v>601</v>
      </c>
      <c r="P1695" s="32" t="s">
        <v>1324</v>
      </c>
      <c r="Q1695" s="35">
        <v>45.0</v>
      </c>
      <c r="R1695" s="35">
        <v>45.0</v>
      </c>
      <c r="S1695" s="36">
        <v>0.076</v>
      </c>
      <c r="T1695" s="36">
        <v>0.322</v>
      </c>
      <c r="U1695" s="36">
        <v>0.2757</v>
      </c>
      <c r="V1695" s="36">
        <v>0.5675</v>
      </c>
      <c r="W1695" s="37" t="s">
        <v>1325</v>
      </c>
      <c r="X1695" s="31">
        <v>1.75</v>
      </c>
      <c r="Y1695" s="36">
        <v>-1.4427257057346816</v>
      </c>
      <c r="Z1695" s="36">
        <v>0.36146318774399744</v>
      </c>
      <c r="AA1695" s="29" t="s">
        <v>820</v>
      </c>
      <c r="AB1695" s="31">
        <v>0.237373918295</v>
      </c>
      <c r="AC1695" s="38">
        <v>2389.0</v>
      </c>
    </row>
    <row r="1696" ht="14.25" customHeight="1">
      <c r="A1696" s="29" t="s">
        <v>36</v>
      </c>
      <c r="B1696" s="29">
        <v>9.0</v>
      </c>
      <c r="C1696" s="29" t="s">
        <v>608</v>
      </c>
      <c r="D1696" s="29" t="s">
        <v>636</v>
      </c>
      <c r="E1696" s="29">
        <v>189.0</v>
      </c>
      <c r="F1696" s="30" t="s">
        <v>637</v>
      </c>
      <c r="G1696" s="29" t="s">
        <v>638</v>
      </c>
      <c r="H1696" s="31">
        <v>207.5</v>
      </c>
      <c r="I1696" s="29" t="s">
        <v>612</v>
      </c>
      <c r="J1696" s="32" t="s">
        <v>598</v>
      </c>
      <c r="K1696" s="29" t="s">
        <v>599</v>
      </c>
      <c r="L1696" s="29" t="s">
        <v>600</v>
      </c>
      <c r="M1696" s="33">
        <v>-67.605</v>
      </c>
      <c r="N1696" s="33">
        <v>-6.05</v>
      </c>
      <c r="O1696" s="34" t="s">
        <v>601</v>
      </c>
      <c r="P1696" s="32" t="s">
        <v>1324</v>
      </c>
      <c r="Q1696" s="35">
        <v>45.0</v>
      </c>
      <c r="R1696" s="35">
        <v>45.0</v>
      </c>
      <c r="S1696" s="36">
        <v>0.119</v>
      </c>
      <c r="T1696" s="36">
        <v>0.322</v>
      </c>
      <c r="U1696" s="36">
        <v>0.345</v>
      </c>
      <c r="V1696" s="36">
        <v>0.5675</v>
      </c>
      <c r="W1696" s="37" t="s">
        <v>1325</v>
      </c>
      <c r="X1696" s="31">
        <v>2.25</v>
      </c>
      <c r="Y1696" s="36">
        <v>-0.9947301839375909</v>
      </c>
      <c r="Z1696" s="36">
        <v>0.2558057629441932</v>
      </c>
      <c r="AA1696" s="29" t="s">
        <v>820</v>
      </c>
      <c r="AB1696" s="31">
        <v>0.237373918295</v>
      </c>
      <c r="AC1696" s="38">
        <v>2389.0</v>
      </c>
    </row>
    <row r="1697" ht="14.25" customHeight="1">
      <c r="A1697" s="29" t="s">
        <v>36</v>
      </c>
      <c r="B1697" s="29">
        <v>9.0</v>
      </c>
      <c r="C1697" s="29" t="s">
        <v>608</v>
      </c>
      <c r="D1697" s="29" t="s">
        <v>636</v>
      </c>
      <c r="E1697" s="29">
        <v>189.0</v>
      </c>
      <c r="F1697" s="30" t="s">
        <v>637</v>
      </c>
      <c r="G1697" s="29" t="s">
        <v>638</v>
      </c>
      <c r="H1697" s="31">
        <v>207.5</v>
      </c>
      <c r="I1697" s="29" t="s">
        <v>612</v>
      </c>
      <c r="J1697" s="32" t="s">
        <v>598</v>
      </c>
      <c r="K1697" s="29" t="s">
        <v>599</v>
      </c>
      <c r="L1697" s="29" t="s">
        <v>600</v>
      </c>
      <c r="M1697" s="33">
        <v>-67.605</v>
      </c>
      <c r="N1697" s="33">
        <v>-6.05</v>
      </c>
      <c r="O1697" s="34" t="s">
        <v>601</v>
      </c>
      <c r="P1697" s="32" t="s">
        <v>1324</v>
      </c>
      <c r="Q1697" s="35">
        <v>45.0</v>
      </c>
      <c r="R1697" s="35">
        <v>45.0</v>
      </c>
      <c r="S1697" s="36">
        <v>0.126</v>
      </c>
      <c r="T1697" s="36">
        <v>0.322</v>
      </c>
      <c r="U1697" s="36">
        <v>0.355</v>
      </c>
      <c r="V1697" s="36">
        <v>0.5675</v>
      </c>
      <c r="W1697" s="37" t="s">
        <v>1325</v>
      </c>
      <c r="X1697" s="31">
        <v>2.75</v>
      </c>
      <c r="Y1697" s="36">
        <v>-0.9376105277954736</v>
      </c>
      <c r="Z1697" s="36">
        <v>0.2454270048081622</v>
      </c>
      <c r="AA1697" s="29" t="s">
        <v>820</v>
      </c>
      <c r="AB1697" s="31">
        <v>0.237373918295</v>
      </c>
      <c r="AC1697" s="38">
        <v>2389.0</v>
      </c>
    </row>
    <row r="1698" ht="14.25" customHeight="1">
      <c r="A1698" s="29" t="s">
        <v>36</v>
      </c>
      <c r="B1698" s="29">
        <v>9.0</v>
      </c>
      <c r="C1698" s="29" t="s">
        <v>608</v>
      </c>
      <c r="D1698" s="29" t="s">
        <v>636</v>
      </c>
      <c r="E1698" s="29">
        <v>189.0</v>
      </c>
      <c r="F1698" s="30" t="s">
        <v>637</v>
      </c>
      <c r="G1698" s="29" t="s">
        <v>638</v>
      </c>
      <c r="H1698" s="31">
        <v>207.5</v>
      </c>
      <c r="I1698" s="29" t="s">
        <v>612</v>
      </c>
      <c r="J1698" s="32" t="s">
        <v>598</v>
      </c>
      <c r="K1698" s="29" t="s">
        <v>599</v>
      </c>
      <c r="L1698" s="29" t="s">
        <v>600</v>
      </c>
      <c r="M1698" s="33">
        <v>-67.605</v>
      </c>
      <c r="N1698" s="33">
        <v>-6.05</v>
      </c>
      <c r="O1698" s="34" t="s">
        <v>601</v>
      </c>
      <c r="P1698" s="32" t="s">
        <v>1324</v>
      </c>
      <c r="Q1698" s="35">
        <v>45.0</v>
      </c>
      <c r="R1698" s="35">
        <v>45.0</v>
      </c>
      <c r="S1698" s="36">
        <v>0.088</v>
      </c>
      <c r="T1698" s="36">
        <v>0.322</v>
      </c>
      <c r="U1698" s="36">
        <v>0.2966</v>
      </c>
      <c r="V1698" s="36">
        <v>0.5675</v>
      </c>
      <c r="W1698" s="37" t="s">
        <v>1325</v>
      </c>
      <c r="X1698" s="31">
        <v>3.25</v>
      </c>
      <c r="Y1698" s="36">
        <v>-1.296271138487494</v>
      </c>
      <c r="Z1698" s="36">
        <v>0.3214688093084203</v>
      </c>
      <c r="AA1698" s="29" t="s">
        <v>820</v>
      </c>
      <c r="AB1698" s="31">
        <v>0.237373918295</v>
      </c>
      <c r="AC1698" s="38">
        <v>2389.0</v>
      </c>
    </row>
    <row r="1699" ht="14.25" customHeight="1">
      <c r="A1699" s="29" t="s">
        <v>36</v>
      </c>
      <c r="B1699" s="29">
        <v>9.0</v>
      </c>
      <c r="C1699" s="29" t="s">
        <v>608</v>
      </c>
      <c r="D1699" s="29" t="s">
        <v>636</v>
      </c>
      <c r="E1699" s="29">
        <v>189.0</v>
      </c>
      <c r="F1699" s="30" t="s">
        <v>637</v>
      </c>
      <c r="G1699" s="29" t="s">
        <v>638</v>
      </c>
      <c r="H1699" s="31">
        <v>207.5</v>
      </c>
      <c r="I1699" s="29" t="s">
        <v>612</v>
      </c>
      <c r="J1699" s="32" t="s">
        <v>598</v>
      </c>
      <c r="K1699" s="29" t="s">
        <v>599</v>
      </c>
      <c r="L1699" s="29" t="s">
        <v>600</v>
      </c>
      <c r="M1699" s="33">
        <v>-67.605</v>
      </c>
      <c r="N1699" s="33">
        <v>-6.05</v>
      </c>
      <c r="O1699" s="34" t="s">
        <v>601</v>
      </c>
      <c r="P1699" s="32" t="s">
        <v>1324</v>
      </c>
      <c r="Q1699" s="35">
        <v>45.0</v>
      </c>
      <c r="R1699" s="35">
        <v>45.0</v>
      </c>
      <c r="S1699" s="36">
        <v>0.134</v>
      </c>
      <c r="T1699" s="36">
        <v>0.322</v>
      </c>
      <c r="U1699" s="36">
        <v>0.3661</v>
      </c>
      <c r="V1699" s="36">
        <v>0.5675</v>
      </c>
      <c r="W1699" s="37" t="s">
        <v>1325</v>
      </c>
      <c r="X1699" s="31">
        <v>3.75</v>
      </c>
      <c r="Y1699" s="36">
        <v>-0.8760919725029905</v>
      </c>
      <c r="Z1699" s="36">
        <v>0.23489879771902542</v>
      </c>
      <c r="AA1699" s="29" t="s">
        <v>820</v>
      </c>
      <c r="AB1699" s="31">
        <v>0.237373918295</v>
      </c>
      <c r="AC1699" s="38">
        <v>2389.0</v>
      </c>
    </row>
    <row r="1700" ht="14.25" customHeight="1">
      <c r="A1700" s="29" t="s">
        <v>36</v>
      </c>
      <c r="B1700" s="29">
        <v>9.0</v>
      </c>
      <c r="C1700" s="29" t="s">
        <v>608</v>
      </c>
      <c r="D1700" s="29" t="s">
        <v>636</v>
      </c>
      <c r="E1700" s="29">
        <v>189.0</v>
      </c>
      <c r="F1700" s="30" t="s">
        <v>637</v>
      </c>
      <c r="G1700" s="29" t="s">
        <v>638</v>
      </c>
      <c r="H1700" s="31">
        <v>207.5</v>
      </c>
      <c r="I1700" s="29" t="s">
        <v>612</v>
      </c>
      <c r="J1700" s="32" t="s">
        <v>598</v>
      </c>
      <c r="K1700" s="29" t="s">
        <v>599</v>
      </c>
      <c r="L1700" s="29" t="s">
        <v>600</v>
      </c>
      <c r="M1700" s="33">
        <v>-67.605</v>
      </c>
      <c r="N1700" s="33">
        <v>-6.05</v>
      </c>
      <c r="O1700" s="34" t="s">
        <v>601</v>
      </c>
      <c r="P1700" s="32" t="s">
        <v>1324</v>
      </c>
      <c r="Q1700" s="35">
        <v>45.0</v>
      </c>
      <c r="R1700" s="35">
        <v>45.0</v>
      </c>
      <c r="S1700" s="36">
        <v>0.179</v>
      </c>
      <c r="T1700" s="36">
        <v>0.322</v>
      </c>
      <c r="U1700" s="36">
        <v>0.4231</v>
      </c>
      <c r="V1700" s="36">
        <v>0.5675</v>
      </c>
      <c r="W1700" s="37" t="s">
        <v>1325</v>
      </c>
      <c r="X1700" s="31">
        <v>4.25</v>
      </c>
      <c r="Y1700" s="36">
        <v>-0.5867017393494897</v>
      </c>
      <c r="Z1700" s="36">
        <v>0.1931811005097848</v>
      </c>
      <c r="AA1700" s="29" t="s">
        <v>820</v>
      </c>
      <c r="AB1700" s="31">
        <v>0.237373918295</v>
      </c>
      <c r="AC1700" s="38">
        <v>2389.0</v>
      </c>
    </row>
    <row r="1701" ht="14.25" customHeight="1">
      <c r="A1701" s="29" t="s">
        <v>421</v>
      </c>
      <c r="B1701" s="29">
        <v>15.0</v>
      </c>
      <c r="C1701" s="29" t="s">
        <v>593</v>
      </c>
      <c r="D1701" s="29" t="s">
        <v>1333</v>
      </c>
      <c r="E1701" s="29">
        <v>61.0</v>
      </c>
      <c r="F1701" s="30" t="s">
        <v>1334</v>
      </c>
      <c r="G1701" s="29" t="s">
        <v>607</v>
      </c>
      <c r="H1701" s="31">
        <v>2.7</v>
      </c>
      <c r="I1701" s="29" t="s">
        <v>597</v>
      </c>
      <c r="J1701" s="32" t="s">
        <v>598</v>
      </c>
      <c r="K1701" s="29" t="s">
        <v>599</v>
      </c>
      <c r="L1701" s="29" t="s">
        <v>600</v>
      </c>
      <c r="M1701" s="33">
        <v>-51.873</v>
      </c>
      <c r="N1701" s="33">
        <v>-7.687</v>
      </c>
      <c r="O1701" s="34" t="s">
        <v>601</v>
      </c>
      <c r="P1701" s="32" t="s">
        <v>602</v>
      </c>
      <c r="Q1701" s="35">
        <v>2.0</v>
      </c>
      <c r="R1701" s="35">
        <v>4.0</v>
      </c>
      <c r="S1701" s="36">
        <v>1.44</v>
      </c>
      <c r="T1701" s="36">
        <v>9.0</v>
      </c>
      <c r="U1701" s="36">
        <v>1.2</v>
      </c>
      <c r="V1701" s="36">
        <v>3.0</v>
      </c>
      <c r="W1701" s="37" t="s">
        <v>623</v>
      </c>
      <c r="X1701" s="31">
        <v>2.75</v>
      </c>
      <c r="Y1701" s="36">
        <v>-1.8244763780426703</v>
      </c>
      <c r="Z1701" s="36">
        <v>0.375</v>
      </c>
      <c r="AA1701" s="29" t="s">
        <v>820</v>
      </c>
      <c r="AB1701" s="31">
        <v>1.43585312366</v>
      </c>
      <c r="AC1701" s="38">
        <v>1816.0</v>
      </c>
    </row>
    <row r="1702" ht="14.25" customHeight="1">
      <c r="A1702" s="29" t="s">
        <v>421</v>
      </c>
      <c r="B1702" s="29">
        <v>15.0</v>
      </c>
      <c r="C1702" s="29" t="s">
        <v>593</v>
      </c>
      <c r="D1702" s="29" t="s">
        <v>594</v>
      </c>
      <c r="E1702" s="29">
        <v>67.0</v>
      </c>
      <c r="F1702" s="30" t="s">
        <v>595</v>
      </c>
      <c r="G1702" s="29" t="s">
        <v>596</v>
      </c>
      <c r="H1702" s="31">
        <v>0.4</v>
      </c>
      <c r="I1702" s="29" t="s">
        <v>597</v>
      </c>
      <c r="J1702" s="32" t="s">
        <v>598</v>
      </c>
      <c r="K1702" s="29" t="s">
        <v>599</v>
      </c>
      <c r="L1702" s="29" t="s">
        <v>600</v>
      </c>
      <c r="M1702" s="33">
        <v>-51.873</v>
      </c>
      <c r="N1702" s="33">
        <v>-7.687</v>
      </c>
      <c r="O1702" s="34" t="s">
        <v>601</v>
      </c>
      <c r="P1702" s="32" t="s">
        <v>602</v>
      </c>
      <c r="Q1702" s="35">
        <v>2.0</v>
      </c>
      <c r="R1702" s="35">
        <v>4.0</v>
      </c>
      <c r="S1702" s="36">
        <v>17.5</v>
      </c>
      <c r="T1702" s="36">
        <v>10.4</v>
      </c>
      <c r="U1702" s="36">
        <v>4.1833</v>
      </c>
      <c r="V1702" s="36">
        <v>3.2249</v>
      </c>
      <c r="W1702" s="37" t="s">
        <v>623</v>
      </c>
      <c r="X1702" s="31">
        <v>2.75</v>
      </c>
      <c r="Y1702" s="36">
        <v>0.5211685850697194</v>
      </c>
      <c r="Z1702" s="36">
        <v>0.05260984209294846</v>
      </c>
      <c r="AA1702" s="29" t="s">
        <v>820</v>
      </c>
      <c r="AB1702" s="31">
        <v>1.43585312366</v>
      </c>
      <c r="AC1702" s="38">
        <v>1816.0</v>
      </c>
    </row>
    <row r="1703" ht="14.25" customHeight="1">
      <c r="A1703" s="29" t="s">
        <v>421</v>
      </c>
      <c r="B1703" s="29">
        <v>15.0</v>
      </c>
      <c r="C1703" s="29" t="s">
        <v>593</v>
      </c>
      <c r="D1703" s="35" t="s">
        <v>1335</v>
      </c>
      <c r="E1703" s="29">
        <v>134.0</v>
      </c>
      <c r="F1703" s="30" t="s">
        <v>1336</v>
      </c>
      <c r="G1703" s="29" t="s">
        <v>607</v>
      </c>
      <c r="H1703" s="31">
        <v>1.29</v>
      </c>
      <c r="I1703" s="29" t="s">
        <v>597</v>
      </c>
      <c r="J1703" s="32" t="s">
        <v>598</v>
      </c>
      <c r="K1703" s="29" t="s">
        <v>599</v>
      </c>
      <c r="L1703" s="29" t="s">
        <v>600</v>
      </c>
      <c r="M1703" s="33">
        <v>-51.873</v>
      </c>
      <c r="N1703" s="33">
        <v>-7.687</v>
      </c>
      <c r="O1703" s="34" t="s">
        <v>601</v>
      </c>
      <c r="P1703" s="32" t="s">
        <v>602</v>
      </c>
      <c r="Q1703" s="35">
        <v>2.0</v>
      </c>
      <c r="R1703" s="35">
        <v>4.0</v>
      </c>
      <c r="S1703" s="36">
        <v>14.2</v>
      </c>
      <c r="T1703" s="36">
        <v>22.3</v>
      </c>
      <c r="U1703" s="36">
        <v>3.7683</v>
      </c>
      <c r="V1703" s="36">
        <v>4.7223</v>
      </c>
      <c r="W1703" s="37" t="s">
        <v>623</v>
      </c>
      <c r="X1703" s="31">
        <v>2.75</v>
      </c>
      <c r="Y1703" s="36">
        <v>-0.44930198065031385</v>
      </c>
      <c r="Z1703" s="36">
        <v>0.046422299400969376</v>
      </c>
      <c r="AA1703" s="29" t="s">
        <v>820</v>
      </c>
      <c r="AB1703" s="31">
        <v>1.43585312366</v>
      </c>
      <c r="AC1703" s="38">
        <v>1816.0</v>
      </c>
    </row>
    <row r="1704" ht="14.25" customHeight="1">
      <c r="A1704" s="29" t="s">
        <v>421</v>
      </c>
      <c r="B1704" s="29">
        <v>15.0</v>
      </c>
      <c r="C1704" s="29" t="s">
        <v>593</v>
      </c>
      <c r="D1704" s="29" t="s">
        <v>1337</v>
      </c>
      <c r="E1704" s="29">
        <v>138.0</v>
      </c>
      <c r="F1704" s="30" t="s">
        <v>1338</v>
      </c>
      <c r="G1704" s="29" t="s">
        <v>607</v>
      </c>
      <c r="H1704" s="31">
        <v>1.2</v>
      </c>
      <c r="I1704" s="29" t="s">
        <v>597</v>
      </c>
      <c r="J1704" s="32" t="s">
        <v>598</v>
      </c>
      <c r="K1704" s="29" t="s">
        <v>599</v>
      </c>
      <c r="L1704" s="29" t="s">
        <v>600</v>
      </c>
      <c r="M1704" s="33">
        <v>-51.873</v>
      </c>
      <c r="N1704" s="33">
        <v>-7.687</v>
      </c>
      <c r="O1704" s="34" t="s">
        <v>601</v>
      </c>
      <c r="P1704" s="32" t="s">
        <v>602</v>
      </c>
      <c r="Q1704" s="35">
        <v>2.0</v>
      </c>
      <c r="R1704" s="35">
        <v>4.0</v>
      </c>
      <c r="S1704" s="36">
        <v>0.52</v>
      </c>
      <c r="T1704" s="36">
        <v>2.8</v>
      </c>
      <c r="U1704" s="36">
        <v>0.7211</v>
      </c>
      <c r="V1704" s="36">
        <v>1.6733</v>
      </c>
      <c r="W1704" s="37" t="s">
        <v>623</v>
      </c>
      <c r="X1704" s="31">
        <v>2.75</v>
      </c>
      <c r="Y1704" s="36">
        <v>-1.6765591309445105</v>
      </c>
      <c r="Z1704" s="36">
        <v>1.0507946874641496</v>
      </c>
      <c r="AA1704" s="29" t="s">
        <v>820</v>
      </c>
      <c r="AB1704" s="31">
        <v>1.43585312366</v>
      </c>
      <c r="AC1704" s="38">
        <v>1816.0</v>
      </c>
    </row>
    <row r="1705" ht="14.25" customHeight="1">
      <c r="A1705" s="29" t="s">
        <v>421</v>
      </c>
      <c r="B1705" s="29">
        <v>15.0</v>
      </c>
      <c r="C1705" s="29" t="s">
        <v>593</v>
      </c>
      <c r="D1705" s="35" t="s">
        <v>1339</v>
      </c>
      <c r="E1705" s="29">
        <v>156.0</v>
      </c>
      <c r="F1705" s="30" t="s">
        <v>1340</v>
      </c>
      <c r="G1705" s="29" t="s">
        <v>877</v>
      </c>
      <c r="H1705" s="31">
        <v>1.07</v>
      </c>
      <c r="I1705" s="29" t="s">
        <v>597</v>
      </c>
      <c r="J1705" s="32" t="s">
        <v>598</v>
      </c>
      <c r="K1705" s="29" t="s">
        <v>599</v>
      </c>
      <c r="L1705" s="29" t="s">
        <v>600</v>
      </c>
      <c r="M1705" s="33">
        <v>-51.873</v>
      </c>
      <c r="N1705" s="33">
        <v>-7.687</v>
      </c>
      <c r="O1705" s="34" t="s">
        <v>601</v>
      </c>
      <c r="P1705" s="32" t="s">
        <v>602</v>
      </c>
      <c r="Q1705" s="35">
        <v>2.0</v>
      </c>
      <c r="R1705" s="35">
        <v>4.0</v>
      </c>
      <c r="S1705" s="36">
        <v>11.8</v>
      </c>
      <c r="T1705" s="36">
        <v>33.1</v>
      </c>
      <c r="U1705" s="36">
        <v>3.4351</v>
      </c>
      <c r="V1705" s="36">
        <v>5.7533</v>
      </c>
      <c r="W1705" s="37" t="s">
        <v>623</v>
      </c>
      <c r="X1705" s="31">
        <v>2.75</v>
      </c>
      <c r="Y1705" s="36">
        <v>-1.0277879508284185</v>
      </c>
      <c r="Z1705" s="36">
        <v>0.04992554064876773</v>
      </c>
      <c r="AA1705" s="29" t="s">
        <v>820</v>
      </c>
      <c r="AB1705" s="31">
        <v>1.43585312366</v>
      </c>
      <c r="AC1705" s="38">
        <v>1816.0</v>
      </c>
    </row>
    <row r="1706" ht="14.25" customHeight="1">
      <c r="A1706" s="29" t="s">
        <v>421</v>
      </c>
      <c r="B1706" s="29">
        <v>15.0</v>
      </c>
      <c r="C1706" s="29" t="s">
        <v>593</v>
      </c>
      <c r="D1706" s="29" t="s">
        <v>594</v>
      </c>
      <c r="E1706" s="29">
        <v>194.0</v>
      </c>
      <c r="F1706" s="30" t="s">
        <v>1341</v>
      </c>
      <c r="G1706" s="29" t="s">
        <v>596</v>
      </c>
      <c r="H1706" s="31">
        <v>1.2</v>
      </c>
      <c r="I1706" s="29" t="s">
        <v>597</v>
      </c>
      <c r="J1706" s="32" t="s">
        <v>598</v>
      </c>
      <c r="K1706" s="29" t="s">
        <v>599</v>
      </c>
      <c r="L1706" s="29" t="s">
        <v>600</v>
      </c>
      <c r="M1706" s="33">
        <v>-51.873</v>
      </c>
      <c r="N1706" s="33">
        <v>-7.687</v>
      </c>
      <c r="O1706" s="34" t="s">
        <v>601</v>
      </c>
      <c r="P1706" s="32" t="s">
        <v>602</v>
      </c>
      <c r="Q1706" s="35">
        <v>2.0</v>
      </c>
      <c r="R1706" s="35">
        <v>4.0</v>
      </c>
      <c r="S1706" s="36">
        <v>11.6</v>
      </c>
      <c r="T1706" s="36">
        <v>15.1</v>
      </c>
      <c r="U1706" s="36">
        <v>3.4059</v>
      </c>
      <c r="V1706" s="36">
        <v>3.8859</v>
      </c>
      <c r="W1706" s="37" t="s">
        <v>623</v>
      </c>
      <c r="X1706" s="31">
        <v>2.75</v>
      </c>
      <c r="Y1706" s="36">
        <v>-0.2619961272162498</v>
      </c>
      <c r="Z1706" s="36">
        <v>0.05966055482455743</v>
      </c>
      <c r="AA1706" s="29" t="s">
        <v>820</v>
      </c>
      <c r="AB1706" s="31">
        <v>1.43585312366</v>
      </c>
      <c r="AC1706" s="38">
        <v>1816.0</v>
      </c>
    </row>
    <row r="1707" ht="14.25" customHeight="1">
      <c r="A1707" s="29" t="s">
        <v>421</v>
      </c>
      <c r="B1707" s="29">
        <v>15.0</v>
      </c>
      <c r="C1707" s="29" t="s">
        <v>608</v>
      </c>
      <c r="D1707" s="42" t="s">
        <v>1342</v>
      </c>
      <c r="E1707" s="29">
        <v>1.0</v>
      </c>
      <c r="F1707" s="30" t="s">
        <v>1343</v>
      </c>
      <c r="G1707" s="29" t="s">
        <v>611</v>
      </c>
      <c r="H1707" s="31">
        <v>6.4</v>
      </c>
      <c r="I1707" s="29" t="s">
        <v>612</v>
      </c>
      <c r="J1707" s="32" t="s">
        <v>598</v>
      </c>
      <c r="K1707" s="29" t="s">
        <v>599</v>
      </c>
      <c r="L1707" s="29" t="s">
        <v>600</v>
      </c>
      <c r="M1707" s="33">
        <v>-51.873</v>
      </c>
      <c r="N1707" s="33">
        <v>-7.687</v>
      </c>
      <c r="O1707" s="34" t="s">
        <v>601</v>
      </c>
      <c r="P1707" s="32" t="s">
        <v>602</v>
      </c>
      <c r="Q1707" s="35">
        <v>2.0</v>
      </c>
      <c r="R1707" s="35">
        <v>4.0</v>
      </c>
      <c r="S1707" s="36">
        <v>0.4</v>
      </c>
      <c r="T1707" s="36">
        <v>8.0</v>
      </c>
      <c r="U1707" s="36">
        <v>0.6325</v>
      </c>
      <c r="V1707" s="36">
        <v>2.8284</v>
      </c>
      <c r="W1707" s="37" t="s">
        <v>623</v>
      </c>
      <c r="X1707" s="31">
        <v>2.75</v>
      </c>
      <c r="Y1707" s="36">
        <v>-2.9905855818022222</v>
      </c>
      <c r="Z1707" s="36">
        <v>1.2814251818749995</v>
      </c>
      <c r="AA1707" s="29" t="s">
        <v>820</v>
      </c>
      <c r="AB1707" s="31">
        <v>1.43585312366</v>
      </c>
      <c r="AC1707" s="38">
        <v>1816.0</v>
      </c>
    </row>
    <row r="1708" ht="14.25" customHeight="1">
      <c r="A1708" s="29" t="s">
        <v>421</v>
      </c>
      <c r="B1708" s="29">
        <v>15.0</v>
      </c>
      <c r="C1708" s="29" t="s">
        <v>608</v>
      </c>
      <c r="D1708" s="29" t="s">
        <v>1344</v>
      </c>
      <c r="E1708" s="29">
        <v>52.0</v>
      </c>
      <c r="F1708" s="30" t="s">
        <v>1345</v>
      </c>
      <c r="G1708" s="29" t="s">
        <v>611</v>
      </c>
      <c r="H1708" s="31">
        <v>2.95</v>
      </c>
      <c r="I1708" s="29" t="s">
        <v>597</v>
      </c>
      <c r="J1708" s="32" t="s">
        <v>598</v>
      </c>
      <c r="K1708" s="29" t="s">
        <v>599</v>
      </c>
      <c r="L1708" s="29" t="s">
        <v>600</v>
      </c>
      <c r="M1708" s="33">
        <v>-51.873</v>
      </c>
      <c r="N1708" s="33">
        <v>-7.687</v>
      </c>
      <c r="O1708" s="34" t="s">
        <v>601</v>
      </c>
      <c r="P1708" s="32" t="s">
        <v>602</v>
      </c>
      <c r="Q1708" s="35">
        <v>2.0</v>
      </c>
      <c r="R1708" s="35">
        <v>4.0</v>
      </c>
      <c r="S1708" s="36">
        <v>1.3</v>
      </c>
      <c r="T1708" s="36">
        <v>16.5</v>
      </c>
      <c r="U1708" s="36">
        <v>1.1402</v>
      </c>
      <c r="V1708" s="36">
        <v>4.062</v>
      </c>
      <c r="W1708" s="37" t="s">
        <v>623</v>
      </c>
      <c r="X1708" s="31">
        <v>2.75</v>
      </c>
      <c r="Y1708" s="36">
        <v>-2.537726877042585</v>
      </c>
      <c r="Z1708" s="36">
        <v>0.3997833363978679</v>
      </c>
      <c r="AA1708" s="29" t="s">
        <v>820</v>
      </c>
      <c r="AB1708" s="31">
        <v>1.43585312366</v>
      </c>
      <c r="AC1708" s="38">
        <v>1816.0</v>
      </c>
    </row>
    <row r="1709" ht="14.25" customHeight="1">
      <c r="A1709" s="29" t="s">
        <v>421</v>
      </c>
      <c r="B1709" s="29">
        <v>15.0</v>
      </c>
      <c r="C1709" s="29" t="s">
        <v>608</v>
      </c>
      <c r="D1709" s="29" t="s">
        <v>650</v>
      </c>
      <c r="E1709" s="29">
        <v>70.0</v>
      </c>
      <c r="F1709" s="30" t="s">
        <v>651</v>
      </c>
      <c r="G1709" s="29" t="s">
        <v>615</v>
      </c>
      <c r="H1709" s="31">
        <v>8.17</v>
      </c>
      <c r="I1709" s="29" t="s">
        <v>616</v>
      </c>
      <c r="J1709" s="32" t="s">
        <v>598</v>
      </c>
      <c r="K1709" s="29" t="s">
        <v>599</v>
      </c>
      <c r="L1709" s="29" t="s">
        <v>600</v>
      </c>
      <c r="M1709" s="33">
        <v>-51.873</v>
      </c>
      <c r="N1709" s="33">
        <v>-7.687</v>
      </c>
      <c r="O1709" s="34" t="s">
        <v>601</v>
      </c>
      <c r="P1709" s="32" t="s">
        <v>602</v>
      </c>
      <c r="Q1709" s="35">
        <v>2.0</v>
      </c>
      <c r="R1709" s="35">
        <v>4.0</v>
      </c>
      <c r="S1709" s="36">
        <v>0.5</v>
      </c>
      <c r="T1709" s="36">
        <v>4.5</v>
      </c>
      <c r="U1709" s="36">
        <v>0.7071</v>
      </c>
      <c r="V1709" s="36">
        <v>2.1213</v>
      </c>
      <c r="W1709" s="37" t="s">
        <v>623</v>
      </c>
      <c r="X1709" s="31">
        <v>2.75</v>
      </c>
      <c r="Y1709" s="36">
        <v>-2.1949052875451285</v>
      </c>
      <c r="Z1709" s="36">
        <v>1.0555353099999998</v>
      </c>
      <c r="AA1709" s="29" t="s">
        <v>820</v>
      </c>
      <c r="AB1709" s="31">
        <v>1.43585312366</v>
      </c>
      <c r="AC1709" s="38">
        <v>1816.0</v>
      </c>
    </row>
    <row r="1710" ht="14.25" customHeight="1">
      <c r="A1710" s="29" t="s">
        <v>421</v>
      </c>
      <c r="B1710" s="29">
        <v>15.0</v>
      </c>
      <c r="C1710" s="29" t="s">
        <v>608</v>
      </c>
      <c r="D1710" s="29" t="s">
        <v>652</v>
      </c>
      <c r="E1710" s="29">
        <v>72.0</v>
      </c>
      <c r="F1710" s="30" t="s">
        <v>653</v>
      </c>
      <c r="G1710" s="29" t="s">
        <v>615</v>
      </c>
      <c r="H1710" s="31">
        <v>3.02</v>
      </c>
      <c r="I1710" s="29" t="s">
        <v>616</v>
      </c>
      <c r="J1710" s="32" t="s">
        <v>598</v>
      </c>
      <c r="K1710" s="29" t="s">
        <v>599</v>
      </c>
      <c r="L1710" s="29" t="s">
        <v>600</v>
      </c>
      <c r="M1710" s="33">
        <v>-51.873</v>
      </c>
      <c r="N1710" s="33">
        <v>-7.687</v>
      </c>
      <c r="O1710" s="34" t="s">
        <v>601</v>
      </c>
      <c r="P1710" s="32" t="s">
        <v>602</v>
      </c>
      <c r="Q1710" s="35">
        <v>2.0</v>
      </c>
      <c r="R1710" s="35">
        <v>4.0</v>
      </c>
      <c r="S1710" s="36">
        <v>12.5</v>
      </c>
      <c r="T1710" s="36">
        <v>43.3</v>
      </c>
      <c r="U1710" s="36">
        <v>3.5355</v>
      </c>
      <c r="V1710" s="36">
        <v>6.5803</v>
      </c>
      <c r="W1710" s="37" t="s">
        <v>623</v>
      </c>
      <c r="X1710" s="31">
        <v>2.75</v>
      </c>
      <c r="Y1710" s="36">
        <v>-1.24153068496623</v>
      </c>
      <c r="Z1710" s="36">
        <v>0.04577295127015025</v>
      </c>
      <c r="AA1710" s="29" t="s">
        <v>820</v>
      </c>
      <c r="AB1710" s="31">
        <v>1.43585312366</v>
      </c>
      <c r="AC1710" s="38">
        <v>1816.0</v>
      </c>
    </row>
    <row r="1711" ht="14.25" customHeight="1">
      <c r="A1711" s="29" t="s">
        <v>421</v>
      </c>
      <c r="B1711" s="29">
        <v>15.0</v>
      </c>
      <c r="C1711" s="29" t="s">
        <v>608</v>
      </c>
      <c r="D1711" s="29" t="s">
        <v>624</v>
      </c>
      <c r="E1711" s="29">
        <v>101.0</v>
      </c>
      <c r="F1711" s="30" t="s">
        <v>625</v>
      </c>
      <c r="G1711" s="29" t="s">
        <v>626</v>
      </c>
      <c r="H1711" s="31">
        <v>18.59</v>
      </c>
      <c r="I1711" s="29" t="s">
        <v>612</v>
      </c>
      <c r="J1711" s="32" t="s">
        <v>598</v>
      </c>
      <c r="K1711" s="29" t="s">
        <v>599</v>
      </c>
      <c r="L1711" s="29" t="s">
        <v>600</v>
      </c>
      <c r="M1711" s="33">
        <v>-51.873</v>
      </c>
      <c r="N1711" s="33">
        <v>-7.687</v>
      </c>
      <c r="O1711" s="34" t="s">
        <v>601</v>
      </c>
      <c r="P1711" s="32" t="s">
        <v>602</v>
      </c>
      <c r="Q1711" s="35">
        <v>2.0</v>
      </c>
      <c r="R1711" s="35">
        <v>4.0</v>
      </c>
      <c r="S1711" s="36">
        <v>1.7</v>
      </c>
      <c r="T1711" s="36">
        <v>4.5</v>
      </c>
      <c r="U1711" s="36">
        <v>1.3038</v>
      </c>
      <c r="V1711" s="36">
        <v>2.1213</v>
      </c>
      <c r="W1711" s="37" t="s">
        <v>623</v>
      </c>
      <c r="X1711" s="31">
        <v>2.75</v>
      </c>
      <c r="Y1711" s="36">
        <v>-0.9727664430955932</v>
      </c>
      <c r="Z1711" s="36">
        <v>0.34965387408304505</v>
      </c>
      <c r="AA1711" s="29" t="s">
        <v>820</v>
      </c>
      <c r="AB1711" s="31">
        <v>1.43585312366</v>
      </c>
      <c r="AC1711" s="38">
        <v>1816.0</v>
      </c>
    </row>
    <row r="1712" ht="14.25" customHeight="1">
      <c r="A1712" s="29" t="s">
        <v>421</v>
      </c>
      <c r="B1712" s="29">
        <v>15.0</v>
      </c>
      <c r="C1712" s="29" t="s">
        <v>608</v>
      </c>
      <c r="D1712" s="35" t="s">
        <v>627</v>
      </c>
      <c r="E1712" s="29">
        <v>111.0</v>
      </c>
      <c r="F1712" s="39" t="s">
        <v>628</v>
      </c>
      <c r="G1712" s="29" t="s">
        <v>629</v>
      </c>
      <c r="H1712" s="31">
        <v>3.79</v>
      </c>
      <c r="I1712" s="29" t="s">
        <v>597</v>
      </c>
      <c r="J1712" s="32" t="s">
        <v>598</v>
      </c>
      <c r="K1712" s="29" t="s">
        <v>599</v>
      </c>
      <c r="L1712" s="29" t="s">
        <v>600</v>
      </c>
      <c r="M1712" s="33">
        <v>-51.873</v>
      </c>
      <c r="N1712" s="33">
        <v>-7.687</v>
      </c>
      <c r="O1712" s="34" t="s">
        <v>601</v>
      </c>
      <c r="P1712" s="32" t="s">
        <v>602</v>
      </c>
      <c r="Q1712" s="35">
        <v>2.0</v>
      </c>
      <c r="R1712" s="35">
        <v>4.0</v>
      </c>
      <c r="S1712" s="36">
        <v>8.9</v>
      </c>
      <c r="T1712" s="36">
        <v>5.7</v>
      </c>
      <c r="U1712" s="36">
        <v>2.9833</v>
      </c>
      <c r="V1712" s="36">
        <v>2.3875</v>
      </c>
      <c r="W1712" s="37" t="s">
        <v>623</v>
      </c>
      <c r="X1712" s="31">
        <v>2.75</v>
      </c>
      <c r="Y1712" s="36">
        <v>0.44575032288103034</v>
      </c>
      <c r="Z1712" s="36">
        <v>0.10004112467677215</v>
      </c>
      <c r="AA1712" s="29" t="s">
        <v>820</v>
      </c>
      <c r="AB1712" s="31">
        <v>1.43585312366</v>
      </c>
      <c r="AC1712" s="38">
        <v>1816.0</v>
      </c>
    </row>
    <row r="1713" ht="14.25" customHeight="1">
      <c r="A1713" s="29" t="s">
        <v>421</v>
      </c>
      <c r="B1713" s="29">
        <v>15.0</v>
      </c>
      <c r="C1713" s="29" t="s">
        <v>608</v>
      </c>
      <c r="D1713" s="29" t="s">
        <v>630</v>
      </c>
      <c r="E1713" s="29">
        <v>129.0</v>
      </c>
      <c r="F1713" s="30" t="s">
        <v>631</v>
      </c>
      <c r="G1713" s="29" t="s">
        <v>626</v>
      </c>
      <c r="H1713" s="31">
        <v>21.27</v>
      </c>
      <c r="I1713" s="29" t="s">
        <v>612</v>
      </c>
      <c r="J1713" s="32" t="s">
        <v>598</v>
      </c>
      <c r="K1713" s="29" t="s">
        <v>599</v>
      </c>
      <c r="L1713" s="29" t="s">
        <v>600</v>
      </c>
      <c r="M1713" s="33">
        <v>-51.873</v>
      </c>
      <c r="N1713" s="33">
        <v>-7.687</v>
      </c>
      <c r="O1713" s="34" t="s">
        <v>601</v>
      </c>
      <c r="P1713" s="32" t="s">
        <v>602</v>
      </c>
      <c r="Q1713" s="35">
        <v>2.0</v>
      </c>
      <c r="R1713" s="35">
        <v>4.0</v>
      </c>
      <c r="S1713" s="36">
        <v>0.0</v>
      </c>
      <c r="T1713" s="36">
        <v>5.9</v>
      </c>
      <c r="U1713" s="36">
        <v>0.0</v>
      </c>
      <c r="V1713" s="36">
        <v>2.429</v>
      </c>
      <c r="W1713" s="37" t="s">
        <v>623</v>
      </c>
      <c r="X1713" s="31">
        <v>2.75</v>
      </c>
      <c r="Y1713" s="36">
        <v>-8.262558973010657</v>
      </c>
      <c r="Z1713" s="36">
        <v>0.5523623107910156</v>
      </c>
      <c r="AA1713" s="29" t="s">
        <v>820</v>
      </c>
      <c r="AB1713" s="31">
        <v>1.43585312366</v>
      </c>
      <c r="AC1713" s="38">
        <v>1816.0</v>
      </c>
    </row>
    <row r="1714" ht="14.25" customHeight="1">
      <c r="A1714" s="29" t="s">
        <v>421</v>
      </c>
      <c r="B1714" s="29">
        <v>15.0</v>
      </c>
      <c r="C1714" s="29" t="s">
        <v>608</v>
      </c>
      <c r="D1714" s="42" t="s">
        <v>1141</v>
      </c>
      <c r="E1714" s="29">
        <v>150.0</v>
      </c>
      <c r="F1714" s="30" t="s">
        <v>1142</v>
      </c>
      <c r="G1714" s="29" t="s">
        <v>619</v>
      </c>
      <c r="H1714" s="31">
        <v>45.36</v>
      </c>
      <c r="I1714" s="29" t="s">
        <v>620</v>
      </c>
      <c r="J1714" s="32" t="s">
        <v>598</v>
      </c>
      <c r="K1714" s="29" t="s">
        <v>599</v>
      </c>
      <c r="L1714" s="29" t="s">
        <v>600</v>
      </c>
      <c r="M1714" s="33">
        <v>-51.873</v>
      </c>
      <c r="N1714" s="33">
        <v>-7.687</v>
      </c>
      <c r="O1714" s="34" t="s">
        <v>601</v>
      </c>
      <c r="P1714" s="32" t="s">
        <v>602</v>
      </c>
      <c r="Q1714" s="35">
        <v>2.0</v>
      </c>
      <c r="R1714" s="35">
        <v>4.0</v>
      </c>
      <c r="S1714" s="36">
        <v>0.0</v>
      </c>
      <c r="T1714" s="36">
        <v>1.6</v>
      </c>
      <c r="U1714" s="36">
        <v>0.0</v>
      </c>
      <c r="V1714" s="36">
        <v>1.2649</v>
      </c>
      <c r="W1714" s="37" t="s">
        <v>623</v>
      </c>
      <c r="X1714" s="31">
        <v>2.75</v>
      </c>
      <c r="Y1714" s="36">
        <v>-8.262558973010657</v>
      </c>
      <c r="Z1714" s="36">
        <v>0.6765800459183673</v>
      </c>
      <c r="AA1714" s="29" t="s">
        <v>820</v>
      </c>
      <c r="AB1714" s="31">
        <v>1.43585312366</v>
      </c>
      <c r="AC1714" s="38">
        <v>1816.0</v>
      </c>
    </row>
    <row r="1715" ht="14.25" customHeight="1">
      <c r="A1715" s="29" t="s">
        <v>421</v>
      </c>
      <c r="B1715" s="29">
        <v>15.0</v>
      </c>
      <c r="C1715" s="29" t="s">
        <v>608</v>
      </c>
      <c r="D1715" s="29" t="s">
        <v>632</v>
      </c>
      <c r="E1715" s="29">
        <v>173.0</v>
      </c>
      <c r="F1715" s="30" t="s">
        <v>633</v>
      </c>
      <c r="G1715" s="29" t="s">
        <v>611</v>
      </c>
      <c r="H1715" s="31">
        <v>2.5</v>
      </c>
      <c r="I1715" s="29" t="s">
        <v>616</v>
      </c>
      <c r="J1715" s="32" t="s">
        <v>598</v>
      </c>
      <c r="K1715" s="29" t="s">
        <v>599</v>
      </c>
      <c r="L1715" s="29" t="s">
        <v>600</v>
      </c>
      <c r="M1715" s="33">
        <v>-51.873</v>
      </c>
      <c r="N1715" s="33">
        <v>-7.687</v>
      </c>
      <c r="O1715" s="34" t="s">
        <v>601</v>
      </c>
      <c r="P1715" s="32" t="s">
        <v>602</v>
      </c>
      <c r="Q1715" s="35">
        <v>2.0</v>
      </c>
      <c r="R1715" s="35">
        <v>4.0</v>
      </c>
      <c r="S1715" s="36">
        <v>11.7</v>
      </c>
      <c r="T1715" s="36">
        <v>36.6</v>
      </c>
      <c r="U1715" s="36">
        <v>3.4205</v>
      </c>
      <c r="V1715" s="36">
        <v>6.0498</v>
      </c>
      <c r="W1715" s="37" t="s">
        <v>623</v>
      </c>
      <c r="X1715" s="31">
        <v>2.75</v>
      </c>
      <c r="Y1715" s="36">
        <v>-1.1396526536433402</v>
      </c>
      <c r="Z1715" s="36">
        <v>0.049565002216625687</v>
      </c>
      <c r="AA1715" s="29" t="s">
        <v>820</v>
      </c>
      <c r="AB1715" s="31">
        <v>1.43585312366</v>
      </c>
      <c r="AC1715" s="38">
        <v>1816.0</v>
      </c>
    </row>
    <row r="1716" ht="14.25" customHeight="1">
      <c r="A1716" s="29" t="s">
        <v>421</v>
      </c>
      <c r="B1716" s="29">
        <v>15.0</v>
      </c>
      <c r="C1716" s="29" t="s">
        <v>608</v>
      </c>
      <c r="D1716" s="29" t="s">
        <v>636</v>
      </c>
      <c r="E1716" s="29">
        <v>189.0</v>
      </c>
      <c r="F1716" s="30" t="s">
        <v>637</v>
      </c>
      <c r="G1716" s="29" t="s">
        <v>638</v>
      </c>
      <c r="H1716" s="31">
        <v>207.5</v>
      </c>
      <c r="I1716" s="29" t="s">
        <v>612</v>
      </c>
      <c r="J1716" s="32" t="s">
        <v>598</v>
      </c>
      <c r="K1716" s="29" t="s">
        <v>599</v>
      </c>
      <c r="L1716" s="29" t="s">
        <v>600</v>
      </c>
      <c r="M1716" s="33">
        <v>-51.873</v>
      </c>
      <c r="N1716" s="33">
        <v>-7.687</v>
      </c>
      <c r="O1716" s="34" t="s">
        <v>601</v>
      </c>
      <c r="P1716" s="32" t="s">
        <v>602</v>
      </c>
      <c r="Q1716" s="35">
        <v>2.0</v>
      </c>
      <c r="R1716" s="35">
        <v>4.0</v>
      </c>
      <c r="S1716" s="36">
        <v>0.0</v>
      </c>
      <c r="T1716" s="36">
        <v>0.62</v>
      </c>
      <c r="U1716" s="36">
        <v>0.0</v>
      </c>
      <c r="V1716" s="36">
        <v>0.7874</v>
      </c>
      <c r="W1716" s="37" t="s">
        <v>623</v>
      </c>
      <c r="X1716" s="31">
        <v>2.75</v>
      </c>
      <c r="Y1716" s="36">
        <v>-8.262558973010657</v>
      </c>
      <c r="Z1716" s="36">
        <v>0.8303170360331631</v>
      </c>
      <c r="AA1716" s="29" t="s">
        <v>820</v>
      </c>
      <c r="AB1716" s="31">
        <v>1.43585312366</v>
      </c>
      <c r="AC1716" s="38">
        <v>1816.0</v>
      </c>
    </row>
    <row r="1717" ht="14.25" customHeight="1">
      <c r="A1717" s="29" t="s">
        <v>421</v>
      </c>
      <c r="B1717" s="29">
        <v>15.0</v>
      </c>
      <c r="C1717" s="29" t="s">
        <v>608</v>
      </c>
      <c r="D1717" s="29" t="s">
        <v>639</v>
      </c>
      <c r="E1717" s="29">
        <v>190.0</v>
      </c>
      <c r="F1717" s="30" t="s">
        <v>640</v>
      </c>
      <c r="G1717" s="29" t="s">
        <v>626</v>
      </c>
      <c r="H1717" s="31">
        <v>32.23</v>
      </c>
      <c r="I1717" s="29" t="s">
        <v>597</v>
      </c>
      <c r="J1717" s="32" t="s">
        <v>598</v>
      </c>
      <c r="K1717" s="29" t="s">
        <v>599</v>
      </c>
      <c r="L1717" s="29" t="s">
        <v>600</v>
      </c>
      <c r="M1717" s="33">
        <v>-51.873</v>
      </c>
      <c r="N1717" s="33">
        <v>-7.687</v>
      </c>
      <c r="O1717" s="34" t="s">
        <v>601</v>
      </c>
      <c r="P1717" s="32" t="s">
        <v>602</v>
      </c>
      <c r="Q1717" s="35">
        <v>2.0</v>
      </c>
      <c r="R1717" s="35">
        <v>4.0</v>
      </c>
      <c r="S1717" s="36">
        <v>0.0</v>
      </c>
      <c r="T1717" s="36">
        <v>1.6</v>
      </c>
      <c r="U1717" s="36">
        <v>0.0</v>
      </c>
      <c r="V1717" s="36">
        <v>1.2649</v>
      </c>
      <c r="W1717" s="37" t="s">
        <v>623</v>
      </c>
      <c r="X1717" s="31">
        <v>2.75</v>
      </c>
      <c r="Y1717" s="36">
        <v>-8.262558973010657</v>
      </c>
      <c r="Z1717" s="36">
        <v>0.6765800459183673</v>
      </c>
      <c r="AA1717" s="29" t="s">
        <v>820</v>
      </c>
      <c r="AB1717" s="31">
        <v>1.43585312366</v>
      </c>
      <c r="AC1717" s="38">
        <v>1816.0</v>
      </c>
    </row>
    <row r="1718" ht="14.25" customHeight="1">
      <c r="A1718" s="29" t="s">
        <v>426</v>
      </c>
      <c r="B1718" s="29">
        <v>8.0</v>
      </c>
      <c r="C1718" s="29" t="s">
        <v>608</v>
      </c>
      <c r="D1718" s="29" t="s">
        <v>825</v>
      </c>
      <c r="E1718" s="29">
        <v>5.0</v>
      </c>
      <c r="F1718" s="30" t="s">
        <v>826</v>
      </c>
      <c r="G1718" s="29" t="s">
        <v>611</v>
      </c>
      <c r="H1718" s="31">
        <v>6.15</v>
      </c>
      <c r="I1718" s="29" t="s">
        <v>612</v>
      </c>
      <c r="J1718" s="32" t="s">
        <v>598</v>
      </c>
      <c r="K1718" s="29" t="s">
        <v>599</v>
      </c>
      <c r="L1718" s="29" t="s">
        <v>600</v>
      </c>
      <c r="M1718" s="33">
        <v>-67.169</v>
      </c>
      <c r="N1718" s="33">
        <v>-5.08</v>
      </c>
      <c r="O1718" s="34" t="s">
        <v>641</v>
      </c>
      <c r="P1718" s="32" t="s">
        <v>602</v>
      </c>
      <c r="Q1718" s="35">
        <v>10.0</v>
      </c>
      <c r="R1718" s="35">
        <v>10.0</v>
      </c>
      <c r="S1718" s="36">
        <v>5.3</v>
      </c>
      <c r="T1718" s="36">
        <v>5.4</v>
      </c>
      <c r="U1718" s="36">
        <v>2.3022</v>
      </c>
      <c r="V1718" s="36">
        <v>2.3238</v>
      </c>
      <c r="W1718" s="37" t="s">
        <v>623</v>
      </c>
      <c r="X1718" s="31">
        <v>4.5</v>
      </c>
      <c r="Y1718" s="36">
        <v>-0.018429301733717714</v>
      </c>
      <c r="Z1718" s="36">
        <v>0.037387046734701945</v>
      </c>
      <c r="AA1718" s="29" t="s">
        <v>820</v>
      </c>
      <c r="AB1718" s="31">
        <v>0.942762136459</v>
      </c>
      <c r="AC1718" s="38">
        <v>1737.0</v>
      </c>
    </row>
    <row r="1719" ht="14.25" customHeight="1">
      <c r="A1719" s="29" t="s">
        <v>426</v>
      </c>
      <c r="B1719" s="29">
        <v>8.0</v>
      </c>
      <c r="C1719" s="29" t="s">
        <v>608</v>
      </c>
      <c r="D1719" s="29" t="s">
        <v>1277</v>
      </c>
      <c r="E1719" s="29">
        <v>25.0</v>
      </c>
      <c r="F1719" s="30" t="s">
        <v>1278</v>
      </c>
      <c r="G1719" s="29" t="s">
        <v>611</v>
      </c>
      <c r="H1719" s="31">
        <v>0.85</v>
      </c>
      <c r="I1719" s="29" t="s">
        <v>616</v>
      </c>
      <c r="J1719" s="32" t="s">
        <v>598</v>
      </c>
      <c r="K1719" s="29" t="s">
        <v>599</v>
      </c>
      <c r="L1719" s="29" t="s">
        <v>600</v>
      </c>
      <c r="M1719" s="33">
        <v>-67.169</v>
      </c>
      <c r="N1719" s="33">
        <v>-5.08</v>
      </c>
      <c r="O1719" s="34" t="s">
        <v>641</v>
      </c>
      <c r="P1719" s="32" t="s">
        <v>602</v>
      </c>
      <c r="Q1719" s="35">
        <v>10.0</v>
      </c>
      <c r="R1719" s="35">
        <v>10.0</v>
      </c>
      <c r="S1719" s="36">
        <v>26.5</v>
      </c>
      <c r="T1719" s="36">
        <v>5.4333</v>
      </c>
      <c r="U1719" s="36">
        <v>5.1478</v>
      </c>
      <c r="V1719" s="36">
        <v>2.331</v>
      </c>
      <c r="W1719" s="37" t="s">
        <v>623</v>
      </c>
      <c r="X1719" s="31">
        <v>4.5</v>
      </c>
      <c r="Y1719" s="36">
        <v>1.5846509448021977</v>
      </c>
      <c r="Z1719" s="36">
        <v>0.02217946782457568</v>
      </c>
      <c r="AA1719" s="29" t="s">
        <v>820</v>
      </c>
      <c r="AB1719" s="31">
        <v>0.942762136459</v>
      </c>
      <c r="AC1719" s="38">
        <v>1737.0</v>
      </c>
    </row>
    <row r="1720" ht="14.25" customHeight="1">
      <c r="A1720" s="29" t="s">
        <v>426</v>
      </c>
      <c r="B1720" s="29">
        <v>8.0</v>
      </c>
      <c r="C1720" s="29" t="s">
        <v>608</v>
      </c>
      <c r="D1720" s="29" t="s">
        <v>828</v>
      </c>
      <c r="E1720" s="29">
        <v>26.0</v>
      </c>
      <c r="F1720" s="30" t="s">
        <v>829</v>
      </c>
      <c r="G1720" s="29" t="s">
        <v>611</v>
      </c>
      <c r="H1720" s="31">
        <v>1.05</v>
      </c>
      <c r="I1720" s="29" t="s">
        <v>616</v>
      </c>
      <c r="J1720" s="32" t="s">
        <v>598</v>
      </c>
      <c r="K1720" s="29" t="s">
        <v>599</v>
      </c>
      <c r="L1720" s="29" t="s">
        <v>600</v>
      </c>
      <c r="M1720" s="33">
        <v>-67.169</v>
      </c>
      <c r="N1720" s="33">
        <v>-5.08</v>
      </c>
      <c r="O1720" s="34" t="s">
        <v>641</v>
      </c>
      <c r="P1720" s="32" t="s">
        <v>602</v>
      </c>
      <c r="Q1720" s="35">
        <v>10.0</v>
      </c>
      <c r="R1720" s="35">
        <v>10.0</v>
      </c>
      <c r="S1720" s="36">
        <v>2.7</v>
      </c>
      <c r="T1720" s="36">
        <v>5.733</v>
      </c>
      <c r="U1720" s="36">
        <v>1.6432</v>
      </c>
      <c r="V1720" s="36">
        <v>2.3944</v>
      </c>
      <c r="W1720" s="37" t="s">
        <v>623</v>
      </c>
      <c r="X1720" s="31">
        <v>4.5</v>
      </c>
      <c r="Y1720" s="36">
        <v>-0.7524395152946847</v>
      </c>
      <c r="Z1720" s="36">
        <v>0.054481829480252465</v>
      </c>
      <c r="AA1720" s="29" t="s">
        <v>820</v>
      </c>
      <c r="AB1720" s="31">
        <v>0.942762136459</v>
      </c>
      <c r="AC1720" s="38">
        <v>1737.0</v>
      </c>
    </row>
    <row r="1721" ht="14.25" customHeight="1">
      <c r="A1721" s="29" t="s">
        <v>426</v>
      </c>
      <c r="B1721" s="29">
        <v>8.0</v>
      </c>
      <c r="C1721" s="29" t="s">
        <v>608</v>
      </c>
      <c r="D1721" s="29" t="s">
        <v>1082</v>
      </c>
      <c r="E1721" s="29">
        <v>29.0</v>
      </c>
      <c r="F1721" s="30" t="s">
        <v>1083</v>
      </c>
      <c r="G1721" s="29" t="s">
        <v>611</v>
      </c>
      <c r="H1721" s="31">
        <v>0.125</v>
      </c>
      <c r="I1721" s="29" t="s">
        <v>616</v>
      </c>
      <c r="J1721" s="32" t="s">
        <v>598</v>
      </c>
      <c r="K1721" s="29" t="s">
        <v>599</v>
      </c>
      <c r="L1721" s="29" t="s">
        <v>600</v>
      </c>
      <c r="M1721" s="33">
        <v>-67.169</v>
      </c>
      <c r="N1721" s="33">
        <v>-5.08</v>
      </c>
      <c r="O1721" s="34" t="s">
        <v>641</v>
      </c>
      <c r="P1721" s="32" t="s">
        <v>602</v>
      </c>
      <c r="Q1721" s="35">
        <v>10.0</v>
      </c>
      <c r="R1721" s="35">
        <v>10.0</v>
      </c>
      <c r="S1721" s="36">
        <v>7.2</v>
      </c>
      <c r="T1721" s="36">
        <v>2.8</v>
      </c>
      <c r="U1721" s="36">
        <v>2.6833</v>
      </c>
      <c r="V1721" s="36">
        <v>1.6733</v>
      </c>
      <c r="W1721" s="37" t="s">
        <v>623</v>
      </c>
      <c r="X1721" s="31">
        <v>4.5</v>
      </c>
      <c r="Y1721" s="36">
        <v>0.9445619363385528</v>
      </c>
      <c r="Z1721" s="36">
        <v>0.049602509368307506</v>
      </c>
      <c r="AA1721" s="29" t="s">
        <v>820</v>
      </c>
      <c r="AB1721" s="31">
        <v>0.942762136459</v>
      </c>
      <c r="AC1721" s="38">
        <v>1737.0</v>
      </c>
    </row>
    <row r="1722" ht="14.25" customHeight="1">
      <c r="A1722" s="29" t="s">
        <v>426</v>
      </c>
      <c r="B1722" s="29">
        <v>8.0</v>
      </c>
      <c r="C1722" s="29" t="s">
        <v>608</v>
      </c>
      <c r="D1722" s="29" t="s">
        <v>1330</v>
      </c>
      <c r="E1722" s="29">
        <v>30.0</v>
      </c>
      <c r="F1722" s="30" t="s">
        <v>831</v>
      </c>
      <c r="G1722" s="29" t="s">
        <v>611</v>
      </c>
      <c r="H1722" s="31">
        <v>2.63</v>
      </c>
      <c r="I1722" s="29" t="s">
        <v>616</v>
      </c>
      <c r="J1722" s="32" t="s">
        <v>598</v>
      </c>
      <c r="K1722" s="29" t="s">
        <v>599</v>
      </c>
      <c r="L1722" s="29" t="s">
        <v>600</v>
      </c>
      <c r="M1722" s="33">
        <v>-67.169</v>
      </c>
      <c r="N1722" s="33">
        <v>-5.08</v>
      </c>
      <c r="O1722" s="34" t="s">
        <v>641</v>
      </c>
      <c r="P1722" s="32" t="s">
        <v>602</v>
      </c>
      <c r="Q1722" s="35">
        <v>10.0</v>
      </c>
      <c r="R1722" s="35">
        <v>10.0</v>
      </c>
      <c r="S1722" s="36">
        <v>7.8</v>
      </c>
      <c r="T1722" s="36">
        <v>19.35</v>
      </c>
      <c r="U1722" s="36">
        <v>2.7928</v>
      </c>
      <c r="V1722" s="36">
        <v>4.3989</v>
      </c>
      <c r="W1722" s="37" t="s">
        <v>623</v>
      </c>
      <c r="X1722" s="31">
        <v>4.5</v>
      </c>
      <c r="Y1722" s="36">
        <v>-0.9079288571729591</v>
      </c>
      <c r="Z1722" s="36">
        <v>0.017988116502301116</v>
      </c>
      <c r="AA1722" s="29" t="s">
        <v>820</v>
      </c>
      <c r="AB1722" s="31">
        <v>0.942762136459</v>
      </c>
      <c r="AC1722" s="38">
        <v>1737.0</v>
      </c>
    </row>
    <row r="1723" ht="14.25" customHeight="1">
      <c r="A1723" s="29" t="s">
        <v>426</v>
      </c>
      <c r="B1723" s="29">
        <v>8.0</v>
      </c>
      <c r="C1723" s="29" t="s">
        <v>608</v>
      </c>
      <c r="D1723" s="29" t="s">
        <v>1346</v>
      </c>
      <c r="E1723" s="29">
        <v>140.0</v>
      </c>
      <c r="F1723" s="30" t="s">
        <v>1347</v>
      </c>
      <c r="G1723" s="29" t="s">
        <v>611</v>
      </c>
      <c r="H1723" s="31">
        <v>2.8</v>
      </c>
      <c r="I1723" s="29" t="s">
        <v>616</v>
      </c>
      <c r="J1723" s="32" t="s">
        <v>598</v>
      </c>
      <c r="K1723" s="29" t="s">
        <v>599</v>
      </c>
      <c r="L1723" s="29" t="s">
        <v>600</v>
      </c>
      <c r="M1723" s="33">
        <v>-67.169</v>
      </c>
      <c r="N1723" s="33">
        <v>-5.08</v>
      </c>
      <c r="O1723" s="34" t="s">
        <v>641</v>
      </c>
      <c r="P1723" s="32" t="s">
        <v>602</v>
      </c>
      <c r="Q1723" s="35">
        <v>10.0</v>
      </c>
      <c r="R1723" s="35">
        <v>10.0</v>
      </c>
      <c r="S1723" s="36">
        <v>0.0</v>
      </c>
      <c r="T1723" s="36">
        <v>9.7</v>
      </c>
      <c r="U1723" s="36">
        <v>0.0</v>
      </c>
      <c r="V1723" s="36">
        <v>3.1145</v>
      </c>
      <c r="W1723" s="37" t="s">
        <v>623</v>
      </c>
      <c r="X1723" s="31">
        <v>4.5</v>
      </c>
      <c r="Y1723" s="36">
        <v>-8.262558973010657</v>
      </c>
      <c r="Z1723" s="36">
        <v>0.1125572955113418</v>
      </c>
      <c r="AA1723" s="29" t="s">
        <v>820</v>
      </c>
      <c r="AB1723" s="31">
        <v>0.942762136459</v>
      </c>
      <c r="AC1723" s="38">
        <v>1737.0</v>
      </c>
    </row>
    <row r="1724" ht="14.25" customHeight="1">
      <c r="A1724" s="29" t="s">
        <v>426</v>
      </c>
      <c r="B1724" s="29">
        <v>8.0</v>
      </c>
      <c r="C1724" s="29" t="s">
        <v>608</v>
      </c>
      <c r="D1724" s="29" t="s">
        <v>1124</v>
      </c>
      <c r="E1724" s="29">
        <v>164.0</v>
      </c>
      <c r="F1724" s="30" t="s">
        <v>1125</v>
      </c>
      <c r="G1724" s="29" t="s">
        <v>611</v>
      </c>
      <c r="H1724" s="31">
        <v>0.39</v>
      </c>
      <c r="I1724" s="29" t="s">
        <v>616</v>
      </c>
      <c r="J1724" s="32" t="s">
        <v>598</v>
      </c>
      <c r="K1724" s="29" t="s">
        <v>599</v>
      </c>
      <c r="L1724" s="29" t="s">
        <v>600</v>
      </c>
      <c r="M1724" s="33">
        <v>-67.169</v>
      </c>
      <c r="N1724" s="33">
        <v>-5.08</v>
      </c>
      <c r="O1724" s="34" t="s">
        <v>641</v>
      </c>
      <c r="P1724" s="32" t="s">
        <v>602</v>
      </c>
      <c r="Q1724" s="35">
        <v>10.0</v>
      </c>
      <c r="R1724" s="35">
        <v>10.0</v>
      </c>
      <c r="S1724" s="36">
        <v>13.6</v>
      </c>
      <c r="T1724" s="36">
        <v>11.2</v>
      </c>
      <c r="U1724" s="36">
        <v>3.6878</v>
      </c>
      <c r="V1724" s="36">
        <v>3.3466</v>
      </c>
      <c r="W1724" s="37" t="s">
        <v>623</v>
      </c>
      <c r="X1724" s="31">
        <v>4.5</v>
      </c>
      <c r="Y1724" s="36">
        <v>0.19436846076112424</v>
      </c>
      <c r="Z1724" s="36">
        <v>0.01628122769368777</v>
      </c>
      <c r="AA1724" s="29" t="s">
        <v>820</v>
      </c>
      <c r="AB1724" s="31">
        <v>0.942762136459</v>
      </c>
      <c r="AC1724" s="38">
        <v>1737.0</v>
      </c>
    </row>
    <row r="1725" ht="14.25" customHeight="1">
      <c r="A1725" s="29" t="s">
        <v>426</v>
      </c>
      <c r="B1725" s="29">
        <v>8.0</v>
      </c>
      <c r="C1725" s="29" t="s">
        <v>608</v>
      </c>
      <c r="D1725" s="29" t="s">
        <v>1348</v>
      </c>
      <c r="E1725" s="29">
        <v>167.0</v>
      </c>
      <c r="F1725" s="30" t="s">
        <v>1349</v>
      </c>
      <c r="G1725" s="29" t="s">
        <v>611</v>
      </c>
      <c r="H1725" s="31">
        <v>0.62</v>
      </c>
      <c r="I1725" s="29" t="s">
        <v>616</v>
      </c>
      <c r="J1725" s="32" t="s">
        <v>598</v>
      </c>
      <c r="K1725" s="29" t="s">
        <v>599</v>
      </c>
      <c r="L1725" s="29" t="s">
        <v>600</v>
      </c>
      <c r="M1725" s="33">
        <v>-67.169</v>
      </c>
      <c r="N1725" s="33">
        <v>-5.08</v>
      </c>
      <c r="O1725" s="34" t="s">
        <v>641</v>
      </c>
      <c r="P1725" s="32" t="s">
        <v>602</v>
      </c>
      <c r="Q1725" s="35">
        <v>10.0</v>
      </c>
      <c r="R1725" s="35">
        <v>10.0</v>
      </c>
      <c r="S1725" s="36">
        <v>21.7</v>
      </c>
      <c r="T1725" s="36">
        <v>15.367</v>
      </c>
      <c r="U1725" s="36">
        <v>4.6583</v>
      </c>
      <c r="V1725" s="36">
        <v>3.9201</v>
      </c>
      <c r="W1725" s="37" t="s">
        <v>623</v>
      </c>
      <c r="X1725" s="31">
        <v>4.5</v>
      </c>
      <c r="Y1725" s="36">
        <v>0.3452725937474044</v>
      </c>
      <c r="Z1725" s="36">
        <v>0.011115772681831032</v>
      </c>
      <c r="AA1725" s="29" t="s">
        <v>820</v>
      </c>
      <c r="AB1725" s="31">
        <v>0.942762136459</v>
      </c>
      <c r="AC1725" s="38">
        <v>1737.0</v>
      </c>
    </row>
    <row r="1726" ht="14.25" customHeight="1">
      <c r="A1726" s="29" t="s">
        <v>426</v>
      </c>
      <c r="B1726" s="29">
        <v>8.0</v>
      </c>
      <c r="C1726" s="29" t="s">
        <v>608</v>
      </c>
      <c r="D1726" s="29" t="s">
        <v>691</v>
      </c>
      <c r="E1726" s="29">
        <v>170.0</v>
      </c>
      <c r="F1726" s="30" t="s">
        <v>692</v>
      </c>
      <c r="G1726" s="29" t="s">
        <v>611</v>
      </c>
      <c r="H1726" s="31">
        <v>0.74</v>
      </c>
      <c r="I1726" s="29" t="s">
        <v>616</v>
      </c>
      <c r="J1726" s="32" t="s">
        <v>598</v>
      </c>
      <c r="K1726" s="29" t="s">
        <v>599</v>
      </c>
      <c r="L1726" s="29" t="s">
        <v>600</v>
      </c>
      <c r="M1726" s="33">
        <v>-67.169</v>
      </c>
      <c r="N1726" s="33">
        <v>-5.08</v>
      </c>
      <c r="O1726" s="34" t="s">
        <v>641</v>
      </c>
      <c r="P1726" s="32" t="s">
        <v>602</v>
      </c>
      <c r="Q1726" s="35">
        <v>10.0</v>
      </c>
      <c r="R1726" s="35">
        <v>10.0</v>
      </c>
      <c r="S1726" s="36">
        <v>44.3</v>
      </c>
      <c r="T1726" s="36">
        <v>10.2</v>
      </c>
      <c r="U1726" s="36">
        <v>6.6558</v>
      </c>
      <c r="V1726" s="36">
        <v>3.1937</v>
      </c>
      <c r="W1726" s="37" t="s">
        <v>623</v>
      </c>
      <c r="X1726" s="31">
        <v>4.5</v>
      </c>
      <c r="Y1726" s="36">
        <v>1.468656358584518</v>
      </c>
      <c r="Z1726" s="36">
        <v>0.012060971856627854</v>
      </c>
      <c r="AA1726" s="29" t="s">
        <v>820</v>
      </c>
      <c r="AB1726" s="31">
        <v>0.942762136459</v>
      </c>
      <c r="AC1726" s="38">
        <v>1737.0</v>
      </c>
    </row>
    <row r="1727" ht="14.25" customHeight="1">
      <c r="A1727" s="29" t="s">
        <v>426</v>
      </c>
      <c r="B1727" s="29">
        <v>8.0</v>
      </c>
      <c r="C1727" s="29" t="s">
        <v>608</v>
      </c>
      <c r="D1727" s="29" t="s">
        <v>632</v>
      </c>
      <c r="E1727" s="29">
        <v>173.0</v>
      </c>
      <c r="F1727" s="30" t="s">
        <v>633</v>
      </c>
      <c r="G1727" s="29" t="s">
        <v>611</v>
      </c>
      <c r="H1727" s="31">
        <v>2.5</v>
      </c>
      <c r="I1727" s="29" t="s">
        <v>616</v>
      </c>
      <c r="J1727" s="32" t="s">
        <v>598</v>
      </c>
      <c r="K1727" s="29" t="s">
        <v>599</v>
      </c>
      <c r="L1727" s="29" t="s">
        <v>600</v>
      </c>
      <c r="M1727" s="33">
        <v>-67.169</v>
      </c>
      <c r="N1727" s="33">
        <v>-5.08</v>
      </c>
      <c r="O1727" s="34" t="s">
        <v>641</v>
      </c>
      <c r="P1727" s="32" t="s">
        <v>602</v>
      </c>
      <c r="Q1727" s="35">
        <v>10.0</v>
      </c>
      <c r="R1727" s="35">
        <v>10.0</v>
      </c>
      <c r="S1727" s="36">
        <v>24.1</v>
      </c>
      <c r="T1727" s="36">
        <v>19.733</v>
      </c>
      <c r="U1727" s="36">
        <v>4.9092</v>
      </c>
      <c r="V1727" s="36">
        <v>4.4422</v>
      </c>
      <c r="W1727" s="37" t="s">
        <v>623</v>
      </c>
      <c r="X1727" s="31">
        <v>4.5</v>
      </c>
      <c r="Y1727" s="36">
        <v>0.20013070485322043</v>
      </c>
      <c r="Z1727" s="36">
        <v>0.00921710905293838</v>
      </c>
      <c r="AA1727" s="29" t="s">
        <v>820</v>
      </c>
      <c r="AB1727" s="31">
        <v>0.942762136459</v>
      </c>
      <c r="AC1727" s="38">
        <v>1737.0</v>
      </c>
    </row>
    <row r="1728" ht="14.25" customHeight="1">
      <c r="A1728" s="29" t="s">
        <v>426</v>
      </c>
      <c r="B1728" s="29">
        <v>112.0</v>
      </c>
      <c r="C1728" s="29" t="s">
        <v>608</v>
      </c>
      <c r="D1728" s="29" t="s">
        <v>825</v>
      </c>
      <c r="E1728" s="29">
        <v>5.0</v>
      </c>
      <c r="F1728" s="30" t="s">
        <v>826</v>
      </c>
      <c r="G1728" s="29" t="s">
        <v>611</v>
      </c>
      <c r="H1728" s="31">
        <v>6.15</v>
      </c>
      <c r="I1728" s="29" t="s">
        <v>612</v>
      </c>
      <c r="J1728" s="32" t="s">
        <v>598</v>
      </c>
      <c r="K1728" s="29" t="s">
        <v>599</v>
      </c>
      <c r="L1728" s="29" t="s">
        <v>600</v>
      </c>
      <c r="M1728" s="33">
        <v>-66.516</v>
      </c>
      <c r="N1728" s="33">
        <v>-4.349</v>
      </c>
      <c r="O1728" s="34" t="s">
        <v>641</v>
      </c>
      <c r="P1728" s="32" t="s">
        <v>602</v>
      </c>
      <c r="Q1728" s="35">
        <v>10.0</v>
      </c>
      <c r="R1728" s="35">
        <v>10.0</v>
      </c>
      <c r="S1728" s="36">
        <v>5.5</v>
      </c>
      <c r="T1728" s="36">
        <v>5.4</v>
      </c>
      <c r="U1728" s="36">
        <v>2.3452</v>
      </c>
      <c r="V1728" s="36">
        <v>2.3238</v>
      </c>
      <c r="W1728" s="37" t="s">
        <v>623</v>
      </c>
      <c r="X1728" s="31">
        <v>4.5</v>
      </c>
      <c r="Y1728" s="36">
        <v>0.018602413655831193</v>
      </c>
      <c r="Z1728" s="36">
        <v>0.03670037377777778</v>
      </c>
      <c r="AA1728" s="29" t="s">
        <v>820</v>
      </c>
      <c r="AB1728" s="31">
        <v>0.942740082741</v>
      </c>
      <c r="AC1728" s="38">
        <v>2242.0</v>
      </c>
    </row>
    <row r="1729" ht="14.25" customHeight="1">
      <c r="A1729" s="29" t="s">
        <v>426</v>
      </c>
      <c r="B1729" s="29">
        <v>112.0</v>
      </c>
      <c r="C1729" s="29" t="s">
        <v>608</v>
      </c>
      <c r="D1729" s="29" t="s">
        <v>1277</v>
      </c>
      <c r="E1729" s="29">
        <v>25.0</v>
      </c>
      <c r="F1729" s="30" t="s">
        <v>1278</v>
      </c>
      <c r="G1729" s="29" t="s">
        <v>611</v>
      </c>
      <c r="H1729" s="31">
        <v>0.85</v>
      </c>
      <c r="I1729" s="29" t="s">
        <v>616</v>
      </c>
      <c r="J1729" s="32" t="s">
        <v>598</v>
      </c>
      <c r="K1729" s="29" t="s">
        <v>599</v>
      </c>
      <c r="L1729" s="29" t="s">
        <v>600</v>
      </c>
      <c r="M1729" s="33">
        <v>-66.516</v>
      </c>
      <c r="N1729" s="33">
        <v>-4.349</v>
      </c>
      <c r="O1729" s="34" t="s">
        <v>641</v>
      </c>
      <c r="P1729" s="32" t="s">
        <v>602</v>
      </c>
      <c r="Q1729" s="35">
        <v>10.0</v>
      </c>
      <c r="R1729" s="35">
        <v>10.0</v>
      </c>
      <c r="S1729" s="36">
        <v>5.1</v>
      </c>
      <c r="T1729" s="36">
        <v>5.4333</v>
      </c>
      <c r="U1729" s="36">
        <v>2.2583</v>
      </c>
      <c r="V1729" s="36">
        <v>2.331</v>
      </c>
      <c r="W1729" s="37" t="s">
        <v>623</v>
      </c>
      <c r="X1729" s="31">
        <v>4.5</v>
      </c>
      <c r="Y1729" s="36">
        <v>-0.0630313233330064</v>
      </c>
      <c r="Z1729" s="36">
        <v>0.03801343630926644</v>
      </c>
      <c r="AA1729" s="29" t="s">
        <v>820</v>
      </c>
      <c r="AB1729" s="31">
        <v>0.942740082741</v>
      </c>
      <c r="AC1729" s="38">
        <v>2242.0</v>
      </c>
    </row>
    <row r="1730" ht="14.25" customHeight="1">
      <c r="A1730" s="29" t="s">
        <v>426</v>
      </c>
      <c r="B1730" s="29">
        <v>112.0</v>
      </c>
      <c r="C1730" s="29" t="s">
        <v>608</v>
      </c>
      <c r="D1730" s="29" t="s">
        <v>828</v>
      </c>
      <c r="E1730" s="29">
        <v>26.0</v>
      </c>
      <c r="F1730" s="30" t="s">
        <v>829</v>
      </c>
      <c r="G1730" s="29" t="s">
        <v>611</v>
      </c>
      <c r="H1730" s="31">
        <v>1.05</v>
      </c>
      <c r="I1730" s="29" t="s">
        <v>616</v>
      </c>
      <c r="J1730" s="32" t="s">
        <v>598</v>
      </c>
      <c r="K1730" s="29" t="s">
        <v>599</v>
      </c>
      <c r="L1730" s="29" t="s">
        <v>600</v>
      </c>
      <c r="M1730" s="33">
        <v>-66.516</v>
      </c>
      <c r="N1730" s="33">
        <v>-4.349</v>
      </c>
      <c r="O1730" s="34" t="s">
        <v>641</v>
      </c>
      <c r="P1730" s="32" t="s">
        <v>602</v>
      </c>
      <c r="Q1730" s="35">
        <v>10.0</v>
      </c>
      <c r="R1730" s="35">
        <v>10.0</v>
      </c>
      <c r="S1730" s="36">
        <v>19.5</v>
      </c>
      <c r="T1730" s="36">
        <v>5.733</v>
      </c>
      <c r="U1730" s="36">
        <v>4.4159</v>
      </c>
      <c r="V1730" s="36">
        <v>2.3944</v>
      </c>
      <c r="W1730" s="37" t="s">
        <v>623</v>
      </c>
      <c r="X1730" s="31">
        <v>4.5</v>
      </c>
      <c r="Y1730" s="36">
        <v>1.2242513601600729</v>
      </c>
      <c r="Z1730" s="36">
        <v>0.022571585679017094</v>
      </c>
      <c r="AA1730" s="29" t="s">
        <v>820</v>
      </c>
      <c r="AB1730" s="31">
        <v>0.942740082741</v>
      </c>
      <c r="AC1730" s="38">
        <v>2242.0</v>
      </c>
    </row>
    <row r="1731" ht="14.25" customHeight="1">
      <c r="A1731" s="29" t="s">
        <v>426</v>
      </c>
      <c r="B1731" s="29">
        <v>112.0</v>
      </c>
      <c r="C1731" s="29" t="s">
        <v>608</v>
      </c>
      <c r="D1731" s="29" t="s">
        <v>1082</v>
      </c>
      <c r="E1731" s="29">
        <v>29.0</v>
      </c>
      <c r="F1731" s="30" t="s">
        <v>1083</v>
      </c>
      <c r="G1731" s="29" t="s">
        <v>611</v>
      </c>
      <c r="H1731" s="31">
        <v>0.125</v>
      </c>
      <c r="I1731" s="29" t="s">
        <v>616</v>
      </c>
      <c r="J1731" s="32" t="s">
        <v>598</v>
      </c>
      <c r="K1731" s="29" t="s">
        <v>599</v>
      </c>
      <c r="L1731" s="29" t="s">
        <v>600</v>
      </c>
      <c r="M1731" s="33">
        <v>-66.516</v>
      </c>
      <c r="N1731" s="33">
        <v>-4.349</v>
      </c>
      <c r="O1731" s="34" t="s">
        <v>641</v>
      </c>
      <c r="P1731" s="32" t="s">
        <v>602</v>
      </c>
      <c r="Q1731" s="35">
        <v>10.0</v>
      </c>
      <c r="R1731" s="35">
        <v>10.0</v>
      </c>
      <c r="S1731" s="36">
        <v>0.0</v>
      </c>
      <c r="T1731" s="36">
        <v>2.8</v>
      </c>
      <c r="U1731" s="36">
        <v>0.0</v>
      </c>
      <c r="V1731" s="36">
        <v>1.6733</v>
      </c>
      <c r="W1731" s="37" t="s">
        <v>623</v>
      </c>
      <c r="X1731" s="31">
        <v>4.5</v>
      </c>
      <c r="Y1731" s="36">
        <v>-8.262558973010657</v>
      </c>
      <c r="Z1731" s="36">
        <v>0.1433722028466483</v>
      </c>
      <c r="AA1731" s="29" t="s">
        <v>820</v>
      </c>
      <c r="AB1731" s="31">
        <v>0.942740082741</v>
      </c>
      <c r="AC1731" s="38">
        <v>2242.0</v>
      </c>
    </row>
    <row r="1732" ht="14.25" customHeight="1">
      <c r="A1732" s="29" t="s">
        <v>426</v>
      </c>
      <c r="B1732" s="29">
        <v>112.0</v>
      </c>
      <c r="C1732" s="29" t="s">
        <v>608</v>
      </c>
      <c r="D1732" s="29" t="s">
        <v>1346</v>
      </c>
      <c r="E1732" s="29">
        <v>140.0</v>
      </c>
      <c r="F1732" s="30" t="s">
        <v>1347</v>
      </c>
      <c r="G1732" s="29" t="s">
        <v>611</v>
      </c>
      <c r="H1732" s="31">
        <v>2.8</v>
      </c>
      <c r="I1732" s="29" t="s">
        <v>616</v>
      </c>
      <c r="J1732" s="32" t="s">
        <v>598</v>
      </c>
      <c r="K1732" s="29" t="s">
        <v>599</v>
      </c>
      <c r="L1732" s="29" t="s">
        <v>600</v>
      </c>
      <c r="M1732" s="33">
        <v>-66.516</v>
      </c>
      <c r="N1732" s="33">
        <v>-4.349</v>
      </c>
      <c r="O1732" s="34" t="s">
        <v>641</v>
      </c>
      <c r="P1732" s="32" t="s">
        <v>602</v>
      </c>
      <c r="Q1732" s="35">
        <v>10.0</v>
      </c>
      <c r="R1732" s="35">
        <v>10.0</v>
      </c>
      <c r="S1732" s="36">
        <v>0.0</v>
      </c>
      <c r="T1732" s="36">
        <v>9.7</v>
      </c>
      <c r="U1732" s="36">
        <v>0.0</v>
      </c>
      <c r="V1732" s="36">
        <v>3.1145</v>
      </c>
      <c r="W1732" s="37" t="s">
        <v>623</v>
      </c>
      <c r="X1732" s="31">
        <v>4.5</v>
      </c>
      <c r="Y1732" s="36">
        <v>-8.262558973010657</v>
      </c>
      <c r="Z1732" s="36">
        <v>0.1125572955113418</v>
      </c>
      <c r="AA1732" s="29" t="s">
        <v>820</v>
      </c>
      <c r="AB1732" s="31">
        <v>0.942740082741</v>
      </c>
      <c r="AC1732" s="38">
        <v>2242.0</v>
      </c>
    </row>
    <row r="1733" ht="14.25" customHeight="1">
      <c r="A1733" s="29" t="s">
        <v>426</v>
      </c>
      <c r="B1733" s="29">
        <v>112.0</v>
      </c>
      <c r="C1733" s="29" t="s">
        <v>608</v>
      </c>
      <c r="D1733" s="29" t="s">
        <v>1124</v>
      </c>
      <c r="E1733" s="29">
        <v>164.0</v>
      </c>
      <c r="F1733" s="30" t="s">
        <v>1125</v>
      </c>
      <c r="G1733" s="29" t="s">
        <v>611</v>
      </c>
      <c r="H1733" s="31">
        <v>0.39</v>
      </c>
      <c r="I1733" s="29" t="s">
        <v>616</v>
      </c>
      <c r="J1733" s="32" t="s">
        <v>598</v>
      </c>
      <c r="K1733" s="29" t="s">
        <v>599</v>
      </c>
      <c r="L1733" s="29" t="s">
        <v>600</v>
      </c>
      <c r="M1733" s="33">
        <v>-66.516</v>
      </c>
      <c r="N1733" s="33">
        <v>-4.349</v>
      </c>
      <c r="O1733" s="34" t="s">
        <v>641</v>
      </c>
      <c r="P1733" s="32" t="s">
        <v>602</v>
      </c>
      <c r="Q1733" s="35">
        <v>10.0</v>
      </c>
      <c r="R1733" s="35">
        <v>10.0</v>
      </c>
      <c r="S1733" s="36">
        <v>37.2</v>
      </c>
      <c r="T1733" s="36">
        <v>11.2</v>
      </c>
      <c r="U1733" s="36">
        <v>6.0992</v>
      </c>
      <c r="V1733" s="36">
        <v>3.3466</v>
      </c>
      <c r="W1733" s="37" t="s">
        <v>623</v>
      </c>
      <c r="X1733" s="31">
        <v>4.5</v>
      </c>
      <c r="Y1733" s="36">
        <v>1.2004726567593065</v>
      </c>
      <c r="Z1733" s="36">
        <v>0.011616546862151252</v>
      </c>
      <c r="AA1733" s="29" t="s">
        <v>820</v>
      </c>
      <c r="AB1733" s="31">
        <v>0.942740082741</v>
      </c>
      <c r="AC1733" s="38">
        <v>2242.0</v>
      </c>
    </row>
    <row r="1734" ht="14.25" customHeight="1">
      <c r="A1734" s="29" t="s">
        <v>426</v>
      </c>
      <c r="B1734" s="29">
        <v>112.0</v>
      </c>
      <c r="C1734" s="29" t="s">
        <v>608</v>
      </c>
      <c r="D1734" s="29" t="s">
        <v>1348</v>
      </c>
      <c r="E1734" s="29">
        <v>167.0</v>
      </c>
      <c r="F1734" s="30" t="s">
        <v>1349</v>
      </c>
      <c r="G1734" s="29" t="s">
        <v>611</v>
      </c>
      <c r="H1734" s="31">
        <v>0.62</v>
      </c>
      <c r="I1734" s="29" t="s">
        <v>616</v>
      </c>
      <c r="J1734" s="32" t="s">
        <v>598</v>
      </c>
      <c r="K1734" s="29" t="s">
        <v>599</v>
      </c>
      <c r="L1734" s="29" t="s">
        <v>600</v>
      </c>
      <c r="M1734" s="33">
        <v>-66.516</v>
      </c>
      <c r="N1734" s="33">
        <v>-4.349</v>
      </c>
      <c r="O1734" s="34" t="s">
        <v>641</v>
      </c>
      <c r="P1734" s="32" t="s">
        <v>602</v>
      </c>
      <c r="Q1734" s="35">
        <v>10.0</v>
      </c>
      <c r="R1734" s="35">
        <v>10.0</v>
      </c>
      <c r="S1734" s="36">
        <v>33.2</v>
      </c>
      <c r="T1734" s="36">
        <v>15.367</v>
      </c>
      <c r="U1734" s="36">
        <v>5.7619</v>
      </c>
      <c r="V1734" s="36">
        <v>3.9201</v>
      </c>
      <c r="W1734" s="37" t="s">
        <v>623</v>
      </c>
      <c r="X1734" s="31">
        <v>4.5</v>
      </c>
      <c r="Y1734" s="36">
        <v>0.7704469330172433</v>
      </c>
      <c r="Z1734" s="36">
        <v>0.009519531023418772</v>
      </c>
      <c r="AA1734" s="29" t="s">
        <v>820</v>
      </c>
      <c r="AB1734" s="31">
        <v>0.942740082741</v>
      </c>
      <c r="AC1734" s="38">
        <v>2242.0</v>
      </c>
    </row>
    <row r="1735" ht="14.25" customHeight="1">
      <c r="A1735" s="29" t="s">
        <v>426</v>
      </c>
      <c r="B1735" s="29">
        <v>112.0</v>
      </c>
      <c r="C1735" s="29" t="s">
        <v>608</v>
      </c>
      <c r="D1735" s="29" t="s">
        <v>632</v>
      </c>
      <c r="E1735" s="29">
        <v>173.0</v>
      </c>
      <c r="F1735" s="30" t="s">
        <v>633</v>
      </c>
      <c r="G1735" s="29" t="s">
        <v>611</v>
      </c>
      <c r="H1735" s="31">
        <v>2.5</v>
      </c>
      <c r="I1735" s="29" t="s">
        <v>616</v>
      </c>
      <c r="J1735" s="32" t="s">
        <v>598</v>
      </c>
      <c r="K1735" s="29" t="s">
        <v>599</v>
      </c>
      <c r="L1735" s="29" t="s">
        <v>600</v>
      </c>
      <c r="M1735" s="33">
        <v>-66.516</v>
      </c>
      <c r="N1735" s="33">
        <v>-4.349</v>
      </c>
      <c r="O1735" s="34" t="s">
        <v>641</v>
      </c>
      <c r="P1735" s="32" t="s">
        <v>602</v>
      </c>
      <c r="Q1735" s="35">
        <v>10.0</v>
      </c>
      <c r="R1735" s="35">
        <v>10.0</v>
      </c>
      <c r="S1735" s="36">
        <v>3.5</v>
      </c>
      <c r="T1735" s="36">
        <v>19.733</v>
      </c>
      <c r="U1735" s="36">
        <v>1.8708</v>
      </c>
      <c r="V1735" s="36">
        <v>4.4422</v>
      </c>
      <c r="W1735" s="37" t="s">
        <v>623</v>
      </c>
      <c r="X1735" s="31">
        <v>4.5</v>
      </c>
      <c r="Y1735" s="36">
        <v>-1.7280758572233548</v>
      </c>
      <c r="Z1735" s="36">
        <v>0.03363824150235578</v>
      </c>
      <c r="AA1735" s="29" t="s">
        <v>820</v>
      </c>
      <c r="AB1735" s="31">
        <v>0.942740082741</v>
      </c>
      <c r="AC1735" s="38">
        <v>2242.0</v>
      </c>
    </row>
    <row r="1736" ht="14.25" customHeight="1">
      <c r="A1736" s="29" t="s">
        <v>426</v>
      </c>
      <c r="B1736" s="29">
        <v>113.0</v>
      </c>
      <c r="C1736" s="29" t="s">
        <v>608</v>
      </c>
      <c r="D1736" s="29" t="s">
        <v>825</v>
      </c>
      <c r="E1736" s="29">
        <v>5.0</v>
      </c>
      <c r="F1736" s="30" t="s">
        <v>826</v>
      </c>
      <c r="G1736" s="29" t="s">
        <v>611</v>
      </c>
      <c r="H1736" s="31">
        <v>6.15</v>
      </c>
      <c r="I1736" s="29" t="s">
        <v>612</v>
      </c>
      <c r="J1736" s="32" t="s">
        <v>598</v>
      </c>
      <c r="K1736" s="29" t="s">
        <v>599</v>
      </c>
      <c r="L1736" s="29" t="s">
        <v>600</v>
      </c>
      <c r="M1736" s="33">
        <v>-67.098</v>
      </c>
      <c r="N1736" s="33">
        <v>-4.466</v>
      </c>
      <c r="O1736" s="34" t="s">
        <v>641</v>
      </c>
      <c r="P1736" s="32" t="s">
        <v>602</v>
      </c>
      <c r="Q1736" s="35">
        <v>10.0</v>
      </c>
      <c r="R1736" s="35">
        <v>10.0</v>
      </c>
      <c r="S1736" s="36">
        <v>10.4</v>
      </c>
      <c r="T1736" s="36">
        <v>5.4</v>
      </c>
      <c r="U1736" s="36">
        <v>3.2249</v>
      </c>
      <c r="V1736" s="36">
        <v>2.3238</v>
      </c>
      <c r="W1736" s="37" t="s">
        <v>623</v>
      </c>
      <c r="X1736" s="31">
        <v>4.5</v>
      </c>
      <c r="Y1736" s="36">
        <v>0.655540804071974</v>
      </c>
      <c r="Z1736" s="36">
        <v>0.02813404391128369</v>
      </c>
      <c r="AA1736" s="29" t="s">
        <v>820</v>
      </c>
      <c r="AB1736" s="31">
        <v>0.333089381456</v>
      </c>
      <c r="AC1736" s="38">
        <v>4807.0</v>
      </c>
    </row>
    <row r="1737" ht="14.25" customHeight="1">
      <c r="A1737" s="29" t="s">
        <v>426</v>
      </c>
      <c r="B1737" s="29">
        <v>113.0</v>
      </c>
      <c r="C1737" s="29" t="s">
        <v>608</v>
      </c>
      <c r="D1737" s="29" t="s">
        <v>1277</v>
      </c>
      <c r="E1737" s="29">
        <v>25.0</v>
      </c>
      <c r="F1737" s="30" t="s">
        <v>1278</v>
      </c>
      <c r="G1737" s="29" t="s">
        <v>611</v>
      </c>
      <c r="H1737" s="31">
        <v>0.85</v>
      </c>
      <c r="I1737" s="29" t="s">
        <v>616</v>
      </c>
      <c r="J1737" s="32" t="s">
        <v>598</v>
      </c>
      <c r="K1737" s="29" t="s">
        <v>599</v>
      </c>
      <c r="L1737" s="29" t="s">
        <v>600</v>
      </c>
      <c r="M1737" s="33">
        <v>-67.098</v>
      </c>
      <c r="N1737" s="33">
        <v>-4.466</v>
      </c>
      <c r="O1737" s="34" t="s">
        <v>641</v>
      </c>
      <c r="P1737" s="32" t="s">
        <v>602</v>
      </c>
      <c r="Q1737" s="35">
        <v>10.0</v>
      </c>
      <c r="R1737" s="35">
        <v>10.0</v>
      </c>
      <c r="S1737" s="36">
        <v>4.5</v>
      </c>
      <c r="T1737" s="36">
        <v>5.4333</v>
      </c>
      <c r="U1737" s="36">
        <v>2.1213</v>
      </c>
      <c r="V1737" s="36">
        <v>2.331</v>
      </c>
      <c r="W1737" s="37" t="s">
        <v>623</v>
      </c>
      <c r="X1737" s="31">
        <v>4.5</v>
      </c>
      <c r="Y1737" s="36">
        <v>-0.18815782918038346</v>
      </c>
      <c r="Z1737" s="36">
        <v>0.04062770101361092</v>
      </c>
      <c r="AA1737" s="29" t="s">
        <v>820</v>
      </c>
      <c r="AB1737" s="31">
        <v>0.333089381456</v>
      </c>
      <c r="AC1737" s="38">
        <v>4807.0</v>
      </c>
    </row>
    <row r="1738" ht="14.25" customHeight="1">
      <c r="A1738" s="29" t="s">
        <v>426</v>
      </c>
      <c r="B1738" s="29">
        <v>113.0</v>
      </c>
      <c r="C1738" s="29" t="s">
        <v>608</v>
      </c>
      <c r="D1738" s="29" t="s">
        <v>828</v>
      </c>
      <c r="E1738" s="29">
        <v>26.0</v>
      </c>
      <c r="F1738" s="30" t="s">
        <v>829</v>
      </c>
      <c r="G1738" s="29" t="s">
        <v>611</v>
      </c>
      <c r="H1738" s="31">
        <v>1.05</v>
      </c>
      <c r="I1738" s="29" t="s">
        <v>616</v>
      </c>
      <c r="J1738" s="32" t="s">
        <v>598</v>
      </c>
      <c r="K1738" s="29" t="s">
        <v>599</v>
      </c>
      <c r="L1738" s="29" t="s">
        <v>600</v>
      </c>
      <c r="M1738" s="33">
        <v>-67.098</v>
      </c>
      <c r="N1738" s="33">
        <v>-4.466</v>
      </c>
      <c r="O1738" s="34" t="s">
        <v>641</v>
      </c>
      <c r="P1738" s="32" t="s">
        <v>602</v>
      </c>
      <c r="Q1738" s="35">
        <v>10.0</v>
      </c>
      <c r="R1738" s="35">
        <v>10.0</v>
      </c>
      <c r="S1738" s="36">
        <v>22.0</v>
      </c>
      <c r="T1738" s="36">
        <v>5.733</v>
      </c>
      <c r="U1738" s="36">
        <v>4.6904</v>
      </c>
      <c r="V1738" s="36">
        <v>2.3944</v>
      </c>
      <c r="W1738" s="37" t="s">
        <v>623</v>
      </c>
      <c r="X1738" s="31">
        <v>4.5</v>
      </c>
      <c r="Y1738" s="36">
        <v>1.3448707290887965</v>
      </c>
      <c r="Z1738" s="36">
        <v>0.021988759104395135</v>
      </c>
      <c r="AA1738" s="29" t="s">
        <v>820</v>
      </c>
      <c r="AB1738" s="31">
        <v>0.333089381456</v>
      </c>
      <c r="AC1738" s="38">
        <v>4807.0</v>
      </c>
    </row>
    <row r="1739" ht="14.25" customHeight="1">
      <c r="A1739" s="29" t="s">
        <v>426</v>
      </c>
      <c r="B1739" s="29">
        <v>113.0</v>
      </c>
      <c r="C1739" s="29" t="s">
        <v>608</v>
      </c>
      <c r="D1739" s="29" t="s">
        <v>1082</v>
      </c>
      <c r="E1739" s="29">
        <v>29.0</v>
      </c>
      <c r="F1739" s="30" t="s">
        <v>1083</v>
      </c>
      <c r="G1739" s="29" t="s">
        <v>611</v>
      </c>
      <c r="H1739" s="31">
        <v>0.125</v>
      </c>
      <c r="I1739" s="29" t="s">
        <v>616</v>
      </c>
      <c r="J1739" s="32" t="s">
        <v>598</v>
      </c>
      <c r="K1739" s="29" t="s">
        <v>599</v>
      </c>
      <c r="L1739" s="29" t="s">
        <v>600</v>
      </c>
      <c r="M1739" s="33">
        <v>-67.098</v>
      </c>
      <c r="N1739" s="33">
        <v>-4.466</v>
      </c>
      <c r="O1739" s="34" t="s">
        <v>641</v>
      </c>
      <c r="P1739" s="32" t="s">
        <v>602</v>
      </c>
      <c r="Q1739" s="35">
        <v>10.0</v>
      </c>
      <c r="R1739" s="35">
        <v>10.0</v>
      </c>
      <c r="S1739" s="36">
        <v>12.0</v>
      </c>
      <c r="T1739" s="36">
        <v>2.8</v>
      </c>
      <c r="U1739" s="36">
        <v>3.4641</v>
      </c>
      <c r="V1739" s="36">
        <v>1.6733</v>
      </c>
      <c r="W1739" s="37" t="s">
        <v>623</v>
      </c>
      <c r="X1739" s="31">
        <v>4.5</v>
      </c>
      <c r="Y1739" s="36">
        <v>1.4553474303133276</v>
      </c>
      <c r="Z1739" s="36">
        <v>0.044046755281887756</v>
      </c>
      <c r="AA1739" s="29" t="s">
        <v>820</v>
      </c>
      <c r="AB1739" s="31">
        <v>0.333089381456</v>
      </c>
      <c r="AC1739" s="38">
        <v>4807.0</v>
      </c>
    </row>
    <row r="1740" ht="14.25" customHeight="1">
      <c r="A1740" s="29" t="s">
        <v>426</v>
      </c>
      <c r="B1740" s="29">
        <v>113.0</v>
      </c>
      <c r="C1740" s="29" t="s">
        <v>608</v>
      </c>
      <c r="D1740" s="29" t="s">
        <v>830</v>
      </c>
      <c r="E1740" s="29">
        <v>30.0</v>
      </c>
      <c r="F1740" s="30" t="s">
        <v>831</v>
      </c>
      <c r="G1740" s="29" t="s">
        <v>611</v>
      </c>
      <c r="H1740" s="31">
        <v>2.63</v>
      </c>
      <c r="I1740" s="29" t="s">
        <v>616</v>
      </c>
      <c r="J1740" s="32" t="s">
        <v>598</v>
      </c>
      <c r="K1740" s="29" t="s">
        <v>599</v>
      </c>
      <c r="L1740" s="29" t="s">
        <v>600</v>
      </c>
      <c r="M1740" s="33">
        <v>-67.098</v>
      </c>
      <c r="N1740" s="33">
        <v>-4.466</v>
      </c>
      <c r="O1740" s="34" t="s">
        <v>641</v>
      </c>
      <c r="P1740" s="32" t="s">
        <v>602</v>
      </c>
      <c r="Q1740" s="35">
        <v>10.0</v>
      </c>
      <c r="R1740" s="35">
        <v>10.0</v>
      </c>
      <c r="S1740" s="36">
        <v>17.9</v>
      </c>
      <c r="T1740" s="36">
        <v>19.35</v>
      </c>
      <c r="U1740" s="36">
        <v>4.2308</v>
      </c>
      <c r="V1740" s="36">
        <v>4.3989</v>
      </c>
      <c r="W1740" s="37" t="s">
        <v>623</v>
      </c>
      <c r="X1740" s="31">
        <v>4.5</v>
      </c>
      <c r="Y1740" s="36">
        <v>-0.07761284830351588</v>
      </c>
      <c r="Z1740" s="36">
        <v>0.010754533205719062</v>
      </c>
      <c r="AA1740" s="29" t="s">
        <v>820</v>
      </c>
      <c r="AB1740" s="31">
        <v>0.333089381456</v>
      </c>
      <c r="AC1740" s="38">
        <v>4807.0</v>
      </c>
    </row>
    <row r="1741" ht="14.25" customHeight="1">
      <c r="A1741" s="29" t="s">
        <v>426</v>
      </c>
      <c r="B1741" s="29">
        <v>113.0</v>
      </c>
      <c r="C1741" s="29" t="s">
        <v>608</v>
      </c>
      <c r="D1741" s="29" t="s">
        <v>1346</v>
      </c>
      <c r="E1741" s="29">
        <v>140.0</v>
      </c>
      <c r="F1741" s="30" t="s">
        <v>1347</v>
      </c>
      <c r="G1741" s="29" t="s">
        <v>611</v>
      </c>
      <c r="H1741" s="31">
        <v>2.8</v>
      </c>
      <c r="I1741" s="29" t="s">
        <v>616</v>
      </c>
      <c r="J1741" s="32" t="s">
        <v>598</v>
      </c>
      <c r="K1741" s="29" t="s">
        <v>599</v>
      </c>
      <c r="L1741" s="29" t="s">
        <v>600</v>
      </c>
      <c r="M1741" s="33">
        <v>-67.098</v>
      </c>
      <c r="N1741" s="33">
        <v>-4.466</v>
      </c>
      <c r="O1741" s="34" t="s">
        <v>641</v>
      </c>
      <c r="P1741" s="32" t="s">
        <v>602</v>
      </c>
      <c r="Q1741" s="35">
        <v>10.0</v>
      </c>
      <c r="R1741" s="35">
        <v>10.0</v>
      </c>
      <c r="S1741" s="36">
        <v>0.0</v>
      </c>
      <c r="T1741" s="36">
        <v>9.7</v>
      </c>
      <c r="U1741" s="36">
        <v>0.0</v>
      </c>
      <c r="V1741" s="36">
        <v>3.1145</v>
      </c>
      <c r="W1741" s="37" t="s">
        <v>623</v>
      </c>
      <c r="X1741" s="31">
        <v>4.5</v>
      </c>
      <c r="Y1741" s="36">
        <v>-8.262558973010657</v>
      </c>
      <c r="Z1741" s="36">
        <v>0.1125572955113418</v>
      </c>
      <c r="AA1741" s="29" t="s">
        <v>820</v>
      </c>
      <c r="AB1741" s="31">
        <v>0.333089381456</v>
      </c>
      <c r="AC1741" s="38">
        <v>4807.0</v>
      </c>
    </row>
    <row r="1742" ht="14.25" customHeight="1">
      <c r="A1742" s="29" t="s">
        <v>426</v>
      </c>
      <c r="B1742" s="29">
        <v>113.0</v>
      </c>
      <c r="C1742" s="29" t="s">
        <v>608</v>
      </c>
      <c r="D1742" s="29" t="s">
        <v>1124</v>
      </c>
      <c r="E1742" s="29">
        <v>164.0</v>
      </c>
      <c r="F1742" s="30" t="s">
        <v>1125</v>
      </c>
      <c r="G1742" s="29" t="s">
        <v>611</v>
      </c>
      <c r="H1742" s="31">
        <v>0.39</v>
      </c>
      <c r="I1742" s="29" t="s">
        <v>616</v>
      </c>
      <c r="J1742" s="32" t="s">
        <v>598</v>
      </c>
      <c r="K1742" s="29" t="s">
        <v>599</v>
      </c>
      <c r="L1742" s="29" t="s">
        <v>600</v>
      </c>
      <c r="M1742" s="33">
        <v>-67.098</v>
      </c>
      <c r="N1742" s="33">
        <v>-4.466</v>
      </c>
      <c r="O1742" s="34" t="s">
        <v>641</v>
      </c>
      <c r="P1742" s="32" t="s">
        <v>602</v>
      </c>
      <c r="Q1742" s="35">
        <v>10.0</v>
      </c>
      <c r="R1742" s="35">
        <v>10.0</v>
      </c>
      <c r="S1742" s="36">
        <v>22.8</v>
      </c>
      <c r="T1742" s="36">
        <v>11.2</v>
      </c>
      <c r="U1742" s="36">
        <v>4.7749</v>
      </c>
      <c r="V1742" s="36">
        <v>3.3466</v>
      </c>
      <c r="W1742" s="37" t="s">
        <v>623</v>
      </c>
      <c r="X1742" s="31">
        <v>4.5</v>
      </c>
      <c r="Y1742" s="36">
        <v>0.7109734854572584</v>
      </c>
      <c r="Z1742" s="36">
        <v>0.01331425886298021</v>
      </c>
      <c r="AA1742" s="29" t="s">
        <v>820</v>
      </c>
      <c r="AB1742" s="31">
        <v>0.333089381456</v>
      </c>
      <c r="AC1742" s="38">
        <v>4807.0</v>
      </c>
    </row>
    <row r="1743" ht="14.25" customHeight="1">
      <c r="A1743" s="29" t="s">
        <v>426</v>
      </c>
      <c r="B1743" s="29">
        <v>113.0</v>
      </c>
      <c r="C1743" s="29" t="s">
        <v>608</v>
      </c>
      <c r="D1743" s="29" t="s">
        <v>1348</v>
      </c>
      <c r="E1743" s="29">
        <v>167.0</v>
      </c>
      <c r="F1743" s="30" t="s">
        <v>1349</v>
      </c>
      <c r="G1743" s="29" t="s">
        <v>611</v>
      </c>
      <c r="H1743" s="31">
        <v>0.62</v>
      </c>
      <c r="I1743" s="29" t="s">
        <v>616</v>
      </c>
      <c r="J1743" s="32" t="s">
        <v>598</v>
      </c>
      <c r="K1743" s="29" t="s">
        <v>599</v>
      </c>
      <c r="L1743" s="29" t="s">
        <v>600</v>
      </c>
      <c r="M1743" s="33">
        <v>-67.098</v>
      </c>
      <c r="N1743" s="33">
        <v>-4.466</v>
      </c>
      <c r="O1743" s="34" t="s">
        <v>641</v>
      </c>
      <c r="P1743" s="32" t="s">
        <v>602</v>
      </c>
      <c r="Q1743" s="35">
        <v>10.0</v>
      </c>
      <c r="R1743" s="35">
        <v>10.0</v>
      </c>
      <c r="S1743" s="36">
        <v>31.1</v>
      </c>
      <c r="T1743" s="36">
        <v>15.367</v>
      </c>
      <c r="U1743" s="36">
        <v>5.5767</v>
      </c>
      <c r="V1743" s="36">
        <v>3.9201</v>
      </c>
      <c r="W1743" s="37" t="s">
        <v>623</v>
      </c>
      <c r="X1743" s="31">
        <v>4.5</v>
      </c>
      <c r="Y1743" s="36">
        <v>0.7051129388321056</v>
      </c>
      <c r="Z1743" s="36">
        <v>0.00972291991252671</v>
      </c>
      <c r="AA1743" s="29" t="s">
        <v>820</v>
      </c>
      <c r="AB1743" s="31">
        <v>0.333089381456</v>
      </c>
      <c r="AC1743" s="38">
        <v>4807.0</v>
      </c>
    </row>
    <row r="1744" ht="14.25" customHeight="1">
      <c r="A1744" s="29" t="s">
        <v>426</v>
      </c>
      <c r="B1744" s="29">
        <v>113.0</v>
      </c>
      <c r="C1744" s="29" t="s">
        <v>608</v>
      </c>
      <c r="D1744" s="29" t="s">
        <v>691</v>
      </c>
      <c r="E1744" s="29">
        <v>170.0</v>
      </c>
      <c r="F1744" s="30" t="s">
        <v>692</v>
      </c>
      <c r="G1744" s="29" t="s">
        <v>611</v>
      </c>
      <c r="H1744" s="31">
        <v>0.74</v>
      </c>
      <c r="I1744" s="29" t="s">
        <v>616</v>
      </c>
      <c r="J1744" s="32" t="s">
        <v>598</v>
      </c>
      <c r="K1744" s="29" t="s">
        <v>599</v>
      </c>
      <c r="L1744" s="29" t="s">
        <v>600</v>
      </c>
      <c r="M1744" s="33">
        <v>-67.098</v>
      </c>
      <c r="N1744" s="33">
        <v>-4.466</v>
      </c>
      <c r="O1744" s="34" t="s">
        <v>641</v>
      </c>
      <c r="P1744" s="32" t="s">
        <v>602</v>
      </c>
      <c r="Q1744" s="35">
        <v>10.0</v>
      </c>
      <c r="R1744" s="35">
        <v>10.0</v>
      </c>
      <c r="S1744" s="36">
        <v>63.0</v>
      </c>
      <c r="T1744" s="36">
        <v>10.2</v>
      </c>
      <c r="U1744" s="36">
        <v>7.9373</v>
      </c>
      <c r="V1744" s="36">
        <v>3.1937</v>
      </c>
      <c r="W1744" s="37" t="s">
        <v>623</v>
      </c>
      <c r="X1744" s="31">
        <v>4.5</v>
      </c>
      <c r="Y1744" s="36">
        <v>1.8207887763233221</v>
      </c>
      <c r="Z1744" s="36">
        <v>0.011390972155752063</v>
      </c>
      <c r="AA1744" s="29" t="s">
        <v>820</v>
      </c>
      <c r="AB1744" s="31">
        <v>0.333089381456</v>
      </c>
      <c r="AC1744" s="38">
        <v>4807.0</v>
      </c>
    </row>
    <row r="1745" ht="14.25" customHeight="1">
      <c r="A1745" s="29" t="s">
        <v>426</v>
      </c>
      <c r="B1745" s="29">
        <v>113.0</v>
      </c>
      <c r="C1745" s="29" t="s">
        <v>608</v>
      </c>
      <c r="D1745" s="29" t="s">
        <v>632</v>
      </c>
      <c r="E1745" s="29">
        <v>173.0</v>
      </c>
      <c r="F1745" s="30" t="s">
        <v>633</v>
      </c>
      <c r="G1745" s="29" t="s">
        <v>611</v>
      </c>
      <c r="H1745" s="31">
        <v>2.5</v>
      </c>
      <c r="I1745" s="29" t="s">
        <v>616</v>
      </c>
      <c r="J1745" s="32" t="s">
        <v>598</v>
      </c>
      <c r="K1745" s="29" t="s">
        <v>599</v>
      </c>
      <c r="L1745" s="29" t="s">
        <v>600</v>
      </c>
      <c r="M1745" s="33">
        <v>-67.098</v>
      </c>
      <c r="N1745" s="33">
        <v>-4.466</v>
      </c>
      <c r="O1745" s="34" t="s">
        <v>641</v>
      </c>
      <c r="P1745" s="32" t="s">
        <v>602</v>
      </c>
      <c r="Q1745" s="35">
        <v>10.0</v>
      </c>
      <c r="R1745" s="35">
        <v>10.0</v>
      </c>
      <c r="S1745" s="36">
        <v>24.8</v>
      </c>
      <c r="T1745" s="36">
        <v>19.733</v>
      </c>
      <c r="U1745" s="36">
        <v>4.98</v>
      </c>
      <c r="V1745" s="36">
        <v>4.4422</v>
      </c>
      <c r="W1745" s="37" t="s">
        <v>623</v>
      </c>
      <c r="X1745" s="31">
        <v>4.5</v>
      </c>
      <c r="Y1745" s="36">
        <v>0.22875655612807858</v>
      </c>
      <c r="Z1745" s="36">
        <v>0.009100012440027002</v>
      </c>
      <c r="AA1745" s="29" t="s">
        <v>820</v>
      </c>
      <c r="AB1745" s="31">
        <v>0.333089381456</v>
      </c>
      <c r="AC1745" s="38">
        <v>4807.0</v>
      </c>
    </row>
    <row r="1746" ht="14.25" customHeight="1">
      <c r="A1746" s="29" t="s">
        <v>426</v>
      </c>
      <c r="B1746" s="29">
        <v>114.0</v>
      </c>
      <c r="C1746" s="29" t="s">
        <v>608</v>
      </c>
      <c r="D1746" s="29" t="s">
        <v>825</v>
      </c>
      <c r="E1746" s="29">
        <v>5.0</v>
      </c>
      <c r="F1746" s="30" t="s">
        <v>826</v>
      </c>
      <c r="G1746" s="29" t="s">
        <v>611</v>
      </c>
      <c r="H1746" s="31">
        <v>6.15</v>
      </c>
      <c r="I1746" s="29" t="s">
        <v>612</v>
      </c>
      <c r="J1746" s="32" t="s">
        <v>598</v>
      </c>
      <c r="K1746" s="29" t="s">
        <v>599</v>
      </c>
      <c r="L1746" s="29" t="s">
        <v>600</v>
      </c>
      <c r="M1746" s="33">
        <v>-68.333</v>
      </c>
      <c r="N1746" s="33">
        <v>-8.916</v>
      </c>
      <c r="O1746" s="34" t="s">
        <v>641</v>
      </c>
      <c r="P1746" s="32" t="s">
        <v>602</v>
      </c>
      <c r="Q1746" s="35">
        <v>10.0</v>
      </c>
      <c r="R1746" s="35">
        <v>10.0</v>
      </c>
      <c r="S1746" s="36">
        <v>0.1</v>
      </c>
      <c r="T1746" s="36">
        <v>5.4</v>
      </c>
      <c r="U1746" s="36">
        <v>0.3162</v>
      </c>
      <c r="V1746" s="36">
        <v>2.3238</v>
      </c>
      <c r="W1746" s="37" t="s">
        <v>623</v>
      </c>
      <c r="X1746" s="31">
        <v>4.5</v>
      </c>
      <c r="Y1746" s="36">
        <v>-3.9751483147116247</v>
      </c>
      <c r="Z1746" s="36">
        <v>1.0183430777777775</v>
      </c>
      <c r="AA1746" s="29" t="s">
        <v>820</v>
      </c>
      <c r="AB1746" s="31">
        <v>1.45406293869</v>
      </c>
      <c r="AC1746" s="38">
        <v>1176.0</v>
      </c>
    </row>
    <row r="1747" ht="14.25" customHeight="1">
      <c r="A1747" s="29" t="s">
        <v>426</v>
      </c>
      <c r="B1747" s="29">
        <v>114.0</v>
      </c>
      <c r="C1747" s="29" t="s">
        <v>608</v>
      </c>
      <c r="D1747" s="29" t="s">
        <v>1350</v>
      </c>
      <c r="E1747" s="29">
        <v>9.0</v>
      </c>
      <c r="F1747" s="30" t="s">
        <v>1351</v>
      </c>
      <c r="G1747" s="29" t="s">
        <v>611</v>
      </c>
      <c r="H1747" s="31">
        <v>0.88</v>
      </c>
      <c r="I1747" s="29" t="s">
        <v>616</v>
      </c>
      <c r="J1747" s="32" t="s">
        <v>598</v>
      </c>
      <c r="K1747" s="29" t="s">
        <v>599</v>
      </c>
      <c r="L1747" s="29" t="s">
        <v>600</v>
      </c>
      <c r="M1747" s="33">
        <v>-68.333</v>
      </c>
      <c r="N1747" s="33">
        <v>-8.916</v>
      </c>
      <c r="O1747" s="34" t="s">
        <v>641</v>
      </c>
      <c r="P1747" s="32" t="s">
        <v>602</v>
      </c>
      <c r="Q1747" s="35">
        <v>10.0</v>
      </c>
      <c r="R1747" s="35">
        <v>10.0</v>
      </c>
      <c r="S1747" s="36">
        <v>24.7</v>
      </c>
      <c r="T1747" s="36">
        <v>8.8</v>
      </c>
      <c r="U1747" s="36">
        <v>4.9699</v>
      </c>
      <c r="V1747" s="36">
        <v>2.9665</v>
      </c>
      <c r="W1747" s="37" t="s">
        <v>623</v>
      </c>
      <c r="X1747" s="31">
        <v>4.5</v>
      </c>
      <c r="Y1747" s="36">
        <v>1.0321434362185369</v>
      </c>
      <c r="Z1747" s="36">
        <v>0.015412361817816956</v>
      </c>
      <c r="AA1747" s="29" t="s">
        <v>820</v>
      </c>
      <c r="AB1747" s="31">
        <v>1.45406293869</v>
      </c>
      <c r="AC1747" s="38">
        <v>1176.0</v>
      </c>
    </row>
    <row r="1748" ht="14.25" customHeight="1">
      <c r="A1748" s="29" t="s">
        <v>426</v>
      </c>
      <c r="B1748" s="29">
        <v>114.0</v>
      </c>
      <c r="C1748" s="29" t="s">
        <v>608</v>
      </c>
      <c r="D1748" s="29" t="s">
        <v>1277</v>
      </c>
      <c r="E1748" s="29">
        <v>25.0</v>
      </c>
      <c r="F1748" s="30" t="s">
        <v>1278</v>
      </c>
      <c r="G1748" s="29" t="s">
        <v>611</v>
      </c>
      <c r="H1748" s="31">
        <v>0.85</v>
      </c>
      <c r="I1748" s="29" t="s">
        <v>616</v>
      </c>
      <c r="J1748" s="32" t="s">
        <v>598</v>
      </c>
      <c r="K1748" s="29" t="s">
        <v>599</v>
      </c>
      <c r="L1748" s="29" t="s">
        <v>600</v>
      </c>
      <c r="M1748" s="33">
        <v>-68.333</v>
      </c>
      <c r="N1748" s="33">
        <v>-8.916</v>
      </c>
      <c r="O1748" s="34" t="s">
        <v>641</v>
      </c>
      <c r="P1748" s="32" t="s">
        <v>602</v>
      </c>
      <c r="Q1748" s="35">
        <v>10.0</v>
      </c>
      <c r="R1748" s="35">
        <v>10.0</v>
      </c>
      <c r="S1748" s="36">
        <v>9.3</v>
      </c>
      <c r="T1748" s="36">
        <v>5.4333</v>
      </c>
      <c r="U1748" s="36">
        <v>3.0496</v>
      </c>
      <c r="V1748" s="36">
        <v>2.331</v>
      </c>
      <c r="W1748" s="37" t="s">
        <v>623</v>
      </c>
      <c r="X1748" s="31">
        <v>4.5</v>
      </c>
      <c r="Y1748" s="36">
        <v>0.5376184336964973</v>
      </c>
      <c r="Z1748" s="36">
        <v>0.02915866274282817</v>
      </c>
      <c r="AA1748" s="29" t="s">
        <v>820</v>
      </c>
      <c r="AB1748" s="31">
        <v>1.45406293869</v>
      </c>
      <c r="AC1748" s="38">
        <v>1176.0</v>
      </c>
    </row>
    <row r="1749" ht="14.25" customHeight="1">
      <c r="A1749" s="29" t="s">
        <v>426</v>
      </c>
      <c r="B1749" s="29">
        <v>114.0</v>
      </c>
      <c r="C1749" s="29" t="s">
        <v>608</v>
      </c>
      <c r="D1749" s="29" t="s">
        <v>828</v>
      </c>
      <c r="E1749" s="29">
        <v>26.0</v>
      </c>
      <c r="F1749" s="30" t="s">
        <v>829</v>
      </c>
      <c r="G1749" s="29" t="s">
        <v>611</v>
      </c>
      <c r="H1749" s="31">
        <v>1.05</v>
      </c>
      <c r="I1749" s="29" t="s">
        <v>616</v>
      </c>
      <c r="J1749" s="32" t="s">
        <v>598</v>
      </c>
      <c r="K1749" s="29" t="s">
        <v>599</v>
      </c>
      <c r="L1749" s="29" t="s">
        <v>600</v>
      </c>
      <c r="M1749" s="33">
        <v>-68.333</v>
      </c>
      <c r="N1749" s="33">
        <v>-8.916</v>
      </c>
      <c r="O1749" s="34" t="s">
        <v>641</v>
      </c>
      <c r="P1749" s="32" t="s">
        <v>602</v>
      </c>
      <c r="Q1749" s="35">
        <v>10.0</v>
      </c>
      <c r="R1749" s="35">
        <v>10.0</v>
      </c>
      <c r="S1749" s="36">
        <v>0.0</v>
      </c>
      <c r="T1749" s="36">
        <v>5.733</v>
      </c>
      <c r="U1749" s="36">
        <v>0.0</v>
      </c>
      <c r="V1749" s="36">
        <v>2.3944</v>
      </c>
      <c r="W1749" s="37" t="s">
        <v>623</v>
      </c>
      <c r="X1749" s="31">
        <v>4.5</v>
      </c>
      <c r="Y1749" s="36">
        <v>-8.262558973010657</v>
      </c>
      <c r="Z1749" s="36">
        <v>0.12156367835513399</v>
      </c>
      <c r="AA1749" s="29" t="s">
        <v>820</v>
      </c>
      <c r="AB1749" s="31">
        <v>1.45406293869</v>
      </c>
      <c r="AC1749" s="38">
        <v>1176.0</v>
      </c>
    </row>
    <row r="1750" ht="14.25" customHeight="1">
      <c r="A1750" s="29" t="s">
        <v>426</v>
      </c>
      <c r="B1750" s="29">
        <v>114.0</v>
      </c>
      <c r="C1750" s="29" t="s">
        <v>608</v>
      </c>
      <c r="D1750" s="29" t="s">
        <v>1082</v>
      </c>
      <c r="E1750" s="29">
        <v>29.0</v>
      </c>
      <c r="F1750" s="30" t="s">
        <v>1083</v>
      </c>
      <c r="G1750" s="29" t="s">
        <v>611</v>
      </c>
      <c r="H1750" s="31">
        <v>0.125</v>
      </c>
      <c r="I1750" s="29" t="s">
        <v>616</v>
      </c>
      <c r="J1750" s="32" t="s">
        <v>598</v>
      </c>
      <c r="K1750" s="29" t="s">
        <v>599</v>
      </c>
      <c r="L1750" s="29" t="s">
        <v>600</v>
      </c>
      <c r="M1750" s="33">
        <v>-68.333</v>
      </c>
      <c r="N1750" s="33">
        <v>-8.916</v>
      </c>
      <c r="O1750" s="34" t="s">
        <v>641</v>
      </c>
      <c r="P1750" s="32" t="s">
        <v>602</v>
      </c>
      <c r="Q1750" s="35">
        <v>10.0</v>
      </c>
      <c r="R1750" s="35">
        <v>10.0</v>
      </c>
      <c r="S1750" s="36">
        <v>0.0</v>
      </c>
      <c r="T1750" s="36">
        <v>2.8</v>
      </c>
      <c r="U1750" s="36">
        <v>0.0</v>
      </c>
      <c r="V1750" s="36">
        <v>1.6733</v>
      </c>
      <c r="W1750" s="37" t="s">
        <v>623</v>
      </c>
      <c r="X1750" s="31">
        <v>4.5</v>
      </c>
      <c r="Y1750" s="36">
        <v>-8.262558973010657</v>
      </c>
      <c r="Z1750" s="36">
        <v>0.1433722028466483</v>
      </c>
      <c r="AA1750" s="29" t="s">
        <v>820</v>
      </c>
      <c r="AB1750" s="31">
        <v>1.45406293869</v>
      </c>
      <c r="AC1750" s="38">
        <v>1176.0</v>
      </c>
    </row>
    <row r="1751" ht="14.25" customHeight="1">
      <c r="A1751" s="29" t="s">
        <v>426</v>
      </c>
      <c r="B1751" s="29">
        <v>114.0</v>
      </c>
      <c r="C1751" s="29" t="s">
        <v>608</v>
      </c>
      <c r="D1751" s="29" t="s">
        <v>830</v>
      </c>
      <c r="E1751" s="29">
        <v>30.0</v>
      </c>
      <c r="F1751" s="30" t="s">
        <v>831</v>
      </c>
      <c r="G1751" s="29" t="s">
        <v>611</v>
      </c>
      <c r="H1751" s="31">
        <v>2.63</v>
      </c>
      <c r="I1751" s="29" t="s">
        <v>616</v>
      </c>
      <c r="J1751" s="32" t="s">
        <v>598</v>
      </c>
      <c r="K1751" s="29" t="s">
        <v>599</v>
      </c>
      <c r="L1751" s="29" t="s">
        <v>600</v>
      </c>
      <c r="M1751" s="33">
        <v>-68.333</v>
      </c>
      <c r="N1751" s="33">
        <v>-8.916</v>
      </c>
      <c r="O1751" s="34" t="s">
        <v>641</v>
      </c>
      <c r="P1751" s="32" t="s">
        <v>602</v>
      </c>
      <c r="Q1751" s="35">
        <v>10.0</v>
      </c>
      <c r="R1751" s="35">
        <v>10.0</v>
      </c>
      <c r="S1751" s="36">
        <v>25.6</v>
      </c>
      <c r="T1751" s="36">
        <v>19.35</v>
      </c>
      <c r="U1751" s="36">
        <v>5.0596</v>
      </c>
      <c r="V1751" s="36">
        <v>4.3989</v>
      </c>
      <c r="W1751" s="37" t="s">
        <v>623</v>
      </c>
      <c r="X1751" s="31">
        <v>4.5</v>
      </c>
      <c r="Y1751" s="36">
        <v>0.28009492315638534</v>
      </c>
      <c r="Z1751" s="36">
        <v>0.009074226109483505</v>
      </c>
      <c r="AA1751" s="29" t="s">
        <v>820</v>
      </c>
      <c r="AB1751" s="31">
        <v>1.45406293869</v>
      </c>
      <c r="AC1751" s="38">
        <v>1176.0</v>
      </c>
    </row>
    <row r="1752" ht="14.25" customHeight="1">
      <c r="A1752" s="29" t="s">
        <v>426</v>
      </c>
      <c r="B1752" s="29">
        <v>114.0</v>
      </c>
      <c r="C1752" s="29" t="s">
        <v>608</v>
      </c>
      <c r="D1752" s="29" t="s">
        <v>832</v>
      </c>
      <c r="E1752" s="29">
        <v>90.0</v>
      </c>
      <c r="F1752" s="30" t="s">
        <v>833</v>
      </c>
      <c r="G1752" s="29" t="s">
        <v>611</v>
      </c>
      <c r="H1752" s="31">
        <v>6.3</v>
      </c>
      <c r="I1752" s="29" t="s">
        <v>597</v>
      </c>
      <c r="J1752" s="32" t="s">
        <v>598</v>
      </c>
      <c r="K1752" s="29" t="s">
        <v>599</v>
      </c>
      <c r="L1752" s="29" t="s">
        <v>600</v>
      </c>
      <c r="M1752" s="33">
        <v>-68.333</v>
      </c>
      <c r="N1752" s="33">
        <v>-8.916</v>
      </c>
      <c r="O1752" s="34" t="s">
        <v>641</v>
      </c>
      <c r="P1752" s="32" t="s">
        <v>602</v>
      </c>
      <c r="Q1752" s="35">
        <v>10.0</v>
      </c>
      <c r="R1752" s="35">
        <v>10.0</v>
      </c>
      <c r="S1752" s="36">
        <v>0.0</v>
      </c>
      <c r="T1752" s="36">
        <v>26.067</v>
      </c>
      <c r="U1752" s="36">
        <v>0.0</v>
      </c>
      <c r="V1752" s="36">
        <v>5.1056</v>
      </c>
      <c r="W1752" s="37" t="s">
        <v>623</v>
      </c>
      <c r="X1752" s="31">
        <v>4.5</v>
      </c>
      <c r="Y1752" s="36">
        <v>-8.262558973010657</v>
      </c>
      <c r="Z1752" s="36">
        <v>0.10445204122803302</v>
      </c>
      <c r="AA1752" s="29" t="s">
        <v>820</v>
      </c>
      <c r="AB1752" s="31">
        <v>1.45406293869</v>
      </c>
      <c r="AC1752" s="38">
        <v>1176.0</v>
      </c>
    </row>
    <row r="1753" ht="14.25" customHeight="1">
      <c r="A1753" s="29" t="s">
        <v>426</v>
      </c>
      <c r="B1753" s="29">
        <v>114.0</v>
      </c>
      <c r="C1753" s="29" t="s">
        <v>608</v>
      </c>
      <c r="D1753" s="29" t="s">
        <v>1346</v>
      </c>
      <c r="E1753" s="29">
        <v>140.0</v>
      </c>
      <c r="F1753" s="30" t="s">
        <v>1347</v>
      </c>
      <c r="G1753" s="29" t="s">
        <v>611</v>
      </c>
      <c r="H1753" s="31">
        <v>2.8</v>
      </c>
      <c r="I1753" s="29" t="s">
        <v>616</v>
      </c>
      <c r="J1753" s="32" t="s">
        <v>598</v>
      </c>
      <c r="K1753" s="29" t="s">
        <v>599</v>
      </c>
      <c r="L1753" s="29" t="s">
        <v>600</v>
      </c>
      <c r="M1753" s="33">
        <v>-68.333</v>
      </c>
      <c r="N1753" s="33">
        <v>-8.916</v>
      </c>
      <c r="O1753" s="34" t="s">
        <v>641</v>
      </c>
      <c r="P1753" s="32" t="s">
        <v>602</v>
      </c>
      <c r="Q1753" s="35">
        <v>10.0</v>
      </c>
      <c r="R1753" s="35">
        <v>10.0</v>
      </c>
      <c r="S1753" s="36">
        <v>0.0</v>
      </c>
      <c r="T1753" s="36">
        <v>9.7</v>
      </c>
      <c r="U1753" s="36">
        <v>0.0</v>
      </c>
      <c r="V1753" s="36">
        <v>3.1145</v>
      </c>
      <c r="W1753" s="37" t="s">
        <v>623</v>
      </c>
      <c r="X1753" s="31">
        <v>4.5</v>
      </c>
      <c r="Y1753" s="36">
        <v>-8.262558973010657</v>
      </c>
      <c r="Z1753" s="36">
        <v>0.1125572955113418</v>
      </c>
      <c r="AA1753" s="29" t="s">
        <v>820</v>
      </c>
      <c r="AB1753" s="31">
        <v>1.45406293869</v>
      </c>
      <c r="AC1753" s="38">
        <v>1176.0</v>
      </c>
    </row>
    <row r="1754" ht="14.25" customHeight="1">
      <c r="A1754" s="29" t="s">
        <v>426</v>
      </c>
      <c r="B1754" s="29">
        <v>114.0</v>
      </c>
      <c r="C1754" s="29" t="s">
        <v>608</v>
      </c>
      <c r="D1754" s="29" t="s">
        <v>1124</v>
      </c>
      <c r="E1754" s="29">
        <v>164.0</v>
      </c>
      <c r="F1754" s="30" t="s">
        <v>1125</v>
      </c>
      <c r="G1754" s="29" t="s">
        <v>611</v>
      </c>
      <c r="H1754" s="31">
        <v>0.39</v>
      </c>
      <c r="I1754" s="29" t="s">
        <v>616</v>
      </c>
      <c r="J1754" s="32" t="s">
        <v>598</v>
      </c>
      <c r="K1754" s="29" t="s">
        <v>599</v>
      </c>
      <c r="L1754" s="29" t="s">
        <v>600</v>
      </c>
      <c r="M1754" s="33">
        <v>-68.333</v>
      </c>
      <c r="N1754" s="33">
        <v>-8.916</v>
      </c>
      <c r="O1754" s="34" t="s">
        <v>641</v>
      </c>
      <c r="P1754" s="32" t="s">
        <v>602</v>
      </c>
      <c r="Q1754" s="35">
        <v>10.0</v>
      </c>
      <c r="R1754" s="35">
        <v>10.0</v>
      </c>
      <c r="S1754" s="36">
        <v>43.1</v>
      </c>
      <c r="T1754" s="36">
        <v>11.2</v>
      </c>
      <c r="U1754" s="36">
        <v>6.5651</v>
      </c>
      <c r="V1754" s="36">
        <v>3.3466</v>
      </c>
      <c r="W1754" s="37" t="s">
        <v>623</v>
      </c>
      <c r="X1754" s="31">
        <v>4.5</v>
      </c>
      <c r="Y1754" s="36">
        <v>1.3476762601085135</v>
      </c>
      <c r="Z1754" s="36">
        <v>0.011248572007180178</v>
      </c>
      <c r="AA1754" s="29" t="s">
        <v>820</v>
      </c>
      <c r="AB1754" s="31">
        <v>1.45406293869</v>
      </c>
      <c r="AC1754" s="38">
        <v>1176.0</v>
      </c>
    </row>
    <row r="1755" ht="14.25" customHeight="1">
      <c r="A1755" s="29" t="s">
        <v>426</v>
      </c>
      <c r="B1755" s="29">
        <v>114.0</v>
      </c>
      <c r="C1755" s="29" t="s">
        <v>608</v>
      </c>
      <c r="D1755" s="29" t="s">
        <v>1348</v>
      </c>
      <c r="E1755" s="29">
        <v>167.0</v>
      </c>
      <c r="F1755" s="30" t="s">
        <v>1349</v>
      </c>
      <c r="G1755" s="29" t="s">
        <v>611</v>
      </c>
      <c r="H1755" s="31">
        <v>0.62</v>
      </c>
      <c r="I1755" s="29" t="s">
        <v>616</v>
      </c>
      <c r="J1755" s="32" t="s">
        <v>598</v>
      </c>
      <c r="K1755" s="29" t="s">
        <v>599</v>
      </c>
      <c r="L1755" s="29" t="s">
        <v>600</v>
      </c>
      <c r="M1755" s="33">
        <v>-68.333</v>
      </c>
      <c r="N1755" s="33">
        <v>-8.916</v>
      </c>
      <c r="O1755" s="34" t="s">
        <v>641</v>
      </c>
      <c r="P1755" s="32" t="s">
        <v>602</v>
      </c>
      <c r="Q1755" s="35">
        <v>10.0</v>
      </c>
      <c r="R1755" s="35">
        <v>10.0</v>
      </c>
      <c r="S1755" s="36">
        <v>0.0</v>
      </c>
      <c r="T1755" s="36">
        <v>15.367</v>
      </c>
      <c r="U1755" s="36">
        <v>0.0</v>
      </c>
      <c r="V1755" s="36">
        <v>3.9201</v>
      </c>
      <c r="W1755" s="37" t="s">
        <v>623</v>
      </c>
      <c r="X1755" s="31">
        <v>4.5</v>
      </c>
      <c r="Y1755" s="36">
        <v>-8.262558973010657</v>
      </c>
      <c r="Z1755" s="36">
        <v>0.10776022916258716</v>
      </c>
      <c r="AA1755" s="29" t="s">
        <v>820</v>
      </c>
      <c r="AB1755" s="31">
        <v>1.45406293869</v>
      </c>
      <c r="AC1755" s="38">
        <v>1176.0</v>
      </c>
    </row>
    <row r="1756" ht="14.25" customHeight="1">
      <c r="A1756" s="29" t="s">
        <v>426</v>
      </c>
      <c r="B1756" s="29">
        <v>114.0</v>
      </c>
      <c r="C1756" s="29" t="s">
        <v>608</v>
      </c>
      <c r="D1756" s="29" t="s">
        <v>691</v>
      </c>
      <c r="E1756" s="29">
        <v>170.0</v>
      </c>
      <c r="F1756" s="30" t="s">
        <v>692</v>
      </c>
      <c r="G1756" s="29" t="s">
        <v>611</v>
      </c>
      <c r="H1756" s="31">
        <v>0.74</v>
      </c>
      <c r="I1756" s="29" t="s">
        <v>616</v>
      </c>
      <c r="J1756" s="32" t="s">
        <v>598</v>
      </c>
      <c r="K1756" s="29" t="s">
        <v>599</v>
      </c>
      <c r="L1756" s="29" t="s">
        <v>600</v>
      </c>
      <c r="M1756" s="33">
        <v>-68.333</v>
      </c>
      <c r="N1756" s="33">
        <v>-8.916</v>
      </c>
      <c r="O1756" s="34" t="s">
        <v>641</v>
      </c>
      <c r="P1756" s="32" t="s">
        <v>602</v>
      </c>
      <c r="Q1756" s="35">
        <v>10.0</v>
      </c>
      <c r="R1756" s="35">
        <v>10.0</v>
      </c>
      <c r="S1756" s="36">
        <v>0.0</v>
      </c>
      <c r="T1756" s="36">
        <v>10.2</v>
      </c>
      <c r="U1756" s="36">
        <v>0.0</v>
      </c>
      <c r="V1756" s="36">
        <v>3.1937</v>
      </c>
      <c r="W1756" s="37" t="s">
        <v>623</v>
      </c>
      <c r="X1756" s="31">
        <v>4.5</v>
      </c>
      <c r="Y1756" s="36">
        <v>-8.262558973010657</v>
      </c>
      <c r="Z1756" s="36">
        <v>0.1119166911433313</v>
      </c>
      <c r="AA1756" s="29" t="s">
        <v>820</v>
      </c>
      <c r="AB1756" s="31">
        <v>1.45406293869</v>
      </c>
      <c r="AC1756" s="38">
        <v>1176.0</v>
      </c>
    </row>
    <row r="1757" ht="14.25" customHeight="1">
      <c r="A1757" s="29" t="s">
        <v>426</v>
      </c>
      <c r="B1757" s="29">
        <v>114.0</v>
      </c>
      <c r="C1757" s="29" t="s">
        <v>608</v>
      </c>
      <c r="D1757" s="29" t="s">
        <v>632</v>
      </c>
      <c r="E1757" s="29">
        <v>173.0</v>
      </c>
      <c r="F1757" s="30" t="s">
        <v>633</v>
      </c>
      <c r="G1757" s="29" t="s">
        <v>611</v>
      </c>
      <c r="H1757" s="31">
        <v>2.5</v>
      </c>
      <c r="I1757" s="29" t="s">
        <v>616</v>
      </c>
      <c r="J1757" s="32" t="s">
        <v>598</v>
      </c>
      <c r="K1757" s="29" t="s">
        <v>599</v>
      </c>
      <c r="L1757" s="29" t="s">
        <v>600</v>
      </c>
      <c r="M1757" s="33">
        <v>-68.333</v>
      </c>
      <c r="N1757" s="33">
        <v>-8.916</v>
      </c>
      <c r="O1757" s="34" t="s">
        <v>641</v>
      </c>
      <c r="P1757" s="32" t="s">
        <v>602</v>
      </c>
      <c r="Q1757" s="35">
        <v>10.0</v>
      </c>
      <c r="R1757" s="35">
        <v>10.0</v>
      </c>
      <c r="S1757" s="36">
        <v>6.7</v>
      </c>
      <c r="T1757" s="36">
        <v>19.733</v>
      </c>
      <c r="U1757" s="36">
        <v>2.5884</v>
      </c>
      <c r="V1757" s="36">
        <v>4.4422</v>
      </c>
      <c r="W1757" s="37" t="s">
        <v>623</v>
      </c>
      <c r="X1757" s="31">
        <v>4.5</v>
      </c>
      <c r="Y1757" s="36">
        <v>-1.0794252616567939</v>
      </c>
      <c r="Z1757" s="36">
        <v>0.019992649374733162</v>
      </c>
      <c r="AA1757" s="29" t="s">
        <v>820</v>
      </c>
      <c r="AB1757" s="31">
        <v>1.45406293869</v>
      </c>
      <c r="AC1757" s="38">
        <v>1176.0</v>
      </c>
    </row>
    <row r="1758" ht="14.25" customHeight="1">
      <c r="A1758" s="29" t="s">
        <v>432</v>
      </c>
      <c r="B1758" s="29">
        <v>7.0</v>
      </c>
      <c r="C1758" s="29" t="s">
        <v>608</v>
      </c>
      <c r="D1758" s="29" t="s">
        <v>630</v>
      </c>
      <c r="E1758" s="29">
        <v>129.0</v>
      </c>
      <c r="F1758" s="30" t="s">
        <v>631</v>
      </c>
      <c r="G1758" s="29" t="s">
        <v>626</v>
      </c>
      <c r="H1758" s="31">
        <v>21.27</v>
      </c>
      <c r="I1758" s="29" t="s">
        <v>612</v>
      </c>
      <c r="J1758" s="32" t="s">
        <v>598</v>
      </c>
      <c r="K1758" s="29" t="s">
        <v>599</v>
      </c>
      <c r="L1758" s="29" t="s">
        <v>600</v>
      </c>
      <c r="M1758" s="33">
        <v>-71.9</v>
      </c>
      <c r="N1758" s="33">
        <v>-9.383</v>
      </c>
      <c r="O1758" s="34" t="s">
        <v>641</v>
      </c>
      <c r="P1758" s="32" t="s">
        <v>602</v>
      </c>
      <c r="Q1758" s="35">
        <v>20.0</v>
      </c>
      <c r="R1758" s="35">
        <v>32.0</v>
      </c>
      <c r="S1758" s="36">
        <v>2.4</v>
      </c>
      <c r="T1758" s="36">
        <v>10.0</v>
      </c>
      <c r="U1758" s="36">
        <v>1.5492</v>
      </c>
      <c r="V1758" s="36">
        <v>3.1623</v>
      </c>
      <c r="W1758" s="37" t="s">
        <v>623</v>
      </c>
      <c r="X1758" s="31">
        <v>6.0</v>
      </c>
      <c r="Y1758" s="36">
        <v>-1.4260419416295766</v>
      </c>
      <c r="Z1758" s="36">
        <v>0.023958556653124997</v>
      </c>
      <c r="AA1758" s="29" t="s">
        <v>820</v>
      </c>
      <c r="AB1758" s="31">
        <v>0.834921240807</v>
      </c>
      <c r="AC1758" s="38">
        <v>3789.0</v>
      </c>
    </row>
    <row r="1759" ht="14.25" customHeight="1">
      <c r="A1759" s="29" t="s">
        <v>432</v>
      </c>
      <c r="B1759" s="29">
        <v>104.0</v>
      </c>
      <c r="C1759" s="29" t="s">
        <v>608</v>
      </c>
      <c r="D1759" s="29" t="s">
        <v>630</v>
      </c>
      <c r="E1759" s="29">
        <v>129.0</v>
      </c>
      <c r="F1759" s="30" t="s">
        <v>631</v>
      </c>
      <c r="G1759" s="29" t="s">
        <v>626</v>
      </c>
      <c r="H1759" s="31">
        <v>21.27</v>
      </c>
      <c r="I1759" s="29" t="s">
        <v>612</v>
      </c>
      <c r="J1759" s="32" t="s">
        <v>598</v>
      </c>
      <c r="K1759" s="29" t="s">
        <v>599</v>
      </c>
      <c r="L1759" s="29" t="s">
        <v>600</v>
      </c>
      <c r="M1759" s="33">
        <v>-67.1</v>
      </c>
      <c r="N1759" s="33">
        <v>-4.467</v>
      </c>
      <c r="O1759" s="34" t="s">
        <v>641</v>
      </c>
      <c r="P1759" s="32" t="s">
        <v>602</v>
      </c>
      <c r="Q1759" s="35">
        <v>10.0</v>
      </c>
      <c r="R1759" s="35">
        <v>32.0</v>
      </c>
      <c r="S1759" s="36">
        <v>4.9</v>
      </c>
      <c r="T1759" s="36">
        <v>10.0</v>
      </c>
      <c r="U1759" s="36">
        <v>2.2136</v>
      </c>
      <c r="V1759" s="36">
        <v>3.1623</v>
      </c>
      <c r="W1759" s="37" t="s">
        <v>623</v>
      </c>
      <c r="X1759" s="31">
        <v>6.0</v>
      </c>
      <c r="Y1759" s="36">
        <v>-0.7128235000438188</v>
      </c>
      <c r="Z1759" s="36">
        <v>0.023533311375115832</v>
      </c>
      <c r="AA1759" s="29" t="s">
        <v>820</v>
      </c>
      <c r="AB1759" s="31">
        <v>0.333089411259</v>
      </c>
      <c r="AC1759" s="38">
        <v>4747.0</v>
      </c>
    </row>
    <row r="1760" ht="14.25" customHeight="1">
      <c r="A1760" s="29" t="s">
        <v>432</v>
      </c>
      <c r="B1760" s="29">
        <v>105.0</v>
      </c>
      <c r="C1760" s="29" t="s">
        <v>608</v>
      </c>
      <c r="D1760" s="29" t="s">
        <v>630</v>
      </c>
      <c r="E1760" s="29">
        <v>129.0</v>
      </c>
      <c r="F1760" s="30" t="s">
        <v>631</v>
      </c>
      <c r="G1760" s="29" t="s">
        <v>626</v>
      </c>
      <c r="H1760" s="31">
        <v>21.27</v>
      </c>
      <c r="I1760" s="29" t="s">
        <v>612</v>
      </c>
      <c r="J1760" s="32" t="s">
        <v>598</v>
      </c>
      <c r="K1760" s="29" t="s">
        <v>599</v>
      </c>
      <c r="L1760" s="29" t="s">
        <v>600</v>
      </c>
      <c r="M1760" s="33">
        <v>-66.233</v>
      </c>
      <c r="N1760" s="33">
        <v>-3.283</v>
      </c>
      <c r="O1760" s="34" t="s">
        <v>641</v>
      </c>
      <c r="P1760" s="32" t="s">
        <v>602</v>
      </c>
      <c r="Q1760" s="35">
        <v>24.0</v>
      </c>
      <c r="R1760" s="35">
        <v>32.0</v>
      </c>
      <c r="S1760" s="36">
        <v>2.0</v>
      </c>
      <c r="T1760" s="36">
        <v>10.0</v>
      </c>
      <c r="U1760" s="36">
        <v>1.4142</v>
      </c>
      <c r="V1760" s="36">
        <v>3.1622</v>
      </c>
      <c r="W1760" s="37" t="s">
        <v>623</v>
      </c>
      <c r="X1760" s="31">
        <v>6.0</v>
      </c>
      <c r="Y1760" s="36">
        <v>-1.6081487540758508</v>
      </c>
      <c r="Z1760" s="36">
        <v>0.0239577802625</v>
      </c>
      <c r="AA1760" s="29" t="s">
        <v>820</v>
      </c>
      <c r="AB1760" s="31">
        <v>0.356388628483</v>
      </c>
      <c r="AC1760" s="38">
        <v>3196.0</v>
      </c>
    </row>
    <row r="1761" ht="14.25" customHeight="1">
      <c r="A1761" s="29" t="s">
        <v>432</v>
      </c>
      <c r="B1761" s="29">
        <v>106.0</v>
      </c>
      <c r="C1761" s="29" t="s">
        <v>608</v>
      </c>
      <c r="D1761" s="29" t="s">
        <v>630</v>
      </c>
      <c r="E1761" s="29">
        <v>129.0</v>
      </c>
      <c r="F1761" s="30" t="s">
        <v>631</v>
      </c>
      <c r="G1761" s="29" t="s">
        <v>626</v>
      </c>
      <c r="H1761" s="31">
        <v>21.27</v>
      </c>
      <c r="I1761" s="29" t="s">
        <v>612</v>
      </c>
      <c r="J1761" s="32" t="s">
        <v>598</v>
      </c>
      <c r="K1761" s="29" t="s">
        <v>599</v>
      </c>
      <c r="L1761" s="29" t="s">
        <v>600</v>
      </c>
      <c r="M1761" s="33">
        <v>-66.017</v>
      </c>
      <c r="N1761" s="33">
        <v>-3.317</v>
      </c>
      <c r="O1761" s="34" t="s">
        <v>641</v>
      </c>
      <c r="P1761" s="32" t="s">
        <v>602</v>
      </c>
      <c r="Q1761" s="35">
        <v>24.0</v>
      </c>
      <c r="R1761" s="35">
        <v>32.0</v>
      </c>
      <c r="S1761" s="36">
        <v>2.0</v>
      </c>
      <c r="T1761" s="36">
        <v>10.0</v>
      </c>
      <c r="U1761" s="36">
        <v>1.4142</v>
      </c>
      <c r="V1761" s="36">
        <v>3.1622</v>
      </c>
      <c r="W1761" s="37" t="s">
        <v>623</v>
      </c>
      <c r="X1761" s="31">
        <v>6.0</v>
      </c>
      <c r="Y1761" s="36">
        <v>-1.6081487540758508</v>
      </c>
      <c r="Z1761" s="36">
        <v>0.0239577802625</v>
      </c>
      <c r="AA1761" s="29" t="s">
        <v>820</v>
      </c>
      <c r="AB1761" s="31">
        <v>0.356461316347</v>
      </c>
      <c r="AC1761" s="38">
        <v>2546.0</v>
      </c>
    </row>
    <row r="1762" ht="14.25" customHeight="1">
      <c r="A1762" s="29" t="s">
        <v>432</v>
      </c>
      <c r="B1762" s="29">
        <v>107.0</v>
      </c>
      <c r="C1762" s="29" t="s">
        <v>608</v>
      </c>
      <c r="D1762" s="29" t="s">
        <v>630</v>
      </c>
      <c r="E1762" s="29">
        <v>129.0</v>
      </c>
      <c r="F1762" s="30" t="s">
        <v>631</v>
      </c>
      <c r="G1762" s="29" t="s">
        <v>626</v>
      </c>
      <c r="H1762" s="31">
        <v>21.27</v>
      </c>
      <c r="I1762" s="29" t="s">
        <v>612</v>
      </c>
      <c r="J1762" s="32" t="s">
        <v>598</v>
      </c>
      <c r="K1762" s="29" t="s">
        <v>599</v>
      </c>
      <c r="L1762" s="29" t="s">
        <v>600</v>
      </c>
      <c r="M1762" s="33">
        <v>-68.9</v>
      </c>
      <c r="N1762" s="33">
        <v>-6.583</v>
      </c>
      <c r="O1762" s="34" t="s">
        <v>641</v>
      </c>
      <c r="P1762" s="32" t="s">
        <v>602</v>
      </c>
      <c r="Q1762" s="35">
        <v>25.0</v>
      </c>
      <c r="R1762" s="35">
        <v>32.0</v>
      </c>
      <c r="S1762" s="36">
        <v>3.8</v>
      </c>
      <c r="T1762" s="36">
        <v>10.0</v>
      </c>
      <c r="U1762" s="36">
        <v>1.9494</v>
      </c>
      <c r="V1762" s="36">
        <v>3.1622</v>
      </c>
      <c r="W1762" s="37" t="s">
        <v>623</v>
      </c>
      <c r="X1762" s="31">
        <v>6.0</v>
      </c>
      <c r="Y1762" s="36">
        <v>-0.9669053147016277</v>
      </c>
      <c r="Z1762" s="36">
        <v>0.0136516065125</v>
      </c>
      <c r="AA1762" s="29" t="s">
        <v>820</v>
      </c>
      <c r="AB1762" s="31">
        <v>0.343055605888</v>
      </c>
      <c r="AC1762" s="38">
        <v>1688.0</v>
      </c>
    </row>
    <row r="1763" ht="14.25" customHeight="1">
      <c r="A1763" s="29" t="s">
        <v>432</v>
      </c>
      <c r="B1763" s="29">
        <v>108.0</v>
      </c>
      <c r="C1763" s="29" t="s">
        <v>608</v>
      </c>
      <c r="D1763" s="29" t="s">
        <v>630</v>
      </c>
      <c r="E1763" s="29">
        <v>129.0</v>
      </c>
      <c r="F1763" s="30" t="s">
        <v>631</v>
      </c>
      <c r="G1763" s="29" t="s">
        <v>626</v>
      </c>
      <c r="H1763" s="31">
        <v>21.27</v>
      </c>
      <c r="I1763" s="29" t="s">
        <v>612</v>
      </c>
      <c r="J1763" s="32" t="s">
        <v>598</v>
      </c>
      <c r="K1763" s="29" t="s">
        <v>599</v>
      </c>
      <c r="L1763" s="29" t="s">
        <v>600</v>
      </c>
      <c r="M1763" s="33">
        <v>-70.85</v>
      </c>
      <c r="N1763" s="33">
        <v>-6.75</v>
      </c>
      <c r="O1763" s="34" t="s">
        <v>641</v>
      </c>
      <c r="P1763" s="32" t="s">
        <v>602</v>
      </c>
      <c r="Q1763" s="35">
        <v>26.0</v>
      </c>
      <c r="R1763" s="35">
        <v>32.0</v>
      </c>
      <c r="S1763" s="36">
        <v>10.0</v>
      </c>
      <c r="T1763" s="36">
        <v>10.0</v>
      </c>
      <c r="U1763" s="36">
        <v>3.1623</v>
      </c>
      <c r="V1763" s="36">
        <v>3.1622</v>
      </c>
      <c r="W1763" s="37" t="s">
        <v>623</v>
      </c>
      <c r="X1763" s="31">
        <v>6.0</v>
      </c>
      <c r="Y1763" s="36">
        <v>2.5796466027220563E-4</v>
      </c>
      <c r="Z1763" s="36">
        <v>0.006971054700961538</v>
      </c>
      <c r="AA1763" s="29" t="s">
        <v>820</v>
      </c>
      <c r="AB1763" s="31">
        <v>1.10968804359</v>
      </c>
      <c r="AC1763" s="38">
        <v>1520.0</v>
      </c>
    </row>
    <row r="1764" ht="14.25" customHeight="1">
      <c r="A1764" s="29" t="s">
        <v>432</v>
      </c>
      <c r="B1764" s="29">
        <v>109.0</v>
      </c>
      <c r="C1764" s="29" t="s">
        <v>608</v>
      </c>
      <c r="D1764" s="29" t="s">
        <v>630</v>
      </c>
      <c r="E1764" s="29">
        <v>129.0</v>
      </c>
      <c r="F1764" s="30" t="s">
        <v>631</v>
      </c>
      <c r="G1764" s="29" t="s">
        <v>626</v>
      </c>
      <c r="H1764" s="31">
        <v>21.27</v>
      </c>
      <c r="I1764" s="29" t="s">
        <v>612</v>
      </c>
      <c r="J1764" s="32" t="s">
        <v>598</v>
      </c>
      <c r="K1764" s="29" t="s">
        <v>599</v>
      </c>
      <c r="L1764" s="29" t="s">
        <v>600</v>
      </c>
      <c r="M1764" s="33">
        <v>-51.95</v>
      </c>
      <c r="N1764" s="33">
        <v>-7.767</v>
      </c>
      <c r="O1764" s="34" t="s">
        <v>641</v>
      </c>
      <c r="P1764" s="32" t="s">
        <v>602</v>
      </c>
      <c r="Q1764" s="35">
        <v>38.0</v>
      </c>
      <c r="R1764" s="35">
        <v>32.0</v>
      </c>
      <c r="S1764" s="36">
        <v>3.1</v>
      </c>
      <c r="T1764" s="36">
        <v>10.0</v>
      </c>
      <c r="U1764" s="36">
        <v>1.7607</v>
      </c>
      <c r="V1764" s="36">
        <v>3.1622</v>
      </c>
      <c r="W1764" s="37" t="s">
        <v>623</v>
      </c>
      <c r="X1764" s="31">
        <v>6.0</v>
      </c>
      <c r="Y1764" s="36">
        <v>-1.170351076225611</v>
      </c>
      <c r="Z1764" s="36">
        <v>0.011613987456691902</v>
      </c>
      <c r="AA1764" s="29" t="s">
        <v>820</v>
      </c>
      <c r="AB1764" s="31">
        <v>1.43585300446</v>
      </c>
      <c r="AC1764" s="38">
        <v>2438.0</v>
      </c>
    </row>
    <row r="1765" ht="14.25" customHeight="1">
      <c r="A1765" s="29" t="s">
        <v>432</v>
      </c>
      <c r="B1765" s="29">
        <v>110.0</v>
      </c>
      <c r="C1765" s="29" t="s">
        <v>608</v>
      </c>
      <c r="D1765" s="29" t="s">
        <v>630</v>
      </c>
      <c r="E1765" s="29">
        <v>129.0</v>
      </c>
      <c r="F1765" s="30" t="s">
        <v>631</v>
      </c>
      <c r="G1765" s="29" t="s">
        <v>626</v>
      </c>
      <c r="H1765" s="31">
        <v>21.27</v>
      </c>
      <c r="I1765" s="29" t="s">
        <v>612</v>
      </c>
      <c r="J1765" s="32" t="s">
        <v>598</v>
      </c>
      <c r="K1765" s="29" t="s">
        <v>599</v>
      </c>
      <c r="L1765" s="29" t="s">
        <v>600</v>
      </c>
      <c r="M1765" s="33">
        <v>-66.517</v>
      </c>
      <c r="N1765" s="33">
        <v>-4.35</v>
      </c>
      <c r="O1765" s="34" t="s">
        <v>641</v>
      </c>
      <c r="P1765" s="32" t="s">
        <v>602</v>
      </c>
      <c r="Q1765" s="35">
        <v>11.0</v>
      </c>
      <c r="R1765" s="35">
        <v>32.0</v>
      </c>
      <c r="S1765" s="36">
        <v>6.5</v>
      </c>
      <c r="T1765" s="36">
        <v>10.0</v>
      </c>
      <c r="U1765" s="36">
        <v>2.5495</v>
      </c>
      <c r="V1765" s="36">
        <v>3.1622</v>
      </c>
      <c r="W1765" s="37" t="s">
        <v>623</v>
      </c>
      <c r="X1765" s="31">
        <v>6.0</v>
      </c>
      <c r="Y1765" s="36">
        <v>-0.4303860749427563</v>
      </c>
      <c r="Z1765" s="36">
        <v>0.01711075345171463</v>
      </c>
      <c r="AA1765" s="29" t="s">
        <v>820</v>
      </c>
      <c r="AB1765" s="31">
        <v>0.942762136459</v>
      </c>
      <c r="AC1765" s="38">
        <v>2211.0</v>
      </c>
    </row>
    <row r="1766" ht="14.25" customHeight="1">
      <c r="A1766" s="29" t="s">
        <v>432</v>
      </c>
      <c r="B1766" s="29">
        <v>111.0</v>
      </c>
      <c r="C1766" s="29" t="s">
        <v>608</v>
      </c>
      <c r="D1766" s="29" t="s">
        <v>630</v>
      </c>
      <c r="E1766" s="29">
        <v>129.0</v>
      </c>
      <c r="F1766" s="30" t="s">
        <v>631</v>
      </c>
      <c r="G1766" s="29" t="s">
        <v>626</v>
      </c>
      <c r="H1766" s="31">
        <v>21.27</v>
      </c>
      <c r="I1766" s="29" t="s">
        <v>612</v>
      </c>
      <c r="J1766" s="32" t="s">
        <v>598</v>
      </c>
      <c r="K1766" s="29" t="s">
        <v>599</v>
      </c>
      <c r="L1766" s="29" t="s">
        <v>600</v>
      </c>
      <c r="M1766" s="33">
        <v>-67.167</v>
      </c>
      <c r="N1766" s="33">
        <v>-5.083</v>
      </c>
      <c r="O1766" s="34" t="s">
        <v>641</v>
      </c>
      <c r="P1766" s="32" t="s">
        <v>602</v>
      </c>
      <c r="Q1766" s="35">
        <v>12.0</v>
      </c>
      <c r="R1766" s="35">
        <v>32.0</v>
      </c>
      <c r="S1766" s="36">
        <v>1.9</v>
      </c>
      <c r="T1766" s="36">
        <v>10.0</v>
      </c>
      <c r="U1766" s="36">
        <v>1.3784</v>
      </c>
      <c r="V1766" s="36">
        <v>3.1622</v>
      </c>
      <c r="W1766" s="37" t="s">
        <v>623</v>
      </c>
      <c r="X1766" s="31">
        <v>6.0</v>
      </c>
      <c r="Y1766" s="36">
        <v>-1.6593742440384587</v>
      </c>
      <c r="Z1766" s="36">
        <v>0.04698418538599954</v>
      </c>
      <c r="AA1766" s="29" t="s">
        <v>820</v>
      </c>
      <c r="AB1766" s="31">
        <v>0.942762136459</v>
      </c>
      <c r="AC1766" s="38">
        <v>1737.0</v>
      </c>
    </row>
    <row r="1767" ht="14.25" customHeight="1">
      <c r="A1767" s="29" t="s">
        <v>439</v>
      </c>
      <c r="B1767" s="29">
        <v>142.0</v>
      </c>
      <c r="C1767" s="29" t="s">
        <v>593</v>
      </c>
      <c r="D1767" s="43" t="s">
        <v>1208</v>
      </c>
      <c r="E1767" s="29">
        <v>291.0</v>
      </c>
      <c r="F1767" s="45" t="s">
        <v>1209</v>
      </c>
      <c r="G1767" s="35" t="s">
        <v>1000</v>
      </c>
      <c r="H1767" s="31">
        <v>0.921</v>
      </c>
      <c r="I1767" s="29" t="s">
        <v>597</v>
      </c>
      <c r="J1767" s="32" t="s">
        <v>642</v>
      </c>
      <c r="K1767" s="29" t="s">
        <v>698</v>
      </c>
      <c r="L1767" s="29" t="s">
        <v>912</v>
      </c>
      <c r="M1767" s="33">
        <v>16.219</v>
      </c>
      <c r="N1767" s="33">
        <v>2.033</v>
      </c>
      <c r="O1767" s="34" t="s">
        <v>641</v>
      </c>
      <c r="P1767" s="32" t="s">
        <v>602</v>
      </c>
      <c r="Q1767" s="29">
        <v>48.0</v>
      </c>
      <c r="R1767" s="29">
        <v>48.0</v>
      </c>
      <c r="S1767" s="36">
        <v>55.9</v>
      </c>
      <c r="T1767" s="36">
        <v>32.4</v>
      </c>
      <c r="U1767" s="36">
        <v>71.40291084263534</v>
      </c>
      <c r="V1767" s="36">
        <v>51.2545647137729</v>
      </c>
      <c r="W1767" s="37" t="s">
        <v>623</v>
      </c>
      <c r="X1767" s="31">
        <v>11.727</v>
      </c>
      <c r="Y1767" s="36">
        <v>0.5461603686085419</v>
      </c>
      <c r="Z1767" s="36">
        <v>0.08612677366678956</v>
      </c>
      <c r="AA1767" s="29" t="s">
        <v>820</v>
      </c>
      <c r="AB1767" s="31">
        <v>0.3714</v>
      </c>
      <c r="AC1767" s="38">
        <v>2954.0</v>
      </c>
    </row>
    <row r="1768" ht="14.25" customHeight="1">
      <c r="A1768" s="29" t="s">
        <v>439</v>
      </c>
      <c r="B1768" s="29">
        <v>142.0</v>
      </c>
      <c r="C1768" s="29" t="s">
        <v>593</v>
      </c>
      <c r="D1768" s="43" t="s">
        <v>1210</v>
      </c>
      <c r="E1768" s="29">
        <v>267.0</v>
      </c>
      <c r="F1768" s="45" t="s">
        <v>1211</v>
      </c>
      <c r="G1768" s="35" t="s">
        <v>1000</v>
      </c>
      <c r="H1768" s="31">
        <v>0.921</v>
      </c>
      <c r="I1768" s="29" t="s">
        <v>597</v>
      </c>
      <c r="J1768" s="32" t="s">
        <v>642</v>
      </c>
      <c r="K1768" s="29" t="s">
        <v>698</v>
      </c>
      <c r="L1768" s="29" t="s">
        <v>912</v>
      </c>
      <c r="M1768" s="33">
        <v>16.219</v>
      </c>
      <c r="N1768" s="33">
        <v>2.033</v>
      </c>
      <c r="O1768" s="34" t="s">
        <v>641</v>
      </c>
      <c r="P1768" s="32" t="s">
        <v>602</v>
      </c>
      <c r="Q1768" s="29">
        <v>48.0</v>
      </c>
      <c r="R1768" s="29">
        <v>48.0</v>
      </c>
      <c r="S1768" s="36">
        <v>121.5</v>
      </c>
      <c r="T1768" s="36">
        <v>67.6</v>
      </c>
      <c r="U1768" s="36">
        <v>191.93950785916337</v>
      </c>
      <c r="V1768" s="36">
        <v>166.48896538060026</v>
      </c>
      <c r="W1768" s="37" t="s">
        <v>623</v>
      </c>
      <c r="X1768" s="31">
        <v>11.727</v>
      </c>
      <c r="Y1768" s="36">
        <v>0.5870304687466635</v>
      </c>
      <c r="Z1768" s="36">
        <v>0.17835957063650867</v>
      </c>
      <c r="AA1768" s="29" t="s">
        <v>820</v>
      </c>
      <c r="AB1768" s="31">
        <v>0.3714</v>
      </c>
      <c r="AC1768" s="38">
        <v>2954.0</v>
      </c>
    </row>
    <row r="1769" ht="14.25" customHeight="1">
      <c r="A1769" s="29" t="s">
        <v>439</v>
      </c>
      <c r="B1769" s="29">
        <v>142.0</v>
      </c>
      <c r="C1769" s="29" t="s">
        <v>593</v>
      </c>
      <c r="D1769" s="43" t="s">
        <v>1212</v>
      </c>
      <c r="E1769" s="29">
        <v>268.0</v>
      </c>
      <c r="F1769" s="30" t="s">
        <v>1213</v>
      </c>
      <c r="G1769" s="29" t="s">
        <v>1000</v>
      </c>
      <c r="H1769" s="31">
        <v>1.194</v>
      </c>
      <c r="I1769" s="29" t="s">
        <v>597</v>
      </c>
      <c r="J1769" s="32" t="s">
        <v>642</v>
      </c>
      <c r="K1769" s="29" t="s">
        <v>698</v>
      </c>
      <c r="L1769" s="29" t="s">
        <v>912</v>
      </c>
      <c r="M1769" s="33">
        <v>16.219</v>
      </c>
      <c r="N1769" s="33">
        <v>2.033</v>
      </c>
      <c r="O1769" s="34" t="s">
        <v>641</v>
      </c>
      <c r="P1769" s="32" t="s">
        <v>602</v>
      </c>
      <c r="Q1769" s="29">
        <v>48.0</v>
      </c>
      <c r="R1769" s="29">
        <v>48.0</v>
      </c>
      <c r="S1769" s="36">
        <v>29.7</v>
      </c>
      <c r="T1769" s="36">
        <v>13.6</v>
      </c>
      <c r="U1769" s="36">
        <v>46.65932787736567</v>
      </c>
      <c r="V1769" s="36">
        <v>13.785710509221678</v>
      </c>
      <c r="W1769" s="37" t="s">
        <v>623</v>
      </c>
      <c r="X1769" s="31">
        <v>11.727</v>
      </c>
      <c r="Y1769" s="36">
        <v>0.7816733155656685</v>
      </c>
      <c r="Z1769" s="36">
        <v>0.07282508869672097</v>
      </c>
      <c r="AA1769" s="29" t="s">
        <v>820</v>
      </c>
      <c r="AB1769" s="31">
        <v>0.3714</v>
      </c>
      <c r="AC1769" s="38">
        <v>2954.0</v>
      </c>
    </row>
    <row r="1770" ht="14.25" customHeight="1">
      <c r="A1770" s="29" t="s">
        <v>439</v>
      </c>
      <c r="B1770" s="29">
        <v>142.0</v>
      </c>
      <c r="C1770" s="29" t="s">
        <v>593</v>
      </c>
      <c r="D1770" s="43" t="s">
        <v>1214</v>
      </c>
      <c r="E1770" s="29">
        <v>293.0</v>
      </c>
      <c r="F1770" s="45" t="s">
        <v>1215</v>
      </c>
      <c r="G1770" s="35" t="s">
        <v>1216</v>
      </c>
      <c r="H1770" s="31">
        <v>0.96499</v>
      </c>
      <c r="I1770" s="29" t="s">
        <v>597</v>
      </c>
      <c r="J1770" s="32" t="s">
        <v>642</v>
      </c>
      <c r="K1770" s="29" t="s">
        <v>698</v>
      </c>
      <c r="L1770" s="29" t="s">
        <v>912</v>
      </c>
      <c r="M1770" s="33">
        <v>16.219</v>
      </c>
      <c r="N1770" s="33">
        <v>2.033</v>
      </c>
      <c r="O1770" s="34" t="s">
        <v>641</v>
      </c>
      <c r="P1770" s="32" t="s">
        <v>602</v>
      </c>
      <c r="Q1770" s="29">
        <v>48.0</v>
      </c>
      <c r="R1770" s="29">
        <v>48.0</v>
      </c>
      <c r="S1770" s="36">
        <v>26.7</v>
      </c>
      <c r="T1770" s="36">
        <v>5.4</v>
      </c>
      <c r="U1770" s="36">
        <v>60.09155862994065</v>
      </c>
      <c r="V1770" s="36">
        <v>12.725271239281545</v>
      </c>
      <c r="W1770" s="37" t="s">
        <v>623</v>
      </c>
      <c r="X1770" s="31">
        <v>11.727</v>
      </c>
      <c r="Y1770" s="36">
        <v>1.5985279198640028</v>
      </c>
      <c r="Z1770" s="36">
        <v>0.22121943478723605</v>
      </c>
      <c r="AA1770" s="29" t="s">
        <v>820</v>
      </c>
      <c r="AB1770" s="31">
        <v>0.3714</v>
      </c>
      <c r="AC1770" s="38">
        <v>2954.0</v>
      </c>
    </row>
    <row r="1771" ht="14.25" customHeight="1">
      <c r="A1771" s="29" t="s">
        <v>439</v>
      </c>
      <c r="B1771" s="29">
        <v>142.0</v>
      </c>
      <c r="C1771" s="29" t="s">
        <v>593</v>
      </c>
      <c r="D1771" s="43" t="s">
        <v>1219</v>
      </c>
      <c r="E1771" s="29">
        <v>296.0</v>
      </c>
      <c r="F1771" s="45" t="s">
        <v>1220</v>
      </c>
      <c r="G1771" s="29" t="s">
        <v>886</v>
      </c>
      <c r="H1771" s="31">
        <v>0.333</v>
      </c>
      <c r="I1771" s="29" t="s">
        <v>597</v>
      </c>
      <c r="J1771" s="32" t="s">
        <v>642</v>
      </c>
      <c r="K1771" s="29" t="s">
        <v>698</v>
      </c>
      <c r="L1771" s="29" t="s">
        <v>912</v>
      </c>
      <c r="M1771" s="33">
        <v>16.219</v>
      </c>
      <c r="N1771" s="33">
        <v>2.033</v>
      </c>
      <c r="O1771" s="34" t="s">
        <v>641</v>
      </c>
      <c r="P1771" s="32" t="s">
        <v>602</v>
      </c>
      <c r="Q1771" s="29">
        <v>48.0</v>
      </c>
      <c r="R1771" s="29">
        <v>48.0</v>
      </c>
      <c r="S1771" s="36">
        <v>91.9</v>
      </c>
      <c r="T1771" s="36">
        <v>50.0</v>
      </c>
      <c r="U1771" s="36">
        <v>178.1537973499417</v>
      </c>
      <c r="V1771" s="36">
        <v>89.78385818826428</v>
      </c>
      <c r="W1771" s="37" t="s">
        <v>623</v>
      </c>
      <c r="X1771" s="31">
        <v>11.727</v>
      </c>
      <c r="Y1771" s="36">
        <v>0.6093861971312601</v>
      </c>
      <c r="Z1771" s="36">
        <v>0.14546827033124354</v>
      </c>
      <c r="AA1771" s="29" t="s">
        <v>820</v>
      </c>
      <c r="AB1771" s="31">
        <v>0.3714</v>
      </c>
      <c r="AC1771" s="38">
        <v>2954.0</v>
      </c>
    </row>
    <row r="1772" ht="14.25" customHeight="1">
      <c r="A1772" s="29" t="s">
        <v>439</v>
      </c>
      <c r="B1772" s="29">
        <v>142.0</v>
      </c>
      <c r="C1772" s="29" t="s">
        <v>593</v>
      </c>
      <c r="D1772" s="43" t="s">
        <v>1225</v>
      </c>
      <c r="E1772" s="29">
        <v>271.0</v>
      </c>
      <c r="F1772" s="30" t="s">
        <v>1226</v>
      </c>
      <c r="G1772" s="29" t="s">
        <v>1000</v>
      </c>
      <c r="H1772" s="31">
        <v>0.10376</v>
      </c>
      <c r="I1772" s="29" t="s">
        <v>620</v>
      </c>
      <c r="J1772" s="32" t="s">
        <v>642</v>
      </c>
      <c r="K1772" s="29" t="s">
        <v>698</v>
      </c>
      <c r="L1772" s="29" t="s">
        <v>912</v>
      </c>
      <c r="M1772" s="33">
        <v>16.219</v>
      </c>
      <c r="N1772" s="33">
        <v>2.033</v>
      </c>
      <c r="O1772" s="34" t="s">
        <v>641</v>
      </c>
      <c r="P1772" s="32" t="s">
        <v>602</v>
      </c>
      <c r="Q1772" s="29">
        <v>48.0</v>
      </c>
      <c r="R1772" s="29">
        <v>48.0</v>
      </c>
      <c r="S1772" s="36">
        <v>3.8</v>
      </c>
      <c r="T1772" s="36">
        <v>9.0</v>
      </c>
      <c r="U1772" s="36">
        <v>7.423074889580904</v>
      </c>
      <c r="V1772" s="36">
        <v>14.492670022515094</v>
      </c>
      <c r="W1772" s="37" t="s">
        <v>623</v>
      </c>
      <c r="X1772" s="31">
        <v>11.727</v>
      </c>
      <c r="Y1772" s="36">
        <v>-0.8591443744340451</v>
      </c>
      <c r="Z1772" s="36">
        <v>0.13352054514977937</v>
      </c>
      <c r="AA1772" s="29" t="s">
        <v>820</v>
      </c>
      <c r="AB1772" s="31">
        <v>0.3714</v>
      </c>
      <c r="AC1772" s="38">
        <v>2954.0</v>
      </c>
    </row>
    <row r="1773" ht="14.25" customHeight="1">
      <c r="A1773" s="29" t="s">
        <v>439</v>
      </c>
      <c r="B1773" s="29">
        <v>142.0</v>
      </c>
      <c r="C1773" s="29" t="s">
        <v>593</v>
      </c>
      <c r="D1773" s="43" t="s">
        <v>1227</v>
      </c>
      <c r="E1773" s="29">
        <v>272.0</v>
      </c>
      <c r="F1773" s="45" t="s">
        <v>1228</v>
      </c>
      <c r="G1773" s="29" t="s">
        <v>1000</v>
      </c>
      <c r="H1773" s="31">
        <v>0.25883</v>
      </c>
      <c r="I1773" s="29" t="s">
        <v>616</v>
      </c>
      <c r="J1773" s="32" t="s">
        <v>642</v>
      </c>
      <c r="K1773" s="29" t="s">
        <v>698</v>
      </c>
      <c r="L1773" s="29" t="s">
        <v>912</v>
      </c>
      <c r="M1773" s="33">
        <v>16.219</v>
      </c>
      <c r="N1773" s="33">
        <v>2.033</v>
      </c>
      <c r="O1773" s="34" t="s">
        <v>641</v>
      </c>
      <c r="P1773" s="32" t="s">
        <v>602</v>
      </c>
      <c r="Q1773" s="29">
        <v>48.0</v>
      </c>
      <c r="R1773" s="29">
        <v>48.0</v>
      </c>
      <c r="S1773" s="36">
        <v>12.0</v>
      </c>
      <c r="T1773" s="36">
        <v>9.4</v>
      </c>
      <c r="U1773" s="36">
        <v>39.58973274443148</v>
      </c>
      <c r="V1773" s="36">
        <v>24.74358296526967</v>
      </c>
      <c r="W1773" s="37" t="s">
        <v>623</v>
      </c>
      <c r="X1773" s="31">
        <v>11.727</v>
      </c>
      <c r="Y1773" s="36">
        <v>0.24521640597866545</v>
      </c>
      <c r="Z1773" s="36">
        <v>0.37111117270206695</v>
      </c>
      <c r="AA1773" s="29" t="s">
        <v>820</v>
      </c>
      <c r="AB1773" s="31">
        <v>0.3714</v>
      </c>
      <c r="AC1773" s="38">
        <v>2954.0</v>
      </c>
    </row>
    <row r="1774" ht="14.25" customHeight="1">
      <c r="A1774" s="29" t="s">
        <v>439</v>
      </c>
      <c r="B1774" s="29">
        <v>142.0</v>
      </c>
      <c r="C1774" s="29" t="s">
        <v>593</v>
      </c>
      <c r="D1774" s="43" t="s">
        <v>1229</v>
      </c>
      <c r="E1774" s="29">
        <v>270.0</v>
      </c>
      <c r="F1774" s="45" t="s">
        <v>1230</v>
      </c>
      <c r="G1774" s="29" t="s">
        <v>1000</v>
      </c>
      <c r="H1774" s="31">
        <v>0.289</v>
      </c>
      <c r="I1774" s="29" t="s">
        <v>616</v>
      </c>
      <c r="J1774" s="32" t="s">
        <v>642</v>
      </c>
      <c r="K1774" s="29" t="s">
        <v>698</v>
      </c>
      <c r="L1774" s="29" t="s">
        <v>912</v>
      </c>
      <c r="M1774" s="33">
        <v>16.219</v>
      </c>
      <c r="N1774" s="33">
        <v>2.033</v>
      </c>
      <c r="O1774" s="34" t="s">
        <v>641</v>
      </c>
      <c r="P1774" s="32" t="s">
        <v>602</v>
      </c>
      <c r="Q1774" s="29">
        <v>48.0</v>
      </c>
      <c r="R1774" s="29">
        <v>48.0</v>
      </c>
      <c r="S1774" s="36">
        <v>7.1</v>
      </c>
      <c r="T1774" s="36">
        <v>17.0</v>
      </c>
      <c r="U1774" s="36">
        <v>22.62270442538942</v>
      </c>
      <c r="V1774" s="36">
        <v>30.045779314970318</v>
      </c>
      <c r="W1774" s="37" t="s">
        <v>623</v>
      </c>
      <c r="X1774" s="31">
        <v>11.727</v>
      </c>
      <c r="Y1774" s="36">
        <v>-0.8700057455276048</v>
      </c>
      <c r="Z1774" s="36">
        <v>0.2765871498857226</v>
      </c>
      <c r="AA1774" s="29" t="s">
        <v>820</v>
      </c>
      <c r="AB1774" s="31">
        <v>0.3714</v>
      </c>
      <c r="AC1774" s="38">
        <v>2954.0</v>
      </c>
    </row>
    <row r="1775" ht="14.25" customHeight="1">
      <c r="A1775" s="29" t="s">
        <v>439</v>
      </c>
      <c r="B1775" s="29">
        <v>142.0</v>
      </c>
      <c r="C1775" s="29" t="s">
        <v>608</v>
      </c>
      <c r="D1775" s="29" t="s">
        <v>935</v>
      </c>
      <c r="E1775" s="29">
        <v>35.0</v>
      </c>
      <c r="F1775" s="49" t="s">
        <v>1352</v>
      </c>
      <c r="G1775" s="29" t="s">
        <v>626</v>
      </c>
      <c r="H1775" s="31">
        <v>16.74</v>
      </c>
      <c r="I1775" s="29" t="s">
        <v>612</v>
      </c>
      <c r="J1775" s="32" t="s">
        <v>642</v>
      </c>
      <c r="K1775" s="29" t="s">
        <v>698</v>
      </c>
      <c r="L1775" s="29" t="s">
        <v>912</v>
      </c>
      <c r="M1775" s="33">
        <v>16.219</v>
      </c>
      <c r="N1775" s="33">
        <v>2.033</v>
      </c>
      <c r="O1775" s="34" t="s">
        <v>641</v>
      </c>
      <c r="P1775" s="32" t="s">
        <v>602</v>
      </c>
      <c r="Q1775" s="29">
        <v>48.0</v>
      </c>
      <c r="R1775" s="29">
        <v>48.0</v>
      </c>
      <c r="S1775" s="36">
        <v>8.9</v>
      </c>
      <c r="T1775" s="36">
        <v>10.9</v>
      </c>
      <c r="U1775" s="36">
        <v>19.08790685892232</v>
      </c>
      <c r="V1775" s="36">
        <v>11.664831969341414</v>
      </c>
      <c r="W1775" s="37" t="s">
        <v>623</v>
      </c>
      <c r="X1775" s="31">
        <v>11.727</v>
      </c>
      <c r="Y1775" s="36">
        <v>-0.20239558740630118</v>
      </c>
      <c r="Z1775" s="36">
        <v>0.11968822566486528</v>
      </c>
      <c r="AA1775" s="29" t="s">
        <v>820</v>
      </c>
      <c r="AB1775" s="31">
        <v>0.3714</v>
      </c>
      <c r="AC1775" s="38">
        <v>2954.0</v>
      </c>
    </row>
    <row r="1776" ht="14.25" customHeight="1">
      <c r="A1776" s="29" t="s">
        <v>439</v>
      </c>
      <c r="B1776" s="29">
        <v>142.0</v>
      </c>
      <c r="C1776" s="29" t="s">
        <v>608</v>
      </c>
      <c r="D1776" s="29" t="s">
        <v>939</v>
      </c>
      <c r="E1776" s="29">
        <v>45.0</v>
      </c>
      <c r="F1776" s="30" t="s">
        <v>940</v>
      </c>
      <c r="G1776" s="29" t="s">
        <v>611</v>
      </c>
      <c r="H1776" s="31">
        <v>3.48</v>
      </c>
      <c r="I1776" s="29" t="s">
        <v>597</v>
      </c>
      <c r="J1776" s="32" t="s">
        <v>642</v>
      </c>
      <c r="K1776" s="29" t="s">
        <v>698</v>
      </c>
      <c r="L1776" s="29" t="s">
        <v>912</v>
      </c>
      <c r="M1776" s="33">
        <v>16.219</v>
      </c>
      <c r="N1776" s="33">
        <v>2.033</v>
      </c>
      <c r="O1776" s="34" t="s">
        <v>641</v>
      </c>
      <c r="P1776" s="32" t="s">
        <v>602</v>
      </c>
      <c r="Q1776" s="29">
        <v>48.0</v>
      </c>
      <c r="R1776" s="29">
        <v>48.0</v>
      </c>
      <c r="S1776" s="36">
        <v>28.3</v>
      </c>
      <c r="T1776" s="36">
        <v>39.3</v>
      </c>
      <c r="U1776" s="36">
        <v>77.05858694898271</v>
      </c>
      <c r="V1776" s="36">
        <v>176.73987832335482</v>
      </c>
      <c r="W1776" s="37" t="s">
        <v>623</v>
      </c>
      <c r="X1776" s="31">
        <v>11.727</v>
      </c>
      <c r="Y1776" s="36">
        <v>-0.3280044985736381</v>
      </c>
      <c r="Z1776" s="36">
        <v>0.5758140215512537</v>
      </c>
      <c r="AA1776" s="29" t="s">
        <v>820</v>
      </c>
      <c r="AB1776" s="31">
        <v>0.3714</v>
      </c>
      <c r="AC1776" s="38">
        <v>2954.0</v>
      </c>
    </row>
    <row r="1777" ht="14.25" customHeight="1">
      <c r="A1777" s="29" t="s">
        <v>439</v>
      </c>
      <c r="B1777" s="29">
        <v>142.0</v>
      </c>
      <c r="C1777" s="29" t="s">
        <v>608</v>
      </c>
      <c r="D1777" s="29" t="s">
        <v>941</v>
      </c>
      <c r="E1777" s="29">
        <v>48.0</v>
      </c>
      <c r="F1777" s="30" t="s">
        <v>942</v>
      </c>
      <c r="G1777" s="29" t="s">
        <v>611</v>
      </c>
      <c r="H1777" s="31">
        <v>5.8</v>
      </c>
      <c r="I1777" s="29" t="s">
        <v>597</v>
      </c>
      <c r="J1777" s="32" t="s">
        <v>642</v>
      </c>
      <c r="K1777" s="29" t="s">
        <v>698</v>
      </c>
      <c r="L1777" s="29" t="s">
        <v>912</v>
      </c>
      <c r="M1777" s="33">
        <v>16.219</v>
      </c>
      <c r="N1777" s="33">
        <v>2.033</v>
      </c>
      <c r="O1777" s="34" t="s">
        <v>641</v>
      </c>
      <c r="P1777" s="32" t="s">
        <v>602</v>
      </c>
      <c r="Q1777" s="29">
        <v>48.0</v>
      </c>
      <c r="R1777" s="29">
        <v>48.0</v>
      </c>
      <c r="S1777" s="36">
        <v>37.2</v>
      </c>
      <c r="T1777" s="36">
        <v>41.8</v>
      </c>
      <c r="U1777" s="36">
        <v>69.28203230275507</v>
      </c>
      <c r="V1777" s="36">
        <v>39.9432125010782</v>
      </c>
      <c r="W1777" s="37" t="s">
        <v>623</v>
      </c>
      <c r="X1777" s="31">
        <v>11.727</v>
      </c>
      <c r="Y1777" s="36">
        <v>-0.11629771935815866</v>
      </c>
      <c r="Z1777" s="36">
        <v>0.0912862663328634</v>
      </c>
      <c r="AA1777" s="29" t="s">
        <v>820</v>
      </c>
      <c r="AB1777" s="31">
        <v>0.3714</v>
      </c>
      <c r="AC1777" s="38">
        <v>2954.0</v>
      </c>
    </row>
    <row r="1778" ht="14.25" customHeight="1">
      <c r="A1778" s="29" t="s">
        <v>439</v>
      </c>
      <c r="B1778" s="29">
        <v>142.0</v>
      </c>
      <c r="C1778" s="29" t="s">
        <v>608</v>
      </c>
      <c r="D1778" s="29" t="s">
        <v>943</v>
      </c>
      <c r="E1778" s="29">
        <v>49.0</v>
      </c>
      <c r="F1778" s="30" t="s">
        <v>944</v>
      </c>
      <c r="G1778" s="29" t="s">
        <v>611</v>
      </c>
      <c r="H1778" s="31">
        <v>3.76</v>
      </c>
      <c r="I1778" s="29" t="s">
        <v>597</v>
      </c>
      <c r="J1778" s="32" t="s">
        <v>642</v>
      </c>
      <c r="K1778" s="29" t="s">
        <v>698</v>
      </c>
      <c r="L1778" s="29" t="s">
        <v>912</v>
      </c>
      <c r="M1778" s="33">
        <v>16.219</v>
      </c>
      <c r="N1778" s="33">
        <v>2.033</v>
      </c>
      <c r="O1778" s="34" t="s">
        <v>641</v>
      </c>
      <c r="P1778" s="32" t="s">
        <v>602</v>
      </c>
      <c r="Q1778" s="29">
        <v>48.0</v>
      </c>
      <c r="R1778" s="29">
        <v>48.0</v>
      </c>
      <c r="S1778" s="36">
        <v>23.3</v>
      </c>
      <c r="T1778" s="36">
        <v>28.4</v>
      </c>
      <c r="U1778" s="36">
        <v>38.52929347449136</v>
      </c>
      <c r="V1778" s="36">
        <v>38.88277323113806</v>
      </c>
      <c r="W1778" s="37" t="s">
        <v>623</v>
      </c>
      <c r="X1778" s="31">
        <v>11.727</v>
      </c>
      <c r="Y1778" s="36">
        <v>-0.19762136444345496</v>
      </c>
      <c r="Z1778" s="36">
        <v>0.09601913724230919</v>
      </c>
      <c r="AA1778" s="29" t="s">
        <v>820</v>
      </c>
      <c r="AB1778" s="31">
        <v>0.3714</v>
      </c>
      <c r="AC1778" s="38">
        <v>2954.0</v>
      </c>
    </row>
    <row r="1779" ht="14.25" customHeight="1">
      <c r="A1779" s="29" t="s">
        <v>439</v>
      </c>
      <c r="B1779" s="29">
        <v>142.0</v>
      </c>
      <c r="C1779" s="29" t="s">
        <v>608</v>
      </c>
      <c r="D1779" s="29" t="s">
        <v>1353</v>
      </c>
      <c r="E1779" s="29">
        <v>313.0</v>
      </c>
      <c r="F1779" s="49" t="s">
        <v>1354</v>
      </c>
      <c r="G1779" s="29" t="s">
        <v>615</v>
      </c>
      <c r="H1779" s="31">
        <v>0.141</v>
      </c>
      <c r="I1779" s="29" t="s">
        <v>597</v>
      </c>
      <c r="J1779" s="32" t="s">
        <v>642</v>
      </c>
      <c r="K1779" s="29" t="s">
        <v>698</v>
      </c>
      <c r="L1779" s="29" t="s">
        <v>912</v>
      </c>
      <c r="M1779" s="33">
        <v>16.219</v>
      </c>
      <c r="N1779" s="33">
        <v>2.033</v>
      </c>
      <c r="O1779" s="34" t="s">
        <v>641</v>
      </c>
      <c r="P1779" s="32" t="s">
        <v>602</v>
      </c>
      <c r="Q1779" s="29">
        <v>48.0</v>
      </c>
      <c r="R1779" s="29">
        <v>48.0</v>
      </c>
      <c r="S1779" s="36">
        <v>29.4</v>
      </c>
      <c r="T1779" s="36">
        <v>14.6</v>
      </c>
      <c r="U1779" s="36">
        <v>71.75639059928207</v>
      </c>
      <c r="V1779" s="36">
        <v>22.976184182036132</v>
      </c>
      <c r="W1779" s="37" t="s">
        <v>623</v>
      </c>
      <c r="X1779" s="31">
        <v>11.727</v>
      </c>
      <c r="Y1779" s="36">
        <v>0.7001012588475047</v>
      </c>
      <c r="Z1779" s="36">
        <v>0.17569900264177601</v>
      </c>
      <c r="AA1779" s="29" t="s">
        <v>820</v>
      </c>
      <c r="AB1779" s="31">
        <v>0.3714</v>
      </c>
      <c r="AC1779" s="38">
        <v>2954.0</v>
      </c>
    </row>
    <row r="1780" ht="14.25" customHeight="1">
      <c r="A1780" s="29" t="s">
        <v>439</v>
      </c>
      <c r="B1780" s="29">
        <v>142.0</v>
      </c>
      <c r="C1780" s="29" t="s">
        <v>608</v>
      </c>
      <c r="D1780" s="29" t="s">
        <v>931</v>
      </c>
      <c r="E1780" s="29">
        <v>83.0</v>
      </c>
      <c r="F1780" s="30" t="s">
        <v>932</v>
      </c>
      <c r="G1780" s="29" t="s">
        <v>611</v>
      </c>
      <c r="H1780" s="31">
        <v>131.63</v>
      </c>
      <c r="I1780" s="29" t="s">
        <v>612</v>
      </c>
      <c r="J1780" s="32" t="s">
        <v>642</v>
      </c>
      <c r="K1780" s="29" t="s">
        <v>698</v>
      </c>
      <c r="L1780" s="29" t="s">
        <v>912</v>
      </c>
      <c r="M1780" s="33">
        <v>16.219</v>
      </c>
      <c r="N1780" s="33">
        <v>2.033</v>
      </c>
      <c r="O1780" s="34" t="s">
        <v>641</v>
      </c>
      <c r="P1780" s="32" t="s">
        <v>602</v>
      </c>
      <c r="Q1780" s="29">
        <v>48.0</v>
      </c>
      <c r="R1780" s="29">
        <v>48.0</v>
      </c>
      <c r="S1780" s="36">
        <v>1.7</v>
      </c>
      <c r="T1780" s="36">
        <v>2.4</v>
      </c>
      <c r="U1780" s="36">
        <v>7.069595132934193</v>
      </c>
      <c r="V1780" s="36">
        <v>4.241757079760516</v>
      </c>
      <c r="W1780" s="37" t="s">
        <v>623</v>
      </c>
      <c r="X1780" s="31">
        <v>11.727</v>
      </c>
      <c r="Y1780" s="36">
        <v>-0.3444763202279818</v>
      </c>
      <c r="Z1780" s="36">
        <v>0.425365224120861</v>
      </c>
      <c r="AA1780" s="29" t="s">
        <v>820</v>
      </c>
      <c r="AB1780" s="31">
        <v>0.3714</v>
      </c>
      <c r="AC1780" s="38">
        <v>2954.0</v>
      </c>
    </row>
    <row r="1781" ht="14.25" customHeight="1">
      <c r="A1781" s="29" t="s">
        <v>439</v>
      </c>
      <c r="B1781" s="29">
        <v>142.0</v>
      </c>
      <c r="C1781" s="29" t="s">
        <v>608</v>
      </c>
      <c r="D1781" s="29" t="s">
        <v>945</v>
      </c>
      <c r="E1781" s="29">
        <v>95.0</v>
      </c>
      <c r="F1781" s="30" t="s">
        <v>946</v>
      </c>
      <c r="G1781" s="29" t="s">
        <v>611</v>
      </c>
      <c r="H1781" s="31">
        <v>7.69</v>
      </c>
      <c r="I1781" s="29" t="s">
        <v>616</v>
      </c>
      <c r="J1781" s="32" t="s">
        <v>642</v>
      </c>
      <c r="K1781" s="29" t="s">
        <v>698</v>
      </c>
      <c r="L1781" s="29" t="s">
        <v>912</v>
      </c>
      <c r="M1781" s="33">
        <v>16.219</v>
      </c>
      <c r="N1781" s="33">
        <v>2.033</v>
      </c>
      <c r="O1781" s="34" t="s">
        <v>641</v>
      </c>
      <c r="P1781" s="32" t="s">
        <v>602</v>
      </c>
      <c r="Q1781" s="29">
        <v>48.0</v>
      </c>
      <c r="R1781" s="29">
        <v>48.0</v>
      </c>
      <c r="S1781" s="36">
        <v>14.9</v>
      </c>
      <c r="T1781" s="36">
        <v>26.1</v>
      </c>
      <c r="U1781" s="36">
        <v>65.747234736288</v>
      </c>
      <c r="V1781" s="36">
        <v>29.6922995583236</v>
      </c>
      <c r="W1781" s="37" t="s">
        <v>623</v>
      </c>
      <c r="X1781" s="31">
        <v>11.727</v>
      </c>
      <c r="Y1781" s="36">
        <v>-0.5601222741960382</v>
      </c>
      <c r="Z1781" s="36">
        <v>0.43260323251437205</v>
      </c>
      <c r="AA1781" s="29" t="s">
        <v>820</v>
      </c>
      <c r="AB1781" s="31">
        <v>0.3714</v>
      </c>
      <c r="AC1781" s="38">
        <v>2954.0</v>
      </c>
    </row>
    <row r="1782" ht="14.25" customHeight="1">
      <c r="A1782" s="29" t="s">
        <v>439</v>
      </c>
      <c r="B1782" s="29">
        <v>142.0</v>
      </c>
      <c r="C1782" s="29" t="s">
        <v>608</v>
      </c>
      <c r="D1782" s="29" t="s">
        <v>751</v>
      </c>
      <c r="E1782" s="29">
        <v>97.0</v>
      </c>
      <c r="F1782" s="30" t="s">
        <v>752</v>
      </c>
      <c r="G1782" s="29" t="s">
        <v>753</v>
      </c>
      <c r="H1782" s="31">
        <v>3940.03</v>
      </c>
      <c r="I1782" s="29" t="s">
        <v>612</v>
      </c>
      <c r="J1782" s="32" t="s">
        <v>642</v>
      </c>
      <c r="K1782" s="29" t="s">
        <v>698</v>
      </c>
      <c r="L1782" s="29" t="s">
        <v>912</v>
      </c>
      <c r="M1782" s="33">
        <v>16.219</v>
      </c>
      <c r="N1782" s="33">
        <v>2.033</v>
      </c>
      <c r="O1782" s="34" t="s">
        <v>641</v>
      </c>
      <c r="P1782" s="32" t="s">
        <v>602</v>
      </c>
      <c r="Q1782" s="29">
        <v>48.0</v>
      </c>
      <c r="R1782" s="29">
        <v>48.0</v>
      </c>
      <c r="S1782" s="36">
        <v>1.5</v>
      </c>
      <c r="T1782" s="36">
        <v>0.9</v>
      </c>
      <c r="U1782" s="36">
        <v>5.302196349700644</v>
      </c>
      <c r="V1782" s="36">
        <v>2.474358296526968</v>
      </c>
      <c r="W1782" s="37" t="s">
        <v>623</v>
      </c>
      <c r="X1782" s="31">
        <v>11.727</v>
      </c>
      <c r="Y1782" s="36">
        <v>0.5109804105475085</v>
      </c>
      <c r="Z1782" s="36">
        <v>0.4177786004802525</v>
      </c>
      <c r="AA1782" s="29" t="s">
        <v>820</v>
      </c>
      <c r="AB1782" s="31">
        <v>0.3714</v>
      </c>
      <c r="AC1782" s="38">
        <v>2954.0</v>
      </c>
    </row>
    <row r="1783" ht="14.25" customHeight="1">
      <c r="A1783" s="29" t="s">
        <v>439</v>
      </c>
      <c r="B1783" s="29">
        <v>142.0</v>
      </c>
      <c r="C1783" s="29" t="s">
        <v>608</v>
      </c>
      <c r="D1783" s="35" t="s">
        <v>947</v>
      </c>
      <c r="E1783" s="29">
        <v>121.0</v>
      </c>
      <c r="F1783" s="30" t="s">
        <v>948</v>
      </c>
      <c r="G1783" s="29" t="s">
        <v>611</v>
      </c>
      <c r="H1783" s="31">
        <v>42.5</v>
      </c>
      <c r="I1783" s="29" t="s">
        <v>597</v>
      </c>
      <c r="J1783" s="32" t="s">
        <v>642</v>
      </c>
      <c r="K1783" s="29" t="s">
        <v>698</v>
      </c>
      <c r="L1783" s="29" t="s">
        <v>912</v>
      </c>
      <c r="M1783" s="33">
        <v>16.219</v>
      </c>
      <c r="N1783" s="33">
        <v>2.033</v>
      </c>
      <c r="O1783" s="34" t="s">
        <v>641</v>
      </c>
      <c r="P1783" s="32" t="s">
        <v>602</v>
      </c>
      <c r="Q1783" s="29">
        <v>48.0</v>
      </c>
      <c r="R1783" s="29">
        <v>48.0</v>
      </c>
      <c r="S1783" s="36">
        <v>1.7</v>
      </c>
      <c r="T1783" s="36">
        <v>1.9</v>
      </c>
      <c r="U1783" s="36">
        <v>5.302196349700645</v>
      </c>
      <c r="V1783" s="36">
        <v>10.957872456048</v>
      </c>
      <c r="W1783" s="37" t="s">
        <v>623</v>
      </c>
      <c r="X1783" s="31">
        <v>11.727</v>
      </c>
      <c r="Y1783" s="36">
        <v>-0.11093732604090709</v>
      </c>
      <c r="Z1783" s="36">
        <v>0.8956155180910593</v>
      </c>
      <c r="AA1783" s="29" t="s">
        <v>820</v>
      </c>
      <c r="AB1783" s="31">
        <v>0.3714</v>
      </c>
      <c r="AC1783" s="38">
        <v>2954.0</v>
      </c>
    </row>
    <row r="1784" ht="14.25" customHeight="1">
      <c r="A1784" s="29" t="s">
        <v>439</v>
      </c>
      <c r="B1784" s="29">
        <v>142.0</v>
      </c>
      <c r="C1784" s="29" t="s">
        <v>608</v>
      </c>
      <c r="D1784" s="43" t="s">
        <v>781</v>
      </c>
      <c r="E1784" s="29">
        <v>136.0</v>
      </c>
      <c r="F1784" s="30" t="s">
        <v>782</v>
      </c>
      <c r="G1784" s="29" t="s">
        <v>626</v>
      </c>
      <c r="H1784" s="31">
        <v>4.9</v>
      </c>
      <c r="I1784" s="29" t="s">
        <v>597</v>
      </c>
      <c r="J1784" s="32" t="s">
        <v>642</v>
      </c>
      <c r="K1784" s="29" t="s">
        <v>698</v>
      </c>
      <c r="L1784" s="29" t="s">
        <v>912</v>
      </c>
      <c r="M1784" s="33">
        <v>16.219</v>
      </c>
      <c r="N1784" s="33">
        <v>2.033</v>
      </c>
      <c r="O1784" s="34" t="s">
        <v>641</v>
      </c>
      <c r="P1784" s="32" t="s">
        <v>602</v>
      </c>
      <c r="Q1784" s="29">
        <v>48.0</v>
      </c>
      <c r="R1784" s="29">
        <v>48.0</v>
      </c>
      <c r="S1784" s="36">
        <v>4.7</v>
      </c>
      <c r="T1784" s="36">
        <v>12.3</v>
      </c>
      <c r="U1784" s="36">
        <v>7.776554646227613</v>
      </c>
      <c r="V1784" s="36">
        <v>33.7219687840961</v>
      </c>
      <c r="W1784" s="37" t="s">
        <v>623</v>
      </c>
      <c r="X1784" s="31">
        <v>11.727</v>
      </c>
      <c r="Y1784" s="36">
        <v>-0.9613617954100641</v>
      </c>
      <c r="Z1784" s="36">
        <v>0.21362821755812225</v>
      </c>
      <c r="AA1784" s="29" t="s">
        <v>820</v>
      </c>
      <c r="AB1784" s="31">
        <v>0.3714</v>
      </c>
      <c r="AC1784" s="38">
        <v>2954.0</v>
      </c>
    </row>
    <row r="1785" ht="14.25" customHeight="1">
      <c r="A1785" s="29" t="s">
        <v>439</v>
      </c>
      <c r="B1785" s="29">
        <v>142.0</v>
      </c>
      <c r="C1785" s="29" t="s">
        <v>608</v>
      </c>
      <c r="D1785" s="43" t="s">
        <v>1237</v>
      </c>
      <c r="E1785" s="29">
        <v>295.0</v>
      </c>
      <c r="F1785" s="30" t="s">
        <v>1238</v>
      </c>
      <c r="G1785" s="29" t="s">
        <v>615</v>
      </c>
      <c r="H1785" s="31">
        <v>0.6215</v>
      </c>
      <c r="I1785" s="29" t="s">
        <v>597</v>
      </c>
      <c r="J1785" s="32" t="s">
        <v>642</v>
      </c>
      <c r="K1785" s="29" t="s">
        <v>698</v>
      </c>
      <c r="L1785" s="29" t="s">
        <v>912</v>
      </c>
      <c r="M1785" s="33">
        <v>16.219</v>
      </c>
      <c r="N1785" s="33">
        <v>2.033</v>
      </c>
      <c r="O1785" s="34" t="s">
        <v>641</v>
      </c>
      <c r="P1785" s="32" t="s">
        <v>602</v>
      </c>
      <c r="Q1785" s="29">
        <v>48.0</v>
      </c>
      <c r="R1785" s="29">
        <v>48.0</v>
      </c>
      <c r="S1785" s="36">
        <v>26.8</v>
      </c>
      <c r="T1785" s="36">
        <v>12.6</v>
      </c>
      <c r="U1785" s="36">
        <v>117.7087589633543</v>
      </c>
      <c r="V1785" s="36">
        <v>55.49632179353342</v>
      </c>
      <c r="W1785" s="37" t="s">
        <v>623</v>
      </c>
      <c r="X1785" s="31">
        <v>11.727</v>
      </c>
      <c r="Y1785" s="36">
        <v>0.7548263637405098</v>
      </c>
      <c r="Z1785" s="36">
        <v>0.8060428174176933</v>
      </c>
      <c r="AA1785" s="29" t="s">
        <v>820</v>
      </c>
      <c r="AB1785" s="31">
        <v>0.3714</v>
      </c>
      <c r="AC1785" s="38">
        <v>2954.0</v>
      </c>
    </row>
    <row r="1786" ht="14.25" customHeight="1">
      <c r="A1786" s="29" t="s">
        <v>450</v>
      </c>
      <c r="B1786" s="35">
        <v>146.0</v>
      </c>
      <c r="C1786" s="29" t="s">
        <v>608</v>
      </c>
      <c r="D1786" s="29" t="s">
        <v>1355</v>
      </c>
      <c r="E1786" s="29">
        <v>35.0</v>
      </c>
      <c r="F1786" s="30" t="s">
        <v>936</v>
      </c>
      <c r="G1786" s="29" t="s">
        <v>626</v>
      </c>
      <c r="H1786" s="31">
        <v>16.74</v>
      </c>
      <c r="I1786" s="29" t="s">
        <v>612</v>
      </c>
      <c r="J1786" s="32" t="s">
        <v>642</v>
      </c>
      <c r="K1786" s="29" t="s">
        <v>698</v>
      </c>
      <c r="L1786" s="29" t="s">
        <v>1287</v>
      </c>
      <c r="M1786" s="36">
        <v>16.271</v>
      </c>
      <c r="N1786" s="36">
        <v>2.844</v>
      </c>
      <c r="O1786" s="34" t="s">
        <v>601</v>
      </c>
      <c r="P1786" s="32" t="s">
        <v>643</v>
      </c>
      <c r="Q1786" s="35">
        <v>12.0</v>
      </c>
      <c r="R1786" s="35">
        <v>12.0</v>
      </c>
      <c r="S1786" s="36">
        <v>5.9</v>
      </c>
      <c r="T1786" s="36">
        <v>6.5</v>
      </c>
      <c r="U1786" s="36" t="str">
        <f t="shared" ref="U1786:V1786" si="385">#REF!*SQRT(Q1786)</f>
        <v>#REF!</v>
      </c>
      <c r="V1786" s="36" t="str">
        <f t="shared" si="385"/>
        <v>#REF!</v>
      </c>
      <c r="W1786" s="35" t="s">
        <v>1356</v>
      </c>
      <c r="X1786" s="31">
        <v>2.47</v>
      </c>
      <c r="Y1786" s="36">
        <v>-0.09656563136278092</v>
      </c>
      <c r="Z1786" s="36" t="e">
        <v>#REF!</v>
      </c>
      <c r="AA1786" s="29" t="s">
        <v>820</v>
      </c>
      <c r="AB1786" s="31">
        <v>5.19</v>
      </c>
      <c r="AC1786" s="38">
        <v>620.67</v>
      </c>
    </row>
    <row r="1787" ht="14.25" customHeight="1">
      <c r="A1787" s="29" t="s">
        <v>450</v>
      </c>
      <c r="B1787" s="35">
        <v>146.0</v>
      </c>
      <c r="C1787" s="29" t="s">
        <v>608</v>
      </c>
      <c r="D1787" s="29" t="s">
        <v>935</v>
      </c>
      <c r="E1787" s="29">
        <v>35.0</v>
      </c>
      <c r="F1787" s="30" t="s">
        <v>936</v>
      </c>
      <c r="G1787" s="29" t="s">
        <v>626</v>
      </c>
      <c r="H1787" s="31">
        <v>16.74</v>
      </c>
      <c r="I1787" s="29" t="s">
        <v>612</v>
      </c>
      <c r="J1787" s="32" t="s">
        <v>642</v>
      </c>
      <c r="K1787" s="29" t="s">
        <v>698</v>
      </c>
      <c r="L1787" s="29" t="s">
        <v>1287</v>
      </c>
      <c r="M1787" s="36">
        <v>16.098</v>
      </c>
      <c r="N1787" s="36">
        <v>2.564</v>
      </c>
      <c r="O1787" s="34" t="s">
        <v>601</v>
      </c>
      <c r="P1787" s="32" t="s">
        <v>643</v>
      </c>
      <c r="Q1787" s="35">
        <v>2.0</v>
      </c>
      <c r="R1787" s="35">
        <v>12.0</v>
      </c>
      <c r="S1787" s="36">
        <v>25.5</v>
      </c>
      <c r="T1787" s="36">
        <v>6.5</v>
      </c>
      <c r="U1787" s="36" t="str">
        <f t="shared" ref="U1787:V1787" si="386">#REF!*SQRT(Q1787)</f>
        <v>#REF!</v>
      </c>
      <c r="V1787" s="36" t="str">
        <f t="shared" si="386"/>
        <v>#REF!</v>
      </c>
      <c r="W1787" s="35" t="s">
        <v>1356</v>
      </c>
      <c r="X1787" s="31">
        <v>5.0</v>
      </c>
      <c r="Y1787" s="36">
        <v>1.366942037280189</v>
      </c>
      <c r="Z1787" s="36" t="e">
        <v>#REF!</v>
      </c>
      <c r="AA1787" s="29" t="s">
        <v>820</v>
      </c>
      <c r="AB1787" s="31">
        <v>5.19</v>
      </c>
      <c r="AC1787" s="38">
        <v>406.0</v>
      </c>
    </row>
    <row r="1788" ht="14.25" customHeight="1">
      <c r="A1788" s="29" t="s">
        <v>450</v>
      </c>
      <c r="B1788" s="35">
        <v>146.0</v>
      </c>
      <c r="C1788" s="29" t="s">
        <v>608</v>
      </c>
      <c r="D1788" s="29" t="s">
        <v>935</v>
      </c>
      <c r="E1788" s="29">
        <v>35.0</v>
      </c>
      <c r="F1788" s="30" t="s">
        <v>936</v>
      </c>
      <c r="G1788" s="29" t="s">
        <v>626</v>
      </c>
      <c r="H1788" s="31">
        <v>16.74</v>
      </c>
      <c r="I1788" s="29" t="s">
        <v>612</v>
      </c>
      <c r="J1788" s="32" t="s">
        <v>642</v>
      </c>
      <c r="K1788" s="29" t="s">
        <v>698</v>
      </c>
      <c r="L1788" s="29" t="s">
        <v>1287</v>
      </c>
      <c r="M1788" s="36">
        <v>16.438</v>
      </c>
      <c r="N1788" s="36">
        <v>3.134</v>
      </c>
      <c r="O1788" s="34" t="s">
        <v>601</v>
      </c>
      <c r="P1788" s="32" t="s">
        <v>643</v>
      </c>
      <c r="Q1788" s="35">
        <v>5.0</v>
      </c>
      <c r="R1788" s="35">
        <v>12.0</v>
      </c>
      <c r="S1788" s="36">
        <v>3.8</v>
      </c>
      <c r="T1788" s="36">
        <v>6.5</v>
      </c>
      <c r="U1788" s="36" t="str">
        <f t="shared" ref="U1788:V1788" si="387">#REF!*SQRT(Q1788)</f>
        <v>#REF!</v>
      </c>
      <c r="V1788" s="36" t="str">
        <f t="shared" si="387"/>
        <v>#REF!</v>
      </c>
      <c r="W1788" s="35" t="s">
        <v>1356</v>
      </c>
      <c r="X1788" s="31">
        <v>8.3</v>
      </c>
      <c r="Y1788" s="36">
        <v>-0.5363598952598909</v>
      </c>
      <c r="Z1788" s="36" t="e">
        <v>#REF!</v>
      </c>
      <c r="AA1788" s="29" t="s">
        <v>820</v>
      </c>
      <c r="AB1788" s="31">
        <v>5.19</v>
      </c>
      <c r="AC1788" s="38">
        <v>1525.0</v>
      </c>
    </row>
    <row r="1789" ht="14.25" customHeight="1">
      <c r="A1789" s="29" t="s">
        <v>450</v>
      </c>
      <c r="B1789" s="35">
        <v>146.0</v>
      </c>
      <c r="C1789" s="29" t="s">
        <v>608</v>
      </c>
      <c r="D1789" s="43" t="s">
        <v>1233</v>
      </c>
      <c r="E1789" s="29">
        <v>41.0</v>
      </c>
      <c r="F1789" s="30" t="s">
        <v>1054</v>
      </c>
      <c r="G1789" s="29" t="s">
        <v>626</v>
      </c>
      <c r="H1789" s="31">
        <v>72.5</v>
      </c>
      <c r="I1789" s="29" t="s">
        <v>612</v>
      </c>
      <c r="J1789" s="32" t="s">
        <v>642</v>
      </c>
      <c r="K1789" s="29" t="s">
        <v>698</v>
      </c>
      <c r="L1789" s="29" t="s">
        <v>1287</v>
      </c>
      <c r="M1789" s="36">
        <v>16.271</v>
      </c>
      <c r="N1789" s="36">
        <v>2.844</v>
      </c>
      <c r="O1789" s="34" t="s">
        <v>601</v>
      </c>
      <c r="P1789" s="32" t="s">
        <v>643</v>
      </c>
      <c r="Q1789" s="35">
        <v>12.0</v>
      </c>
      <c r="R1789" s="35">
        <v>12.0</v>
      </c>
      <c r="S1789" s="36">
        <v>1.33</v>
      </c>
      <c r="T1789" s="36">
        <v>1.17</v>
      </c>
      <c r="U1789" s="36" t="str">
        <f t="shared" ref="U1789:V1789" si="388">#REF!*SQRT(Q1789)</f>
        <v>#REF!</v>
      </c>
      <c r="V1789" s="36" t="str">
        <f t="shared" si="388"/>
        <v>#REF!</v>
      </c>
      <c r="W1789" s="35" t="s">
        <v>1356</v>
      </c>
      <c r="X1789" s="31">
        <v>2.47</v>
      </c>
      <c r="Y1789" s="36">
        <v>0.1284021282626698</v>
      </c>
      <c r="Z1789" s="36" t="e">
        <v>#REF!</v>
      </c>
      <c r="AA1789" s="29" t="s">
        <v>820</v>
      </c>
      <c r="AB1789" s="31">
        <v>5.19</v>
      </c>
      <c r="AC1789" s="38">
        <v>620.67</v>
      </c>
    </row>
    <row r="1790" ht="14.25" customHeight="1">
      <c r="A1790" s="29" t="s">
        <v>450</v>
      </c>
      <c r="B1790" s="35">
        <v>146.0</v>
      </c>
      <c r="C1790" s="29" t="s">
        <v>608</v>
      </c>
      <c r="D1790" s="43" t="s">
        <v>1233</v>
      </c>
      <c r="E1790" s="29">
        <v>41.0</v>
      </c>
      <c r="F1790" s="30" t="s">
        <v>1054</v>
      </c>
      <c r="G1790" s="29" t="s">
        <v>626</v>
      </c>
      <c r="H1790" s="31">
        <v>72.5</v>
      </c>
      <c r="I1790" s="29" t="s">
        <v>612</v>
      </c>
      <c r="J1790" s="32" t="s">
        <v>642</v>
      </c>
      <c r="K1790" s="29" t="s">
        <v>698</v>
      </c>
      <c r="L1790" s="29" t="s">
        <v>1287</v>
      </c>
      <c r="M1790" s="36">
        <v>16.098</v>
      </c>
      <c r="N1790" s="36">
        <v>2.564</v>
      </c>
      <c r="O1790" s="34" t="s">
        <v>601</v>
      </c>
      <c r="P1790" s="32" t="s">
        <v>643</v>
      </c>
      <c r="Q1790" s="35">
        <v>2.0</v>
      </c>
      <c r="R1790" s="35">
        <v>12.0</v>
      </c>
      <c r="S1790" s="36">
        <v>3.5</v>
      </c>
      <c r="T1790" s="36">
        <v>1.17</v>
      </c>
      <c r="U1790" s="36" t="str">
        <f t="shared" ref="U1790:V1790" si="389">#REF!*SQRT(Q1790)</f>
        <v>#REF!</v>
      </c>
      <c r="V1790" s="36" t="str">
        <f t="shared" si="389"/>
        <v>#REF!</v>
      </c>
      <c r="W1790" s="35" t="s">
        <v>1356</v>
      </c>
      <c r="X1790" s="31">
        <v>5.0</v>
      </c>
      <c r="Y1790" s="36">
        <v>1.0958454609911406</v>
      </c>
      <c r="Z1790" s="36" t="e">
        <v>#REF!</v>
      </c>
      <c r="AA1790" s="29" t="s">
        <v>820</v>
      </c>
      <c r="AB1790" s="31">
        <v>5.19</v>
      </c>
      <c r="AC1790" s="38">
        <v>406.0</v>
      </c>
    </row>
    <row r="1791" ht="14.25" customHeight="1">
      <c r="A1791" s="29" t="s">
        <v>450</v>
      </c>
      <c r="B1791" s="35">
        <v>146.0</v>
      </c>
      <c r="C1791" s="29" t="s">
        <v>608</v>
      </c>
      <c r="D1791" s="43" t="s">
        <v>1233</v>
      </c>
      <c r="E1791" s="29">
        <v>41.0</v>
      </c>
      <c r="F1791" s="30" t="s">
        <v>1054</v>
      </c>
      <c r="G1791" s="29" t="s">
        <v>626</v>
      </c>
      <c r="H1791" s="31">
        <v>72.5</v>
      </c>
      <c r="I1791" s="29" t="s">
        <v>612</v>
      </c>
      <c r="J1791" s="32" t="s">
        <v>642</v>
      </c>
      <c r="K1791" s="29" t="s">
        <v>698</v>
      </c>
      <c r="L1791" s="29" t="s">
        <v>1287</v>
      </c>
      <c r="M1791" s="36">
        <v>16.438</v>
      </c>
      <c r="N1791" s="36">
        <v>3.134</v>
      </c>
      <c r="O1791" s="34" t="s">
        <v>601</v>
      </c>
      <c r="P1791" s="32" t="s">
        <v>643</v>
      </c>
      <c r="Q1791" s="35">
        <v>5.0</v>
      </c>
      <c r="R1791" s="35">
        <v>12.0</v>
      </c>
      <c r="S1791" s="36">
        <v>0.8</v>
      </c>
      <c r="T1791" s="36">
        <v>1.17</v>
      </c>
      <c r="U1791" s="36" t="str">
        <f t="shared" ref="U1791:V1791" si="390">#REF!*SQRT(Q1791)</f>
        <v>#REF!</v>
      </c>
      <c r="V1791" s="36" t="str">
        <f t="shared" si="390"/>
        <v>#REF!</v>
      </c>
      <c r="W1791" s="35" t="s">
        <v>1356</v>
      </c>
      <c r="X1791" s="31">
        <v>8.3</v>
      </c>
      <c r="Y1791" s="36">
        <v>-0.3797700493104875</v>
      </c>
      <c r="Z1791" s="36" t="e">
        <v>#REF!</v>
      </c>
      <c r="AA1791" s="29" t="s">
        <v>820</v>
      </c>
      <c r="AB1791" s="31">
        <v>5.19</v>
      </c>
      <c r="AC1791" s="38">
        <v>1525.0</v>
      </c>
    </row>
    <row r="1792" ht="14.25" customHeight="1">
      <c r="A1792" s="29" t="s">
        <v>450</v>
      </c>
      <c r="B1792" s="35">
        <v>146.0</v>
      </c>
      <c r="C1792" s="29" t="s">
        <v>608</v>
      </c>
      <c r="D1792" s="29" t="s">
        <v>941</v>
      </c>
      <c r="E1792" s="29">
        <v>48.0</v>
      </c>
      <c r="F1792" s="30" t="s">
        <v>942</v>
      </c>
      <c r="G1792" s="29" t="s">
        <v>611</v>
      </c>
      <c r="H1792" s="31">
        <v>5.8</v>
      </c>
      <c r="I1792" s="29" t="s">
        <v>597</v>
      </c>
      <c r="J1792" s="32" t="s">
        <v>642</v>
      </c>
      <c r="K1792" s="29" t="s">
        <v>698</v>
      </c>
      <c r="L1792" s="29" t="s">
        <v>1287</v>
      </c>
      <c r="M1792" s="36">
        <v>16.271</v>
      </c>
      <c r="N1792" s="36">
        <v>2.844</v>
      </c>
      <c r="O1792" s="34" t="s">
        <v>601</v>
      </c>
      <c r="P1792" s="32" t="s">
        <v>643</v>
      </c>
      <c r="Q1792" s="35">
        <v>12.0</v>
      </c>
      <c r="R1792" s="35">
        <v>12.0</v>
      </c>
      <c r="S1792" s="36">
        <v>3.26</v>
      </c>
      <c r="T1792" s="36">
        <v>0.75</v>
      </c>
      <c r="U1792" s="36" t="str">
        <f t="shared" ref="U1792:V1792" si="391">#REF!*SQRT(Q1792)</f>
        <v>#REF!</v>
      </c>
      <c r="V1792" s="36" t="str">
        <f t="shared" si="391"/>
        <v>#REF!</v>
      </c>
      <c r="W1792" s="35" t="s">
        <v>1356</v>
      </c>
      <c r="X1792" s="31">
        <v>2.47</v>
      </c>
      <c r="Y1792" s="36">
        <v>1.469468621422316</v>
      </c>
      <c r="Z1792" s="36" t="e">
        <v>#REF!</v>
      </c>
      <c r="AA1792" s="29" t="s">
        <v>820</v>
      </c>
      <c r="AB1792" s="31">
        <v>5.19</v>
      </c>
      <c r="AC1792" s="38">
        <v>620.67</v>
      </c>
    </row>
    <row r="1793" ht="14.25" customHeight="1">
      <c r="A1793" s="29" t="s">
        <v>450</v>
      </c>
      <c r="B1793" s="35">
        <v>146.0</v>
      </c>
      <c r="C1793" s="29" t="s">
        <v>608</v>
      </c>
      <c r="D1793" s="29" t="s">
        <v>941</v>
      </c>
      <c r="E1793" s="29">
        <v>48.0</v>
      </c>
      <c r="F1793" s="30" t="s">
        <v>942</v>
      </c>
      <c r="G1793" s="29" t="s">
        <v>611</v>
      </c>
      <c r="H1793" s="31">
        <v>5.8</v>
      </c>
      <c r="I1793" s="29" t="s">
        <v>597</v>
      </c>
      <c r="J1793" s="32" t="s">
        <v>642</v>
      </c>
      <c r="K1793" s="29" t="s">
        <v>698</v>
      </c>
      <c r="L1793" s="29" t="s">
        <v>1287</v>
      </c>
      <c r="M1793" s="36">
        <v>16.098</v>
      </c>
      <c r="N1793" s="36">
        <v>2.564</v>
      </c>
      <c r="O1793" s="34" t="s">
        <v>601</v>
      </c>
      <c r="P1793" s="32" t="s">
        <v>643</v>
      </c>
      <c r="Q1793" s="35">
        <v>2.0</v>
      </c>
      <c r="R1793" s="35">
        <v>12.0</v>
      </c>
      <c r="S1793" s="36">
        <v>2.6</v>
      </c>
      <c r="T1793" s="36">
        <v>0.75</v>
      </c>
      <c r="U1793" s="36" t="str">
        <f t="shared" ref="U1793:V1793" si="392">#REF!*SQRT(Q1793)</f>
        <v>#REF!</v>
      </c>
      <c r="V1793" s="36" t="str">
        <f t="shared" si="392"/>
        <v>#REF!</v>
      </c>
      <c r="W1793" s="35" t="s">
        <v>1356</v>
      </c>
      <c r="X1793" s="31">
        <v>5.0</v>
      </c>
      <c r="Y1793" s="36">
        <v>1.2432679371915452</v>
      </c>
      <c r="Z1793" s="36" t="e">
        <v>#REF!</v>
      </c>
      <c r="AA1793" s="29" t="s">
        <v>820</v>
      </c>
      <c r="AB1793" s="31">
        <v>5.19</v>
      </c>
      <c r="AC1793" s="38">
        <v>406.0</v>
      </c>
    </row>
    <row r="1794" ht="14.25" customHeight="1">
      <c r="A1794" s="29" t="s">
        <v>450</v>
      </c>
      <c r="B1794" s="35">
        <v>146.0</v>
      </c>
      <c r="C1794" s="29" t="s">
        <v>608</v>
      </c>
      <c r="D1794" s="29" t="s">
        <v>941</v>
      </c>
      <c r="E1794" s="29">
        <v>48.0</v>
      </c>
      <c r="F1794" s="30" t="s">
        <v>942</v>
      </c>
      <c r="G1794" s="29" t="s">
        <v>611</v>
      </c>
      <c r="H1794" s="31">
        <v>5.8</v>
      </c>
      <c r="I1794" s="29" t="s">
        <v>597</v>
      </c>
      <c r="J1794" s="32" t="s">
        <v>642</v>
      </c>
      <c r="K1794" s="29" t="s">
        <v>698</v>
      </c>
      <c r="L1794" s="29" t="s">
        <v>1287</v>
      </c>
      <c r="M1794" s="36">
        <v>16.438</v>
      </c>
      <c r="N1794" s="36">
        <v>3.134</v>
      </c>
      <c r="O1794" s="34" t="s">
        <v>601</v>
      </c>
      <c r="P1794" s="32" t="s">
        <v>643</v>
      </c>
      <c r="Q1794" s="35">
        <v>5.0</v>
      </c>
      <c r="R1794" s="35">
        <v>12.0</v>
      </c>
      <c r="S1794" s="36">
        <v>1.6</v>
      </c>
      <c r="T1794" s="36">
        <v>0.75</v>
      </c>
      <c r="U1794" s="36" t="str">
        <f t="shared" ref="U1794:V1794" si="393">#REF!*SQRT(Q1794)</f>
        <v>#REF!</v>
      </c>
      <c r="V1794" s="36" t="str">
        <f t="shared" si="393"/>
        <v>#REF!</v>
      </c>
      <c r="W1794" s="35" t="s">
        <v>1356</v>
      </c>
      <c r="X1794" s="31">
        <v>8.3</v>
      </c>
      <c r="Y1794" s="36">
        <v>0.7578066309177912</v>
      </c>
      <c r="Z1794" s="36" t="e">
        <v>#REF!</v>
      </c>
      <c r="AA1794" s="29" t="s">
        <v>820</v>
      </c>
      <c r="AB1794" s="31">
        <v>5.19</v>
      </c>
      <c r="AC1794" s="38">
        <v>1525.0</v>
      </c>
    </row>
    <row r="1795" ht="14.25" customHeight="1">
      <c r="A1795" s="29" t="s">
        <v>450</v>
      </c>
      <c r="B1795" s="35">
        <v>146.0</v>
      </c>
      <c r="C1795" s="29" t="s">
        <v>608</v>
      </c>
      <c r="D1795" s="29" t="s">
        <v>931</v>
      </c>
      <c r="E1795" s="29">
        <v>83.0</v>
      </c>
      <c r="F1795" s="30" t="s">
        <v>932</v>
      </c>
      <c r="G1795" s="29" t="s">
        <v>611</v>
      </c>
      <c r="H1795" s="31">
        <v>131.63</v>
      </c>
      <c r="I1795" s="29" t="s">
        <v>612</v>
      </c>
      <c r="J1795" s="32" t="s">
        <v>642</v>
      </c>
      <c r="K1795" s="29" t="s">
        <v>698</v>
      </c>
      <c r="L1795" s="29" t="s">
        <v>1287</v>
      </c>
      <c r="M1795" s="36">
        <v>16.271</v>
      </c>
      <c r="N1795" s="36">
        <v>2.844</v>
      </c>
      <c r="O1795" s="34" t="s">
        <v>601</v>
      </c>
      <c r="P1795" s="32" t="s">
        <v>643</v>
      </c>
      <c r="Q1795" s="35">
        <v>12.0</v>
      </c>
      <c r="R1795" s="35">
        <v>12.0</v>
      </c>
      <c r="S1795" s="36">
        <v>10.72</v>
      </c>
      <c r="T1795" s="36">
        <v>9.16</v>
      </c>
      <c r="U1795" s="36" t="str">
        <f t="shared" ref="U1795:V1795" si="394">#REF!*SQRT(Q1795)</f>
        <v>#REF!</v>
      </c>
      <c r="V1795" s="36" t="str">
        <f t="shared" si="394"/>
        <v>#REF!</v>
      </c>
      <c r="W1795" s="35" t="s">
        <v>1356</v>
      </c>
      <c r="X1795" s="31">
        <v>2.47</v>
      </c>
      <c r="Y1795" s="36">
        <v>0.1574854061205766</v>
      </c>
      <c r="Z1795" s="36" t="e">
        <v>#REF!</v>
      </c>
      <c r="AA1795" s="29" t="s">
        <v>820</v>
      </c>
      <c r="AB1795" s="31">
        <v>5.19</v>
      </c>
      <c r="AC1795" s="38">
        <v>620.67</v>
      </c>
    </row>
    <row r="1796" ht="14.25" customHeight="1">
      <c r="A1796" s="29" t="s">
        <v>450</v>
      </c>
      <c r="B1796" s="35">
        <v>146.0</v>
      </c>
      <c r="C1796" s="29" t="s">
        <v>608</v>
      </c>
      <c r="D1796" s="29" t="s">
        <v>931</v>
      </c>
      <c r="E1796" s="29">
        <v>83.0</v>
      </c>
      <c r="F1796" s="30" t="s">
        <v>932</v>
      </c>
      <c r="G1796" s="29" t="s">
        <v>611</v>
      </c>
      <c r="H1796" s="31">
        <v>131.63</v>
      </c>
      <c r="I1796" s="29" t="s">
        <v>612</v>
      </c>
      <c r="J1796" s="32" t="s">
        <v>642</v>
      </c>
      <c r="K1796" s="29" t="s">
        <v>698</v>
      </c>
      <c r="L1796" s="29" t="s">
        <v>1287</v>
      </c>
      <c r="M1796" s="36">
        <v>16.098</v>
      </c>
      <c r="N1796" s="36">
        <v>2.564</v>
      </c>
      <c r="O1796" s="34" t="s">
        <v>601</v>
      </c>
      <c r="P1796" s="32" t="s">
        <v>643</v>
      </c>
      <c r="Q1796" s="35">
        <v>2.0</v>
      </c>
      <c r="R1796" s="35">
        <v>12.0</v>
      </c>
      <c r="S1796" s="36">
        <v>7.0</v>
      </c>
      <c r="T1796" s="36">
        <v>9.16</v>
      </c>
      <c r="U1796" s="36" t="str">
        <f t="shared" ref="U1796:V1796" si="395">#REF!*SQRT(Q1796)</f>
        <v>#REF!</v>
      </c>
      <c r="V1796" s="36" t="str">
        <f t="shared" si="395"/>
        <v>#REF!</v>
      </c>
      <c r="W1796" s="35" t="s">
        <v>1356</v>
      </c>
      <c r="X1796" s="31">
        <v>5.0</v>
      </c>
      <c r="Y1796" s="36">
        <v>-0.26859847788002683</v>
      </c>
      <c r="Z1796" s="36" t="e">
        <v>#REF!</v>
      </c>
      <c r="AA1796" s="29" t="s">
        <v>820</v>
      </c>
      <c r="AB1796" s="31">
        <v>5.19</v>
      </c>
      <c r="AC1796" s="38">
        <v>406.0</v>
      </c>
    </row>
    <row r="1797" ht="14.25" customHeight="1">
      <c r="A1797" s="29" t="s">
        <v>450</v>
      </c>
      <c r="B1797" s="35">
        <v>146.0</v>
      </c>
      <c r="C1797" s="29" t="s">
        <v>608</v>
      </c>
      <c r="D1797" s="29" t="s">
        <v>931</v>
      </c>
      <c r="E1797" s="29">
        <v>83.0</v>
      </c>
      <c r="F1797" s="30" t="s">
        <v>932</v>
      </c>
      <c r="G1797" s="29" t="s">
        <v>611</v>
      </c>
      <c r="H1797" s="31">
        <v>131.63</v>
      </c>
      <c r="I1797" s="29" t="s">
        <v>612</v>
      </c>
      <c r="J1797" s="32" t="s">
        <v>642</v>
      </c>
      <c r="K1797" s="29" t="s">
        <v>698</v>
      </c>
      <c r="L1797" s="29" t="s">
        <v>1287</v>
      </c>
      <c r="M1797" s="36">
        <v>16.438</v>
      </c>
      <c r="N1797" s="36">
        <v>3.134</v>
      </c>
      <c r="O1797" s="34" t="s">
        <v>601</v>
      </c>
      <c r="P1797" s="32" t="s">
        <v>643</v>
      </c>
      <c r="Q1797" s="35">
        <v>5.0</v>
      </c>
      <c r="R1797" s="35">
        <v>12.0</v>
      </c>
      <c r="S1797" s="36">
        <v>1.0</v>
      </c>
      <c r="T1797" s="36">
        <v>9.16</v>
      </c>
      <c r="U1797" s="36" t="str">
        <f t="shared" ref="U1797:V1797" si="396">#REF!*SQRT(Q1797)</f>
        <v>#REF!</v>
      </c>
      <c r="V1797" s="36" t="str">
        <f t="shared" si="396"/>
        <v>#REF!</v>
      </c>
      <c r="W1797" s="35" t="s">
        <v>1356</v>
      </c>
      <c r="X1797" s="31">
        <v>8.3</v>
      </c>
      <c r="Y1797" s="36">
        <v>-2.2124857057018033</v>
      </c>
      <c r="Z1797" s="36" t="e">
        <v>#REF!</v>
      </c>
      <c r="AA1797" s="29" t="s">
        <v>820</v>
      </c>
      <c r="AB1797" s="31">
        <v>5.19</v>
      </c>
      <c r="AC1797" s="38">
        <v>1525.0</v>
      </c>
    </row>
    <row r="1798" ht="14.25" customHeight="1">
      <c r="A1798" s="29" t="s">
        <v>450</v>
      </c>
      <c r="B1798" s="35">
        <v>146.0</v>
      </c>
      <c r="C1798" s="29" t="s">
        <v>608</v>
      </c>
      <c r="D1798" s="35" t="s">
        <v>1357</v>
      </c>
      <c r="E1798" s="29">
        <v>95.0</v>
      </c>
      <c r="F1798" s="39" t="s">
        <v>946</v>
      </c>
      <c r="G1798" s="29" t="s">
        <v>611</v>
      </c>
      <c r="H1798" s="31">
        <v>7.69</v>
      </c>
      <c r="I1798" s="29" t="s">
        <v>616</v>
      </c>
      <c r="J1798" s="32" t="s">
        <v>642</v>
      </c>
      <c r="K1798" s="29" t="s">
        <v>698</v>
      </c>
      <c r="L1798" s="29" t="s">
        <v>1287</v>
      </c>
      <c r="M1798" s="36">
        <v>16.271</v>
      </c>
      <c r="N1798" s="36">
        <v>2.844</v>
      </c>
      <c r="O1798" s="34" t="s">
        <v>601</v>
      </c>
      <c r="P1798" s="32" t="s">
        <v>643</v>
      </c>
      <c r="Q1798" s="35">
        <v>12.0</v>
      </c>
      <c r="R1798" s="35">
        <v>12.0</v>
      </c>
      <c r="S1798" s="36">
        <v>1.17</v>
      </c>
      <c r="T1798" s="36">
        <v>0.67</v>
      </c>
      <c r="U1798" s="36" t="str">
        <f t="shared" ref="U1798:V1798" si="397">#REF!*SQRT(Q1798)</f>
        <v>#REF!</v>
      </c>
      <c r="V1798" s="36" t="str">
        <f t="shared" si="397"/>
        <v>#REF!</v>
      </c>
      <c r="W1798" s="35" t="s">
        <v>1356</v>
      </c>
      <c r="X1798" s="31">
        <v>2.47</v>
      </c>
      <c r="Y1798" s="36">
        <v>0.5576290469017595</v>
      </c>
      <c r="Z1798" s="36" t="e">
        <v>#REF!</v>
      </c>
      <c r="AA1798" s="29" t="s">
        <v>820</v>
      </c>
      <c r="AB1798" s="31">
        <v>5.19</v>
      </c>
      <c r="AC1798" s="38">
        <v>620.67</v>
      </c>
    </row>
    <row r="1799" ht="14.25" customHeight="1">
      <c r="A1799" s="29" t="s">
        <v>450</v>
      </c>
      <c r="B1799" s="35">
        <v>146.0</v>
      </c>
      <c r="C1799" s="29" t="s">
        <v>608</v>
      </c>
      <c r="D1799" s="35" t="s">
        <v>1357</v>
      </c>
      <c r="E1799" s="29">
        <v>95.0</v>
      </c>
      <c r="F1799" s="39" t="s">
        <v>946</v>
      </c>
      <c r="G1799" s="29" t="s">
        <v>611</v>
      </c>
      <c r="H1799" s="31">
        <v>7.69</v>
      </c>
      <c r="I1799" s="29" t="s">
        <v>616</v>
      </c>
      <c r="J1799" s="32" t="s">
        <v>642</v>
      </c>
      <c r="K1799" s="29" t="s">
        <v>698</v>
      </c>
      <c r="L1799" s="29" t="s">
        <v>1287</v>
      </c>
      <c r="M1799" s="36">
        <v>16.098</v>
      </c>
      <c r="N1799" s="36">
        <v>2.564</v>
      </c>
      <c r="O1799" s="34" t="s">
        <v>601</v>
      </c>
      <c r="P1799" s="32" t="s">
        <v>643</v>
      </c>
      <c r="Q1799" s="35">
        <v>2.0</v>
      </c>
      <c r="R1799" s="35">
        <v>12.0</v>
      </c>
      <c r="S1799" s="36">
        <v>1.0</v>
      </c>
      <c r="T1799" s="36">
        <v>0.67</v>
      </c>
      <c r="U1799" s="36" t="str">
        <f t="shared" ref="U1799:V1799" si="398">#REF!*SQRT(Q1799)</f>
        <v>#REF!</v>
      </c>
      <c r="V1799" s="36" t="str">
        <f t="shared" si="398"/>
        <v>#REF!</v>
      </c>
      <c r="W1799" s="35" t="s">
        <v>1356</v>
      </c>
      <c r="X1799" s="31">
        <v>5.0</v>
      </c>
      <c r="Y1799" s="36">
        <v>0.4006504102759269</v>
      </c>
      <c r="Z1799" s="36" t="e">
        <v>#REF!</v>
      </c>
      <c r="AA1799" s="29" t="s">
        <v>820</v>
      </c>
      <c r="AB1799" s="31">
        <v>5.19</v>
      </c>
      <c r="AC1799" s="38">
        <v>406.0</v>
      </c>
    </row>
    <row r="1800" ht="14.25" customHeight="1">
      <c r="A1800" s="29" t="s">
        <v>450</v>
      </c>
      <c r="B1800" s="35">
        <v>146.0</v>
      </c>
      <c r="C1800" s="29" t="s">
        <v>608</v>
      </c>
      <c r="D1800" s="35" t="s">
        <v>1357</v>
      </c>
      <c r="E1800" s="29">
        <v>95.0</v>
      </c>
      <c r="F1800" s="39" t="s">
        <v>946</v>
      </c>
      <c r="G1800" s="29" t="s">
        <v>611</v>
      </c>
      <c r="H1800" s="31">
        <v>7.69</v>
      </c>
      <c r="I1800" s="29" t="s">
        <v>616</v>
      </c>
      <c r="J1800" s="32" t="s">
        <v>642</v>
      </c>
      <c r="K1800" s="29" t="s">
        <v>698</v>
      </c>
      <c r="L1800" s="29" t="s">
        <v>1287</v>
      </c>
      <c r="M1800" s="36">
        <v>16.438</v>
      </c>
      <c r="N1800" s="36">
        <v>3.134</v>
      </c>
      <c r="O1800" s="34" t="s">
        <v>601</v>
      </c>
      <c r="P1800" s="32" t="s">
        <v>643</v>
      </c>
      <c r="Q1800" s="35">
        <v>5.0</v>
      </c>
      <c r="R1800" s="35">
        <v>12.0</v>
      </c>
      <c r="S1800" s="36">
        <v>0.4</v>
      </c>
      <c r="T1800" s="36">
        <v>0.67</v>
      </c>
      <c r="U1800" s="36" t="str">
        <f t="shared" ref="U1800:V1800" si="399">#REF!*SQRT(Q1800)</f>
        <v>#REF!</v>
      </c>
      <c r="V1800" s="36" t="str">
        <f t="shared" si="399"/>
        <v>#REF!</v>
      </c>
      <c r="W1800" s="35" t="s">
        <v>1356</v>
      </c>
      <c r="X1800" s="31">
        <v>8.3</v>
      </c>
      <c r="Y1800" s="36">
        <v>-0.5153811120826268</v>
      </c>
      <c r="Z1800" s="36" t="e">
        <v>#REF!</v>
      </c>
      <c r="AA1800" s="29" t="s">
        <v>820</v>
      </c>
      <c r="AB1800" s="31">
        <v>5.19</v>
      </c>
      <c r="AC1800" s="38">
        <v>1525.0</v>
      </c>
    </row>
    <row r="1801" ht="14.25" customHeight="1">
      <c r="A1801" s="29" t="s">
        <v>450</v>
      </c>
      <c r="B1801" s="35">
        <v>146.0</v>
      </c>
      <c r="C1801" s="29" t="s">
        <v>608</v>
      </c>
      <c r="D1801" s="29" t="s">
        <v>751</v>
      </c>
      <c r="E1801" s="29">
        <v>97.0</v>
      </c>
      <c r="F1801" s="30" t="s">
        <v>752</v>
      </c>
      <c r="G1801" s="29" t="s">
        <v>753</v>
      </c>
      <c r="H1801" s="31">
        <v>3940.03</v>
      </c>
      <c r="I1801" s="29" t="s">
        <v>612</v>
      </c>
      <c r="J1801" s="32" t="s">
        <v>642</v>
      </c>
      <c r="K1801" s="29" t="s">
        <v>698</v>
      </c>
      <c r="L1801" s="29" t="s">
        <v>1287</v>
      </c>
      <c r="M1801" s="36">
        <v>16.271</v>
      </c>
      <c r="N1801" s="36">
        <v>2.844</v>
      </c>
      <c r="O1801" s="34" t="s">
        <v>601</v>
      </c>
      <c r="P1801" s="32" t="s">
        <v>643</v>
      </c>
      <c r="Q1801" s="35">
        <v>12.0</v>
      </c>
      <c r="R1801" s="35">
        <v>12.0</v>
      </c>
      <c r="S1801" s="36">
        <v>0.583</v>
      </c>
      <c r="T1801" s="36">
        <v>22.5</v>
      </c>
      <c r="U1801" s="36" t="str">
        <f t="shared" ref="U1801:V1801" si="400">#REF!*SQRT(Q1801)</f>
        <v>#REF!</v>
      </c>
      <c r="V1801" s="36" t="str">
        <f t="shared" si="400"/>
        <v>#REF!</v>
      </c>
      <c r="W1801" s="35" t="s">
        <v>1356</v>
      </c>
      <c r="X1801" s="31">
        <v>2.47</v>
      </c>
      <c r="Y1801" s="36">
        <v>-3.6431756078370596</v>
      </c>
      <c r="Z1801" s="36" t="e">
        <v>#REF!</v>
      </c>
      <c r="AA1801" s="29" t="s">
        <v>820</v>
      </c>
      <c r="AB1801" s="31">
        <v>5.19</v>
      </c>
      <c r="AC1801" s="38">
        <v>620.67</v>
      </c>
    </row>
    <row r="1802" ht="14.25" customHeight="1">
      <c r="A1802" s="29" t="s">
        <v>450</v>
      </c>
      <c r="B1802" s="35">
        <v>146.0</v>
      </c>
      <c r="C1802" s="29" t="s">
        <v>608</v>
      </c>
      <c r="D1802" s="29" t="s">
        <v>1358</v>
      </c>
      <c r="E1802" s="29">
        <v>97.0</v>
      </c>
      <c r="F1802" s="30" t="s">
        <v>752</v>
      </c>
      <c r="G1802" s="29" t="s">
        <v>753</v>
      </c>
      <c r="H1802" s="31">
        <v>3940.03</v>
      </c>
      <c r="I1802" s="29" t="s">
        <v>612</v>
      </c>
      <c r="J1802" s="32" t="s">
        <v>642</v>
      </c>
      <c r="K1802" s="29" t="s">
        <v>698</v>
      </c>
      <c r="L1802" s="29" t="s">
        <v>1287</v>
      </c>
      <c r="M1802" s="36">
        <v>16.098</v>
      </c>
      <c r="N1802" s="36">
        <v>2.564</v>
      </c>
      <c r="O1802" s="34" t="s">
        <v>601</v>
      </c>
      <c r="P1802" s="32" t="s">
        <v>643</v>
      </c>
      <c r="Q1802" s="35">
        <v>2.0</v>
      </c>
      <c r="R1802" s="35">
        <v>12.0</v>
      </c>
      <c r="S1802" s="36">
        <v>10.5</v>
      </c>
      <c r="T1802" s="36">
        <v>22.5</v>
      </c>
      <c r="U1802" s="36" t="str">
        <f t="shared" ref="U1802:V1802" si="401">#REF!*SQRT(Q1802)</f>
        <v>#REF!</v>
      </c>
      <c r="V1802" s="36" t="str">
        <f t="shared" si="401"/>
        <v>#REF!</v>
      </c>
      <c r="W1802" s="35" t="s">
        <v>1356</v>
      </c>
      <c r="X1802" s="31">
        <v>5.0</v>
      </c>
      <c r="Y1802" s="36">
        <v>-0.761587352093624</v>
      </c>
      <c r="Z1802" s="36" t="e">
        <v>#REF!</v>
      </c>
      <c r="AA1802" s="29" t="s">
        <v>820</v>
      </c>
      <c r="AB1802" s="31">
        <v>5.19</v>
      </c>
      <c r="AC1802" s="38">
        <v>406.0</v>
      </c>
    </row>
    <row r="1803" ht="14.25" customHeight="1">
      <c r="A1803" s="29" t="s">
        <v>450</v>
      </c>
      <c r="B1803" s="35">
        <v>146.0</v>
      </c>
      <c r="C1803" s="29" t="s">
        <v>608</v>
      </c>
      <c r="D1803" s="29" t="s">
        <v>751</v>
      </c>
      <c r="E1803" s="29">
        <v>97.0</v>
      </c>
      <c r="F1803" s="30" t="s">
        <v>752</v>
      </c>
      <c r="G1803" s="29" t="s">
        <v>753</v>
      </c>
      <c r="H1803" s="31">
        <v>3940.03</v>
      </c>
      <c r="I1803" s="29" t="s">
        <v>612</v>
      </c>
      <c r="J1803" s="32" t="s">
        <v>642</v>
      </c>
      <c r="K1803" s="29" t="s">
        <v>698</v>
      </c>
      <c r="L1803" s="29" t="s">
        <v>1287</v>
      </c>
      <c r="M1803" s="36">
        <v>16.438</v>
      </c>
      <c r="N1803" s="36">
        <v>3.134</v>
      </c>
      <c r="O1803" s="34" t="s">
        <v>601</v>
      </c>
      <c r="P1803" s="32" t="s">
        <v>643</v>
      </c>
      <c r="Q1803" s="35">
        <v>5.0</v>
      </c>
      <c r="R1803" s="35">
        <v>12.0</v>
      </c>
      <c r="S1803" s="36">
        <v>0.6</v>
      </c>
      <c r="T1803" s="36">
        <v>22.5</v>
      </c>
      <c r="U1803" s="36" t="str">
        <f t="shared" ref="U1803:V1803" si="402">#REF!*SQRT(Q1803)</f>
        <v>#REF!</v>
      </c>
      <c r="V1803" s="36" t="str">
        <f t="shared" si="402"/>
        <v>#REF!</v>
      </c>
      <c r="W1803" s="35" t="s">
        <v>1356</v>
      </c>
      <c r="X1803" s="31">
        <v>8.3</v>
      </c>
      <c r="Y1803" s="36">
        <v>-3.614712512742129</v>
      </c>
      <c r="Z1803" s="36" t="e">
        <v>#REF!</v>
      </c>
      <c r="AA1803" s="29" t="s">
        <v>820</v>
      </c>
      <c r="AB1803" s="31">
        <v>5.19</v>
      </c>
      <c r="AC1803" s="38">
        <v>1525.0</v>
      </c>
    </row>
    <row r="1804" ht="14.25" customHeight="1">
      <c r="A1804" s="29" t="s">
        <v>450</v>
      </c>
      <c r="B1804" s="35">
        <v>146.0</v>
      </c>
      <c r="C1804" s="29" t="s">
        <v>608</v>
      </c>
      <c r="D1804" s="35" t="s">
        <v>947</v>
      </c>
      <c r="E1804" s="29">
        <v>121.0</v>
      </c>
      <c r="F1804" s="30" t="s">
        <v>948</v>
      </c>
      <c r="G1804" s="29" t="s">
        <v>611</v>
      </c>
      <c r="H1804" s="31">
        <v>42.5</v>
      </c>
      <c r="I1804" s="29" t="s">
        <v>597</v>
      </c>
      <c r="J1804" s="32" t="s">
        <v>642</v>
      </c>
      <c r="K1804" s="29" t="s">
        <v>698</v>
      </c>
      <c r="L1804" s="29" t="s">
        <v>1287</v>
      </c>
      <c r="M1804" s="36">
        <v>16.271</v>
      </c>
      <c r="N1804" s="36">
        <v>2.844</v>
      </c>
      <c r="O1804" s="34" t="s">
        <v>601</v>
      </c>
      <c r="P1804" s="32" t="s">
        <v>643</v>
      </c>
      <c r="Q1804" s="35">
        <v>12.0</v>
      </c>
      <c r="R1804" s="35">
        <v>12.0</v>
      </c>
      <c r="S1804" s="36">
        <v>0.67</v>
      </c>
      <c r="T1804" s="36">
        <v>1.5</v>
      </c>
      <c r="U1804" s="36" t="str">
        <f t="shared" ref="U1804:V1804" si="403">#REF!*SQRT(Q1804)</f>
        <v>#REF!</v>
      </c>
      <c r="V1804" s="36" t="str">
        <f t="shared" si="403"/>
        <v>#REF!</v>
      </c>
      <c r="W1804" s="35" t="s">
        <v>1356</v>
      </c>
      <c r="X1804" s="31">
        <v>2.47</v>
      </c>
      <c r="Y1804" s="36">
        <v>-0.8053652341367494</v>
      </c>
      <c r="Z1804" s="36" t="e">
        <v>#REF!</v>
      </c>
      <c r="AA1804" s="29" t="s">
        <v>820</v>
      </c>
      <c r="AB1804" s="31">
        <v>5.19</v>
      </c>
      <c r="AC1804" s="38">
        <v>620.67</v>
      </c>
    </row>
    <row r="1805" ht="14.25" customHeight="1">
      <c r="A1805" s="29" t="s">
        <v>450</v>
      </c>
      <c r="B1805" s="35">
        <v>146.0</v>
      </c>
      <c r="C1805" s="29" t="s">
        <v>608</v>
      </c>
      <c r="D1805" s="35" t="s">
        <v>947</v>
      </c>
      <c r="E1805" s="29">
        <v>121.0</v>
      </c>
      <c r="F1805" s="30" t="s">
        <v>948</v>
      </c>
      <c r="G1805" s="29" t="s">
        <v>611</v>
      </c>
      <c r="H1805" s="31">
        <v>42.5</v>
      </c>
      <c r="I1805" s="29" t="s">
        <v>597</v>
      </c>
      <c r="J1805" s="32" t="s">
        <v>642</v>
      </c>
      <c r="K1805" s="29" t="s">
        <v>698</v>
      </c>
      <c r="L1805" s="29" t="s">
        <v>1287</v>
      </c>
      <c r="M1805" s="36">
        <v>16.098</v>
      </c>
      <c r="N1805" s="36">
        <v>2.564</v>
      </c>
      <c r="O1805" s="34" t="s">
        <v>601</v>
      </c>
      <c r="P1805" s="32" t="s">
        <v>643</v>
      </c>
      <c r="Q1805" s="35">
        <v>2.0</v>
      </c>
      <c r="R1805" s="35">
        <v>12.0</v>
      </c>
      <c r="S1805" s="36">
        <v>5.5</v>
      </c>
      <c r="T1805" s="36">
        <v>1.5</v>
      </c>
      <c r="U1805" s="36" t="str">
        <f t="shared" ref="U1805:V1805" si="404">#REF!*SQRT(Q1805)</f>
        <v>#REF!</v>
      </c>
      <c r="V1805" s="36" t="str">
        <f t="shared" si="404"/>
        <v>#REF!</v>
      </c>
      <c r="W1805" s="35" t="s">
        <v>1356</v>
      </c>
      <c r="X1805" s="31">
        <v>5.0</v>
      </c>
      <c r="Y1805" s="36">
        <v>1.299353344728355</v>
      </c>
      <c r="Z1805" s="36" t="e">
        <v>#REF!</v>
      </c>
      <c r="AA1805" s="29" t="s">
        <v>820</v>
      </c>
      <c r="AB1805" s="31">
        <v>5.19</v>
      </c>
      <c r="AC1805" s="38">
        <v>406.0</v>
      </c>
    </row>
    <row r="1806" ht="14.25" customHeight="1">
      <c r="A1806" s="29" t="s">
        <v>450</v>
      </c>
      <c r="B1806" s="35">
        <v>146.0</v>
      </c>
      <c r="C1806" s="29" t="s">
        <v>608</v>
      </c>
      <c r="D1806" s="35" t="s">
        <v>947</v>
      </c>
      <c r="E1806" s="29">
        <v>121.0</v>
      </c>
      <c r="F1806" s="30" t="s">
        <v>948</v>
      </c>
      <c r="G1806" s="29" t="s">
        <v>611</v>
      </c>
      <c r="H1806" s="31">
        <v>42.5</v>
      </c>
      <c r="I1806" s="29" t="s">
        <v>597</v>
      </c>
      <c r="J1806" s="32" t="s">
        <v>642</v>
      </c>
      <c r="K1806" s="29" t="s">
        <v>698</v>
      </c>
      <c r="L1806" s="29" t="s">
        <v>1287</v>
      </c>
      <c r="M1806" s="36">
        <v>16.438</v>
      </c>
      <c r="N1806" s="36">
        <v>3.134</v>
      </c>
      <c r="O1806" s="34" t="s">
        <v>601</v>
      </c>
      <c r="P1806" s="32" t="s">
        <v>643</v>
      </c>
      <c r="Q1806" s="35">
        <v>5.0</v>
      </c>
      <c r="R1806" s="35">
        <v>12.0</v>
      </c>
      <c r="S1806" s="36">
        <v>1.2</v>
      </c>
      <c r="T1806" s="36">
        <v>1.5</v>
      </c>
      <c r="U1806" s="36" t="str">
        <f t="shared" ref="U1806:V1806" si="405">#REF!*SQRT(Q1806)</f>
        <v>#REF!</v>
      </c>
      <c r="V1806" s="36" t="str">
        <f t="shared" si="405"/>
        <v>#REF!</v>
      </c>
      <c r="W1806" s="35" t="s">
        <v>1356</v>
      </c>
      <c r="X1806" s="31">
        <v>8.3</v>
      </c>
      <c r="Y1806" s="36">
        <v>-0.2228211058853044</v>
      </c>
      <c r="Z1806" s="36" t="e">
        <v>#REF!</v>
      </c>
      <c r="AA1806" s="29" t="s">
        <v>820</v>
      </c>
      <c r="AB1806" s="31">
        <v>5.19</v>
      </c>
      <c r="AC1806" s="38">
        <v>1525.0</v>
      </c>
    </row>
    <row r="1807" ht="14.25" customHeight="1">
      <c r="A1807" s="29" t="s">
        <v>450</v>
      </c>
      <c r="B1807" s="35">
        <v>146.0</v>
      </c>
      <c r="C1807" s="29" t="s">
        <v>608</v>
      </c>
      <c r="D1807" s="35" t="s">
        <v>781</v>
      </c>
      <c r="E1807" s="29">
        <v>136.0</v>
      </c>
      <c r="F1807" s="30" t="s">
        <v>782</v>
      </c>
      <c r="G1807" s="29" t="s">
        <v>626</v>
      </c>
      <c r="H1807" s="31">
        <v>4.9</v>
      </c>
      <c r="I1807" s="29" t="s">
        <v>597</v>
      </c>
      <c r="J1807" s="32" t="s">
        <v>642</v>
      </c>
      <c r="K1807" s="29" t="s">
        <v>698</v>
      </c>
      <c r="L1807" s="29" t="s">
        <v>1287</v>
      </c>
      <c r="M1807" s="36">
        <v>16.271</v>
      </c>
      <c r="N1807" s="36">
        <v>2.844</v>
      </c>
      <c r="O1807" s="34" t="s">
        <v>601</v>
      </c>
      <c r="P1807" s="32" t="s">
        <v>643</v>
      </c>
      <c r="Q1807" s="35">
        <v>12.0</v>
      </c>
      <c r="R1807" s="35">
        <v>12.0</v>
      </c>
      <c r="S1807" s="36">
        <v>7.8</v>
      </c>
      <c r="T1807" s="36">
        <v>5.9</v>
      </c>
      <c r="U1807" s="36" t="str">
        <f t="shared" ref="U1807:V1807" si="406">#REF!*SQRT(Q1807)</f>
        <v>#REF!</v>
      </c>
      <c r="V1807" s="36" t="str">
        <f t="shared" si="406"/>
        <v>#REF!</v>
      </c>
      <c r="W1807" s="35" t="s">
        <v>1356</v>
      </c>
      <c r="X1807" s="31">
        <v>2.47</v>
      </c>
      <c r="Y1807" s="36">
        <v>0.27936651602907775</v>
      </c>
      <c r="Z1807" s="36" t="e">
        <v>#REF!</v>
      </c>
      <c r="AA1807" s="29" t="s">
        <v>820</v>
      </c>
      <c r="AB1807" s="31">
        <v>5.19</v>
      </c>
      <c r="AC1807" s="38">
        <v>620.67</v>
      </c>
    </row>
    <row r="1808" ht="14.25" customHeight="1">
      <c r="A1808" s="29" t="s">
        <v>450</v>
      </c>
      <c r="B1808" s="35">
        <v>146.0</v>
      </c>
      <c r="C1808" s="29" t="s">
        <v>608</v>
      </c>
      <c r="D1808" s="35" t="s">
        <v>781</v>
      </c>
      <c r="E1808" s="29">
        <v>136.0</v>
      </c>
      <c r="F1808" s="30" t="s">
        <v>782</v>
      </c>
      <c r="G1808" s="29" t="s">
        <v>626</v>
      </c>
      <c r="H1808" s="31">
        <v>4.9</v>
      </c>
      <c r="I1808" s="29" t="s">
        <v>597</v>
      </c>
      <c r="J1808" s="32" t="s">
        <v>642</v>
      </c>
      <c r="K1808" s="29" t="s">
        <v>698</v>
      </c>
      <c r="L1808" s="29" t="s">
        <v>1287</v>
      </c>
      <c r="M1808" s="36">
        <v>16.098</v>
      </c>
      <c r="N1808" s="36">
        <v>2.564</v>
      </c>
      <c r="O1808" s="34" t="s">
        <v>601</v>
      </c>
      <c r="P1808" s="32" t="s">
        <v>643</v>
      </c>
      <c r="Q1808" s="35">
        <v>2.0</v>
      </c>
      <c r="R1808" s="35">
        <v>12.0</v>
      </c>
      <c r="S1808" s="36">
        <v>18.0</v>
      </c>
      <c r="T1808" s="36">
        <v>5.9</v>
      </c>
      <c r="U1808" s="36" t="str">
        <f t="shared" ref="U1808:V1808" si="407">#REF!*SQRT(Q1808)</f>
        <v>#REF!</v>
      </c>
      <c r="V1808" s="36" t="str">
        <f t="shared" si="407"/>
        <v>#REF!</v>
      </c>
      <c r="W1808" s="35" t="s">
        <v>1356</v>
      </c>
      <c r="X1808" s="31">
        <v>5.0</v>
      </c>
      <c r="Y1808" s="36">
        <v>1.1155039693991278</v>
      </c>
      <c r="Z1808" s="36" t="e">
        <v>#REF!</v>
      </c>
      <c r="AA1808" s="29" t="s">
        <v>820</v>
      </c>
      <c r="AB1808" s="31">
        <v>5.19</v>
      </c>
      <c r="AC1808" s="38">
        <v>406.0</v>
      </c>
    </row>
    <row r="1809" ht="14.25" customHeight="1">
      <c r="A1809" s="29" t="s">
        <v>450</v>
      </c>
      <c r="B1809" s="35">
        <v>146.0</v>
      </c>
      <c r="C1809" s="29" t="s">
        <v>608</v>
      </c>
      <c r="D1809" s="35" t="s">
        <v>781</v>
      </c>
      <c r="E1809" s="29">
        <v>136.0</v>
      </c>
      <c r="F1809" s="30" t="s">
        <v>782</v>
      </c>
      <c r="G1809" s="29" t="s">
        <v>626</v>
      </c>
      <c r="H1809" s="31">
        <v>4.9</v>
      </c>
      <c r="I1809" s="29" t="s">
        <v>597</v>
      </c>
      <c r="J1809" s="32" t="s">
        <v>642</v>
      </c>
      <c r="K1809" s="29" t="s">
        <v>698</v>
      </c>
      <c r="L1809" s="29" t="s">
        <v>1287</v>
      </c>
      <c r="M1809" s="36">
        <v>16.438</v>
      </c>
      <c r="N1809" s="36">
        <v>3.134</v>
      </c>
      <c r="O1809" s="34" t="s">
        <v>601</v>
      </c>
      <c r="P1809" s="32" t="s">
        <v>643</v>
      </c>
      <c r="Q1809" s="35">
        <v>5.0</v>
      </c>
      <c r="R1809" s="35">
        <v>12.0</v>
      </c>
      <c r="S1809" s="36">
        <v>6.4</v>
      </c>
      <c r="T1809" s="36">
        <v>5.9</v>
      </c>
      <c r="U1809" s="36" t="str">
        <f t="shared" ref="U1809:V1809" si="408">#REF!*SQRT(Q1809)</f>
        <v>#REF!</v>
      </c>
      <c r="V1809" s="36" t="str">
        <f t="shared" si="408"/>
        <v>#REF!</v>
      </c>
      <c r="W1809" s="35" t="s">
        <v>1356</v>
      </c>
      <c r="X1809" s="31">
        <v>8.3</v>
      </c>
      <c r="Y1809" s="36">
        <v>0.08158345302132941</v>
      </c>
      <c r="Z1809" s="36" t="e">
        <v>#REF!</v>
      </c>
      <c r="AA1809" s="29" t="s">
        <v>820</v>
      </c>
      <c r="AB1809" s="31">
        <v>5.19</v>
      </c>
      <c r="AC1809" s="38">
        <v>1525.0</v>
      </c>
    </row>
    <row r="1810" ht="14.25" customHeight="1">
      <c r="A1810" s="29" t="s">
        <v>450</v>
      </c>
      <c r="B1810" s="35">
        <v>146.0</v>
      </c>
      <c r="C1810" s="29" t="s">
        <v>608</v>
      </c>
      <c r="D1810" s="35" t="s">
        <v>1359</v>
      </c>
      <c r="E1810" s="35">
        <v>324.0</v>
      </c>
      <c r="F1810" s="30" t="s">
        <v>1360</v>
      </c>
      <c r="G1810" s="29" t="s">
        <v>626</v>
      </c>
      <c r="H1810" s="31">
        <v>329.00311</v>
      </c>
      <c r="I1810" s="35" t="s">
        <v>612</v>
      </c>
      <c r="J1810" s="32" t="s">
        <v>642</v>
      </c>
      <c r="K1810" s="29" t="s">
        <v>698</v>
      </c>
      <c r="L1810" s="29" t="s">
        <v>1287</v>
      </c>
      <c r="M1810" s="36">
        <v>16.271</v>
      </c>
      <c r="N1810" s="36">
        <v>2.844</v>
      </c>
      <c r="O1810" s="34" t="s">
        <v>601</v>
      </c>
      <c r="P1810" s="32" t="s">
        <v>643</v>
      </c>
      <c r="Q1810" s="35">
        <v>12.0</v>
      </c>
      <c r="R1810" s="35">
        <v>12.0</v>
      </c>
      <c r="S1810" s="36">
        <v>0.75</v>
      </c>
      <c r="T1810" s="36">
        <v>1.0</v>
      </c>
      <c r="U1810" s="36" t="str">
        <f t="shared" ref="U1810:V1810" si="409">#REF!*SQRT(Q1810)</f>
        <v>#REF!</v>
      </c>
      <c r="V1810" s="36" t="str">
        <f t="shared" si="409"/>
        <v>#REF!</v>
      </c>
      <c r="W1810" s="35" t="s">
        <v>1356</v>
      </c>
      <c r="X1810" s="31">
        <v>2.47</v>
      </c>
      <c r="Y1810" s="36">
        <v>-0.2873381343572468</v>
      </c>
      <c r="Z1810" s="36" t="e">
        <v>#REF!</v>
      </c>
      <c r="AA1810" s="29" t="s">
        <v>820</v>
      </c>
      <c r="AB1810" s="31">
        <v>5.19</v>
      </c>
      <c r="AC1810" s="38">
        <v>620.67</v>
      </c>
    </row>
    <row r="1811" ht="14.25" customHeight="1">
      <c r="A1811" s="29" t="s">
        <v>450</v>
      </c>
      <c r="B1811" s="35">
        <v>146.0</v>
      </c>
      <c r="C1811" s="29" t="s">
        <v>608</v>
      </c>
      <c r="D1811" s="35" t="s">
        <v>1359</v>
      </c>
      <c r="E1811" s="35">
        <v>324.0</v>
      </c>
      <c r="F1811" s="30" t="s">
        <v>1360</v>
      </c>
      <c r="G1811" s="29" t="s">
        <v>626</v>
      </c>
      <c r="H1811" s="31">
        <v>329.00311</v>
      </c>
      <c r="I1811" s="35" t="s">
        <v>612</v>
      </c>
      <c r="J1811" s="32" t="s">
        <v>642</v>
      </c>
      <c r="K1811" s="29" t="s">
        <v>698</v>
      </c>
      <c r="L1811" s="29" t="s">
        <v>1287</v>
      </c>
      <c r="M1811" s="36">
        <v>16.098</v>
      </c>
      <c r="N1811" s="36">
        <v>2.564</v>
      </c>
      <c r="O1811" s="34" t="s">
        <v>601</v>
      </c>
      <c r="P1811" s="32" t="s">
        <v>643</v>
      </c>
      <c r="Q1811" s="35">
        <v>2.0</v>
      </c>
      <c r="R1811" s="35">
        <v>12.0</v>
      </c>
      <c r="S1811" s="36">
        <v>1.5</v>
      </c>
      <c r="T1811" s="36">
        <v>1.0</v>
      </c>
      <c r="U1811" s="36" t="str">
        <f t="shared" ref="U1811:V1811" si="410">#REF!*SQRT(Q1811)</f>
        <v>#REF!</v>
      </c>
      <c r="V1811" s="36" t="str">
        <f t="shared" si="410"/>
        <v>#REF!</v>
      </c>
      <c r="W1811" s="35" t="s">
        <v>1356</v>
      </c>
      <c r="X1811" s="31">
        <v>5.0</v>
      </c>
      <c r="Y1811" s="36">
        <v>0.4056370919421079</v>
      </c>
      <c r="Z1811" s="36" t="e">
        <v>#REF!</v>
      </c>
      <c r="AA1811" s="29" t="s">
        <v>820</v>
      </c>
      <c r="AB1811" s="31">
        <v>5.19</v>
      </c>
      <c r="AC1811" s="38">
        <v>406.0</v>
      </c>
    </row>
    <row r="1812" ht="14.25" customHeight="1">
      <c r="A1812" s="29" t="s">
        <v>450</v>
      </c>
      <c r="B1812" s="35">
        <v>146.0</v>
      </c>
      <c r="C1812" s="29" t="s">
        <v>608</v>
      </c>
      <c r="D1812" s="35" t="s">
        <v>1359</v>
      </c>
      <c r="E1812" s="35">
        <v>324.0</v>
      </c>
      <c r="F1812" s="30" t="s">
        <v>1360</v>
      </c>
      <c r="G1812" s="29" t="s">
        <v>626</v>
      </c>
      <c r="H1812" s="31">
        <v>329.00311</v>
      </c>
      <c r="I1812" s="35" t="s">
        <v>612</v>
      </c>
      <c r="J1812" s="32" t="s">
        <v>642</v>
      </c>
      <c r="K1812" s="29" t="s">
        <v>698</v>
      </c>
      <c r="L1812" s="29" t="s">
        <v>1287</v>
      </c>
      <c r="M1812" s="36">
        <v>16.438</v>
      </c>
      <c r="N1812" s="36">
        <v>3.134</v>
      </c>
      <c r="O1812" s="34" t="s">
        <v>601</v>
      </c>
      <c r="P1812" s="32" t="s">
        <v>643</v>
      </c>
      <c r="Q1812" s="35">
        <v>5.0</v>
      </c>
      <c r="R1812" s="35">
        <v>12.0</v>
      </c>
      <c r="S1812" s="36">
        <v>1.2</v>
      </c>
      <c r="T1812" s="36">
        <v>1.0</v>
      </c>
      <c r="U1812" s="36" t="str">
        <f t="shared" ref="U1812:V1812" si="411">#REF!*SQRT(Q1812)</f>
        <v>#REF!</v>
      </c>
      <c r="V1812" s="36" t="str">
        <f t="shared" si="411"/>
        <v>#REF!</v>
      </c>
      <c r="W1812" s="35" t="s">
        <v>1356</v>
      </c>
      <c r="X1812" s="31">
        <v>8.3</v>
      </c>
      <c r="Y1812" s="36">
        <v>0.18253653196515027</v>
      </c>
      <c r="Z1812" s="36" t="e">
        <v>#REF!</v>
      </c>
      <c r="AA1812" s="29" t="s">
        <v>820</v>
      </c>
      <c r="AB1812" s="31">
        <v>5.19</v>
      </c>
      <c r="AC1812" s="38">
        <v>1525.0</v>
      </c>
    </row>
    <row r="1813" ht="14.25" customHeight="1">
      <c r="A1813" s="35" t="s">
        <v>445</v>
      </c>
      <c r="B1813" s="35">
        <v>162.0</v>
      </c>
      <c r="C1813" s="35" t="s">
        <v>608</v>
      </c>
      <c r="D1813" s="29" t="s">
        <v>935</v>
      </c>
      <c r="E1813" s="35">
        <v>347.0</v>
      </c>
      <c r="F1813" s="50" t="s">
        <v>1361</v>
      </c>
      <c r="G1813" s="35" t="s">
        <v>626</v>
      </c>
      <c r="H1813" s="31">
        <v>25.91</v>
      </c>
      <c r="I1813" s="29" t="s">
        <v>612</v>
      </c>
      <c r="J1813" s="35" t="s">
        <v>642</v>
      </c>
      <c r="K1813" s="35" t="s">
        <v>698</v>
      </c>
      <c r="L1813" s="29" t="s">
        <v>1287</v>
      </c>
      <c r="M1813" s="35">
        <v>16.39</v>
      </c>
      <c r="N1813" s="35">
        <v>2.78</v>
      </c>
      <c r="O1813" s="35" t="s">
        <v>641</v>
      </c>
      <c r="P1813" s="48" t="s">
        <v>602</v>
      </c>
      <c r="Q1813" s="35">
        <v>6.0</v>
      </c>
      <c r="R1813" s="35">
        <v>6.0</v>
      </c>
      <c r="S1813" s="36">
        <v>1.5</v>
      </c>
      <c r="T1813" s="36">
        <v>1.7</v>
      </c>
      <c r="U1813" s="36">
        <f t="shared" ref="U1813:V1813" si="412">SQRT(S1813)</f>
        <v>1.224744871</v>
      </c>
      <c r="V1813" s="36">
        <f t="shared" si="412"/>
        <v>1.303840481</v>
      </c>
      <c r="W1813" s="35" t="s">
        <v>1362</v>
      </c>
      <c r="X1813" s="31">
        <v>35.0</v>
      </c>
      <c r="Y1813" s="36">
        <v>-0.12487078803305215</v>
      </c>
      <c r="Z1813" s="36">
        <v>0.2091503267973856</v>
      </c>
      <c r="AA1813" s="35" t="s">
        <v>820</v>
      </c>
      <c r="AB1813" s="35">
        <v>5.19</v>
      </c>
      <c r="AC1813" s="35">
        <v>1172.0</v>
      </c>
    </row>
    <row r="1814" ht="14.25" customHeight="1">
      <c r="A1814" s="35" t="s">
        <v>445</v>
      </c>
      <c r="B1814" s="35">
        <v>162.0</v>
      </c>
      <c r="C1814" s="35" t="s">
        <v>608</v>
      </c>
      <c r="D1814" s="29" t="s">
        <v>935</v>
      </c>
      <c r="E1814" s="35">
        <v>347.0</v>
      </c>
      <c r="F1814" s="50" t="s">
        <v>1361</v>
      </c>
      <c r="G1814" s="35" t="s">
        <v>626</v>
      </c>
      <c r="H1814" s="31">
        <v>25.91</v>
      </c>
      <c r="I1814" s="29" t="s">
        <v>612</v>
      </c>
      <c r="J1814" s="35" t="s">
        <v>642</v>
      </c>
      <c r="K1814" s="35" t="s">
        <v>698</v>
      </c>
      <c r="L1814" s="29" t="s">
        <v>1287</v>
      </c>
      <c r="M1814" s="35">
        <v>16.268</v>
      </c>
      <c r="N1814" s="35">
        <v>2.797</v>
      </c>
      <c r="O1814" s="35" t="s">
        <v>641</v>
      </c>
      <c r="P1814" s="48" t="s">
        <v>602</v>
      </c>
      <c r="Q1814" s="35">
        <v>6.0</v>
      </c>
      <c r="R1814" s="35">
        <v>6.0</v>
      </c>
      <c r="S1814" s="36">
        <v>0.5</v>
      </c>
      <c r="T1814" s="36">
        <v>1.7</v>
      </c>
      <c r="U1814" s="36">
        <f t="shared" ref="U1814:V1814" si="413">SQRT(S1814)</f>
        <v>0.7071067812</v>
      </c>
      <c r="V1814" s="36">
        <f t="shared" si="413"/>
        <v>1.303840481</v>
      </c>
      <c r="W1814" s="35" t="s">
        <v>1362</v>
      </c>
      <c r="X1814" s="31">
        <v>10.0</v>
      </c>
      <c r="Y1814" s="36">
        <v>-1.2228986231485812</v>
      </c>
      <c r="Z1814" s="36">
        <v>0.431372549019608</v>
      </c>
      <c r="AA1814" s="35" t="s">
        <v>820</v>
      </c>
      <c r="AB1814" s="35">
        <v>5.19</v>
      </c>
      <c r="AC1814" s="35">
        <v>765.0</v>
      </c>
    </row>
    <row r="1815" ht="14.25" customHeight="1">
      <c r="A1815" s="35" t="s">
        <v>445</v>
      </c>
      <c r="B1815" s="35">
        <v>162.0</v>
      </c>
      <c r="C1815" s="35" t="s">
        <v>608</v>
      </c>
      <c r="D1815" s="29" t="s">
        <v>1363</v>
      </c>
      <c r="E1815" s="29">
        <v>46.0</v>
      </c>
      <c r="F1815" s="30" t="s">
        <v>1364</v>
      </c>
      <c r="G1815" s="35" t="s">
        <v>611</v>
      </c>
      <c r="H1815" s="31">
        <v>4.92</v>
      </c>
      <c r="I1815" s="29" t="s">
        <v>597</v>
      </c>
      <c r="J1815" s="35" t="s">
        <v>642</v>
      </c>
      <c r="K1815" s="35" t="s">
        <v>698</v>
      </c>
      <c r="L1815" s="29" t="s">
        <v>1287</v>
      </c>
      <c r="M1815" s="35">
        <v>16.39</v>
      </c>
      <c r="N1815" s="35">
        <v>2.78</v>
      </c>
      <c r="O1815" s="35" t="s">
        <v>641</v>
      </c>
      <c r="P1815" s="48" t="s">
        <v>602</v>
      </c>
      <c r="Q1815" s="35">
        <v>6.0</v>
      </c>
      <c r="R1815" s="35">
        <v>6.0</v>
      </c>
      <c r="S1815" s="36">
        <v>1.1</v>
      </c>
      <c r="T1815" s="36">
        <v>0.91</v>
      </c>
      <c r="U1815" s="36">
        <f t="shared" ref="U1815:V1815" si="414">SQRT(S1815)</f>
        <v>1.048808848</v>
      </c>
      <c r="V1815" s="36">
        <f t="shared" si="414"/>
        <v>0.9539392014</v>
      </c>
      <c r="W1815" s="35" t="s">
        <v>846</v>
      </c>
      <c r="X1815" s="31">
        <v>35.0</v>
      </c>
      <c r="Y1815" s="36">
        <v>0.18983427115778959</v>
      </c>
      <c r="Z1815" s="36">
        <v>0.33466533466533466</v>
      </c>
      <c r="AA1815" s="35" t="s">
        <v>820</v>
      </c>
      <c r="AB1815" s="35">
        <v>5.19</v>
      </c>
      <c r="AC1815" s="35">
        <v>1172.0</v>
      </c>
    </row>
    <row r="1816" ht="14.25" customHeight="1">
      <c r="A1816" s="35" t="s">
        <v>445</v>
      </c>
      <c r="B1816" s="35">
        <v>162.0</v>
      </c>
      <c r="C1816" s="35" t="s">
        <v>608</v>
      </c>
      <c r="D1816" s="29" t="s">
        <v>1363</v>
      </c>
      <c r="E1816" s="29">
        <v>46.0</v>
      </c>
      <c r="F1816" s="30" t="s">
        <v>1364</v>
      </c>
      <c r="G1816" s="35" t="s">
        <v>611</v>
      </c>
      <c r="H1816" s="31">
        <v>4.92</v>
      </c>
      <c r="I1816" s="29" t="s">
        <v>597</v>
      </c>
      <c r="J1816" s="35" t="s">
        <v>642</v>
      </c>
      <c r="K1816" s="35" t="s">
        <v>698</v>
      </c>
      <c r="L1816" s="29" t="s">
        <v>1287</v>
      </c>
      <c r="M1816" s="35">
        <v>16.268</v>
      </c>
      <c r="N1816" s="35">
        <v>2.797</v>
      </c>
      <c r="O1816" s="35" t="s">
        <v>641</v>
      </c>
      <c r="P1816" s="48" t="s">
        <v>602</v>
      </c>
      <c r="Q1816" s="35">
        <v>6.0</v>
      </c>
      <c r="R1816" s="35">
        <v>6.0</v>
      </c>
      <c r="S1816" s="36">
        <v>0.6</v>
      </c>
      <c r="T1816" s="36">
        <v>0.91</v>
      </c>
      <c r="U1816" s="36">
        <f t="shared" ref="U1816:V1816" si="415">SQRT(S1816)</f>
        <v>0.7745966692</v>
      </c>
      <c r="V1816" s="36">
        <f t="shared" si="415"/>
        <v>0.9539392014</v>
      </c>
      <c r="W1816" s="35" t="s">
        <v>846</v>
      </c>
      <c r="X1816" s="31">
        <v>10.0</v>
      </c>
      <c r="Y1816" s="36">
        <v>-0.4161237239617795</v>
      </c>
      <c r="Z1816" s="36">
        <v>0.46092796092796096</v>
      </c>
      <c r="AA1816" s="35" t="s">
        <v>820</v>
      </c>
      <c r="AB1816" s="35">
        <v>5.19</v>
      </c>
      <c r="AC1816" s="35">
        <v>765.0</v>
      </c>
    </row>
    <row r="1817" ht="14.25" customHeight="1">
      <c r="A1817" s="35" t="s">
        <v>445</v>
      </c>
      <c r="B1817" s="35">
        <v>162.0</v>
      </c>
      <c r="C1817" s="35" t="s">
        <v>608</v>
      </c>
      <c r="D1817" s="29" t="s">
        <v>931</v>
      </c>
      <c r="E1817" s="29">
        <v>83.0</v>
      </c>
      <c r="F1817" s="30" t="s">
        <v>932</v>
      </c>
      <c r="G1817" s="29" t="s">
        <v>611</v>
      </c>
      <c r="H1817" s="31">
        <v>131.63</v>
      </c>
      <c r="I1817" s="29" t="s">
        <v>612</v>
      </c>
      <c r="J1817" s="35" t="s">
        <v>642</v>
      </c>
      <c r="K1817" s="35" t="s">
        <v>698</v>
      </c>
      <c r="L1817" s="29" t="s">
        <v>1287</v>
      </c>
      <c r="M1817" s="35">
        <v>16.39</v>
      </c>
      <c r="N1817" s="35">
        <v>2.78</v>
      </c>
      <c r="O1817" s="35" t="s">
        <v>641</v>
      </c>
      <c r="P1817" s="48" t="s">
        <v>602</v>
      </c>
      <c r="Q1817" s="35">
        <v>6.0</v>
      </c>
      <c r="R1817" s="35">
        <v>6.0</v>
      </c>
      <c r="S1817" s="36">
        <v>5.6</v>
      </c>
      <c r="T1817" s="36">
        <v>6.5</v>
      </c>
      <c r="U1817" s="36">
        <f t="shared" ref="U1817:V1817" si="416">SQRT(S1817)</f>
        <v>2.366431913</v>
      </c>
      <c r="V1817" s="36">
        <f t="shared" si="416"/>
        <v>2.549509757</v>
      </c>
      <c r="W1817" s="35" t="s">
        <v>859</v>
      </c>
      <c r="X1817" s="31">
        <v>35.0</v>
      </c>
      <c r="Y1817" s="36">
        <v>-0.14873616210023088</v>
      </c>
      <c r="Z1817" s="36">
        <v>0.0554029304029304</v>
      </c>
      <c r="AA1817" s="35" t="s">
        <v>820</v>
      </c>
      <c r="AB1817" s="35">
        <v>5.19</v>
      </c>
      <c r="AC1817" s="35">
        <v>1172.0</v>
      </c>
    </row>
    <row r="1818" ht="14.25" customHeight="1">
      <c r="A1818" s="35" t="s">
        <v>445</v>
      </c>
      <c r="B1818" s="35">
        <v>162.0</v>
      </c>
      <c r="C1818" s="35" t="s">
        <v>608</v>
      </c>
      <c r="D1818" s="29" t="s">
        <v>931</v>
      </c>
      <c r="E1818" s="29">
        <v>83.0</v>
      </c>
      <c r="F1818" s="30" t="s">
        <v>932</v>
      </c>
      <c r="G1818" s="29" t="s">
        <v>611</v>
      </c>
      <c r="H1818" s="31">
        <v>131.63</v>
      </c>
      <c r="I1818" s="29" t="s">
        <v>612</v>
      </c>
      <c r="J1818" s="35" t="s">
        <v>642</v>
      </c>
      <c r="K1818" s="35" t="s">
        <v>698</v>
      </c>
      <c r="L1818" s="29" t="s">
        <v>1287</v>
      </c>
      <c r="M1818" s="35">
        <v>16.268</v>
      </c>
      <c r="N1818" s="35">
        <v>2.797</v>
      </c>
      <c r="O1818" s="35" t="s">
        <v>641</v>
      </c>
      <c r="P1818" s="48" t="s">
        <v>602</v>
      </c>
      <c r="Q1818" s="35">
        <v>6.0</v>
      </c>
      <c r="R1818" s="35">
        <v>6.0</v>
      </c>
      <c r="S1818" s="36">
        <v>3.0</v>
      </c>
      <c r="T1818" s="36">
        <v>6.5</v>
      </c>
      <c r="U1818" s="36">
        <f t="shared" ref="U1818:V1818" si="417">SQRT(S1818)</f>
        <v>1.732050808</v>
      </c>
      <c r="V1818" s="36">
        <f t="shared" si="417"/>
        <v>2.549509757</v>
      </c>
      <c r="W1818" s="35" t="s">
        <v>859</v>
      </c>
      <c r="X1818" s="31">
        <v>10.0</v>
      </c>
      <c r="Y1818" s="36">
        <v>-0.7726310488852461</v>
      </c>
      <c r="Z1818" s="36">
        <v>0.08119658119658119</v>
      </c>
      <c r="AA1818" s="35" t="s">
        <v>820</v>
      </c>
      <c r="AB1818" s="35">
        <v>5.19</v>
      </c>
      <c r="AC1818" s="35">
        <v>765.0</v>
      </c>
    </row>
    <row r="1819" ht="14.25" customHeight="1">
      <c r="A1819" s="35" t="s">
        <v>445</v>
      </c>
      <c r="B1819" s="35">
        <v>162.0</v>
      </c>
      <c r="C1819" s="35" t="s">
        <v>608</v>
      </c>
      <c r="D1819" s="29" t="s">
        <v>751</v>
      </c>
      <c r="E1819" s="29">
        <v>97.0</v>
      </c>
      <c r="F1819" s="30" t="s">
        <v>752</v>
      </c>
      <c r="G1819" s="35" t="s">
        <v>753</v>
      </c>
      <c r="H1819" s="31">
        <v>3940.03</v>
      </c>
      <c r="I1819" s="29" t="s">
        <v>612</v>
      </c>
      <c r="J1819" s="35" t="s">
        <v>642</v>
      </c>
      <c r="K1819" s="35" t="s">
        <v>698</v>
      </c>
      <c r="L1819" s="29" t="s">
        <v>1287</v>
      </c>
      <c r="M1819" s="35">
        <v>16.39</v>
      </c>
      <c r="N1819" s="35">
        <v>2.78</v>
      </c>
      <c r="O1819" s="35" t="s">
        <v>641</v>
      </c>
      <c r="P1819" s="48" t="s">
        <v>602</v>
      </c>
      <c r="Q1819" s="35">
        <v>6.0</v>
      </c>
      <c r="R1819" s="35">
        <v>6.0</v>
      </c>
      <c r="S1819" s="36">
        <v>1.6</v>
      </c>
      <c r="T1819" s="36">
        <v>5.1</v>
      </c>
      <c r="U1819" s="36">
        <f t="shared" ref="U1819:V1819" si="418">SQRT(S1819)</f>
        <v>1.264911064</v>
      </c>
      <c r="V1819" s="36">
        <f t="shared" si="418"/>
        <v>2.258317958</v>
      </c>
      <c r="W1819" s="35" t="s">
        <v>1362</v>
      </c>
      <c r="X1819" s="31">
        <v>35.0</v>
      </c>
      <c r="Y1819" s="36">
        <v>-1.1584148800231295</v>
      </c>
      <c r="Z1819" s="36">
        <v>0.13684640522875816</v>
      </c>
      <c r="AA1819" s="35" t="s">
        <v>820</v>
      </c>
      <c r="AB1819" s="35">
        <v>5.19</v>
      </c>
      <c r="AC1819" s="35">
        <v>1172.0</v>
      </c>
    </row>
    <row r="1820" ht="14.25" customHeight="1">
      <c r="A1820" s="35" t="s">
        <v>445</v>
      </c>
      <c r="B1820" s="35">
        <v>162.0</v>
      </c>
      <c r="C1820" s="35" t="s">
        <v>608</v>
      </c>
      <c r="D1820" s="29" t="s">
        <v>751</v>
      </c>
      <c r="E1820" s="29">
        <v>97.0</v>
      </c>
      <c r="F1820" s="30" t="s">
        <v>752</v>
      </c>
      <c r="G1820" s="35" t="s">
        <v>753</v>
      </c>
      <c r="H1820" s="31">
        <v>3940.03</v>
      </c>
      <c r="I1820" s="29" t="s">
        <v>612</v>
      </c>
      <c r="J1820" s="35" t="s">
        <v>642</v>
      </c>
      <c r="K1820" s="35" t="s">
        <v>698</v>
      </c>
      <c r="L1820" s="29" t="s">
        <v>1287</v>
      </c>
      <c r="M1820" s="35">
        <v>16.268</v>
      </c>
      <c r="N1820" s="35">
        <v>2.797</v>
      </c>
      <c r="O1820" s="35" t="s">
        <v>641</v>
      </c>
      <c r="P1820" s="48" t="s">
        <v>602</v>
      </c>
      <c r="Q1820" s="35">
        <v>6.0</v>
      </c>
      <c r="R1820" s="35">
        <v>6.0</v>
      </c>
      <c r="S1820" s="36">
        <v>0.0</v>
      </c>
      <c r="T1820" s="36">
        <v>5.1</v>
      </c>
      <c r="U1820" s="36">
        <f t="shared" ref="U1820:V1820" si="419">SQRT(S1820)</f>
        <v>0</v>
      </c>
      <c r="V1820" s="36">
        <f t="shared" si="419"/>
        <v>2.258317958</v>
      </c>
      <c r="W1820" s="35" t="s">
        <v>1362</v>
      </c>
      <c r="X1820" s="31">
        <v>10.0</v>
      </c>
      <c r="Y1820" s="36">
        <v>-8.262558973010657</v>
      </c>
      <c r="Z1820" s="36">
        <v>0.20710202996453678</v>
      </c>
      <c r="AA1820" s="35" t="s">
        <v>820</v>
      </c>
      <c r="AB1820" s="35">
        <v>5.19</v>
      </c>
      <c r="AC1820" s="35">
        <v>765.0</v>
      </c>
    </row>
    <row r="1821" ht="14.25" customHeight="1">
      <c r="A1821" s="35" t="s">
        <v>445</v>
      </c>
      <c r="B1821" s="35">
        <v>162.0</v>
      </c>
      <c r="C1821" s="35" t="s">
        <v>608</v>
      </c>
      <c r="D1821" s="35" t="s">
        <v>947</v>
      </c>
      <c r="E1821" s="29">
        <v>121.0</v>
      </c>
      <c r="F1821" s="30" t="s">
        <v>948</v>
      </c>
      <c r="G1821" s="29" t="s">
        <v>611</v>
      </c>
      <c r="H1821" s="31">
        <v>42.5</v>
      </c>
      <c r="I1821" s="29" t="s">
        <v>597</v>
      </c>
      <c r="J1821" s="35" t="s">
        <v>642</v>
      </c>
      <c r="K1821" s="35" t="s">
        <v>698</v>
      </c>
      <c r="L1821" s="29" t="s">
        <v>1287</v>
      </c>
      <c r="M1821" s="35">
        <v>16.484</v>
      </c>
      <c r="N1821" s="35">
        <v>2.873</v>
      </c>
      <c r="O1821" s="35" t="s">
        <v>601</v>
      </c>
      <c r="P1821" s="48" t="s">
        <v>602</v>
      </c>
      <c r="Q1821" s="35">
        <v>6.0</v>
      </c>
      <c r="R1821" s="35">
        <v>6.0</v>
      </c>
      <c r="S1821" s="36">
        <v>0.3</v>
      </c>
      <c r="T1821" s="36">
        <v>0.3</v>
      </c>
      <c r="U1821" s="36">
        <f t="shared" ref="U1821:V1821" si="420">SQRT(S1821)</f>
        <v>0.5477225575</v>
      </c>
      <c r="V1821" s="36">
        <f t="shared" si="420"/>
        <v>0.5477225575</v>
      </c>
      <c r="W1821" s="35" t="s">
        <v>859</v>
      </c>
      <c r="X1821" s="31">
        <v>30.0</v>
      </c>
      <c r="Y1821" s="36">
        <v>2.5796466027220563E-4</v>
      </c>
      <c r="Z1821" s="36">
        <v>1.1111111111111107</v>
      </c>
      <c r="AA1821" s="35" t="s">
        <v>820</v>
      </c>
      <c r="AB1821" s="35">
        <v>5.19</v>
      </c>
      <c r="AC1821" s="35">
        <v>1533.0</v>
      </c>
    </row>
    <row r="1822" ht="14.25" customHeight="1">
      <c r="A1822" s="35" t="s">
        <v>445</v>
      </c>
      <c r="B1822" s="35">
        <v>162.0</v>
      </c>
      <c r="C1822" s="35" t="s">
        <v>608</v>
      </c>
      <c r="D1822" s="35" t="s">
        <v>947</v>
      </c>
      <c r="E1822" s="29">
        <v>121.0</v>
      </c>
      <c r="F1822" s="30" t="s">
        <v>948</v>
      </c>
      <c r="G1822" s="29" t="s">
        <v>611</v>
      </c>
      <c r="H1822" s="31">
        <v>42.5</v>
      </c>
      <c r="I1822" s="29" t="s">
        <v>597</v>
      </c>
      <c r="J1822" s="35" t="s">
        <v>642</v>
      </c>
      <c r="K1822" s="35" t="s">
        <v>698</v>
      </c>
      <c r="L1822" s="29" t="s">
        <v>1287</v>
      </c>
      <c r="M1822" s="35">
        <v>16.39</v>
      </c>
      <c r="N1822" s="35">
        <v>2.78</v>
      </c>
      <c r="O1822" s="35" t="s">
        <v>641</v>
      </c>
      <c r="P1822" s="48" t="s">
        <v>602</v>
      </c>
      <c r="Q1822" s="35">
        <v>6.0</v>
      </c>
      <c r="R1822" s="35">
        <v>6.0</v>
      </c>
      <c r="S1822" s="36">
        <v>0.6</v>
      </c>
      <c r="T1822" s="36">
        <v>0.3</v>
      </c>
      <c r="U1822" s="36">
        <f t="shared" ref="U1822:V1822" si="421">SQRT(S1822)</f>
        <v>0.7745966692</v>
      </c>
      <c r="V1822" s="36">
        <f t="shared" si="421"/>
        <v>0.5477225575</v>
      </c>
      <c r="W1822" s="35" t="s">
        <v>859</v>
      </c>
      <c r="X1822" s="31">
        <v>35.0</v>
      </c>
      <c r="Y1822" s="36">
        <v>0.6932761712083021</v>
      </c>
      <c r="Z1822" s="36">
        <v>0.8333333333333331</v>
      </c>
      <c r="AA1822" s="35" t="s">
        <v>820</v>
      </c>
      <c r="AB1822" s="35">
        <v>5.19</v>
      </c>
      <c r="AC1822" s="35">
        <v>1172.0</v>
      </c>
    </row>
    <row r="1823" ht="14.25" customHeight="1">
      <c r="A1823" s="35" t="s">
        <v>445</v>
      </c>
      <c r="B1823" s="35">
        <v>162.0</v>
      </c>
      <c r="C1823" s="35" t="s">
        <v>608</v>
      </c>
      <c r="D1823" s="35" t="s">
        <v>947</v>
      </c>
      <c r="E1823" s="29">
        <v>121.0</v>
      </c>
      <c r="F1823" s="30" t="s">
        <v>948</v>
      </c>
      <c r="G1823" s="29" t="s">
        <v>611</v>
      </c>
      <c r="H1823" s="31">
        <v>42.5</v>
      </c>
      <c r="I1823" s="29" t="s">
        <v>597</v>
      </c>
      <c r="J1823" s="35" t="s">
        <v>642</v>
      </c>
      <c r="K1823" s="35" t="s">
        <v>698</v>
      </c>
      <c r="L1823" s="29" t="s">
        <v>1287</v>
      </c>
      <c r="M1823" s="35">
        <v>16.268</v>
      </c>
      <c r="N1823" s="35">
        <v>2.797</v>
      </c>
      <c r="O1823" s="35" t="s">
        <v>641</v>
      </c>
      <c r="P1823" s="48" t="s">
        <v>602</v>
      </c>
      <c r="Q1823" s="35">
        <v>6.0</v>
      </c>
      <c r="R1823" s="35">
        <v>6.0</v>
      </c>
      <c r="S1823" s="36">
        <v>0.42</v>
      </c>
      <c r="T1823" s="36">
        <v>0.3</v>
      </c>
      <c r="U1823" s="36">
        <f t="shared" ref="U1823:V1823" si="422">SQRT(S1823)</f>
        <v>0.6480740698</v>
      </c>
      <c r="V1823" s="36">
        <f t="shared" si="422"/>
        <v>0.5477225575</v>
      </c>
      <c r="W1823" s="35" t="s">
        <v>859</v>
      </c>
      <c r="X1823" s="31">
        <v>10.0</v>
      </c>
      <c r="Y1823" s="36">
        <v>0.3366565038829699</v>
      </c>
      <c r="Z1823" s="36">
        <v>0.9523809523809522</v>
      </c>
      <c r="AA1823" s="35" t="s">
        <v>820</v>
      </c>
      <c r="AB1823" s="35">
        <v>5.19</v>
      </c>
      <c r="AC1823" s="35">
        <v>765.0</v>
      </c>
    </row>
    <row r="1824" ht="14.25" customHeight="1">
      <c r="A1824" s="29" t="s">
        <v>1365</v>
      </c>
      <c r="B1824" s="29">
        <v>93.0</v>
      </c>
      <c r="C1824" s="29" t="s">
        <v>608</v>
      </c>
      <c r="D1824" s="29" t="s">
        <v>851</v>
      </c>
      <c r="E1824" s="29">
        <v>102.0</v>
      </c>
      <c r="F1824" s="30" t="s">
        <v>852</v>
      </c>
      <c r="G1824" s="29" t="s">
        <v>626</v>
      </c>
      <c r="H1824" s="31">
        <v>16.5</v>
      </c>
      <c r="I1824" s="29" t="s">
        <v>612</v>
      </c>
      <c r="J1824" s="32" t="s">
        <v>598</v>
      </c>
      <c r="K1824" s="29" t="s">
        <v>840</v>
      </c>
      <c r="L1824" s="29" t="s">
        <v>1270</v>
      </c>
      <c r="M1824" s="33">
        <v>-89.309</v>
      </c>
      <c r="N1824" s="33">
        <v>18.452</v>
      </c>
      <c r="O1824" s="34" t="s">
        <v>641</v>
      </c>
      <c r="P1824" s="32" t="s">
        <v>602</v>
      </c>
      <c r="Q1824" s="35">
        <v>62.0</v>
      </c>
      <c r="R1824" s="35">
        <v>28.0</v>
      </c>
      <c r="S1824" s="36">
        <v>6.74</v>
      </c>
      <c r="T1824" s="36">
        <v>6.36</v>
      </c>
      <c r="U1824" s="36" t="str">
        <f t="shared" ref="U1824:V1824" si="423">#REF!*SQRT(Q1824)</f>
        <v>#REF!</v>
      </c>
      <c r="V1824" s="36" t="str">
        <f t="shared" si="423"/>
        <v>#REF!</v>
      </c>
      <c r="W1824" s="37" t="s">
        <v>972</v>
      </c>
      <c r="X1824" s="31">
        <v>6.11</v>
      </c>
      <c r="Y1824" s="36">
        <v>0.05827497000085944</v>
      </c>
      <c r="Z1824" s="36" t="e">
        <v>#REF!</v>
      </c>
      <c r="AA1824" s="29" t="s">
        <v>820</v>
      </c>
      <c r="AB1824" s="31">
        <v>2.72929406166</v>
      </c>
      <c r="AC1824" s="38">
        <v>190.0</v>
      </c>
    </row>
    <row r="1825" ht="14.25" customHeight="1">
      <c r="A1825" s="29" t="s">
        <v>1365</v>
      </c>
      <c r="B1825" s="29">
        <v>93.0</v>
      </c>
      <c r="C1825" s="29" t="s">
        <v>608</v>
      </c>
      <c r="D1825" s="29" t="s">
        <v>855</v>
      </c>
      <c r="E1825" s="29">
        <v>114.0</v>
      </c>
      <c r="F1825" s="30" t="s">
        <v>856</v>
      </c>
      <c r="G1825" s="29" t="s">
        <v>626</v>
      </c>
      <c r="H1825" s="31">
        <v>55.51</v>
      </c>
      <c r="I1825" s="29" t="s">
        <v>612</v>
      </c>
      <c r="J1825" s="32" t="s">
        <v>598</v>
      </c>
      <c r="K1825" s="29" t="s">
        <v>840</v>
      </c>
      <c r="L1825" s="29" t="s">
        <v>1270</v>
      </c>
      <c r="M1825" s="33">
        <v>-89.309</v>
      </c>
      <c r="N1825" s="33">
        <v>18.452</v>
      </c>
      <c r="O1825" s="34" t="s">
        <v>641</v>
      </c>
      <c r="P1825" s="32" t="s">
        <v>602</v>
      </c>
      <c r="Q1825" s="35">
        <v>62.0</v>
      </c>
      <c r="R1825" s="35">
        <v>28.0</v>
      </c>
      <c r="S1825" s="36">
        <v>0.88</v>
      </c>
      <c r="T1825" s="36">
        <v>0.24</v>
      </c>
      <c r="U1825" s="36" t="str">
        <f t="shared" ref="U1825:V1825" si="424">#REF!*SQRT(Q1825)</f>
        <v>#REF!</v>
      </c>
      <c r="V1825" s="36" t="str">
        <f t="shared" si="424"/>
        <v>#REF!</v>
      </c>
      <c r="W1825" s="37" t="s">
        <v>972</v>
      </c>
      <c r="X1825" s="31">
        <v>6.11</v>
      </c>
      <c r="Y1825" s="36">
        <v>1.2993533447283552</v>
      </c>
      <c r="Z1825" s="36" t="e">
        <v>#REF!</v>
      </c>
      <c r="AA1825" s="29" t="s">
        <v>820</v>
      </c>
      <c r="AB1825" s="31">
        <v>2.72929406166</v>
      </c>
      <c r="AC1825" s="38">
        <v>190.0</v>
      </c>
    </row>
    <row r="1826" ht="14.25" customHeight="1">
      <c r="A1826" s="29" t="s">
        <v>1365</v>
      </c>
      <c r="B1826" s="29">
        <v>93.0</v>
      </c>
      <c r="C1826" s="29" t="s">
        <v>608</v>
      </c>
      <c r="D1826" s="29" t="s">
        <v>630</v>
      </c>
      <c r="E1826" s="29">
        <v>129.0</v>
      </c>
      <c r="F1826" s="30" t="s">
        <v>631</v>
      </c>
      <c r="G1826" s="29" t="s">
        <v>626</v>
      </c>
      <c r="H1826" s="31">
        <v>21.27</v>
      </c>
      <c r="I1826" s="29" t="s">
        <v>612</v>
      </c>
      <c r="J1826" s="32" t="s">
        <v>598</v>
      </c>
      <c r="K1826" s="29" t="s">
        <v>840</v>
      </c>
      <c r="L1826" s="29" t="s">
        <v>1270</v>
      </c>
      <c r="M1826" s="33">
        <v>-89.309</v>
      </c>
      <c r="N1826" s="33">
        <v>18.452</v>
      </c>
      <c r="O1826" s="34" t="s">
        <v>641</v>
      </c>
      <c r="P1826" s="32" t="s">
        <v>602</v>
      </c>
      <c r="Q1826" s="35">
        <v>62.0</v>
      </c>
      <c r="R1826" s="35">
        <v>28.0</v>
      </c>
      <c r="S1826" s="36">
        <v>0.97</v>
      </c>
      <c r="T1826" s="36">
        <v>0.86</v>
      </c>
      <c r="U1826" s="36" t="str">
        <f t="shared" ref="U1826:V1826" si="425">#REF!*SQRT(Q1826)</f>
        <v>#REF!</v>
      </c>
      <c r="V1826" s="36" t="str">
        <f t="shared" si="425"/>
        <v>#REF!</v>
      </c>
      <c r="W1826" s="37" t="s">
        <v>972</v>
      </c>
      <c r="X1826" s="31">
        <v>6.11</v>
      </c>
      <c r="Y1826" s="36">
        <v>0.12059239653088746</v>
      </c>
      <c r="Z1826" s="36" t="e">
        <v>#REF!</v>
      </c>
      <c r="AA1826" s="29" t="s">
        <v>820</v>
      </c>
      <c r="AB1826" s="31">
        <v>2.72929406166</v>
      </c>
      <c r="AC1826" s="38">
        <v>190.0</v>
      </c>
    </row>
    <row r="1827" ht="14.25" customHeight="1">
      <c r="A1827" s="29" t="s">
        <v>1365</v>
      </c>
      <c r="B1827" s="29">
        <v>93.0</v>
      </c>
      <c r="C1827" s="29" t="s">
        <v>608</v>
      </c>
      <c r="D1827" s="29" t="s">
        <v>860</v>
      </c>
      <c r="E1827" s="29">
        <v>187.0</v>
      </c>
      <c r="F1827" s="30" t="s">
        <v>861</v>
      </c>
      <c r="G1827" s="29" t="s">
        <v>638</v>
      </c>
      <c r="H1827" s="31">
        <v>300.0</v>
      </c>
      <c r="I1827" s="29" t="s">
        <v>612</v>
      </c>
      <c r="J1827" s="32" t="s">
        <v>598</v>
      </c>
      <c r="K1827" s="29" t="s">
        <v>840</v>
      </c>
      <c r="L1827" s="29" t="s">
        <v>1270</v>
      </c>
      <c r="M1827" s="33">
        <v>-89.309</v>
      </c>
      <c r="N1827" s="33">
        <v>18.452</v>
      </c>
      <c r="O1827" s="34" t="s">
        <v>641</v>
      </c>
      <c r="P1827" s="32" t="s">
        <v>602</v>
      </c>
      <c r="Q1827" s="35">
        <v>62.0</v>
      </c>
      <c r="R1827" s="35">
        <v>28.0</v>
      </c>
      <c r="S1827" s="36">
        <v>0.42</v>
      </c>
      <c r="T1827" s="36">
        <v>0.03</v>
      </c>
      <c r="U1827" s="36" t="str">
        <f t="shared" ref="U1827:V1827" si="426">#REF!*SQRT(Q1827)</f>
        <v>#REF!</v>
      </c>
      <c r="V1827" s="36" t="str">
        <f t="shared" si="426"/>
        <v>#REF!</v>
      </c>
      <c r="W1827" s="37" t="s">
        <v>972</v>
      </c>
      <c r="X1827" s="31">
        <v>6.11</v>
      </c>
      <c r="Y1827" s="36">
        <v>2.6390757578694584</v>
      </c>
      <c r="Z1827" s="36" t="e">
        <v>#REF!</v>
      </c>
      <c r="AA1827" s="29" t="s">
        <v>820</v>
      </c>
      <c r="AB1827" s="31">
        <v>2.72929406166</v>
      </c>
      <c r="AC1827" s="38">
        <v>190.0</v>
      </c>
    </row>
    <row r="1828" ht="14.25" customHeight="1">
      <c r="A1828" s="29" t="s">
        <v>1365</v>
      </c>
      <c r="B1828" s="29">
        <v>93.0</v>
      </c>
      <c r="C1828" s="29" t="s">
        <v>608</v>
      </c>
      <c r="D1828" s="29" t="s">
        <v>639</v>
      </c>
      <c r="E1828" s="29">
        <v>190.0</v>
      </c>
      <c r="F1828" s="30" t="s">
        <v>640</v>
      </c>
      <c r="G1828" s="29" t="s">
        <v>626</v>
      </c>
      <c r="H1828" s="31">
        <v>32.23</v>
      </c>
      <c r="I1828" s="29" t="s">
        <v>597</v>
      </c>
      <c r="J1828" s="32" t="s">
        <v>598</v>
      </c>
      <c r="K1828" s="29" t="s">
        <v>840</v>
      </c>
      <c r="L1828" s="29" t="s">
        <v>1270</v>
      </c>
      <c r="M1828" s="33">
        <v>-89.309</v>
      </c>
      <c r="N1828" s="33">
        <v>18.452</v>
      </c>
      <c r="O1828" s="34" t="s">
        <v>641</v>
      </c>
      <c r="P1828" s="32" t="s">
        <v>602</v>
      </c>
      <c r="Q1828" s="35">
        <v>62.0</v>
      </c>
      <c r="R1828" s="35">
        <v>28.0</v>
      </c>
      <c r="S1828" s="36">
        <v>0.08</v>
      </c>
      <c r="T1828" s="36">
        <v>0.24</v>
      </c>
      <c r="U1828" s="36" t="str">
        <f t="shared" ref="U1828:V1828" si="427">#REF!*SQRT(Q1828)</f>
        <v>#REF!</v>
      </c>
      <c r="V1828" s="36" t="str">
        <f t="shared" si="427"/>
        <v>#REF!</v>
      </c>
      <c r="W1828" s="37" t="s">
        <v>972</v>
      </c>
      <c r="X1828" s="31">
        <v>6.11</v>
      </c>
      <c r="Y1828" s="36">
        <v>-1.0978385942387991</v>
      </c>
      <c r="Z1828" s="36" t="e">
        <v>#REF!</v>
      </c>
      <c r="AA1828" s="29" t="s">
        <v>820</v>
      </c>
      <c r="AB1828" s="31">
        <v>2.72929406166</v>
      </c>
      <c r="AC1828" s="38">
        <v>190.0</v>
      </c>
    </row>
    <row r="1829" ht="14.25" customHeight="1">
      <c r="A1829" s="29" t="s">
        <v>456</v>
      </c>
      <c r="B1829" s="29">
        <v>64.0</v>
      </c>
      <c r="C1829" s="29" t="s">
        <v>608</v>
      </c>
      <c r="D1829" s="29" t="s">
        <v>825</v>
      </c>
      <c r="E1829" s="29">
        <v>5.0</v>
      </c>
      <c r="F1829" s="30" t="s">
        <v>826</v>
      </c>
      <c r="G1829" s="29" t="s">
        <v>611</v>
      </c>
      <c r="H1829" s="31">
        <v>6.15</v>
      </c>
      <c r="I1829" s="29" t="s">
        <v>612</v>
      </c>
      <c r="J1829" s="32" t="s">
        <v>598</v>
      </c>
      <c r="K1829" s="29" t="s">
        <v>599</v>
      </c>
      <c r="L1829" s="29" t="s">
        <v>819</v>
      </c>
      <c r="M1829" s="33">
        <v>-70.081</v>
      </c>
      <c r="N1829" s="33">
        <v>-12.569</v>
      </c>
      <c r="O1829" s="34" t="s">
        <v>601</v>
      </c>
      <c r="P1829" s="32" t="s">
        <v>602</v>
      </c>
      <c r="Q1829" s="35">
        <v>3.0</v>
      </c>
      <c r="R1829" s="35">
        <v>3.0</v>
      </c>
      <c r="S1829" s="36">
        <v>0.3</v>
      </c>
      <c r="T1829" s="36">
        <v>2.2</v>
      </c>
      <c r="U1829" s="36">
        <v>0.5477</v>
      </c>
      <c r="V1829" s="36">
        <v>1.4832</v>
      </c>
      <c r="W1829" s="37" t="s">
        <v>623</v>
      </c>
      <c r="X1829" s="31">
        <v>2.0</v>
      </c>
      <c r="Y1829" s="36">
        <v>-1.990539967375126</v>
      </c>
      <c r="Z1829" s="36">
        <v>1.2625266339149064</v>
      </c>
      <c r="AA1829" s="29" t="s">
        <v>820</v>
      </c>
      <c r="AB1829" s="31">
        <v>0.394815564156</v>
      </c>
      <c r="AC1829" s="38">
        <v>466.0</v>
      </c>
    </row>
    <row r="1830" ht="14.25" customHeight="1">
      <c r="A1830" s="29" t="s">
        <v>456</v>
      </c>
      <c r="B1830" s="29">
        <v>64.0</v>
      </c>
      <c r="C1830" s="29" t="s">
        <v>608</v>
      </c>
      <c r="D1830" s="29" t="s">
        <v>1118</v>
      </c>
      <c r="E1830" s="29">
        <v>15.0</v>
      </c>
      <c r="F1830" s="30" t="s">
        <v>1119</v>
      </c>
      <c r="G1830" s="29" t="s">
        <v>611</v>
      </c>
      <c r="H1830" s="31">
        <v>6.0</v>
      </c>
      <c r="I1830" s="29" t="s">
        <v>597</v>
      </c>
      <c r="J1830" s="32" t="s">
        <v>598</v>
      </c>
      <c r="K1830" s="29" t="s">
        <v>599</v>
      </c>
      <c r="L1830" s="29" t="s">
        <v>819</v>
      </c>
      <c r="M1830" s="33">
        <v>-70.081</v>
      </c>
      <c r="N1830" s="33">
        <v>-12.569</v>
      </c>
      <c r="O1830" s="34" t="s">
        <v>601</v>
      </c>
      <c r="P1830" s="32" t="s">
        <v>602</v>
      </c>
      <c r="Q1830" s="35">
        <v>3.0</v>
      </c>
      <c r="R1830" s="35">
        <v>3.0</v>
      </c>
      <c r="S1830" s="36">
        <v>1.4</v>
      </c>
      <c r="T1830" s="36">
        <v>6.8</v>
      </c>
      <c r="U1830" s="36">
        <v>1.1832</v>
      </c>
      <c r="V1830" s="36">
        <v>2.6077</v>
      </c>
      <c r="W1830" s="37" t="s">
        <v>623</v>
      </c>
      <c r="X1830" s="31">
        <v>2.0</v>
      </c>
      <c r="Y1830" s="36">
        <v>-1.5791980272443822</v>
      </c>
      <c r="Z1830" s="36">
        <v>0.28710913992803005</v>
      </c>
      <c r="AA1830" s="29" t="s">
        <v>820</v>
      </c>
      <c r="AB1830" s="31">
        <v>0.394815564156</v>
      </c>
      <c r="AC1830" s="38">
        <v>466.0</v>
      </c>
    </row>
    <row r="1831" ht="14.25" customHeight="1">
      <c r="A1831" s="29" t="s">
        <v>456</v>
      </c>
      <c r="B1831" s="29">
        <v>64.0</v>
      </c>
      <c r="C1831" s="29" t="s">
        <v>608</v>
      </c>
      <c r="D1831" s="29" t="s">
        <v>1124</v>
      </c>
      <c r="E1831" s="29">
        <v>164.0</v>
      </c>
      <c r="F1831" s="30" t="s">
        <v>1125</v>
      </c>
      <c r="G1831" s="29" t="s">
        <v>611</v>
      </c>
      <c r="H1831" s="31">
        <v>0.39</v>
      </c>
      <c r="I1831" s="29" t="s">
        <v>616</v>
      </c>
      <c r="J1831" s="32" t="s">
        <v>598</v>
      </c>
      <c r="K1831" s="29" t="s">
        <v>599</v>
      </c>
      <c r="L1831" s="29" t="s">
        <v>819</v>
      </c>
      <c r="M1831" s="33">
        <v>-70.081</v>
      </c>
      <c r="N1831" s="33">
        <v>-12.569</v>
      </c>
      <c r="O1831" s="34" t="s">
        <v>601</v>
      </c>
      <c r="P1831" s="32" t="s">
        <v>602</v>
      </c>
      <c r="Q1831" s="35">
        <v>3.0</v>
      </c>
      <c r="R1831" s="35">
        <v>3.0</v>
      </c>
      <c r="S1831" s="36">
        <v>5.4</v>
      </c>
      <c r="T1831" s="36">
        <v>2.8</v>
      </c>
      <c r="U1831" s="36">
        <v>2.3238</v>
      </c>
      <c r="V1831" s="36">
        <v>1.6733</v>
      </c>
      <c r="W1831" s="37" t="s">
        <v>623</v>
      </c>
      <c r="X1831" s="31">
        <v>2.0</v>
      </c>
      <c r="Y1831" s="36">
        <v>0.6569133041493289</v>
      </c>
      <c r="Z1831" s="36">
        <v>0.18077369165721846</v>
      </c>
      <c r="AA1831" s="29" t="s">
        <v>820</v>
      </c>
      <c r="AB1831" s="31">
        <v>0.394815564156</v>
      </c>
      <c r="AC1831" s="38">
        <v>466.0</v>
      </c>
    </row>
    <row r="1832" ht="14.25" customHeight="1">
      <c r="A1832" s="29" t="s">
        <v>456</v>
      </c>
      <c r="B1832" s="29">
        <v>64.0</v>
      </c>
      <c r="C1832" s="29" t="s">
        <v>608</v>
      </c>
      <c r="D1832" s="29" t="s">
        <v>1126</v>
      </c>
      <c r="E1832" s="29">
        <v>169.0</v>
      </c>
      <c r="F1832" s="30" t="s">
        <v>1127</v>
      </c>
      <c r="G1832" s="29" t="s">
        <v>611</v>
      </c>
      <c r="H1832" s="31">
        <v>0.62</v>
      </c>
      <c r="I1832" s="29" t="s">
        <v>616</v>
      </c>
      <c r="J1832" s="32" t="s">
        <v>598</v>
      </c>
      <c r="K1832" s="29" t="s">
        <v>599</v>
      </c>
      <c r="L1832" s="29" t="s">
        <v>819</v>
      </c>
      <c r="M1832" s="33">
        <v>-70.081</v>
      </c>
      <c r="N1832" s="33">
        <v>-12.569</v>
      </c>
      <c r="O1832" s="34" t="s">
        <v>601</v>
      </c>
      <c r="P1832" s="32" t="s">
        <v>602</v>
      </c>
      <c r="Q1832" s="35">
        <v>3.0</v>
      </c>
      <c r="R1832" s="35">
        <v>3.0</v>
      </c>
      <c r="S1832" s="36">
        <v>6.1</v>
      </c>
      <c r="T1832" s="36">
        <v>2.7</v>
      </c>
      <c r="U1832" s="36">
        <v>2.4698</v>
      </c>
      <c r="V1832" s="36">
        <v>1.6432</v>
      </c>
      <c r="W1832" s="37" t="s">
        <v>623</v>
      </c>
      <c r="X1832" s="31">
        <v>2.0</v>
      </c>
      <c r="Y1832" s="36">
        <v>0.8151511874568822</v>
      </c>
      <c r="Z1832" s="36">
        <v>0.1781056687024681</v>
      </c>
      <c r="AA1832" s="29" t="s">
        <v>820</v>
      </c>
      <c r="AB1832" s="31">
        <v>0.394815564156</v>
      </c>
      <c r="AC1832" s="38">
        <v>466.0</v>
      </c>
    </row>
    <row r="1833" ht="14.25" customHeight="1">
      <c r="A1833" s="29" t="s">
        <v>456</v>
      </c>
      <c r="B1833" s="29">
        <v>64.0</v>
      </c>
      <c r="C1833" s="29" t="s">
        <v>608</v>
      </c>
      <c r="D1833" s="29" t="s">
        <v>632</v>
      </c>
      <c r="E1833" s="29">
        <v>173.0</v>
      </c>
      <c r="F1833" s="30" t="s">
        <v>633</v>
      </c>
      <c r="G1833" s="29" t="s">
        <v>611</v>
      </c>
      <c r="H1833" s="31">
        <v>2.5</v>
      </c>
      <c r="I1833" s="29" t="s">
        <v>616</v>
      </c>
      <c r="J1833" s="32" t="s">
        <v>598</v>
      </c>
      <c r="K1833" s="29" t="s">
        <v>599</v>
      </c>
      <c r="L1833" s="29" t="s">
        <v>819</v>
      </c>
      <c r="M1833" s="33">
        <v>-70.081</v>
      </c>
      <c r="N1833" s="33">
        <v>-12.569</v>
      </c>
      <c r="O1833" s="34" t="s">
        <v>601</v>
      </c>
      <c r="P1833" s="32" t="s">
        <v>602</v>
      </c>
      <c r="Q1833" s="35">
        <v>3.0</v>
      </c>
      <c r="R1833" s="35">
        <v>3.0</v>
      </c>
      <c r="S1833" s="36">
        <v>7.9</v>
      </c>
      <c r="T1833" s="36">
        <v>6.2</v>
      </c>
      <c r="U1833" s="36">
        <v>2.8107</v>
      </c>
      <c r="V1833" s="36">
        <v>2.49</v>
      </c>
      <c r="W1833" s="37" t="s">
        <v>623</v>
      </c>
      <c r="X1833" s="31">
        <v>2.0</v>
      </c>
      <c r="Y1833" s="36">
        <v>0.24251592631856753</v>
      </c>
      <c r="Z1833" s="36">
        <v>0.09595858505142306</v>
      </c>
      <c r="AA1833" s="29" t="s">
        <v>820</v>
      </c>
      <c r="AB1833" s="31">
        <v>0.394815564156</v>
      </c>
      <c r="AC1833" s="38">
        <v>466.0</v>
      </c>
    </row>
    <row r="1834" ht="14.25" customHeight="1">
      <c r="A1834" s="29" t="s">
        <v>456</v>
      </c>
      <c r="B1834" s="29">
        <v>64.0</v>
      </c>
      <c r="C1834" s="29" t="s">
        <v>608</v>
      </c>
      <c r="D1834" s="29" t="s">
        <v>825</v>
      </c>
      <c r="E1834" s="29">
        <v>5.0</v>
      </c>
      <c r="F1834" s="30" t="s">
        <v>826</v>
      </c>
      <c r="G1834" s="29" t="s">
        <v>611</v>
      </c>
      <c r="H1834" s="31">
        <v>6.15</v>
      </c>
      <c r="I1834" s="29" t="s">
        <v>612</v>
      </c>
      <c r="J1834" s="32" t="s">
        <v>598</v>
      </c>
      <c r="K1834" s="29" t="s">
        <v>599</v>
      </c>
      <c r="L1834" s="29" t="s">
        <v>819</v>
      </c>
      <c r="M1834" s="33">
        <v>-69.054</v>
      </c>
      <c r="N1834" s="33">
        <v>-12.534</v>
      </c>
      <c r="O1834" s="34" t="s">
        <v>601</v>
      </c>
      <c r="P1834" s="32" t="s">
        <v>602</v>
      </c>
      <c r="Q1834" s="35">
        <v>4.0</v>
      </c>
      <c r="R1834" s="35">
        <v>3.0</v>
      </c>
      <c r="S1834" s="36">
        <v>0.0</v>
      </c>
      <c r="T1834" s="36">
        <v>2.2</v>
      </c>
      <c r="U1834" s="36">
        <v>0.0</v>
      </c>
      <c r="V1834" s="36">
        <v>1.4832</v>
      </c>
      <c r="W1834" s="37" t="s">
        <v>623</v>
      </c>
      <c r="X1834" s="31">
        <v>1.0</v>
      </c>
      <c r="Y1834" s="36">
        <v>-8.262558973010657</v>
      </c>
      <c r="Z1834" s="36">
        <v>0.42983915134887973</v>
      </c>
      <c r="AA1834" s="29" t="s">
        <v>820</v>
      </c>
      <c r="AB1834" s="31">
        <v>0.933396339417</v>
      </c>
      <c r="AC1834" s="38">
        <v>452.0</v>
      </c>
    </row>
    <row r="1835" ht="14.25" customHeight="1">
      <c r="A1835" s="29" t="s">
        <v>456</v>
      </c>
      <c r="B1835" s="29">
        <v>64.0</v>
      </c>
      <c r="C1835" s="29" t="s">
        <v>608</v>
      </c>
      <c r="D1835" s="29" t="s">
        <v>1118</v>
      </c>
      <c r="E1835" s="29">
        <v>15.0</v>
      </c>
      <c r="F1835" s="30" t="s">
        <v>1119</v>
      </c>
      <c r="G1835" s="29" t="s">
        <v>611</v>
      </c>
      <c r="H1835" s="31">
        <v>6.0</v>
      </c>
      <c r="I1835" s="29" t="s">
        <v>597</v>
      </c>
      <c r="J1835" s="32" t="s">
        <v>598</v>
      </c>
      <c r="K1835" s="29" t="s">
        <v>599</v>
      </c>
      <c r="L1835" s="29" t="s">
        <v>819</v>
      </c>
      <c r="M1835" s="33">
        <v>-69.054</v>
      </c>
      <c r="N1835" s="33">
        <v>-12.534</v>
      </c>
      <c r="O1835" s="34" t="s">
        <v>601</v>
      </c>
      <c r="P1835" s="32" t="s">
        <v>602</v>
      </c>
      <c r="Q1835" s="35">
        <v>4.0</v>
      </c>
      <c r="R1835" s="35">
        <v>3.0</v>
      </c>
      <c r="S1835" s="36">
        <v>0.0</v>
      </c>
      <c r="T1835" s="36">
        <v>6.8</v>
      </c>
      <c r="U1835" s="36">
        <v>0.0</v>
      </c>
      <c r="V1835" s="36">
        <v>2.6077</v>
      </c>
      <c r="W1835" s="37" t="s">
        <v>623</v>
      </c>
      <c r="X1835" s="31">
        <v>1.0</v>
      </c>
      <c r="Y1835" s="36">
        <v>-8.262558973010657</v>
      </c>
      <c r="Z1835" s="36">
        <v>0.31041032895477577</v>
      </c>
      <c r="AA1835" s="29" t="s">
        <v>820</v>
      </c>
      <c r="AB1835" s="31">
        <v>0.933396339417</v>
      </c>
      <c r="AC1835" s="38">
        <v>452.0</v>
      </c>
    </row>
    <row r="1836" ht="14.25" customHeight="1">
      <c r="A1836" s="29" t="s">
        <v>456</v>
      </c>
      <c r="B1836" s="29">
        <v>64.0</v>
      </c>
      <c r="C1836" s="29" t="s">
        <v>608</v>
      </c>
      <c r="D1836" s="29" t="s">
        <v>1124</v>
      </c>
      <c r="E1836" s="29">
        <v>164.0</v>
      </c>
      <c r="F1836" s="30" t="s">
        <v>1125</v>
      </c>
      <c r="G1836" s="29" t="s">
        <v>611</v>
      </c>
      <c r="H1836" s="31">
        <v>0.39</v>
      </c>
      <c r="I1836" s="29" t="s">
        <v>616</v>
      </c>
      <c r="J1836" s="32" t="s">
        <v>598</v>
      </c>
      <c r="K1836" s="29" t="s">
        <v>599</v>
      </c>
      <c r="L1836" s="29" t="s">
        <v>819</v>
      </c>
      <c r="M1836" s="33">
        <v>-69.054</v>
      </c>
      <c r="N1836" s="33">
        <v>-12.534</v>
      </c>
      <c r="O1836" s="34" t="s">
        <v>601</v>
      </c>
      <c r="P1836" s="32" t="s">
        <v>602</v>
      </c>
      <c r="Q1836" s="35">
        <v>4.0</v>
      </c>
      <c r="R1836" s="35">
        <v>3.0</v>
      </c>
      <c r="S1836" s="36">
        <v>9.5</v>
      </c>
      <c r="T1836" s="36">
        <v>2.8</v>
      </c>
      <c r="U1836" s="36">
        <v>3.0822</v>
      </c>
      <c r="V1836" s="36">
        <v>1.6733</v>
      </c>
      <c r="W1836" s="37" t="s">
        <v>623</v>
      </c>
      <c r="X1836" s="31">
        <v>1.0</v>
      </c>
      <c r="Y1836" s="36">
        <v>1.2217484200312603</v>
      </c>
      <c r="Z1836" s="36">
        <v>0.14536043564819004</v>
      </c>
      <c r="AA1836" s="29" t="s">
        <v>820</v>
      </c>
      <c r="AB1836" s="31">
        <v>0.933396339417</v>
      </c>
      <c r="AC1836" s="38">
        <v>452.0</v>
      </c>
    </row>
    <row r="1837" ht="14.25" customHeight="1">
      <c r="A1837" s="29" t="s">
        <v>456</v>
      </c>
      <c r="B1837" s="29">
        <v>64.0</v>
      </c>
      <c r="C1837" s="29" t="s">
        <v>608</v>
      </c>
      <c r="D1837" s="29" t="s">
        <v>1126</v>
      </c>
      <c r="E1837" s="29">
        <v>169.0</v>
      </c>
      <c r="F1837" s="30" t="s">
        <v>1127</v>
      </c>
      <c r="G1837" s="29" t="s">
        <v>611</v>
      </c>
      <c r="H1837" s="31">
        <v>0.62</v>
      </c>
      <c r="I1837" s="29" t="s">
        <v>616</v>
      </c>
      <c r="J1837" s="32" t="s">
        <v>598</v>
      </c>
      <c r="K1837" s="29" t="s">
        <v>599</v>
      </c>
      <c r="L1837" s="29" t="s">
        <v>819</v>
      </c>
      <c r="M1837" s="33">
        <v>-69.054</v>
      </c>
      <c r="N1837" s="33">
        <v>-12.534</v>
      </c>
      <c r="O1837" s="34" t="s">
        <v>601</v>
      </c>
      <c r="P1837" s="32" t="s">
        <v>602</v>
      </c>
      <c r="Q1837" s="35">
        <v>4.0</v>
      </c>
      <c r="R1837" s="35">
        <v>3.0</v>
      </c>
      <c r="S1837" s="36">
        <v>2.3</v>
      </c>
      <c r="T1837" s="36">
        <v>2.7</v>
      </c>
      <c r="U1837" s="36">
        <v>1.5166</v>
      </c>
      <c r="V1837" s="36">
        <v>1.6432</v>
      </c>
      <c r="W1837" s="37" t="s">
        <v>623</v>
      </c>
      <c r="X1837" s="31">
        <v>1.0</v>
      </c>
      <c r="Y1837" s="36">
        <v>-0.16003982878789372</v>
      </c>
      <c r="Z1837" s="36">
        <v>0.2321608709819063</v>
      </c>
      <c r="AA1837" s="29" t="s">
        <v>820</v>
      </c>
      <c r="AB1837" s="31">
        <v>0.933396339417</v>
      </c>
      <c r="AC1837" s="38">
        <v>452.0</v>
      </c>
    </row>
    <row r="1838" ht="14.25" customHeight="1">
      <c r="A1838" s="29" t="s">
        <v>456</v>
      </c>
      <c r="B1838" s="29">
        <v>64.0</v>
      </c>
      <c r="C1838" s="29" t="s">
        <v>608</v>
      </c>
      <c r="D1838" s="29" t="s">
        <v>632</v>
      </c>
      <c r="E1838" s="29">
        <v>173.0</v>
      </c>
      <c r="F1838" s="30" t="s">
        <v>633</v>
      </c>
      <c r="G1838" s="29" t="s">
        <v>611</v>
      </c>
      <c r="H1838" s="31">
        <v>2.5</v>
      </c>
      <c r="I1838" s="29" t="s">
        <v>616</v>
      </c>
      <c r="J1838" s="32" t="s">
        <v>598</v>
      </c>
      <c r="K1838" s="29" t="s">
        <v>599</v>
      </c>
      <c r="L1838" s="29" t="s">
        <v>819</v>
      </c>
      <c r="M1838" s="33">
        <v>-69.054</v>
      </c>
      <c r="N1838" s="33">
        <v>-12.534</v>
      </c>
      <c r="O1838" s="34" t="s">
        <v>601</v>
      </c>
      <c r="P1838" s="32" t="s">
        <v>602</v>
      </c>
      <c r="Q1838" s="35">
        <v>4.0</v>
      </c>
      <c r="R1838" s="35">
        <v>3.0</v>
      </c>
      <c r="S1838" s="36">
        <v>1.0</v>
      </c>
      <c r="T1838" s="36">
        <v>6.2</v>
      </c>
      <c r="U1838" s="36">
        <v>1.0</v>
      </c>
      <c r="V1838" s="36">
        <v>2.49</v>
      </c>
      <c r="W1838" s="37" t="s">
        <v>623</v>
      </c>
      <c r="X1838" s="31">
        <v>1.0</v>
      </c>
      <c r="Y1838" s="36">
        <v>-1.822950982824712</v>
      </c>
      <c r="Z1838" s="36">
        <v>0.303764308012487</v>
      </c>
      <c r="AA1838" s="29" t="s">
        <v>820</v>
      </c>
      <c r="AB1838" s="31">
        <v>0.933396339417</v>
      </c>
      <c r="AC1838" s="38">
        <v>452.0</v>
      </c>
    </row>
    <row r="1839" ht="14.25" customHeight="1">
      <c r="A1839" s="29" t="s">
        <v>88</v>
      </c>
      <c r="B1839" s="29">
        <v>48.0</v>
      </c>
      <c r="C1839" s="29" t="s">
        <v>608</v>
      </c>
      <c r="D1839" s="29" t="s">
        <v>931</v>
      </c>
      <c r="E1839" s="29">
        <v>83.0</v>
      </c>
      <c r="F1839" s="30" t="s">
        <v>932</v>
      </c>
      <c r="G1839" s="29" t="s">
        <v>611</v>
      </c>
      <c r="H1839" s="31">
        <v>131.63</v>
      </c>
      <c r="I1839" s="29" t="s">
        <v>612</v>
      </c>
      <c r="J1839" s="32" t="s">
        <v>714</v>
      </c>
      <c r="K1839" s="29" t="s">
        <v>698</v>
      </c>
      <c r="L1839" s="29" t="s">
        <v>1144</v>
      </c>
      <c r="M1839" s="33">
        <v>16.801</v>
      </c>
      <c r="N1839" s="33">
        <v>1.963</v>
      </c>
      <c r="O1839" s="34" t="s">
        <v>601</v>
      </c>
      <c r="P1839" s="32" t="s">
        <v>643</v>
      </c>
      <c r="Q1839" s="35">
        <v>18.0</v>
      </c>
      <c r="R1839" s="35">
        <v>14.0</v>
      </c>
      <c r="S1839" s="36">
        <v>12.0</v>
      </c>
      <c r="T1839" s="36">
        <v>10.2857</v>
      </c>
      <c r="U1839" s="36">
        <v>18.6137</v>
      </c>
      <c r="V1839" s="36">
        <v>13.792</v>
      </c>
      <c r="W1839" s="37" t="s">
        <v>623</v>
      </c>
      <c r="X1839" s="31">
        <v>0.25</v>
      </c>
      <c r="Y1839" s="36">
        <v>0.15437318504996708</v>
      </c>
      <c r="Z1839" s="36">
        <v>0.2620966297719538</v>
      </c>
      <c r="AA1839" s="29" t="s">
        <v>820</v>
      </c>
      <c r="AB1839" s="31">
        <v>0.848312556744</v>
      </c>
      <c r="AC1839" s="38">
        <v>4481.0</v>
      </c>
    </row>
    <row r="1840" ht="14.25" customHeight="1">
      <c r="A1840" s="29" t="s">
        <v>88</v>
      </c>
      <c r="B1840" s="29">
        <v>48.0</v>
      </c>
      <c r="C1840" s="29" t="s">
        <v>608</v>
      </c>
      <c r="D1840" s="29" t="s">
        <v>931</v>
      </c>
      <c r="E1840" s="29">
        <v>83.0</v>
      </c>
      <c r="F1840" s="30" t="s">
        <v>932</v>
      </c>
      <c r="G1840" s="29" t="s">
        <v>611</v>
      </c>
      <c r="H1840" s="31">
        <v>131.63</v>
      </c>
      <c r="I1840" s="29" t="s">
        <v>612</v>
      </c>
      <c r="J1840" s="32" t="s">
        <v>714</v>
      </c>
      <c r="K1840" s="29" t="s">
        <v>698</v>
      </c>
      <c r="L1840" s="29" t="s">
        <v>1144</v>
      </c>
      <c r="M1840" s="33">
        <v>16.801</v>
      </c>
      <c r="N1840" s="33">
        <v>1.963</v>
      </c>
      <c r="O1840" s="34" t="s">
        <v>601</v>
      </c>
      <c r="P1840" s="32" t="s">
        <v>643</v>
      </c>
      <c r="Q1840" s="35">
        <v>12.0</v>
      </c>
      <c r="R1840" s="35">
        <v>14.0</v>
      </c>
      <c r="S1840" s="36">
        <v>9.0</v>
      </c>
      <c r="T1840" s="36">
        <v>10.2857</v>
      </c>
      <c r="U1840" s="36">
        <v>14.1421</v>
      </c>
      <c r="V1840" s="36">
        <v>13.792</v>
      </c>
      <c r="W1840" s="37" t="s">
        <v>623</v>
      </c>
      <c r="X1840" s="31">
        <v>0.75</v>
      </c>
      <c r="Y1840" s="36">
        <v>-0.1332351928211792</v>
      </c>
      <c r="Z1840" s="36">
        <v>0.33418799502529734</v>
      </c>
      <c r="AA1840" s="29" t="s">
        <v>820</v>
      </c>
      <c r="AB1840" s="31">
        <v>0.848312556744</v>
      </c>
      <c r="AC1840" s="38">
        <v>4481.0</v>
      </c>
    </row>
    <row r="1841" ht="14.25" customHeight="1">
      <c r="A1841" s="29" t="s">
        <v>88</v>
      </c>
      <c r="B1841" s="29">
        <v>48.0</v>
      </c>
      <c r="C1841" s="29" t="s">
        <v>608</v>
      </c>
      <c r="D1841" s="29" t="s">
        <v>931</v>
      </c>
      <c r="E1841" s="29">
        <v>83.0</v>
      </c>
      <c r="F1841" s="30" t="s">
        <v>932</v>
      </c>
      <c r="G1841" s="29" t="s">
        <v>611</v>
      </c>
      <c r="H1841" s="31">
        <v>131.63</v>
      </c>
      <c r="I1841" s="29" t="s">
        <v>612</v>
      </c>
      <c r="J1841" s="32" t="s">
        <v>714</v>
      </c>
      <c r="K1841" s="29" t="s">
        <v>698</v>
      </c>
      <c r="L1841" s="29" t="s">
        <v>1144</v>
      </c>
      <c r="M1841" s="33">
        <v>16.801</v>
      </c>
      <c r="N1841" s="33">
        <v>1.963</v>
      </c>
      <c r="O1841" s="34" t="s">
        <v>601</v>
      </c>
      <c r="P1841" s="32" t="s">
        <v>643</v>
      </c>
      <c r="Q1841" s="35">
        <v>13.0</v>
      </c>
      <c r="R1841" s="35">
        <v>14.0</v>
      </c>
      <c r="S1841" s="36">
        <v>2.0769</v>
      </c>
      <c r="T1841" s="36">
        <v>10.2857</v>
      </c>
      <c r="U1841" s="36">
        <v>3.2006</v>
      </c>
      <c r="V1841" s="36">
        <v>13.792</v>
      </c>
      <c r="W1841" s="37" t="s">
        <v>623</v>
      </c>
      <c r="X1841" s="31">
        <v>1.25</v>
      </c>
      <c r="Y1841" s="36">
        <v>-1.598601282799653</v>
      </c>
      <c r="Z1841" s="36">
        <v>0.31110656807534187</v>
      </c>
      <c r="AA1841" s="29" t="s">
        <v>820</v>
      </c>
      <c r="AB1841" s="31">
        <v>0.848312556744</v>
      </c>
      <c r="AC1841" s="38">
        <v>4481.0</v>
      </c>
    </row>
    <row r="1842" ht="14.25" customHeight="1">
      <c r="A1842" s="29" t="s">
        <v>88</v>
      </c>
      <c r="B1842" s="29">
        <v>48.0</v>
      </c>
      <c r="C1842" s="29" t="s">
        <v>608</v>
      </c>
      <c r="D1842" s="29" t="s">
        <v>931</v>
      </c>
      <c r="E1842" s="29">
        <v>83.0</v>
      </c>
      <c r="F1842" s="30" t="s">
        <v>932</v>
      </c>
      <c r="G1842" s="29" t="s">
        <v>611</v>
      </c>
      <c r="H1842" s="31">
        <v>131.63</v>
      </c>
      <c r="I1842" s="29" t="s">
        <v>612</v>
      </c>
      <c r="J1842" s="32" t="s">
        <v>714</v>
      </c>
      <c r="K1842" s="29" t="s">
        <v>698</v>
      </c>
      <c r="L1842" s="29" t="s">
        <v>1144</v>
      </c>
      <c r="M1842" s="33">
        <v>16.801</v>
      </c>
      <c r="N1842" s="33">
        <v>1.963</v>
      </c>
      <c r="O1842" s="34" t="s">
        <v>601</v>
      </c>
      <c r="P1842" s="32" t="s">
        <v>643</v>
      </c>
      <c r="Q1842" s="35">
        <v>11.0</v>
      </c>
      <c r="R1842" s="35">
        <v>14.0</v>
      </c>
      <c r="S1842" s="36">
        <v>5.2727</v>
      </c>
      <c r="T1842" s="36">
        <v>10.2857</v>
      </c>
      <c r="U1842" s="36">
        <v>6.0182</v>
      </c>
      <c r="V1842" s="36">
        <v>13.792</v>
      </c>
      <c r="W1842" s="37" t="s">
        <v>623</v>
      </c>
      <c r="X1842" s="31">
        <v>2.0</v>
      </c>
      <c r="Y1842" s="36">
        <v>-0.6677088538388893</v>
      </c>
      <c r="Z1842" s="36">
        <v>0.24686117645472105</v>
      </c>
      <c r="AA1842" s="29" t="s">
        <v>820</v>
      </c>
      <c r="AB1842" s="31">
        <v>0.848312556744</v>
      </c>
      <c r="AC1842" s="38">
        <v>4481.0</v>
      </c>
    </row>
    <row r="1843" ht="14.25" customHeight="1">
      <c r="A1843" s="29" t="s">
        <v>88</v>
      </c>
      <c r="B1843" s="29">
        <v>48.0</v>
      </c>
      <c r="C1843" s="29" t="s">
        <v>608</v>
      </c>
      <c r="D1843" s="29" t="s">
        <v>931</v>
      </c>
      <c r="E1843" s="29">
        <v>83.0</v>
      </c>
      <c r="F1843" s="30" t="s">
        <v>932</v>
      </c>
      <c r="G1843" s="29" t="s">
        <v>611</v>
      </c>
      <c r="H1843" s="31">
        <v>131.63</v>
      </c>
      <c r="I1843" s="29" t="s">
        <v>612</v>
      </c>
      <c r="J1843" s="32" t="s">
        <v>714</v>
      </c>
      <c r="K1843" s="29" t="s">
        <v>698</v>
      </c>
      <c r="L1843" s="29" t="s">
        <v>1144</v>
      </c>
      <c r="M1843" s="33">
        <v>16.801</v>
      </c>
      <c r="N1843" s="33">
        <v>1.963</v>
      </c>
      <c r="O1843" s="34" t="s">
        <v>601</v>
      </c>
      <c r="P1843" s="32" t="s">
        <v>643</v>
      </c>
      <c r="Q1843" s="35">
        <v>14.0</v>
      </c>
      <c r="R1843" s="35">
        <v>14.0</v>
      </c>
      <c r="S1843" s="36">
        <v>3.3571</v>
      </c>
      <c r="T1843" s="36">
        <v>10.2857</v>
      </c>
      <c r="U1843" s="36">
        <v>5.0323</v>
      </c>
      <c r="V1843" s="36">
        <v>13.792</v>
      </c>
      <c r="W1843" s="37" t="s">
        <v>623</v>
      </c>
      <c r="X1843" s="31">
        <v>3.25</v>
      </c>
      <c r="Y1843" s="36">
        <v>-1.1188869165178204</v>
      </c>
      <c r="Z1843" s="36">
        <v>0.28892823909213</v>
      </c>
      <c r="AA1843" s="29" t="s">
        <v>820</v>
      </c>
      <c r="AB1843" s="31">
        <v>0.848312556744</v>
      </c>
      <c r="AC1843" s="38">
        <v>4481.0</v>
      </c>
    </row>
    <row r="1844" ht="14.25" customHeight="1">
      <c r="A1844" s="29" t="s">
        <v>88</v>
      </c>
      <c r="B1844" s="29">
        <v>48.0</v>
      </c>
      <c r="C1844" s="29" t="s">
        <v>608</v>
      </c>
      <c r="D1844" s="29" t="s">
        <v>931</v>
      </c>
      <c r="E1844" s="29">
        <v>83.0</v>
      </c>
      <c r="F1844" s="30" t="s">
        <v>932</v>
      </c>
      <c r="G1844" s="29" t="s">
        <v>611</v>
      </c>
      <c r="H1844" s="31">
        <v>131.63</v>
      </c>
      <c r="I1844" s="29" t="s">
        <v>612</v>
      </c>
      <c r="J1844" s="32" t="s">
        <v>714</v>
      </c>
      <c r="K1844" s="29" t="s">
        <v>698</v>
      </c>
      <c r="L1844" s="29" t="s">
        <v>1144</v>
      </c>
      <c r="M1844" s="33">
        <v>16.801</v>
      </c>
      <c r="N1844" s="33">
        <v>1.963</v>
      </c>
      <c r="O1844" s="34" t="s">
        <v>601</v>
      </c>
      <c r="P1844" s="32" t="s">
        <v>643</v>
      </c>
      <c r="Q1844" s="35">
        <v>10.0</v>
      </c>
      <c r="R1844" s="35">
        <v>14.0</v>
      </c>
      <c r="S1844" s="36">
        <v>6.1</v>
      </c>
      <c r="T1844" s="36">
        <v>10.2857</v>
      </c>
      <c r="U1844" s="36">
        <v>8.3991</v>
      </c>
      <c r="V1844" s="36">
        <v>13.792</v>
      </c>
      <c r="W1844" s="37" t="s">
        <v>623</v>
      </c>
      <c r="X1844" s="31">
        <v>5.0</v>
      </c>
      <c r="Y1844" s="36">
        <v>-0.5220308734458516</v>
      </c>
      <c r="Z1844" s="36">
        <v>0.3180135272109875</v>
      </c>
      <c r="AA1844" s="29" t="s">
        <v>820</v>
      </c>
      <c r="AB1844" s="31">
        <v>0.848312556744</v>
      </c>
      <c r="AC1844" s="38">
        <v>4481.0</v>
      </c>
    </row>
    <row r="1845" ht="14.25" customHeight="1">
      <c r="A1845" s="29" t="s">
        <v>88</v>
      </c>
      <c r="B1845" s="29">
        <v>48.0</v>
      </c>
      <c r="C1845" s="29" t="s">
        <v>608</v>
      </c>
      <c r="D1845" s="29" t="s">
        <v>931</v>
      </c>
      <c r="E1845" s="29">
        <v>83.0</v>
      </c>
      <c r="F1845" s="30" t="s">
        <v>932</v>
      </c>
      <c r="G1845" s="29" t="s">
        <v>611</v>
      </c>
      <c r="H1845" s="31">
        <v>131.63</v>
      </c>
      <c r="I1845" s="29" t="s">
        <v>612</v>
      </c>
      <c r="J1845" s="32" t="s">
        <v>714</v>
      </c>
      <c r="K1845" s="29" t="s">
        <v>698</v>
      </c>
      <c r="L1845" s="29" t="s">
        <v>1144</v>
      </c>
      <c r="M1845" s="33">
        <v>16.801</v>
      </c>
      <c r="N1845" s="33">
        <v>1.963</v>
      </c>
      <c r="O1845" s="34" t="s">
        <v>601</v>
      </c>
      <c r="P1845" s="32" t="s">
        <v>643</v>
      </c>
      <c r="Q1845" s="35">
        <v>14.0</v>
      </c>
      <c r="R1845" s="35">
        <v>14.0</v>
      </c>
      <c r="S1845" s="36">
        <v>0.4286</v>
      </c>
      <c r="T1845" s="36">
        <v>10.2857</v>
      </c>
      <c r="U1845" s="36">
        <v>1.3425</v>
      </c>
      <c r="V1845" s="36">
        <v>13.792</v>
      </c>
      <c r="W1845" s="37" t="s">
        <v>623</v>
      </c>
      <c r="X1845" s="31">
        <v>7.0</v>
      </c>
      <c r="Y1845" s="36">
        <v>-3.1718133366820562</v>
      </c>
      <c r="Z1845" s="36">
        <v>0.8292311461958901</v>
      </c>
      <c r="AA1845" s="29" t="s">
        <v>820</v>
      </c>
      <c r="AB1845" s="31">
        <v>0.848312556744</v>
      </c>
      <c r="AC1845" s="38">
        <v>4481.0</v>
      </c>
    </row>
    <row r="1846" ht="14.25" customHeight="1">
      <c r="A1846" s="29" t="s">
        <v>88</v>
      </c>
      <c r="B1846" s="29">
        <v>48.0</v>
      </c>
      <c r="C1846" s="29" t="s">
        <v>608</v>
      </c>
      <c r="D1846" s="29" t="s">
        <v>931</v>
      </c>
      <c r="E1846" s="29">
        <v>83.0</v>
      </c>
      <c r="F1846" s="30" t="s">
        <v>932</v>
      </c>
      <c r="G1846" s="29" t="s">
        <v>611</v>
      </c>
      <c r="H1846" s="31">
        <v>131.63</v>
      </c>
      <c r="I1846" s="29" t="s">
        <v>612</v>
      </c>
      <c r="J1846" s="32" t="s">
        <v>714</v>
      </c>
      <c r="K1846" s="29" t="s">
        <v>698</v>
      </c>
      <c r="L1846" s="29" t="s">
        <v>1144</v>
      </c>
      <c r="M1846" s="33">
        <v>16.801</v>
      </c>
      <c r="N1846" s="33">
        <v>1.963</v>
      </c>
      <c r="O1846" s="34" t="s">
        <v>601</v>
      </c>
      <c r="P1846" s="32" t="s">
        <v>643</v>
      </c>
      <c r="Q1846" s="35">
        <v>12.0</v>
      </c>
      <c r="R1846" s="35">
        <v>14.0</v>
      </c>
      <c r="S1846" s="36">
        <v>6.4167</v>
      </c>
      <c r="T1846" s="36">
        <v>10.2857</v>
      </c>
      <c r="U1846" s="36">
        <v>10.2288</v>
      </c>
      <c r="V1846" s="36">
        <v>13.792</v>
      </c>
      <c r="W1846" s="37" t="s">
        <v>623</v>
      </c>
      <c r="X1846" s="31">
        <v>9.0</v>
      </c>
      <c r="Y1846" s="36">
        <v>-0.4714371398743475</v>
      </c>
      <c r="Z1846" s="36">
        <v>0.34018807044497357</v>
      </c>
      <c r="AA1846" s="29" t="s">
        <v>820</v>
      </c>
      <c r="AB1846" s="31">
        <v>0.848312556744</v>
      </c>
      <c r="AC1846" s="38">
        <v>4481.0</v>
      </c>
    </row>
    <row r="1847" ht="14.25" customHeight="1">
      <c r="A1847" s="29" t="s">
        <v>88</v>
      </c>
      <c r="B1847" s="29">
        <v>48.0</v>
      </c>
      <c r="C1847" s="29" t="s">
        <v>608</v>
      </c>
      <c r="D1847" s="29" t="s">
        <v>931</v>
      </c>
      <c r="E1847" s="29">
        <v>83.0</v>
      </c>
      <c r="F1847" s="30" t="s">
        <v>932</v>
      </c>
      <c r="G1847" s="29" t="s">
        <v>611</v>
      </c>
      <c r="H1847" s="31">
        <v>131.63</v>
      </c>
      <c r="I1847" s="29" t="s">
        <v>612</v>
      </c>
      <c r="J1847" s="32" t="s">
        <v>714</v>
      </c>
      <c r="K1847" s="29" t="s">
        <v>698</v>
      </c>
      <c r="L1847" s="29" t="s">
        <v>1144</v>
      </c>
      <c r="M1847" s="33">
        <v>16.801</v>
      </c>
      <c r="N1847" s="33">
        <v>1.963</v>
      </c>
      <c r="O1847" s="34" t="s">
        <v>601</v>
      </c>
      <c r="P1847" s="32" t="s">
        <v>643</v>
      </c>
      <c r="Q1847" s="35">
        <v>12.0</v>
      </c>
      <c r="R1847" s="35">
        <v>14.0</v>
      </c>
      <c r="S1847" s="36">
        <v>8.8333</v>
      </c>
      <c r="T1847" s="36">
        <v>10.2857</v>
      </c>
      <c r="U1847" s="36">
        <v>14.0249</v>
      </c>
      <c r="V1847" s="36">
        <v>13.792</v>
      </c>
      <c r="W1847" s="37" t="s">
        <v>623</v>
      </c>
      <c r="X1847" s="31">
        <v>11.0</v>
      </c>
      <c r="Y1847" s="36">
        <v>-0.1519255366572999</v>
      </c>
      <c r="Z1847" s="36">
        <v>0.3385017317103372</v>
      </c>
      <c r="AA1847" s="29" t="s">
        <v>820</v>
      </c>
      <c r="AB1847" s="31">
        <v>0.848312556744</v>
      </c>
      <c r="AC1847" s="38">
        <v>4481.0</v>
      </c>
    </row>
    <row r="1848" ht="14.25" customHeight="1">
      <c r="A1848" s="29" t="s">
        <v>88</v>
      </c>
      <c r="B1848" s="29">
        <v>48.0</v>
      </c>
      <c r="C1848" s="29" t="s">
        <v>608</v>
      </c>
      <c r="D1848" s="29" t="s">
        <v>931</v>
      </c>
      <c r="E1848" s="29">
        <v>83.0</v>
      </c>
      <c r="F1848" s="30" t="s">
        <v>932</v>
      </c>
      <c r="G1848" s="29" t="s">
        <v>611</v>
      </c>
      <c r="H1848" s="31">
        <v>131.63</v>
      </c>
      <c r="I1848" s="29" t="s">
        <v>612</v>
      </c>
      <c r="J1848" s="32" t="s">
        <v>714</v>
      </c>
      <c r="K1848" s="29" t="s">
        <v>698</v>
      </c>
      <c r="L1848" s="29" t="s">
        <v>1144</v>
      </c>
      <c r="M1848" s="33">
        <v>16.801</v>
      </c>
      <c r="N1848" s="33">
        <v>1.963</v>
      </c>
      <c r="O1848" s="34" t="s">
        <v>601</v>
      </c>
      <c r="P1848" s="32" t="s">
        <v>643</v>
      </c>
      <c r="Q1848" s="35">
        <v>11.0</v>
      </c>
      <c r="R1848" s="35">
        <v>14.0</v>
      </c>
      <c r="S1848" s="36">
        <v>4.2727</v>
      </c>
      <c r="T1848" s="36">
        <v>10.2857</v>
      </c>
      <c r="U1848" s="36">
        <v>7.0013</v>
      </c>
      <c r="V1848" s="36">
        <v>13.792</v>
      </c>
      <c r="W1848" s="37" t="s">
        <v>623</v>
      </c>
      <c r="X1848" s="31">
        <v>13.0</v>
      </c>
      <c r="Y1848" s="36">
        <v>-0.8778877477487939</v>
      </c>
      <c r="Z1848" s="36">
        <v>0.37252327930542084</v>
      </c>
      <c r="AA1848" s="29" t="s">
        <v>820</v>
      </c>
      <c r="AB1848" s="31">
        <v>0.848312556744</v>
      </c>
      <c r="AC1848" s="38">
        <v>4481.0</v>
      </c>
    </row>
    <row r="1849" ht="14.25" customHeight="1">
      <c r="A1849" s="29" t="s">
        <v>88</v>
      </c>
      <c r="B1849" s="29">
        <v>48.0</v>
      </c>
      <c r="C1849" s="29" t="s">
        <v>608</v>
      </c>
      <c r="D1849" s="29" t="s">
        <v>931</v>
      </c>
      <c r="E1849" s="29">
        <v>83.0</v>
      </c>
      <c r="F1849" s="30" t="s">
        <v>932</v>
      </c>
      <c r="G1849" s="29" t="s">
        <v>611</v>
      </c>
      <c r="H1849" s="31">
        <v>131.63</v>
      </c>
      <c r="I1849" s="29" t="s">
        <v>612</v>
      </c>
      <c r="J1849" s="32" t="s">
        <v>714</v>
      </c>
      <c r="K1849" s="29" t="s">
        <v>698</v>
      </c>
      <c r="L1849" s="29" t="s">
        <v>1144</v>
      </c>
      <c r="M1849" s="33">
        <v>16.801</v>
      </c>
      <c r="N1849" s="33">
        <v>1.963</v>
      </c>
      <c r="O1849" s="34" t="s">
        <v>601</v>
      </c>
      <c r="P1849" s="32" t="s">
        <v>643</v>
      </c>
      <c r="Q1849" s="35">
        <v>11.0</v>
      </c>
      <c r="R1849" s="35">
        <v>14.0</v>
      </c>
      <c r="S1849" s="36">
        <v>6.7273</v>
      </c>
      <c r="T1849" s="36">
        <v>10.2857</v>
      </c>
      <c r="U1849" s="36">
        <v>11.7736</v>
      </c>
      <c r="V1849" s="36">
        <v>13.792</v>
      </c>
      <c r="W1849" s="37" t="s">
        <v>623</v>
      </c>
      <c r="X1849" s="31">
        <v>16.0</v>
      </c>
      <c r="Y1849" s="36">
        <v>-0.4241863186607386</v>
      </c>
      <c r="Z1849" s="36">
        <v>0.40687582715647225</v>
      </c>
      <c r="AA1849" s="29" t="s">
        <v>820</v>
      </c>
      <c r="AB1849" s="31">
        <v>0.848312556744</v>
      </c>
      <c r="AC1849" s="38">
        <v>4481.0</v>
      </c>
    </row>
    <row r="1850" ht="14.25" customHeight="1">
      <c r="A1850" s="29" t="s">
        <v>88</v>
      </c>
      <c r="B1850" s="29">
        <v>48.0</v>
      </c>
      <c r="C1850" s="29" t="s">
        <v>608</v>
      </c>
      <c r="D1850" s="29" t="s">
        <v>931</v>
      </c>
      <c r="E1850" s="29">
        <v>83.0</v>
      </c>
      <c r="F1850" s="30" t="s">
        <v>932</v>
      </c>
      <c r="G1850" s="29" t="s">
        <v>611</v>
      </c>
      <c r="H1850" s="31">
        <v>131.63</v>
      </c>
      <c r="I1850" s="29" t="s">
        <v>612</v>
      </c>
      <c r="J1850" s="32" t="s">
        <v>714</v>
      </c>
      <c r="K1850" s="29" t="s">
        <v>698</v>
      </c>
      <c r="L1850" s="29" t="s">
        <v>1144</v>
      </c>
      <c r="M1850" s="33">
        <v>16.801</v>
      </c>
      <c r="N1850" s="33">
        <v>1.963</v>
      </c>
      <c r="O1850" s="34" t="s">
        <v>601</v>
      </c>
      <c r="P1850" s="32" t="s">
        <v>643</v>
      </c>
      <c r="Q1850" s="35">
        <v>13.0</v>
      </c>
      <c r="R1850" s="35">
        <v>14.0</v>
      </c>
      <c r="S1850" s="36">
        <v>5.3846</v>
      </c>
      <c r="T1850" s="36">
        <v>10.2857</v>
      </c>
      <c r="U1850" s="36">
        <v>8.1807</v>
      </c>
      <c r="V1850" s="36">
        <v>13.792</v>
      </c>
      <c r="W1850" s="37" t="s">
        <v>623</v>
      </c>
      <c r="X1850" s="31">
        <v>20.0</v>
      </c>
      <c r="Y1850" s="36">
        <v>-0.6467188455965146</v>
      </c>
      <c r="Z1850" s="36">
        <v>0.3059818073961552</v>
      </c>
      <c r="AA1850" s="29" t="s">
        <v>820</v>
      </c>
      <c r="AB1850" s="31">
        <v>0.848312556744</v>
      </c>
      <c r="AC1850" s="38">
        <v>4481.0</v>
      </c>
    </row>
    <row r="1851" ht="14.25" customHeight="1">
      <c r="A1851" s="29" t="s">
        <v>88</v>
      </c>
      <c r="B1851" s="29">
        <v>48.0</v>
      </c>
      <c r="C1851" s="29" t="s">
        <v>608</v>
      </c>
      <c r="D1851" s="29" t="s">
        <v>751</v>
      </c>
      <c r="E1851" s="29">
        <v>97.0</v>
      </c>
      <c r="F1851" s="30" t="s">
        <v>752</v>
      </c>
      <c r="G1851" s="29" t="s">
        <v>753</v>
      </c>
      <c r="H1851" s="31">
        <v>3940.03</v>
      </c>
      <c r="I1851" s="29" t="s">
        <v>612</v>
      </c>
      <c r="J1851" s="32" t="s">
        <v>714</v>
      </c>
      <c r="K1851" s="29" t="s">
        <v>698</v>
      </c>
      <c r="L1851" s="29" t="s">
        <v>1144</v>
      </c>
      <c r="M1851" s="33">
        <v>16.801</v>
      </c>
      <c r="N1851" s="33">
        <v>1.963</v>
      </c>
      <c r="O1851" s="34" t="s">
        <v>601</v>
      </c>
      <c r="P1851" s="32" t="s">
        <v>643</v>
      </c>
      <c r="Q1851" s="35">
        <v>18.0</v>
      </c>
      <c r="R1851" s="35">
        <v>14.0</v>
      </c>
      <c r="S1851" s="36">
        <v>12.8889</v>
      </c>
      <c r="T1851" s="36">
        <v>4.2857</v>
      </c>
      <c r="U1851" s="36">
        <v>10.8296</v>
      </c>
      <c r="V1851" s="36">
        <v>5.441</v>
      </c>
      <c r="W1851" s="37" t="s">
        <v>623</v>
      </c>
      <c r="X1851" s="31">
        <v>0.25</v>
      </c>
      <c r="Y1851" s="36">
        <v>1.1011683600224078</v>
      </c>
      <c r="Z1851" s="36">
        <v>0.15435048138373095</v>
      </c>
      <c r="AA1851" s="29" t="s">
        <v>820</v>
      </c>
      <c r="AB1851" s="31">
        <v>0.848312556744</v>
      </c>
      <c r="AC1851" s="38">
        <v>4481.0</v>
      </c>
    </row>
    <row r="1852" ht="14.25" customHeight="1">
      <c r="A1852" s="29" t="s">
        <v>88</v>
      </c>
      <c r="B1852" s="29">
        <v>48.0</v>
      </c>
      <c r="C1852" s="29" t="s">
        <v>608</v>
      </c>
      <c r="D1852" s="29" t="s">
        <v>751</v>
      </c>
      <c r="E1852" s="29">
        <v>97.0</v>
      </c>
      <c r="F1852" s="30" t="s">
        <v>752</v>
      </c>
      <c r="G1852" s="29" t="s">
        <v>753</v>
      </c>
      <c r="H1852" s="31">
        <v>3940.03</v>
      </c>
      <c r="I1852" s="29" t="s">
        <v>612</v>
      </c>
      <c r="J1852" s="32" t="s">
        <v>714</v>
      </c>
      <c r="K1852" s="29" t="s">
        <v>698</v>
      </c>
      <c r="L1852" s="29" t="s">
        <v>1144</v>
      </c>
      <c r="M1852" s="33">
        <v>16.801</v>
      </c>
      <c r="N1852" s="33">
        <v>1.963</v>
      </c>
      <c r="O1852" s="34" t="s">
        <v>601</v>
      </c>
      <c r="P1852" s="32" t="s">
        <v>643</v>
      </c>
      <c r="Q1852" s="35">
        <v>12.0</v>
      </c>
      <c r="R1852" s="35">
        <v>14.0</v>
      </c>
      <c r="S1852" s="36">
        <v>11.4167</v>
      </c>
      <c r="T1852" s="36">
        <v>4.2857</v>
      </c>
      <c r="U1852" s="36">
        <v>11.2044</v>
      </c>
      <c r="V1852" s="36">
        <v>5.441</v>
      </c>
      <c r="W1852" s="37" t="s">
        <v>623</v>
      </c>
      <c r="X1852" s="31">
        <v>0.75</v>
      </c>
      <c r="Y1852" s="36">
        <v>0.9798901412922608</v>
      </c>
      <c r="Z1852" s="36">
        <v>0.19539219331560495</v>
      </c>
      <c r="AA1852" s="29" t="s">
        <v>820</v>
      </c>
      <c r="AB1852" s="31">
        <v>0.848312556744</v>
      </c>
      <c r="AC1852" s="38">
        <v>4481.0</v>
      </c>
    </row>
    <row r="1853" ht="14.25" customHeight="1">
      <c r="A1853" s="29" t="s">
        <v>88</v>
      </c>
      <c r="B1853" s="29">
        <v>48.0</v>
      </c>
      <c r="C1853" s="29" t="s">
        <v>608</v>
      </c>
      <c r="D1853" s="29" t="s">
        <v>751</v>
      </c>
      <c r="E1853" s="29">
        <v>97.0</v>
      </c>
      <c r="F1853" s="30" t="s">
        <v>752</v>
      </c>
      <c r="G1853" s="29" t="s">
        <v>753</v>
      </c>
      <c r="H1853" s="31">
        <v>3940.03</v>
      </c>
      <c r="I1853" s="29" t="s">
        <v>612</v>
      </c>
      <c r="J1853" s="32" t="s">
        <v>714</v>
      </c>
      <c r="K1853" s="29" t="s">
        <v>698</v>
      </c>
      <c r="L1853" s="29" t="s">
        <v>1144</v>
      </c>
      <c r="M1853" s="33">
        <v>16.801</v>
      </c>
      <c r="N1853" s="33">
        <v>1.963</v>
      </c>
      <c r="O1853" s="34" t="s">
        <v>601</v>
      </c>
      <c r="P1853" s="32" t="s">
        <v>643</v>
      </c>
      <c r="Q1853" s="35">
        <v>13.0</v>
      </c>
      <c r="R1853" s="35">
        <v>14.0</v>
      </c>
      <c r="S1853" s="36">
        <v>6.0769</v>
      </c>
      <c r="T1853" s="36">
        <v>4.2857</v>
      </c>
      <c r="U1853" s="36">
        <v>9.2327</v>
      </c>
      <c r="V1853" s="36">
        <v>5.441</v>
      </c>
      <c r="W1853" s="37" t="s">
        <v>623</v>
      </c>
      <c r="X1853" s="31">
        <v>1.25</v>
      </c>
      <c r="Y1853" s="36">
        <v>0.34939273332334303</v>
      </c>
      <c r="Z1853" s="36">
        <v>0.2926912591144316</v>
      </c>
      <c r="AA1853" s="29" t="s">
        <v>820</v>
      </c>
      <c r="AB1853" s="31">
        <v>0.848312556744</v>
      </c>
      <c r="AC1853" s="38">
        <v>4481.0</v>
      </c>
    </row>
    <row r="1854" ht="14.25" customHeight="1">
      <c r="A1854" s="29" t="s">
        <v>88</v>
      </c>
      <c r="B1854" s="29">
        <v>48.0</v>
      </c>
      <c r="C1854" s="29" t="s">
        <v>608</v>
      </c>
      <c r="D1854" s="29" t="s">
        <v>751</v>
      </c>
      <c r="E1854" s="29">
        <v>97.0</v>
      </c>
      <c r="F1854" s="30" t="s">
        <v>752</v>
      </c>
      <c r="G1854" s="29" t="s">
        <v>753</v>
      </c>
      <c r="H1854" s="31">
        <v>3940.03</v>
      </c>
      <c r="I1854" s="29" t="s">
        <v>612</v>
      </c>
      <c r="J1854" s="32" t="s">
        <v>714</v>
      </c>
      <c r="K1854" s="29" t="s">
        <v>698</v>
      </c>
      <c r="L1854" s="29" t="s">
        <v>1144</v>
      </c>
      <c r="M1854" s="33">
        <v>16.801</v>
      </c>
      <c r="N1854" s="33">
        <v>1.963</v>
      </c>
      <c r="O1854" s="34" t="s">
        <v>601</v>
      </c>
      <c r="P1854" s="32" t="s">
        <v>643</v>
      </c>
      <c r="Q1854" s="35">
        <v>11.0</v>
      </c>
      <c r="R1854" s="35">
        <v>14.0</v>
      </c>
      <c r="S1854" s="36">
        <v>0.8182</v>
      </c>
      <c r="T1854" s="36">
        <v>4.2857</v>
      </c>
      <c r="U1854" s="36">
        <v>1.834</v>
      </c>
      <c r="V1854" s="36">
        <v>5.441</v>
      </c>
      <c r="W1854" s="37" t="s">
        <v>623</v>
      </c>
      <c r="X1854" s="31">
        <v>2.0</v>
      </c>
      <c r="Y1854" s="36">
        <v>-1.6545819018266639</v>
      </c>
      <c r="Z1854" s="36">
        <v>0.5718882140046577</v>
      </c>
      <c r="AA1854" s="29" t="s">
        <v>820</v>
      </c>
      <c r="AB1854" s="31">
        <v>0.848312556744</v>
      </c>
      <c r="AC1854" s="38">
        <v>4481.0</v>
      </c>
    </row>
    <row r="1855" ht="14.25" customHeight="1">
      <c r="A1855" s="29" t="s">
        <v>88</v>
      </c>
      <c r="B1855" s="29">
        <v>48.0</v>
      </c>
      <c r="C1855" s="29" t="s">
        <v>608</v>
      </c>
      <c r="D1855" s="29" t="s">
        <v>751</v>
      </c>
      <c r="E1855" s="29">
        <v>97.0</v>
      </c>
      <c r="F1855" s="30" t="s">
        <v>752</v>
      </c>
      <c r="G1855" s="29" t="s">
        <v>753</v>
      </c>
      <c r="H1855" s="31">
        <v>3940.03</v>
      </c>
      <c r="I1855" s="29" t="s">
        <v>612</v>
      </c>
      <c r="J1855" s="32" t="s">
        <v>714</v>
      </c>
      <c r="K1855" s="29" t="s">
        <v>698</v>
      </c>
      <c r="L1855" s="29" t="s">
        <v>1144</v>
      </c>
      <c r="M1855" s="33">
        <v>16.801</v>
      </c>
      <c r="N1855" s="33">
        <v>1.963</v>
      </c>
      <c r="O1855" s="34" t="s">
        <v>601</v>
      </c>
      <c r="P1855" s="32" t="s">
        <v>643</v>
      </c>
      <c r="Q1855" s="35">
        <v>14.0</v>
      </c>
      <c r="R1855" s="35">
        <v>14.0</v>
      </c>
      <c r="S1855" s="36">
        <v>3.3571</v>
      </c>
      <c r="T1855" s="36">
        <v>4.2857</v>
      </c>
      <c r="U1855" s="36">
        <v>7.2176</v>
      </c>
      <c r="V1855" s="36">
        <v>5.441</v>
      </c>
      <c r="W1855" s="37" t="s">
        <v>623</v>
      </c>
      <c r="X1855" s="31">
        <v>3.25</v>
      </c>
      <c r="Y1855" s="36">
        <v>-0.24387708526588467</v>
      </c>
      <c r="Z1855" s="36">
        <v>0.4452927804133664</v>
      </c>
      <c r="AA1855" s="29" t="s">
        <v>820</v>
      </c>
      <c r="AB1855" s="31">
        <v>0.848312556744</v>
      </c>
      <c r="AC1855" s="38">
        <v>4481.0</v>
      </c>
    </row>
    <row r="1856" ht="14.25" customHeight="1">
      <c r="A1856" s="29" t="s">
        <v>88</v>
      </c>
      <c r="B1856" s="29">
        <v>48.0</v>
      </c>
      <c r="C1856" s="29" t="s">
        <v>608</v>
      </c>
      <c r="D1856" s="29" t="s">
        <v>751</v>
      </c>
      <c r="E1856" s="29">
        <v>97.0</v>
      </c>
      <c r="F1856" s="30" t="s">
        <v>752</v>
      </c>
      <c r="G1856" s="29" t="s">
        <v>753</v>
      </c>
      <c r="H1856" s="31">
        <v>3940.03</v>
      </c>
      <c r="I1856" s="29" t="s">
        <v>612</v>
      </c>
      <c r="J1856" s="32" t="s">
        <v>714</v>
      </c>
      <c r="K1856" s="29" t="s">
        <v>698</v>
      </c>
      <c r="L1856" s="29" t="s">
        <v>1144</v>
      </c>
      <c r="M1856" s="33">
        <v>16.801</v>
      </c>
      <c r="N1856" s="33">
        <v>1.963</v>
      </c>
      <c r="O1856" s="34" t="s">
        <v>601</v>
      </c>
      <c r="P1856" s="32" t="s">
        <v>643</v>
      </c>
      <c r="Q1856" s="35">
        <v>10.0</v>
      </c>
      <c r="R1856" s="35">
        <v>14.0</v>
      </c>
      <c r="S1856" s="36">
        <v>3.4</v>
      </c>
      <c r="T1856" s="36">
        <v>4.2857</v>
      </c>
      <c r="U1856" s="36">
        <v>5.9479</v>
      </c>
      <c r="V1856" s="36">
        <v>5.441</v>
      </c>
      <c r="W1856" s="37" t="s">
        <v>623</v>
      </c>
      <c r="X1856" s="31">
        <v>5.0</v>
      </c>
      <c r="Y1856" s="36">
        <v>-0.23118331411562767</v>
      </c>
      <c r="Z1856" s="36">
        <v>0.421163166427842</v>
      </c>
      <c r="AA1856" s="29" t="s">
        <v>820</v>
      </c>
      <c r="AB1856" s="31">
        <v>0.848312556744</v>
      </c>
      <c r="AC1856" s="38">
        <v>4481.0</v>
      </c>
    </row>
    <row r="1857" ht="14.25" customHeight="1">
      <c r="A1857" s="29" t="s">
        <v>88</v>
      </c>
      <c r="B1857" s="29">
        <v>48.0</v>
      </c>
      <c r="C1857" s="29" t="s">
        <v>608</v>
      </c>
      <c r="D1857" s="29" t="s">
        <v>751</v>
      </c>
      <c r="E1857" s="29">
        <v>97.0</v>
      </c>
      <c r="F1857" s="30" t="s">
        <v>752</v>
      </c>
      <c r="G1857" s="29" t="s">
        <v>753</v>
      </c>
      <c r="H1857" s="31">
        <v>3940.03</v>
      </c>
      <c r="I1857" s="29" t="s">
        <v>612</v>
      </c>
      <c r="J1857" s="32" t="s">
        <v>714</v>
      </c>
      <c r="K1857" s="29" t="s">
        <v>698</v>
      </c>
      <c r="L1857" s="29" t="s">
        <v>1144</v>
      </c>
      <c r="M1857" s="33">
        <v>16.801</v>
      </c>
      <c r="N1857" s="33">
        <v>1.963</v>
      </c>
      <c r="O1857" s="34" t="s">
        <v>601</v>
      </c>
      <c r="P1857" s="32" t="s">
        <v>643</v>
      </c>
      <c r="Q1857" s="35">
        <v>14.0</v>
      </c>
      <c r="R1857" s="35">
        <v>14.0</v>
      </c>
      <c r="S1857" s="36">
        <v>4.4286</v>
      </c>
      <c r="T1857" s="36">
        <v>4.2857</v>
      </c>
      <c r="U1857" s="36">
        <v>14.643</v>
      </c>
      <c r="V1857" s="36">
        <v>5.441</v>
      </c>
      <c r="W1857" s="37" t="s">
        <v>623</v>
      </c>
      <c r="X1857" s="31">
        <v>7.0</v>
      </c>
      <c r="Y1857" s="36">
        <v>0.03304924956976669</v>
      </c>
      <c r="Z1857" s="36">
        <v>0.8960360562845474</v>
      </c>
      <c r="AA1857" s="29" t="s">
        <v>820</v>
      </c>
      <c r="AB1857" s="31">
        <v>0.848312556744</v>
      </c>
      <c r="AC1857" s="38">
        <v>4481.0</v>
      </c>
    </row>
    <row r="1858" ht="14.25" customHeight="1">
      <c r="A1858" s="29" t="s">
        <v>88</v>
      </c>
      <c r="B1858" s="29">
        <v>48.0</v>
      </c>
      <c r="C1858" s="29" t="s">
        <v>608</v>
      </c>
      <c r="D1858" s="29" t="s">
        <v>751</v>
      </c>
      <c r="E1858" s="29">
        <v>97.0</v>
      </c>
      <c r="F1858" s="30" t="s">
        <v>752</v>
      </c>
      <c r="G1858" s="29" t="s">
        <v>753</v>
      </c>
      <c r="H1858" s="31">
        <v>3940.03</v>
      </c>
      <c r="I1858" s="29" t="s">
        <v>612</v>
      </c>
      <c r="J1858" s="32" t="s">
        <v>714</v>
      </c>
      <c r="K1858" s="29" t="s">
        <v>698</v>
      </c>
      <c r="L1858" s="29" t="s">
        <v>1144</v>
      </c>
      <c r="M1858" s="33">
        <v>16.801</v>
      </c>
      <c r="N1858" s="33">
        <v>1.963</v>
      </c>
      <c r="O1858" s="34" t="s">
        <v>601</v>
      </c>
      <c r="P1858" s="32" t="s">
        <v>643</v>
      </c>
      <c r="Q1858" s="35">
        <v>12.0</v>
      </c>
      <c r="R1858" s="35">
        <v>14.0</v>
      </c>
      <c r="S1858" s="36">
        <v>3.4167</v>
      </c>
      <c r="T1858" s="36">
        <v>4.2857</v>
      </c>
      <c r="U1858" s="36">
        <v>5.6159</v>
      </c>
      <c r="V1858" s="36">
        <v>5.441</v>
      </c>
      <c r="W1858" s="37" t="s">
        <v>623</v>
      </c>
      <c r="X1858" s="31">
        <v>9.0</v>
      </c>
      <c r="Y1858" s="36">
        <v>-0.22628516178588323</v>
      </c>
      <c r="Z1858" s="36">
        <v>0.34026470584590685</v>
      </c>
      <c r="AA1858" s="29" t="s">
        <v>820</v>
      </c>
      <c r="AB1858" s="31">
        <v>0.848312556744</v>
      </c>
      <c r="AC1858" s="38">
        <v>4481.0</v>
      </c>
    </row>
    <row r="1859" ht="14.25" customHeight="1">
      <c r="A1859" s="29" t="s">
        <v>88</v>
      </c>
      <c r="B1859" s="29">
        <v>48.0</v>
      </c>
      <c r="C1859" s="29" t="s">
        <v>608</v>
      </c>
      <c r="D1859" s="29" t="s">
        <v>751</v>
      </c>
      <c r="E1859" s="29">
        <v>97.0</v>
      </c>
      <c r="F1859" s="30" t="s">
        <v>752</v>
      </c>
      <c r="G1859" s="29" t="s">
        <v>753</v>
      </c>
      <c r="H1859" s="31">
        <v>3940.03</v>
      </c>
      <c r="I1859" s="29" t="s">
        <v>612</v>
      </c>
      <c r="J1859" s="32" t="s">
        <v>714</v>
      </c>
      <c r="K1859" s="29" t="s">
        <v>698</v>
      </c>
      <c r="L1859" s="29" t="s">
        <v>1144</v>
      </c>
      <c r="M1859" s="33">
        <v>16.801</v>
      </c>
      <c r="N1859" s="33">
        <v>1.963</v>
      </c>
      <c r="O1859" s="34" t="s">
        <v>601</v>
      </c>
      <c r="P1859" s="32" t="s">
        <v>643</v>
      </c>
      <c r="Q1859" s="35">
        <v>12.0</v>
      </c>
      <c r="R1859" s="35">
        <v>14.0</v>
      </c>
      <c r="S1859" s="36">
        <v>4.8333</v>
      </c>
      <c r="T1859" s="36">
        <v>4.2857</v>
      </c>
      <c r="U1859" s="36">
        <v>6.9522</v>
      </c>
      <c r="V1859" s="36">
        <v>5.441</v>
      </c>
      <c r="W1859" s="37" t="s">
        <v>623</v>
      </c>
      <c r="X1859" s="31">
        <v>11.0</v>
      </c>
      <c r="Y1859" s="36">
        <v>0.1204743062096001</v>
      </c>
      <c r="Z1859" s="36">
        <v>0.2875445895658212</v>
      </c>
      <c r="AA1859" s="29" t="s">
        <v>820</v>
      </c>
      <c r="AB1859" s="31">
        <v>0.848312556744</v>
      </c>
      <c r="AC1859" s="38">
        <v>4481.0</v>
      </c>
    </row>
    <row r="1860" ht="14.25" customHeight="1">
      <c r="A1860" s="29" t="s">
        <v>88</v>
      </c>
      <c r="B1860" s="29">
        <v>48.0</v>
      </c>
      <c r="C1860" s="29" t="s">
        <v>608</v>
      </c>
      <c r="D1860" s="29" t="s">
        <v>751</v>
      </c>
      <c r="E1860" s="29">
        <v>97.0</v>
      </c>
      <c r="F1860" s="30" t="s">
        <v>752</v>
      </c>
      <c r="G1860" s="29" t="s">
        <v>753</v>
      </c>
      <c r="H1860" s="31">
        <v>3940.03</v>
      </c>
      <c r="I1860" s="29" t="s">
        <v>612</v>
      </c>
      <c r="J1860" s="32" t="s">
        <v>714</v>
      </c>
      <c r="K1860" s="29" t="s">
        <v>698</v>
      </c>
      <c r="L1860" s="29" t="s">
        <v>1144</v>
      </c>
      <c r="M1860" s="33">
        <v>16.801</v>
      </c>
      <c r="N1860" s="33">
        <v>1.963</v>
      </c>
      <c r="O1860" s="34" t="s">
        <v>601</v>
      </c>
      <c r="P1860" s="32" t="s">
        <v>643</v>
      </c>
      <c r="Q1860" s="35">
        <v>11.0</v>
      </c>
      <c r="R1860" s="35">
        <v>14.0</v>
      </c>
      <c r="S1860" s="36">
        <v>2.5455</v>
      </c>
      <c r="T1860" s="36">
        <v>4.2857</v>
      </c>
      <c r="U1860" s="36">
        <v>3.6705</v>
      </c>
      <c r="V1860" s="36">
        <v>5.441</v>
      </c>
      <c r="W1860" s="37" t="s">
        <v>623</v>
      </c>
      <c r="X1860" s="31">
        <v>13.0</v>
      </c>
      <c r="Y1860" s="36">
        <v>-0.5205225241458595</v>
      </c>
      <c r="Z1860" s="36">
        <v>0.3041509630357543</v>
      </c>
      <c r="AA1860" s="29" t="s">
        <v>820</v>
      </c>
      <c r="AB1860" s="31">
        <v>0.848312556744</v>
      </c>
      <c r="AC1860" s="38">
        <v>4481.0</v>
      </c>
    </row>
    <row r="1861" ht="14.25" customHeight="1">
      <c r="A1861" s="29" t="s">
        <v>88</v>
      </c>
      <c r="B1861" s="29">
        <v>48.0</v>
      </c>
      <c r="C1861" s="29" t="s">
        <v>608</v>
      </c>
      <c r="D1861" s="29" t="s">
        <v>751</v>
      </c>
      <c r="E1861" s="29">
        <v>97.0</v>
      </c>
      <c r="F1861" s="30" t="s">
        <v>752</v>
      </c>
      <c r="G1861" s="29" t="s">
        <v>753</v>
      </c>
      <c r="H1861" s="31">
        <v>3940.03</v>
      </c>
      <c r="I1861" s="29" t="s">
        <v>612</v>
      </c>
      <c r="J1861" s="32" t="s">
        <v>714</v>
      </c>
      <c r="K1861" s="29" t="s">
        <v>698</v>
      </c>
      <c r="L1861" s="29" t="s">
        <v>1144</v>
      </c>
      <c r="M1861" s="33">
        <v>16.801</v>
      </c>
      <c r="N1861" s="33">
        <v>1.963</v>
      </c>
      <c r="O1861" s="34" t="s">
        <v>601</v>
      </c>
      <c r="P1861" s="32" t="s">
        <v>643</v>
      </c>
      <c r="Q1861" s="35">
        <v>11.0</v>
      </c>
      <c r="R1861" s="35">
        <v>14.0</v>
      </c>
      <c r="S1861" s="36">
        <v>2.1818</v>
      </c>
      <c r="T1861" s="36">
        <v>4.2857</v>
      </c>
      <c r="U1861" s="36">
        <v>4.0452</v>
      </c>
      <c r="V1861" s="36">
        <v>5.441</v>
      </c>
      <c r="W1861" s="37" t="s">
        <v>623</v>
      </c>
      <c r="X1861" s="31">
        <v>16.0</v>
      </c>
      <c r="Y1861" s="36">
        <v>-0.6746270192642123</v>
      </c>
      <c r="Z1861" s="36">
        <v>0.4276346406502047</v>
      </c>
      <c r="AA1861" s="29" t="s">
        <v>820</v>
      </c>
      <c r="AB1861" s="31">
        <v>0.848312556744</v>
      </c>
      <c r="AC1861" s="38">
        <v>4481.0</v>
      </c>
    </row>
    <row r="1862" ht="14.25" customHeight="1">
      <c r="A1862" s="29" t="s">
        <v>88</v>
      </c>
      <c r="B1862" s="29">
        <v>48.0</v>
      </c>
      <c r="C1862" s="29" t="s">
        <v>608</v>
      </c>
      <c r="D1862" s="29" t="s">
        <v>751</v>
      </c>
      <c r="E1862" s="29">
        <v>97.0</v>
      </c>
      <c r="F1862" s="30" t="s">
        <v>752</v>
      </c>
      <c r="G1862" s="29" t="s">
        <v>753</v>
      </c>
      <c r="H1862" s="31">
        <v>3940.03</v>
      </c>
      <c r="I1862" s="29" t="s">
        <v>612</v>
      </c>
      <c r="J1862" s="32" t="s">
        <v>714</v>
      </c>
      <c r="K1862" s="29" t="s">
        <v>698</v>
      </c>
      <c r="L1862" s="29" t="s">
        <v>1144</v>
      </c>
      <c r="M1862" s="33">
        <v>16.801</v>
      </c>
      <c r="N1862" s="33">
        <v>1.963</v>
      </c>
      <c r="O1862" s="34" t="s">
        <v>601</v>
      </c>
      <c r="P1862" s="32" t="s">
        <v>643</v>
      </c>
      <c r="Q1862" s="35">
        <v>13.0</v>
      </c>
      <c r="R1862" s="35">
        <v>14.0</v>
      </c>
      <c r="S1862" s="36">
        <v>2.3846</v>
      </c>
      <c r="T1862" s="36">
        <v>4.2857</v>
      </c>
      <c r="U1862" s="36">
        <v>3.5246</v>
      </c>
      <c r="V1862" s="36">
        <v>5.441</v>
      </c>
      <c r="W1862" s="37" t="s">
        <v>623</v>
      </c>
      <c r="X1862" s="31">
        <v>20.0</v>
      </c>
      <c r="Y1862" s="36">
        <v>-0.585788926974054</v>
      </c>
      <c r="Z1862" s="36">
        <v>0.2831819071695663</v>
      </c>
      <c r="AA1862" s="29" t="s">
        <v>820</v>
      </c>
      <c r="AB1862" s="31">
        <v>0.848312556744</v>
      </c>
      <c r="AC1862" s="38">
        <v>4481.0</v>
      </c>
    </row>
    <row r="1863" ht="14.25" customHeight="1">
      <c r="A1863" s="29" t="s">
        <v>88</v>
      </c>
      <c r="B1863" s="29">
        <v>48.0</v>
      </c>
      <c r="C1863" s="29" t="s">
        <v>608</v>
      </c>
      <c r="D1863" s="35" t="s">
        <v>947</v>
      </c>
      <c r="E1863" s="29">
        <v>121.0</v>
      </c>
      <c r="F1863" s="30" t="s">
        <v>948</v>
      </c>
      <c r="G1863" s="29" t="s">
        <v>611</v>
      </c>
      <c r="H1863" s="31">
        <v>42.5</v>
      </c>
      <c r="I1863" s="29" t="s">
        <v>597</v>
      </c>
      <c r="J1863" s="32" t="s">
        <v>714</v>
      </c>
      <c r="K1863" s="29" t="s">
        <v>698</v>
      </c>
      <c r="L1863" s="29" t="s">
        <v>1144</v>
      </c>
      <c r="M1863" s="33">
        <v>16.801</v>
      </c>
      <c r="N1863" s="33">
        <v>1.963</v>
      </c>
      <c r="O1863" s="34" t="s">
        <v>601</v>
      </c>
      <c r="P1863" s="32" t="s">
        <v>643</v>
      </c>
      <c r="Q1863" s="35">
        <v>18.0</v>
      </c>
      <c r="R1863" s="35">
        <v>14.0</v>
      </c>
      <c r="S1863" s="36">
        <v>2.8889</v>
      </c>
      <c r="T1863" s="36">
        <v>7.0714</v>
      </c>
      <c r="U1863" s="36">
        <v>4.1853</v>
      </c>
      <c r="V1863" s="36">
        <v>8.6065</v>
      </c>
      <c r="W1863" s="37" t="s">
        <v>623</v>
      </c>
      <c r="X1863" s="31">
        <v>0.25</v>
      </c>
      <c r="Y1863" s="36">
        <v>-0.8945513496678618</v>
      </c>
      <c r="Z1863" s="36">
        <v>0.22241157072441087</v>
      </c>
      <c r="AA1863" s="29" t="s">
        <v>820</v>
      </c>
      <c r="AB1863" s="31">
        <v>0.848312556744</v>
      </c>
      <c r="AC1863" s="38">
        <v>4481.0</v>
      </c>
    </row>
    <row r="1864" ht="14.25" customHeight="1">
      <c r="A1864" s="29" t="s">
        <v>88</v>
      </c>
      <c r="B1864" s="29">
        <v>48.0</v>
      </c>
      <c r="C1864" s="29" t="s">
        <v>608</v>
      </c>
      <c r="D1864" s="35" t="s">
        <v>947</v>
      </c>
      <c r="E1864" s="29">
        <v>121.0</v>
      </c>
      <c r="F1864" s="30" t="s">
        <v>948</v>
      </c>
      <c r="G1864" s="29" t="s">
        <v>611</v>
      </c>
      <c r="H1864" s="31">
        <v>42.5</v>
      </c>
      <c r="I1864" s="29" t="s">
        <v>597</v>
      </c>
      <c r="J1864" s="32" t="s">
        <v>714</v>
      </c>
      <c r="K1864" s="29" t="s">
        <v>698</v>
      </c>
      <c r="L1864" s="29" t="s">
        <v>1144</v>
      </c>
      <c r="M1864" s="33">
        <v>16.801</v>
      </c>
      <c r="N1864" s="33">
        <v>1.963</v>
      </c>
      <c r="O1864" s="34" t="s">
        <v>601</v>
      </c>
      <c r="P1864" s="32" t="s">
        <v>643</v>
      </c>
      <c r="Q1864" s="35">
        <v>12.0</v>
      </c>
      <c r="R1864" s="35">
        <v>14.0</v>
      </c>
      <c r="S1864" s="36">
        <v>2.4167</v>
      </c>
      <c r="T1864" s="36">
        <v>7.0714</v>
      </c>
      <c r="U1864" s="36">
        <v>2.3916</v>
      </c>
      <c r="V1864" s="36">
        <v>8.6065</v>
      </c>
      <c r="W1864" s="37" t="s">
        <v>623</v>
      </c>
      <c r="X1864" s="31">
        <v>0.75</v>
      </c>
      <c r="Y1864" s="36">
        <v>-1.0729008752481433</v>
      </c>
      <c r="Z1864" s="36">
        <v>0.1874182878809294</v>
      </c>
      <c r="AA1864" s="29" t="s">
        <v>820</v>
      </c>
      <c r="AB1864" s="31">
        <v>0.848312556744</v>
      </c>
      <c r="AC1864" s="38">
        <v>4481.0</v>
      </c>
    </row>
    <row r="1865" ht="14.25" customHeight="1">
      <c r="A1865" s="29" t="s">
        <v>88</v>
      </c>
      <c r="B1865" s="29">
        <v>48.0</v>
      </c>
      <c r="C1865" s="29" t="s">
        <v>608</v>
      </c>
      <c r="D1865" s="35" t="s">
        <v>947</v>
      </c>
      <c r="E1865" s="29">
        <v>121.0</v>
      </c>
      <c r="F1865" s="30" t="s">
        <v>948</v>
      </c>
      <c r="G1865" s="29" t="s">
        <v>611</v>
      </c>
      <c r="H1865" s="31">
        <v>42.5</v>
      </c>
      <c r="I1865" s="29" t="s">
        <v>597</v>
      </c>
      <c r="J1865" s="32" t="s">
        <v>714</v>
      </c>
      <c r="K1865" s="29" t="s">
        <v>698</v>
      </c>
      <c r="L1865" s="29" t="s">
        <v>1144</v>
      </c>
      <c r="M1865" s="33">
        <v>16.801</v>
      </c>
      <c r="N1865" s="33">
        <v>1.963</v>
      </c>
      <c r="O1865" s="34" t="s">
        <v>601</v>
      </c>
      <c r="P1865" s="32" t="s">
        <v>643</v>
      </c>
      <c r="Q1865" s="35">
        <v>13.0</v>
      </c>
      <c r="R1865" s="35">
        <v>14.0</v>
      </c>
      <c r="S1865" s="36">
        <v>2.0769</v>
      </c>
      <c r="T1865" s="36">
        <v>7.0714</v>
      </c>
      <c r="U1865" s="36">
        <v>2.5968</v>
      </c>
      <c r="V1865" s="36">
        <v>8.6065</v>
      </c>
      <c r="W1865" s="37" t="s">
        <v>623</v>
      </c>
      <c r="X1865" s="31">
        <v>1.25</v>
      </c>
      <c r="Y1865" s="36">
        <v>-1.2243040405738568</v>
      </c>
      <c r="Z1865" s="36">
        <v>0.22606179247312466</v>
      </c>
      <c r="AA1865" s="29" t="s">
        <v>820</v>
      </c>
      <c r="AB1865" s="31">
        <v>0.848312556744</v>
      </c>
      <c r="AC1865" s="38">
        <v>4481.0</v>
      </c>
    </row>
    <row r="1866" ht="14.25" customHeight="1">
      <c r="A1866" s="29" t="s">
        <v>88</v>
      </c>
      <c r="B1866" s="29">
        <v>48.0</v>
      </c>
      <c r="C1866" s="29" t="s">
        <v>608</v>
      </c>
      <c r="D1866" s="35" t="s">
        <v>947</v>
      </c>
      <c r="E1866" s="29">
        <v>121.0</v>
      </c>
      <c r="F1866" s="30" t="s">
        <v>948</v>
      </c>
      <c r="G1866" s="29" t="s">
        <v>611</v>
      </c>
      <c r="H1866" s="31">
        <v>42.5</v>
      </c>
      <c r="I1866" s="29" t="s">
        <v>597</v>
      </c>
      <c r="J1866" s="32" t="s">
        <v>714</v>
      </c>
      <c r="K1866" s="29" t="s">
        <v>698</v>
      </c>
      <c r="L1866" s="29" t="s">
        <v>1144</v>
      </c>
      <c r="M1866" s="33">
        <v>16.801</v>
      </c>
      <c r="N1866" s="33">
        <v>1.963</v>
      </c>
      <c r="O1866" s="34" t="s">
        <v>601</v>
      </c>
      <c r="P1866" s="32" t="s">
        <v>643</v>
      </c>
      <c r="Q1866" s="35">
        <v>11.0</v>
      </c>
      <c r="R1866" s="35">
        <v>14.0</v>
      </c>
      <c r="S1866" s="36">
        <v>3.5455</v>
      </c>
      <c r="T1866" s="36">
        <v>7.0714</v>
      </c>
      <c r="U1866" s="36">
        <v>8.202</v>
      </c>
      <c r="V1866" s="36">
        <v>8.6065</v>
      </c>
      <c r="W1866" s="37" t="s">
        <v>623</v>
      </c>
      <c r="X1866" s="31">
        <v>2.0</v>
      </c>
      <c r="Y1866" s="36">
        <v>-0.6898648490659597</v>
      </c>
      <c r="Z1866" s="36">
        <v>0.5923170811447939</v>
      </c>
      <c r="AA1866" s="29" t="s">
        <v>820</v>
      </c>
      <c r="AB1866" s="31">
        <v>0.848312556744</v>
      </c>
      <c r="AC1866" s="38">
        <v>4481.0</v>
      </c>
    </row>
    <row r="1867" ht="14.25" customHeight="1">
      <c r="A1867" s="29" t="s">
        <v>88</v>
      </c>
      <c r="B1867" s="29">
        <v>48.0</v>
      </c>
      <c r="C1867" s="29" t="s">
        <v>608</v>
      </c>
      <c r="D1867" s="35" t="s">
        <v>947</v>
      </c>
      <c r="E1867" s="29">
        <v>121.0</v>
      </c>
      <c r="F1867" s="30" t="s">
        <v>948</v>
      </c>
      <c r="G1867" s="29" t="s">
        <v>611</v>
      </c>
      <c r="H1867" s="31">
        <v>42.5</v>
      </c>
      <c r="I1867" s="29" t="s">
        <v>597</v>
      </c>
      <c r="J1867" s="32" t="s">
        <v>714</v>
      </c>
      <c r="K1867" s="29" t="s">
        <v>698</v>
      </c>
      <c r="L1867" s="29" t="s">
        <v>1144</v>
      </c>
      <c r="M1867" s="33">
        <v>16.801</v>
      </c>
      <c r="N1867" s="33">
        <v>1.963</v>
      </c>
      <c r="O1867" s="34" t="s">
        <v>601</v>
      </c>
      <c r="P1867" s="32" t="s">
        <v>643</v>
      </c>
      <c r="Q1867" s="35">
        <v>14.0</v>
      </c>
      <c r="R1867" s="35">
        <v>14.0</v>
      </c>
      <c r="S1867" s="36">
        <v>1.8571</v>
      </c>
      <c r="T1867" s="36">
        <v>7.0714</v>
      </c>
      <c r="U1867" s="36">
        <v>3.5051</v>
      </c>
      <c r="V1867" s="36">
        <v>8.6065</v>
      </c>
      <c r="W1867" s="37" t="s">
        <v>623</v>
      </c>
      <c r="X1867" s="31">
        <v>3.25</v>
      </c>
      <c r="Y1867" s="36">
        <v>-1.3360604356670358</v>
      </c>
      <c r="Z1867" s="36">
        <v>0.3602568322983378</v>
      </c>
      <c r="AA1867" s="29" t="s">
        <v>820</v>
      </c>
      <c r="AB1867" s="31">
        <v>0.848312556744</v>
      </c>
      <c r="AC1867" s="38">
        <v>4481.0</v>
      </c>
    </row>
    <row r="1868" ht="14.25" customHeight="1">
      <c r="A1868" s="29" t="s">
        <v>88</v>
      </c>
      <c r="B1868" s="29">
        <v>48.0</v>
      </c>
      <c r="C1868" s="29" t="s">
        <v>608</v>
      </c>
      <c r="D1868" s="35" t="s">
        <v>947</v>
      </c>
      <c r="E1868" s="29">
        <v>121.0</v>
      </c>
      <c r="F1868" s="30" t="s">
        <v>948</v>
      </c>
      <c r="G1868" s="29" t="s">
        <v>611</v>
      </c>
      <c r="H1868" s="31">
        <v>42.5</v>
      </c>
      <c r="I1868" s="29" t="s">
        <v>597</v>
      </c>
      <c r="J1868" s="32" t="s">
        <v>714</v>
      </c>
      <c r="K1868" s="29" t="s">
        <v>698</v>
      </c>
      <c r="L1868" s="29" t="s">
        <v>1144</v>
      </c>
      <c r="M1868" s="33">
        <v>16.801</v>
      </c>
      <c r="N1868" s="33">
        <v>1.963</v>
      </c>
      <c r="O1868" s="34" t="s">
        <v>601</v>
      </c>
      <c r="P1868" s="32" t="s">
        <v>643</v>
      </c>
      <c r="Q1868" s="35">
        <v>10.0</v>
      </c>
      <c r="R1868" s="35">
        <v>14.0</v>
      </c>
      <c r="S1868" s="36">
        <v>0.8</v>
      </c>
      <c r="T1868" s="36">
        <v>7.0714</v>
      </c>
      <c r="U1868" s="36">
        <v>0.9189</v>
      </c>
      <c r="V1868" s="36">
        <v>8.6065</v>
      </c>
      <c r="W1868" s="37" t="s">
        <v>623</v>
      </c>
      <c r="X1868" s="31">
        <v>5.0</v>
      </c>
      <c r="Y1868" s="36">
        <v>-2.17692411957768</v>
      </c>
      <c r="Z1868" s="36">
        <v>0.23774091502368427</v>
      </c>
      <c r="AA1868" s="29" t="s">
        <v>820</v>
      </c>
      <c r="AB1868" s="31">
        <v>0.848312556744</v>
      </c>
      <c r="AC1868" s="38">
        <v>4481.0</v>
      </c>
    </row>
    <row r="1869" ht="14.25" customHeight="1">
      <c r="A1869" s="29" t="s">
        <v>88</v>
      </c>
      <c r="B1869" s="29">
        <v>48.0</v>
      </c>
      <c r="C1869" s="29" t="s">
        <v>608</v>
      </c>
      <c r="D1869" s="35" t="s">
        <v>947</v>
      </c>
      <c r="E1869" s="29">
        <v>121.0</v>
      </c>
      <c r="F1869" s="30" t="s">
        <v>948</v>
      </c>
      <c r="G1869" s="29" t="s">
        <v>611</v>
      </c>
      <c r="H1869" s="31">
        <v>42.5</v>
      </c>
      <c r="I1869" s="29" t="s">
        <v>597</v>
      </c>
      <c r="J1869" s="32" t="s">
        <v>714</v>
      </c>
      <c r="K1869" s="29" t="s">
        <v>698</v>
      </c>
      <c r="L1869" s="29" t="s">
        <v>1144</v>
      </c>
      <c r="M1869" s="33">
        <v>16.801</v>
      </c>
      <c r="N1869" s="33">
        <v>1.963</v>
      </c>
      <c r="O1869" s="34" t="s">
        <v>601</v>
      </c>
      <c r="P1869" s="32" t="s">
        <v>643</v>
      </c>
      <c r="Q1869" s="35">
        <v>14.0</v>
      </c>
      <c r="R1869" s="35">
        <v>14.0</v>
      </c>
      <c r="S1869" s="36">
        <v>1.2857</v>
      </c>
      <c r="T1869" s="36">
        <v>7.0714</v>
      </c>
      <c r="U1869" s="36">
        <v>2.9982</v>
      </c>
      <c r="V1869" s="36">
        <v>8.6065</v>
      </c>
      <c r="W1869" s="37" t="s">
        <v>623</v>
      </c>
      <c r="X1869" s="31">
        <v>7.0</v>
      </c>
      <c r="Y1869" s="36">
        <v>-1.7033371701448365</v>
      </c>
      <c r="Z1869" s="36">
        <v>0.49423796993531816</v>
      </c>
      <c r="AA1869" s="29" t="s">
        <v>820</v>
      </c>
      <c r="AB1869" s="31">
        <v>0.848312556744</v>
      </c>
      <c r="AC1869" s="38">
        <v>4481.0</v>
      </c>
    </row>
    <row r="1870" ht="14.25" customHeight="1">
      <c r="A1870" s="29" t="s">
        <v>88</v>
      </c>
      <c r="B1870" s="29">
        <v>48.0</v>
      </c>
      <c r="C1870" s="29" t="s">
        <v>608</v>
      </c>
      <c r="D1870" s="35" t="s">
        <v>947</v>
      </c>
      <c r="E1870" s="29">
        <v>121.0</v>
      </c>
      <c r="F1870" s="30" t="s">
        <v>948</v>
      </c>
      <c r="G1870" s="29" t="s">
        <v>611</v>
      </c>
      <c r="H1870" s="31">
        <v>42.5</v>
      </c>
      <c r="I1870" s="29" t="s">
        <v>597</v>
      </c>
      <c r="J1870" s="32" t="s">
        <v>714</v>
      </c>
      <c r="K1870" s="29" t="s">
        <v>698</v>
      </c>
      <c r="L1870" s="29" t="s">
        <v>1144</v>
      </c>
      <c r="M1870" s="33">
        <v>16.801</v>
      </c>
      <c r="N1870" s="33">
        <v>1.963</v>
      </c>
      <c r="O1870" s="34" t="s">
        <v>601</v>
      </c>
      <c r="P1870" s="32" t="s">
        <v>643</v>
      </c>
      <c r="Q1870" s="35">
        <v>12.0</v>
      </c>
      <c r="R1870" s="35">
        <v>14.0</v>
      </c>
      <c r="S1870" s="36">
        <v>3.5833</v>
      </c>
      <c r="T1870" s="36">
        <v>7.0714</v>
      </c>
      <c r="U1870" s="36">
        <v>7.1916</v>
      </c>
      <c r="V1870" s="36">
        <v>8.6065</v>
      </c>
      <c r="W1870" s="37" t="s">
        <v>623</v>
      </c>
      <c r="X1870" s="31">
        <v>9.0</v>
      </c>
      <c r="Y1870" s="36">
        <v>-0.6792653046758462</v>
      </c>
      <c r="Z1870" s="36">
        <v>0.441469968645469</v>
      </c>
      <c r="AA1870" s="29" t="s">
        <v>820</v>
      </c>
      <c r="AB1870" s="31">
        <v>0.848312556744</v>
      </c>
      <c r="AC1870" s="38">
        <v>4481.0</v>
      </c>
    </row>
    <row r="1871" ht="14.25" customHeight="1">
      <c r="A1871" s="29" t="s">
        <v>88</v>
      </c>
      <c r="B1871" s="29">
        <v>48.0</v>
      </c>
      <c r="C1871" s="29" t="s">
        <v>608</v>
      </c>
      <c r="D1871" s="35" t="s">
        <v>947</v>
      </c>
      <c r="E1871" s="29">
        <v>121.0</v>
      </c>
      <c r="F1871" s="30" t="s">
        <v>948</v>
      </c>
      <c r="G1871" s="29" t="s">
        <v>611</v>
      </c>
      <c r="H1871" s="31">
        <v>42.5</v>
      </c>
      <c r="I1871" s="29" t="s">
        <v>597</v>
      </c>
      <c r="J1871" s="32" t="s">
        <v>714</v>
      </c>
      <c r="K1871" s="29" t="s">
        <v>698</v>
      </c>
      <c r="L1871" s="29" t="s">
        <v>1144</v>
      </c>
      <c r="M1871" s="33">
        <v>16.801</v>
      </c>
      <c r="N1871" s="33">
        <v>1.963</v>
      </c>
      <c r="O1871" s="34" t="s">
        <v>601</v>
      </c>
      <c r="P1871" s="32" t="s">
        <v>643</v>
      </c>
      <c r="Q1871" s="35">
        <v>12.0</v>
      </c>
      <c r="R1871" s="35">
        <v>14.0</v>
      </c>
      <c r="S1871" s="36">
        <v>6.6667</v>
      </c>
      <c r="T1871" s="36">
        <v>7.0714</v>
      </c>
      <c r="U1871" s="36">
        <v>8.6585</v>
      </c>
      <c r="V1871" s="36">
        <v>8.6065</v>
      </c>
      <c r="W1871" s="37" t="s">
        <v>623</v>
      </c>
      <c r="X1871" s="31">
        <v>11.0</v>
      </c>
      <c r="Y1871" s="36">
        <v>-0.05865987304929762</v>
      </c>
      <c r="Z1871" s="36">
        <v>0.24637361201005964</v>
      </c>
      <c r="AA1871" s="29" t="s">
        <v>820</v>
      </c>
      <c r="AB1871" s="31">
        <v>0.848312556744</v>
      </c>
      <c r="AC1871" s="38">
        <v>4481.0</v>
      </c>
    </row>
    <row r="1872" ht="14.25" customHeight="1">
      <c r="A1872" s="29" t="s">
        <v>88</v>
      </c>
      <c r="B1872" s="29">
        <v>48.0</v>
      </c>
      <c r="C1872" s="29" t="s">
        <v>608</v>
      </c>
      <c r="D1872" s="35" t="s">
        <v>947</v>
      </c>
      <c r="E1872" s="29">
        <v>121.0</v>
      </c>
      <c r="F1872" s="30" t="s">
        <v>948</v>
      </c>
      <c r="G1872" s="29" t="s">
        <v>611</v>
      </c>
      <c r="H1872" s="31">
        <v>42.5</v>
      </c>
      <c r="I1872" s="29" t="s">
        <v>597</v>
      </c>
      <c r="J1872" s="32" t="s">
        <v>714</v>
      </c>
      <c r="K1872" s="29" t="s">
        <v>698</v>
      </c>
      <c r="L1872" s="29" t="s">
        <v>1144</v>
      </c>
      <c r="M1872" s="33">
        <v>16.801</v>
      </c>
      <c r="N1872" s="33">
        <v>1.963</v>
      </c>
      <c r="O1872" s="34" t="s">
        <v>601</v>
      </c>
      <c r="P1872" s="32" t="s">
        <v>643</v>
      </c>
      <c r="Q1872" s="35">
        <v>11.0</v>
      </c>
      <c r="R1872" s="35">
        <v>14.0</v>
      </c>
      <c r="S1872" s="36">
        <v>5.2727</v>
      </c>
      <c r="T1872" s="36">
        <v>7.0714</v>
      </c>
      <c r="U1872" s="36">
        <v>11.8498</v>
      </c>
      <c r="V1872" s="36">
        <v>8.6065</v>
      </c>
      <c r="W1872" s="37" t="s">
        <v>623</v>
      </c>
      <c r="X1872" s="31">
        <v>13.0</v>
      </c>
      <c r="Y1872" s="36">
        <v>-0.29316996469500084</v>
      </c>
      <c r="Z1872" s="36">
        <v>0.5649661136355798</v>
      </c>
      <c r="AA1872" s="29" t="s">
        <v>820</v>
      </c>
      <c r="AB1872" s="31">
        <v>0.848312556744</v>
      </c>
      <c r="AC1872" s="38">
        <v>4481.0</v>
      </c>
    </row>
    <row r="1873" ht="14.25" customHeight="1">
      <c r="A1873" s="29" t="s">
        <v>88</v>
      </c>
      <c r="B1873" s="29">
        <v>48.0</v>
      </c>
      <c r="C1873" s="29" t="s">
        <v>608</v>
      </c>
      <c r="D1873" s="35" t="s">
        <v>947</v>
      </c>
      <c r="E1873" s="29">
        <v>121.0</v>
      </c>
      <c r="F1873" s="30" t="s">
        <v>948</v>
      </c>
      <c r="G1873" s="29" t="s">
        <v>611</v>
      </c>
      <c r="H1873" s="31">
        <v>42.5</v>
      </c>
      <c r="I1873" s="29" t="s">
        <v>597</v>
      </c>
      <c r="J1873" s="32" t="s">
        <v>714</v>
      </c>
      <c r="K1873" s="29" t="s">
        <v>698</v>
      </c>
      <c r="L1873" s="29" t="s">
        <v>1144</v>
      </c>
      <c r="M1873" s="33">
        <v>16.801</v>
      </c>
      <c r="N1873" s="33">
        <v>1.963</v>
      </c>
      <c r="O1873" s="34" t="s">
        <v>601</v>
      </c>
      <c r="P1873" s="32" t="s">
        <v>643</v>
      </c>
      <c r="Q1873" s="35">
        <v>11.0</v>
      </c>
      <c r="R1873" s="35">
        <v>14.0</v>
      </c>
      <c r="S1873" s="36">
        <v>2.0909</v>
      </c>
      <c r="T1873" s="36">
        <v>7.0714</v>
      </c>
      <c r="U1873" s="36">
        <v>5.3189</v>
      </c>
      <c r="V1873" s="36">
        <v>8.6065</v>
      </c>
      <c r="W1873" s="37" t="s">
        <v>623</v>
      </c>
      <c r="X1873" s="31">
        <v>16.0</v>
      </c>
      <c r="Y1873" s="36">
        <v>-1.217591719176027</v>
      </c>
      <c r="Z1873" s="36">
        <v>0.6940874587482126</v>
      </c>
      <c r="AA1873" s="29" t="s">
        <v>820</v>
      </c>
      <c r="AB1873" s="31">
        <v>0.848312556744</v>
      </c>
      <c r="AC1873" s="38">
        <v>4481.0</v>
      </c>
    </row>
    <row r="1874" ht="14.25" customHeight="1">
      <c r="A1874" s="29" t="s">
        <v>88</v>
      </c>
      <c r="B1874" s="29">
        <v>48.0</v>
      </c>
      <c r="C1874" s="29" t="s">
        <v>608</v>
      </c>
      <c r="D1874" s="35" t="s">
        <v>947</v>
      </c>
      <c r="E1874" s="29">
        <v>121.0</v>
      </c>
      <c r="F1874" s="30" t="s">
        <v>948</v>
      </c>
      <c r="G1874" s="29" t="s">
        <v>611</v>
      </c>
      <c r="H1874" s="31">
        <v>42.5</v>
      </c>
      <c r="I1874" s="29" t="s">
        <v>597</v>
      </c>
      <c r="J1874" s="32" t="s">
        <v>714</v>
      </c>
      <c r="K1874" s="29" t="s">
        <v>698</v>
      </c>
      <c r="L1874" s="29" t="s">
        <v>1144</v>
      </c>
      <c r="M1874" s="33">
        <v>16.801</v>
      </c>
      <c r="N1874" s="33">
        <v>1.963</v>
      </c>
      <c r="O1874" s="34" t="s">
        <v>601</v>
      </c>
      <c r="P1874" s="32" t="s">
        <v>643</v>
      </c>
      <c r="Q1874" s="35">
        <v>13.0</v>
      </c>
      <c r="R1874" s="35">
        <v>14.0</v>
      </c>
      <c r="S1874" s="36">
        <v>3.5385</v>
      </c>
      <c r="T1874" s="36">
        <v>7.0714</v>
      </c>
      <c r="U1874" s="36">
        <v>5.6364</v>
      </c>
      <c r="V1874" s="36">
        <v>8.6065</v>
      </c>
      <c r="W1874" s="37" t="s">
        <v>623</v>
      </c>
      <c r="X1874" s="31">
        <v>20.0</v>
      </c>
      <c r="Y1874" s="36">
        <v>-0.6918401168763326</v>
      </c>
      <c r="Z1874" s="36">
        <v>0.3009809298502805</v>
      </c>
      <c r="AA1874" s="29" t="s">
        <v>820</v>
      </c>
      <c r="AB1874" s="31">
        <v>0.848312556744</v>
      </c>
      <c r="AC1874" s="38">
        <v>4481.0</v>
      </c>
    </row>
    <row r="1875" ht="14.25" customHeight="1">
      <c r="A1875" s="29" t="s">
        <v>470</v>
      </c>
      <c r="B1875" s="29">
        <v>88.0</v>
      </c>
      <c r="C1875" s="29" t="s">
        <v>593</v>
      </c>
      <c r="D1875" s="29" t="s">
        <v>913</v>
      </c>
      <c r="E1875" s="29">
        <v>230.0</v>
      </c>
      <c r="F1875" s="30" t="s">
        <v>914</v>
      </c>
      <c r="G1875" s="29" t="s">
        <v>607</v>
      </c>
      <c r="H1875" s="31">
        <v>3.1</v>
      </c>
      <c r="I1875" s="29" t="s">
        <v>597</v>
      </c>
      <c r="J1875" s="32" t="s">
        <v>642</v>
      </c>
      <c r="K1875" s="29" t="s">
        <v>599</v>
      </c>
      <c r="L1875" s="29" t="s">
        <v>915</v>
      </c>
      <c r="M1875" s="33">
        <v>-76.767</v>
      </c>
      <c r="N1875" s="33">
        <v>-0.515</v>
      </c>
      <c r="O1875" s="34" t="s">
        <v>641</v>
      </c>
      <c r="P1875" s="32" t="s">
        <v>643</v>
      </c>
      <c r="Q1875" s="35">
        <v>48.0</v>
      </c>
      <c r="R1875" s="35">
        <v>48.0</v>
      </c>
      <c r="S1875" s="36">
        <v>0.0</v>
      </c>
      <c r="T1875" s="36">
        <v>11.372</v>
      </c>
      <c r="U1875" s="36">
        <v>0.0</v>
      </c>
      <c r="V1875" s="36">
        <v>50.3373</v>
      </c>
      <c r="W1875" s="37" t="s">
        <v>780</v>
      </c>
      <c r="X1875" s="31">
        <v>1.0</v>
      </c>
      <c r="Y1875" s="36">
        <v>-6.643789733147672</v>
      </c>
      <c r="Z1875" s="36">
        <v>0.40284439654255166</v>
      </c>
      <c r="AA1875" s="29" t="s">
        <v>820</v>
      </c>
      <c r="AB1875" s="31">
        <v>2.20407581329</v>
      </c>
      <c r="AC1875" s="38">
        <v>891.0</v>
      </c>
    </row>
    <row r="1876" ht="14.25" customHeight="1">
      <c r="A1876" s="29" t="s">
        <v>470</v>
      </c>
      <c r="B1876" s="29">
        <v>88.0</v>
      </c>
      <c r="C1876" s="29" t="s">
        <v>593</v>
      </c>
      <c r="D1876" s="29" t="s">
        <v>864</v>
      </c>
      <c r="E1876" s="29">
        <v>119.0</v>
      </c>
      <c r="F1876" s="30" t="s">
        <v>865</v>
      </c>
      <c r="G1876" s="29" t="s">
        <v>607</v>
      </c>
      <c r="H1876" s="31">
        <v>0.55</v>
      </c>
      <c r="I1876" s="29" t="s">
        <v>597</v>
      </c>
      <c r="J1876" s="32" t="s">
        <v>642</v>
      </c>
      <c r="K1876" s="29" t="s">
        <v>599</v>
      </c>
      <c r="L1876" s="29" t="s">
        <v>915</v>
      </c>
      <c r="M1876" s="33">
        <v>-76.767</v>
      </c>
      <c r="N1876" s="33">
        <v>-0.515</v>
      </c>
      <c r="O1876" s="34" t="s">
        <v>641</v>
      </c>
      <c r="P1876" s="32" t="s">
        <v>643</v>
      </c>
      <c r="Q1876" s="35">
        <v>48.0</v>
      </c>
      <c r="R1876" s="35">
        <v>48.0</v>
      </c>
      <c r="S1876" s="36">
        <v>0.0</v>
      </c>
      <c r="T1876" s="36">
        <v>0.421</v>
      </c>
      <c r="U1876" s="36">
        <v>0.0</v>
      </c>
      <c r="V1876" s="36">
        <v>3.9519</v>
      </c>
      <c r="W1876" s="37" t="s">
        <v>780</v>
      </c>
      <c r="X1876" s="31">
        <v>1.0</v>
      </c>
      <c r="Y1876" s="36">
        <v>-6.643789733147672</v>
      </c>
      <c r="Z1876" s="36">
        <v>0.5076106173933272</v>
      </c>
      <c r="AA1876" s="29" t="s">
        <v>820</v>
      </c>
      <c r="AB1876" s="31">
        <v>2.20407581329</v>
      </c>
      <c r="AC1876" s="38">
        <v>891.0</v>
      </c>
    </row>
    <row r="1877" ht="14.25" customHeight="1">
      <c r="A1877" s="29" t="s">
        <v>470</v>
      </c>
      <c r="B1877" s="29">
        <v>88.0</v>
      </c>
      <c r="C1877" s="29" t="s">
        <v>593</v>
      </c>
      <c r="D1877" s="29" t="s">
        <v>1112</v>
      </c>
      <c r="E1877" s="29">
        <v>130.0</v>
      </c>
      <c r="F1877" s="30" t="s">
        <v>867</v>
      </c>
      <c r="G1877" s="29" t="s">
        <v>607</v>
      </c>
      <c r="H1877" s="31">
        <v>1.49</v>
      </c>
      <c r="I1877" s="29" t="s">
        <v>597</v>
      </c>
      <c r="J1877" s="32" t="s">
        <v>642</v>
      </c>
      <c r="K1877" s="29" t="s">
        <v>599</v>
      </c>
      <c r="L1877" s="29" t="s">
        <v>915</v>
      </c>
      <c r="M1877" s="33">
        <v>-76.767</v>
      </c>
      <c r="N1877" s="33">
        <v>-0.515</v>
      </c>
      <c r="O1877" s="34" t="s">
        <v>641</v>
      </c>
      <c r="P1877" s="32" t="s">
        <v>643</v>
      </c>
      <c r="Q1877" s="35">
        <v>48.0</v>
      </c>
      <c r="R1877" s="35">
        <v>48.0</v>
      </c>
      <c r="S1877" s="36">
        <v>2.361</v>
      </c>
      <c r="T1877" s="36">
        <v>10.108</v>
      </c>
      <c r="U1877" s="36">
        <v>16.0232</v>
      </c>
      <c r="V1877" s="36">
        <v>41.9969</v>
      </c>
      <c r="W1877" s="37" t="s">
        <v>780</v>
      </c>
      <c r="X1877" s="31">
        <v>1.0</v>
      </c>
      <c r="Y1877" s="36">
        <v>-1.4486828845587312</v>
      </c>
      <c r="Z1877" s="36">
        <v>1.3191805604204947</v>
      </c>
      <c r="AA1877" s="29" t="s">
        <v>820</v>
      </c>
      <c r="AB1877" s="31">
        <v>2.20407581329</v>
      </c>
      <c r="AC1877" s="38">
        <v>891.0</v>
      </c>
    </row>
    <row r="1878" ht="14.25" customHeight="1">
      <c r="A1878" s="29" t="s">
        <v>470</v>
      </c>
      <c r="B1878" s="29">
        <v>88.0</v>
      </c>
      <c r="C1878" s="29" t="s">
        <v>593</v>
      </c>
      <c r="D1878" s="29" t="s">
        <v>919</v>
      </c>
      <c r="E1878" s="29">
        <v>260.0</v>
      </c>
      <c r="F1878" s="30" t="s">
        <v>920</v>
      </c>
      <c r="G1878" s="29" t="s">
        <v>607</v>
      </c>
      <c r="H1878" s="31">
        <v>1.82</v>
      </c>
      <c r="I1878" s="29" t="s">
        <v>597</v>
      </c>
      <c r="J1878" s="32" t="s">
        <v>642</v>
      </c>
      <c r="K1878" s="29" t="s">
        <v>599</v>
      </c>
      <c r="L1878" s="29" t="s">
        <v>915</v>
      </c>
      <c r="M1878" s="33">
        <v>-76.767</v>
      </c>
      <c r="N1878" s="33">
        <v>-0.515</v>
      </c>
      <c r="O1878" s="34" t="s">
        <v>641</v>
      </c>
      <c r="P1878" s="32" t="s">
        <v>643</v>
      </c>
      <c r="Q1878" s="35">
        <v>48.0</v>
      </c>
      <c r="R1878" s="35">
        <v>48.0</v>
      </c>
      <c r="S1878" s="36">
        <v>3.654</v>
      </c>
      <c r="T1878" s="36">
        <v>6.706</v>
      </c>
      <c r="U1878" s="36">
        <v>21.3802</v>
      </c>
      <c r="V1878" s="36">
        <v>29.9291</v>
      </c>
      <c r="W1878" s="37" t="s">
        <v>780</v>
      </c>
      <c r="X1878" s="31">
        <v>1.0</v>
      </c>
      <c r="Y1878" s="36">
        <v>-0.6047933935642873</v>
      </c>
      <c r="Z1878" s="36">
        <v>1.128227798984123</v>
      </c>
      <c r="AA1878" s="29" t="s">
        <v>820</v>
      </c>
      <c r="AB1878" s="31">
        <v>2.20407581329</v>
      </c>
      <c r="AC1878" s="38">
        <v>891.0</v>
      </c>
    </row>
    <row r="1879" ht="14.25" customHeight="1">
      <c r="A1879" s="29" t="s">
        <v>470</v>
      </c>
      <c r="B1879" s="29">
        <v>88.0</v>
      </c>
      <c r="C1879" s="29" t="s">
        <v>593</v>
      </c>
      <c r="D1879" s="35" t="s">
        <v>1136</v>
      </c>
      <c r="E1879" s="29">
        <v>153.0</v>
      </c>
      <c r="F1879" s="30" t="s">
        <v>1137</v>
      </c>
      <c r="G1879" s="29" t="s">
        <v>877</v>
      </c>
      <c r="H1879" s="31">
        <v>1.03</v>
      </c>
      <c r="I1879" s="29" t="s">
        <v>597</v>
      </c>
      <c r="J1879" s="32" t="s">
        <v>642</v>
      </c>
      <c r="K1879" s="29" t="s">
        <v>599</v>
      </c>
      <c r="L1879" s="29" t="s">
        <v>915</v>
      </c>
      <c r="M1879" s="33">
        <v>-76.767</v>
      </c>
      <c r="N1879" s="33">
        <v>-0.515</v>
      </c>
      <c r="O1879" s="34" t="s">
        <v>641</v>
      </c>
      <c r="P1879" s="32" t="s">
        <v>643</v>
      </c>
      <c r="Q1879" s="35">
        <v>48.0</v>
      </c>
      <c r="R1879" s="35">
        <v>48.0</v>
      </c>
      <c r="S1879" s="36">
        <v>1.802</v>
      </c>
      <c r="T1879" s="36">
        <v>2.205</v>
      </c>
      <c r="U1879" s="36">
        <v>16.9087</v>
      </c>
      <c r="V1879" s="36">
        <v>15.3127</v>
      </c>
      <c r="W1879" s="37" t="s">
        <v>780</v>
      </c>
      <c r="X1879" s="31">
        <v>1.0</v>
      </c>
      <c r="Y1879" s="36">
        <v>-0.20023833586920994</v>
      </c>
      <c r="Z1879" s="36">
        <v>2.8390170535184427</v>
      </c>
      <c r="AA1879" s="29" t="s">
        <v>820</v>
      </c>
      <c r="AB1879" s="31">
        <v>2.20407581329</v>
      </c>
      <c r="AC1879" s="38">
        <v>891.0</v>
      </c>
    </row>
    <row r="1880" ht="14.25" customHeight="1">
      <c r="A1880" s="29" t="s">
        <v>470</v>
      </c>
      <c r="B1880" s="29">
        <v>88.0</v>
      </c>
      <c r="C1880" s="29" t="s">
        <v>593</v>
      </c>
      <c r="D1880" s="29" t="s">
        <v>907</v>
      </c>
      <c r="E1880" s="29">
        <v>160.0</v>
      </c>
      <c r="F1880" s="30" t="s">
        <v>908</v>
      </c>
      <c r="G1880" s="29" t="s">
        <v>909</v>
      </c>
      <c r="H1880" s="31">
        <v>0.4</v>
      </c>
      <c r="I1880" s="29" t="s">
        <v>597</v>
      </c>
      <c r="J1880" s="32" t="s">
        <v>642</v>
      </c>
      <c r="K1880" s="29" t="s">
        <v>599</v>
      </c>
      <c r="L1880" s="29" t="s">
        <v>915</v>
      </c>
      <c r="M1880" s="33">
        <v>-76.767</v>
      </c>
      <c r="N1880" s="33">
        <v>-0.515</v>
      </c>
      <c r="O1880" s="34" t="s">
        <v>641</v>
      </c>
      <c r="P1880" s="32" t="s">
        <v>643</v>
      </c>
      <c r="Q1880" s="35">
        <v>48.0</v>
      </c>
      <c r="R1880" s="35">
        <v>48.0</v>
      </c>
      <c r="S1880" s="36">
        <v>0.0</v>
      </c>
      <c r="T1880" s="36">
        <v>1.029</v>
      </c>
      <c r="U1880" s="36">
        <v>0.0</v>
      </c>
      <c r="V1880" s="36">
        <v>7.0555</v>
      </c>
      <c r="W1880" s="37" t="s">
        <v>780</v>
      </c>
      <c r="X1880" s="31">
        <v>1.0</v>
      </c>
      <c r="Y1880" s="36">
        <v>-6.643789733147672</v>
      </c>
      <c r="Z1880" s="36">
        <v>0.5295432592329135</v>
      </c>
      <c r="AA1880" s="29" t="s">
        <v>820</v>
      </c>
      <c r="AB1880" s="31">
        <v>2.20407581329</v>
      </c>
      <c r="AC1880" s="38">
        <v>891.0</v>
      </c>
    </row>
    <row r="1881" ht="14.25" customHeight="1">
      <c r="A1881" s="29" t="s">
        <v>470</v>
      </c>
      <c r="B1881" s="29">
        <v>88.0</v>
      </c>
      <c r="C1881" s="29" t="s">
        <v>608</v>
      </c>
      <c r="D1881" s="29" t="s">
        <v>921</v>
      </c>
      <c r="E1881" s="29">
        <v>228.0</v>
      </c>
      <c r="F1881" s="30" t="s">
        <v>922</v>
      </c>
      <c r="G1881" s="29" t="s">
        <v>611</v>
      </c>
      <c r="H1881" s="31">
        <v>5.0</v>
      </c>
      <c r="I1881" s="29" t="s">
        <v>597</v>
      </c>
      <c r="J1881" s="32" t="s">
        <v>642</v>
      </c>
      <c r="K1881" s="29" t="s">
        <v>599</v>
      </c>
      <c r="L1881" s="29" t="s">
        <v>915</v>
      </c>
      <c r="M1881" s="33">
        <v>-76.767</v>
      </c>
      <c r="N1881" s="33">
        <v>-0.515</v>
      </c>
      <c r="O1881" s="34" t="s">
        <v>641</v>
      </c>
      <c r="P1881" s="32" t="s">
        <v>643</v>
      </c>
      <c r="Q1881" s="35">
        <v>48.0</v>
      </c>
      <c r="R1881" s="35">
        <v>48.0</v>
      </c>
      <c r="S1881" s="36">
        <v>0.0</v>
      </c>
      <c r="T1881" s="36">
        <v>21.476</v>
      </c>
      <c r="U1881" s="36">
        <v>0.0</v>
      </c>
      <c r="V1881" s="36">
        <v>110.466</v>
      </c>
      <c r="W1881" s="37" t="s">
        <v>780</v>
      </c>
      <c r="X1881" s="31">
        <v>1.0</v>
      </c>
      <c r="Y1881" s="36">
        <v>-8.262558973010657</v>
      </c>
      <c r="Z1881" s="36">
        <v>0.552012865792423</v>
      </c>
      <c r="AA1881" s="29" t="s">
        <v>820</v>
      </c>
      <c r="AB1881" s="31">
        <v>2.20407581329</v>
      </c>
      <c r="AC1881" s="38">
        <v>891.0</v>
      </c>
    </row>
    <row r="1882" ht="14.25" customHeight="1">
      <c r="A1882" s="29" t="s">
        <v>470</v>
      </c>
      <c r="B1882" s="29">
        <v>88.0</v>
      </c>
      <c r="C1882" s="29" t="s">
        <v>608</v>
      </c>
      <c r="D1882" s="29" t="s">
        <v>1277</v>
      </c>
      <c r="E1882" s="29">
        <v>25.0</v>
      </c>
      <c r="F1882" s="30" t="s">
        <v>1278</v>
      </c>
      <c r="G1882" s="29" t="s">
        <v>611</v>
      </c>
      <c r="H1882" s="31">
        <v>0.85</v>
      </c>
      <c r="I1882" s="29" t="s">
        <v>616</v>
      </c>
      <c r="J1882" s="32" t="s">
        <v>642</v>
      </c>
      <c r="K1882" s="29" t="s">
        <v>599</v>
      </c>
      <c r="L1882" s="29" t="s">
        <v>915</v>
      </c>
      <c r="M1882" s="33">
        <v>-76.767</v>
      </c>
      <c r="N1882" s="33">
        <v>-0.515</v>
      </c>
      <c r="O1882" s="34" t="s">
        <v>641</v>
      </c>
      <c r="P1882" s="32" t="s">
        <v>643</v>
      </c>
      <c r="Q1882" s="35">
        <v>48.0</v>
      </c>
      <c r="R1882" s="35">
        <v>48.0</v>
      </c>
      <c r="S1882" s="36">
        <v>0.0</v>
      </c>
      <c r="T1882" s="36">
        <v>7.46</v>
      </c>
      <c r="U1882" s="36">
        <v>0.0</v>
      </c>
      <c r="V1882" s="36">
        <v>32.1826</v>
      </c>
      <c r="W1882" s="37" t="s">
        <v>780</v>
      </c>
      <c r="X1882" s="31">
        <v>1.0</v>
      </c>
      <c r="Y1882" s="36">
        <v>-8.262558973010657</v>
      </c>
      <c r="Z1882" s="36">
        <v>0.3720424853670572</v>
      </c>
      <c r="AA1882" s="29" t="s">
        <v>820</v>
      </c>
      <c r="AB1882" s="31">
        <v>2.20407581329</v>
      </c>
      <c r="AC1882" s="38">
        <v>891.0</v>
      </c>
    </row>
    <row r="1883" ht="14.25" customHeight="1">
      <c r="A1883" s="29" t="s">
        <v>470</v>
      </c>
      <c r="B1883" s="29">
        <v>88.0</v>
      </c>
      <c r="C1883" s="29" t="s">
        <v>608</v>
      </c>
      <c r="D1883" s="29" t="s">
        <v>830</v>
      </c>
      <c r="E1883" s="29">
        <v>30.0</v>
      </c>
      <c r="F1883" s="30" t="s">
        <v>831</v>
      </c>
      <c r="G1883" s="29" t="s">
        <v>611</v>
      </c>
      <c r="H1883" s="31">
        <v>2.63</v>
      </c>
      <c r="I1883" s="29" t="s">
        <v>616</v>
      </c>
      <c r="J1883" s="32" t="s">
        <v>642</v>
      </c>
      <c r="K1883" s="29" t="s">
        <v>599</v>
      </c>
      <c r="L1883" s="29" t="s">
        <v>915</v>
      </c>
      <c r="M1883" s="33">
        <v>-76.767</v>
      </c>
      <c r="N1883" s="33">
        <v>-0.515</v>
      </c>
      <c r="O1883" s="34" t="s">
        <v>641</v>
      </c>
      <c r="P1883" s="32" t="s">
        <v>643</v>
      </c>
      <c r="Q1883" s="35">
        <v>48.0</v>
      </c>
      <c r="R1883" s="35">
        <v>48.0</v>
      </c>
      <c r="S1883" s="36">
        <v>7.982</v>
      </c>
      <c r="T1883" s="36">
        <v>9.766</v>
      </c>
      <c r="U1883" s="36">
        <v>47.1542</v>
      </c>
      <c r="V1883" s="36">
        <v>47.6438</v>
      </c>
      <c r="W1883" s="37" t="s">
        <v>780</v>
      </c>
      <c r="X1883" s="31">
        <v>1.0</v>
      </c>
      <c r="Y1883" s="36">
        <v>-0.2014023476053139</v>
      </c>
      <c r="Z1883" s="36">
        <v>1.222905814078856</v>
      </c>
      <c r="AA1883" s="29" t="s">
        <v>820</v>
      </c>
      <c r="AB1883" s="31">
        <v>2.20407581329</v>
      </c>
      <c r="AC1883" s="38">
        <v>891.0</v>
      </c>
    </row>
    <row r="1884" ht="14.25" customHeight="1">
      <c r="A1884" s="29" t="s">
        <v>470</v>
      </c>
      <c r="B1884" s="29">
        <v>88.0</v>
      </c>
      <c r="C1884" s="29" t="s">
        <v>608</v>
      </c>
      <c r="D1884" s="29" t="s">
        <v>650</v>
      </c>
      <c r="E1884" s="29">
        <v>70.0</v>
      </c>
      <c r="F1884" s="30" t="s">
        <v>651</v>
      </c>
      <c r="G1884" s="29" t="s">
        <v>615</v>
      </c>
      <c r="H1884" s="31">
        <v>8.17</v>
      </c>
      <c r="I1884" s="29" t="s">
        <v>616</v>
      </c>
      <c r="J1884" s="32" t="s">
        <v>642</v>
      </c>
      <c r="K1884" s="29" t="s">
        <v>599</v>
      </c>
      <c r="L1884" s="29" t="s">
        <v>915</v>
      </c>
      <c r="M1884" s="33">
        <v>-76.767</v>
      </c>
      <c r="N1884" s="33">
        <v>-0.515</v>
      </c>
      <c r="O1884" s="34" t="s">
        <v>641</v>
      </c>
      <c r="P1884" s="32" t="s">
        <v>643</v>
      </c>
      <c r="Q1884" s="35">
        <v>48.0</v>
      </c>
      <c r="R1884" s="35">
        <v>48.0</v>
      </c>
      <c r="S1884" s="36">
        <v>0.0</v>
      </c>
      <c r="T1884" s="36">
        <v>0.586</v>
      </c>
      <c r="U1884" s="36">
        <v>0.0</v>
      </c>
      <c r="V1884" s="36">
        <v>5.5019</v>
      </c>
      <c r="W1884" s="37" t="s">
        <v>780</v>
      </c>
      <c r="X1884" s="31">
        <v>1.0</v>
      </c>
      <c r="Y1884" s="36">
        <v>-8.262558973010657</v>
      </c>
      <c r="Z1884" s="36">
        <v>0.6571548701270257</v>
      </c>
      <c r="AA1884" s="29" t="s">
        <v>820</v>
      </c>
      <c r="AB1884" s="31">
        <v>2.20407581329</v>
      </c>
      <c r="AC1884" s="38">
        <v>891.0</v>
      </c>
    </row>
    <row r="1885" ht="14.25" customHeight="1">
      <c r="A1885" s="29" t="s">
        <v>470</v>
      </c>
      <c r="B1885" s="29">
        <v>88.0</v>
      </c>
      <c r="C1885" s="29" t="s">
        <v>608</v>
      </c>
      <c r="D1885" s="29" t="s">
        <v>923</v>
      </c>
      <c r="E1885" s="29">
        <v>229.0</v>
      </c>
      <c r="F1885" s="30" t="s">
        <v>924</v>
      </c>
      <c r="G1885" s="29" t="s">
        <v>615</v>
      </c>
      <c r="H1885" s="31">
        <v>3.5</v>
      </c>
      <c r="I1885" s="29" t="s">
        <v>616</v>
      </c>
      <c r="J1885" s="32" t="s">
        <v>642</v>
      </c>
      <c r="K1885" s="29" t="s">
        <v>599</v>
      </c>
      <c r="L1885" s="29" t="s">
        <v>915</v>
      </c>
      <c r="M1885" s="33">
        <v>-76.767</v>
      </c>
      <c r="N1885" s="33">
        <v>-0.515</v>
      </c>
      <c r="O1885" s="34" t="s">
        <v>641</v>
      </c>
      <c r="P1885" s="32" t="s">
        <v>643</v>
      </c>
      <c r="Q1885" s="35">
        <v>48.0</v>
      </c>
      <c r="R1885" s="35">
        <v>48.0</v>
      </c>
      <c r="S1885" s="36">
        <v>1.917</v>
      </c>
      <c r="T1885" s="36">
        <v>2.345</v>
      </c>
      <c r="U1885" s="36">
        <v>12.9338</v>
      </c>
      <c r="V1885" s="36">
        <v>12.3135</v>
      </c>
      <c r="W1885" s="37" t="s">
        <v>780</v>
      </c>
      <c r="X1885" s="31">
        <v>1.0</v>
      </c>
      <c r="Y1885" s="36">
        <v>-0.20120838764682053</v>
      </c>
      <c r="Z1885" s="36">
        <v>1.5227746619303544</v>
      </c>
      <c r="AA1885" s="29" t="s">
        <v>820</v>
      </c>
      <c r="AB1885" s="31">
        <v>2.20407581329</v>
      </c>
      <c r="AC1885" s="38">
        <v>891.0</v>
      </c>
    </row>
    <row r="1886" ht="14.25" customHeight="1">
      <c r="A1886" s="29" t="s">
        <v>470</v>
      </c>
      <c r="B1886" s="29">
        <v>88.0</v>
      </c>
      <c r="C1886" s="29" t="s">
        <v>608</v>
      </c>
      <c r="D1886" s="29" t="s">
        <v>832</v>
      </c>
      <c r="E1886" s="29">
        <v>90.0</v>
      </c>
      <c r="F1886" s="30" t="s">
        <v>833</v>
      </c>
      <c r="G1886" s="29" t="s">
        <v>611</v>
      </c>
      <c r="H1886" s="31">
        <v>6.3</v>
      </c>
      <c r="I1886" s="29" t="s">
        <v>597</v>
      </c>
      <c r="J1886" s="32" t="s">
        <v>642</v>
      </c>
      <c r="K1886" s="29" t="s">
        <v>599</v>
      </c>
      <c r="L1886" s="29" t="s">
        <v>915</v>
      </c>
      <c r="M1886" s="33">
        <v>-76.767</v>
      </c>
      <c r="N1886" s="33">
        <v>-0.515</v>
      </c>
      <c r="O1886" s="34" t="s">
        <v>641</v>
      </c>
      <c r="P1886" s="32" t="s">
        <v>643</v>
      </c>
      <c r="Q1886" s="35">
        <v>48.0</v>
      </c>
      <c r="R1886" s="35">
        <v>48.0</v>
      </c>
      <c r="S1886" s="36">
        <v>0.0</v>
      </c>
      <c r="T1886" s="36">
        <v>17.253</v>
      </c>
      <c r="U1886" s="36">
        <v>0.0</v>
      </c>
      <c r="V1886" s="36">
        <v>71.9897</v>
      </c>
      <c r="W1886" s="37" t="s">
        <v>780</v>
      </c>
      <c r="X1886" s="31">
        <v>1.0</v>
      </c>
      <c r="Y1886" s="36">
        <v>-8.262558973010657</v>
      </c>
      <c r="Z1886" s="36">
        <v>0.36818377970989413</v>
      </c>
      <c r="AA1886" s="29" t="s">
        <v>820</v>
      </c>
      <c r="AB1886" s="31">
        <v>2.20407581329</v>
      </c>
      <c r="AC1886" s="38">
        <v>891.0</v>
      </c>
    </row>
    <row r="1887" ht="14.25" customHeight="1">
      <c r="A1887" s="29" t="s">
        <v>470</v>
      </c>
      <c r="B1887" s="29">
        <v>88.0</v>
      </c>
      <c r="C1887" s="29" t="s">
        <v>608</v>
      </c>
      <c r="D1887" s="29" t="s">
        <v>677</v>
      </c>
      <c r="E1887" s="29">
        <v>100.0</v>
      </c>
      <c r="F1887" s="30" t="s">
        <v>678</v>
      </c>
      <c r="G1887" s="29" t="s">
        <v>626</v>
      </c>
      <c r="H1887" s="31">
        <v>22.8</v>
      </c>
      <c r="I1887" s="29" t="s">
        <v>612</v>
      </c>
      <c r="J1887" s="32" t="s">
        <v>642</v>
      </c>
      <c r="K1887" s="29" t="s">
        <v>599</v>
      </c>
      <c r="L1887" s="29" t="s">
        <v>915</v>
      </c>
      <c r="M1887" s="33">
        <v>-76.767</v>
      </c>
      <c r="N1887" s="33">
        <v>-0.515</v>
      </c>
      <c r="O1887" s="34" t="s">
        <v>641</v>
      </c>
      <c r="P1887" s="32" t="s">
        <v>643</v>
      </c>
      <c r="Q1887" s="35">
        <v>48.0</v>
      </c>
      <c r="R1887" s="35">
        <v>48.0</v>
      </c>
      <c r="S1887" s="36">
        <v>0.0</v>
      </c>
      <c r="T1887" s="36">
        <v>0.608</v>
      </c>
      <c r="U1887" s="36">
        <v>0.0</v>
      </c>
      <c r="V1887" s="36">
        <v>4.4715</v>
      </c>
      <c r="W1887" s="37" t="s">
        <v>780</v>
      </c>
      <c r="X1887" s="31">
        <v>1.0</v>
      </c>
      <c r="Y1887" s="36">
        <v>-8.262558973010657</v>
      </c>
      <c r="Z1887" s="36">
        <v>0.4402581557671044</v>
      </c>
      <c r="AA1887" s="29" t="s">
        <v>820</v>
      </c>
      <c r="AB1887" s="31">
        <v>2.20407581329</v>
      </c>
      <c r="AC1887" s="38">
        <v>891.0</v>
      </c>
    </row>
    <row r="1888" ht="14.25" customHeight="1">
      <c r="A1888" s="29" t="s">
        <v>470</v>
      </c>
      <c r="B1888" s="29">
        <v>88.0</v>
      </c>
      <c r="C1888" s="29" t="s">
        <v>608</v>
      </c>
      <c r="D1888" s="29" t="s">
        <v>1366</v>
      </c>
      <c r="E1888" s="29">
        <v>258.0</v>
      </c>
      <c r="F1888" s="30" t="s">
        <v>1367</v>
      </c>
      <c r="G1888" s="29" t="s">
        <v>615</v>
      </c>
      <c r="H1888" s="31">
        <v>0.09</v>
      </c>
      <c r="I1888" s="29" t="s">
        <v>597</v>
      </c>
      <c r="J1888" s="32" t="s">
        <v>642</v>
      </c>
      <c r="K1888" s="29" t="s">
        <v>599</v>
      </c>
      <c r="L1888" s="29" t="s">
        <v>915</v>
      </c>
      <c r="M1888" s="33">
        <v>-76.767</v>
      </c>
      <c r="N1888" s="33">
        <v>-0.515</v>
      </c>
      <c r="O1888" s="34" t="s">
        <v>641</v>
      </c>
      <c r="P1888" s="32" t="s">
        <v>643</v>
      </c>
      <c r="Q1888" s="35">
        <v>48.0</v>
      </c>
      <c r="R1888" s="35">
        <v>48.0</v>
      </c>
      <c r="S1888" s="36">
        <v>0.0</v>
      </c>
      <c r="T1888" s="36">
        <v>0.586</v>
      </c>
      <c r="U1888" s="36">
        <v>0.0</v>
      </c>
      <c r="V1888" s="36">
        <v>5.5019</v>
      </c>
      <c r="W1888" s="37" t="s">
        <v>780</v>
      </c>
      <c r="X1888" s="31">
        <v>1.0</v>
      </c>
      <c r="Y1888" s="36">
        <v>-8.262558973010657</v>
      </c>
      <c r="Z1888" s="36">
        <v>0.6571548701270257</v>
      </c>
      <c r="AA1888" s="29" t="s">
        <v>820</v>
      </c>
      <c r="AB1888" s="31">
        <v>2.20407581329</v>
      </c>
      <c r="AC1888" s="38">
        <v>891.0</v>
      </c>
    </row>
    <row r="1889" ht="14.25" customHeight="1">
      <c r="A1889" s="29" t="s">
        <v>470</v>
      </c>
      <c r="B1889" s="29">
        <v>88.0</v>
      </c>
      <c r="C1889" s="29" t="s">
        <v>608</v>
      </c>
      <c r="D1889" s="29" t="s">
        <v>925</v>
      </c>
      <c r="E1889" s="29">
        <v>108.0</v>
      </c>
      <c r="F1889" s="30" t="s">
        <v>926</v>
      </c>
      <c r="G1889" s="29" t="s">
        <v>615</v>
      </c>
      <c r="H1889" s="31">
        <v>0.97</v>
      </c>
      <c r="I1889" s="29" t="s">
        <v>616</v>
      </c>
      <c r="J1889" s="32" t="s">
        <v>642</v>
      </c>
      <c r="K1889" s="29" t="s">
        <v>599</v>
      </c>
      <c r="L1889" s="29" t="s">
        <v>915</v>
      </c>
      <c r="M1889" s="33">
        <v>-76.767</v>
      </c>
      <c r="N1889" s="33">
        <v>-0.515</v>
      </c>
      <c r="O1889" s="34" t="s">
        <v>641</v>
      </c>
      <c r="P1889" s="32" t="s">
        <v>643</v>
      </c>
      <c r="Q1889" s="35">
        <v>48.0</v>
      </c>
      <c r="R1889" s="35">
        <v>48.0</v>
      </c>
      <c r="S1889" s="36">
        <v>1.917</v>
      </c>
      <c r="T1889" s="36">
        <v>1.173</v>
      </c>
      <c r="U1889" s="36">
        <v>12.9338</v>
      </c>
      <c r="V1889" s="36">
        <v>7.9126</v>
      </c>
      <c r="W1889" s="37" t="s">
        <v>780</v>
      </c>
      <c r="X1889" s="31">
        <v>1.0</v>
      </c>
      <c r="Y1889" s="36">
        <v>0.4913547492141038</v>
      </c>
      <c r="Z1889" s="36">
        <v>1.8963303416978468</v>
      </c>
      <c r="AA1889" s="29" t="s">
        <v>820</v>
      </c>
      <c r="AB1889" s="31">
        <v>2.20407581329</v>
      </c>
      <c r="AC1889" s="38">
        <v>891.0</v>
      </c>
    </row>
    <row r="1890" ht="14.25" customHeight="1">
      <c r="A1890" s="29" t="s">
        <v>470</v>
      </c>
      <c r="B1890" s="29">
        <v>88.0</v>
      </c>
      <c r="C1890" s="29" t="s">
        <v>608</v>
      </c>
      <c r="D1890" s="29" t="s">
        <v>630</v>
      </c>
      <c r="E1890" s="29">
        <v>129.0</v>
      </c>
      <c r="F1890" s="30" t="s">
        <v>631</v>
      </c>
      <c r="G1890" s="29" t="s">
        <v>626</v>
      </c>
      <c r="H1890" s="31">
        <v>21.27</v>
      </c>
      <c r="I1890" s="29" t="s">
        <v>612</v>
      </c>
      <c r="J1890" s="32" t="s">
        <v>642</v>
      </c>
      <c r="K1890" s="29" t="s">
        <v>599</v>
      </c>
      <c r="L1890" s="29" t="s">
        <v>915</v>
      </c>
      <c r="M1890" s="33">
        <v>-76.767</v>
      </c>
      <c r="N1890" s="33">
        <v>-0.515</v>
      </c>
      <c r="O1890" s="34" t="s">
        <v>641</v>
      </c>
      <c r="P1890" s="32" t="s">
        <v>643</v>
      </c>
      <c r="Q1890" s="35">
        <v>48.0</v>
      </c>
      <c r="R1890" s="35">
        <v>48.0</v>
      </c>
      <c r="S1890" s="36">
        <v>0.8</v>
      </c>
      <c r="T1890" s="36">
        <v>2.448</v>
      </c>
      <c r="U1890" s="36">
        <v>7.5061</v>
      </c>
      <c r="V1890" s="36">
        <v>14.5227</v>
      </c>
      <c r="W1890" s="37" t="s">
        <v>780</v>
      </c>
      <c r="X1890" s="31">
        <v>1.0</v>
      </c>
      <c r="Y1890" s="36">
        <v>-1.1176257537505068</v>
      </c>
      <c r="Z1890" s="36">
        <v>2.567248277758379</v>
      </c>
      <c r="AA1890" s="29" t="s">
        <v>820</v>
      </c>
      <c r="AB1890" s="31">
        <v>2.20407581329</v>
      </c>
      <c r="AC1890" s="38">
        <v>891.0</v>
      </c>
    </row>
    <row r="1891" ht="14.25" customHeight="1">
      <c r="A1891" s="29" t="s">
        <v>470</v>
      </c>
      <c r="B1891" s="29">
        <v>88.0</v>
      </c>
      <c r="C1891" s="29" t="s">
        <v>608</v>
      </c>
      <c r="D1891" s="29" t="s">
        <v>834</v>
      </c>
      <c r="E1891" s="29">
        <v>141.0</v>
      </c>
      <c r="F1891" s="30" t="s">
        <v>835</v>
      </c>
      <c r="G1891" s="29" t="s">
        <v>611</v>
      </c>
      <c r="H1891" s="31">
        <v>1.54</v>
      </c>
      <c r="I1891" s="29" t="s">
        <v>616</v>
      </c>
      <c r="J1891" s="32" t="s">
        <v>642</v>
      </c>
      <c r="K1891" s="29" t="s">
        <v>599</v>
      </c>
      <c r="L1891" s="29" t="s">
        <v>915</v>
      </c>
      <c r="M1891" s="33">
        <v>-76.767</v>
      </c>
      <c r="N1891" s="33">
        <v>-0.515</v>
      </c>
      <c r="O1891" s="34" t="s">
        <v>641</v>
      </c>
      <c r="P1891" s="32" t="s">
        <v>643</v>
      </c>
      <c r="Q1891" s="35">
        <v>48.0</v>
      </c>
      <c r="R1891" s="35">
        <v>48.0</v>
      </c>
      <c r="S1891" s="36">
        <v>3.942</v>
      </c>
      <c r="T1891" s="36">
        <v>1.809</v>
      </c>
      <c r="U1891" s="36">
        <v>20.7793</v>
      </c>
      <c r="V1891" s="36">
        <v>10.4577</v>
      </c>
      <c r="W1891" s="37" t="s">
        <v>780</v>
      </c>
      <c r="X1891" s="31">
        <v>1.0</v>
      </c>
      <c r="Y1891" s="36">
        <v>0.7790323916221835</v>
      </c>
      <c r="Z1891" s="36">
        <v>1.2751104166295049</v>
      </c>
      <c r="AA1891" s="29" t="s">
        <v>820</v>
      </c>
      <c r="AB1891" s="31">
        <v>2.20407581329</v>
      </c>
      <c r="AC1891" s="38">
        <v>891.0</v>
      </c>
    </row>
    <row r="1892" ht="14.25" customHeight="1">
      <c r="A1892" s="29" t="s">
        <v>470</v>
      </c>
      <c r="B1892" s="29">
        <v>88.0</v>
      </c>
      <c r="C1892" s="29" t="s">
        <v>608</v>
      </c>
      <c r="D1892" s="29" t="s">
        <v>1043</v>
      </c>
      <c r="E1892" s="29">
        <v>262.0</v>
      </c>
      <c r="F1892" s="30" t="s">
        <v>1044</v>
      </c>
      <c r="G1892" s="29" t="s">
        <v>611</v>
      </c>
      <c r="H1892" s="31">
        <v>0.39</v>
      </c>
      <c r="I1892" s="29" t="s">
        <v>616</v>
      </c>
      <c r="J1892" s="32" t="s">
        <v>642</v>
      </c>
      <c r="K1892" s="29" t="s">
        <v>599</v>
      </c>
      <c r="L1892" s="29" t="s">
        <v>915</v>
      </c>
      <c r="M1892" s="33">
        <v>-76.767</v>
      </c>
      <c r="N1892" s="33">
        <v>-0.515</v>
      </c>
      <c r="O1892" s="34" t="s">
        <v>641</v>
      </c>
      <c r="P1892" s="32" t="s">
        <v>643</v>
      </c>
      <c r="Q1892" s="35">
        <v>48.0</v>
      </c>
      <c r="R1892" s="35">
        <v>48.0</v>
      </c>
      <c r="S1892" s="36">
        <v>11.39</v>
      </c>
      <c r="T1892" s="36">
        <v>12.193</v>
      </c>
      <c r="U1892" s="36">
        <v>60.4503</v>
      </c>
      <c r="V1892" s="36">
        <v>56.4825</v>
      </c>
      <c r="W1892" s="37" t="s">
        <v>780</v>
      </c>
      <c r="X1892" s="31">
        <v>1.0</v>
      </c>
      <c r="Y1892" s="36">
        <v>-0.06785009034785666</v>
      </c>
      <c r="Z1892" s="36">
        <v>1.0338841095345301</v>
      </c>
      <c r="AA1892" s="29" t="s">
        <v>820</v>
      </c>
      <c r="AB1892" s="31">
        <v>2.20407581329</v>
      </c>
      <c r="AC1892" s="38">
        <v>891.0</v>
      </c>
    </row>
    <row r="1893" ht="14.25" customHeight="1">
      <c r="A1893" s="29" t="s">
        <v>470</v>
      </c>
      <c r="B1893" s="29">
        <v>88.0</v>
      </c>
      <c r="C1893" s="29" t="s">
        <v>608</v>
      </c>
      <c r="D1893" s="29" t="s">
        <v>691</v>
      </c>
      <c r="E1893" s="29">
        <v>170.0</v>
      </c>
      <c r="F1893" s="30" t="s">
        <v>692</v>
      </c>
      <c r="G1893" s="29" t="s">
        <v>611</v>
      </c>
      <c r="H1893" s="31">
        <v>0.74</v>
      </c>
      <c r="I1893" s="29" t="s">
        <v>616</v>
      </c>
      <c r="J1893" s="32" t="s">
        <v>642</v>
      </c>
      <c r="K1893" s="29" t="s">
        <v>599</v>
      </c>
      <c r="L1893" s="29" t="s">
        <v>915</v>
      </c>
      <c r="M1893" s="33">
        <v>-76.767</v>
      </c>
      <c r="N1893" s="33">
        <v>-0.515</v>
      </c>
      <c r="O1893" s="34" t="s">
        <v>641</v>
      </c>
      <c r="P1893" s="32" t="s">
        <v>643</v>
      </c>
      <c r="Q1893" s="35">
        <v>48.0</v>
      </c>
      <c r="R1893" s="35">
        <v>48.0</v>
      </c>
      <c r="S1893" s="36">
        <v>11.697</v>
      </c>
      <c r="T1893" s="36">
        <v>28.621</v>
      </c>
      <c r="U1893" s="36">
        <v>79.6089</v>
      </c>
      <c r="V1893" s="36">
        <v>129.4885</v>
      </c>
      <c r="W1893" s="37" t="s">
        <v>780</v>
      </c>
      <c r="X1893" s="31">
        <v>1.0</v>
      </c>
      <c r="Y1893" s="36">
        <v>-0.8941772280649043</v>
      </c>
      <c r="Z1893" s="36">
        <v>1.391446436204149</v>
      </c>
      <c r="AA1893" s="29" t="s">
        <v>820</v>
      </c>
      <c r="AB1893" s="31">
        <v>2.20407581329</v>
      </c>
      <c r="AC1893" s="38">
        <v>891.0</v>
      </c>
    </row>
    <row r="1894" ht="14.25" customHeight="1">
      <c r="A1894" s="29" t="s">
        <v>470</v>
      </c>
      <c r="B1894" s="29">
        <v>88.0</v>
      </c>
      <c r="C1894" s="29" t="s">
        <v>608</v>
      </c>
      <c r="D1894" s="29" t="s">
        <v>1035</v>
      </c>
      <c r="E1894" s="29">
        <v>176.0</v>
      </c>
      <c r="F1894" s="30" t="s">
        <v>1036</v>
      </c>
      <c r="G1894" s="29" t="s">
        <v>615</v>
      </c>
      <c r="H1894" s="31">
        <v>0.6</v>
      </c>
      <c r="I1894" s="29" t="s">
        <v>597</v>
      </c>
      <c r="J1894" s="32" t="s">
        <v>642</v>
      </c>
      <c r="K1894" s="29" t="s">
        <v>599</v>
      </c>
      <c r="L1894" s="29" t="s">
        <v>915</v>
      </c>
      <c r="M1894" s="33">
        <v>-76.767</v>
      </c>
      <c r="N1894" s="33">
        <v>-0.515</v>
      </c>
      <c r="O1894" s="34" t="s">
        <v>641</v>
      </c>
      <c r="P1894" s="32" t="s">
        <v>643</v>
      </c>
      <c r="Q1894" s="35">
        <v>48.0</v>
      </c>
      <c r="R1894" s="35">
        <v>48.0</v>
      </c>
      <c r="S1894" s="36">
        <v>8.147</v>
      </c>
      <c r="T1894" s="36">
        <v>11.214</v>
      </c>
      <c r="U1894" s="36">
        <v>36.4084</v>
      </c>
      <c r="V1894" s="36">
        <v>45.0156</v>
      </c>
      <c r="W1894" s="37" t="s">
        <v>780</v>
      </c>
      <c r="X1894" s="31">
        <v>1.0</v>
      </c>
      <c r="Y1894" s="36">
        <v>-0.3191581761966153</v>
      </c>
      <c r="Z1894" s="36">
        <v>0.7517796982864798</v>
      </c>
      <c r="AA1894" s="29" t="s">
        <v>820</v>
      </c>
      <c r="AB1894" s="31">
        <v>2.20407581329</v>
      </c>
      <c r="AC1894" s="38">
        <v>891.0</v>
      </c>
    </row>
    <row r="1895" ht="14.25" customHeight="1">
      <c r="A1895" s="29" t="s">
        <v>470</v>
      </c>
      <c r="B1895" s="29">
        <v>88.0</v>
      </c>
      <c r="C1895" s="29" t="s">
        <v>608</v>
      </c>
      <c r="D1895" s="29" t="s">
        <v>639</v>
      </c>
      <c r="E1895" s="29">
        <v>190.0</v>
      </c>
      <c r="F1895" s="30" t="s">
        <v>640</v>
      </c>
      <c r="G1895" s="29" t="s">
        <v>626</v>
      </c>
      <c r="H1895" s="31">
        <v>32.23</v>
      </c>
      <c r="I1895" s="29" t="s">
        <v>597</v>
      </c>
      <c r="J1895" s="32" t="s">
        <v>642</v>
      </c>
      <c r="K1895" s="29" t="s">
        <v>599</v>
      </c>
      <c r="L1895" s="29" t="s">
        <v>915</v>
      </c>
      <c r="M1895" s="33">
        <v>-76.767</v>
      </c>
      <c r="N1895" s="33">
        <v>-0.515</v>
      </c>
      <c r="O1895" s="34" t="s">
        <v>641</v>
      </c>
      <c r="P1895" s="32" t="s">
        <v>643</v>
      </c>
      <c r="Q1895" s="35">
        <v>48.0</v>
      </c>
      <c r="R1895" s="35">
        <v>48.0</v>
      </c>
      <c r="S1895" s="36">
        <v>0.0</v>
      </c>
      <c r="T1895" s="36">
        <v>115.597</v>
      </c>
      <c r="U1895" s="36">
        <v>0.0</v>
      </c>
      <c r="V1895" s="36">
        <v>636.7213</v>
      </c>
      <c r="W1895" s="37" t="s">
        <v>780</v>
      </c>
      <c r="X1895" s="31">
        <v>1.0</v>
      </c>
      <c r="Y1895" s="36">
        <v>-8.262558973010657</v>
      </c>
      <c r="Z1895" s="36">
        <v>0.6484541448987461</v>
      </c>
      <c r="AA1895" s="29" t="s">
        <v>820</v>
      </c>
      <c r="AB1895" s="31">
        <v>2.20407581329</v>
      </c>
      <c r="AC1895" s="38">
        <v>891.0</v>
      </c>
    </row>
    <row r="1896" ht="14.25" customHeight="1">
      <c r="A1896" s="29" t="s">
        <v>470</v>
      </c>
      <c r="B1896" s="29">
        <v>131.0</v>
      </c>
      <c r="C1896" s="29" t="s">
        <v>593</v>
      </c>
      <c r="D1896" s="29" t="s">
        <v>913</v>
      </c>
      <c r="E1896" s="29">
        <v>230.0</v>
      </c>
      <c r="F1896" s="30" t="s">
        <v>914</v>
      </c>
      <c r="G1896" s="29" t="s">
        <v>607</v>
      </c>
      <c r="H1896" s="31">
        <v>3.1</v>
      </c>
      <c r="I1896" s="29" t="s">
        <v>597</v>
      </c>
      <c r="J1896" s="32" t="s">
        <v>642</v>
      </c>
      <c r="K1896" s="29" t="s">
        <v>599</v>
      </c>
      <c r="L1896" s="29" t="s">
        <v>915</v>
      </c>
      <c r="M1896" s="33">
        <v>-76.399</v>
      </c>
      <c r="N1896" s="33">
        <v>-0.68</v>
      </c>
      <c r="O1896" s="34" t="s">
        <v>601</v>
      </c>
      <c r="P1896" s="32" t="s">
        <v>643</v>
      </c>
      <c r="Q1896" s="35">
        <v>48.0</v>
      </c>
      <c r="R1896" s="35">
        <v>48.0</v>
      </c>
      <c r="S1896" s="36">
        <v>0.0</v>
      </c>
      <c r="T1896" s="36">
        <v>11.372</v>
      </c>
      <c r="U1896" s="36">
        <v>0.0</v>
      </c>
      <c r="V1896" s="36">
        <v>50.3373</v>
      </c>
      <c r="W1896" s="37" t="s">
        <v>780</v>
      </c>
      <c r="X1896" s="31">
        <v>1.0</v>
      </c>
      <c r="Y1896" s="36">
        <v>-6.643789733147672</v>
      </c>
      <c r="Z1896" s="36">
        <v>0.40284439654255166</v>
      </c>
      <c r="AA1896" s="29" t="s">
        <v>820</v>
      </c>
      <c r="AB1896" s="31">
        <v>4.88233423233</v>
      </c>
      <c r="AC1896" s="38">
        <v>1706.0</v>
      </c>
    </row>
    <row r="1897" ht="14.25" customHeight="1">
      <c r="A1897" s="29" t="s">
        <v>470</v>
      </c>
      <c r="B1897" s="29">
        <v>131.0</v>
      </c>
      <c r="C1897" s="29" t="s">
        <v>593</v>
      </c>
      <c r="D1897" s="29" t="s">
        <v>864</v>
      </c>
      <c r="E1897" s="29">
        <v>119.0</v>
      </c>
      <c r="F1897" s="30" t="s">
        <v>865</v>
      </c>
      <c r="G1897" s="29" t="s">
        <v>607</v>
      </c>
      <c r="H1897" s="31">
        <v>0.55</v>
      </c>
      <c r="I1897" s="29" t="s">
        <v>597</v>
      </c>
      <c r="J1897" s="32" t="s">
        <v>642</v>
      </c>
      <c r="K1897" s="29" t="s">
        <v>599</v>
      </c>
      <c r="L1897" s="29" t="s">
        <v>915</v>
      </c>
      <c r="M1897" s="33">
        <v>-76.399</v>
      </c>
      <c r="N1897" s="33">
        <v>-0.68</v>
      </c>
      <c r="O1897" s="34" t="s">
        <v>601</v>
      </c>
      <c r="P1897" s="32" t="s">
        <v>643</v>
      </c>
      <c r="Q1897" s="35">
        <v>48.0</v>
      </c>
      <c r="R1897" s="35">
        <v>48.0</v>
      </c>
      <c r="S1897" s="36">
        <v>0.0</v>
      </c>
      <c r="T1897" s="36">
        <v>0.421</v>
      </c>
      <c r="U1897" s="36">
        <v>0.0</v>
      </c>
      <c r="V1897" s="36">
        <v>3.9519</v>
      </c>
      <c r="W1897" s="37" t="s">
        <v>780</v>
      </c>
      <c r="X1897" s="31">
        <v>1.0</v>
      </c>
      <c r="Y1897" s="36">
        <v>-6.643789733147672</v>
      </c>
      <c r="Z1897" s="36">
        <v>0.5076106173933272</v>
      </c>
      <c r="AA1897" s="29" t="s">
        <v>820</v>
      </c>
      <c r="AB1897" s="31">
        <v>4.88233423233</v>
      </c>
      <c r="AC1897" s="38">
        <v>1706.0</v>
      </c>
    </row>
    <row r="1898" ht="14.25" customHeight="1">
      <c r="A1898" s="29" t="s">
        <v>470</v>
      </c>
      <c r="B1898" s="29">
        <v>131.0</v>
      </c>
      <c r="C1898" s="29" t="s">
        <v>593</v>
      </c>
      <c r="D1898" s="29" t="s">
        <v>1112</v>
      </c>
      <c r="E1898" s="29">
        <v>130.0</v>
      </c>
      <c r="F1898" s="30" t="s">
        <v>867</v>
      </c>
      <c r="G1898" s="29" t="s">
        <v>607</v>
      </c>
      <c r="H1898" s="31">
        <v>1.49</v>
      </c>
      <c r="I1898" s="29" t="s">
        <v>597</v>
      </c>
      <c r="J1898" s="32" t="s">
        <v>642</v>
      </c>
      <c r="K1898" s="29" t="s">
        <v>599</v>
      </c>
      <c r="L1898" s="29" t="s">
        <v>915</v>
      </c>
      <c r="M1898" s="33">
        <v>-76.399</v>
      </c>
      <c r="N1898" s="33">
        <v>-0.68</v>
      </c>
      <c r="O1898" s="34" t="s">
        <v>601</v>
      </c>
      <c r="P1898" s="32" t="s">
        <v>643</v>
      </c>
      <c r="Q1898" s="35">
        <v>48.0</v>
      </c>
      <c r="R1898" s="35">
        <v>48.0</v>
      </c>
      <c r="S1898" s="36">
        <v>3.295</v>
      </c>
      <c r="T1898" s="36">
        <v>10.108</v>
      </c>
      <c r="U1898" s="36">
        <v>19.125</v>
      </c>
      <c r="V1898" s="36">
        <v>41.9969</v>
      </c>
      <c r="W1898" s="37" t="s">
        <v>780</v>
      </c>
      <c r="X1898" s="31">
        <v>1.0</v>
      </c>
      <c r="Y1898" s="36">
        <v>-1.1169346051114206</v>
      </c>
      <c r="Z1898" s="36">
        <v>1.0614961912777778</v>
      </c>
      <c r="AA1898" s="29" t="s">
        <v>820</v>
      </c>
      <c r="AB1898" s="31">
        <v>4.88233423233</v>
      </c>
      <c r="AC1898" s="38">
        <v>1706.0</v>
      </c>
    </row>
    <row r="1899" ht="14.25" customHeight="1">
      <c r="A1899" s="29" t="s">
        <v>470</v>
      </c>
      <c r="B1899" s="29">
        <v>131.0</v>
      </c>
      <c r="C1899" s="29" t="s">
        <v>593</v>
      </c>
      <c r="D1899" s="29" t="s">
        <v>919</v>
      </c>
      <c r="E1899" s="29">
        <v>260.0</v>
      </c>
      <c r="F1899" s="30" t="s">
        <v>920</v>
      </c>
      <c r="G1899" s="29" t="s">
        <v>607</v>
      </c>
      <c r="H1899" s="31">
        <v>1.82</v>
      </c>
      <c r="I1899" s="29" t="s">
        <v>597</v>
      </c>
      <c r="J1899" s="32" t="s">
        <v>642</v>
      </c>
      <c r="K1899" s="29" t="s">
        <v>599</v>
      </c>
      <c r="L1899" s="29" t="s">
        <v>915</v>
      </c>
      <c r="M1899" s="33">
        <v>-76.399</v>
      </c>
      <c r="N1899" s="33">
        <v>-0.68</v>
      </c>
      <c r="O1899" s="34" t="s">
        <v>601</v>
      </c>
      <c r="P1899" s="32" t="s">
        <v>643</v>
      </c>
      <c r="Q1899" s="35">
        <v>48.0</v>
      </c>
      <c r="R1899" s="35">
        <v>48.0</v>
      </c>
      <c r="S1899" s="36">
        <v>1.133</v>
      </c>
      <c r="T1899" s="36">
        <v>6.706</v>
      </c>
      <c r="U1899" s="36">
        <v>10.6362</v>
      </c>
      <c r="V1899" s="36">
        <v>29.9291</v>
      </c>
      <c r="W1899" s="37" t="s">
        <v>780</v>
      </c>
      <c r="X1899" s="31">
        <v>1.0</v>
      </c>
      <c r="Y1899" s="36">
        <v>-1.7704564410764074</v>
      </c>
      <c r="Z1899" s="36">
        <v>2.250969032494512</v>
      </c>
      <c r="AA1899" s="29" t="s">
        <v>820</v>
      </c>
      <c r="AB1899" s="31">
        <v>4.88233423233</v>
      </c>
      <c r="AC1899" s="38">
        <v>1706.0</v>
      </c>
    </row>
    <row r="1900" ht="14.25" customHeight="1">
      <c r="A1900" s="29" t="s">
        <v>470</v>
      </c>
      <c r="B1900" s="29">
        <v>131.0</v>
      </c>
      <c r="C1900" s="29" t="s">
        <v>593</v>
      </c>
      <c r="D1900" s="35" t="s">
        <v>1136</v>
      </c>
      <c r="E1900" s="29">
        <v>153.0</v>
      </c>
      <c r="F1900" s="30" t="s">
        <v>1137</v>
      </c>
      <c r="G1900" s="29" t="s">
        <v>877</v>
      </c>
      <c r="H1900" s="31">
        <v>1.03</v>
      </c>
      <c r="I1900" s="29" t="s">
        <v>597</v>
      </c>
      <c r="J1900" s="32" t="s">
        <v>642</v>
      </c>
      <c r="K1900" s="29" t="s">
        <v>599</v>
      </c>
      <c r="L1900" s="29" t="s">
        <v>915</v>
      </c>
      <c r="M1900" s="33">
        <v>-76.399</v>
      </c>
      <c r="N1900" s="33">
        <v>-0.68</v>
      </c>
      <c r="O1900" s="34" t="s">
        <v>601</v>
      </c>
      <c r="P1900" s="32" t="s">
        <v>643</v>
      </c>
      <c r="Q1900" s="35">
        <v>48.0</v>
      </c>
      <c r="R1900" s="35">
        <v>48.0</v>
      </c>
      <c r="S1900" s="36">
        <v>5.031</v>
      </c>
      <c r="T1900" s="36">
        <v>2.205</v>
      </c>
      <c r="U1900" s="36">
        <v>30.0334</v>
      </c>
      <c r="V1900" s="36">
        <v>15.3127</v>
      </c>
      <c r="W1900" s="37" t="s">
        <v>780</v>
      </c>
      <c r="X1900" s="31">
        <v>1.0</v>
      </c>
      <c r="Y1900" s="36">
        <v>0.8254617803648734</v>
      </c>
      <c r="Z1900" s="36">
        <v>1.747156357011494</v>
      </c>
      <c r="AA1900" s="29" t="s">
        <v>820</v>
      </c>
      <c r="AB1900" s="31">
        <v>4.88233423233</v>
      </c>
      <c r="AC1900" s="38">
        <v>1706.0</v>
      </c>
    </row>
    <row r="1901" ht="14.25" customHeight="1">
      <c r="A1901" s="29" t="s">
        <v>470</v>
      </c>
      <c r="B1901" s="29">
        <v>131.0</v>
      </c>
      <c r="C1901" s="29" t="s">
        <v>593</v>
      </c>
      <c r="D1901" s="29" t="s">
        <v>907</v>
      </c>
      <c r="E1901" s="29">
        <v>160.0</v>
      </c>
      <c r="F1901" s="30" t="s">
        <v>908</v>
      </c>
      <c r="G1901" s="29" t="s">
        <v>909</v>
      </c>
      <c r="H1901" s="31">
        <v>0.4</v>
      </c>
      <c r="I1901" s="29" t="s">
        <v>597</v>
      </c>
      <c r="J1901" s="32" t="s">
        <v>642</v>
      </c>
      <c r="K1901" s="29" t="s">
        <v>599</v>
      </c>
      <c r="L1901" s="29" t="s">
        <v>915</v>
      </c>
      <c r="M1901" s="33">
        <v>-76.399</v>
      </c>
      <c r="N1901" s="33">
        <v>-0.68</v>
      </c>
      <c r="O1901" s="34" t="s">
        <v>601</v>
      </c>
      <c r="P1901" s="32" t="s">
        <v>643</v>
      </c>
      <c r="Q1901" s="35">
        <v>48.0</v>
      </c>
      <c r="R1901" s="35">
        <v>48.0</v>
      </c>
      <c r="S1901" s="36">
        <v>3.13</v>
      </c>
      <c r="T1901" s="36">
        <v>1.029</v>
      </c>
      <c r="U1901" s="36">
        <v>16.8097</v>
      </c>
      <c r="V1901" s="36">
        <v>7.0555</v>
      </c>
      <c r="W1901" s="37" t="s">
        <v>780</v>
      </c>
      <c r="X1901" s="31">
        <v>1.0</v>
      </c>
      <c r="Y1901" s="36">
        <v>1.1128735212022707</v>
      </c>
      <c r="Z1901" s="36">
        <v>1.5803361430516774</v>
      </c>
      <c r="AA1901" s="29" t="s">
        <v>820</v>
      </c>
      <c r="AB1901" s="31">
        <v>4.88233423233</v>
      </c>
      <c r="AC1901" s="38">
        <v>1706.0</v>
      </c>
    </row>
    <row r="1902" ht="14.25" customHeight="1">
      <c r="A1902" s="29" t="s">
        <v>470</v>
      </c>
      <c r="B1902" s="29">
        <v>131.0</v>
      </c>
      <c r="C1902" s="29" t="s">
        <v>608</v>
      </c>
      <c r="D1902" s="29" t="s">
        <v>921</v>
      </c>
      <c r="E1902" s="29">
        <v>228.0</v>
      </c>
      <c r="F1902" s="30" t="s">
        <v>922</v>
      </c>
      <c r="G1902" s="29" t="s">
        <v>611</v>
      </c>
      <c r="H1902" s="31">
        <v>5.0</v>
      </c>
      <c r="I1902" s="29" t="s">
        <v>597</v>
      </c>
      <c r="J1902" s="32" t="s">
        <v>642</v>
      </c>
      <c r="K1902" s="29" t="s">
        <v>599</v>
      </c>
      <c r="L1902" s="29" t="s">
        <v>915</v>
      </c>
      <c r="M1902" s="33">
        <v>-76.399</v>
      </c>
      <c r="N1902" s="33">
        <v>-0.68</v>
      </c>
      <c r="O1902" s="34" t="s">
        <v>601</v>
      </c>
      <c r="P1902" s="32" t="s">
        <v>643</v>
      </c>
      <c r="Q1902" s="35">
        <v>48.0</v>
      </c>
      <c r="R1902" s="35">
        <v>48.0</v>
      </c>
      <c r="S1902" s="36">
        <v>6.534</v>
      </c>
      <c r="T1902" s="36">
        <v>21.476</v>
      </c>
      <c r="U1902" s="36">
        <v>44.9874</v>
      </c>
      <c r="V1902" s="36">
        <v>110.466</v>
      </c>
      <c r="W1902" s="37" t="s">
        <v>780</v>
      </c>
      <c r="X1902" s="31">
        <v>1.0</v>
      </c>
      <c r="Y1902" s="36">
        <v>-1.1890690891784579</v>
      </c>
      <c r="Z1902" s="36">
        <v>1.538802776114945</v>
      </c>
      <c r="AA1902" s="29" t="s">
        <v>820</v>
      </c>
      <c r="AB1902" s="31">
        <v>4.88233423233</v>
      </c>
      <c r="AC1902" s="38">
        <v>1706.0</v>
      </c>
    </row>
    <row r="1903" ht="14.25" customHeight="1">
      <c r="A1903" s="29" t="s">
        <v>470</v>
      </c>
      <c r="B1903" s="29">
        <v>131.0</v>
      </c>
      <c r="C1903" s="29" t="s">
        <v>608</v>
      </c>
      <c r="D1903" s="29" t="s">
        <v>1277</v>
      </c>
      <c r="E1903" s="29">
        <v>25.0</v>
      </c>
      <c r="F1903" s="30" t="s">
        <v>1278</v>
      </c>
      <c r="G1903" s="29" t="s">
        <v>611</v>
      </c>
      <c r="H1903" s="31">
        <v>0.85</v>
      </c>
      <c r="I1903" s="29" t="s">
        <v>616</v>
      </c>
      <c r="J1903" s="32" t="s">
        <v>642</v>
      </c>
      <c r="K1903" s="29" t="s">
        <v>599</v>
      </c>
      <c r="L1903" s="29" t="s">
        <v>915</v>
      </c>
      <c r="M1903" s="33">
        <v>-76.399</v>
      </c>
      <c r="N1903" s="33">
        <v>-0.68</v>
      </c>
      <c r="O1903" s="34" t="s">
        <v>601</v>
      </c>
      <c r="P1903" s="32" t="s">
        <v>643</v>
      </c>
      <c r="Q1903" s="35">
        <v>48.0</v>
      </c>
      <c r="R1903" s="35">
        <v>48.0</v>
      </c>
      <c r="S1903" s="36">
        <v>3.095</v>
      </c>
      <c r="T1903" s="36">
        <v>7.46</v>
      </c>
      <c r="U1903" s="36">
        <v>18.054</v>
      </c>
      <c r="V1903" s="36">
        <v>32.1826</v>
      </c>
      <c r="W1903" s="37" t="s">
        <v>780</v>
      </c>
      <c r="X1903" s="31">
        <v>1.0</v>
      </c>
      <c r="Y1903" s="36">
        <v>-0.8791458388021333</v>
      </c>
      <c r="Z1903" s="36">
        <v>1.0966235537212619</v>
      </c>
      <c r="AA1903" s="29" t="s">
        <v>820</v>
      </c>
      <c r="AB1903" s="31">
        <v>4.88233423233</v>
      </c>
      <c r="AC1903" s="38">
        <v>1706.0</v>
      </c>
    </row>
    <row r="1904" ht="14.25" customHeight="1">
      <c r="A1904" s="29" t="s">
        <v>470</v>
      </c>
      <c r="B1904" s="29">
        <v>131.0</v>
      </c>
      <c r="C1904" s="29" t="s">
        <v>608</v>
      </c>
      <c r="D1904" s="29" t="s">
        <v>830</v>
      </c>
      <c r="E1904" s="29">
        <v>30.0</v>
      </c>
      <c r="F1904" s="30" t="s">
        <v>831</v>
      </c>
      <c r="G1904" s="29" t="s">
        <v>611</v>
      </c>
      <c r="H1904" s="31">
        <v>2.63</v>
      </c>
      <c r="I1904" s="29" t="s">
        <v>616</v>
      </c>
      <c r="J1904" s="32" t="s">
        <v>642</v>
      </c>
      <c r="K1904" s="29" t="s">
        <v>599</v>
      </c>
      <c r="L1904" s="29" t="s">
        <v>915</v>
      </c>
      <c r="M1904" s="33">
        <v>-76.399</v>
      </c>
      <c r="N1904" s="33">
        <v>-0.68</v>
      </c>
      <c r="O1904" s="34" t="s">
        <v>601</v>
      </c>
      <c r="P1904" s="32" t="s">
        <v>643</v>
      </c>
      <c r="Q1904" s="35">
        <v>48.0</v>
      </c>
      <c r="R1904" s="35">
        <v>48.0</v>
      </c>
      <c r="S1904" s="36">
        <v>4.952</v>
      </c>
      <c r="T1904" s="36">
        <v>9.766</v>
      </c>
      <c r="U1904" s="36">
        <v>34.0949</v>
      </c>
      <c r="V1904" s="36">
        <v>47.6438</v>
      </c>
      <c r="W1904" s="37" t="s">
        <v>780</v>
      </c>
      <c r="X1904" s="31">
        <v>1.0</v>
      </c>
      <c r="Y1904" s="36">
        <v>-0.6786067535478534</v>
      </c>
      <c r="Z1904" s="36">
        <v>1.4834252621090203</v>
      </c>
      <c r="AA1904" s="29" t="s">
        <v>820</v>
      </c>
      <c r="AB1904" s="31">
        <v>4.88233423233</v>
      </c>
      <c r="AC1904" s="38">
        <v>1706.0</v>
      </c>
    </row>
    <row r="1905" ht="14.25" customHeight="1">
      <c r="A1905" s="29" t="s">
        <v>470</v>
      </c>
      <c r="B1905" s="29">
        <v>131.0</v>
      </c>
      <c r="C1905" s="29" t="s">
        <v>608</v>
      </c>
      <c r="D1905" s="29" t="s">
        <v>650</v>
      </c>
      <c r="E1905" s="29">
        <v>70.0</v>
      </c>
      <c r="F1905" s="30" t="s">
        <v>651</v>
      </c>
      <c r="G1905" s="29" t="s">
        <v>615</v>
      </c>
      <c r="H1905" s="31">
        <v>8.17</v>
      </c>
      <c r="I1905" s="29" t="s">
        <v>616</v>
      </c>
      <c r="J1905" s="32" t="s">
        <v>642</v>
      </c>
      <c r="K1905" s="29" t="s">
        <v>599</v>
      </c>
      <c r="L1905" s="29" t="s">
        <v>915</v>
      </c>
      <c r="M1905" s="33">
        <v>-76.399</v>
      </c>
      <c r="N1905" s="33">
        <v>-0.68</v>
      </c>
      <c r="O1905" s="34" t="s">
        <v>601</v>
      </c>
      <c r="P1905" s="32" t="s">
        <v>643</v>
      </c>
      <c r="Q1905" s="35">
        <v>48.0</v>
      </c>
      <c r="R1905" s="35">
        <v>48.0</v>
      </c>
      <c r="S1905" s="36">
        <v>0.0</v>
      </c>
      <c r="T1905" s="36">
        <v>0.586</v>
      </c>
      <c r="U1905" s="36">
        <v>0.0</v>
      </c>
      <c r="V1905" s="36">
        <v>5.5019</v>
      </c>
      <c r="W1905" s="37" t="s">
        <v>780</v>
      </c>
      <c r="X1905" s="31">
        <v>1.0</v>
      </c>
      <c r="Y1905" s="36">
        <v>-8.262558973010657</v>
      </c>
      <c r="Z1905" s="36">
        <v>0.6571548701270257</v>
      </c>
      <c r="AA1905" s="29" t="s">
        <v>820</v>
      </c>
      <c r="AB1905" s="31">
        <v>4.88233423233</v>
      </c>
      <c r="AC1905" s="38">
        <v>1706.0</v>
      </c>
    </row>
    <row r="1906" ht="14.25" customHeight="1">
      <c r="A1906" s="29" t="s">
        <v>470</v>
      </c>
      <c r="B1906" s="29">
        <v>131.0</v>
      </c>
      <c r="C1906" s="29" t="s">
        <v>608</v>
      </c>
      <c r="D1906" s="29" t="s">
        <v>923</v>
      </c>
      <c r="E1906" s="29">
        <v>229.0</v>
      </c>
      <c r="F1906" s="30" t="s">
        <v>924</v>
      </c>
      <c r="G1906" s="29" t="s">
        <v>615</v>
      </c>
      <c r="H1906" s="31">
        <v>3.5</v>
      </c>
      <c r="I1906" s="29" t="s">
        <v>616</v>
      </c>
      <c r="J1906" s="32" t="s">
        <v>642</v>
      </c>
      <c r="K1906" s="29" t="s">
        <v>599</v>
      </c>
      <c r="L1906" s="29" t="s">
        <v>915</v>
      </c>
      <c r="M1906" s="33">
        <v>-76.399</v>
      </c>
      <c r="N1906" s="33">
        <v>-0.68</v>
      </c>
      <c r="O1906" s="34" t="s">
        <v>601</v>
      </c>
      <c r="P1906" s="32" t="s">
        <v>643</v>
      </c>
      <c r="Q1906" s="35">
        <v>48.0</v>
      </c>
      <c r="R1906" s="35">
        <v>48.0</v>
      </c>
      <c r="S1906" s="36">
        <v>0.0</v>
      </c>
      <c r="T1906" s="36">
        <v>2.345</v>
      </c>
      <c r="U1906" s="36">
        <v>0.0</v>
      </c>
      <c r="V1906" s="36">
        <v>12.3135</v>
      </c>
      <c r="W1906" s="37" t="s">
        <v>780</v>
      </c>
      <c r="X1906" s="31">
        <v>1.0</v>
      </c>
      <c r="Y1906" s="36">
        <v>-8.262558973010657</v>
      </c>
      <c r="Z1906" s="36">
        <v>0.4434336008403318</v>
      </c>
      <c r="AA1906" s="29" t="s">
        <v>820</v>
      </c>
      <c r="AB1906" s="31">
        <v>4.88233423233</v>
      </c>
      <c r="AC1906" s="38">
        <v>1706.0</v>
      </c>
    </row>
    <row r="1907" ht="14.25" customHeight="1">
      <c r="A1907" s="29" t="s">
        <v>470</v>
      </c>
      <c r="B1907" s="29">
        <v>131.0</v>
      </c>
      <c r="C1907" s="29" t="s">
        <v>608</v>
      </c>
      <c r="D1907" s="29" t="s">
        <v>832</v>
      </c>
      <c r="E1907" s="29">
        <v>90.0</v>
      </c>
      <c r="F1907" s="30" t="s">
        <v>833</v>
      </c>
      <c r="G1907" s="29" t="s">
        <v>611</v>
      </c>
      <c r="H1907" s="31">
        <v>6.3</v>
      </c>
      <c r="I1907" s="29" t="s">
        <v>597</v>
      </c>
      <c r="J1907" s="32" t="s">
        <v>642</v>
      </c>
      <c r="K1907" s="29" t="s">
        <v>599</v>
      </c>
      <c r="L1907" s="29" t="s">
        <v>915</v>
      </c>
      <c r="M1907" s="33">
        <v>-76.399</v>
      </c>
      <c r="N1907" s="33">
        <v>-0.68</v>
      </c>
      <c r="O1907" s="34" t="s">
        <v>601</v>
      </c>
      <c r="P1907" s="32" t="s">
        <v>643</v>
      </c>
      <c r="Q1907" s="35">
        <v>48.0</v>
      </c>
      <c r="R1907" s="35">
        <v>48.0</v>
      </c>
      <c r="S1907" s="36">
        <v>17.496</v>
      </c>
      <c r="T1907" s="36">
        <v>17.253</v>
      </c>
      <c r="U1907" s="36">
        <v>77.7567</v>
      </c>
      <c r="V1907" s="36">
        <v>71.9897</v>
      </c>
      <c r="W1907" s="37" t="s">
        <v>780</v>
      </c>
      <c r="X1907" s="31">
        <v>1.0</v>
      </c>
      <c r="Y1907" s="36">
        <v>0.014240624248175196</v>
      </c>
      <c r="Z1907" s="36">
        <v>0.7742066557835463</v>
      </c>
      <c r="AA1907" s="29" t="s">
        <v>820</v>
      </c>
      <c r="AB1907" s="31">
        <v>4.88233423233</v>
      </c>
      <c r="AC1907" s="38">
        <v>1706.0</v>
      </c>
    </row>
    <row r="1908" ht="14.25" customHeight="1">
      <c r="A1908" s="29" t="s">
        <v>470</v>
      </c>
      <c r="B1908" s="29">
        <v>131.0</v>
      </c>
      <c r="C1908" s="29" t="s">
        <v>608</v>
      </c>
      <c r="D1908" s="29" t="s">
        <v>677</v>
      </c>
      <c r="E1908" s="29">
        <v>100.0</v>
      </c>
      <c r="F1908" s="30" t="s">
        <v>678</v>
      </c>
      <c r="G1908" s="29" t="s">
        <v>626</v>
      </c>
      <c r="H1908" s="31">
        <v>22.8</v>
      </c>
      <c r="I1908" s="29" t="s">
        <v>612</v>
      </c>
      <c r="J1908" s="32" t="s">
        <v>642</v>
      </c>
      <c r="K1908" s="29" t="s">
        <v>599</v>
      </c>
      <c r="L1908" s="29" t="s">
        <v>915</v>
      </c>
      <c r="M1908" s="33">
        <v>-76.399</v>
      </c>
      <c r="N1908" s="33">
        <v>-0.68</v>
      </c>
      <c r="O1908" s="34" t="s">
        <v>601</v>
      </c>
      <c r="P1908" s="32" t="s">
        <v>643</v>
      </c>
      <c r="Q1908" s="35">
        <v>48.0</v>
      </c>
      <c r="R1908" s="35">
        <v>48.0</v>
      </c>
      <c r="S1908" s="36">
        <v>0.462</v>
      </c>
      <c r="T1908" s="36">
        <v>0.608</v>
      </c>
      <c r="U1908" s="36">
        <v>4.3372</v>
      </c>
      <c r="V1908" s="36">
        <v>4.4715</v>
      </c>
      <c r="W1908" s="37" t="s">
        <v>780</v>
      </c>
      <c r="X1908" s="31">
        <v>1.0</v>
      </c>
      <c r="Y1908" s="36">
        <v>-0.274270518760316</v>
      </c>
      <c r="Z1908" s="36">
        <v>2.9629180721203916</v>
      </c>
      <c r="AA1908" s="29" t="s">
        <v>820</v>
      </c>
      <c r="AB1908" s="31">
        <v>4.88233423233</v>
      </c>
      <c r="AC1908" s="38">
        <v>1706.0</v>
      </c>
    </row>
    <row r="1909" ht="14.25" customHeight="1">
      <c r="A1909" s="29" t="s">
        <v>470</v>
      </c>
      <c r="B1909" s="29">
        <v>131.0</v>
      </c>
      <c r="C1909" s="29" t="s">
        <v>608</v>
      </c>
      <c r="D1909" s="29" t="s">
        <v>1366</v>
      </c>
      <c r="E1909" s="29">
        <v>258.0</v>
      </c>
      <c r="F1909" s="30" t="s">
        <v>1367</v>
      </c>
      <c r="G1909" s="29" t="s">
        <v>615</v>
      </c>
      <c r="H1909" s="31">
        <v>0.09</v>
      </c>
      <c r="I1909" s="29" t="s">
        <v>597</v>
      </c>
      <c r="J1909" s="32" t="s">
        <v>642</v>
      </c>
      <c r="K1909" s="29" t="s">
        <v>599</v>
      </c>
      <c r="L1909" s="29" t="s">
        <v>915</v>
      </c>
      <c r="M1909" s="33">
        <v>-76.399</v>
      </c>
      <c r="N1909" s="33">
        <v>-0.68</v>
      </c>
      <c r="O1909" s="34" t="s">
        <v>601</v>
      </c>
      <c r="P1909" s="32" t="s">
        <v>643</v>
      </c>
      <c r="Q1909" s="35">
        <v>48.0</v>
      </c>
      <c r="R1909" s="35">
        <v>48.0</v>
      </c>
      <c r="S1909" s="36">
        <v>0.892</v>
      </c>
      <c r="T1909" s="36">
        <v>0.586</v>
      </c>
      <c r="U1909" s="36">
        <v>8.3669</v>
      </c>
      <c r="V1909" s="36">
        <v>5.5019</v>
      </c>
      <c r="W1909" s="37" t="s">
        <v>780</v>
      </c>
      <c r="X1909" s="31">
        <v>1.0</v>
      </c>
      <c r="Y1909" s="36">
        <v>0.4203158205584719</v>
      </c>
      <c r="Z1909" s="36">
        <v>3.669473515285493</v>
      </c>
      <c r="AA1909" s="29" t="s">
        <v>820</v>
      </c>
      <c r="AB1909" s="31">
        <v>4.88233423233</v>
      </c>
      <c r="AC1909" s="38">
        <v>1706.0</v>
      </c>
    </row>
    <row r="1910" ht="14.25" customHeight="1">
      <c r="A1910" s="29" t="s">
        <v>470</v>
      </c>
      <c r="B1910" s="29">
        <v>131.0</v>
      </c>
      <c r="C1910" s="29" t="s">
        <v>608</v>
      </c>
      <c r="D1910" s="29" t="s">
        <v>925</v>
      </c>
      <c r="E1910" s="29">
        <v>108.0</v>
      </c>
      <c r="F1910" s="30" t="s">
        <v>926</v>
      </c>
      <c r="G1910" s="29" t="s">
        <v>615</v>
      </c>
      <c r="H1910" s="31">
        <v>0.97</v>
      </c>
      <c r="I1910" s="29" t="s">
        <v>616</v>
      </c>
      <c r="J1910" s="32" t="s">
        <v>642</v>
      </c>
      <c r="K1910" s="29" t="s">
        <v>599</v>
      </c>
      <c r="L1910" s="29" t="s">
        <v>915</v>
      </c>
      <c r="M1910" s="33">
        <v>-76.399</v>
      </c>
      <c r="N1910" s="33">
        <v>-0.68</v>
      </c>
      <c r="O1910" s="34" t="s">
        <v>601</v>
      </c>
      <c r="P1910" s="32" t="s">
        <v>643</v>
      </c>
      <c r="Q1910" s="35">
        <v>48.0</v>
      </c>
      <c r="R1910" s="35">
        <v>48.0</v>
      </c>
      <c r="S1910" s="36">
        <v>0.892</v>
      </c>
      <c r="T1910" s="36">
        <v>1.173</v>
      </c>
      <c r="U1910" s="36">
        <v>8.3669</v>
      </c>
      <c r="V1910" s="36">
        <v>7.9126</v>
      </c>
      <c r="W1910" s="37" t="s">
        <v>780</v>
      </c>
      <c r="X1910" s="31">
        <v>1.0</v>
      </c>
      <c r="Y1910" s="36">
        <v>-0.2735145005429913</v>
      </c>
      <c r="Z1910" s="36">
        <v>2.780966381196656</v>
      </c>
      <c r="AA1910" s="29" t="s">
        <v>820</v>
      </c>
      <c r="AB1910" s="31">
        <v>4.88233423233</v>
      </c>
      <c r="AC1910" s="38">
        <v>1706.0</v>
      </c>
    </row>
    <row r="1911" ht="14.25" customHeight="1">
      <c r="A1911" s="29" t="s">
        <v>470</v>
      </c>
      <c r="B1911" s="29">
        <v>131.0</v>
      </c>
      <c r="C1911" s="29" t="s">
        <v>608</v>
      </c>
      <c r="D1911" s="29" t="s">
        <v>630</v>
      </c>
      <c r="E1911" s="29">
        <v>129.0</v>
      </c>
      <c r="F1911" s="30" t="s">
        <v>631</v>
      </c>
      <c r="G1911" s="29" t="s">
        <v>626</v>
      </c>
      <c r="H1911" s="31">
        <v>21.27</v>
      </c>
      <c r="I1911" s="29" t="s">
        <v>612</v>
      </c>
      <c r="J1911" s="32" t="s">
        <v>642</v>
      </c>
      <c r="K1911" s="29" t="s">
        <v>599</v>
      </c>
      <c r="L1911" s="29" t="s">
        <v>915</v>
      </c>
      <c r="M1911" s="33">
        <v>-76.399</v>
      </c>
      <c r="N1911" s="33">
        <v>-0.68</v>
      </c>
      <c r="O1911" s="34" t="s">
        <v>601</v>
      </c>
      <c r="P1911" s="32" t="s">
        <v>643</v>
      </c>
      <c r="Q1911" s="35">
        <v>48.0</v>
      </c>
      <c r="R1911" s="35">
        <v>48.0</v>
      </c>
      <c r="S1911" s="36">
        <v>0.745</v>
      </c>
      <c r="T1911" s="36">
        <v>2.448</v>
      </c>
      <c r="U1911" s="36">
        <v>6.9865</v>
      </c>
      <c r="V1911" s="36">
        <v>14.5227</v>
      </c>
      <c r="W1911" s="37" t="s">
        <v>780</v>
      </c>
      <c r="X1911" s="31">
        <v>1.0</v>
      </c>
      <c r="Y1911" s="36">
        <v>-1.1887950274193062</v>
      </c>
      <c r="Z1911" s="36">
        <v>2.56538291919367</v>
      </c>
      <c r="AA1911" s="29" t="s">
        <v>820</v>
      </c>
      <c r="AB1911" s="31">
        <v>4.88233423233</v>
      </c>
      <c r="AC1911" s="38">
        <v>1706.0</v>
      </c>
    </row>
    <row r="1912" ht="14.25" customHeight="1">
      <c r="A1912" s="29" t="s">
        <v>470</v>
      </c>
      <c r="B1912" s="29">
        <v>131.0</v>
      </c>
      <c r="C1912" s="29" t="s">
        <v>608</v>
      </c>
      <c r="D1912" s="29" t="s">
        <v>834</v>
      </c>
      <c r="E1912" s="29">
        <v>141.0</v>
      </c>
      <c r="F1912" s="30" t="s">
        <v>835</v>
      </c>
      <c r="G1912" s="29" t="s">
        <v>611</v>
      </c>
      <c r="H1912" s="31">
        <v>1.54</v>
      </c>
      <c r="I1912" s="29" t="s">
        <v>616</v>
      </c>
      <c r="J1912" s="32" t="s">
        <v>642</v>
      </c>
      <c r="K1912" s="29" t="s">
        <v>599</v>
      </c>
      <c r="L1912" s="29" t="s">
        <v>915</v>
      </c>
      <c r="M1912" s="33">
        <v>-76.399</v>
      </c>
      <c r="N1912" s="33">
        <v>-0.68</v>
      </c>
      <c r="O1912" s="34" t="s">
        <v>601</v>
      </c>
      <c r="P1912" s="32" t="s">
        <v>643</v>
      </c>
      <c r="Q1912" s="35">
        <v>48.0</v>
      </c>
      <c r="R1912" s="35">
        <v>48.0</v>
      </c>
      <c r="S1912" s="36">
        <v>1.834</v>
      </c>
      <c r="T1912" s="36">
        <v>1.809</v>
      </c>
      <c r="U1912" s="36">
        <v>12.4089</v>
      </c>
      <c r="V1912" s="36">
        <v>10.4577</v>
      </c>
      <c r="W1912" s="37" t="s">
        <v>780</v>
      </c>
      <c r="X1912" s="31">
        <v>1.0</v>
      </c>
      <c r="Y1912" s="36">
        <v>0.013979616107509493</v>
      </c>
      <c r="Z1912" s="36">
        <v>1.6499647022769786</v>
      </c>
      <c r="AA1912" s="29" t="s">
        <v>820</v>
      </c>
      <c r="AB1912" s="31">
        <v>4.88233423233</v>
      </c>
      <c r="AC1912" s="38">
        <v>1706.0</v>
      </c>
    </row>
    <row r="1913" ht="14.25" customHeight="1">
      <c r="A1913" s="29" t="s">
        <v>470</v>
      </c>
      <c r="B1913" s="29">
        <v>131.0</v>
      </c>
      <c r="C1913" s="29" t="s">
        <v>608</v>
      </c>
      <c r="D1913" s="29" t="s">
        <v>1043</v>
      </c>
      <c r="E1913" s="29">
        <v>262.0</v>
      </c>
      <c r="F1913" s="30" t="s">
        <v>1044</v>
      </c>
      <c r="G1913" s="29" t="s">
        <v>611</v>
      </c>
      <c r="H1913" s="31">
        <v>0.39</v>
      </c>
      <c r="I1913" s="29" t="s">
        <v>616</v>
      </c>
      <c r="J1913" s="32" t="s">
        <v>642</v>
      </c>
      <c r="K1913" s="29" t="s">
        <v>599</v>
      </c>
      <c r="L1913" s="29" t="s">
        <v>915</v>
      </c>
      <c r="M1913" s="33">
        <v>-76.399</v>
      </c>
      <c r="N1913" s="33">
        <v>-0.68</v>
      </c>
      <c r="O1913" s="34" t="s">
        <v>601</v>
      </c>
      <c r="P1913" s="32" t="s">
        <v>643</v>
      </c>
      <c r="Q1913" s="35">
        <v>48.0</v>
      </c>
      <c r="R1913" s="35">
        <v>48.0</v>
      </c>
      <c r="S1913" s="36">
        <v>21.197</v>
      </c>
      <c r="T1913" s="36">
        <v>12.193</v>
      </c>
      <c r="U1913" s="36">
        <v>95.7541</v>
      </c>
      <c r="V1913" s="36">
        <v>56.4825</v>
      </c>
      <c r="W1913" s="37" t="s">
        <v>780</v>
      </c>
      <c r="X1913" s="31">
        <v>1.0</v>
      </c>
      <c r="Y1913" s="36">
        <v>0.5531460409645893</v>
      </c>
      <c r="Z1913" s="36">
        <v>0.8721925171104833</v>
      </c>
      <c r="AA1913" s="29" t="s">
        <v>820</v>
      </c>
      <c r="AB1913" s="31">
        <v>4.88233423233</v>
      </c>
      <c r="AC1913" s="38">
        <v>1706.0</v>
      </c>
    </row>
    <row r="1914" ht="14.25" customHeight="1">
      <c r="A1914" s="29" t="s">
        <v>470</v>
      </c>
      <c r="B1914" s="29">
        <v>131.0</v>
      </c>
      <c r="C1914" s="29" t="s">
        <v>608</v>
      </c>
      <c r="D1914" s="29" t="s">
        <v>691</v>
      </c>
      <c r="E1914" s="29">
        <v>170.0</v>
      </c>
      <c r="F1914" s="30" t="s">
        <v>692</v>
      </c>
      <c r="G1914" s="29" t="s">
        <v>611</v>
      </c>
      <c r="H1914" s="31">
        <v>0.74</v>
      </c>
      <c r="I1914" s="29" t="s">
        <v>616</v>
      </c>
      <c r="J1914" s="32" t="s">
        <v>642</v>
      </c>
      <c r="K1914" s="29" t="s">
        <v>599</v>
      </c>
      <c r="L1914" s="29" t="s">
        <v>915</v>
      </c>
      <c r="M1914" s="33">
        <v>-76.399</v>
      </c>
      <c r="N1914" s="33">
        <v>-0.68</v>
      </c>
      <c r="O1914" s="34" t="s">
        <v>601</v>
      </c>
      <c r="P1914" s="32" t="s">
        <v>643</v>
      </c>
      <c r="Q1914" s="35">
        <v>48.0</v>
      </c>
      <c r="R1914" s="35">
        <v>48.0</v>
      </c>
      <c r="S1914" s="36">
        <v>32.652</v>
      </c>
      <c r="T1914" s="36">
        <v>28.621</v>
      </c>
      <c r="U1914" s="36">
        <v>156.4236</v>
      </c>
      <c r="V1914" s="36">
        <v>129.4885</v>
      </c>
      <c r="W1914" s="37" t="s">
        <v>780</v>
      </c>
      <c r="X1914" s="31">
        <v>1.0</v>
      </c>
      <c r="Y1914" s="36">
        <v>0.13199151711972323</v>
      </c>
      <c r="Z1914" s="36">
        <v>0.9045612548497346</v>
      </c>
      <c r="AA1914" s="29" t="s">
        <v>820</v>
      </c>
      <c r="AB1914" s="31">
        <v>4.88233423233</v>
      </c>
      <c r="AC1914" s="38">
        <v>1706.0</v>
      </c>
    </row>
    <row r="1915" ht="14.25" customHeight="1">
      <c r="A1915" s="29" t="s">
        <v>470</v>
      </c>
      <c r="B1915" s="29">
        <v>131.0</v>
      </c>
      <c r="C1915" s="29" t="s">
        <v>608</v>
      </c>
      <c r="D1915" s="29" t="s">
        <v>1035</v>
      </c>
      <c r="E1915" s="29">
        <v>176.0</v>
      </c>
      <c r="F1915" s="30" t="s">
        <v>1036</v>
      </c>
      <c r="G1915" s="29" t="s">
        <v>615</v>
      </c>
      <c r="H1915" s="31">
        <v>0.6</v>
      </c>
      <c r="I1915" s="29" t="s">
        <v>597</v>
      </c>
      <c r="J1915" s="32" t="s">
        <v>642</v>
      </c>
      <c r="K1915" s="29" t="s">
        <v>599</v>
      </c>
      <c r="L1915" s="29" t="s">
        <v>915</v>
      </c>
      <c r="M1915" s="33">
        <v>-76.399</v>
      </c>
      <c r="N1915" s="33">
        <v>-0.68</v>
      </c>
      <c r="O1915" s="34" t="s">
        <v>601</v>
      </c>
      <c r="P1915" s="32" t="s">
        <v>643</v>
      </c>
      <c r="Q1915" s="35">
        <v>48.0</v>
      </c>
      <c r="R1915" s="35">
        <v>48.0</v>
      </c>
      <c r="S1915" s="36">
        <v>5.686</v>
      </c>
      <c r="T1915" s="36">
        <v>11.214</v>
      </c>
      <c r="U1915" s="36">
        <v>26.9281</v>
      </c>
      <c r="V1915" s="36">
        <v>45.0156</v>
      </c>
      <c r="W1915" s="37" t="s">
        <v>780</v>
      </c>
      <c r="X1915" s="31">
        <v>1.0</v>
      </c>
      <c r="Y1915" s="36">
        <v>-0.6786472871391955</v>
      </c>
      <c r="Z1915" s="36">
        <v>0.8029672966651773</v>
      </c>
      <c r="AA1915" s="29" t="s">
        <v>820</v>
      </c>
      <c r="AB1915" s="31">
        <v>4.88233423233</v>
      </c>
      <c r="AC1915" s="38">
        <v>1706.0</v>
      </c>
    </row>
    <row r="1916" ht="14.25" customHeight="1">
      <c r="A1916" s="29" t="s">
        <v>470</v>
      </c>
      <c r="B1916" s="29">
        <v>131.0</v>
      </c>
      <c r="C1916" s="29" t="s">
        <v>608</v>
      </c>
      <c r="D1916" s="29" t="s">
        <v>639</v>
      </c>
      <c r="E1916" s="29">
        <v>190.0</v>
      </c>
      <c r="F1916" s="30" t="s">
        <v>640</v>
      </c>
      <c r="G1916" s="29" t="s">
        <v>626</v>
      </c>
      <c r="H1916" s="31">
        <v>32.23</v>
      </c>
      <c r="I1916" s="29" t="s">
        <v>597</v>
      </c>
      <c r="J1916" s="32" t="s">
        <v>642</v>
      </c>
      <c r="K1916" s="29" t="s">
        <v>599</v>
      </c>
      <c r="L1916" s="29" t="s">
        <v>915</v>
      </c>
      <c r="M1916" s="33">
        <v>-76.399</v>
      </c>
      <c r="N1916" s="33">
        <v>-0.68</v>
      </c>
      <c r="O1916" s="34" t="s">
        <v>601</v>
      </c>
      <c r="P1916" s="32" t="s">
        <v>643</v>
      </c>
      <c r="Q1916" s="35">
        <v>48.0</v>
      </c>
      <c r="R1916" s="35">
        <v>48.0</v>
      </c>
      <c r="S1916" s="36">
        <v>0.0</v>
      </c>
      <c r="T1916" s="36">
        <v>115.597</v>
      </c>
      <c r="U1916" s="36">
        <v>0.0</v>
      </c>
      <c r="V1916" s="36">
        <v>636.7213</v>
      </c>
      <c r="W1916" s="37" t="s">
        <v>780</v>
      </c>
      <c r="X1916" s="31">
        <v>1.0</v>
      </c>
      <c r="Y1916" s="36">
        <v>-8.262558973010657</v>
      </c>
      <c r="Z1916" s="36">
        <v>0.6484541448987461</v>
      </c>
      <c r="AA1916" s="29" t="s">
        <v>820</v>
      </c>
      <c r="AB1916" s="31">
        <v>4.88233423233</v>
      </c>
      <c r="AC1916" s="38">
        <v>1706.0</v>
      </c>
    </row>
    <row r="1917" ht="14.25" customHeight="1">
      <c r="A1917" s="29" t="s">
        <v>476</v>
      </c>
      <c r="B1917" s="29">
        <v>89.0</v>
      </c>
      <c r="C1917" s="29" t="s">
        <v>593</v>
      </c>
      <c r="D1917" s="35" t="s">
        <v>1368</v>
      </c>
      <c r="E1917" s="29">
        <v>247.0</v>
      </c>
      <c r="F1917" s="30" t="s">
        <v>1369</v>
      </c>
      <c r="G1917" s="29" t="s">
        <v>1370</v>
      </c>
      <c r="H1917" s="31">
        <v>0.29</v>
      </c>
      <c r="I1917" s="29" t="s">
        <v>657</v>
      </c>
      <c r="J1917" s="32" t="s">
        <v>598</v>
      </c>
      <c r="K1917" s="29" t="s">
        <v>599</v>
      </c>
      <c r="L1917" s="29" t="s">
        <v>479</v>
      </c>
      <c r="M1917" s="33">
        <v>-53.209</v>
      </c>
      <c r="N1917" s="33">
        <v>3.623</v>
      </c>
      <c r="O1917" s="34" t="s">
        <v>641</v>
      </c>
      <c r="P1917" s="32" t="s">
        <v>602</v>
      </c>
      <c r="Q1917" s="35">
        <v>33.0</v>
      </c>
      <c r="R1917" s="35">
        <v>12.0</v>
      </c>
      <c r="S1917" s="36">
        <v>0.22</v>
      </c>
      <c r="T1917" s="36">
        <v>0.08</v>
      </c>
      <c r="U1917" s="36">
        <v>0.469</v>
      </c>
      <c r="V1917" s="36">
        <v>0.2828</v>
      </c>
      <c r="W1917" s="37" t="s">
        <v>1371</v>
      </c>
      <c r="X1917" s="31">
        <v>2.5</v>
      </c>
      <c r="Y1917" s="36">
        <v>1.0120742844683845</v>
      </c>
      <c r="Z1917" s="36">
        <v>1.1790687124342598</v>
      </c>
      <c r="AA1917" s="29" t="s">
        <v>820</v>
      </c>
      <c r="AB1917" s="31">
        <v>0.0444596409798</v>
      </c>
      <c r="AC1917" s="38">
        <v>1003.0</v>
      </c>
    </row>
    <row r="1918" ht="14.25" customHeight="1">
      <c r="A1918" s="29" t="s">
        <v>476</v>
      </c>
      <c r="B1918" s="29">
        <v>89.0</v>
      </c>
      <c r="C1918" s="29" t="s">
        <v>593</v>
      </c>
      <c r="D1918" s="29" t="s">
        <v>1372</v>
      </c>
      <c r="E1918" s="29">
        <v>248.0</v>
      </c>
      <c r="F1918" s="30" t="s">
        <v>1373</v>
      </c>
      <c r="G1918" s="29" t="s">
        <v>1370</v>
      </c>
      <c r="H1918" s="31">
        <v>1.15</v>
      </c>
      <c r="I1918" s="29" t="s">
        <v>657</v>
      </c>
      <c r="J1918" s="32" t="s">
        <v>598</v>
      </c>
      <c r="K1918" s="29" t="s">
        <v>599</v>
      </c>
      <c r="L1918" s="29" t="s">
        <v>479</v>
      </c>
      <c r="M1918" s="33">
        <v>-53.209</v>
      </c>
      <c r="N1918" s="33">
        <v>3.623</v>
      </c>
      <c r="O1918" s="34" t="s">
        <v>641</v>
      </c>
      <c r="P1918" s="32" t="s">
        <v>602</v>
      </c>
      <c r="Q1918" s="35">
        <v>128.0</v>
      </c>
      <c r="R1918" s="35">
        <v>28.0</v>
      </c>
      <c r="S1918" s="36">
        <v>0.33</v>
      </c>
      <c r="T1918" s="36">
        <v>2.0</v>
      </c>
      <c r="U1918" s="36">
        <v>0.5745</v>
      </c>
      <c r="V1918" s="36">
        <v>1.4142</v>
      </c>
      <c r="W1918" s="37" t="s">
        <v>1371</v>
      </c>
      <c r="X1918" s="31">
        <v>2.5</v>
      </c>
      <c r="Y1918" s="36">
        <v>-1.793949365301091</v>
      </c>
      <c r="Z1918" s="36">
        <v>0.04153464772284533</v>
      </c>
      <c r="AA1918" s="29" t="s">
        <v>820</v>
      </c>
      <c r="AB1918" s="31">
        <v>0.0444596409798</v>
      </c>
      <c r="AC1918" s="38">
        <v>1003.0</v>
      </c>
    </row>
    <row r="1919" ht="14.25" customHeight="1">
      <c r="A1919" s="29" t="s">
        <v>476</v>
      </c>
      <c r="B1919" s="29">
        <v>89.0</v>
      </c>
      <c r="C1919" s="29" t="s">
        <v>593</v>
      </c>
      <c r="D1919" s="29" t="s">
        <v>1374</v>
      </c>
      <c r="E1919" s="29">
        <v>249.0</v>
      </c>
      <c r="F1919" s="30" t="s">
        <v>1375</v>
      </c>
      <c r="G1919" s="29" t="s">
        <v>1376</v>
      </c>
      <c r="H1919" s="31">
        <v>1.37</v>
      </c>
      <c r="I1919" s="29" t="s">
        <v>657</v>
      </c>
      <c r="J1919" s="32" t="s">
        <v>598</v>
      </c>
      <c r="K1919" s="29" t="s">
        <v>599</v>
      </c>
      <c r="L1919" s="29" t="s">
        <v>479</v>
      </c>
      <c r="M1919" s="33">
        <v>-53.209</v>
      </c>
      <c r="N1919" s="33">
        <v>3.623</v>
      </c>
      <c r="O1919" s="34" t="s">
        <v>641</v>
      </c>
      <c r="P1919" s="32" t="s">
        <v>602</v>
      </c>
      <c r="Q1919" s="35">
        <v>128.0</v>
      </c>
      <c r="R1919" s="35">
        <v>28.0</v>
      </c>
      <c r="S1919" s="36">
        <v>1.66</v>
      </c>
      <c r="T1919" s="36">
        <v>3.0</v>
      </c>
      <c r="U1919" s="36">
        <v>1.2884</v>
      </c>
      <c r="V1919" s="36">
        <v>1.7321</v>
      </c>
      <c r="W1919" s="37" t="s">
        <v>1371</v>
      </c>
      <c r="X1919" s="31">
        <v>2.5</v>
      </c>
      <c r="Y1919" s="36">
        <v>-0.5894442880004891</v>
      </c>
      <c r="Z1919" s="36">
        <v>0.016611691310272646</v>
      </c>
      <c r="AA1919" s="29" t="s">
        <v>820</v>
      </c>
      <c r="AB1919" s="31">
        <v>0.0444596409798</v>
      </c>
      <c r="AC1919" s="38">
        <v>1003.0</v>
      </c>
    </row>
    <row r="1920" ht="14.25" customHeight="1">
      <c r="A1920" s="29" t="s">
        <v>476</v>
      </c>
      <c r="B1920" s="29">
        <v>89.0</v>
      </c>
      <c r="C1920" s="29" t="s">
        <v>593</v>
      </c>
      <c r="D1920" s="35" t="s">
        <v>1377</v>
      </c>
      <c r="E1920" s="29">
        <v>250.0</v>
      </c>
      <c r="F1920" s="30" t="s">
        <v>1378</v>
      </c>
      <c r="G1920" s="29" t="s">
        <v>1370</v>
      </c>
      <c r="H1920" s="31">
        <v>0.42</v>
      </c>
      <c r="I1920" s="29" t="s">
        <v>620</v>
      </c>
      <c r="J1920" s="32" t="s">
        <v>598</v>
      </c>
      <c r="K1920" s="29" t="s">
        <v>599</v>
      </c>
      <c r="L1920" s="29" t="s">
        <v>479</v>
      </c>
      <c r="M1920" s="33">
        <v>-53.209</v>
      </c>
      <c r="N1920" s="33">
        <v>3.623</v>
      </c>
      <c r="O1920" s="34" t="s">
        <v>641</v>
      </c>
      <c r="P1920" s="32" t="s">
        <v>602</v>
      </c>
      <c r="Q1920" s="35">
        <v>128.0</v>
      </c>
      <c r="R1920" s="35">
        <v>28.0</v>
      </c>
      <c r="S1920" s="36">
        <v>1.6</v>
      </c>
      <c r="T1920" s="36">
        <v>4.0</v>
      </c>
      <c r="U1920" s="36">
        <v>1.2649</v>
      </c>
      <c r="V1920" s="36">
        <v>2.0</v>
      </c>
      <c r="W1920" s="37" t="s">
        <v>1371</v>
      </c>
      <c r="X1920" s="31">
        <v>2.5</v>
      </c>
      <c r="Y1920" s="36">
        <v>-0.9130408102616566</v>
      </c>
      <c r="Z1920" s="36">
        <v>0.013811298509870255</v>
      </c>
      <c r="AA1920" s="29" t="s">
        <v>820</v>
      </c>
      <c r="AB1920" s="31">
        <v>0.0444596409798</v>
      </c>
      <c r="AC1920" s="38">
        <v>1003.0</v>
      </c>
    </row>
    <row r="1921" ht="14.25" customHeight="1">
      <c r="A1921" s="29" t="s">
        <v>476</v>
      </c>
      <c r="B1921" s="29">
        <v>89.0</v>
      </c>
      <c r="C1921" s="29" t="s">
        <v>593</v>
      </c>
      <c r="D1921" s="35" t="s">
        <v>1379</v>
      </c>
      <c r="E1921" s="29">
        <v>251.0</v>
      </c>
      <c r="F1921" s="30" t="s">
        <v>1380</v>
      </c>
      <c r="G1921" s="29" t="s">
        <v>1370</v>
      </c>
      <c r="H1921" s="31">
        <v>0.22</v>
      </c>
      <c r="I1921" s="29" t="s">
        <v>620</v>
      </c>
      <c r="J1921" s="32" t="s">
        <v>598</v>
      </c>
      <c r="K1921" s="29" t="s">
        <v>599</v>
      </c>
      <c r="L1921" s="29" t="s">
        <v>479</v>
      </c>
      <c r="M1921" s="33">
        <v>-53.209</v>
      </c>
      <c r="N1921" s="33">
        <v>3.623</v>
      </c>
      <c r="O1921" s="34" t="s">
        <v>641</v>
      </c>
      <c r="P1921" s="32" t="s">
        <v>602</v>
      </c>
      <c r="Q1921" s="35">
        <v>128.0</v>
      </c>
      <c r="R1921" s="35">
        <v>28.0</v>
      </c>
      <c r="S1921" s="36">
        <v>1.66</v>
      </c>
      <c r="T1921" s="36">
        <v>2.0</v>
      </c>
      <c r="U1921" s="36">
        <v>1.2884</v>
      </c>
      <c r="V1921" s="36">
        <v>1.4142</v>
      </c>
      <c r="W1921" s="37" t="s">
        <v>1371</v>
      </c>
      <c r="X1921" s="31">
        <v>2.5</v>
      </c>
      <c r="Y1921" s="36">
        <v>-0.18476203233331467</v>
      </c>
      <c r="Z1921" s="36">
        <v>0.022563053532494867</v>
      </c>
      <c r="AA1921" s="29" t="s">
        <v>820</v>
      </c>
      <c r="AB1921" s="31">
        <v>0.0444596409798</v>
      </c>
      <c r="AC1921" s="38">
        <v>1003.0</v>
      </c>
    </row>
    <row r="1922" ht="14.25" customHeight="1">
      <c r="A1922" s="29" t="s">
        <v>476</v>
      </c>
      <c r="B1922" s="29">
        <v>89.0</v>
      </c>
      <c r="C1922" s="29" t="s">
        <v>593</v>
      </c>
      <c r="D1922" s="35" t="s">
        <v>1381</v>
      </c>
      <c r="E1922" s="29">
        <v>252.0</v>
      </c>
      <c r="F1922" s="30" t="s">
        <v>1382</v>
      </c>
      <c r="G1922" s="29" t="s">
        <v>1370</v>
      </c>
      <c r="H1922" s="31">
        <v>0.2</v>
      </c>
      <c r="I1922" s="29" t="s">
        <v>620</v>
      </c>
      <c r="J1922" s="32" t="s">
        <v>598</v>
      </c>
      <c r="K1922" s="29" t="s">
        <v>599</v>
      </c>
      <c r="L1922" s="29" t="s">
        <v>479</v>
      </c>
      <c r="M1922" s="33">
        <v>-53.209</v>
      </c>
      <c r="N1922" s="33">
        <v>3.623</v>
      </c>
      <c r="O1922" s="34" t="s">
        <v>641</v>
      </c>
      <c r="P1922" s="32" t="s">
        <v>602</v>
      </c>
      <c r="Q1922" s="35">
        <v>128.0</v>
      </c>
      <c r="R1922" s="35">
        <v>28.0</v>
      </c>
      <c r="S1922" s="36">
        <v>0.22</v>
      </c>
      <c r="T1922" s="36">
        <v>0.33</v>
      </c>
      <c r="U1922" s="36">
        <v>0.469</v>
      </c>
      <c r="V1922" s="36">
        <v>0.5745</v>
      </c>
      <c r="W1922" s="37" t="s">
        <v>1371</v>
      </c>
      <c r="X1922" s="31">
        <v>2.5</v>
      </c>
      <c r="Y1922" s="36">
        <v>-0.40351388797690263</v>
      </c>
      <c r="Z1922" s="36">
        <v>0.14374665639757966</v>
      </c>
      <c r="AA1922" s="29" t="s">
        <v>820</v>
      </c>
      <c r="AB1922" s="31">
        <v>0.0444596409798</v>
      </c>
      <c r="AC1922" s="38">
        <v>1003.0</v>
      </c>
    </row>
    <row r="1923" ht="14.25" customHeight="1">
      <c r="A1923" s="29" t="s">
        <v>476</v>
      </c>
      <c r="B1923" s="29">
        <v>89.0</v>
      </c>
      <c r="C1923" s="29" t="s">
        <v>593</v>
      </c>
      <c r="D1923" s="35" t="s">
        <v>1383</v>
      </c>
      <c r="E1923" s="29">
        <v>253.0</v>
      </c>
      <c r="F1923" s="30" t="s">
        <v>1384</v>
      </c>
      <c r="G1923" s="29" t="s">
        <v>1370</v>
      </c>
      <c r="H1923" s="31">
        <v>4.8</v>
      </c>
      <c r="I1923" s="29" t="s">
        <v>657</v>
      </c>
      <c r="J1923" s="32" t="s">
        <v>598</v>
      </c>
      <c r="K1923" s="29" t="s">
        <v>599</v>
      </c>
      <c r="L1923" s="29" t="s">
        <v>479</v>
      </c>
      <c r="M1923" s="33">
        <v>-53.209</v>
      </c>
      <c r="N1923" s="33">
        <v>3.623</v>
      </c>
      <c r="O1923" s="34" t="s">
        <v>641</v>
      </c>
      <c r="P1923" s="32" t="s">
        <v>602</v>
      </c>
      <c r="Q1923" s="35">
        <v>33.0</v>
      </c>
      <c r="R1923" s="35">
        <v>12.0</v>
      </c>
      <c r="S1923" s="36">
        <v>0.0</v>
      </c>
      <c r="T1923" s="36">
        <v>4.6</v>
      </c>
      <c r="U1923" s="36">
        <v>0.0</v>
      </c>
      <c r="V1923" s="36">
        <v>2.1448</v>
      </c>
      <c r="W1923" s="37" t="s">
        <v>1371</v>
      </c>
      <c r="X1923" s="31">
        <v>2.5</v>
      </c>
      <c r="Y1923" s="36">
        <v>-6.643789733147672</v>
      </c>
      <c r="Z1923" s="36">
        <v>0.05271417678515257</v>
      </c>
      <c r="AA1923" s="29" t="s">
        <v>820</v>
      </c>
      <c r="AB1923" s="31">
        <v>0.0444596409798</v>
      </c>
      <c r="AC1923" s="38">
        <v>1003.0</v>
      </c>
    </row>
    <row r="1924" ht="14.25" customHeight="1">
      <c r="A1924" s="29" t="s">
        <v>476</v>
      </c>
      <c r="B1924" s="29">
        <v>89.0</v>
      </c>
      <c r="C1924" s="29" t="s">
        <v>593</v>
      </c>
      <c r="D1924" s="35" t="s">
        <v>1385</v>
      </c>
      <c r="E1924" s="29">
        <v>254.0</v>
      </c>
      <c r="F1924" s="30" t="s">
        <v>1386</v>
      </c>
      <c r="G1924" s="29" t="s">
        <v>1387</v>
      </c>
      <c r="H1924" s="31">
        <v>0.62</v>
      </c>
      <c r="I1924" s="29" t="s">
        <v>620</v>
      </c>
      <c r="J1924" s="32" t="s">
        <v>598</v>
      </c>
      <c r="K1924" s="29" t="s">
        <v>599</v>
      </c>
      <c r="L1924" s="29" t="s">
        <v>479</v>
      </c>
      <c r="M1924" s="33">
        <v>-53.209</v>
      </c>
      <c r="N1924" s="33">
        <v>3.623</v>
      </c>
      <c r="O1924" s="34" t="s">
        <v>641</v>
      </c>
      <c r="P1924" s="32" t="s">
        <v>602</v>
      </c>
      <c r="Q1924" s="35">
        <v>33.0</v>
      </c>
      <c r="R1924" s="35">
        <v>12.0</v>
      </c>
      <c r="S1924" s="36">
        <v>0.44</v>
      </c>
      <c r="T1924" s="36">
        <v>1.66</v>
      </c>
      <c r="U1924" s="36">
        <v>0.6633</v>
      </c>
      <c r="V1924" s="36">
        <v>1.2884</v>
      </c>
      <c r="W1924" s="37" t="s">
        <v>1371</v>
      </c>
      <c r="X1924" s="31">
        <v>2.5</v>
      </c>
      <c r="Y1924" s="36">
        <v>-1.322897775628258</v>
      </c>
      <c r="Z1924" s="36">
        <v>0.11906537477951236</v>
      </c>
      <c r="AA1924" s="29" t="s">
        <v>820</v>
      </c>
      <c r="AB1924" s="31">
        <v>0.0444596409798</v>
      </c>
      <c r="AC1924" s="38">
        <v>1003.0</v>
      </c>
    </row>
    <row r="1925" ht="14.25" customHeight="1">
      <c r="A1925" s="29" t="s">
        <v>476</v>
      </c>
      <c r="B1925" s="29">
        <v>89.0</v>
      </c>
      <c r="C1925" s="29" t="s">
        <v>593</v>
      </c>
      <c r="D1925" s="29" t="s">
        <v>1388</v>
      </c>
      <c r="E1925" s="29">
        <v>255.0</v>
      </c>
      <c r="F1925" s="30" t="s">
        <v>1389</v>
      </c>
      <c r="G1925" s="29" t="s">
        <v>1387</v>
      </c>
      <c r="H1925" s="31">
        <v>0.21</v>
      </c>
      <c r="I1925" s="29" t="s">
        <v>657</v>
      </c>
      <c r="J1925" s="32" t="s">
        <v>598</v>
      </c>
      <c r="K1925" s="29" t="s">
        <v>599</v>
      </c>
      <c r="L1925" s="29" t="s">
        <v>479</v>
      </c>
      <c r="M1925" s="33">
        <v>-53.209</v>
      </c>
      <c r="N1925" s="33">
        <v>3.623</v>
      </c>
      <c r="O1925" s="34" t="s">
        <v>641</v>
      </c>
      <c r="P1925" s="32" t="s">
        <v>602</v>
      </c>
      <c r="Q1925" s="35">
        <v>33.0</v>
      </c>
      <c r="R1925" s="35">
        <v>12.0</v>
      </c>
      <c r="S1925" s="36">
        <v>0.22</v>
      </c>
      <c r="T1925" s="36">
        <v>0.07</v>
      </c>
      <c r="U1925" s="36">
        <v>0.469</v>
      </c>
      <c r="V1925" s="36">
        <v>0.2646</v>
      </c>
      <c r="W1925" s="37" t="s">
        <v>1371</v>
      </c>
      <c r="X1925" s="31">
        <v>2.5</v>
      </c>
      <c r="Y1925" s="36">
        <v>1.1455465177471922</v>
      </c>
      <c r="Z1925" s="36">
        <v>1.3284166291009265</v>
      </c>
      <c r="AA1925" s="29" t="s">
        <v>820</v>
      </c>
      <c r="AB1925" s="31">
        <v>0.0444596409798</v>
      </c>
      <c r="AC1925" s="38">
        <v>1003.0</v>
      </c>
    </row>
    <row r="1926" ht="14.25" customHeight="1">
      <c r="A1926" s="29" t="s">
        <v>476</v>
      </c>
      <c r="B1926" s="29">
        <v>89.0</v>
      </c>
      <c r="C1926" s="29" t="s">
        <v>593</v>
      </c>
      <c r="D1926" s="29" t="s">
        <v>1390</v>
      </c>
      <c r="E1926" s="29">
        <v>256.0</v>
      </c>
      <c r="F1926" s="30" t="s">
        <v>1391</v>
      </c>
      <c r="G1926" s="29" t="s">
        <v>1387</v>
      </c>
      <c r="H1926" s="31">
        <v>0.18</v>
      </c>
      <c r="I1926" s="29" t="s">
        <v>657</v>
      </c>
      <c r="J1926" s="32" t="s">
        <v>598</v>
      </c>
      <c r="K1926" s="29" t="s">
        <v>599</v>
      </c>
      <c r="L1926" s="29" t="s">
        <v>479</v>
      </c>
      <c r="M1926" s="33">
        <v>-53.209</v>
      </c>
      <c r="N1926" s="33">
        <v>3.623</v>
      </c>
      <c r="O1926" s="34" t="s">
        <v>641</v>
      </c>
      <c r="P1926" s="32" t="s">
        <v>602</v>
      </c>
      <c r="Q1926" s="35">
        <v>33.0</v>
      </c>
      <c r="R1926" s="35">
        <v>12.0</v>
      </c>
      <c r="S1926" s="36">
        <v>0.0</v>
      </c>
      <c r="T1926" s="36">
        <v>0.03</v>
      </c>
      <c r="U1926" s="36">
        <v>0.0</v>
      </c>
      <c r="V1926" s="36">
        <v>0.1732</v>
      </c>
      <c r="W1926" s="37" t="s">
        <v>1371</v>
      </c>
      <c r="X1926" s="31">
        <v>2.5</v>
      </c>
      <c r="Y1926" s="36">
        <v>-6.643789733147672</v>
      </c>
      <c r="Z1926" s="36">
        <v>0.16475130370993665</v>
      </c>
      <c r="AA1926" s="29" t="s">
        <v>820</v>
      </c>
      <c r="AB1926" s="31">
        <v>0.0444596409798</v>
      </c>
      <c r="AC1926" s="38">
        <v>1003.0</v>
      </c>
    </row>
    <row r="1927" ht="14.25" customHeight="1">
      <c r="A1927" s="29" t="s">
        <v>476</v>
      </c>
      <c r="B1927" s="29">
        <v>89.0</v>
      </c>
      <c r="C1927" s="29" t="s">
        <v>593</v>
      </c>
      <c r="D1927" s="29" t="s">
        <v>1392</v>
      </c>
      <c r="E1927" s="29">
        <v>257.0</v>
      </c>
      <c r="F1927" s="30" t="s">
        <v>1393</v>
      </c>
      <c r="G1927" s="29" t="s">
        <v>1387</v>
      </c>
      <c r="H1927" s="31">
        <v>0.62</v>
      </c>
      <c r="I1927" s="29" t="s">
        <v>657</v>
      </c>
      <c r="J1927" s="32" t="s">
        <v>598</v>
      </c>
      <c r="K1927" s="29" t="s">
        <v>599</v>
      </c>
      <c r="L1927" s="29" t="s">
        <v>479</v>
      </c>
      <c r="M1927" s="33">
        <v>-53.209</v>
      </c>
      <c r="N1927" s="33">
        <v>3.623</v>
      </c>
      <c r="O1927" s="34" t="s">
        <v>641</v>
      </c>
      <c r="P1927" s="32" t="s">
        <v>602</v>
      </c>
      <c r="Q1927" s="35">
        <v>33.0</v>
      </c>
      <c r="R1927" s="35">
        <v>12.0</v>
      </c>
      <c r="S1927" s="36">
        <v>0.02</v>
      </c>
      <c r="T1927" s="36">
        <v>0.03</v>
      </c>
      <c r="U1927" s="36">
        <v>0.1414</v>
      </c>
      <c r="V1927" s="36">
        <v>0.1732</v>
      </c>
      <c r="W1927" s="37" t="s">
        <v>1371</v>
      </c>
      <c r="X1927" s="31">
        <v>2.5</v>
      </c>
      <c r="Y1927" s="36">
        <v>-0.40351388797690263</v>
      </c>
      <c r="Z1927" s="36">
        <v>4.292308754208754</v>
      </c>
      <c r="AA1927" s="29" t="s">
        <v>820</v>
      </c>
      <c r="AB1927" s="31">
        <v>0.0444596409798</v>
      </c>
      <c r="AC1927" s="38">
        <v>1003.0</v>
      </c>
    </row>
    <row r="1928" ht="14.25" customHeight="1">
      <c r="A1928" s="29" t="s">
        <v>476</v>
      </c>
      <c r="B1928" s="29">
        <v>89.0</v>
      </c>
      <c r="C1928" s="29" t="s">
        <v>593</v>
      </c>
      <c r="D1928" s="29" t="s">
        <v>1394</v>
      </c>
      <c r="E1928" s="29">
        <v>259.0</v>
      </c>
      <c r="F1928" s="30" t="s">
        <v>1395</v>
      </c>
      <c r="G1928" s="29" t="s">
        <v>1396</v>
      </c>
      <c r="H1928" s="31">
        <v>1.75</v>
      </c>
      <c r="I1928" s="29" t="s">
        <v>657</v>
      </c>
      <c r="J1928" s="32" t="s">
        <v>598</v>
      </c>
      <c r="K1928" s="29" t="s">
        <v>599</v>
      </c>
      <c r="L1928" s="29" t="s">
        <v>479</v>
      </c>
      <c r="M1928" s="33">
        <v>-53.209</v>
      </c>
      <c r="N1928" s="33">
        <v>3.623</v>
      </c>
      <c r="O1928" s="34" t="s">
        <v>641</v>
      </c>
      <c r="P1928" s="32" t="s">
        <v>602</v>
      </c>
      <c r="Q1928" s="35">
        <v>128.0</v>
      </c>
      <c r="R1928" s="35">
        <v>28.0</v>
      </c>
      <c r="S1928" s="36">
        <v>0.11</v>
      </c>
      <c r="T1928" s="36">
        <v>0.5</v>
      </c>
      <c r="U1928" s="36">
        <v>0.3317</v>
      </c>
      <c r="V1928" s="36">
        <v>0.7071</v>
      </c>
      <c r="W1928" s="37" t="s">
        <v>1371</v>
      </c>
      <c r="X1928" s="31">
        <v>2.5</v>
      </c>
      <c r="Y1928" s="36">
        <v>-1.5082266179010613</v>
      </c>
      <c r="Z1928" s="36">
        <v>0.14246599920749703</v>
      </c>
      <c r="AA1928" s="29" t="s">
        <v>820</v>
      </c>
      <c r="AB1928" s="31">
        <v>0.0444596409798</v>
      </c>
      <c r="AC1928" s="38">
        <v>1003.0</v>
      </c>
    </row>
    <row r="1929" ht="14.25" customHeight="1">
      <c r="A1929" s="29" t="s">
        <v>476</v>
      </c>
      <c r="B1929" s="29">
        <v>89.0</v>
      </c>
      <c r="C1929" s="29" t="s">
        <v>593</v>
      </c>
      <c r="D1929" s="29" t="s">
        <v>1397</v>
      </c>
      <c r="E1929" s="29">
        <v>261.0</v>
      </c>
      <c r="F1929" s="30" t="s">
        <v>1398</v>
      </c>
      <c r="G1929" s="29" t="s">
        <v>1396</v>
      </c>
      <c r="H1929" s="31">
        <v>0.71</v>
      </c>
      <c r="I1929" s="29" t="s">
        <v>657</v>
      </c>
      <c r="J1929" s="32" t="s">
        <v>598</v>
      </c>
      <c r="K1929" s="29" t="s">
        <v>599</v>
      </c>
      <c r="L1929" s="29" t="s">
        <v>479</v>
      </c>
      <c r="M1929" s="33">
        <v>-53.209</v>
      </c>
      <c r="N1929" s="33">
        <v>3.623</v>
      </c>
      <c r="O1929" s="34" t="s">
        <v>641</v>
      </c>
      <c r="P1929" s="32" t="s">
        <v>602</v>
      </c>
      <c r="Q1929" s="35">
        <v>128.0</v>
      </c>
      <c r="R1929" s="35">
        <v>28.0</v>
      </c>
      <c r="S1929" s="36">
        <v>0.99</v>
      </c>
      <c r="T1929" s="36">
        <v>1.33</v>
      </c>
      <c r="U1929" s="36">
        <v>0.995</v>
      </c>
      <c r="V1929" s="36">
        <v>1.1533</v>
      </c>
      <c r="W1929" s="37" t="s">
        <v>1371</v>
      </c>
      <c r="X1929" s="31">
        <v>2.5</v>
      </c>
      <c r="Y1929" s="36">
        <v>-0.2934815427986246</v>
      </c>
      <c r="Z1929" s="36">
        <v>0.03474649680147322</v>
      </c>
      <c r="AA1929" s="29" t="s">
        <v>820</v>
      </c>
      <c r="AB1929" s="31">
        <v>0.0444596409798</v>
      </c>
      <c r="AC1929" s="38">
        <v>1003.0</v>
      </c>
    </row>
    <row r="1930" ht="14.25" customHeight="1">
      <c r="A1930" s="29" t="s">
        <v>476</v>
      </c>
      <c r="B1930" s="29">
        <v>89.0</v>
      </c>
      <c r="C1930" s="29" t="s">
        <v>593</v>
      </c>
      <c r="D1930" s="29" t="s">
        <v>1399</v>
      </c>
      <c r="E1930" s="29">
        <v>263.0</v>
      </c>
      <c r="F1930" s="30" t="s">
        <v>1400</v>
      </c>
      <c r="G1930" s="29" t="s">
        <v>1376</v>
      </c>
      <c r="H1930" s="31">
        <v>3.4</v>
      </c>
      <c r="I1930" s="29" t="s">
        <v>657</v>
      </c>
      <c r="J1930" s="32" t="s">
        <v>598</v>
      </c>
      <c r="K1930" s="29" t="s">
        <v>599</v>
      </c>
      <c r="L1930" s="29" t="s">
        <v>479</v>
      </c>
      <c r="M1930" s="33">
        <v>-53.209</v>
      </c>
      <c r="N1930" s="33">
        <v>3.623</v>
      </c>
      <c r="O1930" s="34" t="s">
        <v>641</v>
      </c>
      <c r="P1930" s="32" t="s">
        <v>602</v>
      </c>
      <c r="Q1930" s="35">
        <v>128.0</v>
      </c>
      <c r="R1930" s="35">
        <v>28.0</v>
      </c>
      <c r="S1930" s="36">
        <v>0.88</v>
      </c>
      <c r="T1930" s="36">
        <v>2.66</v>
      </c>
      <c r="U1930" s="36">
        <v>0.9381</v>
      </c>
      <c r="V1930" s="36">
        <v>1.631</v>
      </c>
      <c r="W1930" s="37" t="s">
        <v>1371</v>
      </c>
      <c r="X1930" s="31">
        <v>2.5</v>
      </c>
      <c r="Y1930" s="36">
        <v>-1.102231376666356</v>
      </c>
      <c r="Z1930" s="36">
        <v>0.022305395657961614</v>
      </c>
      <c r="AA1930" s="29" t="s">
        <v>820</v>
      </c>
      <c r="AB1930" s="31">
        <v>0.0444596409798</v>
      </c>
      <c r="AC1930" s="38">
        <v>1003.0</v>
      </c>
    </row>
    <row r="1931" ht="14.25" customHeight="1">
      <c r="A1931" s="29" t="s">
        <v>476</v>
      </c>
      <c r="B1931" s="29">
        <v>89.0</v>
      </c>
      <c r="C1931" s="29" t="s">
        <v>593</v>
      </c>
      <c r="D1931" s="29" t="s">
        <v>1401</v>
      </c>
      <c r="E1931" s="29">
        <v>264.0</v>
      </c>
      <c r="F1931" s="30" t="s">
        <v>1402</v>
      </c>
      <c r="G1931" s="29" t="s">
        <v>1396</v>
      </c>
      <c r="H1931" s="31">
        <v>0.85</v>
      </c>
      <c r="I1931" s="29" t="s">
        <v>657</v>
      </c>
      <c r="J1931" s="32" t="s">
        <v>598</v>
      </c>
      <c r="K1931" s="29" t="s">
        <v>599</v>
      </c>
      <c r="L1931" s="29" t="s">
        <v>479</v>
      </c>
      <c r="M1931" s="33">
        <v>-53.209</v>
      </c>
      <c r="N1931" s="33">
        <v>3.623</v>
      </c>
      <c r="O1931" s="34" t="s">
        <v>641</v>
      </c>
      <c r="P1931" s="32" t="s">
        <v>602</v>
      </c>
      <c r="Q1931" s="35">
        <v>128.0</v>
      </c>
      <c r="R1931" s="35">
        <v>28.0</v>
      </c>
      <c r="S1931" s="36">
        <v>0.88</v>
      </c>
      <c r="T1931" s="36">
        <v>1.33</v>
      </c>
      <c r="U1931" s="36">
        <v>0.9381</v>
      </c>
      <c r="V1931" s="36">
        <v>1.1533</v>
      </c>
      <c r="W1931" s="37" t="s">
        <v>1371</v>
      </c>
      <c r="X1931" s="31">
        <v>2.5</v>
      </c>
      <c r="Y1931" s="36">
        <v>-0.41104632616269765</v>
      </c>
      <c r="Z1931" s="36">
        <v>0.03573304318709594</v>
      </c>
      <c r="AA1931" s="29" t="s">
        <v>820</v>
      </c>
      <c r="AB1931" s="31">
        <v>0.0444596409798</v>
      </c>
      <c r="AC1931" s="38">
        <v>1003.0</v>
      </c>
    </row>
    <row r="1932" ht="14.25" customHeight="1">
      <c r="A1932" s="29" t="s">
        <v>476</v>
      </c>
      <c r="B1932" s="29">
        <v>89.0</v>
      </c>
      <c r="C1932" s="29" t="s">
        <v>593</v>
      </c>
      <c r="D1932" s="29" t="s">
        <v>1403</v>
      </c>
      <c r="E1932" s="29">
        <v>265.0</v>
      </c>
      <c r="F1932" s="30" t="s">
        <v>1404</v>
      </c>
      <c r="G1932" s="29" t="s">
        <v>1396</v>
      </c>
      <c r="H1932" s="31">
        <v>1.2</v>
      </c>
      <c r="I1932" s="29" t="s">
        <v>657</v>
      </c>
      <c r="J1932" s="32" t="s">
        <v>598</v>
      </c>
      <c r="K1932" s="29" t="s">
        <v>599</v>
      </c>
      <c r="L1932" s="29" t="s">
        <v>479</v>
      </c>
      <c r="M1932" s="33">
        <v>-53.209</v>
      </c>
      <c r="N1932" s="33">
        <v>3.623</v>
      </c>
      <c r="O1932" s="34" t="s">
        <v>641</v>
      </c>
      <c r="P1932" s="32" t="s">
        <v>602</v>
      </c>
      <c r="Q1932" s="35">
        <v>128.0</v>
      </c>
      <c r="R1932" s="35">
        <v>28.0</v>
      </c>
      <c r="S1932" s="36">
        <v>0.33</v>
      </c>
      <c r="T1932" s="36">
        <v>1.33</v>
      </c>
      <c r="U1932" s="36">
        <v>0.5745</v>
      </c>
      <c r="V1932" s="36">
        <v>1.1533</v>
      </c>
      <c r="W1932" s="37" t="s">
        <v>1371</v>
      </c>
      <c r="X1932" s="31">
        <v>2.5</v>
      </c>
      <c r="Y1932" s="36">
        <v>-1.3886074980186078</v>
      </c>
      <c r="Z1932" s="36">
        <v>0.050532730747626674</v>
      </c>
      <c r="AA1932" s="29" t="s">
        <v>820</v>
      </c>
      <c r="AB1932" s="31">
        <v>0.0444596409798</v>
      </c>
      <c r="AC1932" s="38">
        <v>1003.0</v>
      </c>
    </row>
    <row r="1933" ht="14.25" customHeight="1">
      <c r="A1933" s="29" t="s">
        <v>481</v>
      </c>
      <c r="B1933" s="29">
        <v>55.0</v>
      </c>
      <c r="C1933" s="29" t="s">
        <v>593</v>
      </c>
      <c r="D1933" s="35" t="s">
        <v>1405</v>
      </c>
      <c r="E1933" s="29">
        <v>7.0</v>
      </c>
      <c r="F1933" s="30" t="s">
        <v>1406</v>
      </c>
      <c r="G1933" s="29" t="s">
        <v>886</v>
      </c>
      <c r="H1933" s="31">
        <v>0.49</v>
      </c>
      <c r="I1933" s="29" t="s">
        <v>597</v>
      </c>
      <c r="J1933" s="32" t="s">
        <v>642</v>
      </c>
      <c r="K1933" s="29" t="s">
        <v>599</v>
      </c>
      <c r="L1933" s="29" t="s">
        <v>479</v>
      </c>
      <c r="M1933" s="33">
        <v>-52.831</v>
      </c>
      <c r="N1933" s="33">
        <v>3.858</v>
      </c>
      <c r="O1933" s="34" t="s">
        <v>641</v>
      </c>
      <c r="P1933" s="32" t="s">
        <v>602</v>
      </c>
      <c r="Q1933" s="35">
        <v>6.0</v>
      </c>
      <c r="R1933" s="35">
        <v>7.0</v>
      </c>
      <c r="S1933" s="36">
        <v>0.53</v>
      </c>
      <c r="T1933" s="36">
        <v>1.62</v>
      </c>
      <c r="U1933" s="36">
        <v>0.23</v>
      </c>
      <c r="V1933" s="36">
        <v>0.8</v>
      </c>
      <c r="W1933" s="37" t="s">
        <v>1407</v>
      </c>
      <c r="X1933" s="31">
        <v>22.17</v>
      </c>
      <c r="Y1933" s="36">
        <v>-1.1133323679106828</v>
      </c>
      <c r="Z1933" s="36">
        <v>0.06622510270470164</v>
      </c>
      <c r="AA1933" s="29" t="s">
        <v>820</v>
      </c>
      <c r="AB1933" s="31">
        <v>0.0802034661174</v>
      </c>
      <c r="AC1933" s="38">
        <v>2745.0</v>
      </c>
    </row>
    <row r="1934" ht="14.25" customHeight="1">
      <c r="A1934" s="29" t="s">
        <v>481</v>
      </c>
      <c r="B1934" s="29">
        <v>55.0</v>
      </c>
      <c r="C1934" s="29" t="s">
        <v>593</v>
      </c>
      <c r="D1934" s="35" t="s">
        <v>1405</v>
      </c>
      <c r="E1934" s="29">
        <v>7.0</v>
      </c>
      <c r="F1934" s="30" t="s">
        <v>1406</v>
      </c>
      <c r="G1934" s="29" t="s">
        <v>886</v>
      </c>
      <c r="H1934" s="31">
        <v>0.49</v>
      </c>
      <c r="I1934" s="29" t="s">
        <v>597</v>
      </c>
      <c r="J1934" s="32" t="s">
        <v>642</v>
      </c>
      <c r="K1934" s="29" t="s">
        <v>599</v>
      </c>
      <c r="L1934" s="29" t="s">
        <v>479</v>
      </c>
      <c r="M1934" s="33">
        <v>-52.831</v>
      </c>
      <c r="N1934" s="33">
        <v>3.858</v>
      </c>
      <c r="O1934" s="34" t="s">
        <v>641</v>
      </c>
      <c r="P1934" s="32" t="s">
        <v>602</v>
      </c>
      <c r="Q1934" s="35">
        <v>8.0</v>
      </c>
      <c r="R1934" s="35">
        <v>7.0</v>
      </c>
      <c r="S1934" s="36">
        <v>0.79</v>
      </c>
      <c r="T1934" s="36">
        <v>1.62</v>
      </c>
      <c r="U1934" s="36">
        <v>0.39</v>
      </c>
      <c r="V1934" s="36">
        <v>0.8</v>
      </c>
      <c r="W1934" s="37" t="s">
        <v>1407</v>
      </c>
      <c r="X1934" s="31">
        <v>41.125</v>
      </c>
      <c r="Y1934" s="36">
        <v>-0.7154819461994214</v>
      </c>
      <c r="Z1934" s="36">
        <v>0.06530176289007607</v>
      </c>
      <c r="AA1934" s="29" t="s">
        <v>820</v>
      </c>
      <c r="AB1934" s="31">
        <v>0.0802034661174</v>
      </c>
      <c r="AC1934" s="38">
        <v>2745.0</v>
      </c>
    </row>
    <row r="1935" ht="14.25" customHeight="1">
      <c r="A1935" s="29" t="s">
        <v>481</v>
      </c>
      <c r="B1935" s="29">
        <v>55.0</v>
      </c>
      <c r="C1935" s="29" t="s">
        <v>593</v>
      </c>
      <c r="D1935" s="35" t="s">
        <v>1408</v>
      </c>
      <c r="E1935" s="29">
        <v>12.0</v>
      </c>
      <c r="F1935" s="30" t="s">
        <v>1409</v>
      </c>
      <c r="G1935" s="29" t="s">
        <v>886</v>
      </c>
      <c r="H1935" s="31">
        <v>1.11</v>
      </c>
      <c r="I1935" s="29" t="s">
        <v>597</v>
      </c>
      <c r="J1935" s="32" t="s">
        <v>642</v>
      </c>
      <c r="K1935" s="29" t="s">
        <v>599</v>
      </c>
      <c r="L1935" s="29" t="s">
        <v>479</v>
      </c>
      <c r="M1935" s="33">
        <v>-52.831</v>
      </c>
      <c r="N1935" s="33">
        <v>3.858</v>
      </c>
      <c r="O1935" s="34" t="s">
        <v>641</v>
      </c>
      <c r="P1935" s="32" t="s">
        <v>602</v>
      </c>
      <c r="Q1935" s="35">
        <v>6.0</v>
      </c>
      <c r="R1935" s="35">
        <v>7.0</v>
      </c>
      <c r="S1935" s="36">
        <v>0.34</v>
      </c>
      <c r="T1935" s="36">
        <v>2.02</v>
      </c>
      <c r="U1935" s="36">
        <v>0.56</v>
      </c>
      <c r="V1935" s="36">
        <v>1.27</v>
      </c>
      <c r="W1935" s="37" t="s">
        <v>1407</v>
      </c>
      <c r="X1935" s="31">
        <v>22.17</v>
      </c>
      <c r="Y1935" s="36">
        <v>-1.7742010346230934</v>
      </c>
      <c r="Z1935" s="36">
        <v>0.5086023481975063</v>
      </c>
      <c r="AA1935" s="29" t="s">
        <v>820</v>
      </c>
      <c r="AB1935" s="31">
        <v>0.0802034661174</v>
      </c>
      <c r="AC1935" s="38">
        <v>2745.0</v>
      </c>
    </row>
    <row r="1936" ht="14.25" customHeight="1">
      <c r="A1936" s="29" t="s">
        <v>481</v>
      </c>
      <c r="B1936" s="29">
        <v>55.0</v>
      </c>
      <c r="C1936" s="29" t="s">
        <v>593</v>
      </c>
      <c r="D1936" s="35" t="s">
        <v>1408</v>
      </c>
      <c r="E1936" s="29">
        <v>12.0</v>
      </c>
      <c r="F1936" s="30" t="s">
        <v>1409</v>
      </c>
      <c r="G1936" s="29" t="s">
        <v>886</v>
      </c>
      <c r="H1936" s="31">
        <v>1.11</v>
      </c>
      <c r="I1936" s="29" t="s">
        <v>597</v>
      </c>
      <c r="J1936" s="32" t="s">
        <v>642</v>
      </c>
      <c r="K1936" s="29" t="s">
        <v>599</v>
      </c>
      <c r="L1936" s="29" t="s">
        <v>479</v>
      </c>
      <c r="M1936" s="33">
        <v>-52.831</v>
      </c>
      <c r="N1936" s="33">
        <v>3.858</v>
      </c>
      <c r="O1936" s="34" t="s">
        <v>641</v>
      </c>
      <c r="P1936" s="32" t="s">
        <v>602</v>
      </c>
      <c r="Q1936" s="35">
        <v>8.0</v>
      </c>
      <c r="R1936" s="35">
        <v>7.0</v>
      </c>
      <c r="S1936" s="36">
        <v>1.08</v>
      </c>
      <c r="T1936" s="36">
        <v>2.02</v>
      </c>
      <c r="U1936" s="36">
        <v>0.77</v>
      </c>
      <c r="V1936" s="36">
        <v>1.27</v>
      </c>
      <c r="W1936" s="37" t="s">
        <v>1407</v>
      </c>
      <c r="X1936" s="31">
        <v>41.125</v>
      </c>
      <c r="Y1936" s="36">
        <v>-0.623704052917758</v>
      </c>
      <c r="Z1936" s="36">
        <v>0.12000807682277387</v>
      </c>
      <c r="AA1936" s="29" t="s">
        <v>820</v>
      </c>
      <c r="AB1936" s="31">
        <v>0.0802034661174</v>
      </c>
      <c r="AC1936" s="38">
        <v>2745.0</v>
      </c>
    </row>
    <row r="1937" ht="14.25" customHeight="1">
      <c r="A1937" s="29" t="s">
        <v>481</v>
      </c>
      <c r="B1937" s="29">
        <v>55.0</v>
      </c>
      <c r="C1937" s="29" t="s">
        <v>593</v>
      </c>
      <c r="D1937" s="29" t="s">
        <v>1305</v>
      </c>
      <c r="E1937" s="29">
        <v>64.0</v>
      </c>
      <c r="F1937" s="30" t="s">
        <v>1306</v>
      </c>
      <c r="G1937" s="29" t="s">
        <v>607</v>
      </c>
      <c r="H1937" s="31">
        <v>2.87</v>
      </c>
      <c r="I1937" s="29" t="s">
        <v>597</v>
      </c>
      <c r="J1937" s="32" t="s">
        <v>642</v>
      </c>
      <c r="K1937" s="29" t="s">
        <v>599</v>
      </c>
      <c r="L1937" s="29" t="s">
        <v>479</v>
      </c>
      <c r="M1937" s="33">
        <v>-52.831</v>
      </c>
      <c r="N1937" s="33">
        <v>3.858</v>
      </c>
      <c r="O1937" s="34" t="s">
        <v>641</v>
      </c>
      <c r="P1937" s="32" t="s">
        <v>602</v>
      </c>
      <c r="Q1937" s="35">
        <v>6.0</v>
      </c>
      <c r="R1937" s="35">
        <v>7.0</v>
      </c>
      <c r="S1937" s="36">
        <v>0.19</v>
      </c>
      <c r="T1937" s="36">
        <v>1.27</v>
      </c>
      <c r="U1937" s="36">
        <v>0.15</v>
      </c>
      <c r="V1937" s="36">
        <v>0.48</v>
      </c>
      <c r="W1937" s="37" t="s">
        <v>1407</v>
      </c>
      <c r="X1937" s="31">
        <v>22.17</v>
      </c>
      <c r="Y1937" s="36">
        <v>-1.8910823644136767</v>
      </c>
      <c r="Z1937" s="36">
        <v>0.12428501430014335</v>
      </c>
      <c r="AA1937" s="29" t="s">
        <v>820</v>
      </c>
      <c r="AB1937" s="31">
        <v>0.0802034661174</v>
      </c>
      <c r="AC1937" s="38">
        <v>2745.0</v>
      </c>
    </row>
    <row r="1938" ht="14.25" customHeight="1">
      <c r="A1938" s="29" t="s">
        <v>481</v>
      </c>
      <c r="B1938" s="29">
        <v>55.0</v>
      </c>
      <c r="C1938" s="29" t="s">
        <v>593</v>
      </c>
      <c r="D1938" s="29" t="s">
        <v>1305</v>
      </c>
      <c r="E1938" s="29">
        <v>64.0</v>
      </c>
      <c r="F1938" s="30" t="s">
        <v>1306</v>
      </c>
      <c r="G1938" s="29" t="s">
        <v>607</v>
      </c>
      <c r="H1938" s="31">
        <v>2.87</v>
      </c>
      <c r="I1938" s="29" t="s">
        <v>597</v>
      </c>
      <c r="J1938" s="32" t="s">
        <v>642</v>
      </c>
      <c r="K1938" s="29" t="s">
        <v>599</v>
      </c>
      <c r="L1938" s="29" t="s">
        <v>479</v>
      </c>
      <c r="M1938" s="33">
        <v>-52.831</v>
      </c>
      <c r="N1938" s="33">
        <v>3.858</v>
      </c>
      <c r="O1938" s="34" t="s">
        <v>641</v>
      </c>
      <c r="P1938" s="32" t="s">
        <v>602</v>
      </c>
      <c r="Q1938" s="35">
        <v>8.0</v>
      </c>
      <c r="R1938" s="35">
        <v>7.0</v>
      </c>
      <c r="S1938" s="36">
        <v>0.62</v>
      </c>
      <c r="T1938" s="36">
        <v>1.27</v>
      </c>
      <c r="U1938" s="36">
        <v>0.49</v>
      </c>
      <c r="V1938" s="36">
        <v>0.48</v>
      </c>
      <c r="W1938" s="37" t="s">
        <v>1407</v>
      </c>
      <c r="X1938" s="31">
        <v>41.125</v>
      </c>
      <c r="Y1938" s="36">
        <v>-0.7143890813023958</v>
      </c>
      <c r="Z1938" s="36">
        <v>0.09848312064135648</v>
      </c>
      <c r="AA1938" s="29" t="s">
        <v>820</v>
      </c>
      <c r="AB1938" s="31">
        <v>0.0802034661174</v>
      </c>
      <c r="AC1938" s="38">
        <v>2745.0</v>
      </c>
    </row>
    <row r="1939" ht="14.25" customHeight="1">
      <c r="A1939" s="29" t="s">
        <v>481</v>
      </c>
      <c r="B1939" s="29">
        <v>55.0</v>
      </c>
      <c r="C1939" s="29" t="s">
        <v>593</v>
      </c>
      <c r="D1939" s="29" t="s">
        <v>880</v>
      </c>
      <c r="E1939" s="29">
        <v>69.0</v>
      </c>
      <c r="F1939" s="30" t="s">
        <v>881</v>
      </c>
      <c r="G1939" s="29" t="s">
        <v>596</v>
      </c>
      <c r="H1939" s="31">
        <v>0.38</v>
      </c>
      <c r="I1939" s="29" t="s">
        <v>597</v>
      </c>
      <c r="J1939" s="32" t="s">
        <v>642</v>
      </c>
      <c r="K1939" s="29" t="s">
        <v>599</v>
      </c>
      <c r="L1939" s="29" t="s">
        <v>479</v>
      </c>
      <c r="M1939" s="33">
        <v>-52.831</v>
      </c>
      <c r="N1939" s="33">
        <v>3.858</v>
      </c>
      <c r="O1939" s="34" t="s">
        <v>641</v>
      </c>
      <c r="P1939" s="32" t="s">
        <v>602</v>
      </c>
      <c r="Q1939" s="35">
        <v>6.0</v>
      </c>
      <c r="R1939" s="35">
        <v>7.0</v>
      </c>
      <c r="S1939" s="36">
        <v>0.91</v>
      </c>
      <c r="T1939" s="36">
        <v>1.54</v>
      </c>
      <c r="U1939" s="36">
        <v>0.25</v>
      </c>
      <c r="V1939" s="36">
        <v>0.61</v>
      </c>
      <c r="W1939" s="37" t="s">
        <v>1407</v>
      </c>
      <c r="X1939" s="31">
        <v>22.17</v>
      </c>
      <c r="Y1939" s="36">
        <v>-0.5238919944578375</v>
      </c>
      <c r="Z1939" s="36">
        <v>0.03499303845386334</v>
      </c>
      <c r="AA1939" s="29" t="s">
        <v>820</v>
      </c>
      <c r="AB1939" s="31">
        <v>0.0802034661174</v>
      </c>
      <c r="AC1939" s="38">
        <v>2745.0</v>
      </c>
    </row>
    <row r="1940" ht="14.25" customHeight="1">
      <c r="A1940" s="29" t="s">
        <v>481</v>
      </c>
      <c r="B1940" s="29">
        <v>55.0</v>
      </c>
      <c r="C1940" s="29" t="s">
        <v>593</v>
      </c>
      <c r="D1940" s="29" t="s">
        <v>880</v>
      </c>
      <c r="E1940" s="29">
        <v>69.0</v>
      </c>
      <c r="F1940" s="30" t="s">
        <v>881</v>
      </c>
      <c r="G1940" s="29" t="s">
        <v>596</v>
      </c>
      <c r="H1940" s="31">
        <v>0.38</v>
      </c>
      <c r="I1940" s="29" t="s">
        <v>597</v>
      </c>
      <c r="J1940" s="32" t="s">
        <v>642</v>
      </c>
      <c r="K1940" s="29" t="s">
        <v>599</v>
      </c>
      <c r="L1940" s="29" t="s">
        <v>479</v>
      </c>
      <c r="M1940" s="33">
        <v>-52.831</v>
      </c>
      <c r="N1940" s="33">
        <v>3.858</v>
      </c>
      <c r="O1940" s="34" t="s">
        <v>641</v>
      </c>
      <c r="P1940" s="32" t="s">
        <v>602</v>
      </c>
      <c r="Q1940" s="35">
        <v>8.0</v>
      </c>
      <c r="R1940" s="35">
        <v>7.0</v>
      </c>
      <c r="S1940" s="36">
        <v>1.27</v>
      </c>
      <c r="T1940" s="36">
        <v>1.54</v>
      </c>
      <c r="U1940" s="36">
        <v>0.34</v>
      </c>
      <c r="V1940" s="36">
        <v>0.61</v>
      </c>
      <c r="W1940" s="37" t="s">
        <v>1407</v>
      </c>
      <c r="X1940" s="31">
        <v>41.125</v>
      </c>
      <c r="Y1940" s="36">
        <v>-0.1911878569143132</v>
      </c>
      <c r="Z1940" s="36">
        <v>0.03137306027641957</v>
      </c>
      <c r="AA1940" s="29" t="s">
        <v>820</v>
      </c>
      <c r="AB1940" s="31">
        <v>0.0802034661174</v>
      </c>
      <c r="AC1940" s="38">
        <v>2745.0</v>
      </c>
    </row>
    <row r="1941" ht="14.25" customHeight="1">
      <c r="A1941" s="29" t="s">
        <v>481</v>
      </c>
      <c r="B1941" s="29">
        <v>55.0</v>
      </c>
      <c r="C1941" s="29" t="s">
        <v>593</v>
      </c>
      <c r="D1941" s="29" t="s">
        <v>1110</v>
      </c>
      <c r="E1941" s="29">
        <v>115.0</v>
      </c>
      <c r="F1941" s="30" t="s">
        <v>1111</v>
      </c>
      <c r="G1941" s="29" t="s">
        <v>607</v>
      </c>
      <c r="H1941" s="31">
        <v>0.31</v>
      </c>
      <c r="I1941" s="29" t="s">
        <v>616</v>
      </c>
      <c r="J1941" s="32" t="s">
        <v>642</v>
      </c>
      <c r="K1941" s="29" t="s">
        <v>599</v>
      </c>
      <c r="L1941" s="29" t="s">
        <v>479</v>
      </c>
      <c r="M1941" s="33">
        <v>-52.831</v>
      </c>
      <c r="N1941" s="33">
        <v>3.858</v>
      </c>
      <c r="O1941" s="34" t="s">
        <v>641</v>
      </c>
      <c r="P1941" s="32" t="s">
        <v>602</v>
      </c>
      <c r="Q1941" s="35">
        <v>6.0</v>
      </c>
      <c r="R1941" s="35">
        <v>7.0</v>
      </c>
      <c r="S1941" s="36">
        <v>0.24</v>
      </c>
      <c r="T1941" s="36">
        <v>0.89</v>
      </c>
      <c r="U1941" s="36">
        <v>0.28</v>
      </c>
      <c r="V1941" s="36">
        <v>0.57</v>
      </c>
      <c r="W1941" s="37" t="s">
        <v>1407</v>
      </c>
      <c r="X1941" s="31">
        <v>22.17</v>
      </c>
      <c r="Y1941" s="36">
        <v>-1.3057656004570104</v>
      </c>
      <c r="Z1941" s="36">
        <v>0.28544834940807673</v>
      </c>
      <c r="AA1941" s="29" t="s">
        <v>820</v>
      </c>
      <c r="AB1941" s="31">
        <v>0.0802034661174</v>
      </c>
      <c r="AC1941" s="38">
        <v>2745.0</v>
      </c>
    </row>
    <row r="1942" ht="14.25" customHeight="1">
      <c r="A1942" s="29" t="s">
        <v>481</v>
      </c>
      <c r="B1942" s="29">
        <v>55.0</v>
      </c>
      <c r="C1942" s="29" t="s">
        <v>593</v>
      </c>
      <c r="D1942" s="29" t="s">
        <v>1110</v>
      </c>
      <c r="E1942" s="29">
        <v>115.0</v>
      </c>
      <c r="F1942" s="30" t="s">
        <v>1111</v>
      </c>
      <c r="G1942" s="29" t="s">
        <v>607</v>
      </c>
      <c r="H1942" s="31">
        <v>0.31</v>
      </c>
      <c r="I1942" s="29" t="s">
        <v>616</v>
      </c>
      <c r="J1942" s="32" t="s">
        <v>642</v>
      </c>
      <c r="K1942" s="29" t="s">
        <v>599</v>
      </c>
      <c r="L1942" s="29" t="s">
        <v>479</v>
      </c>
      <c r="M1942" s="33">
        <v>-52.831</v>
      </c>
      <c r="N1942" s="33">
        <v>3.858</v>
      </c>
      <c r="O1942" s="34" t="s">
        <v>641</v>
      </c>
      <c r="P1942" s="32" t="s">
        <v>602</v>
      </c>
      <c r="Q1942" s="35">
        <v>8.0</v>
      </c>
      <c r="R1942" s="35">
        <v>7.0</v>
      </c>
      <c r="S1942" s="36">
        <v>0.38</v>
      </c>
      <c r="T1942" s="36">
        <v>0.89</v>
      </c>
      <c r="U1942" s="36">
        <v>0.15</v>
      </c>
      <c r="V1942" s="36">
        <v>0.57</v>
      </c>
      <c r="W1942" s="37" t="s">
        <v>1407</v>
      </c>
      <c r="X1942" s="31">
        <v>41.125</v>
      </c>
      <c r="Y1942" s="36">
        <v>-0.8480052344248517</v>
      </c>
      <c r="Z1942" s="36">
        <v>0.07807364437062927</v>
      </c>
      <c r="AA1942" s="29" t="s">
        <v>820</v>
      </c>
      <c r="AB1942" s="31">
        <v>0.0802034661174</v>
      </c>
      <c r="AC1942" s="38">
        <v>2745.0</v>
      </c>
    </row>
    <row r="1943" ht="14.25" customHeight="1">
      <c r="A1943" s="29" t="s">
        <v>481</v>
      </c>
      <c r="B1943" s="29">
        <v>55.0</v>
      </c>
      <c r="C1943" s="29" t="s">
        <v>593</v>
      </c>
      <c r="D1943" s="29" t="s">
        <v>1410</v>
      </c>
      <c r="E1943" s="29">
        <v>131.0</v>
      </c>
      <c r="F1943" s="30" t="s">
        <v>1411</v>
      </c>
      <c r="G1943" s="29" t="s">
        <v>607</v>
      </c>
      <c r="H1943" s="31">
        <v>1.29</v>
      </c>
      <c r="I1943" s="29" t="s">
        <v>597</v>
      </c>
      <c r="J1943" s="32" t="s">
        <v>642</v>
      </c>
      <c r="K1943" s="29" t="s">
        <v>599</v>
      </c>
      <c r="L1943" s="29" t="s">
        <v>479</v>
      </c>
      <c r="M1943" s="33">
        <v>-52.831</v>
      </c>
      <c r="N1943" s="33">
        <v>3.858</v>
      </c>
      <c r="O1943" s="34" t="s">
        <v>641</v>
      </c>
      <c r="P1943" s="32" t="s">
        <v>602</v>
      </c>
      <c r="Q1943" s="35">
        <v>6.0</v>
      </c>
      <c r="R1943" s="35">
        <v>7.0</v>
      </c>
      <c r="S1943" s="36">
        <v>0.24</v>
      </c>
      <c r="T1943" s="36">
        <v>1.01</v>
      </c>
      <c r="U1943" s="36">
        <v>0.11</v>
      </c>
      <c r="V1943" s="36">
        <v>0.36</v>
      </c>
      <c r="W1943" s="37" t="s">
        <v>1407</v>
      </c>
      <c r="X1943" s="31">
        <v>22.17</v>
      </c>
      <c r="Y1943" s="36">
        <v>-1.4316020441916215</v>
      </c>
      <c r="Z1943" s="36">
        <v>0.05316105521737935</v>
      </c>
      <c r="AA1943" s="29" t="s">
        <v>820</v>
      </c>
      <c r="AB1943" s="31">
        <v>0.0802034661174</v>
      </c>
      <c r="AC1943" s="38">
        <v>2745.0</v>
      </c>
    </row>
    <row r="1944" ht="14.25" customHeight="1">
      <c r="A1944" s="29" t="s">
        <v>481</v>
      </c>
      <c r="B1944" s="29">
        <v>55.0</v>
      </c>
      <c r="C1944" s="29" t="s">
        <v>593</v>
      </c>
      <c r="D1944" s="29" t="s">
        <v>1410</v>
      </c>
      <c r="E1944" s="29">
        <v>131.0</v>
      </c>
      <c r="F1944" s="30" t="s">
        <v>1411</v>
      </c>
      <c r="G1944" s="29" t="s">
        <v>607</v>
      </c>
      <c r="H1944" s="31">
        <v>1.29</v>
      </c>
      <c r="I1944" s="29" t="s">
        <v>597</v>
      </c>
      <c r="J1944" s="32" t="s">
        <v>642</v>
      </c>
      <c r="K1944" s="29" t="s">
        <v>599</v>
      </c>
      <c r="L1944" s="29" t="s">
        <v>479</v>
      </c>
      <c r="M1944" s="33">
        <v>-52.831</v>
      </c>
      <c r="N1944" s="33">
        <v>3.858</v>
      </c>
      <c r="O1944" s="34" t="s">
        <v>641</v>
      </c>
      <c r="P1944" s="32" t="s">
        <v>602</v>
      </c>
      <c r="Q1944" s="35">
        <v>8.0</v>
      </c>
      <c r="R1944" s="35">
        <v>7.0</v>
      </c>
      <c r="S1944" s="36">
        <v>0.92</v>
      </c>
      <c r="T1944" s="36">
        <v>1.01</v>
      </c>
      <c r="U1944" s="36">
        <v>0.43</v>
      </c>
      <c r="V1944" s="36">
        <v>0.36</v>
      </c>
      <c r="W1944" s="37" t="s">
        <v>1407</v>
      </c>
      <c r="X1944" s="31">
        <v>41.125</v>
      </c>
      <c r="Y1944" s="36">
        <v>-0.09190349944835086</v>
      </c>
      <c r="Z1944" s="36">
        <v>0.045456310065800545</v>
      </c>
      <c r="AA1944" s="29" t="s">
        <v>820</v>
      </c>
      <c r="AB1944" s="31">
        <v>0.0802034661174</v>
      </c>
      <c r="AC1944" s="38">
        <v>2745.0</v>
      </c>
    </row>
    <row r="1945" ht="14.25" customHeight="1">
      <c r="A1945" s="29" t="s">
        <v>481</v>
      </c>
      <c r="B1945" s="29">
        <v>55.0</v>
      </c>
      <c r="C1945" s="29" t="s">
        <v>593</v>
      </c>
      <c r="D1945" s="35" t="s">
        <v>1136</v>
      </c>
      <c r="E1945" s="29">
        <v>153.0</v>
      </c>
      <c r="F1945" s="30" t="s">
        <v>1137</v>
      </c>
      <c r="G1945" s="29" t="s">
        <v>877</v>
      </c>
      <c r="H1945" s="31">
        <v>1.03</v>
      </c>
      <c r="I1945" s="29" t="s">
        <v>597</v>
      </c>
      <c r="J1945" s="32" t="s">
        <v>642</v>
      </c>
      <c r="K1945" s="29" t="s">
        <v>599</v>
      </c>
      <c r="L1945" s="29" t="s">
        <v>479</v>
      </c>
      <c r="M1945" s="33">
        <v>-52.831</v>
      </c>
      <c r="N1945" s="33">
        <v>3.858</v>
      </c>
      <c r="O1945" s="34" t="s">
        <v>641</v>
      </c>
      <c r="P1945" s="32" t="s">
        <v>602</v>
      </c>
      <c r="Q1945" s="35">
        <v>6.0</v>
      </c>
      <c r="R1945" s="35">
        <v>7.0</v>
      </c>
      <c r="S1945" s="36">
        <v>0.18</v>
      </c>
      <c r="T1945" s="36">
        <v>1.95</v>
      </c>
      <c r="U1945" s="36">
        <v>0.11</v>
      </c>
      <c r="V1945" s="36">
        <v>0.65</v>
      </c>
      <c r="W1945" s="37" t="s">
        <v>1407</v>
      </c>
      <c r="X1945" s="31">
        <v>22.17</v>
      </c>
      <c r="Y1945" s="36">
        <v>-2.3686204603428833</v>
      </c>
      <c r="Z1945" s="36">
        <v>0.07811581422692535</v>
      </c>
      <c r="AA1945" s="29" t="s">
        <v>820</v>
      </c>
      <c r="AB1945" s="31">
        <v>0.0802034661174</v>
      </c>
      <c r="AC1945" s="38">
        <v>2745.0</v>
      </c>
    </row>
    <row r="1946" ht="14.25" customHeight="1">
      <c r="A1946" s="29" t="s">
        <v>481</v>
      </c>
      <c r="B1946" s="29">
        <v>55.0</v>
      </c>
      <c r="C1946" s="29" t="s">
        <v>593</v>
      </c>
      <c r="D1946" s="35" t="s">
        <v>1136</v>
      </c>
      <c r="E1946" s="29">
        <v>153.0</v>
      </c>
      <c r="F1946" s="30" t="s">
        <v>1137</v>
      </c>
      <c r="G1946" s="29" t="s">
        <v>877</v>
      </c>
      <c r="H1946" s="31">
        <v>1.03</v>
      </c>
      <c r="I1946" s="29" t="s">
        <v>597</v>
      </c>
      <c r="J1946" s="32" t="s">
        <v>642</v>
      </c>
      <c r="K1946" s="29" t="s">
        <v>599</v>
      </c>
      <c r="L1946" s="29" t="s">
        <v>479</v>
      </c>
      <c r="M1946" s="33">
        <v>-52.831</v>
      </c>
      <c r="N1946" s="33">
        <v>3.858</v>
      </c>
      <c r="O1946" s="34" t="s">
        <v>641</v>
      </c>
      <c r="P1946" s="32" t="s">
        <v>602</v>
      </c>
      <c r="Q1946" s="35">
        <v>8.0</v>
      </c>
      <c r="R1946" s="35">
        <v>7.0</v>
      </c>
      <c r="S1946" s="36">
        <v>0.63</v>
      </c>
      <c r="T1946" s="36">
        <v>1.95</v>
      </c>
      <c r="U1946" s="36">
        <v>0.37</v>
      </c>
      <c r="V1946" s="36">
        <v>0.65</v>
      </c>
      <c r="W1946" s="37" t="s">
        <v>1407</v>
      </c>
      <c r="X1946" s="31">
        <v>41.125</v>
      </c>
      <c r="Y1946" s="36">
        <v>-1.1258426739698384</v>
      </c>
      <c r="Z1946" s="36">
        <v>0.05898841017888637</v>
      </c>
      <c r="AA1946" s="29" t="s">
        <v>820</v>
      </c>
      <c r="AB1946" s="31">
        <v>0.0802034661174</v>
      </c>
      <c r="AC1946" s="38">
        <v>2745.0</v>
      </c>
    </row>
    <row r="1947" ht="14.25" customHeight="1">
      <c r="A1947" s="29" t="s">
        <v>481</v>
      </c>
      <c r="B1947" s="29">
        <v>55.0</v>
      </c>
      <c r="C1947" s="29" t="s">
        <v>593</v>
      </c>
      <c r="D1947" s="29" t="s">
        <v>1412</v>
      </c>
      <c r="E1947" s="29">
        <v>162.0</v>
      </c>
      <c r="F1947" s="30" t="s">
        <v>1413</v>
      </c>
      <c r="G1947" s="29" t="s">
        <v>909</v>
      </c>
      <c r="H1947" s="31">
        <v>0.47</v>
      </c>
      <c r="I1947" s="29" t="s">
        <v>597</v>
      </c>
      <c r="J1947" s="32" t="s">
        <v>642</v>
      </c>
      <c r="K1947" s="29" t="s">
        <v>599</v>
      </c>
      <c r="L1947" s="29" t="s">
        <v>479</v>
      </c>
      <c r="M1947" s="33">
        <v>-52.831</v>
      </c>
      <c r="N1947" s="33">
        <v>3.858</v>
      </c>
      <c r="O1947" s="34" t="s">
        <v>641</v>
      </c>
      <c r="P1947" s="32" t="s">
        <v>602</v>
      </c>
      <c r="Q1947" s="35">
        <v>6.0</v>
      </c>
      <c r="R1947" s="35">
        <v>7.0</v>
      </c>
      <c r="S1947" s="36">
        <v>1.46</v>
      </c>
      <c r="T1947" s="36">
        <v>3.5</v>
      </c>
      <c r="U1947" s="36">
        <v>0.7</v>
      </c>
      <c r="V1947" s="36">
        <v>2.06</v>
      </c>
      <c r="W1947" s="37" t="s">
        <v>1407</v>
      </c>
      <c r="X1947" s="31">
        <v>22.17</v>
      </c>
      <c r="Y1947" s="36">
        <v>-0.871209961683556</v>
      </c>
      <c r="Z1947" s="36">
        <v>0.08780042545501164</v>
      </c>
      <c r="AA1947" s="29" t="s">
        <v>820</v>
      </c>
      <c r="AB1947" s="31">
        <v>0.0802034661174</v>
      </c>
      <c r="AC1947" s="38">
        <v>2745.0</v>
      </c>
    </row>
    <row r="1948" ht="14.25" customHeight="1">
      <c r="A1948" s="29" t="s">
        <v>481</v>
      </c>
      <c r="B1948" s="29">
        <v>55.0</v>
      </c>
      <c r="C1948" s="29" t="s">
        <v>593</v>
      </c>
      <c r="D1948" s="29" t="s">
        <v>1412</v>
      </c>
      <c r="E1948" s="29">
        <v>162.0</v>
      </c>
      <c r="F1948" s="30" t="s">
        <v>1413</v>
      </c>
      <c r="G1948" s="29" t="s">
        <v>909</v>
      </c>
      <c r="H1948" s="31">
        <v>0.47</v>
      </c>
      <c r="I1948" s="29" t="s">
        <v>597</v>
      </c>
      <c r="J1948" s="32" t="s">
        <v>642</v>
      </c>
      <c r="K1948" s="29" t="s">
        <v>599</v>
      </c>
      <c r="L1948" s="29" t="s">
        <v>479</v>
      </c>
      <c r="M1948" s="33">
        <v>-52.831</v>
      </c>
      <c r="N1948" s="33">
        <v>3.858</v>
      </c>
      <c r="O1948" s="34" t="s">
        <v>641</v>
      </c>
      <c r="P1948" s="32" t="s">
        <v>602</v>
      </c>
      <c r="Q1948" s="35">
        <v>8.0</v>
      </c>
      <c r="R1948" s="35">
        <v>7.0</v>
      </c>
      <c r="S1948" s="36">
        <v>2.05</v>
      </c>
      <c r="T1948" s="36">
        <v>3.5</v>
      </c>
      <c r="U1948" s="36">
        <v>1.54</v>
      </c>
      <c r="V1948" s="36">
        <v>2.06</v>
      </c>
      <c r="W1948" s="37" t="s">
        <v>1407</v>
      </c>
      <c r="X1948" s="31">
        <v>41.125</v>
      </c>
      <c r="Y1948" s="36">
        <v>-0.5327025736014169</v>
      </c>
      <c r="Z1948" s="36">
        <v>0.12002939108506494</v>
      </c>
      <c r="AA1948" s="29" t="s">
        <v>820</v>
      </c>
      <c r="AB1948" s="31">
        <v>0.0802034661174</v>
      </c>
      <c r="AC1948" s="38">
        <v>2745.0</v>
      </c>
    </row>
    <row r="1949" ht="14.25" customHeight="1">
      <c r="A1949" s="29" t="s">
        <v>481</v>
      </c>
      <c r="B1949" s="29">
        <v>55.0</v>
      </c>
      <c r="C1949" s="29" t="s">
        <v>593</v>
      </c>
      <c r="D1949" s="29" t="s">
        <v>849</v>
      </c>
      <c r="E1949" s="29">
        <v>193.0</v>
      </c>
      <c r="F1949" s="30" t="s">
        <v>850</v>
      </c>
      <c r="G1949" s="29" t="s">
        <v>596</v>
      </c>
      <c r="H1949" s="31">
        <v>1.03</v>
      </c>
      <c r="I1949" s="29" t="s">
        <v>597</v>
      </c>
      <c r="J1949" s="32" t="s">
        <v>642</v>
      </c>
      <c r="K1949" s="29" t="s">
        <v>599</v>
      </c>
      <c r="L1949" s="29" t="s">
        <v>479</v>
      </c>
      <c r="M1949" s="33">
        <v>-52.831</v>
      </c>
      <c r="N1949" s="33">
        <v>3.858</v>
      </c>
      <c r="O1949" s="34" t="s">
        <v>641</v>
      </c>
      <c r="P1949" s="32" t="s">
        <v>602</v>
      </c>
      <c r="Q1949" s="35">
        <v>6.0</v>
      </c>
      <c r="R1949" s="35">
        <v>7.0</v>
      </c>
      <c r="S1949" s="36">
        <v>0.21</v>
      </c>
      <c r="T1949" s="36">
        <v>0.56</v>
      </c>
      <c r="U1949" s="36">
        <v>0.07</v>
      </c>
      <c r="V1949" s="36">
        <v>0.14</v>
      </c>
      <c r="W1949" s="37" t="s">
        <v>1407</v>
      </c>
      <c r="X1949" s="31">
        <v>22.17</v>
      </c>
      <c r="Y1949" s="36">
        <v>-0.9773630450352402</v>
      </c>
      <c r="Z1949" s="36">
        <v>0.027447089947089953</v>
      </c>
      <c r="AA1949" s="29" t="s">
        <v>820</v>
      </c>
      <c r="AB1949" s="31">
        <v>0.0802034661174</v>
      </c>
      <c r="AC1949" s="38">
        <v>2745.0</v>
      </c>
    </row>
    <row r="1950" ht="14.25" customHeight="1">
      <c r="A1950" s="29" t="s">
        <v>481</v>
      </c>
      <c r="B1950" s="29">
        <v>55.0</v>
      </c>
      <c r="C1950" s="29" t="s">
        <v>593</v>
      </c>
      <c r="D1950" s="29" t="s">
        <v>849</v>
      </c>
      <c r="E1950" s="29">
        <v>193.0</v>
      </c>
      <c r="F1950" s="30" t="s">
        <v>850</v>
      </c>
      <c r="G1950" s="29" t="s">
        <v>596</v>
      </c>
      <c r="H1950" s="31">
        <v>1.03</v>
      </c>
      <c r="I1950" s="29" t="s">
        <v>597</v>
      </c>
      <c r="J1950" s="32" t="s">
        <v>642</v>
      </c>
      <c r="K1950" s="29" t="s">
        <v>599</v>
      </c>
      <c r="L1950" s="29" t="s">
        <v>479</v>
      </c>
      <c r="M1950" s="33">
        <v>-52.831</v>
      </c>
      <c r="N1950" s="33">
        <v>3.858</v>
      </c>
      <c r="O1950" s="34" t="s">
        <v>641</v>
      </c>
      <c r="P1950" s="32" t="s">
        <v>602</v>
      </c>
      <c r="Q1950" s="35">
        <v>8.0</v>
      </c>
      <c r="R1950" s="35">
        <v>7.0</v>
      </c>
      <c r="S1950" s="36">
        <v>0.46</v>
      </c>
      <c r="T1950" s="36">
        <v>0.56</v>
      </c>
      <c r="U1950" s="36">
        <v>0.11</v>
      </c>
      <c r="V1950" s="36">
        <v>0.14</v>
      </c>
      <c r="W1950" s="37" t="s">
        <v>1407</v>
      </c>
      <c r="X1950" s="31">
        <v>41.125</v>
      </c>
      <c r="Y1950" s="36">
        <v>-0.1951264043346587</v>
      </c>
      <c r="Z1950" s="36">
        <v>0.01607649203348636</v>
      </c>
      <c r="AA1950" s="29" t="s">
        <v>820</v>
      </c>
      <c r="AB1950" s="31">
        <v>0.0802034661174</v>
      </c>
      <c r="AC1950" s="38">
        <v>2745.0</v>
      </c>
    </row>
    <row r="1951" ht="14.25" customHeight="1">
      <c r="A1951" s="29" t="s">
        <v>485</v>
      </c>
      <c r="B1951" s="29">
        <v>19.0</v>
      </c>
      <c r="C1951" s="29" t="s">
        <v>608</v>
      </c>
      <c r="D1951" s="29" t="s">
        <v>825</v>
      </c>
      <c r="E1951" s="29">
        <v>5.0</v>
      </c>
      <c r="F1951" s="30" t="s">
        <v>826</v>
      </c>
      <c r="G1951" s="29" t="s">
        <v>611</v>
      </c>
      <c r="H1951" s="31">
        <v>6.15</v>
      </c>
      <c r="I1951" s="29" t="s">
        <v>612</v>
      </c>
      <c r="J1951" s="32" t="s">
        <v>642</v>
      </c>
      <c r="K1951" s="29" t="s">
        <v>599</v>
      </c>
      <c r="L1951" s="29" t="s">
        <v>479</v>
      </c>
      <c r="M1951" s="33">
        <v>-53.338</v>
      </c>
      <c r="N1951" s="33">
        <v>5.252</v>
      </c>
      <c r="O1951" s="34" t="s">
        <v>641</v>
      </c>
      <c r="P1951" s="32" t="s">
        <v>602</v>
      </c>
      <c r="Q1951" s="35">
        <v>21.0</v>
      </c>
      <c r="R1951" s="35">
        <v>22.0</v>
      </c>
      <c r="S1951" s="36">
        <v>0.0</v>
      </c>
      <c r="T1951" s="36">
        <v>0.2067</v>
      </c>
      <c r="U1951" s="36">
        <v>0.0</v>
      </c>
      <c r="V1951" s="36">
        <v>0.4546</v>
      </c>
      <c r="W1951" s="37" t="s">
        <v>780</v>
      </c>
      <c r="X1951" s="31">
        <v>2.5</v>
      </c>
      <c r="Y1951" s="36">
        <v>-8.262558973010657</v>
      </c>
      <c r="Z1951" s="36">
        <v>0.13055636741939203</v>
      </c>
      <c r="AA1951" s="29" t="s">
        <v>820</v>
      </c>
      <c r="AB1951" s="31">
        <v>0.0</v>
      </c>
      <c r="AC1951" s="38">
        <v>1737.0</v>
      </c>
    </row>
    <row r="1952" ht="14.25" customHeight="1">
      <c r="A1952" s="29" t="s">
        <v>485</v>
      </c>
      <c r="B1952" s="29">
        <v>19.0</v>
      </c>
      <c r="C1952" s="29" t="s">
        <v>608</v>
      </c>
      <c r="D1952" s="29" t="s">
        <v>669</v>
      </c>
      <c r="E1952" s="29">
        <v>17.0</v>
      </c>
      <c r="F1952" s="30" t="s">
        <v>670</v>
      </c>
      <c r="G1952" s="29" t="s">
        <v>611</v>
      </c>
      <c r="H1952" s="31">
        <v>7.9</v>
      </c>
      <c r="I1952" s="29" t="s">
        <v>597</v>
      </c>
      <c r="J1952" s="32" t="s">
        <v>642</v>
      </c>
      <c r="K1952" s="29" t="s">
        <v>599</v>
      </c>
      <c r="L1952" s="29" t="s">
        <v>479</v>
      </c>
      <c r="M1952" s="33">
        <v>-53.338</v>
      </c>
      <c r="N1952" s="33">
        <v>5.252</v>
      </c>
      <c r="O1952" s="34" t="s">
        <v>641</v>
      </c>
      <c r="P1952" s="32" t="s">
        <v>602</v>
      </c>
      <c r="Q1952" s="35">
        <v>21.0</v>
      </c>
      <c r="R1952" s="35">
        <v>22.0</v>
      </c>
      <c r="S1952" s="36">
        <v>0.6</v>
      </c>
      <c r="T1952" s="36">
        <v>0.39</v>
      </c>
      <c r="U1952" s="36">
        <v>0.7746</v>
      </c>
      <c r="V1952" s="36">
        <v>0.6245</v>
      </c>
      <c r="W1952" s="37" t="s">
        <v>780</v>
      </c>
      <c r="X1952" s="31">
        <v>2.5</v>
      </c>
      <c r="Y1952" s="36">
        <v>0.4309506006910168</v>
      </c>
      <c r="Z1952" s="36">
        <v>0.19591595316649163</v>
      </c>
      <c r="AA1952" s="29" t="s">
        <v>820</v>
      </c>
      <c r="AB1952" s="31">
        <v>0.0</v>
      </c>
      <c r="AC1952" s="38">
        <v>1737.0</v>
      </c>
    </row>
    <row r="1953" ht="14.25" customHeight="1">
      <c r="A1953" s="29" t="s">
        <v>485</v>
      </c>
      <c r="B1953" s="29">
        <v>19.0</v>
      </c>
      <c r="C1953" s="29" t="s">
        <v>608</v>
      </c>
      <c r="D1953" s="29" t="s">
        <v>1414</v>
      </c>
      <c r="E1953" s="29">
        <v>32.0</v>
      </c>
      <c r="F1953" s="30" t="s">
        <v>1415</v>
      </c>
      <c r="G1953" s="29" t="s">
        <v>611</v>
      </c>
      <c r="H1953" s="31">
        <v>2.6</v>
      </c>
      <c r="I1953" s="29" t="s">
        <v>616</v>
      </c>
      <c r="J1953" s="32" t="s">
        <v>642</v>
      </c>
      <c r="K1953" s="29" t="s">
        <v>599</v>
      </c>
      <c r="L1953" s="29" t="s">
        <v>479</v>
      </c>
      <c r="M1953" s="33">
        <v>-53.338</v>
      </c>
      <c r="N1953" s="33">
        <v>5.252</v>
      </c>
      <c r="O1953" s="34" t="s">
        <v>641</v>
      </c>
      <c r="P1953" s="32" t="s">
        <v>602</v>
      </c>
      <c r="Q1953" s="35">
        <v>21.0</v>
      </c>
      <c r="R1953" s="35">
        <v>22.0</v>
      </c>
      <c r="S1953" s="36">
        <v>0.35</v>
      </c>
      <c r="T1953" s="36">
        <v>0.1867</v>
      </c>
      <c r="U1953" s="36">
        <v>0.5916</v>
      </c>
      <c r="V1953" s="36">
        <v>0.432</v>
      </c>
      <c r="W1953" s="37" t="s">
        <v>780</v>
      </c>
      <c r="X1953" s="31">
        <v>2.5</v>
      </c>
      <c r="Y1953" s="36">
        <v>0.6285677179369822</v>
      </c>
      <c r="Z1953" s="36">
        <v>0.3794146636230106</v>
      </c>
      <c r="AA1953" s="29" t="s">
        <v>820</v>
      </c>
      <c r="AB1953" s="31">
        <v>0.0</v>
      </c>
      <c r="AC1953" s="38">
        <v>1737.0</v>
      </c>
    </row>
    <row r="1954" ht="14.25" customHeight="1">
      <c r="A1954" s="29" t="s">
        <v>485</v>
      </c>
      <c r="B1954" s="29">
        <v>19.0</v>
      </c>
      <c r="C1954" s="29" t="s">
        <v>608</v>
      </c>
      <c r="D1954" s="29" t="s">
        <v>685</v>
      </c>
      <c r="E1954" s="29">
        <v>142.0</v>
      </c>
      <c r="F1954" s="30" t="s">
        <v>686</v>
      </c>
      <c r="G1954" s="29" t="s">
        <v>611</v>
      </c>
      <c r="H1954" s="31">
        <v>1.38</v>
      </c>
      <c r="I1954" s="29" t="s">
        <v>616</v>
      </c>
      <c r="J1954" s="32" t="s">
        <v>642</v>
      </c>
      <c r="K1954" s="29" t="s">
        <v>599</v>
      </c>
      <c r="L1954" s="29" t="s">
        <v>479</v>
      </c>
      <c r="M1954" s="33">
        <v>-53.338</v>
      </c>
      <c r="N1954" s="33">
        <v>5.252</v>
      </c>
      <c r="O1954" s="34" t="s">
        <v>641</v>
      </c>
      <c r="P1954" s="32" t="s">
        <v>602</v>
      </c>
      <c r="Q1954" s="35">
        <v>21.0</v>
      </c>
      <c r="R1954" s="35">
        <v>22.0</v>
      </c>
      <c r="S1954" s="36">
        <v>0.06</v>
      </c>
      <c r="T1954" s="36">
        <v>0.05</v>
      </c>
      <c r="U1954" s="36">
        <v>0.2449</v>
      </c>
      <c r="V1954" s="36">
        <v>0.2236</v>
      </c>
      <c r="W1954" s="37" t="s">
        <v>780</v>
      </c>
      <c r="X1954" s="31">
        <v>2.5</v>
      </c>
      <c r="Y1954" s="36">
        <v>0.18253653196515027</v>
      </c>
      <c r="Z1954" s="36">
        <v>1.702369101972102</v>
      </c>
      <c r="AA1954" s="29" t="s">
        <v>820</v>
      </c>
      <c r="AB1954" s="31">
        <v>0.0</v>
      </c>
      <c r="AC1954" s="38">
        <v>1737.0</v>
      </c>
    </row>
    <row r="1955" ht="14.25" customHeight="1">
      <c r="A1955" s="29" t="s">
        <v>485</v>
      </c>
      <c r="B1955" s="29">
        <v>19.0</v>
      </c>
      <c r="C1955" s="29" t="s">
        <v>608</v>
      </c>
      <c r="D1955" s="29" t="s">
        <v>689</v>
      </c>
      <c r="E1955" s="29">
        <v>166.0</v>
      </c>
      <c r="F1955" s="30" t="s">
        <v>690</v>
      </c>
      <c r="G1955" s="29" t="s">
        <v>611</v>
      </c>
      <c r="H1955" s="31">
        <v>0.54</v>
      </c>
      <c r="I1955" s="29" t="s">
        <v>616</v>
      </c>
      <c r="J1955" s="32" t="s">
        <v>642</v>
      </c>
      <c r="K1955" s="29" t="s">
        <v>599</v>
      </c>
      <c r="L1955" s="29" t="s">
        <v>479</v>
      </c>
      <c r="M1955" s="33">
        <v>-53.338</v>
      </c>
      <c r="N1955" s="33">
        <v>5.252</v>
      </c>
      <c r="O1955" s="34" t="s">
        <v>641</v>
      </c>
      <c r="P1955" s="32" t="s">
        <v>602</v>
      </c>
      <c r="Q1955" s="35">
        <v>21.0</v>
      </c>
      <c r="R1955" s="35">
        <v>22.0</v>
      </c>
      <c r="S1955" s="36">
        <v>0.38</v>
      </c>
      <c r="T1955" s="36">
        <v>0.32</v>
      </c>
      <c r="U1955" s="36">
        <v>0.6164</v>
      </c>
      <c r="V1955" s="36">
        <v>0.5657</v>
      </c>
      <c r="W1955" s="37" t="s">
        <v>780</v>
      </c>
      <c r="X1955" s="31">
        <v>2.5</v>
      </c>
      <c r="Y1955" s="36">
        <v>0.17206749474861815</v>
      </c>
      <c r="Z1955" s="36">
        <v>0.2673492259807385</v>
      </c>
      <c r="AA1955" s="29" t="s">
        <v>820</v>
      </c>
      <c r="AB1955" s="31">
        <v>0.0</v>
      </c>
      <c r="AC1955" s="38">
        <v>1737.0</v>
      </c>
    </row>
    <row r="1956" ht="14.25" customHeight="1">
      <c r="A1956" s="29" t="s">
        <v>485</v>
      </c>
      <c r="B1956" s="29">
        <v>19.0</v>
      </c>
      <c r="C1956" s="29" t="s">
        <v>608</v>
      </c>
      <c r="D1956" s="29" t="s">
        <v>632</v>
      </c>
      <c r="E1956" s="29">
        <v>173.0</v>
      </c>
      <c r="F1956" s="30" t="s">
        <v>633</v>
      </c>
      <c r="G1956" s="29" t="s">
        <v>611</v>
      </c>
      <c r="H1956" s="31">
        <v>2.5</v>
      </c>
      <c r="I1956" s="29" t="s">
        <v>616</v>
      </c>
      <c r="J1956" s="32" t="s">
        <v>642</v>
      </c>
      <c r="K1956" s="29" t="s">
        <v>599</v>
      </c>
      <c r="L1956" s="29" t="s">
        <v>479</v>
      </c>
      <c r="M1956" s="33">
        <v>-53.338</v>
      </c>
      <c r="N1956" s="33">
        <v>5.252</v>
      </c>
      <c r="O1956" s="34" t="s">
        <v>641</v>
      </c>
      <c r="P1956" s="32" t="s">
        <v>602</v>
      </c>
      <c r="Q1956" s="35">
        <v>21.0</v>
      </c>
      <c r="R1956" s="35">
        <v>22.0</v>
      </c>
      <c r="S1956" s="36">
        <v>0.58</v>
      </c>
      <c r="T1956" s="36">
        <v>0.7133</v>
      </c>
      <c r="U1956" s="36">
        <v>0.7616</v>
      </c>
      <c r="V1956" s="36">
        <v>0.8446</v>
      </c>
      <c r="W1956" s="37" t="s">
        <v>780</v>
      </c>
      <c r="X1956" s="31">
        <v>2.5</v>
      </c>
      <c r="Y1956" s="36">
        <v>-0.20655674309140207</v>
      </c>
      <c r="Z1956" s="36">
        <v>0.14583539337185153</v>
      </c>
      <c r="AA1956" s="29" t="s">
        <v>820</v>
      </c>
      <c r="AB1956" s="31">
        <v>0.0</v>
      </c>
      <c r="AC1956" s="38">
        <v>1737.0</v>
      </c>
    </row>
    <row r="1957" ht="14.25" customHeight="1">
      <c r="A1957" s="29" t="s">
        <v>485</v>
      </c>
      <c r="B1957" s="29">
        <v>118.0</v>
      </c>
      <c r="C1957" s="29" t="s">
        <v>608</v>
      </c>
      <c r="D1957" s="29" t="s">
        <v>825</v>
      </c>
      <c r="E1957" s="29">
        <v>5.0</v>
      </c>
      <c r="F1957" s="30" t="s">
        <v>826</v>
      </c>
      <c r="G1957" s="29" t="s">
        <v>611</v>
      </c>
      <c r="H1957" s="31">
        <v>6.15</v>
      </c>
      <c r="I1957" s="29" t="s">
        <v>612</v>
      </c>
      <c r="J1957" s="32" t="s">
        <v>642</v>
      </c>
      <c r="K1957" s="29" t="s">
        <v>599</v>
      </c>
      <c r="L1957" s="29" t="s">
        <v>479</v>
      </c>
      <c r="M1957" s="33">
        <v>-53.288</v>
      </c>
      <c r="N1957" s="33">
        <v>4.646</v>
      </c>
      <c r="O1957" s="34" t="s">
        <v>601</v>
      </c>
      <c r="P1957" s="32" t="s">
        <v>602</v>
      </c>
      <c r="Q1957" s="35">
        <v>23.0</v>
      </c>
      <c r="R1957" s="35">
        <v>22.0</v>
      </c>
      <c r="S1957" s="36">
        <v>0.03</v>
      </c>
      <c r="T1957" s="36">
        <v>0.2067</v>
      </c>
      <c r="U1957" s="36">
        <v>0.1732</v>
      </c>
      <c r="V1957" s="36">
        <v>0.4546</v>
      </c>
      <c r="W1957" s="37" t="s">
        <v>780</v>
      </c>
      <c r="X1957" s="31">
        <v>2.5</v>
      </c>
      <c r="Y1957" s="36">
        <v>-1.9282950573177176</v>
      </c>
      <c r="Z1957" s="36">
        <v>1.6690548969942234</v>
      </c>
      <c r="AA1957" s="29" t="s">
        <v>820</v>
      </c>
      <c r="AB1957" s="31">
        <v>0.0488285906613</v>
      </c>
      <c r="AC1957" s="38">
        <v>1521.0</v>
      </c>
    </row>
    <row r="1958" ht="14.25" customHeight="1">
      <c r="A1958" s="29" t="s">
        <v>485</v>
      </c>
      <c r="B1958" s="29">
        <v>118.0</v>
      </c>
      <c r="C1958" s="29" t="s">
        <v>608</v>
      </c>
      <c r="D1958" s="29" t="s">
        <v>669</v>
      </c>
      <c r="E1958" s="29">
        <v>17.0</v>
      </c>
      <c r="F1958" s="30" t="s">
        <v>670</v>
      </c>
      <c r="G1958" s="29" t="s">
        <v>611</v>
      </c>
      <c r="H1958" s="31">
        <v>7.9</v>
      </c>
      <c r="I1958" s="29" t="s">
        <v>597</v>
      </c>
      <c r="J1958" s="32" t="s">
        <v>642</v>
      </c>
      <c r="K1958" s="29" t="s">
        <v>599</v>
      </c>
      <c r="L1958" s="29" t="s">
        <v>479</v>
      </c>
      <c r="M1958" s="33">
        <v>-53.288</v>
      </c>
      <c r="N1958" s="33">
        <v>4.646</v>
      </c>
      <c r="O1958" s="34" t="s">
        <v>601</v>
      </c>
      <c r="P1958" s="32" t="s">
        <v>602</v>
      </c>
      <c r="Q1958" s="35">
        <v>23.0</v>
      </c>
      <c r="R1958" s="35">
        <v>22.0</v>
      </c>
      <c r="S1958" s="36">
        <v>0.35</v>
      </c>
      <c r="T1958" s="36">
        <v>0.39</v>
      </c>
      <c r="U1958" s="36">
        <v>0.5916</v>
      </c>
      <c r="V1958" s="36">
        <v>0.6245</v>
      </c>
      <c r="W1958" s="37" t="s">
        <v>780</v>
      </c>
      <c r="X1958" s="31">
        <v>2.5</v>
      </c>
      <c r="Y1958" s="36">
        <v>-0.10792614254125303</v>
      </c>
      <c r="Z1958" s="36">
        <v>0.2407704432581805</v>
      </c>
      <c r="AA1958" s="29" t="s">
        <v>820</v>
      </c>
      <c r="AB1958" s="31">
        <v>0.0488285906613</v>
      </c>
      <c r="AC1958" s="38">
        <v>1521.0</v>
      </c>
    </row>
    <row r="1959" ht="14.25" customHeight="1">
      <c r="A1959" s="29" t="s">
        <v>485</v>
      </c>
      <c r="B1959" s="29">
        <v>118.0</v>
      </c>
      <c r="C1959" s="29" t="s">
        <v>608</v>
      </c>
      <c r="D1959" s="29" t="s">
        <v>1414</v>
      </c>
      <c r="E1959" s="29">
        <v>32.0</v>
      </c>
      <c r="F1959" s="30" t="s">
        <v>1415</v>
      </c>
      <c r="G1959" s="29" t="s">
        <v>611</v>
      </c>
      <c r="H1959" s="31">
        <v>2.6</v>
      </c>
      <c r="I1959" s="29" t="s">
        <v>616</v>
      </c>
      <c r="J1959" s="32" t="s">
        <v>642</v>
      </c>
      <c r="K1959" s="29" t="s">
        <v>599</v>
      </c>
      <c r="L1959" s="29" t="s">
        <v>479</v>
      </c>
      <c r="M1959" s="33">
        <v>-53.288</v>
      </c>
      <c r="N1959" s="33">
        <v>4.646</v>
      </c>
      <c r="O1959" s="34" t="s">
        <v>601</v>
      </c>
      <c r="P1959" s="32" t="s">
        <v>602</v>
      </c>
      <c r="Q1959" s="35">
        <v>23.0</v>
      </c>
      <c r="R1959" s="35">
        <v>22.0</v>
      </c>
      <c r="S1959" s="36">
        <v>0.05</v>
      </c>
      <c r="T1959" s="36">
        <v>0.1867</v>
      </c>
      <c r="U1959" s="36">
        <v>0.2236</v>
      </c>
      <c r="V1959" s="36">
        <v>0.432</v>
      </c>
      <c r="W1959" s="37" t="s">
        <v>780</v>
      </c>
      <c r="X1959" s="31">
        <v>2.5</v>
      </c>
      <c r="Y1959" s="36">
        <v>-1.3165171445640174</v>
      </c>
      <c r="Z1959" s="36">
        <v>1.1128762592625083</v>
      </c>
      <c r="AA1959" s="29" t="s">
        <v>820</v>
      </c>
      <c r="AB1959" s="31">
        <v>0.0488285906613</v>
      </c>
      <c r="AC1959" s="38">
        <v>1521.0</v>
      </c>
    </row>
    <row r="1960" ht="14.25" customHeight="1">
      <c r="A1960" s="29" t="s">
        <v>485</v>
      </c>
      <c r="B1960" s="29">
        <v>118.0</v>
      </c>
      <c r="C1960" s="29" t="s">
        <v>608</v>
      </c>
      <c r="D1960" s="29" t="s">
        <v>685</v>
      </c>
      <c r="E1960" s="29">
        <v>142.0</v>
      </c>
      <c r="F1960" s="30" t="s">
        <v>686</v>
      </c>
      <c r="G1960" s="29" t="s">
        <v>611</v>
      </c>
      <c r="H1960" s="31">
        <v>1.38</v>
      </c>
      <c r="I1960" s="29" t="s">
        <v>616</v>
      </c>
      <c r="J1960" s="32" t="s">
        <v>642</v>
      </c>
      <c r="K1960" s="29" t="s">
        <v>599</v>
      </c>
      <c r="L1960" s="29" t="s">
        <v>479</v>
      </c>
      <c r="M1960" s="33">
        <v>-53.288</v>
      </c>
      <c r="N1960" s="33">
        <v>4.646</v>
      </c>
      <c r="O1960" s="34" t="s">
        <v>601</v>
      </c>
      <c r="P1960" s="32" t="s">
        <v>602</v>
      </c>
      <c r="Q1960" s="35">
        <v>23.0</v>
      </c>
      <c r="R1960" s="35">
        <v>22.0</v>
      </c>
      <c r="S1960" s="36">
        <v>0.11</v>
      </c>
      <c r="T1960" s="36">
        <v>0.05</v>
      </c>
      <c r="U1960" s="36">
        <v>0.3317</v>
      </c>
      <c r="V1960" s="36">
        <v>0.2236</v>
      </c>
      <c r="W1960" s="37" t="s">
        <v>780</v>
      </c>
      <c r="X1960" s="31">
        <v>2.5</v>
      </c>
      <c r="Y1960" s="36">
        <v>0.7885746252775697</v>
      </c>
      <c r="Z1960" s="36">
        <v>1.304381989220266</v>
      </c>
      <c r="AA1960" s="29" t="s">
        <v>820</v>
      </c>
      <c r="AB1960" s="31">
        <v>0.0488285906613</v>
      </c>
      <c r="AC1960" s="38">
        <v>1521.0</v>
      </c>
    </row>
    <row r="1961" ht="14.25" customHeight="1">
      <c r="A1961" s="29" t="s">
        <v>485</v>
      </c>
      <c r="B1961" s="29">
        <v>118.0</v>
      </c>
      <c r="C1961" s="29" t="s">
        <v>608</v>
      </c>
      <c r="D1961" s="29" t="s">
        <v>689</v>
      </c>
      <c r="E1961" s="29">
        <v>166.0</v>
      </c>
      <c r="F1961" s="30" t="s">
        <v>690</v>
      </c>
      <c r="G1961" s="29" t="s">
        <v>611</v>
      </c>
      <c r="H1961" s="31">
        <v>0.54</v>
      </c>
      <c r="I1961" s="29" t="s">
        <v>616</v>
      </c>
      <c r="J1961" s="32" t="s">
        <v>642</v>
      </c>
      <c r="K1961" s="29" t="s">
        <v>599</v>
      </c>
      <c r="L1961" s="29" t="s">
        <v>479</v>
      </c>
      <c r="M1961" s="33">
        <v>-53.288</v>
      </c>
      <c r="N1961" s="33">
        <v>4.646</v>
      </c>
      <c r="O1961" s="34" t="s">
        <v>601</v>
      </c>
      <c r="P1961" s="32" t="s">
        <v>602</v>
      </c>
      <c r="Q1961" s="35">
        <v>23.0</v>
      </c>
      <c r="R1961" s="35">
        <v>22.0</v>
      </c>
      <c r="S1961" s="36">
        <v>0.5</v>
      </c>
      <c r="T1961" s="36">
        <v>0.32</v>
      </c>
      <c r="U1961" s="36">
        <v>0.7071</v>
      </c>
      <c r="V1961" s="36">
        <v>0.5657</v>
      </c>
      <c r="W1961" s="37" t="s">
        <v>780</v>
      </c>
      <c r="X1961" s="31">
        <v>2.5</v>
      </c>
      <c r="Y1961" s="36">
        <v>0.4464522076768814</v>
      </c>
      <c r="Z1961" s="36">
        <v>0.22900762823832754</v>
      </c>
      <c r="AA1961" s="29" t="s">
        <v>820</v>
      </c>
      <c r="AB1961" s="31">
        <v>0.0488285906613</v>
      </c>
      <c r="AC1961" s="38">
        <v>1521.0</v>
      </c>
    </row>
    <row r="1962" ht="14.25" customHeight="1">
      <c r="A1962" s="29" t="s">
        <v>485</v>
      </c>
      <c r="B1962" s="29">
        <v>118.0</v>
      </c>
      <c r="C1962" s="29" t="s">
        <v>608</v>
      </c>
      <c r="D1962" s="29" t="s">
        <v>632</v>
      </c>
      <c r="E1962" s="29">
        <v>173.0</v>
      </c>
      <c r="F1962" s="30" t="s">
        <v>633</v>
      </c>
      <c r="G1962" s="29" t="s">
        <v>611</v>
      </c>
      <c r="H1962" s="31">
        <v>2.5</v>
      </c>
      <c r="I1962" s="29" t="s">
        <v>616</v>
      </c>
      <c r="J1962" s="32" t="s">
        <v>642</v>
      </c>
      <c r="K1962" s="29" t="s">
        <v>599</v>
      </c>
      <c r="L1962" s="29" t="s">
        <v>479</v>
      </c>
      <c r="M1962" s="33">
        <v>-53.288</v>
      </c>
      <c r="N1962" s="33">
        <v>4.646</v>
      </c>
      <c r="O1962" s="34" t="s">
        <v>601</v>
      </c>
      <c r="P1962" s="32" t="s">
        <v>602</v>
      </c>
      <c r="Q1962" s="35">
        <v>23.0</v>
      </c>
      <c r="R1962" s="35">
        <v>22.0</v>
      </c>
      <c r="S1962" s="36">
        <v>0.22</v>
      </c>
      <c r="T1962" s="36">
        <v>0.7133</v>
      </c>
      <c r="U1962" s="36">
        <v>0.469</v>
      </c>
      <c r="V1962" s="36">
        <v>0.8446</v>
      </c>
      <c r="W1962" s="37" t="s">
        <v>780</v>
      </c>
      <c r="X1962" s="31">
        <v>2.5</v>
      </c>
      <c r="Y1962" s="36">
        <v>-1.1754383929308563</v>
      </c>
      <c r="Z1962" s="36">
        <v>0.2613221193591001</v>
      </c>
      <c r="AA1962" s="29" t="s">
        <v>820</v>
      </c>
      <c r="AB1962" s="31">
        <v>0.0488285906613</v>
      </c>
      <c r="AC1962" s="38">
        <v>1521.0</v>
      </c>
    </row>
    <row r="1963" ht="14.25" customHeight="1">
      <c r="A1963" s="29" t="s">
        <v>485</v>
      </c>
      <c r="B1963" s="29">
        <v>119.0</v>
      </c>
      <c r="C1963" s="29" t="s">
        <v>608</v>
      </c>
      <c r="D1963" s="29" t="s">
        <v>825</v>
      </c>
      <c r="E1963" s="29">
        <v>5.0</v>
      </c>
      <c r="F1963" s="30" t="s">
        <v>826</v>
      </c>
      <c r="G1963" s="29" t="s">
        <v>611</v>
      </c>
      <c r="H1963" s="31">
        <v>6.15</v>
      </c>
      <c r="I1963" s="29" t="s">
        <v>612</v>
      </c>
      <c r="J1963" s="32" t="s">
        <v>642</v>
      </c>
      <c r="K1963" s="29" t="s">
        <v>599</v>
      </c>
      <c r="L1963" s="29" t="s">
        <v>479</v>
      </c>
      <c r="M1963" s="33">
        <v>-52.169</v>
      </c>
      <c r="N1963" s="33">
        <v>4.533</v>
      </c>
      <c r="O1963" s="34" t="s">
        <v>641</v>
      </c>
      <c r="P1963" s="32" t="s">
        <v>602</v>
      </c>
      <c r="Q1963" s="35">
        <v>38.0</v>
      </c>
      <c r="R1963" s="35">
        <v>22.0</v>
      </c>
      <c r="S1963" s="36">
        <v>0.19</v>
      </c>
      <c r="T1963" s="36">
        <v>0.2067</v>
      </c>
      <c r="U1963" s="36">
        <v>0.4359</v>
      </c>
      <c r="V1963" s="36">
        <v>0.4546</v>
      </c>
      <c r="W1963" s="37" t="s">
        <v>780</v>
      </c>
      <c r="X1963" s="31">
        <v>2.5</v>
      </c>
      <c r="Y1963" s="36">
        <v>-0.08396375931227376</v>
      </c>
      <c r="Z1963" s="36">
        <v>0.3583751361736084</v>
      </c>
      <c r="AA1963" s="29" t="s">
        <v>820</v>
      </c>
      <c r="AB1963" s="31">
        <v>0.0802034661174</v>
      </c>
      <c r="AC1963" s="38">
        <v>1628.0</v>
      </c>
    </row>
    <row r="1964" ht="14.25" customHeight="1">
      <c r="A1964" s="29" t="s">
        <v>485</v>
      </c>
      <c r="B1964" s="29">
        <v>119.0</v>
      </c>
      <c r="C1964" s="29" t="s">
        <v>608</v>
      </c>
      <c r="D1964" s="29" t="s">
        <v>669</v>
      </c>
      <c r="E1964" s="29">
        <v>17.0</v>
      </c>
      <c r="F1964" s="30" t="s">
        <v>670</v>
      </c>
      <c r="G1964" s="29" t="s">
        <v>611</v>
      </c>
      <c r="H1964" s="31">
        <v>7.9</v>
      </c>
      <c r="I1964" s="29" t="s">
        <v>597</v>
      </c>
      <c r="J1964" s="32" t="s">
        <v>642</v>
      </c>
      <c r="K1964" s="29" t="s">
        <v>599</v>
      </c>
      <c r="L1964" s="29" t="s">
        <v>479</v>
      </c>
      <c r="M1964" s="33">
        <v>-52.169</v>
      </c>
      <c r="N1964" s="33">
        <v>4.533</v>
      </c>
      <c r="O1964" s="34" t="s">
        <v>641</v>
      </c>
      <c r="P1964" s="32" t="s">
        <v>602</v>
      </c>
      <c r="Q1964" s="35">
        <v>38.0</v>
      </c>
      <c r="R1964" s="35">
        <v>22.0</v>
      </c>
      <c r="S1964" s="36">
        <v>0.41</v>
      </c>
      <c r="T1964" s="36">
        <v>0.39</v>
      </c>
      <c r="U1964" s="36">
        <v>0.6403</v>
      </c>
      <c r="V1964" s="36">
        <v>0.6245</v>
      </c>
      <c r="W1964" s="37" t="s">
        <v>780</v>
      </c>
      <c r="X1964" s="31">
        <v>2.5</v>
      </c>
      <c r="Y1964" s="36">
        <v>0.05025580313674255</v>
      </c>
      <c r="Z1964" s="36">
        <v>0.18073255295120028</v>
      </c>
      <c r="AA1964" s="29" t="s">
        <v>820</v>
      </c>
      <c r="AB1964" s="31">
        <v>0.0802034661174</v>
      </c>
      <c r="AC1964" s="38">
        <v>1628.0</v>
      </c>
    </row>
    <row r="1965" ht="14.25" customHeight="1">
      <c r="A1965" s="29" t="s">
        <v>485</v>
      </c>
      <c r="B1965" s="29">
        <v>119.0</v>
      </c>
      <c r="C1965" s="29" t="s">
        <v>608</v>
      </c>
      <c r="D1965" s="29" t="s">
        <v>1414</v>
      </c>
      <c r="E1965" s="29">
        <v>32.0</v>
      </c>
      <c r="F1965" s="30" t="s">
        <v>1415</v>
      </c>
      <c r="G1965" s="29" t="s">
        <v>611</v>
      </c>
      <c r="H1965" s="31">
        <v>2.6</v>
      </c>
      <c r="I1965" s="29" t="s">
        <v>616</v>
      </c>
      <c r="J1965" s="32" t="s">
        <v>642</v>
      </c>
      <c r="K1965" s="29" t="s">
        <v>599</v>
      </c>
      <c r="L1965" s="29" t="s">
        <v>479</v>
      </c>
      <c r="M1965" s="33">
        <v>-52.169</v>
      </c>
      <c r="N1965" s="33">
        <v>4.533</v>
      </c>
      <c r="O1965" s="34" t="s">
        <v>641</v>
      </c>
      <c r="P1965" s="32" t="s">
        <v>602</v>
      </c>
      <c r="Q1965" s="35">
        <v>38.0</v>
      </c>
      <c r="R1965" s="35">
        <v>22.0</v>
      </c>
      <c r="S1965" s="36">
        <v>0.0</v>
      </c>
      <c r="T1965" s="36">
        <v>0.1867</v>
      </c>
      <c r="U1965" s="36">
        <v>0.0</v>
      </c>
      <c r="V1965" s="36">
        <v>0.432</v>
      </c>
      <c r="W1965" s="37" t="s">
        <v>780</v>
      </c>
      <c r="X1965" s="31">
        <v>2.5</v>
      </c>
      <c r="Y1965" s="36">
        <v>-8.262558973010657</v>
      </c>
      <c r="Z1965" s="36">
        <v>0.11004462459028931</v>
      </c>
      <c r="AA1965" s="29" t="s">
        <v>820</v>
      </c>
      <c r="AB1965" s="31">
        <v>0.0802034661174</v>
      </c>
      <c r="AC1965" s="38">
        <v>1628.0</v>
      </c>
    </row>
    <row r="1966" ht="14.25" customHeight="1">
      <c r="A1966" s="29" t="s">
        <v>485</v>
      </c>
      <c r="B1966" s="29">
        <v>119.0</v>
      </c>
      <c r="C1966" s="29" t="s">
        <v>608</v>
      </c>
      <c r="D1966" s="29" t="s">
        <v>685</v>
      </c>
      <c r="E1966" s="29">
        <v>142.0</v>
      </c>
      <c r="F1966" s="30" t="s">
        <v>686</v>
      </c>
      <c r="G1966" s="29" t="s">
        <v>611</v>
      </c>
      <c r="H1966" s="31">
        <v>1.38</v>
      </c>
      <c r="I1966" s="29" t="s">
        <v>616</v>
      </c>
      <c r="J1966" s="32" t="s">
        <v>642</v>
      </c>
      <c r="K1966" s="29" t="s">
        <v>599</v>
      </c>
      <c r="L1966" s="29" t="s">
        <v>479</v>
      </c>
      <c r="M1966" s="33">
        <v>-52.169</v>
      </c>
      <c r="N1966" s="33">
        <v>4.533</v>
      </c>
      <c r="O1966" s="34" t="s">
        <v>641</v>
      </c>
      <c r="P1966" s="32" t="s">
        <v>602</v>
      </c>
      <c r="Q1966" s="35">
        <v>38.0</v>
      </c>
      <c r="R1966" s="35">
        <v>22.0</v>
      </c>
      <c r="S1966" s="36">
        <v>0.01</v>
      </c>
      <c r="T1966" s="36">
        <v>0.05</v>
      </c>
      <c r="U1966" s="36">
        <v>0.1</v>
      </c>
      <c r="V1966" s="36">
        <v>0.2236</v>
      </c>
      <c r="W1966" s="37" t="s">
        <v>780</v>
      </c>
      <c r="X1966" s="31">
        <v>2.5</v>
      </c>
      <c r="Y1966" s="36">
        <v>-1.608148754075851</v>
      </c>
      <c r="Z1966" s="36">
        <v>3.540614583732058</v>
      </c>
      <c r="AA1966" s="29" t="s">
        <v>820</v>
      </c>
      <c r="AB1966" s="31">
        <v>0.0802034661174</v>
      </c>
      <c r="AC1966" s="38">
        <v>1628.0</v>
      </c>
    </row>
    <row r="1967" ht="14.25" customHeight="1">
      <c r="A1967" s="29" t="s">
        <v>485</v>
      </c>
      <c r="B1967" s="29">
        <v>119.0</v>
      </c>
      <c r="C1967" s="29" t="s">
        <v>608</v>
      </c>
      <c r="D1967" s="29" t="s">
        <v>689</v>
      </c>
      <c r="E1967" s="29">
        <v>166.0</v>
      </c>
      <c r="F1967" s="30" t="s">
        <v>690</v>
      </c>
      <c r="G1967" s="29" t="s">
        <v>611</v>
      </c>
      <c r="H1967" s="31">
        <v>0.54</v>
      </c>
      <c r="I1967" s="29" t="s">
        <v>616</v>
      </c>
      <c r="J1967" s="32" t="s">
        <v>642</v>
      </c>
      <c r="K1967" s="29" t="s">
        <v>599</v>
      </c>
      <c r="L1967" s="29" t="s">
        <v>479</v>
      </c>
      <c r="M1967" s="33">
        <v>-52.169</v>
      </c>
      <c r="N1967" s="33">
        <v>4.533</v>
      </c>
      <c r="O1967" s="34" t="s">
        <v>641</v>
      </c>
      <c r="P1967" s="32" t="s">
        <v>602</v>
      </c>
      <c r="Q1967" s="35">
        <v>38.0</v>
      </c>
      <c r="R1967" s="35">
        <v>22.0</v>
      </c>
      <c r="S1967" s="36">
        <v>0.38</v>
      </c>
      <c r="T1967" s="36">
        <v>0.32</v>
      </c>
      <c r="U1967" s="36">
        <v>0.6164</v>
      </c>
      <c r="V1967" s="36">
        <v>0.5657</v>
      </c>
      <c r="W1967" s="37" t="s">
        <v>780</v>
      </c>
      <c r="X1967" s="31">
        <v>2.5</v>
      </c>
      <c r="Y1967" s="36">
        <v>0.17206749474861815</v>
      </c>
      <c r="Z1967" s="36">
        <v>0.21129555024014046</v>
      </c>
      <c r="AA1967" s="29" t="s">
        <v>820</v>
      </c>
      <c r="AB1967" s="31">
        <v>0.0802034661174</v>
      </c>
      <c r="AC1967" s="38">
        <v>1628.0</v>
      </c>
    </row>
    <row r="1968" ht="14.25" customHeight="1">
      <c r="A1968" s="29" t="s">
        <v>485</v>
      </c>
      <c r="B1968" s="29">
        <v>119.0</v>
      </c>
      <c r="C1968" s="29" t="s">
        <v>608</v>
      </c>
      <c r="D1968" s="29" t="s">
        <v>632</v>
      </c>
      <c r="E1968" s="29">
        <v>173.0</v>
      </c>
      <c r="F1968" s="30" t="s">
        <v>633</v>
      </c>
      <c r="G1968" s="29" t="s">
        <v>611</v>
      </c>
      <c r="H1968" s="31">
        <v>2.5</v>
      </c>
      <c r="I1968" s="29" t="s">
        <v>616</v>
      </c>
      <c r="J1968" s="32" t="s">
        <v>642</v>
      </c>
      <c r="K1968" s="29" t="s">
        <v>599</v>
      </c>
      <c r="L1968" s="29" t="s">
        <v>479</v>
      </c>
      <c r="M1968" s="33">
        <v>-52.169</v>
      </c>
      <c r="N1968" s="33">
        <v>4.533</v>
      </c>
      <c r="O1968" s="34" t="s">
        <v>641</v>
      </c>
      <c r="P1968" s="32" t="s">
        <v>602</v>
      </c>
      <c r="Q1968" s="35">
        <v>38.0</v>
      </c>
      <c r="R1968" s="35">
        <v>22.0</v>
      </c>
      <c r="S1968" s="36">
        <v>0.7</v>
      </c>
      <c r="T1968" s="36">
        <v>0.7133</v>
      </c>
      <c r="U1968" s="36">
        <v>0.8367</v>
      </c>
      <c r="V1968" s="36">
        <v>0.8446</v>
      </c>
      <c r="W1968" s="37" t="s">
        <v>780</v>
      </c>
      <c r="X1968" s="31">
        <v>2.5</v>
      </c>
      <c r="Y1968" s="36">
        <v>-0.018558888895909162</v>
      </c>
      <c r="Z1968" s="36">
        <v>0.10132627233309868</v>
      </c>
      <c r="AA1968" s="29" t="s">
        <v>820</v>
      </c>
      <c r="AB1968" s="31">
        <v>0.0802034661174</v>
      </c>
      <c r="AC1968" s="38">
        <v>1628.0</v>
      </c>
    </row>
    <row r="1969" ht="14.25" customHeight="1">
      <c r="A1969" s="29" t="s">
        <v>485</v>
      </c>
      <c r="B1969" s="29">
        <v>120.0</v>
      </c>
      <c r="C1969" s="29" t="s">
        <v>608</v>
      </c>
      <c r="D1969" s="29" t="s">
        <v>825</v>
      </c>
      <c r="E1969" s="29">
        <v>5.0</v>
      </c>
      <c r="F1969" s="30" t="s">
        <v>826</v>
      </c>
      <c r="G1969" s="29" t="s">
        <v>611</v>
      </c>
      <c r="H1969" s="31">
        <v>6.15</v>
      </c>
      <c r="I1969" s="29" t="s">
        <v>612</v>
      </c>
      <c r="J1969" s="32" t="s">
        <v>642</v>
      </c>
      <c r="K1969" s="29" t="s">
        <v>599</v>
      </c>
      <c r="L1969" s="29" t="s">
        <v>479</v>
      </c>
      <c r="M1969" s="33">
        <v>-52.038</v>
      </c>
      <c r="N1969" s="33">
        <v>4.216</v>
      </c>
      <c r="O1969" s="34" t="s">
        <v>641</v>
      </c>
      <c r="P1969" s="32" t="s">
        <v>602</v>
      </c>
      <c r="Q1969" s="35">
        <v>20.0</v>
      </c>
      <c r="R1969" s="35">
        <v>22.0</v>
      </c>
      <c r="S1969" s="36">
        <v>0.0</v>
      </c>
      <c r="T1969" s="36">
        <v>0.2067</v>
      </c>
      <c r="U1969" s="36">
        <v>0.0</v>
      </c>
      <c r="V1969" s="36">
        <v>0.4546</v>
      </c>
      <c r="W1969" s="37" t="s">
        <v>780</v>
      </c>
      <c r="X1969" s="31">
        <v>2.5</v>
      </c>
      <c r="Y1969" s="36">
        <v>-8.262558973010657</v>
      </c>
      <c r="Z1969" s="36">
        <v>0.1329373198003444</v>
      </c>
      <c r="AA1969" s="29" t="s">
        <v>820</v>
      </c>
      <c r="AB1969" s="31">
        <v>0.0802034661174</v>
      </c>
      <c r="AC1969" s="38">
        <v>1732.0</v>
      </c>
    </row>
    <row r="1970" ht="14.25" customHeight="1">
      <c r="A1970" s="29" t="s">
        <v>485</v>
      </c>
      <c r="B1970" s="29">
        <v>120.0</v>
      </c>
      <c r="C1970" s="29" t="s">
        <v>608</v>
      </c>
      <c r="D1970" s="29" t="s">
        <v>669</v>
      </c>
      <c r="E1970" s="29">
        <v>17.0</v>
      </c>
      <c r="F1970" s="30" t="s">
        <v>670</v>
      </c>
      <c r="G1970" s="29" t="s">
        <v>611</v>
      </c>
      <c r="H1970" s="31">
        <v>7.9</v>
      </c>
      <c r="I1970" s="29" t="s">
        <v>597</v>
      </c>
      <c r="J1970" s="32" t="s">
        <v>642</v>
      </c>
      <c r="K1970" s="29" t="s">
        <v>599</v>
      </c>
      <c r="L1970" s="29" t="s">
        <v>479</v>
      </c>
      <c r="M1970" s="33">
        <v>-52.038</v>
      </c>
      <c r="N1970" s="33">
        <v>4.216</v>
      </c>
      <c r="O1970" s="34" t="s">
        <v>641</v>
      </c>
      <c r="P1970" s="32" t="s">
        <v>602</v>
      </c>
      <c r="Q1970" s="35">
        <v>20.0</v>
      </c>
      <c r="R1970" s="35">
        <v>22.0</v>
      </c>
      <c r="S1970" s="36">
        <v>0.67</v>
      </c>
      <c r="T1970" s="36">
        <v>0.39</v>
      </c>
      <c r="U1970" s="36">
        <v>0.8185</v>
      </c>
      <c r="V1970" s="36">
        <v>0.6245</v>
      </c>
      <c r="W1970" s="37" t="s">
        <v>780</v>
      </c>
      <c r="X1970" s="31">
        <v>2.5</v>
      </c>
      <c r="Y1970" s="36">
        <v>0.5412811398888018</v>
      </c>
      <c r="Z1970" s="36">
        <v>0.19117062454308412</v>
      </c>
      <c r="AA1970" s="29" t="s">
        <v>820</v>
      </c>
      <c r="AB1970" s="31">
        <v>0.0802034661174</v>
      </c>
      <c r="AC1970" s="38">
        <v>1732.0</v>
      </c>
    </row>
    <row r="1971" ht="14.25" customHeight="1">
      <c r="A1971" s="29" t="s">
        <v>485</v>
      </c>
      <c r="B1971" s="29">
        <v>120.0</v>
      </c>
      <c r="C1971" s="29" t="s">
        <v>608</v>
      </c>
      <c r="D1971" s="29" t="s">
        <v>1414</v>
      </c>
      <c r="E1971" s="29">
        <v>32.0</v>
      </c>
      <c r="F1971" s="30" t="s">
        <v>1415</v>
      </c>
      <c r="G1971" s="29" t="s">
        <v>611</v>
      </c>
      <c r="H1971" s="31">
        <v>2.6</v>
      </c>
      <c r="I1971" s="29" t="s">
        <v>616</v>
      </c>
      <c r="J1971" s="32" t="s">
        <v>642</v>
      </c>
      <c r="K1971" s="29" t="s">
        <v>599</v>
      </c>
      <c r="L1971" s="29" t="s">
        <v>479</v>
      </c>
      <c r="M1971" s="33">
        <v>-52.038</v>
      </c>
      <c r="N1971" s="33">
        <v>4.216</v>
      </c>
      <c r="O1971" s="34" t="s">
        <v>641</v>
      </c>
      <c r="P1971" s="32" t="s">
        <v>602</v>
      </c>
      <c r="Q1971" s="35">
        <v>20.0</v>
      </c>
      <c r="R1971" s="35">
        <v>22.0</v>
      </c>
      <c r="S1971" s="36">
        <v>0.06</v>
      </c>
      <c r="T1971" s="36">
        <v>0.1867</v>
      </c>
      <c r="U1971" s="36">
        <v>0.2449</v>
      </c>
      <c r="V1971" s="36">
        <v>0.432</v>
      </c>
      <c r="W1971" s="37" t="s">
        <v>780</v>
      </c>
      <c r="X1971" s="31">
        <v>2.5</v>
      </c>
      <c r="Y1971" s="36">
        <v>-1.1343560068224334</v>
      </c>
      <c r="Z1971" s="36">
        <v>1.0763640503253107</v>
      </c>
      <c r="AA1971" s="29" t="s">
        <v>820</v>
      </c>
      <c r="AB1971" s="31">
        <v>0.0802034661174</v>
      </c>
      <c r="AC1971" s="38">
        <v>1732.0</v>
      </c>
    </row>
    <row r="1972" ht="14.25" customHeight="1">
      <c r="A1972" s="29" t="s">
        <v>485</v>
      </c>
      <c r="B1972" s="29">
        <v>120.0</v>
      </c>
      <c r="C1972" s="29" t="s">
        <v>608</v>
      </c>
      <c r="D1972" s="29" t="s">
        <v>685</v>
      </c>
      <c r="E1972" s="29">
        <v>142.0</v>
      </c>
      <c r="F1972" s="30" t="s">
        <v>686</v>
      </c>
      <c r="G1972" s="29" t="s">
        <v>611</v>
      </c>
      <c r="H1972" s="31">
        <v>1.38</v>
      </c>
      <c r="I1972" s="29" t="s">
        <v>616</v>
      </c>
      <c r="J1972" s="32" t="s">
        <v>642</v>
      </c>
      <c r="K1972" s="29" t="s">
        <v>599</v>
      </c>
      <c r="L1972" s="29" t="s">
        <v>479</v>
      </c>
      <c r="M1972" s="33">
        <v>-52.038</v>
      </c>
      <c r="N1972" s="33">
        <v>4.216</v>
      </c>
      <c r="O1972" s="34" t="s">
        <v>641</v>
      </c>
      <c r="P1972" s="32" t="s">
        <v>602</v>
      </c>
      <c r="Q1972" s="35">
        <v>20.0</v>
      </c>
      <c r="R1972" s="35">
        <v>22.0</v>
      </c>
      <c r="S1972" s="36">
        <v>0.04</v>
      </c>
      <c r="T1972" s="36">
        <v>0.05</v>
      </c>
      <c r="U1972" s="36">
        <v>0.2</v>
      </c>
      <c r="V1972" s="36">
        <v>0.2236</v>
      </c>
      <c r="W1972" s="37" t="s">
        <v>780</v>
      </c>
      <c r="X1972" s="31">
        <v>2.5</v>
      </c>
      <c r="Y1972" s="36">
        <v>-0.2228211058853044</v>
      </c>
      <c r="Z1972" s="36">
        <v>2.1590356363636367</v>
      </c>
      <c r="AA1972" s="29" t="s">
        <v>820</v>
      </c>
      <c r="AB1972" s="31">
        <v>0.0802034661174</v>
      </c>
      <c r="AC1972" s="38">
        <v>1732.0</v>
      </c>
    </row>
    <row r="1973" ht="14.25" customHeight="1">
      <c r="A1973" s="29" t="s">
        <v>485</v>
      </c>
      <c r="B1973" s="29">
        <v>120.0</v>
      </c>
      <c r="C1973" s="29" t="s">
        <v>608</v>
      </c>
      <c r="D1973" s="29" t="s">
        <v>689</v>
      </c>
      <c r="E1973" s="29">
        <v>166.0</v>
      </c>
      <c r="F1973" s="30" t="s">
        <v>690</v>
      </c>
      <c r="G1973" s="29" t="s">
        <v>611</v>
      </c>
      <c r="H1973" s="31">
        <v>0.54</v>
      </c>
      <c r="I1973" s="29" t="s">
        <v>616</v>
      </c>
      <c r="J1973" s="32" t="s">
        <v>642</v>
      </c>
      <c r="K1973" s="29" t="s">
        <v>599</v>
      </c>
      <c r="L1973" s="29" t="s">
        <v>479</v>
      </c>
      <c r="M1973" s="33">
        <v>-52.038</v>
      </c>
      <c r="N1973" s="33">
        <v>4.216</v>
      </c>
      <c r="O1973" s="34" t="s">
        <v>641</v>
      </c>
      <c r="P1973" s="32" t="s">
        <v>602</v>
      </c>
      <c r="Q1973" s="35">
        <v>20.0</v>
      </c>
      <c r="R1973" s="35">
        <v>22.0</v>
      </c>
      <c r="S1973" s="36">
        <v>0.32</v>
      </c>
      <c r="T1973" s="36">
        <v>0.32</v>
      </c>
      <c r="U1973" s="36">
        <v>0.5657</v>
      </c>
      <c r="V1973" s="36">
        <v>0.5657</v>
      </c>
      <c r="W1973" s="37" t="s">
        <v>780</v>
      </c>
      <c r="X1973" s="31">
        <v>2.5</v>
      </c>
      <c r="Y1973" s="36">
        <v>2.5796466027220563E-4</v>
      </c>
      <c r="Z1973" s="36">
        <v>0.29831082608309656</v>
      </c>
      <c r="AA1973" s="29" t="s">
        <v>820</v>
      </c>
      <c r="AB1973" s="31">
        <v>0.0802034661174</v>
      </c>
      <c r="AC1973" s="38">
        <v>1732.0</v>
      </c>
    </row>
    <row r="1974" ht="14.25" customHeight="1">
      <c r="A1974" s="29" t="s">
        <v>485</v>
      </c>
      <c r="B1974" s="29">
        <v>120.0</v>
      </c>
      <c r="C1974" s="29" t="s">
        <v>608</v>
      </c>
      <c r="D1974" s="29" t="s">
        <v>632</v>
      </c>
      <c r="E1974" s="29">
        <v>173.0</v>
      </c>
      <c r="F1974" s="30" t="s">
        <v>633</v>
      </c>
      <c r="G1974" s="29" t="s">
        <v>611</v>
      </c>
      <c r="H1974" s="31">
        <v>2.5</v>
      </c>
      <c r="I1974" s="29" t="s">
        <v>616</v>
      </c>
      <c r="J1974" s="32" t="s">
        <v>642</v>
      </c>
      <c r="K1974" s="29" t="s">
        <v>599</v>
      </c>
      <c r="L1974" s="29" t="s">
        <v>479</v>
      </c>
      <c r="M1974" s="33">
        <v>-52.038</v>
      </c>
      <c r="N1974" s="33">
        <v>4.216</v>
      </c>
      <c r="O1974" s="34" t="s">
        <v>641</v>
      </c>
      <c r="P1974" s="32" t="s">
        <v>602</v>
      </c>
      <c r="Q1974" s="35">
        <v>20.0</v>
      </c>
      <c r="R1974" s="35">
        <v>22.0</v>
      </c>
      <c r="S1974" s="36">
        <v>0.7</v>
      </c>
      <c r="T1974" s="36">
        <v>0.7133</v>
      </c>
      <c r="U1974" s="36">
        <v>0.8367</v>
      </c>
      <c r="V1974" s="36">
        <v>0.8446</v>
      </c>
      <c r="W1974" s="37" t="s">
        <v>780</v>
      </c>
      <c r="X1974" s="31">
        <v>2.5</v>
      </c>
      <c r="Y1974" s="36">
        <v>-0.018558888895909162</v>
      </c>
      <c r="Z1974" s="36">
        <v>0.13516409193567658</v>
      </c>
      <c r="AA1974" s="29" t="s">
        <v>820</v>
      </c>
      <c r="AB1974" s="31">
        <v>0.0802034661174</v>
      </c>
      <c r="AC1974" s="38">
        <v>1732.0</v>
      </c>
    </row>
    <row r="1975" ht="14.25" customHeight="1">
      <c r="A1975" s="29" t="s">
        <v>485</v>
      </c>
      <c r="B1975" s="29">
        <v>121.0</v>
      </c>
      <c r="C1975" s="29" t="s">
        <v>608</v>
      </c>
      <c r="D1975" s="29" t="s">
        <v>825</v>
      </c>
      <c r="E1975" s="29">
        <v>5.0</v>
      </c>
      <c r="F1975" s="30" t="s">
        <v>826</v>
      </c>
      <c r="G1975" s="29" t="s">
        <v>611</v>
      </c>
      <c r="H1975" s="31">
        <v>6.15</v>
      </c>
      <c r="I1975" s="29" t="s">
        <v>612</v>
      </c>
      <c r="J1975" s="32" t="s">
        <v>642</v>
      </c>
      <c r="K1975" s="29" t="s">
        <v>599</v>
      </c>
      <c r="L1975" s="29" t="s">
        <v>479</v>
      </c>
      <c r="M1975" s="33">
        <v>-51.972</v>
      </c>
      <c r="N1975" s="33">
        <v>4.172</v>
      </c>
      <c r="O1975" s="34" t="s">
        <v>641</v>
      </c>
      <c r="P1975" s="32" t="s">
        <v>602</v>
      </c>
      <c r="Q1975" s="35">
        <v>20.0</v>
      </c>
      <c r="R1975" s="35">
        <v>22.0</v>
      </c>
      <c r="S1975" s="36">
        <v>0.01</v>
      </c>
      <c r="T1975" s="36">
        <v>0.2067</v>
      </c>
      <c r="U1975" s="36">
        <v>0.1</v>
      </c>
      <c r="V1975" s="36">
        <v>0.4546</v>
      </c>
      <c r="W1975" s="37" t="s">
        <v>780</v>
      </c>
      <c r="X1975" s="31">
        <v>2.5</v>
      </c>
      <c r="Y1975" s="36">
        <v>-3.023364725474702</v>
      </c>
      <c r="Z1975" s="36">
        <v>5.219864558829973</v>
      </c>
      <c r="AA1975" s="29" t="s">
        <v>820</v>
      </c>
      <c r="AB1975" s="31">
        <v>0.080203473568</v>
      </c>
      <c r="AC1975" s="38">
        <v>1948.0</v>
      </c>
    </row>
    <row r="1976" ht="14.25" customHeight="1">
      <c r="A1976" s="29" t="s">
        <v>485</v>
      </c>
      <c r="B1976" s="29">
        <v>121.0</v>
      </c>
      <c r="C1976" s="29" t="s">
        <v>608</v>
      </c>
      <c r="D1976" s="29" t="s">
        <v>669</v>
      </c>
      <c r="E1976" s="29">
        <v>17.0</v>
      </c>
      <c r="F1976" s="30" t="s">
        <v>670</v>
      </c>
      <c r="G1976" s="29" t="s">
        <v>611</v>
      </c>
      <c r="H1976" s="31">
        <v>7.9</v>
      </c>
      <c r="I1976" s="29" t="s">
        <v>597</v>
      </c>
      <c r="J1976" s="32" t="s">
        <v>642</v>
      </c>
      <c r="K1976" s="29" t="s">
        <v>599</v>
      </c>
      <c r="L1976" s="29" t="s">
        <v>479</v>
      </c>
      <c r="M1976" s="33">
        <v>-51.972</v>
      </c>
      <c r="N1976" s="33">
        <v>4.172</v>
      </c>
      <c r="O1976" s="34" t="s">
        <v>641</v>
      </c>
      <c r="P1976" s="32" t="s">
        <v>602</v>
      </c>
      <c r="Q1976" s="35">
        <v>20.0</v>
      </c>
      <c r="R1976" s="35">
        <v>22.0</v>
      </c>
      <c r="S1976" s="36">
        <v>0.3</v>
      </c>
      <c r="T1976" s="36">
        <v>0.39</v>
      </c>
      <c r="U1976" s="36">
        <v>0.5477</v>
      </c>
      <c r="V1976" s="36">
        <v>0.6245</v>
      </c>
      <c r="W1976" s="37" t="s">
        <v>780</v>
      </c>
      <c r="X1976" s="31">
        <v>2.5</v>
      </c>
      <c r="Y1976" s="36">
        <v>-0.2620289233837764</v>
      </c>
      <c r="Z1976" s="36">
        <v>0.2832031301506186</v>
      </c>
      <c r="AA1976" s="29" t="s">
        <v>820</v>
      </c>
      <c r="AB1976" s="31">
        <v>0.080203473568</v>
      </c>
      <c r="AC1976" s="38">
        <v>1948.0</v>
      </c>
    </row>
    <row r="1977" ht="14.25" customHeight="1">
      <c r="A1977" s="29" t="s">
        <v>485</v>
      </c>
      <c r="B1977" s="29">
        <v>121.0</v>
      </c>
      <c r="C1977" s="29" t="s">
        <v>608</v>
      </c>
      <c r="D1977" s="29" t="s">
        <v>1414</v>
      </c>
      <c r="E1977" s="29">
        <v>32.0</v>
      </c>
      <c r="F1977" s="30" t="s">
        <v>1415</v>
      </c>
      <c r="G1977" s="29" t="s">
        <v>611</v>
      </c>
      <c r="H1977" s="31">
        <v>2.6</v>
      </c>
      <c r="I1977" s="29" t="s">
        <v>616</v>
      </c>
      <c r="J1977" s="32" t="s">
        <v>642</v>
      </c>
      <c r="K1977" s="29" t="s">
        <v>599</v>
      </c>
      <c r="L1977" s="29" t="s">
        <v>479</v>
      </c>
      <c r="M1977" s="33">
        <v>-51.972</v>
      </c>
      <c r="N1977" s="33">
        <v>4.172</v>
      </c>
      <c r="O1977" s="34" t="s">
        <v>641</v>
      </c>
      <c r="P1977" s="32" t="s">
        <v>602</v>
      </c>
      <c r="Q1977" s="35">
        <v>20.0</v>
      </c>
      <c r="R1977" s="35">
        <v>22.0</v>
      </c>
      <c r="S1977" s="36">
        <v>0.0</v>
      </c>
      <c r="T1977" s="36">
        <v>0.1867</v>
      </c>
      <c r="U1977" s="36">
        <v>0.0</v>
      </c>
      <c r="V1977" s="36">
        <v>0.432</v>
      </c>
      <c r="W1977" s="37" t="s">
        <v>780</v>
      </c>
      <c r="X1977" s="31">
        <v>2.5</v>
      </c>
      <c r="Y1977" s="36">
        <v>-8.262558973010657</v>
      </c>
      <c r="Z1977" s="36">
        <v>0.1337288351166051</v>
      </c>
      <c r="AA1977" s="29" t="s">
        <v>820</v>
      </c>
      <c r="AB1977" s="31">
        <v>0.080203473568</v>
      </c>
      <c r="AC1977" s="38">
        <v>1948.0</v>
      </c>
    </row>
    <row r="1978" ht="14.25" customHeight="1">
      <c r="A1978" s="29" t="s">
        <v>485</v>
      </c>
      <c r="B1978" s="29">
        <v>121.0</v>
      </c>
      <c r="C1978" s="29" t="s">
        <v>608</v>
      </c>
      <c r="D1978" s="29" t="s">
        <v>685</v>
      </c>
      <c r="E1978" s="29">
        <v>142.0</v>
      </c>
      <c r="F1978" s="30" t="s">
        <v>686</v>
      </c>
      <c r="G1978" s="29" t="s">
        <v>611</v>
      </c>
      <c r="H1978" s="31">
        <v>1.38</v>
      </c>
      <c r="I1978" s="29" t="s">
        <v>616</v>
      </c>
      <c r="J1978" s="32" t="s">
        <v>642</v>
      </c>
      <c r="K1978" s="29" t="s">
        <v>599</v>
      </c>
      <c r="L1978" s="29" t="s">
        <v>479</v>
      </c>
      <c r="M1978" s="33">
        <v>-51.972</v>
      </c>
      <c r="N1978" s="33">
        <v>4.172</v>
      </c>
      <c r="O1978" s="34" t="s">
        <v>641</v>
      </c>
      <c r="P1978" s="32" t="s">
        <v>602</v>
      </c>
      <c r="Q1978" s="35">
        <v>20.0</v>
      </c>
      <c r="R1978" s="35">
        <v>22.0</v>
      </c>
      <c r="S1978" s="36">
        <v>0.01</v>
      </c>
      <c r="T1978" s="36">
        <v>0.05</v>
      </c>
      <c r="U1978" s="36">
        <v>0.1</v>
      </c>
      <c r="V1978" s="36">
        <v>0.2236</v>
      </c>
      <c r="W1978" s="37" t="s">
        <v>780</v>
      </c>
      <c r="X1978" s="31">
        <v>2.5</v>
      </c>
      <c r="Y1978" s="36">
        <v>-1.608148754075851</v>
      </c>
      <c r="Z1978" s="36">
        <v>5.909035636363637</v>
      </c>
      <c r="AA1978" s="29" t="s">
        <v>820</v>
      </c>
      <c r="AB1978" s="31">
        <v>0.080203473568</v>
      </c>
      <c r="AC1978" s="38">
        <v>1948.0</v>
      </c>
    </row>
    <row r="1979" ht="14.25" customHeight="1">
      <c r="A1979" s="29" t="s">
        <v>485</v>
      </c>
      <c r="B1979" s="29">
        <v>121.0</v>
      </c>
      <c r="C1979" s="29" t="s">
        <v>608</v>
      </c>
      <c r="D1979" s="29" t="s">
        <v>689</v>
      </c>
      <c r="E1979" s="29">
        <v>166.0</v>
      </c>
      <c r="F1979" s="30" t="s">
        <v>690</v>
      </c>
      <c r="G1979" s="29" t="s">
        <v>611</v>
      </c>
      <c r="H1979" s="31">
        <v>0.54</v>
      </c>
      <c r="I1979" s="29" t="s">
        <v>616</v>
      </c>
      <c r="J1979" s="32" t="s">
        <v>642</v>
      </c>
      <c r="K1979" s="29" t="s">
        <v>599</v>
      </c>
      <c r="L1979" s="29" t="s">
        <v>479</v>
      </c>
      <c r="M1979" s="33">
        <v>-51.972</v>
      </c>
      <c r="N1979" s="33">
        <v>4.172</v>
      </c>
      <c r="O1979" s="34" t="s">
        <v>641</v>
      </c>
      <c r="P1979" s="32" t="s">
        <v>602</v>
      </c>
      <c r="Q1979" s="35">
        <v>20.0</v>
      </c>
      <c r="R1979" s="35">
        <v>22.0</v>
      </c>
      <c r="S1979" s="36">
        <v>0.16</v>
      </c>
      <c r="T1979" s="36">
        <v>0.32</v>
      </c>
      <c r="U1979" s="36">
        <v>0.4</v>
      </c>
      <c r="V1979" s="36">
        <v>0.5657</v>
      </c>
      <c r="W1979" s="37" t="s">
        <v>780</v>
      </c>
      <c r="X1979" s="31">
        <v>2.5</v>
      </c>
      <c r="Y1979" s="36">
        <v>-0.692631317768005</v>
      </c>
      <c r="Z1979" s="36">
        <v>0.4545527743252841</v>
      </c>
      <c r="AA1979" s="29" t="s">
        <v>820</v>
      </c>
      <c r="AB1979" s="31">
        <v>0.080203473568</v>
      </c>
      <c r="AC1979" s="38">
        <v>1948.0</v>
      </c>
    </row>
    <row r="1980" ht="14.25" customHeight="1">
      <c r="A1980" s="29" t="s">
        <v>485</v>
      </c>
      <c r="B1980" s="29">
        <v>121.0</v>
      </c>
      <c r="C1980" s="29" t="s">
        <v>608</v>
      </c>
      <c r="D1980" s="29" t="s">
        <v>632</v>
      </c>
      <c r="E1980" s="29">
        <v>173.0</v>
      </c>
      <c r="F1980" s="30" t="s">
        <v>633</v>
      </c>
      <c r="G1980" s="29" t="s">
        <v>611</v>
      </c>
      <c r="H1980" s="31">
        <v>2.5</v>
      </c>
      <c r="I1980" s="29" t="s">
        <v>616</v>
      </c>
      <c r="J1980" s="32" t="s">
        <v>642</v>
      </c>
      <c r="K1980" s="29" t="s">
        <v>599</v>
      </c>
      <c r="L1980" s="29" t="s">
        <v>479</v>
      </c>
      <c r="M1980" s="33">
        <v>-51.972</v>
      </c>
      <c r="N1980" s="33">
        <v>4.172</v>
      </c>
      <c r="O1980" s="34" t="s">
        <v>641</v>
      </c>
      <c r="P1980" s="32" t="s">
        <v>602</v>
      </c>
      <c r="Q1980" s="35">
        <v>20.0</v>
      </c>
      <c r="R1980" s="35">
        <v>22.0</v>
      </c>
      <c r="S1980" s="36">
        <v>0.39</v>
      </c>
      <c r="T1980" s="36">
        <v>0.7133</v>
      </c>
      <c r="U1980" s="36">
        <v>0.6245</v>
      </c>
      <c r="V1980" s="36">
        <v>0.8446</v>
      </c>
      <c r="W1980" s="37" t="s">
        <v>780</v>
      </c>
      <c r="X1980" s="31">
        <v>2.5</v>
      </c>
      <c r="Y1980" s="36">
        <v>-0.6032835898470554</v>
      </c>
      <c r="Z1980" s="36">
        <v>0.19193390538480376</v>
      </c>
      <c r="AA1980" s="29" t="s">
        <v>820</v>
      </c>
      <c r="AB1980" s="31">
        <v>0.080203473568</v>
      </c>
      <c r="AC1980" s="38">
        <v>1948.0</v>
      </c>
    </row>
    <row r="1981" ht="14.25" customHeight="1">
      <c r="A1981" s="29" t="s">
        <v>485</v>
      </c>
      <c r="B1981" s="29">
        <v>122.0</v>
      </c>
      <c r="C1981" s="29" t="s">
        <v>608</v>
      </c>
      <c r="D1981" s="29" t="s">
        <v>825</v>
      </c>
      <c r="E1981" s="29">
        <v>5.0</v>
      </c>
      <c r="F1981" s="30" t="s">
        <v>826</v>
      </c>
      <c r="G1981" s="29" t="s">
        <v>611</v>
      </c>
      <c r="H1981" s="31">
        <v>6.15</v>
      </c>
      <c r="I1981" s="29" t="s">
        <v>612</v>
      </c>
      <c r="J1981" s="32" t="s">
        <v>642</v>
      </c>
      <c r="K1981" s="29" t="s">
        <v>599</v>
      </c>
      <c r="L1981" s="29" t="s">
        <v>479</v>
      </c>
      <c r="M1981" s="33">
        <v>-54.018</v>
      </c>
      <c r="N1981" s="33">
        <v>5.266</v>
      </c>
      <c r="O1981" s="34" t="s">
        <v>641</v>
      </c>
      <c r="P1981" s="32" t="s">
        <v>602</v>
      </c>
      <c r="Q1981" s="35">
        <v>22.0</v>
      </c>
      <c r="R1981" s="35">
        <v>22.0</v>
      </c>
      <c r="S1981" s="36">
        <v>0.0</v>
      </c>
      <c r="T1981" s="36">
        <v>0.2067</v>
      </c>
      <c r="U1981" s="36">
        <v>0.0</v>
      </c>
      <c r="V1981" s="36">
        <v>0.4546</v>
      </c>
      <c r="W1981" s="37" t="s">
        <v>780</v>
      </c>
      <c r="X1981" s="31">
        <v>2.5</v>
      </c>
      <c r="Y1981" s="36">
        <v>-8.262558973010657</v>
      </c>
      <c r="Z1981" s="36">
        <v>0.12839186525488985</v>
      </c>
      <c r="AA1981" s="29" t="s">
        <v>820</v>
      </c>
      <c r="AB1981" s="31">
        <v>0.0530008710921</v>
      </c>
      <c r="AC1981" s="38">
        <v>1088.0</v>
      </c>
    </row>
    <row r="1982" ht="14.25" customHeight="1">
      <c r="A1982" s="29" t="s">
        <v>485</v>
      </c>
      <c r="B1982" s="29">
        <v>122.0</v>
      </c>
      <c r="C1982" s="29" t="s">
        <v>608</v>
      </c>
      <c r="D1982" s="29" t="s">
        <v>669</v>
      </c>
      <c r="E1982" s="29">
        <v>17.0</v>
      </c>
      <c r="F1982" s="30" t="s">
        <v>670</v>
      </c>
      <c r="G1982" s="29" t="s">
        <v>611</v>
      </c>
      <c r="H1982" s="31">
        <v>7.9</v>
      </c>
      <c r="I1982" s="29" t="s">
        <v>597</v>
      </c>
      <c r="J1982" s="32" t="s">
        <v>642</v>
      </c>
      <c r="K1982" s="29" t="s">
        <v>599</v>
      </c>
      <c r="L1982" s="29" t="s">
        <v>479</v>
      </c>
      <c r="M1982" s="33">
        <v>-54.018</v>
      </c>
      <c r="N1982" s="33">
        <v>5.266</v>
      </c>
      <c r="O1982" s="34" t="s">
        <v>641</v>
      </c>
      <c r="P1982" s="32" t="s">
        <v>602</v>
      </c>
      <c r="Q1982" s="35">
        <v>22.0</v>
      </c>
      <c r="R1982" s="35">
        <v>22.0</v>
      </c>
      <c r="S1982" s="36">
        <v>0.14</v>
      </c>
      <c r="T1982" s="36">
        <v>0.39</v>
      </c>
      <c r="U1982" s="36">
        <v>0.3742</v>
      </c>
      <c r="V1982" s="36">
        <v>0.6245</v>
      </c>
      <c r="W1982" s="37" t="s">
        <v>780</v>
      </c>
      <c r="X1982" s="31">
        <v>2.5</v>
      </c>
      <c r="Y1982" s="36">
        <v>-1.0237858661256405</v>
      </c>
      <c r="Z1982" s="36">
        <v>0.4412849779036591</v>
      </c>
      <c r="AA1982" s="29" t="s">
        <v>820</v>
      </c>
      <c r="AB1982" s="31">
        <v>0.0530008710921</v>
      </c>
      <c r="AC1982" s="38">
        <v>1088.0</v>
      </c>
    </row>
    <row r="1983" ht="14.25" customHeight="1">
      <c r="A1983" s="29" t="s">
        <v>485</v>
      </c>
      <c r="B1983" s="29">
        <v>122.0</v>
      </c>
      <c r="C1983" s="29" t="s">
        <v>608</v>
      </c>
      <c r="D1983" s="29" t="s">
        <v>1414</v>
      </c>
      <c r="E1983" s="29">
        <v>32.0</v>
      </c>
      <c r="F1983" s="30" t="s">
        <v>1415</v>
      </c>
      <c r="G1983" s="29" t="s">
        <v>611</v>
      </c>
      <c r="H1983" s="31">
        <v>2.6</v>
      </c>
      <c r="I1983" s="29" t="s">
        <v>616</v>
      </c>
      <c r="J1983" s="32" t="s">
        <v>642</v>
      </c>
      <c r="K1983" s="29" t="s">
        <v>599</v>
      </c>
      <c r="L1983" s="29" t="s">
        <v>479</v>
      </c>
      <c r="M1983" s="33">
        <v>-54.018</v>
      </c>
      <c r="N1983" s="33">
        <v>5.266</v>
      </c>
      <c r="O1983" s="34" t="s">
        <v>641</v>
      </c>
      <c r="P1983" s="32" t="s">
        <v>602</v>
      </c>
      <c r="Q1983" s="35">
        <v>22.0</v>
      </c>
      <c r="R1983" s="35">
        <v>22.0</v>
      </c>
      <c r="S1983" s="36">
        <v>0.27</v>
      </c>
      <c r="T1983" s="36">
        <v>0.1867</v>
      </c>
      <c r="U1983" s="36">
        <v>0.5196</v>
      </c>
      <c r="V1983" s="36">
        <v>0.432</v>
      </c>
      <c r="W1983" s="37" t="s">
        <v>780</v>
      </c>
      <c r="X1983" s="31">
        <v>2.5</v>
      </c>
      <c r="Y1983" s="36">
        <v>0.36909729333418445</v>
      </c>
      <c r="Z1983" s="36">
        <v>0.4117042032433801</v>
      </c>
      <c r="AA1983" s="29" t="s">
        <v>820</v>
      </c>
      <c r="AB1983" s="31">
        <v>0.0530008710921</v>
      </c>
      <c r="AC1983" s="38">
        <v>1088.0</v>
      </c>
    </row>
    <row r="1984" ht="14.25" customHeight="1">
      <c r="A1984" s="29" t="s">
        <v>485</v>
      </c>
      <c r="B1984" s="29">
        <v>122.0</v>
      </c>
      <c r="C1984" s="29" t="s">
        <v>608</v>
      </c>
      <c r="D1984" s="29" t="s">
        <v>685</v>
      </c>
      <c r="E1984" s="29">
        <v>142.0</v>
      </c>
      <c r="F1984" s="30" t="s">
        <v>686</v>
      </c>
      <c r="G1984" s="29" t="s">
        <v>611</v>
      </c>
      <c r="H1984" s="31">
        <v>1.38</v>
      </c>
      <c r="I1984" s="29" t="s">
        <v>616</v>
      </c>
      <c r="J1984" s="32" t="s">
        <v>642</v>
      </c>
      <c r="K1984" s="29" t="s">
        <v>599</v>
      </c>
      <c r="L1984" s="29" t="s">
        <v>479</v>
      </c>
      <c r="M1984" s="33">
        <v>-54.018</v>
      </c>
      <c r="N1984" s="33">
        <v>5.266</v>
      </c>
      <c r="O1984" s="34" t="s">
        <v>641</v>
      </c>
      <c r="P1984" s="32" t="s">
        <v>602</v>
      </c>
      <c r="Q1984" s="35">
        <v>22.0</v>
      </c>
      <c r="R1984" s="35">
        <v>22.0</v>
      </c>
      <c r="S1984" s="36">
        <v>0.2</v>
      </c>
      <c r="T1984" s="36">
        <v>0.05</v>
      </c>
      <c r="U1984" s="36">
        <v>0.4472</v>
      </c>
      <c r="V1984" s="36">
        <v>0.2236</v>
      </c>
      <c r="W1984" s="37" t="s">
        <v>780</v>
      </c>
      <c r="X1984" s="31">
        <v>2.5</v>
      </c>
      <c r="Y1984" s="36">
        <v>1.3863588585238926</v>
      </c>
      <c r="Z1984" s="36">
        <v>1.1362945454545454</v>
      </c>
      <c r="AA1984" s="29" t="s">
        <v>820</v>
      </c>
      <c r="AB1984" s="31">
        <v>0.0530008710921</v>
      </c>
      <c r="AC1984" s="38">
        <v>1088.0</v>
      </c>
    </row>
    <row r="1985" ht="14.25" customHeight="1">
      <c r="A1985" s="29" t="s">
        <v>485</v>
      </c>
      <c r="B1985" s="29">
        <v>122.0</v>
      </c>
      <c r="C1985" s="29" t="s">
        <v>608</v>
      </c>
      <c r="D1985" s="29" t="s">
        <v>689</v>
      </c>
      <c r="E1985" s="29">
        <v>166.0</v>
      </c>
      <c r="F1985" s="30" t="s">
        <v>690</v>
      </c>
      <c r="G1985" s="29" t="s">
        <v>611</v>
      </c>
      <c r="H1985" s="31">
        <v>0.54</v>
      </c>
      <c r="I1985" s="29" t="s">
        <v>616</v>
      </c>
      <c r="J1985" s="32" t="s">
        <v>642</v>
      </c>
      <c r="K1985" s="29" t="s">
        <v>599</v>
      </c>
      <c r="L1985" s="29" t="s">
        <v>479</v>
      </c>
      <c r="M1985" s="33">
        <v>-54.018</v>
      </c>
      <c r="N1985" s="33">
        <v>5.266</v>
      </c>
      <c r="O1985" s="34" t="s">
        <v>641</v>
      </c>
      <c r="P1985" s="32" t="s">
        <v>602</v>
      </c>
      <c r="Q1985" s="35">
        <v>22.0</v>
      </c>
      <c r="R1985" s="35">
        <v>22.0</v>
      </c>
      <c r="S1985" s="36">
        <v>0.25</v>
      </c>
      <c r="T1985" s="36">
        <v>0.32</v>
      </c>
      <c r="U1985" s="36">
        <v>0.5</v>
      </c>
      <c r="V1985" s="36">
        <v>0.5657</v>
      </c>
      <c r="W1985" s="37" t="s">
        <v>780</v>
      </c>
      <c r="X1985" s="31">
        <v>2.5</v>
      </c>
      <c r="Y1985" s="36">
        <v>-0.24652989508977907</v>
      </c>
      <c r="Z1985" s="36">
        <v>0.3238709561434659</v>
      </c>
      <c r="AA1985" s="29" t="s">
        <v>820</v>
      </c>
      <c r="AB1985" s="31">
        <v>0.0530008710921</v>
      </c>
      <c r="AC1985" s="38">
        <v>1088.0</v>
      </c>
    </row>
    <row r="1986" ht="14.25" customHeight="1">
      <c r="A1986" s="29" t="s">
        <v>485</v>
      </c>
      <c r="B1986" s="29">
        <v>122.0</v>
      </c>
      <c r="C1986" s="29" t="s">
        <v>608</v>
      </c>
      <c r="D1986" s="29" t="s">
        <v>632</v>
      </c>
      <c r="E1986" s="29">
        <v>173.0</v>
      </c>
      <c r="F1986" s="30" t="s">
        <v>633</v>
      </c>
      <c r="G1986" s="29" t="s">
        <v>611</v>
      </c>
      <c r="H1986" s="31">
        <v>2.5</v>
      </c>
      <c r="I1986" s="29" t="s">
        <v>616</v>
      </c>
      <c r="J1986" s="32" t="s">
        <v>642</v>
      </c>
      <c r="K1986" s="29" t="s">
        <v>599</v>
      </c>
      <c r="L1986" s="29" t="s">
        <v>479</v>
      </c>
      <c r="M1986" s="33">
        <v>-54.018</v>
      </c>
      <c r="N1986" s="33">
        <v>5.266</v>
      </c>
      <c r="O1986" s="34" t="s">
        <v>641</v>
      </c>
      <c r="P1986" s="32" t="s">
        <v>602</v>
      </c>
      <c r="Q1986" s="35">
        <v>22.0</v>
      </c>
      <c r="R1986" s="35">
        <v>22.0</v>
      </c>
      <c r="S1986" s="36">
        <v>0.33</v>
      </c>
      <c r="T1986" s="36">
        <v>0.7133</v>
      </c>
      <c r="U1986" s="36">
        <v>0.5745</v>
      </c>
      <c r="V1986" s="36">
        <v>0.8446</v>
      </c>
      <c r="W1986" s="37" t="s">
        <v>780</v>
      </c>
      <c r="X1986" s="31">
        <v>2.5</v>
      </c>
      <c r="Y1986" s="36">
        <v>-0.7702519238138549</v>
      </c>
      <c r="Z1986" s="36">
        <v>0.20149071603371543</v>
      </c>
      <c r="AA1986" s="29" t="s">
        <v>820</v>
      </c>
      <c r="AB1986" s="31">
        <v>0.0530008710921</v>
      </c>
      <c r="AC1986" s="38">
        <v>1088.0</v>
      </c>
    </row>
    <row r="1987" ht="14.25" customHeight="1">
      <c r="A1987" s="29" t="s">
        <v>485</v>
      </c>
      <c r="B1987" s="29">
        <v>123.0</v>
      </c>
      <c r="C1987" s="29" t="s">
        <v>608</v>
      </c>
      <c r="D1987" s="29" t="s">
        <v>825</v>
      </c>
      <c r="E1987" s="29">
        <v>5.0</v>
      </c>
      <c r="F1987" s="30" t="s">
        <v>826</v>
      </c>
      <c r="G1987" s="29" t="s">
        <v>611</v>
      </c>
      <c r="H1987" s="31">
        <v>6.15</v>
      </c>
      <c r="I1987" s="29" t="s">
        <v>612</v>
      </c>
      <c r="J1987" s="32" t="s">
        <v>642</v>
      </c>
      <c r="K1987" s="29" t="s">
        <v>599</v>
      </c>
      <c r="L1987" s="29" t="s">
        <v>479</v>
      </c>
      <c r="M1987" s="33">
        <v>-53.255</v>
      </c>
      <c r="N1987" s="33">
        <v>5.291</v>
      </c>
      <c r="O1987" s="34" t="s">
        <v>641</v>
      </c>
      <c r="P1987" s="32" t="s">
        <v>602</v>
      </c>
      <c r="Q1987" s="35">
        <v>21.0</v>
      </c>
      <c r="R1987" s="35">
        <v>22.0</v>
      </c>
      <c r="S1987" s="36">
        <v>0.0</v>
      </c>
      <c r="T1987" s="36">
        <v>0.2067</v>
      </c>
      <c r="U1987" s="36">
        <v>0.0</v>
      </c>
      <c r="V1987" s="36">
        <v>0.4546</v>
      </c>
      <c r="W1987" s="37" t="s">
        <v>780</v>
      </c>
      <c r="X1987" s="31">
        <v>2.5</v>
      </c>
      <c r="Y1987" s="36">
        <v>-8.262558973010657</v>
      </c>
      <c r="Z1987" s="36">
        <v>0.13055636741939203</v>
      </c>
      <c r="AA1987" s="29" t="s">
        <v>820</v>
      </c>
      <c r="AB1987" s="31">
        <v>0.0</v>
      </c>
      <c r="AC1987" s="38">
        <v>1418.0</v>
      </c>
    </row>
    <row r="1988" ht="14.25" customHeight="1">
      <c r="A1988" s="29" t="s">
        <v>485</v>
      </c>
      <c r="B1988" s="29">
        <v>123.0</v>
      </c>
      <c r="C1988" s="29" t="s">
        <v>608</v>
      </c>
      <c r="D1988" s="29" t="s">
        <v>669</v>
      </c>
      <c r="E1988" s="29">
        <v>17.0</v>
      </c>
      <c r="F1988" s="30" t="s">
        <v>670</v>
      </c>
      <c r="G1988" s="29" t="s">
        <v>611</v>
      </c>
      <c r="H1988" s="31">
        <v>7.9</v>
      </c>
      <c r="I1988" s="29" t="s">
        <v>597</v>
      </c>
      <c r="J1988" s="32" t="s">
        <v>642</v>
      </c>
      <c r="K1988" s="29" t="s">
        <v>599</v>
      </c>
      <c r="L1988" s="29" t="s">
        <v>479</v>
      </c>
      <c r="M1988" s="33">
        <v>-53.255</v>
      </c>
      <c r="N1988" s="33">
        <v>5.291</v>
      </c>
      <c r="O1988" s="34" t="s">
        <v>641</v>
      </c>
      <c r="P1988" s="32" t="s">
        <v>602</v>
      </c>
      <c r="Q1988" s="35">
        <v>21.0</v>
      </c>
      <c r="R1988" s="35">
        <v>22.0</v>
      </c>
      <c r="S1988" s="36">
        <v>0.08</v>
      </c>
      <c r="T1988" s="36">
        <v>0.39</v>
      </c>
      <c r="U1988" s="36">
        <v>0.2828</v>
      </c>
      <c r="V1988" s="36">
        <v>0.6245</v>
      </c>
      <c r="W1988" s="37" t="s">
        <v>780</v>
      </c>
      <c r="X1988" s="31">
        <v>2.5</v>
      </c>
      <c r="Y1988" s="36">
        <v>-1.5828631548040206</v>
      </c>
      <c r="Z1988" s="36">
        <v>0.711608524595063</v>
      </c>
      <c r="AA1988" s="29" t="s">
        <v>820</v>
      </c>
      <c r="AB1988" s="31">
        <v>0.0</v>
      </c>
      <c r="AC1988" s="38">
        <v>1418.0</v>
      </c>
    </row>
    <row r="1989" ht="14.25" customHeight="1">
      <c r="A1989" s="29" t="s">
        <v>485</v>
      </c>
      <c r="B1989" s="29">
        <v>123.0</v>
      </c>
      <c r="C1989" s="29" t="s">
        <v>608</v>
      </c>
      <c r="D1989" s="29" t="s">
        <v>1414</v>
      </c>
      <c r="E1989" s="29">
        <v>32.0</v>
      </c>
      <c r="F1989" s="30" t="s">
        <v>1415</v>
      </c>
      <c r="G1989" s="29" t="s">
        <v>611</v>
      </c>
      <c r="H1989" s="31">
        <v>2.6</v>
      </c>
      <c r="I1989" s="29" t="s">
        <v>616</v>
      </c>
      <c r="J1989" s="32" t="s">
        <v>642</v>
      </c>
      <c r="K1989" s="29" t="s">
        <v>599</v>
      </c>
      <c r="L1989" s="29" t="s">
        <v>479</v>
      </c>
      <c r="M1989" s="33">
        <v>-53.255</v>
      </c>
      <c r="N1989" s="33">
        <v>5.291</v>
      </c>
      <c r="O1989" s="34" t="s">
        <v>641</v>
      </c>
      <c r="P1989" s="32" t="s">
        <v>602</v>
      </c>
      <c r="Q1989" s="35">
        <v>21.0</v>
      </c>
      <c r="R1989" s="35">
        <v>22.0</v>
      </c>
      <c r="S1989" s="36">
        <v>0.1</v>
      </c>
      <c r="T1989" s="36">
        <v>0.1867</v>
      </c>
      <c r="U1989" s="36">
        <v>0.3162</v>
      </c>
      <c r="V1989" s="36">
        <v>0.432</v>
      </c>
      <c r="W1989" s="37" t="s">
        <v>780</v>
      </c>
      <c r="X1989" s="31">
        <v>2.5</v>
      </c>
      <c r="Y1989" s="36">
        <v>-0.6238512983846483</v>
      </c>
      <c r="Z1989" s="36">
        <v>0.7194707685792786</v>
      </c>
      <c r="AA1989" s="29" t="s">
        <v>820</v>
      </c>
      <c r="AB1989" s="31">
        <v>0.0</v>
      </c>
      <c r="AC1989" s="38">
        <v>1418.0</v>
      </c>
    </row>
    <row r="1990" ht="14.25" customHeight="1">
      <c r="A1990" s="29" t="s">
        <v>485</v>
      </c>
      <c r="B1990" s="29">
        <v>123.0</v>
      </c>
      <c r="C1990" s="29" t="s">
        <v>608</v>
      </c>
      <c r="D1990" s="29" t="s">
        <v>685</v>
      </c>
      <c r="E1990" s="29">
        <v>142.0</v>
      </c>
      <c r="F1990" s="30" t="s">
        <v>686</v>
      </c>
      <c r="G1990" s="29" t="s">
        <v>611</v>
      </c>
      <c r="H1990" s="31">
        <v>1.38</v>
      </c>
      <c r="I1990" s="29" t="s">
        <v>616</v>
      </c>
      <c r="J1990" s="32" t="s">
        <v>642</v>
      </c>
      <c r="K1990" s="29" t="s">
        <v>599</v>
      </c>
      <c r="L1990" s="29" t="s">
        <v>479</v>
      </c>
      <c r="M1990" s="33">
        <v>-53.255</v>
      </c>
      <c r="N1990" s="33">
        <v>5.291</v>
      </c>
      <c r="O1990" s="34" t="s">
        <v>641</v>
      </c>
      <c r="P1990" s="32" t="s">
        <v>602</v>
      </c>
      <c r="Q1990" s="35">
        <v>21.0</v>
      </c>
      <c r="R1990" s="35">
        <v>22.0</v>
      </c>
      <c r="S1990" s="36">
        <v>0.12</v>
      </c>
      <c r="T1990" s="36">
        <v>0.05</v>
      </c>
      <c r="U1990" s="36">
        <v>0.3464</v>
      </c>
      <c r="V1990" s="36">
        <v>0.2236</v>
      </c>
      <c r="W1990" s="37" t="s">
        <v>780</v>
      </c>
      <c r="X1990" s="31">
        <v>2.5</v>
      </c>
      <c r="Y1990" s="36">
        <v>0.8755762307162882</v>
      </c>
      <c r="Z1990" s="36">
        <v>1.3058377527657528</v>
      </c>
      <c r="AA1990" s="29" t="s">
        <v>820</v>
      </c>
      <c r="AB1990" s="31">
        <v>0.0</v>
      </c>
      <c r="AC1990" s="38">
        <v>1418.0</v>
      </c>
    </row>
    <row r="1991" ht="14.25" customHeight="1">
      <c r="A1991" s="29" t="s">
        <v>485</v>
      </c>
      <c r="B1991" s="29">
        <v>123.0</v>
      </c>
      <c r="C1991" s="29" t="s">
        <v>608</v>
      </c>
      <c r="D1991" s="29" t="s">
        <v>689</v>
      </c>
      <c r="E1991" s="29">
        <v>166.0</v>
      </c>
      <c r="F1991" s="30" t="s">
        <v>690</v>
      </c>
      <c r="G1991" s="29" t="s">
        <v>611</v>
      </c>
      <c r="H1991" s="31">
        <v>0.54</v>
      </c>
      <c r="I1991" s="29" t="s">
        <v>616</v>
      </c>
      <c r="J1991" s="32" t="s">
        <v>642</v>
      </c>
      <c r="K1991" s="29" t="s">
        <v>599</v>
      </c>
      <c r="L1991" s="29" t="s">
        <v>479</v>
      </c>
      <c r="M1991" s="33">
        <v>-53.255</v>
      </c>
      <c r="N1991" s="33">
        <v>5.291</v>
      </c>
      <c r="O1991" s="34" t="s">
        <v>641</v>
      </c>
      <c r="P1991" s="32" t="s">
        <v>602</v>
      </c>
      <c r="Q1991" s="35">
        <v>21.0</v>
      </c>
      <c r="R1991" s="35">
        <v>22.0</v>
      </c>
      <c r="S1991" s="36">
        <v>0.28</v>
      </c>
      <c r="T1991" s="36">
        <v>0.32</v>
      </c>
      <c r="U1991" s="36">
        <v>0.5292</v>
      </c>
      <c r="V1991" s="36">
        <v>0.5657</v>
      </c>
      <c r="W1991" s="37" t="s">
        <v>780</v>
      </c>
      <c r="X1991" s="31">
        <v>2.5</v>
      </c>
      <c r="Y1991" s="36">
        <v>-0.13323658130163246</v>
      </c>
      <c r="Z1991" s="36">
        <v>0.31215277432528404</v>
      </c>
      <c r="AA1991" s="29" t="s">
        <v>820</v>
      </c>
      <c r="AB1991" s="31">
        <v>0.0</v>
      </c>
      <c r="AC1991" s="38">
        <v>1418.0</v>
      </c>
    </row>
    <row r="1992" ht="14.25" customHeight="1">
      <c r="A1992" s="29" t="s">
        <v>485</v>
      </c>
      <c r="B1992" s="29">
        <v>123.0</v>
      </c>
      <c r="C1992" s="29" t="s">
        <v>608</v>
      </c>
      <c r="D1992" s="29" t="s">
        <v>632</v>
      </c>
      <c r="E1992" s="29">
        <v>173.0</v>
      </c>
      <c r="F1992" s="30" t="s">
        <v>633</v>
      </c>
      <c r="G1992" s="29" t="s">
        <v>611</v>
      </c>
      <c r="H1992" s="31">
        <v>2.5</v>
      </c>
      <c r="I1992" s="29" t="s">
        <v>616</v>
      </c>
      <c r="J1992" s="32" t="s">
        <v>642</v>
      </c>
      <c r="K1992" s="29" t="s">
        <v>599</v>
      </c>
      <c r="L1992" s="29" t="s">
        <v>479</v>
      </c>
      <c r="M1992" s="33">
        <v>-53.255</v>
      </c>
      <c r="N1992" s="33">
        <v>5.291</v>
      </c>
      <c r="O1992" s="34" t="s">
        <v>641</v>
      </c>
      <c r="P1992" s="32" t="s">
        <v>602</v>
      </c>
      <c r="Q1992" s="35">
        <v>21.0</v>
      </c>
      <c r="R1992" s="35">
        <v>22.0</v>
      </c>
      <c r="S1992" s="36">
        <v>0.15</v>
      </c>
      <c r="T1992" s="36">
        <v>0.7133</v>
      </c>
      <c r="U1992" s="36">
        <v>0.3873</v>
      </c>
      <c r="V1992" s="36">
        <v>0.8446</v>
      </c>
      <c r="W1992" s="37" t="s">
        <v>780</v>
      </c>
      <c r="X1992" s="31">
        <v>2.5</v>
      </c>
      <c r="Y1992" s="36">
        <v>-1.55804068098799</v>
      </c>
      <c r="Z1992" s="36">
        <v>0.3811917426159486</v>
      </c>
      <c r="AA1992" s="29" t="s">
        <v>820</v>
      </c>
      <c r="AB1992" s="31">
        <v>0.0</v>
      </c>
      <c r="AC1992" s="38">
        <v>1418.0</v>
      </c>
    </row>
    <row r="1993" ht="14.25" customHeight="1">
      <c r="A1993" s="29" t="s">
        <v>485</v>
      </c>
      <c r="B1993" s="29">
        <v>124.0</v>
      </c>
      <c r="C1993" s="29" t="s">
        <v>608</v>
      </c>
      <c r="D1993" s="29" t="s">
        <v>825</v>
      </c>
      <c r="E1993" s="29">
        <v>5.0</v>
      </c>
      <c r="F1993" s="30" t="s">
        <v>826</v>
      </c>
      <c r="G1993" s="29" t="s">
        <v>611</v>
      </c>
      <c r="H1993" s="31">
        <v>6.15</v>
      </c>
      <c r="I1993" s="29" t="s">
        <v>612</v>
      </c>
      <c r="J1993" s="32" t="s">
        <v>642</v>
      </c>
      <c r="K1993" s="29" t="s">
        <v>599</v>
      </c>
      <c r="L1993" s="29" t="s">
        <v>479</v>
      </c>
      <c r="M1993" s="33">
        <v>-53.19</v>
      </c>
      <c r="N1993" s="33">
        <v>5.414</v>
      </c>
      <c r="O1993" s="34" t="s">
        <v>641</v>
      </c>
      <c r="P1993" s="32" t="s">
        <v>602</v>
      </c>
      <c r="Q1993" s="35">
        <v>21.0</v>
      </c>
      <c r="R1993" s="35">
        <v>22.0</v>
      </c>
      <c r="S1993" s="36">
        <v>0.0</v>
      </c>
      <c r="T1993" s="36">
        <v>0.2067</v>
      </c>
      <c r="U1993" s="36">
        <v>0.0</v>
      </c>
      <c r="V1993" s="36">
        <v>0.4546</v>
      </c>
      <c r="W1993" s="37" t="s">
        <v>780</v>
      </c>
      <c r="X1993" s="31">
        <v>2.5</v>
      </c>
      <c r="Y1993" s="36">
        <v>-8.262558973010657</v>
      </c>
      <c r="Z1993" s="36">
        <v>0.13055636741939203</v>
      </c>
      <c r="AA1993" s="29" t="s">
        <v>820</v>
      </c>
      <c r="AB1993" s="31">
        <v>0.0</v>
      </c>
      <c r="AC1993" s="38">
        <v>490.0</v>
      </c>
    </row>
    <row r="1994" ht="14.25" customHeight="1">
      <c r="A1994" s="29" t="s">
        <v>485</v>
      </c>
      <c r="B1994" s="29">
        <v>124.0</v>
      </c>
      <c r="C1994" s="29" t="s">
        <v>608</v>
      </c>
      <c r="D1994" s="29" t="s">
        <v>669</v>
      </c>
      <c r="E1994" s="29">
        <v>17.0</v>
      </c>
      <c r="F1994" s="30" t="s">
        <v>670</v>
      </c>
      <c r="G1994" s="29" t="s">
        <v>611</v>
      </c>
      <c r="H1994" s="31">
        <v>7.9</v>
      </c>
      <c r="I1994" s="29" t="s">
        <v>597</v>
      </c>
      <c r="J1994" s="32" t="s">
        <v>642</v>
      </c>
      <c r="K1994" s="29" t="s">
        <v>599</v>
      </c>
      <c r="L1994" s="29" t="s">
        <v>479</v>
      </c>
      <c r="M1994" s="33">
        <v>-53.19</v>
      </c>
      <c r="N1994" s="33">
        <v>5.414</v>
      </c>
      <c r="O1994" s="34" t="s">
        <v>641</v>
      </c>
      <c r="P1994" s="32" t="s">
        <v>602</v>
      </c>
      <c r="Q1994" s="35">
        <v>21.0</v>
      </c>
      <c r="R1994" s="35">
        <v>22.0</v>
      </c>
      <c r="S1994" s="36">
        <v>0.23</v>
      </c>
      <c r="T1994" s="36">
        <v>0.39</v>
      </c>
      <c r="U1994" s="36">
        <v>0.4796</v>
      </c>
      <c r="V1994" s="36">
        <v>0.6245</v>
      </c>
      <c r="W1994" s="37" t="s">
        <v>780</v>
      </c>
      <c r="X1994" s="31">
        <v>2.5</v>
      </c>
      <c r="Y1994" s="36">
        <v>-0.5276300511036092</v>
      </c>
      <c r="Z1994" s="36">
        <v>0.32360407549973497</v>
      </c>
      <c r="AA1994" s="29" t="s">
        <v>820</v>
      </c>
      <c r="AB1994" s="31">
        <v>0.0</v>
      </c>
      <c r="AC1994" s="38">
        <v>490.0</v>
      </c>
    </row>
    <row r="1995" ht="14.25" customHeight="1">
      <c r="A1995" s="29" t="s">
        <v>485</v>
      </c>
      <c r="B1995" s="29">
        <v>124.0</v>
      </c>
      <c r="C1995" s="29" t="s">
        <v>608</v>
      </c>
      <c r="D1995" s="29" t="s">
        <v>1414</v>
      </c>
      <c r="E1995" s="29">
        <v>32.0</v>
      </c>
      <c r="F1995" s="30" t="s">
        <v>1415</v>
      </c>
      <c r="G1995" s="29" t="s">
        <v>611</v>
      </c>
      <c r="H1995" s="31">
        <v>2.6</v>
      </c>
      <c r="I1995" s="29" t="s">
        <v>616</v>
      </c>
      <c r="J1995" s="32" t="s">
        <v>642</v>
      </c>
      <c r="K1995" s="29" t="s">
        <v>599</v>
      </c>
      <c r="L1995" s="29" t="s">
        <v>479</v>
      </c>
      <c r="M1995" s="33">
        <v>-53.19</v>
      </c>
      <c r="N1995" s="33">
        <v>5.414</v>
      </c>
      <c r="O1995" s="34" t="s">
        <v>641</v>
      </c>
      <c r="P1995" s="32" t="s">
        <v>602</v>
      </c>
      <c r="Q1995" s="35">
        <v>21.0</v>
      </c>
      <c r="R1995" s="35">
        <v>22.0</v>
      </c>
      <c r="S1995" s="36">
        <v>0.39</v>
      </c>
      <c r="T1995" s="36">
        <v>0.1867</v>
      </c>
      <c r="U1995" s="36">
        <v>0.6245</v>
      </c>
      <c r="V1995" s="36">
        <v>0.432</v>
      </c>
      <c r="W1995" s="37" t="s">
        <v>780</v>
      </c>
      <c r="X1995" s="31">
        <v>2.5</v>
      </c>
      <c r="Y1995" s="36">
        <v>0.7367671891922035</v>
      </c>
      <c r="Z1995" s="36">
        <v>0.36546411180585275</v>
      </c>
      <c r="AA1995" s="29" t="s">
        <v>820</v>
      </c>
      <c r="AB1995" s="31">
        <v>0.0</v>
      </c>
      <c r="AC1995" s="38">
        <v>490.0</v>
      </c>
    </row>
    <row r="1996" ht="14.25" customHeight="1">
      <c r="A1996" s="29" t="s">
        <v>485</v>
      </c>
      <c r="B1996" s="29">
        <v>124.0</v>
      </c>
      <c r="C1996" s="29" t="s">
        <v>608</v>
      </c>
      <c r="D1996" s="29" t="s">
        <v>685</v>
      </c>
      <c r="E1996" s="29">
        <v>142.0</v>
      </c>
      <c r="F1996" s="30" t="s">
        <v>686</v>
      </c>
      <c r="G1996" s="29" t="s">
        <v>611</v>
      </c>
      <c r="H1996" s="31">
        <v>1.38</v>
      </c>
      <c r="I1996" s="29" t="s">
        <v>616</v>
      </c>
      <c r="J1996" s="32" t="s">
        <v>642</v>
      </c>
      <c r="K1996" s="29" t="s">
        <v>599</v>
      </c>
      <c r="L1996" s="29" t="s">
        <v>479</v>
      </c>
      <c r="M1996" s="33">
        <v>-53.19</v>
      </c>
      <c r="N1996" s="33">
        <v>5.414</v>
      </c>
      <c r="O1996" s="34" t="s">
        <v>641</v>
      </c>
      <c r="P1996" s="32" t="s">
        <v>602</v>
      </c>
      <c r="Q1996" s="35">
        <v>21.0</v>
      </c>
      <c r="R1996" s="35">
        <v>22.0</v>
      </c>
      <c r="S1996" s="36">
        <v>0.05</v>
      </c>
      <c r="T1996" s="36">
        <v>0.05</v>
      </c>
      <c r="U1996" s="36">
        <v>0.2236</v>
      </c>
      <c r="V1996" s="36">
        <v>0.2236</v>
      </c>
      <c r="W1996" s="37" t="s">
        <v>780</v>
      </c>
      <c r="X1996" s="31">
        <v>2.5</v>
      </c>
      <c r="Y1996" s="36">
        <v>2.5796466027220563E-4</v>
      </c>
      <c r="Z1996" s="36">
        <v>1.8613586839826837</v>
      </c>
      <c r="AA1996" s="29" t="s">
        <v>820</v>
      </c>
      <c r="AB1996" s="31">
        <v>0.0</v>
      </c>
      <c r="AC1996" s="38">
        <v>490.0</v>
      </c>
    </row>
    <row r="1997" ht="14.25" customHeight="1">
      <c r="A1997" s="29" t="s">
        <v>485</v>
      </c>
      <c r="B1997" s="29">
        <v>124.0</v>
      </c>
      <c r="C1997" s="29" t="s">
        <v>608</v>
      </c>
      <c r="D1997" s="29" t="s">
        <v>689</v>
      </c>
      <c r="E1997" s="29">
        <v>166.0</v>
      </c>
      <c r="F1997" s="30" t="s">
        <v>690</v>
      </c>
      <c r="G1997" s="29" t="s">
        <v>611</v>
      </c>
      <c r="H1997" s="31">
        <v>0.54</v>
      </c>
      <c r="I1997" s="29" t="s">
        <v>616</v>
      </c>
      <c r="J1997" s="32" t="s">
        <v>642</v>
      </c>
      <c r="K1997" s="29" t="s">
        <v>599</v>
      </c>
      <c r="L1997" s="29" t="s">
        <v>479</v>
      </c>
      <c r="M1997" s="33">
        <v>-53.19</v>
      </c>
      <c r="N1997" s="33">
        <v>5.414</v>
      </c>
      <c r="O1997" s="34" t="s">
        <v>641</v>
      </c>
      <c r="P1997" s="32" t="s">
        <v>602</v>
      </c>
      <c r="Q1997" s="35">
        <v>21.0</v>
      </c>
      <c r="R1997" s="35">
        <v>22.0</v>
      </c>
      <c r="S1997" s="36">
        <v>0.32</v>
      </c>
      <c r="T1997" s="36">
        <v>0.32</v>
      </c>
      <c r="U1997" s="36">
        <v>0.5657</v>
      </c>
      <c r="V1997" s="36">
        <v>0.5657</v>
      </c>
      <c r="W1997" s="37" t="s">
        <v>780</v>
      </c>
      <c r="X1997" s="31">
        <v>2.5</v>
      </c>
      <c r="Y1997" s="36">
        <v>2.5796466027220563E-4</v>
      </c>
      <c r="Z1997" s="36">
        <v>0.29086996647558166</v>
      </c>
      <c r="AA1997" s="29" t="s">
        <v>820</v>
      </c>
      <c r="AB1997" s="31">
        <v>0.0</v>
      </c>
      <c r="AC1997" s="38">
        <v>490.0</v>
      </c>
    </row>
    <row r="1998" ht="14.25" customHeight="1">
      <c r="A1998" s="29" t="s">
        <v>485</v>
      </c>
      <c r="B1998" s="29">
        <v>124.0</v>
      </c>
      <c r="C1998" s="29" t="s">
        <v>608</v>
      </c>
      <c r="D1998" s="29" t="s">
        <v>632</v>
      </c>
      <c r="E1998" s="29">
        <v>173.0</v>
      </c>
      <c r="F1998" s="30" t="s">
        <v>633</v>
      </c>
      <c r="G1998" s="29" t="s">
        <v>611</v>
      </c>
      <c r="H1998" s="31">
        <v>2.5</v>
      </c>
      <c r="I1998" s="29" t="s">
        <v>616</v>
      </c>
      <c r="J1998" s="32" t="s">
        <v>642</v>
      </c>
      <c r="K1998" s="29" t="s">
        <v>599</v>
      </c>
      <c r="L1998" s="29" t="s">
        <v>479</v>
      </c>
      <c r="M1998" s="33">
        <v>-53.19</v>
      </c>
      <c r="N1998" s="33">
        <v>5.414</v>
      </c>
      <c r="O1998" s="34" t="s">
        <v>641</v>
      </c>
      <c r="P1998" s="32" t="s">
        <v>602</v>
      </c>
      <c r="Q1998" s="35">
        <v>21.0</v>
      </c>
      <c r="R1998" s="35">
        <v>22.0</v>
      </c>
      <c r="S1998" s="36">
        <v>0.0</v>
      </c>
      <c r="T1998" s="36">
        <v>0.7133</v>
      </c>
      <c r="U1998" s="36">
        <v>0.0</v>
      </c>
      <c r="V1998" s="36">
        <v>0.8446</v>
      </c>
      <c r="W1998" s="37" t="s">
        <v>780</v>
      </c>
      <c r="X1998" s="31">
        <v>2.5</v>
      </c>
      <c r="Y1998" s="36">
        <v>-8.262558973010657</v>
      </c>
      <c r="Z1998" s="36">
        <v>0.1034438427334013</v>
      </c>
      <c r="AA1998" s="29" t="s">
        <v>820</v>
      </c>
      <c r="AB1998" s="31">
        <v>0.0</v>
      </c>
      <c r="AC1998" s="38">
        <v>490.0</v>
      </c>
    </row>
    <row r="1999" ht="14.25" customHeight="1">
      <c r="A1999" s="29" t="s">
        <v>485</v>
      </c>
      <c r="B1999" s="29">
        <v>125.0</v>
      </c>
      <c r="C1999" s="29" t="s">
        <v>608</v>
      </c>
      <c r="D1999" s="29" t="s">
        <v>825</v>
      </c>
      <c r="E1999" s="29">
        <v>5.0</v>
      </c>
      <c r="F1999" s="30" t="s">
        <v>826</v>
      </c>
      <c r="G1999" s="29" t="s">
        <v>611</v>
      </c>
      <c r="H1999" s="31">
        <v>6.15</v>
      </c>
      <c r="I1999" s="29" t="s">
        <v>612</v>
      </c>
      <c r="J1999" s="32" t="s">
        <v>642</v>
      </c>
      <c r="K1999" s="29" t="s">
        <v>599</v>
      </c>
      <c r="L1999" s="29" t="s">
        <v>479</v>
      </c>
      <c r="M1999" s="33">
        <v>-52.555</v>
      </c>
      <c r="N1999" s="33">
        <v>4.914</v>
      </c>
      <c r="O1999" s="34" t="s">
        <v>641</v>
      </c>
      <c r="P1999" s="32" t="s">
        <v>602</v>
      </c>
      <c r="Q1999" s="35">
        <v>20.0</v>
      </c>
      <c r="R1999" s="35">
        <v>22.0</v>
      </c>
      <c r="S1999" s="36">
        <v>0.0</v>
      </c>
      <c r="T1999" s="36">
        <v>0.2067</v>
      </c>
      <c r="U1999" s="36">
        <v>0.0</v>
      </c>
      <c r="V1999" s="36">
        <v>0.4546</v>
      </c>
      <c r="W1999" s="37" t="s">
        <v>780</v>
      </c>
      <c r="X1999" s="31">
        <v>2.5</v>
      </c>
      <c r="Y1999" s="36">
        <v>-8.262558973010657</v>
      </c>
      <c r="Z1999" s="36">
        <v>0.1329373198003444</v>
      </c>
      <c r="AA1999" s="29" t="s">
        <v>820</v>
      </c>
      <c r="AB1999" s="31">
        <v>17.4358692169</v>
      </c>
      <c r="AC1999" s="38">
        <v>194.0</v>
      </c>
    </row>
    <row r="2000" ht="14.25" customHeight="1">
      <c r="A2000" s="29" t="s">
        <v>485</v>
      </c>
      <c r="B2000" s="29">
        <v>125.0</v>
      </c>
      <c r="C2000" s="29" t="s">
        <v>608</v>
      </c>
      <c r="D2000" s="29" t="s">
        <v>669</v>
      </c>
      <c r="E2000" s="29">
        <v>17.0</v>
      </c>
      <c r="F2000" s="30" t="s">
        <v>670</v>
      </c>
      <c r="G2000" s="29" t="s">
        <v>611</v>
      </c>
      <c r="H2000" s="31">
        <v>7.9</v>
      </c>
      <c r="I2000" s="29" t="s">
        <v>597</v>
      </c>
      <c r="J2000" s="32" t="s">
        <v>642</v>
      </c>
      <c r="K2000" s="29" t="s">
        <v>599</v>
      </c>
      <c r="L2000" s="29" t="s">
        <v>479</v>
      </c>
      <c r="M2000" s="33">
        <v>-52.555</v>
      </c>
      <c r="N2000" s="33">
        <v>4.914</v>
      </c>
      <c r="O2000" s="34" t="s">
        <v>641</v>
      </c>
      <c r="P2000" s="32" t="s">
        <v>602</v>
      </c>
      <c r="Q2000" s="35">
        <v>20.0</v>
      </c>
      <c r="R2000" s="35">
        <v>22.0</v>
      </c>
      <c r="S2000" s="36">
        <v>0.0</v>
      </c>
      <c r="T2000" s="36">
        <v>0.39</v>
      </c>
      <c r="U2000" s="36">
        <v>0.0</v>
      </c>
      <c r="V2000" s="36">
        <v>0.6245</v>
      </c>
      <c r="W2000" s="37" t="s">
        <v>780</v>
      </c>
      <c r="X2000" s="31">
        <v>2.5</v>
      </c>
      <c r="Y2000" s="36">
        <v>-8.262558973010657</v>
      </c>
      <c r="Z2000" s="36">
        <v>0.12256316638165522</v>
      </c>
      <c r="AA2000" s="29" t="s">
        <v>820</v>
      </c>
      <c r="AB2000" s="31">
        <v>17.4358692169</v>
      </c>
      <c r="AC2000" s="38">
        <v>194.0</v>
      </c>
    </row>
    <row r="2001" ht="14.25" customHeight="1">
      <c r="A2001" s="29" t="s">
        <v>485</v>
      </c>
      <c r="B2001" s="29">
        <v>125.0</v>
      </c>
      <c r="C2001" s="29" t="s">
        <v>608</v>
      </c>
      <c r="D2001" s="29" t="s">
        <v>1414</v>
      </c>
      <c r="E2001" s="29">
        <v>32.0</v>
      </c>
      <c r="F2001" s="30" t="s">
        <v>1415</v>
      </c>
      <c r="G2001" s="29" t="s">
        <v>611</v>
      </c>
      <c r="H2001" s="31">
        <v>2.6</v>
      </c>
      <c r="I2001" s="29" t="s">
        <v>616</v>
      </c>
      <c r="J2001" s="32" t="s">
        <v>642</v>
      </c>
      <c r="K2001" s="29" t="s">
        <v>599</v>
      </c>
      <c r="L2001" s="29" t="s">
        <v>479</v>
      </c>
      <c r="M2001" s="33">
        <v>-52.555</v>
      </c>
      <c r="N2001" s="33">
        <v>4.914</v>
      </c>
      <c r="O2001" s="34" t="s">
        <v>641</v>
      </c>
      <c r="P2001" s="32" t="s">
        <v>602</v>
      </c>
      <c r="Q2001" s="35">
        <v>20.0</v>
      </c>
      <c r="R2001" s="35">
        <v>22.0</v>
      </c>
      <c r="S2001" s="36">
        <v>0.0</v>
      </c>
      <c r="T2001" s="36">
        <v>0.1867</v>
      </c>
      <c r="U2001" s="36">
        <v>0.0</v>
      </c>
      <c r="V2001" s="36">
        <v>0.432</v>
      </c>
      <c r="W2001" s="37" t="s">
        <v>780</v>
      </c>
      <c r="X2001" s="31">
        <v>2.5</v>
      </c>
      <c r="Y2001" s="36">
        <v>-8.262558973010657</v>
      </c>
      <c r="Z2001" s="36">
        <v>0.1337288351166051</v>
      </c>
      <c r="AA2001" s="29" t="s">
        <v>820</v>
      </c>
      <c r="AB2001" s="31">
        <v>17.4358692169</v>
      </c>
      <c r="AC2001" s="38">
        <v>194.0</v>
      </c>
    </row>
    <row r="2002" ht="14.25" customHeight="1">
      <c r="A2002" s="29" t="s">
        <v>485</v>
      </c>
      <c r="B2002" s="29">
        <v>125.0</v>
      </c>
      <c r="C2002" s="29" t="s">
        <v>608</v>
      </c>
      <c r="D2002" s="29" t="s">
        <v>685</v>
      </c>
      <c r="E2002" s="29">
        <v>142.0</v>
      </c>
      <c r="F2002" s="30" t="s">
        <v>686</v>
      </c>
      <c r="G2002" s="29" t="s">
        <v>611</v>
      </c>
      <c r="H2002" s="31">
        <v>1.38</v>
      </c>
      <c r="I2002" s="29" t="s">
        <v>616</v>
      </c>
      <c r="J2002" s="32" t="s">
        <v>642</v>
      </c>
      <c r="K2002" s="29" t="s">
        <v>599</v>
      </c>
      <c r="L2002" s="29" t="s">
        <v>479</v>
      </c>
      <c r="M2002" s="33">
        <v>-52.555</v>
      </c>
      <c r="N2002" s="33">
        <v>4.914</v>
      </c>
      <c r="O2002" s="34" t="s">
        <v>641</v>
      </c>
      <c r="P2002" s="32" t="s">
        <v>602</v>
      </c>
      <c r="Q2002" s="35">
        <v>20.0</v>
      </c>
      <c r="R2002" s="35">
        <v>22.0</v>
      </c>
      <c r="S2002" s="36">
        <v>0.13</v>
      </c>
      <c r="T2002" s="36">
        <v>0.05</v>
      </c>
      <c r="U2002" s="36">
        <v>0.3606</v>
      </c>
      <c r="V2002" s="36">
        <v>0.2236</v>
      </c>
      <c r="W2002" s="37" t="s">
        <v>780</v>
      </c>
      <c r="X2002" s="31">
        <v>2.5</v>
      </c>
      <c r="Y2002" s="36">
        <v>0.955610670079859</v>
      </c>
      <c r="Z2002" s="36">
        <v>1.2937467606239912</v>
      </c>
      <c r="AA2002" s="29" t="s">
        <v>820</v>
      </c>
      <c r="AB2002" s="31">
        <v>17.4358692169</v>
      </c>
      <c r="AC2002" s="38">
        <v>194.0</v>
      </c>
    </row>
    <row r="2003" ht="14.25" customHeight="1">
      <c r="A2003" s="29" t="s">
        <v>485</v>
      </c>
      <c r="B2003" s="29">
        <v>125.0</v>
      </c>
      <c r="C2003" s="29" t="s">
        <v>608</v>
      </c>
      <c r="D2003" s="29" t="s">
        <v>689</v>
      </c>
      <c r="E2003" s="29">
        <v>166.0</v>
      </c>
      <c r="F2003" s="30" t="s">
        <v>690</v>
      </c>
      <c r="G2003" s="29" t="s">
        <v>611</v>
      </c>
      <c r="H2003" s="31">
        <v>0.54</v>
      </c>
      <c r="I2003" s="29" t="s">
        <v>616</v>
      </c>
      <c r="J2003" s="32" t="s">
        <v>642</v>
      </c>
      <c r="K2003" s="29" t="s">
        <v>599</v>
      </c>
      <c r="L2003" s="29" t="s">
        <v>479</v>
      </c>
      <c r="M2003" s="33">
        <v>-52.555</v>
      </c>
      <c r="N2003" s="33">
        <v>4.914</v>
      </c>
      <c r="O2003" s="34" t="s">
        <v>641</v>
      </c>
      <c r="P2003" s="32" t="s">
        <v>602</v>
      </c>
      <c r="Q2003" s="35">
        <v>20.0</v>
      </c>
      <c r="R2003" s="35">
        <v>22.0</v>
      </c>
      <c r="S2003" s="36">
        <v>1.0</v>
      </c>
      <c r="T2003" s="36">
        <v>0.32</v>
      </c>
      <c r="U2003" s="36">
        <v>1.0</v>
      </c>
      <c r="V2003" s="36">
        <v>0.5657</v>
      </c>
      <c r="W2003" s="37" t="s">
        <v>780</v>
      </c>
      <c r="X2003" s="31">
        <v>2.5</v>
      </c>
      <c r="Y2003" s="36">
        <v>1.1395168391200554</v>
      </c>
      <c r="Z2003" s="36">
        <v>0.19205277432528406</v>
      </c>
      <c r="AA2003" s="29" t="s">
        <v>820</v>
      </c>
      <c r="AB2003" s="31">
        <v>17.4358692169</v>
      </c>
      <c r="AC2003" s="38">
        <v>194.0</v>
      </c>
    </row>
    <row r="2004" ht="14.25" customHeight="1">
      <c r="A2004" s="29" t="s">
        <v>485</v>
      </c>
      <c r="B2004" s="29">
        <v>125.0</v>
      </c>
      <c r="C2004" s="29" t="s">
        <v>608</v>
      </c>
      <c r="D2004" s="29" t="s">
        <v>632</v>
      </c>
      <c r="E2004" s="29">
        <v>173.0</v>
      </c>
      <c r="F2004" s="30" t="s">
        <v>633</v>
      </c>
      <c r="G2004" s="29" t="s">
        <v>611</v>
      </c>
      <c r="H2004" s="31">
        <v>2.5</v>
      </c>
      <c r="I2004" s="29" t="s">
        <v>616</v>
      </c>
      <c r="J2004" s="32" t="s">
        <v>642</v>
      </c>
      <c r="K2004" s="29" t="s">
        <v>599</v>
      </c>
      <c r="L2004" s="29" t="s">
        <v>479</v>
      </c>
      <c r="M2004" s="33">
        <v>-52.555</v>
      </c>
      <c r="N2004" s="33">
        <v>4.914</v>
      </c>
      <c r="O2004" s="34" t="s">
        <v>641</v>
      </c>
      <c r="P2004" s="32" t="s">
        <v>602</v>
      </c>
      <c r="Q2004" s="35">
        <v>20.0</v>
      </c>
      <c r="R2004" s="35">
        <v>22.0</v>
      </c>
      <c r="S2004" s="36">
        <v>0.22</v>
      </c>
      <c r="T2004" s="36">
        <v>0.7133</v>
      </c>
      <c r="U2004" s="36">
        <v>0.469</v>
      </c>
      <c r="V2004" s="36">
        <v>0.8446</v>
      </c>
      <c r="W2004" s="37" t="s">
        <v>780</v>
      </c>
      <c r="X2004" s="31">
        <v>2.5</v>
      </c>
      <c r="Y2004" s="36">
        <v>-1.1754383929308563</v>
      </c>
      <c r="Z2004" s="36">
        <v>0.29096113301342996</v>
      </c>
      <c r="AA2004" s="29" t="s">
        <v>820</v>
      </c>
      <c r="AB2004" s="31">
        <v>17.4358692169</v>
      </c>
      <c r="AC2004" s="38">
        <v>194.0</v>
      </c>
    </row>
    <row r="2005" ht="14.25" customHeight="1">
      <c r="A2005" s="29" t="s">
        <v>485</v>
      </c>
      <c r="B2005" s="29">
        <v>126.0</v>
      </c>
      <c r="C2005" s="29" t="s">
        <v>608</v>
      </c>
      <c r="D2005" s="29" t="s">
        <v>825</v>
      </c>
      <c r="E2005" s="29">
        <v>5.0</v>
      </c>
      <c r="F2005" s="30" t="s">
        <v>826</v>
      </c>
      <c r="G2005" s="29" t="s">
        <v>611</v>
      </c>
      <c r="H2005" s="31">
        <v>6.15</v>
      </c>
      <c r="I2005" s="29" t="s">
        <v>612</v>
      </c>
      <c r="J2005" s="32" t="s">
        <v>642</v>
      </c>
      <c r="K2005" s="29" t="s">
        <v>599</v>
      </c>
      <c r="L2005" s="29" t="s">
        <v>479</v>
      </c>
      <c r="M2005" s="33">
        <v>-51.854</v>
      </c>
      <c r="N2005" s="33">
        <v>4.004</v>
      </c>
      <c r="O2005" s="34" t="s">
        <v>641</v>
      </c>
      <c r="P2005" s="32" t="s">
        <v>602</v>
      </c>
      <c r="Q2005" s="35">
        <v>22.0</v>
      </c>
      <c r="R2005" s="35">
        <v>22.0</v>
      </c>
      <c r="S2005" s="36">
        <v>0.0</v>
      </c>
      <c r="T2005" s="36">
        <v>0.2067</v>
      </c>
      <c r="U2005" s="36">
        <v>0.0</v>
      </c>
      <c r="V2005" s="36">
        <v>0.4546</v>
      </c>
      <c r="W2005" s="37" t="s">
        <v>780</v>
      </c>
      <c r="X2005" s="31">
        <v>2.5</v>
      </c>
      <c r="Y2005" s="36">
        <v>-8.262558973010657</v>
      </c>
      <c r="Z2005" s="36">
        <v>0.12839186525488985</v>
      </c>
      <c r="AA2005" s="29" t="s">
        <v>820</v>
      </c>
      <c r="AB2005" s="31">
        <v>0.101877704263</v>
      </c>
      <c r="AC2005" s="38">
        <v>1137.0</v>
      </c>
    </row>
    <row r="2006" ht="14.25" customHeight="1">
      <c r="A2006" s="29" t="s">
        <v>485</v>
      </c>
      <c r="B2006" s="29">
        <v>126.0</v>
      </c>
      <c r="C2006" s="29" t="s">
        <v>608</v>
      </c>
      <c r="D2006" s="29" t="s">
        <v>669</v>
      </c>
      <c r="E2006" s="29">
        <v>17.0</v>
      </c>
      <c r="F2006" s="30" t="s">
        <v>670</v>
      </c>
      <c r="G2006" s="29" t="s">
        <v>611</v>
      </c>
      <c r="H2006" s="31">
        <v>7.9</v>
      </c>
      <c r="I2006" s="29" t="s">
        <v>597</v>
      </c>
      <c r="J2006" s="32" t="s">
        <v>642</v>
      </c>
      <c r="K2006" s="29" t="s">
        <v>599</v>
      </c>
      <c r="L2006" s="29" t="s">
        <v>479</v>
      </c>
      <c r="M2006" s="33">
        <v>-51.854</v>
      </c>
      <c r="N2006" s="33">
        <v>4.004</v>
      </c>
      <c r="O2006" s="34" t="s">
        <v>641</v>
      </c>
      <c r="P2006" s="32" t="s">
        <v>602</v>
      </c>
      <c r="Q2006" s="35">
        <v>22.0</v>
      </c>
      <c r="R2006" s="35">
        <v>22.0</v>
      </c>
      <c r="S2006" s="36">
        <v>0.07</v>
      </c>
      <c r="T2006" s="36">
        <v>0.39</v>
      </c>
      <c r="U2006" s="36">
        <v>0.2646</v>
      </c>
      <c r="V2006" s="36">
        <v>0.6245</v>
      </c>
      <c r="W2006" s="37" t="s">
        <v>780</v>
      </c>
      <c r="X2006" s="31">
        <v>2.5</v>
      </c>
      <c r="Y2006" s="36">
        <v>-1.716215112097245</v>
      </c>
      <c r="Z2006" s="36">
        <v>0.7660229185344569</v>
      </c>
      <c r="AA2006" s="29" t="s">
        <v>820</v>
      </c>
      <c r="AB2006" s="31">
        <v>0.101877704263</v>
      </c>
      <c r="AC2006" s="38">
        <v>1137.0</v>
      </c>
    </row>
    <row r="2007" ht="14.25" customHeight="1">
      <c r="A2007" s="29" t="s">
        <v>485</v>
      </c>
      <c r="B2007" s="29">
        <v>126.0</v>
      </c>
      <c r="C2007" s="29" t="s">
        <v>608</v>
      </c>
      <c r="D2007" s="29" t="s">
        <v>1414</v>
      </c>
      <c r="E2007" s="29">
        <v>32.0</v>
      </c>
      <c r="F2007" s="30" t="s">
        <v>1415</v>
      </c>
      <c r="G2007" s="29" t="s">
        <v>611</v>
      </c>
      <c r="H2007" s="31">
        <v>2.6</v>
      </c>
      <c r="I2007" s="29" t="s">
        <v>616</v>
      </c>
      <c r="J2007" s="32" t="s">
        <v>642</v>
      </c>
      <c r="K2007" s="29" t="s">
        <v>599</v>
      </c>
      <c r="L2007" s="29" t="s">
        <v>479</v>
      </c>
      <c r="M2007" s="33">
        <v>-51.854</v>
      </c>
      <c r="N2007" s="33">
        <v>4.004</v>
      </c>
      <c r="O2007" s="34" t="s">
        <v>641</v>
      </c>
      <c r="P2007" s="32" t="s">
        <v>602</v>
      </c>
      <c r="Q2007" s="35">
        <v>22.0</v>
      </c>
      <c r="R2007" s="35">
        <v>22.0</v>
      </c>
      <c r="S2007" s="36">
        <v>0.0</v>
      </c>
      <c r="T2007" s="36">
        <v>0.1867</v>
      </c>
      <c r="U2007" s="36">
        <v>0.0</v>
      </c>
      <c r="V2007" s="36">
        <v>0.432</v>
      </c>
      <c r="W2007" s="37" t="s">
        <v>780</v>
      </c>
      <c r="X2007" s="31">
        <v>2.5</v>
      </c>
      <c r="Y2007" s="36">
        <v>-8.262558973010657</v>
      </c>
      <c r="Z2007" s="36">
        <v>0.12918338057115056</v>
      </c>
      <c r="AA2007" s="29" t="s">
        <v>820</v>
      </c>
      <c r="AB2007" s="31">
        <v>0.101877704263</v>
      </c>
      <c r="AC2007" s="38">
        <v>1137.0</v>
      </c>
    </row>
    <row r="2008" ht="14.25" customHeight="1">
      <c r="A2008" s="29" t="s">
        <v>485</v>
      </c>
      <c r="B2008" s="29">
        <v>126.0</v>
      </c>
      <c r="C2008" s="29" t="s">
        <v>608</v>
      </c>
      <c r="D2008" s="29" t="s">
        <v>685</v>
      </c>
      <c r="E2008" s="29">
        <v>142.0</v>
      </c>
      <c r="F2008" s="30" t="s">
        <v>686</v>
      </c>
      <c r="G2008" s="29" t="s">
        <v>611</v>
      </c>
      <c r="H2008" s="31">
        <v>1.38</v>
      </c>
      <c r="I2008" s="29" t="s">
        <v>616</v>
      </c>
      <c r="J2008" s="32" t="s">
        <v>642</v>
      </c>
      <c r="K2008" s="29" t="s">
        <v>599</v>
      </c>
      <c r="L2008" s="29" t="s">
        <v>479</v>
      </c>
      <c r="M2008" s="33">
        <v>-51.854</v>
      </c>
      <c r="N2008" s="33">
        <v>4.004</v>
      </c>
      <c r="O2008" s="34" t="s">
        <v>641</v>
      </c>
      <c r="P2008" s="32" t="s">
        <v>602</v>
      </c>
      <c r="Q2008" s="35">
        <v>22.0</v>
      </c>
      <c r="R2008" s="35">
        <v>22.0</v>
      </c>
      <c r="S2008" s="36">
        <v>0.04</v>
      </c>
      <c r="T2008" s="36">
        <v>0.05</v>
      </c>
      <c r="U2008" s="36">
        <v>0.2</v>
      </c>
      <c r="V2008" s="36">
        <v>0.2236</v>
      </c>
      <c r="W2008" s="37" t="s">
        <v>780</v>
      </c>
      <c r="X2008" s="31">
        <v>2.5</v>
      </c>
      <c r="Y2008" s="36">
        <v>-0.2228211058853044</v>
      </c>
      <c r="Z2008" s="36">
        <v>2.0453992727272725</v>
      </c>
      <c r="AA2008" s="29" t="s">
        <v>820</v>
      </c>
      <c r="AB2008" s="31">
        <v>0.101877704263</v>
      </c>
      <c r="AC2008" s="38">
        <v>1137.0</v>
      </c>
    </row>
    <row r="2009" ht="14.25" customHeight="1">
      <c r="A2009" s="29" t="s">
        <v>485</v>
      </c>
      <c r="B2009" s="29">
        <v>126.0</v>
      </c>
      <c r="C2009" s="29" t="s">
        <v>608</v>
      </c>
      <c r="D2009" s="29" t="s">
        <v>689</v>
      </c>
      <c r="E2009" s="29">
        <v>166.0</v>
      </c>
      <c r="F2009" s="30" t="s">
        <v>690</v>
      </c>
      <c r="G2009" s="29" t="s">
        <v>611</v>
      </c>
      <c r="H2009" s="31">
        <v>0.54</v>
      </c>
      <c r="I2009" s="29" t="s">
        <v>616</v>
      </c>
      <c r="J2009" s="32" t="s">
        <v>642</v>
      </c>
      <c r="K2009" s="29" t="s">
        <v>599</v>
      </c>
      <c r="L2009" s="29" t="s">
        <v>479</v>
      </c>
      <c r="M2009" s="33">
        <v>-51.854</v>
      </c>
      <c r="N2009" s="33">
        <v>4.004</v>
      </c>
      <c r="O2009" s="34" t="s">
        <v>641</v>
      </c>
      <c r="P2009" s="32" t="s">
        <v>602</v>
      </c>
      <c r="Q2009" s="35">
        <v>22.0</v>
      </c>
      <c r="R2009" s="35">
        <v>22.0</v>
      </c>
      <c r="S2009" s="36">
        <v>2.0</v>
      </c>
      <c r="T2009" s="36">
        <v>0.32</v>
      </c>
      <c r="U2009" s="36">
        <v>1.4142</v>
      </c>
      <c r="V2009" s="36">
        <v>0.5657</v>
      </c>
      <c r="W2009" s="37" t="s">
        <v>780</v>
      </c>
      <c r="X2009" s="31">
        <v>2.5</v>
      </c>
      <c r="Y2009" s="36">
        <v>1.8326227425660908</v>
      </c>
      <c r="Z2009" s="36">
        <v>0.1647796111434659</v>
      </c>
      <c r="AA2009" s="29" t="s">
        <v>820</v>
      </c>
      <c r="AB2009" s="31">
        <v>0.101877704263</v>
      </c>
      <c r="AC2009" s="38">
        <v>1137.0</v>
      </c>
    </row>
    <row r="2010" ht="14.25" customHeight="1">
      <c r="A2010" s="29" t="s">
        <v>485</v>
      </c>
      <c r="B2010" s="29">
        <v>126.0</v>
      </c>
      <c r="C2010" s="29" t="s">
        <v>608</v>
      </c>
      <c r="D2010" s="29" t="s">
        <v>632</v>
      </c>
      <c r="E2010" s="29">
        <v>173.0</v>
      </c>
      <c r="F2010" s="30" t="s">
        <v>633</v>
      </c>
      <c r="G2010" s="29" t="s">
        <v>611</v>
      </c>
      <c r="H2010" s="31">
        <v>2.5</v>
      </c>
      <c r="I2010" s="29" t="s">
        <v>616</v>
      </c>
      <c r="J2010" s="32" t="s">
        <v>642</v>
      </c>
      <c r="K2010" s="29" t="s">
        <v>599</v>
      </c>
      <c r="L2010" s="29" t="s">
        <v>479</v>
      </c>
      <c r="M2010" s="33">
        <v>-51.854</v>
      </c>
      <c r="N2010" s="33">
        <v>4.004</v>
      </c>
      <c r="O2010" s="34" t="s">
        <v>641</v>
      </c>
      <c r="P2010" s="32" t="s">
        <v>602</v>
      </c>
      <c r="Q2010" s="35">
        <v>22.0</v>
      </c>
      <c r="R2010" s="35">
        <v>22.0</v>
      </c>
      <c r="S2010" s="36">
        <v>0.2</v>
      </c>
      <c r="T2010" s="36">
        <v>0.7133</v>
      </c>
      <c r="U2010" s="36">
        <v>0.4472</v>
      </c>
      <c r="V2010" s="36">
        <v>0.8446</v>
      </c>
      <c r="W2010" s="37" t="s">
        <v>780</v>
      </c>
      <c r="X2010" s="31">
        <v>2.5</v>
      </c>
      <c r="Y2010" s="36">
        <v>-1.2706649961753216</v>
      </c>
      <c r="Z2010" s="36">
        <v>0.2909876040878101</v>
      </c>
      <c r="AA2010" s="29" t="s">
        <v>820</v>
      </c>
      <c r="AB2010" s="31">
        <v>0.101877704263</v>
      </c>
      <c r="AC2010" s="38">
        <v>1137.0</v>
      </c>
    </row>
    <row r="2011" ht="14.25" customHeight="1">
      <c r="A2011" s="29" t="s">
        <v>485</v>
      </c>
      <c r="B2011" s="29">
        <v>127.0</v>
      </c>
      <c r="C2011" s="29" t="s">
        <v>608</v>
      </c>
      <c r="D2011" s="29" t="s">
        <v>825</v>
      </c>
      <c r="E2011" s="29">
        <v>5.0</v>
      </c>
      <c r="F2011" s="30" t="s">
        <v>826</v>
      </c>
      <c r="G2011" s="29" t="s">
        <v>611</v>
      </c>
      <c r="H2011" s="31">
        <v>6.15</v>
      </c>
      <c r="I2011" s="29" t="s">
        <v>612</v>
      </c>
      <c r="J2011" s="32" t="s">
        <v>642</v>
      </c>
      <c r="K2011" s="29" t="s">
        <v>599</v>
      </c>
      <c r="L2011" s="29" t="s">
        <v>479</v>
      </c>
      <c r="M2011" s="33">
        <v>-51.854</v>
      </c>
      <c r="N2011" s="33">
        <v>4.004</v>
      </c>
      <c r="O2011" s="34" t="s">
        <v>641</v>
      </c>
      <c r="P2011" s="32" t="s">
        <v>602</v>
      </c>
      <c r="Q2011" s="35">
        <v>22.0</v>
      </c>
      <c r="R2011" s="35">
        <v>22.0</v>
      </c>
      <c r="S2011" s="36">
        <v>0.0</v>
      </c>
      <c r="T2011" s="36">
        <v>0.2067</v>
      </c>
      <c r="U2011" s="36">
        <v>0.0</v>
      </c>
      <c r="V2011" s="36">
        <v>0.4546</v>
      </c>
      <c r="W2011" s="37" t="s">
        <v>780</v>
      </c>
      <c r="X2011" s="31">
        <v>2.5</v>
      </c>
      <c r="Y2011" s="36">
        <v>-8.262558973010657</v>
      </c>
      <c r="Z2011" s="36">
        <v>0.12839186525488985</v>
      </c>
      <c r="AA2011" s="29" t="s">
        <v>820</v>
      </c>
      <c r="AB2011" s="31">
        <v>0.101877704263</v>
      </c>
      <c r="AC2011" s="38">
        <v>1137.0</v>
      </c>
    </row>
    <row r="2012" ht="14.25" customHeight="1">
      <c r="A2012" s="29" t="s">
        <v>485</v>
      </c>
      <c r="B2012" s="29">
        <v>127.0</v>
      </c>
      <c r="C2012" s="29" t="s">
        <v>608</v>
      </c>
      <c r="D2012" s="29" t="s">
        <v>669</v>
      </c>
      <c r="E2012" s="29">
        <v>17.0</v>
      </c>
      <c r="F2012" s="30" t="s">
        <v>670</v>
      </c>
      <c r="G2012" s="29" t="s">
        <v>611</v>
      </c>
      <c r="H2012" s="31">
        <v>7.9</v>
      </c>
      <c r="I2012" s="29" t="s">
        <v>597</v>
      </c>
      <c r="J2012" s="32" t="s">
        <v>642</v>
      </c>
      <c r="K2012" s="29" t="s">
        <v>599</v>
      </c>
      <c r="L2012" s="29" t="s">
        <v>479</v>
      </c>
      <c r="M2012" s="33">
        <v>-52.833</v>
      </c>
      <c r="N2012" s="33">
        <v>5.148</v>
      </c>
      <c r="O2012" s="34" t="s">
        <v>641</v>
      </c>
      <c r="P2012" s="32" t="s">
        <v>602</v>
      </c>
      <c r="Q2012" s="35">
        <v>23.0</v>
      </c>
      <c r="R2012" s="35">
        <v>22.0</v>
      </c>
      <c r="S2012" s="36">
        <v>0.07</v>
      </c>
      <c r="T2012" s="36">
        <v>0.39</v>
      </c>
      <c r="U2012" s="36">
        <v>0.2646</v>
      </c>
      <c r="V2012" s="36">
        <v>0.6245</v>
      </c>
      <c r="W2012" s="37" t="s">
        <v>780</v>
      </c>
      <c r="X2012" s="31">
        <v>2.5</v>
      </c>
      <c r="Y2012" s="36">
        <v>-1.716215112097245</v>
      </c>
      <c r="Z2012" s="36">
        <v>0.7377849738704253</v>
      </c>
      <c r="AA2012" s="29" t="s">
        <v>820</v>
      </c>
      <c r="AB2012" s="31">
        <v>16.7610397339</v>
      </c>
      <c r="AC2012" s="38">
        <v>662.0</v>
      </c>
    </row>
    <row r="2013" ht="14.25" customHeight="1">
      <c r="A2013" s="29" t="s">
        <v>485</v>
      </c>
      <c r="B2013" s="29">
        <v>127.0</v>
      </c>
      <c r="C2013" s="29" t="s">
        <v>608</v>
      </c>
      <c r="D2013" s="29" t="s">
        <v>1414</v>
      </c>
      <c r="E2013" s="29">
        <v>32.0</v>
      </c>
      <c r="F2013" s="30" t="s">
        <v>1415</v>
      </c>
      <c r="G2013" s="29" t="s">
        <v>611</v>
      </c>
      <c r="H2013" s="31">
        <v>2.6</v>
      </c>
      <c r="I2013" s="29" t="s">
        <v>616</v>
      </c>
      <c r="J2013" s="32" t="s">
        <v>642</v>
      </c>
      <c r="K2013" s="29" t="s">
        <v>599</v>
      </c>
      <c r="L2013" s="29" t="s">
        <v>479</v>
      </c>
      <c r="M2013" s="33">
        <v>-52.833</v>
      </c>
      <c r="N2013" s="33">
        <v>5.148</v>
      </c>
      <c r="O2013" s="34" t="s">
        <v>641</v>
      </c>
      <c r="P2013" s="32" t="s">
        <v>602</v>
      </c>
      <c r="Q2013" s="35">
        <v>23.0</v>
      </c>
      <c r="R2013" s="35">
        <v>22.0</v>
      </c>
      <c r="S2013" s="36">
        <v>0.0</v>
      </c>
      <c r="T2013" s="36">
        <v>0.1867</v>
      </c>
      <c r="U2013" s="36">
        <v>0.0</v>
      </c>
      <c r="V2013" s="36">
        <v>0.432</v>
      </c>
      <c r="W2013" s="37" t="s">
        <v>780</v>
      </c>
      <c r="X2013" s="31">
        <v>2.5</v>
      </c>
      <c r="Y2013" s="36">
        <v>-8.262558973010657</v>
      </c>
      <c r="Z2013" s="36">
        <v>0.1272070959861703</v>
      </c>
      <c r="AA2013" s="29" t="s">
        <v>820</v>
      </c>
      <c r="AB2013" s="31">
        <v>16.7610397339</v>
      </c>
      <c r="AC2013" s="38">
        <v>662.0</v>
      </c>
    </row>
    <row r="2014" ht="14.25" customHeight="1">
      <c r="A2014" s="29" t="s">
        <v>485</v>
      </c>
      <c r="B2014" s="29">
        <v>127.0</v>
      </c>
      <c r="C2014" s="29" t="s">
        <v>608</v>
      </c>
      <c r="D2014" s="29" t="s">
        <v>685</v>
      </c>
      <c r="E2014" s="29">
        <v>142.0</v>
      </c>
      <c r="F2014" s="30" t="s">
        <v>686</v>
      </c>
      <c r="G2014" s="29" t="s">
        <v>611</v>
      </c>
      <c r="H2014" s="31">
        <v>1.38</v>
      </c>
      <c r="I2014" s="29" t="s">
        <v>616</v>
      </c>
      <c r="J2014" s="32" t="s">
        <v>642</v>
      </c>
      <c r="K2014" s="29" t="s">
        <v>599</v>
      </c>
      <c r="L2014" s="29" t="s">
        <v>479</v>
      </c>
      <c r="M2014" s="33">
        <v>-52.833</v>
      </c>
      <c r="N2014" s="33">
        <v>5.148</v>
      </c>
      <c r="O2014" s="34" t="s">
        <v>641</v>
      </c>
      <c r="P2014" s="32" t="s">
        <v>602</v>
      </c>
      <c r="Q2014" s="35">
        <v>23.0</v>
      </c>
      <c r="R2014" s="35">
        <v>22.0</v>
      </c>
      <c r="S2014" s="36">
        <v>0.04</v>
      </c>
      <c r="T2014" s="36">
        <v>0.05</v>
      </c>
      <c r="U2014" s="36">
        <v>0.2</v>
      </c>
      <c r="V2014" s="36">
        <v>0.2236</v>
      </c>
      <c r="W2014" s="37" t="s">
        <v>780</v>
      </c>
      <c r="X2014" s="31">
        <v>2.5</v>
      </c>
      <c r="Y2014" s="36">
        <v>-0.2228211058853044</v>
      </c>
      <c r="Z2014" s="36">
        <v>1.9959921581027669</v>
      </c>
      <c r="AA2014" s="29" t="s">
        <v>820</v>
      </c>
      <c r="AB2014" s="31">
        <v>16.7610397339</v>
      </c>
      <c r="AC2014" s="38">
        <v>662.0</v>
      </c>
    </row>
    <row r="2015" ht="14.25" customHeight="1">
      <c r="A2015" s="29" t="s">
        <v>485</v>
      </c>
      <c r="B2015" s="29">
        <v>127.0</v>
      </c>
      <c r="C2015" s="29" t="s">
        <v>608</v>
      </c>
      <c r="D2015" s="29" t="s">
        <v>689</v>
      </c>
      <c r="E2015" s="29">
        <v>166.0</v>
      </c>
      <c r="F2015" s="30" t="s">
        <v>690</v>
      </c>
      <c r="G2015" s="29" t="s">
        <v>611</v>
      </c>
      <c r="H2015" s="31">
        <v>0.54</v>
      </c>
      <c r="I2015" s="29" t="s">
        <v>616</v>
      </c>
      <c r="J2015" s="32" t="s">
        <v>642</v>
      </c>
      <c r="K2015" s="29" t="s">
        <v>599</v>
      </c>
      <c r="L2015" s="29" t="s">
        <v>479</v>
      </c>
      <c r="M2015" s="33">
        <v>-52.833</v>
      </c>
      <c r="N2015" s="33">
        <v>5.148</v>
      </c>
      <c r="O2015" s="34" t="s">
        <v>641</v>
      </c>
      <c r="P2015" s="32" t="s">
        <v>602</v>
      </c>
      <c r="Q2015" s="35">
        <v>23.0</v>
      </c>
      <c r="R2015" s="35">
        <v>22.0</v>
      </c>
      <c r="S2015" s="36">
        <v>0.28</v>
      </c>
      <c r="T2015" s="36">
        <v>0.32</v>
      </c>
      <c r="U2015" s="36">
        <v>0.5292</v>
      </c>
      <c r="V2015" s="36">
        <v>0.5657</v>
      </c>
      <c r="W2015" s="37" t="s">
        <v>780</v>
      </c>
      <c r="X2015" s="31">
        <v>2.5</v>
      </c>
      <c r="Y2015" s="36">
        <v>-0.13323658130163246</v>
      </c>
      <c r="Z2015" s="36">
        <v>0.29736146997745794</v>
      </c>
      <c r="AA2015" s="29" t="s">
        <v>820</v>
      </c>
      <c r="AB2015" s="31">
        <v>16.7610397339</v>
      </c>
      <c r="AC2015" s="38">
        <v>662.0</v>
      </c>
    </row>
    <row r="2016" ht="14.25" customHeight="1">
      <c r="A2016" s="29" t="s">
        <v>485</v>
      </c>
      <c r="B2016" s="29">
        <v>127.0</v>
      </c>
      <c r="C2016" s="29" t="s">
        <v>608</v>
      </c>
      <c r="D2016" s="29" t="s">
        <v>632</v>
      </c>
      <c r="E2016" s="29">
        <v>173.0</v>
      </c>
      <c r="F2016" s="30" t="s">
        <v>633</v>
      </c>
      <c r="G2016" s="29" t="s">
        <v>611</v>
      </c>
      <c r="H2016" s="31">
        <v>2.5</v>
      </c>
      <c r="I2016" s="29" t="s">
        <v>616</v>
      </c>
      <c r="J2016" s="32" t="s">
        <v>642</v>
      </c>
      <c r="K2016" s="29" t="s">
        <v>599</v>
      </c>
      <c r="L2016" s="29" t="s">
        <v>479</v>
      </c>
      <c r="M2016" s="33">
        <v>-52.833</v>
      </c>
      <c r="N2016" s="33">
        <v>5.148</v>
      </c>
      <c r="O2016" s="34" t="s">
        <v>641</v>
      </c>
      <c r="P2016" s="32" t="s">
        <v>602</v>
      </c>
      <c r="Q2016" s="35">
        <v>23.0</v>
      </c>
      <c r="R2016" s="35">
        <v>22.0</v>
      </c>
      <c r="S2016" s="36">
        <v>0.51</v>
      </c>
      <c r="T2016" s="36">
        <v>0.7133</v>
      </c>
      <c r="U2016" s="36">
        <v>0.7141</v>
      </c>
      <c r="V2016" s="36">
        <v>0.8446</v>
      </c>
      <c r="W2016" s="37" t="s">
        <v>780</v>
      </c>
      <c r="X2016" s="31">
        <v>2.5</v>
      </c>
      <c r="Y2016" s="36">
        <v>-0.3351305856581884</v>
      </c>
      <c r="Z2016" s="36">
        <v>0.14896995839057905</v>
      </c>
      <c r="AA2016" s="29" t="s">
        <v>820</v>
      </c>
      <c r="AB2016" s="31">
        <v>16.7610397339</v>
      </c>
      <c r="AC2016" s="38">
        <v>662.0</v>
      </c>
    </row>
    <row r="2017" ht="14.25" customHeight="1">
      <c r="A2017" s="29" t="s">
        <v>485</v>
      </c>
      <c r="B2017" s="29">
        <v>128.0</v>
      </c>
      <c r="C2017" s="29" t="s">
        <v>608</v>
      </c>
      <c r="D2017" s="29" t="s">
        <v>825</v>
      </c>
      <c r="E2017" s="29">
        <v>5.0</v>
      </c>
      <c r="F2017" s="30" t="s">
        <v>826</v>
      </c>
      <c r="G2017" s="29" t="s">
        <v>611</v>
      </c>
      <c r="H2017" s="31">
        <v>6.15</v>
      </c>
      <c r="I2017" s="29" t="s">
        <v>612</v>
      </c>
      <c r="J2017" s="32" t="s">
        <v>642</v>
      </c>
      <c r="K2017" s="29" t="s">
        <v>599</v>
      </c>
      <c r="L2017" s="29" t="s">
        <v>479</v>
      </c>
      <c r="M2017" s="33">
        <v>-52.6</v>
      </c>
      <c r="N2017" s="33">
        <v>5.049</v>
      </c>
      <c r="O2017" s="34" t="s">
        <v>641</v>
      </c>
      <c r="P2017" s="32" t="s">
        <v>602</v>
      </c>
      <c r="Q2017" s="35">
        <v>22.0</v>
      </c>
      <c r="R2017" s="35">
        <v>22.0</v>
      </c>
      <c r="S2017" s="36">
        <v>0.0</v>
      </c>
      <c r="T2017" s="36">
        <v>0.2067</v>
      </c>
      <c r="U2017" s="36">
        <v>0.0</v>
      </c>
      <c r="V2017" s="36">
        <v>0.4546</v>
      </c>
      <c r="W2017" s="37" t="s">
        <v>780</v>
      </c>
      <c r="X2017" s="31">
        <v>2.5</v>
      </c>
      <c r="Y2017" s="36">
        <v>-8.262558973010657</v>
      </c>
      <c r="Z2017" s="36">
        <v>0.12839186525488985</v>
      </c>
      <c r="AA2017" s="29" t="s">
        <v>820</v>
      </c>
      <c r="AB2017" s="31">
        <v>17.4358692169</v>
      </c>
      <c r="AC2017" s="38">
        <v>235.0</v>
      </c>
    </row>
    <row r="2018" ht="14.25" customHeight="1">
      <c r="A2018" s="29" t="s">
        <v>485</v>
      </c>
      <c r="B2018" s="29">
        <v>128.0</v>
      </c>
      <c r="C2018" s="29" t="s">
        <v>608</v>
      </c>
      <c r="D2018" s="29" t="s">
        <v>669</v>
      </c>
      <c r="E2018" s="29">
        <v>17.0</v>
      </c>
      <c r="F2018" s="30" t="s">
        <v>670</v>
      </c>
      <c r="G2018" s="29" t="s">
        <v>611</v>
      </c>
      <c r="H2018" s="31">
        <v>7.9</v>
      </c>
      <c r="I2018" s="29" t="s">
        <v>597</v>
      </c>
      <c r="J2018" s="32" t="s">
        <v>642</v>
      </c>
      <c r="K2018" s="29" t="s">
        <v>599</v>
      </c>
      <c r="L2018" s="29" t="s">
        <v>479</v>
      </c>
      <c r="M2018" s="33">
        <v>-52.6</v>
      </c>
      <c r="N2018" s="33">
        <v>5.049</v>
      </c>
      <c r="O2018" s="34" t="s">
        <v>641</v>
      </c>
      <c r="P2018" s="32" t="s">
        <v>602</v>
      </c>
      <c r="Q2018" s="35">
        <v>22.0</v>
      </c>
      <c r="R2018" s="35">
        <v>22.0</v>
      </c>
      <c r="S2018" s="36">
        <v>0.09</v>
      </c>
      <c r="T2018" s="36">
        <v>0.39</v>
      </c>
      <c r="U2018" s="36">
        <v>0.3</v>
      </c>
      <c r="V2018" s="36">
        <v>0.6245</v>
      </c>
      <c r="W2018" s="37" t="s">
        <v>780</v>
      </c>
      <c r="X2018" s="31">
        <v>2.5</v>
      </c>
      <c r="Y2018" s="36">
        <v>-1.4652197022239526</v>
      </c>
      <c r="Z2018" s="36">
        <v>0.6216006963122348</v>
      </c>
      <c r="AA2018" s="29" t="s">
        <v>820</v>
      </c>
      <c r="AB2018" s="31">
        <v>17.4358692169</v>
      </c>
      <c r="AC2018" s="38">
        <v>235.0</v>
      </c>
    </row>
    <row r="2019" ht="14.25" customHeight="1">
      <c r="A2019" s="29" t="s">
        <v>485</v>
      </c>
      <c r="B2019" s="29">
        <v>128.0</v>
      </c>
      <c r="C2019" s="29" t="s">
        <v>608</v>
      </c>
      <c r="D2019" s="29" t="s">
        <v>1414</v>
      </c>
      <c r="E2019" s="29">
        <v>32.0</v>
      </c>
      <c r="F2019" s="30" t="s">
        <v>1415</v>
      </c>
      <c r="G2019" s="29" t="s">
        <v>611</v>
      </c>
      <c r="H2019" s="31">
        <v>2.6</v>
      </c>
      <c r="I2019" s="29" t="s">
        <v>616</v>
      </c>
      <c r="J2019" s="32" t="s">
        <v>642</v>
      </c>
      <c r="K2019" s="29" t="s">
        <v>599</v>
      </c>
      <c r="L2019" s="29" t="s">
        <v>479</v>
      </c>
      <c r="M2019" s="33">
        <v>-52.6</v>
      </c>
      <c r="N2019" s="33">
        <v>5.049</v>
      </c>
      <c r="O2019" s="34" t="s">
        <v>641</v>
      </c>
      <c r="P2019" s="32" t="s">
        <v>602</v>
      </c>
      <c r="Q2019" s="35">
        <v>22.0</v>
      </c>
      <c r="R2019" s="35">
        <v>22.0</v>
      </c>
      <c r="S2019" s="36">
        <v>0.0</v>
      </c>
      <c r="T2019" s="36">
        <v>0.1867</v>
      </c>
      <c r="U2019" s="36">
        <v>0.0</v>
      </c>
      <c r="V2019" s="36">
        <v>0.432</v>
      </c>
      <c r="W2019" s="37" t="s">
        <v>780</v>
      </c>
      <c r="X2019" s="31">
        <v>2.5</v>
      </c>
      <c r="Y2019" s="36">
        <v>-8.262558973010657</v>
      </c>
      <c r="Z2019" s="36">
        <v>0.12918338057115056</v>
      </c>
      <c r="AA2019" s="29" t="s">
        <v>820</v>
      </c>
      <c r="AB2019" s="31">
        <v>17.4358692169</v>
      </c>
      <c r="AC2019" s="38">
        <v>235.0</v>
      </c>
    </row>
    <row r="2020" ht="14.25" customHeight="1">
      <c r="A2020" s="29" t="s">
        <v>485</v>
      </c>
      <c r="B2020" s="29">
        <v>128.0</v>
      </c>
      <c r="C2020" s="29" t="s">
        <v>608</v>
      </c>
      <c r="D2020" s="29" t="s">
        <v>685</v>
      </c>
      <c r="E2020" s="29">
        <v>142.0</v>
      </c>
      <c r="F2020" s="30" t="s">
        <v>686</v>
      </c>
      <c r="G2020" s="29" t="s">
        <v>611</v>
      </c>
      <c r="H2020" s="31">
        <v>1.38</v>
      </c>
      <c r="I2020" s="29" t="s">
        <v>616</v>
      </c>
      <c r="J2020" s="32" t="s">
        <v>642</v>
      </c>
      <c r="K2020" s="29" t="s">
        <v>599</v>
      </c>
      <c r="L2020" s="29" t="s">
        <v>479</v>
      </c>
      <c r="M2020" s="33">
        <v>-52.6</v>
      </c>
      <c r="N2020" s="33">
        <v>5.049</v>
      </c>
      <c r="O2020" s="34" t="s">
        <v>641</v>
      </c>
      <c r="P2020" s="32" t="s">
        <v>602</v>
      </c>
      <c r="Q2020" s="35">
        <v>22.0</v>
      </c>
      <c r="R2020" s="35">
        <v>22.0</v>
      </c>
      <c r="S2020" s="36">
        <v>0.0</v>
      </c>
      <c r="T2020" s="36">
        <v>0.05</v>
      </c>
      <c r="U2020" s="36">
        <v>0.0</v>
      </c>
      <c r="V2020" s="36">
        <v>0.2236</v>
      </c>
      <c r="W2020" s="37" t="s">
        <v>780</v>
      </c>
      <c r="X2020" s="31">
        <v>2.5</v>
      </c>
      <c r="Y2020" s="36">
        <v>-8.262558973010657</v>
      </c>
      <c r="Z2020" s="36">
        <v>0.12413177460555971</v>
      </c>
      <c r="AA2020" s="29" t="s">
        <v>820</v>
      </c>
      <c r="AB2020" s="31">
        <v>17.4358692169</v>
      </c>
      <c r="AC2020" s="38">
        <v>235.0</v>
      </c>
    </row>
    <row r="2021" ht="14.25" customHeight="1">
      <c r="A2021" s="29" t="s">
        <v>485</v>
      </c>
      <c r="B2021" s="29">
        <v>128.0</v>
      </c>
      <c r="C2021" s="29" t="s">
        <v>608</v>
      </c>
      <c r="D2021" s="29" t="s">
        <v>689</v>
      </c>
      <c r="E2021" s="29">
        <v>166.0</v>
      </c>
      <c r="F2021" s="30" t="s">
        <v>690</v>
      </c>
      <c r="G2021" s="29" t="s">
        <v>611</v>
      </c>
      <c r="H2021" s="31">
        <v>0.54</v>
      </c>
      <c r="I2021" s="29" t="s">
        <v>616</v>
      </c>
      <c r="J2021" s="32" t="s">
        <v>642</v>
      </c>
      <c r="K2021" s="29" t="s">
        <v>599</v>
      </c>
      <c r="L2021" s="29" t="s">
        <v>479</v>
      </c>
      <c r="M2021" s="33">
        <v>-52.6</v>
      </c>
      <c r="N2021" s="33">
        <v>5.049</v>
      </c>
      <c r="O2021" s="34" t="s">
        <v>641</v>
      </c>
      <c r="P2021" s="32" t="s">
        <v>602</v>
      </c>
      <c r="Q2021" s="35">
        <v>22.0</v>
      </c>
      <c r="R2021" s="35">
        <v>22.0</v>
      </c>
      <c r="S2021" s="36">
        <v>0.27</v>
      </c>
      <c r="T2021" s="36">
        <v>0.32</v>
      </c>
      <c r="U2021" s="36">
        <v>0.5196</v>
      </c>
      <c r="V2021" s="36">
        <v>0.5657</v>
      </c>
      <c r="W2021" s="37" t="s">
        <v>780</v>
      </c>
      <c r="X2021" s="31">
        <v>2.5</v>
      </c>
      <c r="Y2021" s="36">
        <v>-0.16959330820357132</v>
      </c>
      <c r="Z2021" s="36">
        <v>0.3103930661322425</v>
      </c>
      <c r="AA2021" s="29" t="s">
        <v>820</v>
      </c>
      <c r="AB2021" s="31">
        <v>17.4358692169</v>
      </c>
      <c r="AC2021" s="38">
        <v>235.0</v>
      </c>
    </row>
    <row r="2022" ht="14.25" customHeight="1">
      <c r="A2022" s="29" t="s">
        <v>485</v>
      </c>
      <c r="B2022" s="29">
        <v>128.0</v>
      </c>
      <c r="C2022" s="29" t="s">
        <v>608</v>
      </c>
      <c r="D2022" s="29" t="s">
        <v>632</v>
      </c>
      <c r="E2022" s="29">
        <v>173.0</v>
      </c>
      <c r="F2022" s="30" t="s">
        <v>633</v>
      </c>
      <c r="G2022" s="29" t="s">
        <v>611</v>
      </c>
      <c r="H2022" s="31">
        <v>2.5</v>
      </c>
      <c r="I2022" s="29" t="s">
        <v>616</v>
      </c>
      <c r="J2022" s="32" t="s">
        <v>642</v>
      </c>
      <c r="K2022" s="29" t="s">
        <v>599</v>
      </c>
      <c r="L2022" s="29" t="s">
        <v>479</v>
      </c>
      <c r="M2022" s="33">
        <v>-52.6</v>
      </c>
      <c r="N2022" s="33">
        <v>5.049</v>
      </c>
      <c r="O2022" s="34" t="s">
        <v>641</v>
      </c>
      <c r="P2022" s="32" t="s">
        <v>602</v>
      </c>
      <c r="Q2022" s="35">
        <v>22.0</v>
      </c>
      <c r="R2022" s="35">
        <v>22.0</v>
      </c>
      <c r="S2022" s="36">
        <v>0.06</v>
      </c>
      <c r="T2022" s="36">
        <v>0.7133</v>
      </c>
      <c r="U2022" s="36">
        <v>0.2449</v>
      </c>
      <c r="V2022" s="36">
        <v>0.8446</v>
      </c>
      <c r="W2022" s="37" t="s">
        <v>780</v>
      </c>
      <c r="X2022" s="31">
        <v>2.5</v>
      </c>
      <c r="Y2022" s="36">
        <v>-2.4724950557551506</v>
      </c>
      <c r="Z2022" s="36">
        <v>0.8210015485322547</v>
      </c>
      <c r="AA2022" s="29" t="s">
        <v>820</v>
      </c>
      <c r="AB2022" s="31">
        <v>17.4358692169</v>
      </c>
      <c r="AC2022" s="38">
        <v>235.0</v>
      </c>
    </row>
    <row r="2023" ht="14.25" customHeight="1">
      <c r="A2023" s="29" t="s">
        <v>485</v>
      </c>
      <c r="B2023" s="29">
        <v>129.0</v>
      </c>
      <c r="C2023" s="29" t="s">
        <v>608</v>
      </c>
      <c r="D2023" s="29" t="s">
        <v>825</v>
      </c>
      <c r="E2023" s="29">
        <v>5.0</v>
      </c>
      <c r="F2023" s="30" t="s">
        <v>826</v>
      </c>
      <c r="G2023" s="29" t="s">
        <v>611</v>
      </c>
      <c r="H2023" s="31">
        <v>6.15</v>
      </c>
      <c r="I2023" s="29" t="s">
        <v>612</v>
      </c>
      <c r="J2023" s="32" t="s">
        <v>642</v>
      </c>
      <c r="K2023" s="29" t="s">
        <v>599</v>
      </c>
      <c r="L2023" s="29" t="s">
        <v>479</v>
      </c>
      <c r="M2023" s="33">
        <v>-53.889</v>
      </c>
      <c r="N2023" s="33">
        <v>5.602</v>
      </c>
      <c r="O2023" s="34" t="s">
        <v>641</v>
      </c>
      <c r="P2023" s="32" t="s">
        <v>602</v>
      </c>
      <c r="Q2023" s="35">
        <v>25.0</v>
      </c>
      <c r="R2023" s="35">
        <v>22.0</v>
      </c>
      <c r="S2023" s="36">
        <v>0.0</v>
      </c>
      <c r="T2023" s="36">
        <v>0.2067</v>
      </c>
      <c r="U2023" s="36">
        <v>0.0</v>
      </c>
      <c r="V2023" s="36">
        <v>0.4546</v>
      </c>
      <c r="W2023" s="37" t="s">
        <v>780</v>
      </c>
      <c r="X2023" s="31">
        <v>2.5</v>
      </c>
      <c r="Y2023" s="36">
        <v>-8.262558973010657</v>
      </c>
      <c r="Z2023" s="36">
        <v>0.12293731980034439</v>
      </c>
      <c r="AA2023" s="29" t="s">
        <v>820</v>
      </c>
      <c r="AB2023" s="31">
        <v>1.40439617634</v>
      </c>
      <c r="AC2023" s="38">
        <v>277.0</v>
      </c>
    </row>
    <row r="2024" ht="14.25" customHeight="1">
      <c r="A2024" s="29" t="s">
        <v>485</v>
      </c>
      <c r="B2024" s="29">
        <v>129.0</v>
      </c>
      <c r="C2024" s="29" t="s">
        <v>608</v>
      </c>
      <c r="D2024" s="29" t="s">
        <v>669</v>
      </c>
      <c r="E2024" s="29">
        <v>17.0</v>
      </c>
      <c r="F2024" s="30" t="s">
        <v>670</v>
      </c>
      <c r="G2024" s="29" t="s">
        <v>611</v>
      </c>
      <c r="H2024" s="31">
        <v>7.9</v>
      </c>
      <c r="I2024" s="29" t="s">
        <v>597</v>
      </c>
      <c r="J2024" s="32" t="s">
        <v>642</v>
      </c>
      <c r="K2024" s="29" t="s">
        <v>599</v>
      </c>
      <c r="L2024" s="29" t="s">
        <v>479</v>
      </c>
      <c r="M2024" s="33">
        <v>-53.889</v>
      </c>
      <c r="N2024" s="33">
        <v>5.602</v>
      </c>
      <c r="O2024" s="34" t="s">
        <v>641</v>
      </c>
      <c r="P2024" s="32" t="s">
        <v>602</v>
      </c>
      <c r="Q2024" s="35">
        <v>25.0</v>
      </c>
      <c r="R2024" s="35">
        <v>22.0</v>
      </c>
      <c r="S2024" s="36">
        <v>0.03</v>
      </c>
      <c r="T2024" s="36">
        <v>0.39</v>
      </c>
      <c r="U2024" s="36">
        <v>0.1732</v>
      </c>
      <c r="V2024" s="36">
        <v>0.6245</v>
      </c>
      <c r="W2024" s="37" t="s">
        <v>780</v>
      </c>
      <c r="X2024" s="31">
        <v>2.5</v>
      </c>
      <c r="Y2024" s="36">
        <v>-2.5616009963164466</v>
      </c>
      <c r="Z2024" s="36">
        <v>1.4498053023728408</v>
      </c>
      <c r="AA2024" s="29" t="s">
        <v>820</v>
      </c>
      <c r="AB2024" s="31">
        <v>1.40439617634</v>
      </c>
      <c r="AC2024" s="38">
        <v>277.0</v>
      </c>
    </row>
    <row r="2025" ht="14.25" customHeight="1">
      <c r="A2025" s="29" t="s">
        <v>485</v>
      </c>
      <c r="B2025" s="29">
        <v>129.0</v>
      </c>
      <c r="C2025" s="29" t="s">
        <v>608</v>
      </c>
      <c r="D2025" s="29" t="s">
        <v>1414</v>
      </c>
      <c r="E2025" s="29">
        <v>32.0</v>
      </c>
      <c r="F2025" s="30" t="s">
        <v>1415</v>
      </c>
      <c r="G2025" s="29" t="s">
        <v>611</v>
      </c>
      <c r="H2025" s="31">
        <v>2.6</v>
      </c>
      <c r="I2025" s="29" t="s">
        <v>616</v>
      </c>
      <c r="J2025" s="32" t="s">
        <v>642</v>
      </c>
      <c r="K2025" s="29" t="s">
        <v>599</v>
      </c>
      <c r="L2025" s="29" t="s">
        <v>479</v>
      </c>
      <c r="M2025" s="33">
        <v>-53.889</v>
      </c>
      <c r="N2025" s="33">
        <v>5.602</v>
      </c>
      <c r="O2025" s="34" t="s">
        <v>641</v>
      </c>
      <c r="P2025" s="32" t="s">
        <v>602</v>
      </c>
      <c r="Q2025" s="35">
        <v>25.0</v>
      </c>
      <c r="R2025" s="35">
        <v>22.0</v>
      </c>
      <c r="S2025" s="36">
        <v>0.0</v>
      </c>
      <c r="T2025" s="36">
        <v>0.1867</v>
      </c>
      <c r="U2025" s="36">
        <v>0.0</v>
      </c>
      <c r="V2025" s="36">
        <v>0.432</v>
      </c>
      <c r="W2025" s="37" t="s">
        <v>780</v>
      </c>
      <c r="X2025" s="31">
        <v>2.5</v>
      </c>
      <c r="Y2025" s="36">
        <v>-8.262558973010657</v>
      </c>
      <c r="Z2025" s="36">
        <v>0.1237288351166051</v>
      </c>
      <c r="AA2025" s="29" t="s">
        <v>820</v>
      </c>
      <c r="AB2025" s="31">
        <v>1.40439617634</v>
      </c>
      <c r="AC2025" s="38">
        <v>277.0</v>
      </c>
    </row>
    <row r="2026" ht="14.25" customHeight="1">
      <c r="A2026" s="29" t="s">
        <v>485</v>
      </c>
      <c r="B2026" s="29">
        <v>129.0</v>
      </c>
      <c r="C2026" s="29" t="s">
        <v>608</v>
      </c>
      <c r="D2026" s="29" t="s">
        <v>685</v>
      </c>
      <c r="E2026" s="29">
        <v>142.0</v>
      </c>
      <c r="F2026" s="30" t="s">
        <v>686</v>
      </c>
      <c r="G2026" s="29" t="s">
        <v>611</v>
      </c>
      <c r="H2026" s="31">
        <v>1.38</v>
      </c>
      <c r="I2026" s="29" t="s">
        <v>616</v>
      </c>
      <c r="J2026" s="32" t="s">
        <v>642</v>
      </c>
      <c r="K2026" s="29" t="s">
        <v>599</v>
      </c>
      <c r="L2026" s="29" t="s">
        <v>479</v>
      </c>
      <c r="M2026" s="33">
        <v>-53.889</v>
      </c>
      <c r="N2026" s="33">
        <v>5.602</v>
      </c>
      <c r="O2026" s="34" t="s">
        <v>641</v>
      </c>
      <c r="P2026" s="32" t="s">
        <v>602</v>
      </c>
      <c r="Q2026" s="35">
        <v>25.0</v>
      </c>
      <c r="R2026" s="35">
        <v>22.0</v>
      </c>
      <c r="S2026" s="36">
        <v>0.21</v>
      </c>
      <c r="T2026" s="36">
        <v>0.05</v>
      </c>
      <c r="U2026" s="36">
        <v>0.4583</v>
      </c>
      <c r="V2026" s="36">
        <v>0.2236</v>
      </c>
      <c r="W2026" s="37" t="s">
        <v>780</v>
      </c>
      <c r="X2026" s="31">
        <v>2.5</v>
      </c>
      <c r="Y2026" s="36">
        <v>1.4351459514826992</v>
      </c>
      <c r="Z2026" s="36">
        <v>1.099547101216244</v>
      </c>
      <c r="AA2026" s="29" t="s">
        <v>820</v>
      </c>
      <c r="AB2026" s="31">
        <v>1.40439617634</v>
      </c>
      <c r="AC2026" s="38">
        <v>277.0</v>
      </c>
    </row>
    <row r="2027" ht="14.25" customHeight="1">
      <c r="A2027" s="29" t="s">
        <v>485</v>
      </c>
      <c r="B2027" s="29">
        <v>129.0</v>
      </c>
      <c r="C2027" s="29" t="s">
        <v>608</v>
      </c>
      <c r="D2027" s="29" t="s">
        <v>689</v>
      </c>
      <c r="E2027" s="29">
        <v>166.0</v>
      </c>
      <c r="F2027" s="30" t="s">
        <v>690</v>
      </c>
      <c r="G2027" s="29" t="s">
        <v>611</v>
      </c>
      <c r="H2027" s="31">
        <v>0.54</v>
      </c>
      <c r="I2027" s="29" t="s">
        <v>616</v>
      </c>
      <c r="J2027" s="32" t="s">
        <v>642</v>
      </c>
      <c r="K2027" s="29" t="s">
        <v>599</v>
      </c>
      <c r="L2027" s="29" t="s">
        <v>479</v>
      </c>
      <c r="M2027" s="33">
        <v>-53.889</v>
      </c>
      <c r="N2027" s="33">
        <v>5.602</v>
      </c>
      <c r="O2027" s="34" t="s">
        <v>641</v>
      </c>
      <c r="P2027" s="32" t="s">
        <v>602</v>
      </c>
      <c r="Q2027" s="35">
        <v>25.0</v>
      </c>
      <c r="R2027" s="35">
        <v>22.0</v>
      </c>
      <c r="S2027" s="36">
        <v>2.8</v>
      </c>
      <c r="T2027" s="36">
        <v>0.32</v>
      </c>
      <c r="U2027" s="36">
        <v>1.6733</v>
      </c>
      <c r="V2027" s="36">
        <v>0.5657</v>
      </c>
      <c r="W2027" s="37" t="s">
        <v>780</v>
      </c>
      <c r="X2027" s="31">
        <v>2.5</v>
      </c>
      <c r="Y2027" s="36">
        <v>2.169083185413237</v>
      </c>
      <c r="Z2027" s="36">
        <v>0.15633814621303918</v>
      </c>
      <c r="AA2027" s="29" t="s">
        <v>820</v>
      </c>
      <c r="AB2027" s="31">
        <v>1.40439617634</v>
      </c>
      <c r="AC2027" s="38">
        <v>277.0</v>
      </c>
    </row>
    <row r="2028" ht="14.25" customHeight="1">
      <c r="A2028" s="29" t="s">
        <v>485</v>
      </c>
      <c r="B2028" s="29">
        <v>129.0</v>
      </c>
      <c r="C2028" s="29" t="s">
        <v>608</v>
      </c>
      <c r="D2028" s="29" t="s">
        <v>632</v>
      </c>
      <c r="E2028" s="29">
        <v>173.0</v>
      </c>
      <c r="F2028" s="30" t="s">
        <v>633</v>
      </c>
      <c r="G2028" s="29" t="s">
        <v>611</v>
      </c>
      <c r="H2028" s="31">
        <v>2.5</v>
      </c>
      <c r="I2028" s="29" t="s">
        <v>616</v>
      </c>
      <c r="J2028" s="32" t="s">
        <v>642</v>
      </c>
      <c r="K2028" s="29" t="s">
        <v>599</v>
      </c>
      <c r="L2028" s="29" t="s">
        <v>479</v>
      </c>
      <c r="M2028" s="33">
        <v>-53.889</v>
      </c>
      <c r="N2028" s="33">
        <v>5.602</v>
      </c>
      <c r="O2028" s="34" t="s">
        <v>641</v>
      </c>
      <c r="P2028" s="32" t="s">
        <v>602</v>
      </c>
      <c r="Q2028" s="35">
        <v>25.0</v>
      </c>
      <c r="R2028" s="35">
        <v>22.0</v>
      </c>
      <c r="S2028" s="36">
        <v>0.0</v>
      </c>
      <c r="T2028" s="36">
        <v>0.7133</v>
      </c>
      <c r="U2028" s="36">
        <v>0.0</v>
      </c>
      <c r="V2028" s="36">
        <v>0.8446</v>
      </c>
      <c r="W2028" s="37" t="s">
        <v>780</v>
      </c>
      <c r="X2028" s="31">
        <v>2.5</v>
      </c>
      <c r="Y2028" s="36">
        <v>-8.262558973010657</v>
      </c>
      <c r="Z2028" s="36">
        <v>0.09582479511435368</v>
      </c>
      <c r="AA2028" s="29" t="s">
        <v>820</v>
      </c>
      <c r="AB2028" s="31">
        <v>1.40439617634</v>
      </c>
      <c r="AC2028" s="38">
        <v>277.0</v>
      </c>
    </row>
    <row r="2029" ht="14.25" customHeight="1">
      <c r="A2029" s="29" t="s">
        <v>495</v>
      </c>
      <c r="B2029" s="29">
        <v>134.0</v>
      </c>
      <c r="C2029" s="29" t="s">
        <v>593</v>
      </c>
      <c r="D2029" s="29" t="s">
        <v>838</v>
      </c>
      <c r="E2029" s="29">
        <v>62.0</v>
      </c>
      <c r="F2029" s="30" t="s">
        <v>839</v>
      </c>
      <c r="G2029" s="29" t="s">
        <v>607</v>
      </c>
      <c r="H2029" s="31">
        <v>4.13</v>
      </c>
      <c r="I2029" s="29" t="s">
        <v>597</v>
      </c>
      <c r="J2029" s="32" t="s">
        <v>598</v>
      </c>
      <c r="K2029" s="29" t="s">
        <v>840</v>
      </c>
      <c r="L2029" s="29" t="s">
        <v>1270</v>
      </c>
      <c r="M2029" s="36">
        <v>-87.559</v>
      </c>
      <c r="N2029" s="36">
        <v>21.314</v>
      </c>
      <c r="O2029" s="34" t="s">
        <v>641</v>
      </c>
      <c r="P2029" s="32" t="s">
        <v>602</v>
      </c>
      <c r="Q2029" s="29">
        <v>25.0</v>
      </c>
      <c r="R2029" s="29">
        <v>31.0</v>
      </c>
      <c r="S2029" s="36">
        <v>0.0</v>
      </c>
      <c r="T2029" s="36">
        <v>0.26</v>
      </c>
      <c r="U2029" s="36">
        <f t="shared" ref="U2029:V2029" si="428">SQRT(S2029)</f>
        <v>0</v>
      </c>
      <c r="V2029" s="36">
        <f t="shared" si="428"/>
        <v>0.5099019514</v>
      </c>
      <c r="W2029" s="35" t="s">
        <v>1072</v>
      </c>
      <c r="X2029" s="31">
        <v>3.5</v>
      </c>
      <c r="Y2029" s="36">
        <v>-6.643789733147672</v>
      </c>
      <c r="Z2029" s="36">
        <v>0.09695994277540429</v>
      </c>
      <c r="AA2029" s="29" t="s">
        <v>820</v>
      </c>
      <c r="AB2029" s="51">
        <v>5.37</v>
      </c>
      <c r="AC2029" s="35">
        <v>334.0</v>
      </c>
    </row>
    <row r="2030" ht="14.25" customHeight="1">
      <c r="A2030" s="29" t="s">
        <v>495</v>
      </c>
      <c r="B2030" s="29">
        <v>134.0</v>
      </c>
      <c r="C2030" s="29" t="s">
        <v>593</v>
      </c>
      <c r="D2030" s="29" t="s">
        <v>594</v>
      </c>
      <c r="E2030" s="29">
        <v>67.0</v>
      </c>
      <c r="F2030" s="30" t="s">
        <v>595</v>
      </c>
      <c r="G2030" s="29" t="s">
        <v>596</v>
      </c>
      <c r="H2030" s="31">
        <v>0.4</v>
      </c>
      <c r="I2030" s="29" t="s">
        <v>597</v>
      </c>
      <c r="J2030" s="32" t="s">
        <v>598</v>
      </c>
      <c r="K2030" s="29" t="s">
        <v>840</v>
      </c>
      <c r="L2030" s="29" t="s">
        <v>1270</v>
      </c>
      <c r="M2030" s="36">
        <v>-87.559</v>
      </c>
      <c r="N2030" s="36">
        <v>21.314</v>
      </c>
      <c r="O2030" s="34" t="s">
        <v>641</v>
      </c>
      <c r="P2030" s="32" t="s">
        <v>602</v>
      </c>
      <c r="Q2030" s="29">
        <v>25.0</v>
      </c>
      <c r="R2030" s="29">
        <v>31.0</v>
      </c>
      <c r="S2030" s="36">
        <v>1.39</v>
      </c>
      <c r="T2030" s="36">
        <v>1.13</v>
      </c>
      <c r="U2030" s="36">
        <f t="shared" ref="U2030:V2030" si="429">SQRT(S2030)</f>
        <v>1.178982612</v>
      </c>
      <c r="V2030" s="36">
        <f t="shared" si="429"/>
        <v>1.063014581</v>
      </c>
      <c r="W2030" s="35" t="s">
        <v>603</v>
      </c>
      <c r="X2030" s="31">
        <v>3.5</v>
      </c>
      <c r="Y2030" s="36">
        <v>0.2081440827498985</v>
      </c>
      <c r="Z2030" s="36">
        <v>0.05732393816605294</v>
      </c>
      <c r="AA2030" s="29" t="s">
        <v>820</v>
      </c>
      <c r="AB2030" s="51">
        <v>5.37</v>
      </c>
      <c r="AC2030" s="35">
        <v>334.0</v>
      </c>
    </row>
    <row r="2031" ht="14.25" customHeight="1">
      <c r="A2031" s="29" t="s">
        <v>495</v>
      </c>
      <c r="B2031" s="29">
        <v>134.0</v>
      </c>
      <c r="C2031" s="29" t="s">
        <v>593</v>
      </c>
      <c r="D2031" s="29" t="s">
        <v>842</v>
      </c>
      <c r="E2031" s="29">
        <v>269.0</v>
      </c>
      <c r="F2031" s="30" t="s">
        <v>843</v>
      </c>
      <c r="G2031" s="29" t="s">
        <v>607</v>
      </c>
      <c r="H2031" s="31">
        <v>5.525</v>
      </c>
      <c r="I2031" s="29" t="s">
        <v>616</v>
      </c>
      <c r="J2031" s="32" t="s">
        <v>598</v>
      </c>
      <c r="K2031" s="29" t="s">
        <v>840</v>
      </c>
      <c r="L2031" s="29" t="s">
        <v>1270</v>
      </c>
      <c r="M2031" s="36">
        <v>-87.559</v>
      </c>
      <c r="N2031" s="36">
        <v>21.314</v>
      </c>
      <c r="O2031" s="34" t="s">
        <v>641</v>
      </c>
      <c r="P2031" s="32" t="s">
        <v>602</v>
      </c>
      <c r="Q2031" s="29">
        <v>25.0</v>
      </c>
      <c r="R2031" s="29">
        <v>31.0</v>
      </c>
      <c r="S2031" s="36">
        <v>0.0</v>
      </c>
      <c r="T2031" s="36">
        <v>0.43</v>
      </c>
      <c r="U2031" s="36">
        <f t="shared" ref="U2031:V2031" si="430">SQRT(S2031)</f>
        <v>0</v>
      </c>
      <c r="V2031" s="36">
        <f t="shared" si="430"/>
        <v>0.6557438524</v>
      </c>
      <c r="W2031" s="35" t="s">
        <v>1072</v>
      </c>
      <c r="X2031" s="31">
        <v>3.5</v>
      </c>
      <c r="Y2031" s="36">
        <v>-6.643789733147672</v>
      </c>
      <c r="Z2031" s="36">
        <v>0.0898190673704661</v>
      </c>
      <c r="AA2031" s="29" t="s">
        <v>820</v>
      </c>
      <c r="AB2031" s="51">
        <v>5.37</v>
      </c>
      <c r="AC2031" s="35">
        <v>334.0</v>
      </c>
    </row>
    <row r="2032" ht="14.25" customHeight="1">
      <c r="A2032" s="29" t="s">
        <v>495</v>
      </c>
      <c r="B2032" s="29">
        <v>134.0</v>
      </c>
      <c r="C2032" s="29" t="s">
        <v>593</v>
      </c>
      <c r="D2032" s="29" t="s">
        <v>844</v>
      </c>
      <c r="E2032" s="29">
        <v>120.0</v>
      </c>
      <c r="F2032" s="30" t="s">
        <v>845</v>
      </c>
      <c r="G2032" s="29" t="s">
        <v>607</v>
      </c>
      <c r="H2032" s="31">
        <v>0.56</v>
      </c>
      <c r="I2032" s="29" t="s">
        <v>597</v>
      </c>
      <c r="J2032" s="32" t="s">
        <v>598</v>
      </c>
      <c r="K2032" s="29" t="s">
        <v>840</v>
      </c>
      <c r="L2032" s="29" t="s">
        <v>1270</v>
      </c>
      <c r="M2032" s="36">
        <v>-87.559</v>
      </c>
      <c r="N2032" s="36">
        <v>21.314</v>
      </c>
      <c r="O2032" s="34" t="s">
        <v>641</v>
      </c>
      <c r="P2032" s="32" t="s">
        <v>602</v>
      </c>
      <c r="Q2032" s="29">
        <v>25.0</v>
      </c>
      <c r="R2032" s="29">
        <v>31.0</v>
      </c>
      <c r="S2032" s="36">
        <v>7.08</v>
      </c>
      <c r="T2032" s="36">
        <v>9.57</v>
      </c>
      <c r="U2032" s="36">
        <f t="shared" ref="U2032:V2032" si="431">SQRT(S2032)</f>
        <v>2.660826939</v>
      </c>
      <c r="V2032" s="36">
        <f t="shared" si="431"/>
        <v>3.09354166</v>
      </c>
      <c r="W2032" s="35" t="s">
        <v>1072</v>
      </c>
      <c r="X2032" s="31">
        <v>3.5</v>
      </c>
      <c r="Y2032" s="36">
        <v>-0.2996008253575882</v>
      </c>
      <c r="Z2032" s="36">
        <v>0.009020466157397964</v>
      </c>
      <c r="AA2032" s="29" t="s">
        <v>820</v>
      </c>
      <c r="AB2032" s="51">
        <v>5.37</v>
      </c>
      <c r="AC2032" s="35">
        <v>334.0</v>
      </c>
    </row>
    <row r="2033" ht="14.25" customHeight="1">
      <c r="A2033" s="29" t="s">
        <v>495</v>
      </c>
      <c r="B2033" s="29">
        <v>134.0</v>
      </c>
      <c r="C2033" s="29" t="s">
        <v>593</v>
      </c>
      <c r="D2033" s="29" t="s">
        <v>1030</v>
      </c>
      <c r="E2033" s="29">
        <v>161.0</v>
      </c>
      <c r="F2033" s="30" t="s">
        <v>1031</v>
      </c>
      <c r="G2033" s="29" t="s">
        <v>909</v>
      </c>
      <c r="H2033" s="31">
        <v>0.41</v>
      </c>
      <c r="I2033" s="29" t="s">
        <v>597</v>
      </c>
      <c r="J2033" s="32" t="s">
        <v>598</v>
      </c>
      <c r="K2033" s="29" t="s">
        <v>840</v>
      </c>
      <c r="L2033" s="29" t="s">
        <v>1270</v>
      </c>
      <c r="M2033" s="36">
        <v>-87.559</v>
      </c>
      <c r="N2033" s="36">
        <v>21.314</v>
      </c>
      <c r="O2033" s="34" t="s">
        <v>641</v>
      </c>
      <c r="P2033" s="32" t="s">
        <v>602</v>
      </c>
      <c r="Q2033" s="29">
        <v>25.0</v>
      </c>
      <c r="R2033" s="29">
        <v>31.0</v>
      </c>
      <c r="S2033" s="36">
        <v>0.11</v>
      </c>
      <c r="T2033" s="36">
        <v>0.35</v>
      </c>
      <c r="U2033" s="36">
        <f t="shared" ref="U2033:V2033" si="432">SQRT(S2033)</f>
        <v>0.331662479</v>
      </c>
      <c r="V2033" s="36">
        <f t="shared" si="432"/>
        <v>0.5916079783</v>
      </c>
      <c r="W2033" s="35" t="s">
        <v>1072</v>
      </c>
      <c r="X2033" s="31">
        <v>3.5</v>
      </c>
      <c r="Y2033" s="36">
        <v>-1.1533183548293509</v>
      </c>
      <c r="Z2033" s="36">
        <v>0.4558022622538751</v>
      </c>
      <c r="AA2033" s="29" t="s">
        <v>820</v>
      </c>
      <c r="AB2033" s="51">
        <v>5.37</v>
      </c>
      <c r="AC2033" s="35">
        <v>334.0</v>
      </c>
    </row>
    <row r="2034" ht="14.25" customHeight="1">
      <c r="A2034" s="29" t="s">
        <v>495</v>
      </c>
      <c r="B2034" s="29">
        <v>134.0</v>
      </c>
      <c r="C2034" s="29" t="s">
        <v>608</v>
      </c>
      <c r="D2034" s="29" t="s">
        <v>961</v>
      </c>
      <c r="E2034" s="29">
        <v>73.0</v>
      </c>
      <c r="F2034" s="30" t="s">
        <v>962</v>
      </c>
      <c r="G2034" s="29" t="s">
        <v>615</v>
      </c>
      <c r="H2034" s="31">
        <v>2.67</v>
      </c>
      <c r="I2034" s="29" t="s">
        <v>616</v>
      </c>
      <c r="J2034" s="32" t="s">
        <v>598</v>
      </c>
      <c r="K2034" s="29" t="s">
        <v>840</v>
      </c>
      <c r="L2034" s="29" t="s">
        <v>1270</v>
      </c>
      <c r="M2034" s="36">
        <v>-87.559</v>
      </c>
      <c r="N2034" s="36">
        <v>21.314</v>
      </c>
      <c r="O2034" s="34" t="s">
        <v>641</v>
      </c>
      <c r="P2034" s="32" t="s">
        <v>602</v>
      </c>
      <c r="Q2034" s="29">
        <v>25.0</v>
      </c>
      <c r="R2034" s="29">
        <v>31.0</v>
      </c>
      <c r="S2034" s="36">
        <v>0.11</v>
      </c>
      <c r="T2034" s="36">
        <v>0.35</v>
      </c>
      <c r="U2034" s="36">
        <f t="shared" ref="U2034:V2034" si="433">SQRT(S2034)</f>
        <v>0.331662479</v>
      </c>
      <c r="V2034" s="36">
        <f t="shared" si="433"/>
        <v>0.5916079783</v>
      </c>
      <c r="W2034" s="35" t="s">
        <v>603</v>
      </c>
      <c r="X2034" s="31">
        <v>3.5</v>
      </c>
      <c r="Y2034" s="36">
        <v>-1.1566322229235475</v>
      </c>
      <c r="Z2034" s="36">
        <v>0.4558022622538751</v>
      </c>
      <c r="AA2034" s="29" t="s">
        <v>820</v>
      </c>
      <c r="AB2034" s="51">
        <v>5.37</v>
      </c>
      <c r="AC2034" s="35">
        <v>334.0</v>
      </c>
    </row>
    <row r="2035" ht="14.25" customHeight="1">
      <c r="A2035" s="29" t="s">
        <v>495</v>
      </c>
      <c r="B2035" s="29">
        <v>134.0</v>
      </c>
      <c r="C2035" s="29" t="s">
        <v>608</v>
      </c>
      <c r="D2035" s="29" t="s">
        <v>675</v>
      </c>
      <c r="E2035" s="29">
        <v>204.0</v>
      </c>
      <c r="F2035" s="30" t="s">
        <v>676</v>
      </c>
      <c r="G2035" s="29" t="s">
        <v>629</v>
      </c>
      <c r="H2035" s="31">
        <v>3.91</v>
      </c>
      <c r="I2035" s="29" t="s">
        <v>657</v>
      </c>
      <c r="J2035" s="32" t="s">
        <v>598</v>
      </c>
      <c r="K2035" s="29" t="s">
        <v>840</v>
      </c>
      <c r="L2035" s="29" t="s">
        <v>1270</v>
      </c>
      <c r="M2035" s="36">
        <v>-87.559</v>
      </c>
      <c r="N2035" s="36">
        <v>21.314</v>
      </c>
      <c r="O2035" s="34" t="s">
        <v>641</v>
      </c>
      <c r="P2035" s="32" t="s">
        <v>602</v>
      </c>
      <c r="Q2035" s="29">
        <v>25.0</v>
      </c>
      <c r="R2035" s="29">
        <v>31.0</v>
      </c>
      <c r="S2035" s="36">
        <v>0.0</v>
      </c>
      <c r="T2035" s="36">
        <v>0.17</v>
      </c>
      <c r="U2035" s="36">
        <f t="shared" ref="U2035:V2035" si="434">SQRT(S2035)</f>
        <v>0</v>
      </c>
      <c r="V2035" s="36">
        <f t="shared" si="434"/>
        <v>0.4123105626</v>
      </c>
      <c r="W2035" s="35" t="s">
        <v>603</v>
      </c>
      <c r="X2035" s="31">
        <v>3.5</v>
      </c>
      <c r="Y2035" s="36">
        <v>-8.262558973010657</v>
      </c>
      <c r="Z2035" s="36">
        <v>0.09981004193489215</v>
      </c>
      <c r="AA2035" s="29" t="s">
        <v>820</v>
      </c>
      <c r="AB2035" s="51">
        <v>5.37</v>
      </c>
      <c r="AC2035" s="35">
        <v>334.0</v>
      </c>
    </row>
    <row r="2036" ht="14.25" customHeight="1">
      <c r="A2036" s="29" t="s">
        <v>495</v>
      </c>
      <c r="B2036" s="29">
        <v>134.0</v>
      </c>
      <c r="C2036" s="29" t="s">
        <v>608</v>
      </c>
      <c r="D2036" s="29" t="s">
        <v>851</v>
      </c>
      <c r="E2036" s="29">
        <v>102.0</v>
      </c>
      <c r="F2036" s="30" t="s">
        <v>852</v>
      </c>
      <c r="G2036" s="29" t="s">
        <v>626</v>
      </c>
      <c r="H2036" s="31">
        <v>16.5</v>
      </c>
      <c r="I2036" s="29" t="s">
        <v>612</v>
      </c>
      <c r="J2036" s="32" t="s">
        <v>598</v>
      </c>
      <c r="K2036" s="29" t="s">
        <v>840</v>
      </c>
      <c r="L2036" s="29" t="s">
        <v>1270</v>
      </c>
      <c r="M2036" s="36">
        <v>-87.559</v>
      </c>
      <c r="N2036" s="36">
        <v>21.314</v>
      </c>
      <c r="O2036" s="34" t="s">
        <v>641</v>
      </c>
      <c r="P2036" s="32" t="s">
        <v>602</v>
      </c>
      <c r="Q2036" s="29">
        <v>25.0</v>
      </c>
      <c r="R2036" s="29">
        <v>31.0</v>
      </c>
      <c r="S2036" s="36">
        <v>0.64</v>
      </c>
      <c r="T2036" s="36">
        <v>0.17</v>
      </c>
      <c r="U2036" s="36">
        <f t="shared" ref="U2036:V2036" si="435">SQRT(S2036)</f>
        <v>0.8</v>
      </c>
      <c r="V2036" s="36">
        <f t="shared" si="435"/>
        <v>0.4123105626</v>
      </c>
      <c r="W2036" s="35" t="s">
        <v>603</v>
      </c>
      <c r="X2036" s="31">
        <v>3.5</v>
      </c>
      <c r="Y2036" s="36">
        <v>1.3257382676570888</v>
      </c>
      <c r="Z2036" s="36">
        <v>0.25225332068311196</v>
      </c>
      <c r="AA2036" s="29" t="s">
        <v>820</v>
      </c>
      <c r="AB2036" s="51">
        <v>5.37</v>
      </c>
      <c r="AC2036" s="35">
        <v>334.0</v>
      </c>
    </row>
    <row r="2037" ht="14.25" customHeight="1">
      <c r="A2037" s="29" t="s">
        <v>495</v>
      </c>
      <c r="B2037" s="29">
        <v>134.0</v>
      </c>
      <c r="C2037" s="29" t="s">
        <v>608</v>
      </c>
      <c r="D2037" s="29" t="s">
        <v>853</v>
      </c>
      <c r="E2037" s="29">
        <v>110.0</v>
      </c>
      <c r="F2037" s="30" t="s">
        <v>854</v>
      </c>
      <c r="G2037" s="29" t="s">
        <v>629</v>
      </c>
      <c r="H2037" s="31">
        <v>4.03</v>
      </c>
      <c r="I2037" s="29" t="s">
        <v>597</v>
      </c>
      <c r="J2037" s="32" t="s">
        <v>598</v>
      </c>
      <c r="K2037" s="29" t="s">
        <v>840</v>
      </c>
      <c r="L2037" s="29" t="s">
        <v>1270</v>
      </c>
      <c r="M2037" s="36">
        <v>-87.559</v>
      </c>
      <c r="N2037" s="36">
        <v>21.314</v>
      </c>
      <c r="O2037" s="34" t="s">
        <v>641</v>
      </c>
      <c r="P2037" s="32" t="s">
        <v>602</v>
      </c>
      <c r="Q2037" s="29">
        <v>25.0</v>
      </c>
      <c r="R2037" s="29">
        <v>31.0</v>
      </c>
      <c r="S2037" s="36">
        <v>0.21</v>
      </c>
      <c r="T2037" s="36">
        <v>0.35</v>
      </c>
      <c r="U2037" s="36">
        <f t="shared" ref="U2037:V2037" si="436">SQRT(S2037)</f>
        <v>0.4582575695</v>
      </c>
      <c r="V2037" s="36">
        <f t="shared" si="436"/>
        <v>0.5916079783</v>
      </c>
      <c r="W2037" s="35" t="s">
        <v>1072</v>
      </c>
      <c r="X2037" s="31">
        <v>3.5</v>
      </c>
      <c r="Y2037" s="36">
        <v>-0.5103957196279908</v>
      </c>
      <c r="Z2037" s="36">
        <v>0.28264208909370203</v>
      </c>
      <c r="AA2037" s="29" t="s">
        <v>820</v>
      </c>
      <c r="AB2037" s="51">
        <v>5.37</v>
      </c>
      <c r="AC2037" s="35">
        <v>334.0</v>
      </c>
    </row>
    <row r="2038" ht="14.25" customHeight="1">
      <c r="A2038" s="29" t="s">
        <v>495</v>
      </c>
      <c r="B2038" s="29">
        <v>134.0</v>
      </c>
      <c r="C2038" s="29" t="s">
        <v>608</v>
      </c>
      <c r="D2038" s="29" t="s">
        <v>855</v>
      </c>
      <c r="E2038" s="29">
        <v>114.0</v>
      </c>
      <c r="F2038" s="30" t="s">
        <v>856</v>
      </c>
      <c r="G2038" s="29" t="s">
        <v>626</v>
      </c>
      <c r="H2038" s="31">
        <v>55.51</v>
      </c>
      <c r="I2038" s="29" t="s">
        <v>612</v>
      </c>
      <c r="J2038" s="32" t="s">
        <v>598</v>
      </c>
      <c r="K2038" s="29" t="s">
        <v>840</v>
      </c>
      <c r="L2038" s="29" t="s">
        <v>1270</v>
      </c>
      <c r="M2038" s="36">
        <v>-87.559</v>
      </c>
      <c r="N2038" s="36">
        <v>21.314</v>
      </c>
      <c r="O2038" s="34" t="s">
        <v>641</v>
      </c>
      <c r="P2038" s="32" t="s">
        <v>602</v>
      </c>
      <c r="Q2038" s="29">
        <v>25.0</v>
      </c>
      <c r="R2038" s="29">
        <v>31.0</v>
      </c>
      <c r="S2038" s="36">
        <v>0.32</v>
      </c>
      <c r="T2038" s="36">
        <v>0.52</v>
      </c>
      <c r="U2038" s="36">
        <f t="shared" ref="U2038:V2038" si="437">SQRT(S2038)</f>
        <v>0.5656854249</v>
      </c>
      <c r="V2038" s="36">
        <f t="shared" si="437"/>
        <v>0.7211102551</v>
      </c>
      <c r="W2038" s="35" t="s">
        <v>603</v>
      </c>
      <c r="X2038" s="31">
        <v>3.5</v>
      </c>
      <c r="Y2038" s="36">
        <v>-0.4850886569949933</v>
      </c>
      <c r="Z2038" s="36">
        <v>0.1870347394540943</v>
      </c>
      <c r="AA2038" s="29" t="s">
        <v>820</v>
      </c>
      <c r="AB2038" s="51">
        <v>5.37</v>
      </c>
      <c r="AC2038" s="35">
        <v>334.0</v>
      </c>
    </row>
    <row r="2039" ht="14.25" customHeight="1">
      <c r="A2039" s="29" t="s">
        <v>495</v>
      </c>
      <c r="B2039" s="29">
        <v>134.0</v>
      </c>
      <c r="C2039" s="29" t="s">
        <v>608</v>
      </c>
      <c r="D2039" s="29" t="s">
        <v>630</v>
      </c>
      <c r="E2039" s="29">
        <v>129.0</v>
      </c>
      <c r="F2039" s="30" t="s">
        <v>631</v>
      </c>
      <c r="G2039" s="29" t="s">
        <v>626</v>
      </c>
      <c r="H2039" s="31">
        <v>21.27</v>
      </c>
      <c r="I2039" s="29" t="s">
        <v>612</v>
      </c>
      <c r="J2039" s="32" t="s">
        <v>598</v>
      </c>
      <c r="K2039" s="29" t="s">
        <v>840</v>
      </c>
      <c r="L2039" s="29" t="s">
        <v>1270</v>
      </c>
      <c r="M2039" s="36">
        <v>-87.559</v>
      </c>
      <c r="N2039" s="36">
        <v>21.314</v>
      </c>
      <c r="O2039" s="34" t="s">
        <v>641</v>
      </c>
      <c r="P2039" s="32" t="s">
        <v>602</v>
      </c>
      <c r="Q2039" s="29">
        <v>25.0</v>
      </c>
      <c r="R2039" s="29">
        <v>31.0</v>
      </c>
      <c r="S2039" s="36">
        <v>0.43</v>
      </c>
      <c r="T2039" s="36">
        <v>0.35</v>
      </c>
      <c r="U2039" s="36">
        <f t="shared" ref="U2039:V2039" si="438">SQRT(S2039)</f>
        <v>0.6557438524</v>
      </c>
      <c r="V2039" s="36">
        <f t="shared" si="438"/>
        <v>0.5916079783</v>
      </c>
      <c r="W2039" s="35" t="s">
        <v>1072</v>
      </c>
      <c r="X2039" s="31">
        <v>3.5</v>
      </c>
      <c r="Y2039" s="36">
        <v>0.2060620304776014</v>
      </c>
      <c r="Z2039" s="36">
        <v>0.18518915443146503</v>
      </c>
      <c r="AA2039" s="29" t="s">
        <v>820</v>
      </c>
      <c r="AB2039" s="51">
        <v>5.37</v>
      </c>
      <c r="AC2039" s="35">
        <v>334.0</v>
      </c>
    </row>
    <row r="2040" ht="14.25" customHeight="1">
      <c r="A2040" s="29" t="s">
        <v>495</v>
      </c>
      <c r="B2040" s="29">
        <v>134.0</v>
      </c>
      <c r="C2040" s="29" t="s">
        <v>608</v>
      </c>
      <c r="D2040" s="29" t="s">
        <v>1035</v>
      </c>
      <c r="E2040" s="29">
        <v>176.0</v>
      </c>
      <c r="F2040" s="30" t="s">
        <v>1036</v>
      </c>
      <c r="G2040" s="29" t="s">
        <v>615</v>
      </c>
      <c r="H2040" s="31">
        <v>0.6</v>
      </c>
      <c r="I2040" s="29" t="s">
        <v>597</v>
      </c>
      <c r="J2040" s="32" t="s">
        <v>598</v>
      </c>
      <c r="K2040" s="29" t="s">
        <v>840</v>
      </c>
      <c r="L2040" s="29" t="s">
        <v>1270</v>
      </c>
      <c r="M2040" s="36">
        <v>-87.559</v>
      </c>
      <c r="N2040" s="36">
        <v>21.314</v>
      </c>
      <c r="O2040" s="34" t="s">
        <v>641</v>
      </c>
      <c r="P2040" s="32" t="s">
        <v>602</v>
      </c>
      <c r="Q2040" s="29">
        <v>25.0</v>
      </c>
      <c r="R2040" s="29">
        <v>31.0</v>
      </c>
      <c r="S2040" s="36">
        <v>1.72</v>
      </c>
      <c r="T2040" s="36">
        <v>1.48</v>
      </c>
      <c r="U2040" s="36">
        <f t="shared" ref="U2040:V2040" si="439">SQRT(S2040)</f>
        <v>1.311487705</v>
      </c>
      <c r="V2040" s="36">
        <f t="shared" si="439"/>
        <v>1.216552506</v>
      </c>
      <c r="W2040" s="35" t="s">
        <v>603</v>
      </c>
      <c r="X2040" s="31">
        <v>3.5</v>
      </c>
      <c r="Y2040" s="36">
        <v>0.15050417663539262</v>
      </c>
      <c r="Z2040" s="36">
        <v>0.0450518034914134</v>
      </c>
      <c r="AA2040" s="29" t="s">
        <v>820</v>
      </c>
      <c r="AB2040" s="51">
        <v>5.37</v>
      </c>
      <c r="AC2040" s="35">
        <v>334.0</v>
      </c>
    </row>
    <row r="2041" ht="14.25" customHeight="1">
      <c r="A2041" s="29" t="s">
        <v>495</v>
      </c>
      <c r="B2041" s="29">
        <v>134.0</v>
      </c>
      <c r="C2041" s="29" t="s">
        <v>608</v>
      </c>
      <c r="D2041" s="29" t="s">
        <v>639</v>
      </c>
      <c r="E2041" s="29">
        <v>190.0</v>
      </c>
      <c r="F2041" s="30" t="s">
        <v>640</v>
      </c>
      <c r="G2041" s="29" t="s">
        <v>626</v>
      </c>
      <c r="H2041" s="31">
        <v>32.23</v>
      </c>
      <c r="I2041" s="29" t="s">
        <v>597</v>
      </c>
      <c r="J2041" s="32" t="s">
        <v>598</v>
      </c>
      <c r="K2041" s="29" t="s">
        <v>840</v>
      </c>
      <c r="L2041" s="29" t="s">
        <v>1270</v>
      </c>
      <c r="M2041" s="36">
        <v>-87.559</v>
      </c>
      <c r="N2041" s="36">
        <v>21.314</v>
      </c>
      <c r="O2041" s="34" t="s">
        <v>641</v>
      </c>
      <c r="P2041" s="32" t="s">
        <v>602</v>
      </c>
      <c r="Q2041" s="29">
        <v>25.0</v>
      </c>
      <c r="R2041" s="29">
        <v>31.0</v>
      </c>
      <c r="S2041" s="36">
        <v>0.0</v>
      </c>
      <c r="T2041" s="36">
        <v>0.09</v>
      </c>
      <c r="U2041" s="36">
        <f t="shared" ref="U2041:V2041" si="440">SQRT(S2041)</f>
        <v>0</v>
      </c>
      <c r="V2041" s="36">
        <f t="shared" si="440"/>
        <v>0.3</v>
      </c>
      <c r="W2041" s="35" t="s">
        <v>1072</v>
      </c>
      <c r="X2041" s="31">
        <v>3.5</v>
      </c>
      <c r="Y2041" s="36">
        <v>-8.262558973010657</v>
      </c>
      <c r="Z2041" s="36">
        <v>0.09930813355450327</v>
      </c>
      <c r="AA2041" s="29" t="s">
        <v>820</v>
      </c>
      <c r="AB2041" s="51">
        <v>5.37</v>
      </c>
      <c r="AC2041" s="35">
        <v>334.0</v>
      </c>
    </row>
    <row r="2042" ht="14.25" customHeight="1">
      <c r="A2042" s="29" t="s">
        <v>495</v>
      </c>
      <c r="B2042" s="29">
        <v>134.0</v>
      </c>
      <c r="C2042" s="29" t="s">
        <v>593</v>
      </c>
      <c r="D2042" s="29" t="s">
        <v>838</v>
      </c>
      <c r="E2042" s="29">
        <v>62.0</v>
      </c>
      <c r="F2042" s="30" t="s">
        <v>839</v>
      </c>
      <c r="G2042" s="29" t="s">
        <v>607</v>
      </c>
      <c r="H2042" s="31">
        <v>4.13</v>
      </c>
      <c r="I2042" s="29" t="s">
        <v>597</v>
      </c>
      <c r="J2042" s="32" t="s">
        <v>598</v>
      </c>
      <c r="K2042" s="29" t="s">
        <v>840</v>
      </c>
      <c r="L2042" s="29" t="s">
        <v>1270</v>
      </c>
      <c r="M2042" s="36">
        <v>-89.716</v>
      </c>
      <c r="N2042" s="36">
        <v>18.935</v>
      </c>
      <c r="O2042" s="34" t="s">
        <v>641</v>
      </c>
      <c r="P2042" s="32" t="s">
        <v>602</v>
      </c>
      <c r="Q2042" s="29">
        <v>32.0</v>
      </c>
      <c r="R2042" s="29">
        <v>31.0</v>
      </c>
      <c r="S2042" s="36">
        <v>0.0</v>
      </c>
      <c r="T2042" s="36">
        <v>0.26</v>
      </c>
      <c r="U2042" s="36">
        <f t="shared" ref="U2042:V2042" si="441">SQRT(S2042)</f>
        <v>0</v>
      </c>
      <c r="V2042" s="36">
        <f t="shared" si="441"/>
        <v>0.5099019514</v>
      </c>
      <c r="W2042" s="35" t="s">
        <v>1072</v>
      </c>
      <c r="X2042" s="31">
        <v>3.5</v>
      </c>
      <c r="Y2042" s="36">
        <v>-6.643789733147672</v>
      </c>
      <c r="Z2042" s="36">
        <v>0.08820994277540428</v>
      </c>
      <c r="AA2042" s="29" t="s">
        <v>820</v>
      </c>
      <c r="AB2042" s="51">
        <v>7.719</v>
      </c>
      <c r="AC2042" s="43">
        <v>1565.0</v>
      </c>
    </row>
    <row r="2043" ht="14.25" customHeight="1">
      <c r="A2043" s="29" t="s">
        <v>495</v>
      </c>
      <c r="B2043" s="29">
        <v>134.0</v>
      </c>
      <c r="C2043" s="29" t="s">
        <v>593</v>
      </c>
      <c r="D2043" s="29" t="s">
        <v>594</v>
      </c>
      <c r="E2043" s="29">
        <v>67.0</v>
      </c>
      <c r="F2043" s="30" t="s">
        <v>595</v>
      </c>
      <c r="G2043" s="29" t="s">
        <v>596</v>
      </c>
      <c r="H2043" s="31">
        <v>0.4</v>
      </c>
      <c r="I2043" s="29" t="s">
        <v>597</v>
      </c>
      <c r="J2043" s="32" t="s">
        <v>598</v>
      </c>
      <c r="K2043" s="29" t="s">
        <v>840</v>
      </c>
      <c r="L2043" s="29" t="s">
        <v>1270</v>
      </c>
      <c r="M2043" s="36">
        <v>-89.716</v>
      </c>
      <c r="N2043" s="36">
        <v>18.935</v>
      </c>
      <c r="O2043" s="34" t="s">
        <v>641</v>
      </c>
      <c r="P2043" s="32" t="s">
        <v>602</v>
      </c>
      <c r="Q2043" s="29">
        <v>32.0</v>
      </c>
      <c r="R2043" s="29">
        <v>31.0</v>
      </c>
      <c r="S2043" s="36">
        <v>0.57</v>
      </c>
      <c r="T2043" s="36">
        <v>1.13</v>
      </c>
      <c r="U2043" s="36">
        <f t="shared" ref="U2043:V2043" si="442">SQRT(S2043)</f>
        <v>0.7549834435</v>
      </c>
      <c r="V2043" s="36">
        <f t="shared" si="442"/>
        <v>1.063014581</v>
      </c>
      <c r="W2043" s="35" t="s">
        <v>603</v>
      </c>
      <c r="X2043" s="31">
        <v>3.5</v>
      </c>
      <c r="Y2043" s="36">
        <v>-0.6817585536706083</v>
      </c>
      <c r="Z2043" s="36">
        <v>0.08337152115229553</v>
      </c>
      <c r="AA2043" s="29" t="s">
        <v>820</v>
      </c>
      <c r="AB2043" s="51">
        <v>7.719</v>
      </c>
      <c r="AC2043" s="43">
        <v>1565.0</v>
      </c>
    </row>
    <row r="2044" ht="14.25" customHeight="1">
      <c r="A2044" s="29" t="s">
        <v>495</v>
      </c>
      <c r="B2044" s="29">
        <v>134.0</v>
      </c>
      <c r="C2044" s="29" t="s">
        <v>593</v>
      </c>
      <c r="D2044" s="29" t="s">
        <v>842</v>
      </c>
      <c r="E2044" s="29">
        <v>269.0</v>
      </c>
      <c r="F2044" s="30" t="s">
        <v>843</v>
      </c>
      <c r="G2044" s="29" t="s">
        <v>607</v>
      </c>
      <c r="H2044" s="31">
        <v>5.525</v>
      </c>
      <c r="I2044" s="29" t="s">
        <v>616</v>
      </c>
      <c r="J2044" s="32" t="s">
        <v>598</v>
      </c>
      <c r="K2044" s="29" t="s">
        <v>840</v>
      </c>
      <c r="L2044" s="29" t="s">
        <v>1270</v>
      </c>
      <c r="M2044" s="36">
        <v>-89.716</v>
      </c>
      <c r="N2044" s="36">
        <v>18.935</v>
      </c>
      <c r="O2044" s="34" t="s">
        <v>641</v>
      </c>
      <c r="P2044" s="32" t="s">
        <v>602</v>
      </c>
      <c r="Q2044" s="29">
        <v>32.0</v>
      </c>
      <c r="R2044" s="29">
        <v>31.0</v>
      </c>
      <c r="S2044" s="36">
        <v>0.08</v>
      </c>
      <c r="T2044" s="36">
        <v>0.43</v>
      </c>
      <c r="U2044" s="36">
        <f t="shared" ref="U2044:V2044" si="443">SQRT(S2044)</f>
        <v>0.2828427125</v>
      </c>
      <c r="V2044" s="36">
        <f t="shared" si="443"/>
        <v>0.6557438524</v>
      </c>
      <c r="W2044" s="35" t="s">
        <v>1072</v>
      </c>
      <c r="X2044" s="31">
        <v>3.5</v>
      </c>
      <c r="Y2044" s="36">
        <v>-1.6747842533102457</v>
      </c>
      <c r="Z2044" s="36">
        <v>0.46564375468867214</v>
      </c>
      <c r="AA2044" s="29" t="s">
        <v>820</v>
      </c>
      <c r="AB2044" s="51">
        <v>7.719</v>
      </c>
      <c r="AC2044" s="43">
        <v>1565.0</v>
      </c>
    </row>
    <row r="2045" ht="14.25" customHeight="1">
      <c r="A2045" s="29" t="s">
        <v>495</v>
      </c>
      <c r="B2045" s="29">
        <v>134.0</v>
      </c>
      <c r="C2045" s="29" t="s">
        <v>593</v>
      </c>
      <c r="D2045" s="29" t="s">
        <v>844</v>
      </c>
      <c r="E2045" s="29">
        <v>120.0</v>
      </c>
      <c r="F2045" s="30" t="s">
        <v>845</v>
      </c>
      <c r="G2045" s="29" t="s">
        <v>607</v>
      </c>
      <c r="H2045" s="31">
        <v>0.56</v>
      </c>
      <c r="I2045" s="29" t="s">
        <v>597</v>
      </c>
      <c r="J2045" s="32" t="s">
        <v>598</v>
      </c>
      <c r="K2045" s="29" t="s">
        <v>840</v>
      </c>
      <c r="L2045" s="29" t="s">
        <v>1270</v>
      </c>
      <c r="M2045" s="36">
        <v>-89.716</v>
      </c>
      <c r="N2045" s="36">
        <v>18.935</v>
      </c>
      <c r="O2045" s="34" t="s">
        <v>641</v>
      </c>
      <c r="P2045" s="32" t="s">
        <v>602</v>
      </c>
      <c r="Q2045" s="29">
        <v>32.0</v>
      </c>
      <c r="R2045" s="29">
        <v>31.0</v>
      </c>
      <c r="S2045" s="36">
        <v>9.98</v>
      </c>
      <c r="T2045" s="36">
        <v>9.57</v>
      </c>
      <c r="U2045" s="36">
        <f t="shared" ref="U2045:V2045" si="444">SQRT(S2045)</f>
        <v>3.1591138</v>
      </c>
      <c r="V2045" s="36">
        <f t="shared" si="444"/>
        <v>3.09354166</v>
      </c>
      <c r="W2045" s="35" t="s">
        <v>1072</v>
      </c>
      <c r="X2045" s="31">
        <v>3.5</v>
      </c>
      <c r="Y2045" s="36">
        <v>0.04319769694895132</v>
      </c>
      <c r="Z2045" s="36">
        <v>0.006502011168323772</v>
      </c>
      <c r="AA2045" s="29" t="s">
        <v>820</v>
      </c>
      <c r="AB2045" s="51">
        <v>7.719</v>
      </c>
      <c r="AC2045" s="43">
        <v>1565.0</v>
      </c>
    </row>
    <row r="2046" ht="14.25" customHeight="1">
      <c r="A2046" s="29" t="s">
        <v>495</v>
      </c>
      <c r="B2046" s="29">
        <v>134.0</v>
      </c>
      <c r="C2046" s="29" t="s">
        <v>593</v>
      </c>
      <c r="D2046" s="29" t="s">
        <v>1030</v>
      </c>
      <c r="E2046" s="29">
        <v>161.0</v>
      </c>
      <c r="F2046" s="30" t="s">
        <v>1031</v>
      </c>
      <c r="G2046" s="29" t="s">
        <v>909</v>
      </c>
      <c r="H2046" s="31">
        <v>0.41</v>
      </c>
      <c r="I2046" s="29" t="s">
        <v>597</v>
      </c>
      <c r="J2046" s="32" t="s">
        <v>598</v>
      </c>
      <c r="K2046" s="29" t="s">
        <v>840</v>
      </c>
      <c r="L2046" s="29" t="s">
        <v>1270</v>
      </c>
      <c r="M2046" s="36">
        <v>-89.716</v>
      </c>
      <c r="N2046" s="36">
        <v>18.935</v>
      </c>
      <c r="O2046" s="34" t="s">
        <v>641</v>
      </c>
      <c r="P2046" s="32" t="s">
        <v>602</v>
      </c>
      <c r="Q2046" s="29">
        <v>32.0</v>
      </c>
      <c r="R2046" s="29">
        <v>31.0</v>
      </c>
      <c r="S2046" s="36">
        <v>1.64</v>
      </c>
      <c r="T2046" s="36">
        <v>0.35</v>
      </c>
      <c r="U2046" s="36">
        <f t="shared" ref="U2046:V2046" si="445">SQRT(S2046)</f>
        <v>1.280624847</v>
      </c>
      <c r="V2046" s="36">
        <f t="shared" si="445"/>
        <v>0.5916079783</v>
      </c>
      <c r="W2046" s="35" t="s">
        <v>1072</v>
      </c>
      <c r="X2046" s="31">
        <v>3.5</v>
      </c>
      <c r="Y2046" s="36">
        <v>1.5447962113704892</v>
      </c>
      <c r="Z2046" s="36">
        <v>0.11122077666629201</v>
      </c>
      <c r="AA2046" s="29" t="s">
        <v>820</v>
      </c>
      <c r="AB2046" s="51">
        <v>7.719</v>
      </c>
      <c r="AC2046" s="43">
        <v>1565.0</v>
      </c>
    </row>
    <row r="2047" ht="14.25" customHeight="1">
      <c r="A2047" s="29" t="s">
        <v>495</v>
      </c>
      <c r="B2047" s="29">
        <v>134.0</v>
      </c>
      <c r="C2047" s="29" t="s">
        <v>608</v>
      </c>
      <c r="D2047" s="29" t="s">
        <v>961</v>
      </c>
      <c r="E2047" s="29">
        <v>73.0</v>
      </c>
      <c r="F2047" s="30" t="s">
        <v>962</v>
      </c>
      <c r="G2047" s="29" t="s">
        <v>615</v>
      </c>
      <c r="H2047" s="31">
        <v>2.67</v>
      </c>
      <c r="I2047" s="29" t="s">
        <v>616</v>
      </c>
      <c r="J2047" s="32" t="s">
        <v>598</v>
      </c>
      <c r="K2047" s="29" t="s">
        <v>840</v>
      </c>
      <c r="L2047" s="29" t="s">
        <v>1270</v>
      </c>
      <c r="M2047" s="36">
        <v>-89.716</v>
      </c>
      <c r="N2047" s="36">
        <v>18.935</v>
      </c>
      <c r="O2047" s="34" t="s">
        <v>641</v>
      </c>
      <c r="P2047" s="32" t="s">
        <v>602</v>
      </c>
      <c r="Q2047" s="29">
        <v>32.0</v>
      </c>
      <c r="R2047" s="29">
        <v>31.0</v>
      </c>
      <c r="S2047" s="36">
        <v>1.47</v>
      </c>
      <c r="T2047" s="36">
        <v>0.35</v>
      </c>
      <c r="U2047" s="36">
        <f t="shared" ref="U2047:V2047" si="446">SQRT(S2047)</f>
        <v>1.212435565</v>
      </c>
      <c r="V2047" s="36">
        <f t="shared" si="446"/>
        <v>0.5916079783</v>
      </c>
      <c r="W2047" s="35" t="s">
        <v>603</v>
      </c>
      <c r="X2047" s="31">
        <v>3.5</v>
      </c>
      <c r="Y2047" s="36">
        <v>1.4351459514826994</v>
      </c>
      <c r="Z2047" s="36">
        <v>0.11342440201887208</v>
      </c>
      <c r="AA2047" s="29" t="s">
        <v>820</v>
      </c>
      <c r="AB2047" s="51">
        <v>7.719</v>
      </c>
      <c r="AC2047" s="43">
        <v>1565.0</v>
      </c>
    </row>
    <row r="2048" ht="14.25" customHeight="1">
      <c r="A2048" s="29" t="s">
        <v>495</v>
      </c>
      <c r="B2048" s="29">
        <v>134.0</v>
      </c>
      <c r="C2048" s="29" t="s">
        <v>608</v>
      </c>
      <c r="D2048" s="29" t="s">
        <v>675</v>
      </c>
      <c r="E2048" s="29">
        <v>204.0</v>
      </c>
      <c r="F2048" s="30" t="s">
        <v>676</v>
      </c>
      <c r="G2048" s="29" t="s">
        <v>629</v>
      </c>
      <c r="H2048" s="31">
        <v>3.91</v>
      </c>
      <c r="I2048" s="29" t="s">
        <v>657</v>
      </c>
      <c r="J2048" s="32" t="s">
        <v>598</v>
      </c>
      <c r="K2048" s="29" t="s">
        <v>840</v>
      </c>
      <c r="L2048" s="29" t="s">
        <v>1270</v>
      </c>
      <c r="M2048" s="36">
        <v>-89.716</v>
      </c>
      <c r="N2048" s="36">
        <v>18.935</v>
      </c>
      <c r="O2048" s="34" t="s">
        <v>641</v>
      </c>
      <c r="P2048" s="32" t="s">
        <v>602</v>
      </c>
      <c r="Q2048" s="29">
        <v>32.0</v>
      </c>
      <c r="R2048" s="29">
        <v>31.0</v>
      </c>
      <c r="S2048" s="36">
        <v>0.0</v>
      </c>
      <c r="T2048" s="36">
        <v>0.17</v>
      </c>
      <c r="U2048" s="36">
        <f t="shared" ref="U2048:V2048" si="447">SQRT(S2048)</f>
        <v>0</v>
      </c>
      <c r="V2048" s="36">
        <f t="shared" si="447"/>
        <v>0.4123105626</v>
      </c>
      <c r="W2048" s="35" t="s">
        <v>603</v>
      </c>
      <c r="X2048" s="31">
        <v>3.5</v>
      </c>
      <c r="Y2048" s="36">
        <v>-8.262558973010657</v>
      </c>
      <c r="Z2048" s="36">
        <v>0.09106004193489216</v>
      </c>
      <c r="AA2048" s="29" t="s">
        <v>820</v>
      </c>
      <c r="AB2048" s="51">
        <v>7.719</v>
      </c>
      <c r="AC2048" s="43">
        <v>1565.0</v>
      </c>
    </row>
    <row r="2049" ht="14.25" customHeight="1">
      <c r="A2049" s="29" t="s">
        <v>495</v>
      </c>
      <c r="B2049" s="29">
        <v>134.0</v>
      </c>
      <c r="C2049" s="29" t="s">
        <v>608</v>
      </c>
      <c r="D2049" s="29" t="s">
        <v>851</v>
      </c>
      <c r="E2049" s="29">
        <v>102.0</v>
      </c>
      <c r="F2049" s="30" t="s">
        <v>852</v>
      </c>
      <c r="G2049" s="29" t="s">
        <v>626</v>
      </c>
      <c r="H2049" s="31">
        <v>16.5</v>
      </c>
      <c r="I2049" s="29" t="s">
        <v>612</v>
      </c>
      <c r="J2049" s="32" t="s">
        <v>598</v>
      </c>
      <c r="K2049" s="29" t="s">
        <v>840</v>
      </c>
      <c r="L2049" s="29" t="s">
        <v>1270</v>
      </c>
      <c r="M2049" s="36">
        <v>-89.716</v>
      </c>
      <c r="N2049" s="36">
        <v>18.935</v>
      </c>
      <c r="O2049" s="34" t="s">
        <v>641</v>
      </c>
      <c r="P2049" s="32" t="s">
        <v>602</v>
      </c>
      <c r="Q2049" s="29">
        <v>32.0</v>
      </c>
      <c r="R2049" s="29">
        <v>31.0</v>
      </c>
      <c r="S2049" s="36">
        <v>0.08</v>
      </c>
      <c r="T2049" s="36">
        <v>0.17</v>
      </c>
      <c r="U2049" s="36">
        <f t="shared" ref="U2049:V2049" si="448">SQRT(S2049)</f>
        <v>0.2828427125</v>
      </c>
      <c r="V2049" s="36">
        <f t="shared" si="448"/>
        <v>0.4123105626</v>
      </c>
      <c r="W2049" s="35" t="s">
        <v>603</v>
      </c>
      <c r="X2049" s="31">
        <v>3.5</v>
      </c>
      <c r="Y2049" s="36">
        <v>-0.753223706994065</v>
      </c>
      <c r="Z2049" s="36">
        <v>0.5803783206831119</v>
      </c>
      <c r="AA2049" s="29" t="s">
        <v>820</v>
      </c>
      <c r="AB2049" s="51">
        <v>7.719</v>
      </c>
      <c r="AC2049" s="43">
        <v>1565.0</v>
      </c>
    </row>
    <row r="2050" ht="14.25" customHeight="1">
      <c r="A2050" s="29" t="s">
        <v>495</v>
      </c>
      <c r="B2050" s="29">
        <v>134.0</v>
      </c>
      <c r="C2050" s="29" t="s">
        <v>608</v>
      </c>
      <c r="D2050" s="29" t="s">
        <v>853</v>
      </c>
      <c r="E2050" s="29">
        <v>110.0</v>
      </c>
      <c r="F2050" s="30" t="s">
        <v>854</v>
      </c>
      <c r="G2050" s="29" t="s">
        <v>629</v>
      </c>
      <c r="H2050" s="31">
        <v>4.03</v>
      </c>
      <c r="I2050" s="29" t="s">
        <v>597</v>
      </c>
      <c r="J2050" s="32" t="s">
        <v>598</v>
      </c>
      <c r="K2050" s="29" t="s">
        <v>840</v>
      </c>
      <c r="L2050" s="29" t="s">
        <v>1270</v>
      </c>
      <c r="M2050" s="36">
        <v>-89.716</v>
      </c>
      <c r="N2050" s="36">
        <v>18.935</v>
      </c>
      <c r="O2050" s="34" t="s">
        <v>641</v>
      </c>
      <c r="P2050" s="32" t="s">
        <v>602</v>
      </c>
      <c r="Q2050" s="29">
        <v>32.0</v>
      </c>
      <c r="R2050" s="29">
        <v>31.0</v>
      </c>
      <c r="S2050" s="36">
        <v>0.74</v>
      </c>
      <c r="T2050" s="36">
        <v>0.35</v>
      </c>
      <c r="U2050" s="36">
        <f t="shared" ref="U2050:V2050" si="449">SQRT(S2050)</f>
        <v>0.8602325267</v>
      </c>
      <c r="V2050" s="36">
        <f t="shared" si="449"/>
        <v>0.5916079783</v>
      </c>
      <c r="W2050" s="35" t="s">
        <v>1072</v>
      </c>
      <c r="X2050" s="31">
        <v>3.5</v>
      </c>
      <c r="Y2050" s="36">
        <v>0.7488390503210017</v>
      </c>
      <c r="Z2050" s="36">
        <v>0.13439562834724125</v>
      </c>
      <c r="AA2050" s="29" t="s">
        <v>820</v>
      </c>
      <c r="AB2050" s="51">
        <v>7.719</v>
      </c>
      <c r="AC2050" s="43">
        <v>1565.0</v>
      </c>
    </row>
    <row r="2051" ht="14.25" customHeight="1">
      <c r="A2051" s="29" t="s">
        <v>495</v>
      </c>
      <c r="B2051" s="29">
        <v>134.0</v>
      </c>
      <c r="C2051" s="29" t="s">
        <v>608</v>
      </c>
      <c r="D2051" s="29" t="s">
        <v>855</v>
      </c>
      <c r="E2051" s="29">
        <v>114.0</v>
      </c>
      <c r="F2051" s="30" t="s">
        <v>856</v>
      </c>
      <c r="G2051" s="29" t="s">
        <v>626</v>
      </c>
      <c r="H2051" s="31">
        <v>55.51</v>
      </c>
      <c r="I2051" s="29" t="s">
        <v>612</v>
      </c>
      <c r="J2051" s="32" t="s">
        <v>598</v>
      </c>
      <c r="K2051" s="29" t="s">
        <v>840</v>
      </c>
      <c r="L2051" s="29" t="s">
        <v>1270</v>
      </c>
      <c r="M2051" s="36">
        <v>-89.716</v>
      </c>
      <c r="N2051" s="36">
        <v>18.935</v>
      </c>
      <c r="O2051" s="34" t="s">
        <v>641</v>
      </c>
      <c r="P2051" s="32" t="s">
        <v>602</v>
      </c>
      <c r="Q2051" s="29">
        <v>32.0</v>
      </c>
      <c r="R2051" s="29">
        <v>31.0</v>
      </c>
      <c r="S2051" s="36">
        <v>0.25</v>
      </c>
      <c r="T2051" s="36">
        <v>0.52</v>
      </c>
      <c r="U2051" s="36">
        <f t="shared" ref="U2051:V2051" si="450">SQRT(S2051)</f>
        <v>0.5</v>
      </c>
      <c r="V2051" s="36">
        <f t="shared" si="450"/>
        <v>0.7211102551</v>
      </c>
      <c r="W2051" s="35" t="s">
        <v>603</v>
      </c>
      <c r="X2051" s="31">
        <v>3.5</v>
      </c>
      <c r="Y2051" s="36">
        <v>-0.731831401943761</v>
      </c>
      <c r="Z2051" s="36">
        <v>0.1870347394540943</v>
      </c>
      <c r="AA2051" s="29" t="s">
        <v>820</v>
      </c>
      <c r="AB2051" s="51">
        <v>7.719</v>
      </c>
      <c r="AC2051" s="43">
        <v>1565.0</v>
      </c>
    </row>
    <row r="2052" ht="14.25" customHeight="1">
      <c r="A2052" s="29" t="s">
        <v>495</v>
      </c>
      <c r="B2052" s="29">
        <v>134.0</v>
      </c>
      <c r="C2052" s="29" t="s">
        <v>608</v>
      </c>
      <c r="D2052" s="29" t="s">
        <v>630</v>
      </c>
      <c r="E2052" s="29">
        <v>129.0</v>
      </c>
      <c r="F2052" s="30" t="s">
        <v>631</v>
      </c>
      <c r="G2052" s="29" t="s">
        <v>626</v>
      </c>
      <c r="H2052" s="31">
        <v>21.27</v>
      </c>
      <c r="I2052" s="29" t="s">
        <v>612</v>
      </c>
      <c r="J2052" s="32" t="s">
        <v>598</v>
      </c>
      <c r="K2052" s="29" t="s">
        <v>840</v>
      </c>
      <c r="L2052" s="29" t="s">
        <v>1270</v>
      </c>
      <c r="M2052" s="36">
        <v>-89.716</v>
      </c>
      <c r="N2052" s="36">
        <v>18.935</v>
      </c>
      <c r="O2052" s="34" t="s">
        <v>641</v>
      </c>
      <c r="P2052" s="32" t="s">
        <v>602</v>
      </c>
      <c r="Q2052" s="29">
        <v>32.0</v>
      </c>
      <c r="R2052" s="29">
        <v>31.0</v>
      </c>
      <c r="S2052" s="36">
        <v>0.08</v>
      </c>
      <c r="T2052" s="36">
        <v>0.35</v>
      </c>
      <c r="U2052" s="36">
        <f t="shared" ref="U2052:V2052" si="451">SQRT(S2052)</f>
        <v>0.2828427125</v>
      </c>
      <c r="V2052" s="36">
        <f t="shared" si="451"/>
        <v>0.5916079783</v>
      </c>
      <c r="W2052" s="35" t="s">
        <v>1072</v>
      </c>
      <c r="X2052" s="31">
        <v>3.5</v>
      </c>
      <c r="Y2052" s="36">
        <v>-1.4747784153886399</v>
      </c>
      <c r="Z2052" s="36">
        <v>0.4827908986175115</v>
      </c>
      <c r="AA2052" s="29" t="s">
        <v>820</v>
      </c>
      <c r="AB2052" s="51">
        <v>7.719</v>
      </c>
      <c r="AC2052" s="43">
        <v>1565.0</v>
      </c>
    </row>
    <row r="2053" ht="14.25" customHeight="1">
      <c r="A2053" s="29" t="s">
        <v>495</v>
      </c>
      <c r="B2053" s="29">
        <v>134.0</v>
      </c>
      <c r="C2053" s="29" t="s">
        <v>608</v>
      </c>
      <c r="D2053" s="29" t="s">
        <v>1035</v>
      </c>
      <c r="E2053" s="29">
        <v>176.0</v>
      </c>
      <c r="F2053" s="30" t="s">
        <v>1036</v>
      </c>
      <c r="G2053" s="29" t="s">
        <v>615</v>
      </c>
      <c r="H2053" s="31">
        <v>0.6</v>
      </c>
      <c r="I2053" s="29" t="s">
        <v>597</v>
      </c>
      <c r="J2053" s="32" t="s">
        <v>598</v>
      </c>
      <c r="K2053" s="29" t="s">
        <v>840</v>
      </c>
      <c r="L2053" s="29" t="s">
        <v>1270</v>
      </c>
      <c r="M2053" s="36">
        <v>-89.716</v>
      </c>
      <c r="N2053" s="36">
        <v>18.935</v>
      </c>
      <c r="O2053" s="34" t="s">
        <v>641</v>
      </c>
      <c r="P2053" s="32" t="s">
        <v>602</v>
      </c>
      <c r="Q2053" s="29">
        <v>32.0</v>
      </c>
      <c r="R2053" s="29">
        <v>31.0</v>
      </c>
      <c r="S2053" s="36">
        <v>4.26</v>
      </c>
      <c r="T2053" s="36">
        <v>1.48</v>
      </c>
      <c r="U2053" s="36">
        <f t="shared" ref="U2053:V2053" si="452">SQRT(S2053)</f>
        <v>2.063976744</v>
      </c>
      <c r="V2053" s="36">
        <f t="shared" si="452"/>
        <v>1.216552506</v>
      </c>
      <c r="W2053" s="35" t="s">
        <v>603</v>
      </c>
      <c r="X2053" s="31">
        <v>3.5</v>
      </c>
      <c r="Y2053" s="36">
        <v>1.0573167015742024</v>
      </c>
      <c r="Z2053" s="36">
        <v>0.02913167028909873</v>
      </c>
      <c r="AA2053" s="29" t="s">
        <v>820</v>
      </c>
      <c r="AB2053" s="51">
        <v>7.719</v>
      </c>
      <c r="AC2053" s="43">
        <v>1565.0</v>
      </c>
    </row>
    <row r="2054" ht="14.25" customHeight="1">
      <c r="A2054" s="29" t="s">
        <v>495</v>
      </c>
      <c r="B2054" s="29">
        <v>134.0</v>
      </c>
      <c r="C2054" s="29" t="s">
        <v>608</v>
      </c>
      <c r="D2054" s="29" t="s">
        <v>639</v>
      </c>
      <c r="E2054" s="29">
        <v>190.0</v>
      </c>
      <c r="F2054" s="30" t="s">
        <v>640</v>
      </c>
      <c r="G2054" s="29" t="s">
        <v>626</v>
      </c>
      <c r="H2054" s="31">
        <v>32.23</v>
      </c>
      <c r="I2054" s="29" t="s">
        <v>597</v>
      </c>
      <c r="J2054" s="32" t="s">
        <v>598</v>
      </c>
      <c r="K2054" s="29" t="s">
        <v>840</v>
      </c>
      <c r="L2054" s="29" t="s">
        <v>1270</v>
      </c>
      <c r="M2054" s="36">
        <v>-89.716</v>
      </c>
      <c r="N2054" s="36">
        <v>18.935</v>
      </c>
      <c r="O2054" s="34" t="s">
        <v>641</v>
      </c>
      <c r="P2054" s="32" t="s">
        <v>602</v>
      </c>
      <c r="Q2054" s="29">
        <v>32.0</v>
      </c>
      <c r="R2054" s="29">
        <v>31.0</v>
      </c>
      <c r="S2054" s="36">
        <v>0.0</v>
      </c>
      <c r="T2054" s="36">
        <v>0.09</v>
      </c>
      <c r="U2054" s="36">
        <f t="shared" ref="U2054:V2054" si="453">SQRT(S2054)</f>
        <v>0</v>
      </c>
      <c r="V2054" s="36">
        <f t="shared" si="453"/>
        <v>0.3</v>
      </c>
      <c r="W2054" s="35" t="s">
        <v>1072</v>
      </c>
      <c r="X2054" s="31">
        <v>3.5</v>
      </c>
      <c r="Y2054" s="36">
        <v>-8.262558973010657</v>
      </c>
      <c r="Z2054" s="36">
        <v>0.09055813355450326</v>
      </c>
      <c r="AA2054" s="29" t="s">
        <v>820</v>
      </c>
      <c r="AB2054" s="51">
        <v>7.719</v>
      </c>
      <c r="AC2054" s="43">
        <v>1565.0</v>
      </c>
    </row>
    <row r="2055" ht="14.25" customHeight="1">
      <c r="A2055" s="29" t="s">
        <v>495</v>
      </c>
      <c r="B2055" s="29">
        <v>135.0</v>
      </c>
      <c r="C2055" s="29" t="s">
        <v>593</v>
      </c>
      <c r="D2055" s="29" t="s">
        <v>838</v>
      </c>
      <c r="E2055" s="29">
        <v>62.0</v>
      </c>
      <c r="F2055" s="30" t="s">
        <v>839</v>
      </c>
      <c r="G2055" s="29" t="s">
        <v>607</v>
      </c>
      <c r="H2055" s="31">
        <v>4.13</v>
      </c>
      <c r="I2055" s="29" t="s">
        <v>597</v>
      </c>
      <c r="J2055" s="32" t="s">
        <v>598</v>
      </c>
      <c r="K2055" s="29" t="s">
        <v>840</v>
      </c>
      <c r="L2055" s="29" t="s">
        <v>1270</v>
      </c>
      <c r="M2055" s="36">
        <v>-88.146</v>
      </c>
      <c r="N2055" s="36">
        <v>19.449</v>
      </c>
      <c r="O2055" s="34" t="s">
        <v>641</v>
      </c>
      <c r="P2055" s="32" t="s">
        <v>602</v>
      </c>
      <c r="Q2055" s="29">
        <v>30.0</v>
      </c>
      <c r="R2055" s="29">
        <v>29.0</v>
      </c>
      <c r="S2055" s="36">
        <v>0.18</v>
      </c>
      <c r="T2055" s="36">
        <v>0.36</v>
      </c>
      <c r="U2055" s="36">
        <f t="shared" ref="U2055:V2055" si="454">SQRT(S2055)</f>
        <v>0.4242640687</v>
      </c>
      <c r="V2055" s="36">
        <f t="shared" si="454"/>
        <v>0.6</v>
      </c>
      <c r="W2055" s="35" t="s">
        <v>1072</v>
      </c>
      <c r="X2055" s="31">
        <v>3.5</v>
      </c>
      <c r="Y2055" s="36">
        <v>-0.6905463988598879</v>
      </c>
      <c r="Z2055" s="36">
        <v>0.28097062579821197</v>
      </c>
      <c r="AA2055" s="29" t="s">
        <v>820</v>
      </c>
      <c r="AB2055" s="51">
        <v>3.364</v>
      </c>
      <c r="AC2055" s="35">
        <v>380.0</v>
      </c>
    </row>
    <row r="2056" ht="14.25" customHeight="1">
      <c r="A2056" s="29" t="s">
        <v>495</v>
      </c>
      <c r="B2056" s="29">
        <v>135.0</v>
      </c>
      <c r="C2056" s="29" t="s">
        <v>593</v>
      </c>
      <c r="D2056" s="29" t="s">
        <v>838</v>
      </c>
      <c r="E2056" s="29">
        <v>62.0</v>
      </c>
      <c r="F2056" s="30" t="s">
        <v>839</v>
      </c>
      <c r="G2056" s="29" t="s">
        <v>607</v>
      </c>
      <c r="H2056" s="31">
        <v>4.13</v>
      </c>
      <c r="I2056" s="29" t="s">
        <v>597</v>
      </c>
      <c r="J2056" s="32" t="s">
        <v>598</v>
      </c>
      <c r="K2056" s="29" t="s">
        <v>840</v>
      </c>
      <c r="L2056" s="29" t="s">
        <v>1270</v>
      </c>
      <c r="M2056" s="36">
        <v>-88.183</v>
      </c>
      <c r="N2056" s="36">
        <v>19.312</v>
      </c>
      <c r="O2056" s="34" t="s">
        <v>641</v>
      </c>
      <c r="P2056" s="32" t="s">
        <v>602</v>
      </c>
      <c r="Q2056" s="29">
        <v>30.0</v>
      </c>
      <c r="R2056" s="29">
        <v>29.0</v>
      </c>
      <c r="S2056" s="36">
        <v>0.44</v>
      </c>
      <c r="T2056" s="36">
        <v>0.36</v>
      </c>
      <c r="U2056" s="36">
        <f t="shared" ref="U2056:V2056" si="455">SQRT(S2056)</f>
        <v>0.6633249581</v>
      </c>
      <c r="V2056" s="36">
        <f t="shared" si="455"/>
        <v>0.6</v>
      </c>
      <c r="W2056" s="35" t="s">
        <v>1072</v>
      </c>
      <c r="X2056" s="31">
        <v>3.5</v>
      </c>
      <c r="Y2056" s="36">
        <v>0.20173546929833072</v>
      </c>
      <c r="Z2056" s="36">
        <v>0.17154301637060257</v>
      </c>
      <c r="AA2056" s="29" t="s">
        <v>820</v>
      </c>
      <c r="AB2056" s="51">
        <v>3.364</v>
      </c>
      <c r="AC2056" s="35">
        <v>192.0</v>
      </c>
    </row>
    <row r="2057" ht="14.25" customHeight="1">
      <c r="A2057" s="29" t="s">
        <v>495</v>
      </c>
      <c r="B2057" s="29">
        <v>135.0</v>
      </c>
      <c r="C2057" s="29" t="s">
        <v>593</v>
      </c>
      <c r="D2057" s="29" t="s">
        <v>594</v>
      </c>
      <c r="E2057" s="29">
        <v>67.0</v>
      </c>
      <c r="F2057" s="30" t="s">
        <v>595</v>
      </c>
      <c r="G2057" s="29" t="s">
        <v>596</v>
      </c>
      <c r="H2057" s="31">
        <v>0.4</v>
      </c>
      <c r="I2057" s="29" t="s">
        <v>597</v>
      </c>
      <c r="J2057" s="32" t="s">
        <v>598</v>
      </c>
      <c r="K2057" s="29" t="s">
        <v>840</v>
      </c>
      <c r="L2057" s="29" t="s">
        <v>1270</v>
      </c>
      <c r="M2057" s="36">
        <v>-88.146</v>
      </c>
      <c r="N2057" s="36">
        <v>19.449</v>
      </c>
      <c r="O2057" s="34" t="s">
        <v>641</v>
      </c>
      <c r="P2057" s="32" t="s">
        <v>602</v>
      </c>
      <c r="Q2057" s="29">
        <v>30.0</v>
      </c>
      <c r="R2057" s="29">
        <v>29.0</v>
      </c>
      <c r="S2057" s="36">
        <v>0.35</v>
      </c>
      <c r="T2057" s="36">
        <v>1.0</v>
      </c>
      <c r="U2057" s="36">
        <f t="shared" ref="U2057:V2057" si="456">SQRT(S2057)</f>
        <v>0.5916079783</v>
      </c>
      <c r="V2057" s="36">
        <f t="shared" si="456"/>
        <v>1</v>
      </c>
      <c r="W2057" s="35" t="s">
        <v>603</v>
      </c>
      <c r="X2057" s="31">
        <v>3.5</v>
      </c>
      <c r="Y2057" s="36">
        <v>-1.0461087893740169</v>
      </c>
      <c r="Z2057" s="36">
        <v>0.1297208538587849</v>
      </c>
      <c r="AA2057" s="29" t="s">
        <v>820</v>
      </c>
      <c r="AB2057" s="51">
        <v>3.364</v>
      </c>
      <c r="AC2057" s="35">
        <v>380.0</v>
      </c>
    </row>
    <row r="2058" ht="14.25" customHeight="1">
      <c r="A2058" s="29" t="s">
        <v>495</v>
      </c>
      <c r="B2058" s="29">
        <v>135.0</v>
      </c>
      <c r="C2058" s="29" t="s">
        <v>593</v>
      </c>
      <c r="D2058" s="29" t="s">
        <v>594</v>
      </c>
      <c r="E2058" s="29">
        <v>67.0</v>
      </c>
      <c r="F2058" s="30" t="s">
        <v>595</v>
      </c>
      <c r="G2058" s="29" t="s">
        <v>596</v>
      </c>
      <c r="H2058" s="31">
        <v>0.4</v>
      </c>
      <c r="I2058" s="29" t="s">
        <v>597</v>
      </c>
      <c r="J2058" s="32" t="s">
        <v>598</v>
      </c>
      <c r="K2058" s="29" t="s">
        <v>840</v>
      </c>
      <c r="L2058" s="29" t="s">
        <v>1270</v>
      </c>
      <c r="M2058" s="36">
        <v>-88.183</v>
      </c>
      <c r="N2058" s="36">
        <v>19.312</v>
      </c>
      <c r="O2058" s="34" t="s">
        <v>641</v>
      </c>
      <c r="P2058" s="32" t="s">
        <v>602</v>
      </c>
      <c r="Q2058" s="29">
        <v>30.0</v>
      </c>
      <c r="R2058" s="29">
        <v>29.0</v>
      </c>
      <c r="S2058" s="36">
        <v>1.67</v>
      </c>
      <c r="T2058" s="36">
        <v>1.0</v>
      </c>
      <c r="U2058" s="36">
        <f t="shared" ref="U2058:V2058" si="457">SQRT(S2058)</f>
        <v>1.292284798</v>
      </c>
      <c r="V2058" s="36">
        <f t="shared" si="457"/>
        <v>1</v>
      </c>
      <c r="W2058" s="35" t="s">
        <v>603</v>
      </c>
      <c r="X2058" s="31">
        <v>3.5</v>
      </c>
      <c r="Y2058" s="36">
        <v>0.5136030132465992</v>
      </c>
      <c r="Z2058" s="36">
        <v>0.054442838461009016</v>
      </c>
      <c r="AA2058" s="29" t="s">
        <v>820</v>
      </c>
      <c r="AB2058" s="51">
        <v>3.364</v>
      </c>
      <c r="AC2058" s="35">
        <v>192.0</v>
      </c>
    </row>
    <row r="2059" ht="14.25" customHeight="1">
      <c r="A2059" s="29" t="s">
        <v>495</v>
      </c>
      <c r="B2059" s="29">
        <v>135.0</v>
      </c>
      <c r="C2059" s="29" t="s">
        <v>593</v>
      </c>
      <c r="D2059" s="29" t="s">
        <v>842</v>
      </c>
      <c r="E2059" s="29">
        <v>269.0</v>
      </c>
      <c r="F2059" s="30" t="s">
        <v>843</v>
      </c>
      <c r="G2059" s="29" t="s">
        <v>607</v>
      </c>
      <c r="H2059" s="31">
        <v>5.525</v>
      </c>
      <c r="I2059" s="29" t="s">
        <v>616</v>
      </c>
      <c r="J2059" s="32" t="s">
        <v>598</v>
      </c>
      <c r="K2059" s="29" t="s">
        <v>840</v>
      </c>
      <c r="L2059" s="29" t="s">
        <v>1270</v>
      </c>
      <c r="M2059" s="36">
        <v>-88.183</v>
      </c>
      <c r="N2059" s="36">
        <v>19.312</v>
      </c>
      <c r="O2059" s="34" t="s">
        <v>641</v>
      </c>
      <c r="P2059" s="32" t="s">
        <v>602</v>
      </c>
      <c r="Q2059" s="29">
        <v>30.0</v>
      </c>
      <c r="R2059" s="29">
        <v>29.0</v>
      </c>
      <c r="S2059" s="36">
        <v>0.18</v>
      </c>
      <c r="T2059" s="36">
        <v>0.36</v>
      </c>
      <c r="U2059" s="36">
        <f t="shared" ref="U2059:V2059" si="458">SQRT(S2059)</f>
        <v>0.4242640687</v>
      </c>
      <c r="V2059" s="36">
        <f t="shared" si="458"/>
        <v>0.6</v>
      </c>
      <c r="W2059" s="35" t="s">
        <v>1072</v>
      </c>
      <c r="X2059" s="31">
        <v>3.5</v>
      </c>
      <c r="Y2059" s="36">
        <v>-0.6905463988598879</v>
      </c>
      <c r="Z2059" s="36">
        <v>0.28097062579821197</v>
      </c>
      <c r="AA2059" s="29" t="s">
        <v>820</v>
      </c>
      <c r="AB2059" s="51">
        <v>3.364</v>
      </c>
      <c r="AC2059" s="35">
        <v>192.0</v>
      </c>
    </row>
    <row r="2060" ht="14.25" customHeight="1">
      <c r="A2060" s="29" t="s">
        <v>495</v>
      </c>
      <c r="B2060" s="29">
        <v>135.0</v>
      </c>
      <c r="C2060" s="29" t="s">
        <v>593</v>
      </c>
      <c r="D2060" s="29" t="s">
        <v>842</v>
      </c>
      <c r="E2060" s="29">
        <v>269.0</v>
      </c>
      <c r="F2060" s="30" t="s">
        <v>843</v>
      </c>
      <c r="G2060" s="29" t="s">
        <v>607</v>
      </c>
      <c r="H2060" s="31">
        <v>5.525</v>
      </c>
      <c r="I2060" s="29" t="s">
        <v>616</v>
      </c>
      <c r="J2060" s="32" t="s">
        <v>598</v>
      </c>
      <c r="K2060" s="29" t="s">
        <v>840</v>
      </c>
      <c r="L2060" s="29" t="s">
        <v>1270</v>
      </c>
      <c r="M2060" s="36">
        <v>-88.146</v>
      </c>
      <c r="N2060" s="36">
        <v>19.449</v>
      </c>
      <c r="O2060" s="34" t="s">
        <v>641</v>
      </c>
      <c r="P2060" s="32" t="s">
        <v>602</v>
      </c>
      <c r="Q2060" s="29">
        <v>30.0</v>
      </c>
      <c r="R2060" s="29">
        <v>29.0</v>
      </c>
      <c r="S2060" s="36">
        <v>0.35</v>
      </c>
      <c r="T2060" s="36">
        <v>0.36</v>
      </c>
      <c r="U2060" s="36">
        <f t="shared" ref="U2060:V2060" si="459">SQRT(S2060)</f>
        <v>0.5916079783</v>
      </c>
      <c r="V2060" s="36">
        <f t="shared" si="459"/>
        <v>0.6</v>
      </c>
      <c r="W2060" s="35" t="s">
        <v>1072</v>
      </c>
      <c r="X2060" s="31">
        <v>3.5</v>
      </c>
      <c r="Y2060" s="36">
        <v>-0.02683248729557363</v>
      </c>
      <c r="Z2060" s="36">
        <v>0.19102353585112208</v>
      </c>
      <c r="AA2060" s="29" t="s">
        <v>820</v>
      </c>
      <c r="AB2060" s="51">
        <v>3.364</v>
      </c>
      <c r="AC2060" s="35">
        <v>380.0</v>
      </c>
    </row>
    <row r="2061" ht="14.25" customHeight="1">
      <c r="A2061" s="29" t="s">
        <v>495</v>
      </c>
      <c r="B2061" s="29">
        <v>135.0</v>
      </c>
      <c r="C2061" s="29" t="s">
        <v>593</v>
      </c>
      <c r="D2061" s="29" t="s">
        <v>844</v>
      </c>
      <c r="E2061" s="29">
        <v>120.0</v>
      </c>
      <c r="F2061" s="30" t="s">
        <v>845</v>
      </c>
      <c r="G2061" s="29" t="s">
        <v>607</v>
      </c>
      <c r="H2061" s="31">
        <v>0.56</v>
      </c>
      <c r="I2061" s="29" t="s">
        <v>597</v>
      </c>
      <c r="J2061" s="32" t="s">
        <v>598</v>
      </c>
      <c r="K2061" s="29" t="s">
        <v>840</v>
      </c>
      <c r="L2061" s="29" t="s">
        <v>1270</v>
      </c>
      <c r="M2061" s="36">
        <v>-88.183</v>
      </c>
      <c r="N2061" s="36">
        <v>19.312</v>
      </c>
      <c r="O2061" s="34" t="s">
        <v>641</v>
      </c>
      <c r="P2061" s="32" t="s">
        <v>602</v>
      </c>
      <c r="Q2061" s="29">
        <v>30.0</v>
      </c>
      <c r="R2061" s="29">
        <v>29.0</v>
      </c>
      <c r="S2061" s="36">
        <v>2.02</v>
      </c>
      <c r="T2061" s="36">
        <v>1.9</v>
      </c>
      <c r="U2061" s="36">
        <f t="shared" ref="U2061:V2061" si="460">SQRT(S2061)</f>
        <v>1.42126704</v>
      </c>
      <c r="V2061" s="36">
        <f t="shared" si="460"/>
        <v>1.378404875</v>
      </c>
      <c r="W2061" s="35" t="s">
        <v>1072</v>
      </c>
      <c r="X2061" s="31">
        <v>3.5</v>
      </c>
      <c r="Y2061" s="36">
        <v>0.062467607716644336</v>
      </c>
      <c r="Z2061" s="36">
        <v>0.034650470491695264</v>
      </c>
      <c r="AA2061" s="29" t="s">
        <v>820</v>
      </c>
      <c r="AB2061" s="51">
        <v>3.364</v>
      </c>
      <c r="AC2061" s="35">
        <v>192.0</v>
      </c>
    </row>
    <row r="2062" ht="14.25" customHeight="1">
      <c r="A2062" s="29" t="s">
        <v>495</v>
      </c>
      <c r="B2062" s="29">
        <v>135.0</v>
      </c>
      <c r="C2062" s="29" t="s">
        <v>593</v>
      </c>
      <c r="D2062" s="29" t="s">
        <v>844</v>
      </c>
      <c r="E2062" s="29">
        <v>120.0</v>
      </c>
      <c r="F2062" s="30" t="s">
        <v>845</v>
      </c>
      <c r="G2062" s="29" t="s">
        <v>607</v>
      </c>
      <c r="H2062" s="31">
        <v>0.56</v>
      </c>
      <c r="I2062" s="29" t="s">
        <v>597</v>
      </c>
      <c r="J2062" s="32" t="s">
        <v>598</v>
      </c>
      <c r="K2062" s="29" t="s">
        <v>840</v>
      </c>
      <c r="L2062" s="29" t="s">
        <v>1270</v>
      </c>
      <c r="M2062" s="36">
        <v>-88.146</v>
      </c>
      <c r="N2062" s="36">
        <v>19.449</v>
      </c>
      <c r="O2062" s="34" t="s">
        <v>641</v>
      </c>
      <c r="P2062" s="32" t="s">
        <v>602</v>
      </c>
      <c r="Q2062" s="29">
        <v>30.0</v>
      </c>
      <c r="R2062" s="29">
        <v>29.0</v>
      </c>
      <c r="S2062" s="36">
        <v>2.19</v>
      </c>
      <c r="T2062" s="36">
        <v>1.9</v>
      </c>
      <c r="U2062" s="36">
        <f t="shared" ref="U2062:V2062" si="461">SQRT(S2062)</f>
        <v>1.479864859</v>
      </c>
      <c r="V2062" s="36">
        <f t="shared" si="461"/>
        <v>1.378404875</v>
      </c>
      <c r="W2062" s="35" t="s">
        <v>1072</v>
      </c>
      <c r="X2062" s="31">
        <v>3.5</v>
      </c>
      <c r="Y2062" s="36">
        <v>0.14317668140819195</v>
      </c>
      <c r="Z2062" s="36">
        <v>0.033369520478885764</v>
      </c>
      <c r="AA2062" s="29" t="s">
        <v>820</v>
      </c>
      <c r="AB2062" s="51">
        <v>3.364</v>
      </c>
      <c r="AC2062" s="35">
        <v>380.0</v>
      </c>
    </row>
    <row r="2063" ht="14.25" customHeight="1">
      <c r="A2063" s="29" t="s">
        <v>495</v>
      </c>
      <c r="B2063" s="29">
        <v>135.0</v>
      </c>
      <c r="C2063" s="29" t="s">
        <v>593</v>
      </c>
      <c r="D2063" s="29" t="s">
        <v>1030</v>
      </c>
      <c r="E2063" s="29">
        <v>161.0</v>
      </c>
      <c r="F2063" s="30" t="s">
        <v>1031</v>
      </c>
      <c r="G2063" s="29" t="s">
        <v>909</v>
      </c>
      <c r="H2063" s="31">
        <v>0.41</v>
      </c>
      <c r="I2063" s="29" t="s">
        <v>597</v>
      </c>
      <c r="J2063" s="32" t="s">
        <v>598</v>
      </c>
      <c r="K2063" s="29" t="s">
        <v>840</v>
      </c>
      <c r="L2063" s="29" t="s">
        <v>1270</v>
      </c>
      <c r="M2063" s="36">
        <v>-88.146</v>
      </c>
      <c r="N2063" s="36">
        <v>19.449</v>
      </c>
      <c r="O2063" s="34" t="s">
        <v>641</v>
      </c>
      <c r="P2063" s="32" t="s">
        <v>602</v>
      </c>
      <c r="Q2063" s="29">
        <v>30.0</v>
      </c>
      <c r="R2063" s="29">
        <v>29.0</v>
      </c>
      <c r="S2063" s="36">
        <v>2.02</v>
      </c>
      <c r="T2063" s="36">
        <v>4.09</v>
      </c>
      <c r="U2063" s="36">
        <f t="shared" ref="U2063:V2063" si="462">SQRT(S2063)</f>
        <v>1.42126704</v>
      </c>
      <c r="V2063" s="36">
        <f t="shared" si="462"/>
        <v>2.022374842</v>
      </c>
      <c r="W2063" s="35" t="s">
        <v>1072</v>
      </c>
      <c r="X2063" s="31">
        <v>3.5</v>
      </c>
      <c r="Y2063" s="36">
        <v>-0.7028145313864634</v>
      </c>
      <c r="Z2063" s="36">
        <v>0.02493264249281348</v>
      </c>
      <c r="AA2063" s="29" t="s">
        <v>820</v>
      </c>
      <c r="AB2063" s="51">
        <v>3.364</v>
      </c>
      <c r="AC2063" s="35">
        <v>380.0</v>
      </c>
    </row>
    <row r="2064" ht="14.25" customHeight="1">
      <c r="A2064" s="29" t="s">
        <v>495</v>
      </c>
      <c r="B2064" s="29">
        <v>135.0</v>
      </c>
      <c r="C2064" s="29" t="s">
        <v>593</v>
      </c>
      <c r="D2064" s="29" t="s">
        <v>1030</v>
      </c>
      <c r="E2064" s="29">
        <v>161.0</v>
      </c>
      <c r="F2064" s="30" t="s">
        <v>1031</v>
      </c>
      <c r="G2064" s="29" t="s">
        <v>909</v>
      </c>
      <c r="H2064" s="31">
        <v>0.41</v>
      </c>
      <c r="I2064" s="29" t="s">
        <v>597</v>
      </c>
      <c r="J2064" s="32" t="s">
        <v>598</v>
      </c>
      <c r="K2064" s="29" t="s">
        <v>840</v>
      </c>
      <c r="L2064" s="29" t="s">
        <v>1270</v>
      </c>
      <c r="M2064" s="36">
        <v>-88.183</v>
      </c>
      <c r="N2064" s="36">
        <v>19.312</v>
      </c>
      <c r="O2064" s="34" t="s">
        <v>641</v>
      </c>
      <c r="P2064" s="32" t="s">
        <v>602</v>
      </c>
      <c r="Q2064" s="29">
        <v>30.0</v>
      </c>
      <c r="R2064" s="29">
        <v>29.0</v>
      </c>
      <c r="S2064" s="36">
        <v>2.28</v>
      </c>
      <c r="T2064" s="36">
        <v>4.09</v>
      </c>
      <c r="U2064" s="36">
        <f t="shared" ref="U2064:V2064" si="463">SQRT(S2064)</f>
        <v>1.509966887</v>
      </c>
      <c r="V2064" s="36">
        <f t="shared" si="463"/>
        <v>2.022374842</v>
      </c>
      <c r="W2064" s="35" t="s">
        <v>1072</v>
      </c>
      <c r="X2064" s="31">
        <v>3.5</v>
      </c>
      <c r="Y2064" s="36">
        <v>-0.5820364959716912</v>
      </c>
      <c r="Z2064" s="36">
        <v>0.023050875368732654</v>
      </c>
      <c r="AA2064" s="29" t="s">
        <v>820</v>
      </c>
      <c r="AB2064" s="51">
        <v>3.364</v>
      </c>
      <c r="AC2064" s="35">
        <v>192.0</v>
      </c>
    </row>
    <row r="2065" ht="14.25" customHeight="1">
      <c r="A2065" s="29" t="s">
        <v>495</v>
      </c>
      <c r="B2065" s="29">
        <v>135.0</v>
      </c>
      <c r="C2065" s="29" t="s">
        <v>608</v>
      </c>
      <c r="D2065" s="42" t="s">
        <v>1416</v>
      </c>
      <c r="E2065" s="29">
        <v>300.0</v>
      </c>
      <c r="F2065" s="39" t="s">
        <v>1417</v>
      </c>
      <c r="G2065" s="29" t="s">
        <v>611</v>
      </c>
      <c r="H2065" s="31">
        <v>7.00003</v>
      </c>
      <c r="I2065" s="29" t="s">
        <v>612</v>
      </c>
      <c r="J2065" s="32" t="s">
        <v>598</v>
      </c>
      <c r="K2065" s="29" t="s">
        <v>840</v>
      </c>
      <c r="L2065" s="29" t="s">
        <v>1270</v>
      </c>
      <c r="M2065" s="36">
        <v>-88.183</v>
      </c>
      <c r="N2065" s="36">
        <v>19.312</v>
      </c>
      <c r="O2065" s="34" t="s">
        <v>641</v>
      </c>
      <c r="P2065" s="32" t="s">
        <v>602</v>
      </c>
      <c r="Q2065" s="29">
        <v>30.0</v>
      </c>
      <c r="R2065" s="29">
        <v>29.0</v>
      </c>
      <c r="S2065" s="36">
        <v>0.0</v>
      </c>
      <c r="T2065" s="36">
        <v>0.09</v>
      </c>
      <c r="U2065" s="36">
        <f t="shared" ref="U2065:V2065" si="464">SQRT(S2065)</f>
        <v>0</v>
      </c>
      <c r="V2065" s="36">
        <f t="shared" si="464"/>
        <v>0.3</v>
      </c>
      <c r="W2065" s="35" t="s">
        <v>1072</v>
      </c>
      <c r="X2065" s="31">
        <v>3.5</v>
      </c>
      <c r="Y2065" s="36">
        <v>-8.262558973010657</v>
      </c>
      <c r="Z2065" s="36">
        <v>0.09673168299504373</v>
      </c>
      <c r="AA2065" s="29" t="s">
        <v>820</v>
      </c>
      <c r="AB2065" s="51">
        <v>3.364</v>
      </c>
      <c r="AC2065" s="35">
        <v>192.0</v>
      </c>
    </row>
    <row r="2066" ht="14.25" customHeight="1">
      <c r="A2066" s="29" t="s">
        <v>495</v>
      </c>
      <c r="B2066" s="29">
        <v>135.0</v>
      </c>
      <c r="C2066" s="29" t="s">
        <v>608</v>
      </c>
      <c r="D2066" s="42" t="s">
        <v>1416</v>
      </c>
      <c r="E2066" s="29">
        <v>300.0</v>
      </c>
      <c r="F2066" s="39" t="s">
        <v>1417</v>
      </c>
      <c r="G2066" s="29" t="s">
        <v>611</v>
      </c>
      <c r="H2066" s="31">
        <v>7.00003</v>
      </c>
      <c r="I2066" s="29" t="s">
        <v>612</v>
      </c>
      <c r="J2066" s="32" t="s">
        <v>598</v>
      </c>
      <c r="K2066" s="29" t="s">
        <v>840</v>
      </c>
      <c r="L2066" s="29" t="s">
        <v>1270</v>
      </c>
      <c r="M2066" s="36">
        <v>-88.146</v>
      </c>
      <c r="N2066" s="36">
        <v>19.449</v>
      </c>
      <c r="O2066" s="34" t="s">
        <v>641</v>
      </c>
      <c r="P2066" s="32" t="s">
        <v>602</v>
      </c>
      <c r="Q2066" s="29">
        <v>30.0</v>
      </c>
      <c r="R2066" s="29">
        <v>29.0</v>
      </c>
      <c r="S2066" s="36">
        <v>0.09</v>
      </c>
      <c r="T2066" s="36">
        <v>0.09</v>
      </c>
      <c r="U2066" s="36">
        <f t="shared" ref="U2066:V2066" si="465">SQRT(S2066)</f>
        <v>0.3</v>
      </c>
      <c r="V2066" s="36">
        <f t="shared" si="465"/>
        <v>0.3</v>
      </c>
      <c r="W2066" s="35" t="s">
        <v>1072</v>
      </c>
      <c r="X2066" s="31">
        <v>3.5</v>
      </c>
      <c r="Y2066" s="36">
        <v>2.5796466027220563E-4</v>
      </c>
      <c r="Z2066" s="36">
        <v>0.7535121328224776</v>
      </c>
      <c r="AA2066" s="29" t="s">
        <v>820</v>
      </c>
      <c r="AB2066" s="51">
        <v>3.364</v>
      </c>
      <c r="AC2066" s="35">
        <v>380.0</v>
      </c>
    </row>
    <row r="2067" ht="14.25" customHeight="1">
      <c r="A2067" s="29" t="s">
        <v>495</v>
      </c>
      <c r="B2067" s="29">
        <v>135.0</v>
      </c>
      <c r="C2067" s="29" t="s">
        <v>608</v>
      </c>
      <c r="D2067" s="29" t="s">
        <v>957</v>
      </c>
      <c r="E2067" s="29">
        <v>16.0</v>
      </c>
      <c r="F2067" s="30" t="s">
        <v>958</v>
      </c>
      <c r="G2067" s="29" t="s">
        <v>611</v>
      </c>
      <c r="H2067" s="31">
        <v>5.28</v>
      </c>
      <c r="I2067" s="29" t="s">
        <v>597</v>
      </c>
      <c r="J2067" s="32" t="s">
        <v>598</v>
      </c>
      <c r="K2067" s="29" t="s">
        <v>840</v>
      </c>
      <c r="L2067" s="29" t="s">
        <v>1270</v>
      </c>
      <c r="M2067" s="36">
        <v>-88.146</v>
      </c>
      <c r="N2067" s="36">
        <v>19.449</v>
      </c>
      <c r="O2067" s="34" t="s">
        <v>641</v>
      </c>
      <c r="P2067" s="32" t="s">
        <v>602</v>
      </c>
      <c r="Q2067" s="29">
        <v>30.0</v>
      </c>
      <c r="R2067" s="29">
        <v>29.0</v>
      </c>
      <c r="S2067" s="36">
        <v>0.09</v>
      </c>
      <c r="T2067" s="36">
        <v>0.45</v>
      </c>
      <c r="U2067" s="36">
        <f t="shared" ref="U2067:V2067" si="466">SQRT(S2067)</f>
        <v>0.3</v>
      </c>
      <c r="V2067" s="36">
        <f t="shared" si="466"/>
        <v>0.6708203932</v>
      </c>
      <c r="W2067" s="35" t="s">
        <v>1072</v>
      </c>
      <c r="X2067" s="31">
        <v>3.5</v>
      </c>
      <c r="Y2067" s="36">
        <v>-1.608148754075851</v>
      </c>
      <c r="Z2067" s="36">
        <v>0.4469987228607918</v>
      </c>
      <c r="AA2067" s="29" t="s">
        <v>820</v>
      </c>
      <c r="AB2067" s="51">
        <v>3.364</v>
      </c>
      <c r="AC2067" s="35">
        <v>380.0</v>
      </c>
    </row>
    <row r="2068" ht="14.25" customHeight="1">
      <c r="A2068" s="29" t="s">
        <v>495</v>
      </c>
      <c r="B2068" s="29">
        <v>135.0</v>
      </c>
      <c r="C2068" s="29" t="s">
        <v>608</v>
      </c>
      <c r="D2068" s="29" t="s">
        <v>957</v>
      </c>
      <c r="E2068" s="29">
        <v>16.0</v>
      </c>
      <c r="F2068" s="30" t="s">
        <v>958</v>
      </c>
      <c r="G2068" s="29" t="s">
        <v>611</v>
      </c>
      <c r="H2068" s="31">
        <v>5.28</v>
      </c>
      <c r="I2068" s="29" t="s">
        <v>597</v>
      </c>
      <c r="J2068" s="32" t="s">
        <v>598</v>
      </c>
      <c r="K2068" s="29" t="s">
        <v>840</v>
      </c>
      <c r="L2068" s="29" t="s">
        <v>1270</v>
      </c>
      <c r="M2068" s="36">
        <v>-88.183</v>
      </c>
      <c r="N2068" s="36">
        <v>19.312</v>
      </c>
      <c r="O2068" s="34" t="s">
        <v>641</v>
      </c>
      <c r="P2068" s="32" t="s">
        <v>602</v>
      </c>
      <c r="Q2068" s="29">
        <v>30.0</v>
      </c>
      <c r="R2068" s="29">
        <v>29.0</v>
      </c>
      <c r="S2068" s="36">
        <v>0.09</v>
      </c>
      <c r="T2068" s="36">
        <v>0.45</v>
      </c>
      <c r="U2068" s="36">
        <f t="shared" ref="U2068:V2068" si="467">SQRT(S2068)</f>
        <v>0.3</v>
      </c>
      <c r="V2068" s="36">
        <f t="shared" si="467"/>
        <v>0.6708203932</v>
      </c>
      <c r="W2068" s="35" t="s">
        <v>1072</v>
      </c>
      <c r="X2068" s="31">
        <v>3.5</v>
      </c>
      <c r="Y2068" s="36">
        <v>-1.608148754075851</v>
      </c>
      <c r="Z2068" s="36">
        <v>0.4469987228607918</v>
      </c>
      <c r="AA2068" s="29" t="s">
        <v>820</v>
      </c>
      <c r="AB2068" s="51">
        <v>3.364</v>
      </c>
      <c r="AC2068" s="35">
        <v>192.0</v>
      </c>
    </row>
    <row r="2069" ht="14.25" customHeight="1">
      <c r="A2069" s="29" t="s">
        <v>495</v>
      </c>
      <c r="B2069" s="29">
        <v>135.0</v>
      </c>
      <c r="C2069" s="29" t="s">
        <v>608</v>
      </c>
      <c r="D2069" s="29" t="s">
        <v>961</v>
      </c>
      <c r="E2069" s="29">
        <v>73.0</v>
      </c>
      <c r="F2069" s="30" t="s">
        <v>962</v>
      </c>
      <c r="G2069" s="29" t="s">
        <v>615</v>
      </c>
      <c r="H2069" s="31">
        <v>2.67</v>
      </c>
      <c r="I2069" s="29" t="s">
        <v>616</v>
      </c>
      <c r="J2069" s="32" t="s">
        <v>598</v>
      </c>
      <c r="K2069" s="29" t="s">
        <v>840</v>
      </c>
      <c r="L2069" s="29" t="s">
        <v>1270</v>
      </c>
      <c r="M2069" s="36">
        <v>-88.146</v>
      </c>
      <c r="N2069" s="36">
        <v>19.449</v>
      </c>
      <c r="O2069" s="34" t="s">
        <v>641</v>
      </c>
      <c r="P2069" s="32" t="s">
        <v>602</v>
      </c>
      <c r="Q2069" s="29">
        <v>30.0</v>
      </c>
      <c r="R2069" s="29">
        <v>29.0</v>
      </c>
      <c r="S2069" s="36">
        <v>0.09</v>
      </c>
      <c r="T2069" s="36">
        <v>0.91</v>
      </c>
      <c r="U2069" s="36">
        <f t="shared" ref="U2069:V2069" si="468">SQRT(S2069)</f>
        <v>0.3</v>
      </c>
      <c r="V2069" s="36">
        <f t="shared" si="468"/>
        <v>0.9539392014</v>
      </c>
      <c r="W2069" s="35" t="s">
        <v>603</v>
      </c>
      <c r="X2069" s="31">
        <v>3.5</v>
      </c>
      <c r="Y2069" s="36">
        <v>-2.3110296799938252</v>
      </c>
      <c r="Z2069" s="36">
        <v>0.40826351171178754</v>
      </c>
      <c r="AA2069" s="29" t="s">
        <v>820</v>
      </c>
      <c r="AB2069" s="51">
        <v>3.364</v>
      </c>
      <c r="AC2069" s="35">
        <v>380.0</v>
      </c>
    </row>
    <row r="2070" ht="14.25" customHeight="1">
      <c r="A2070" s="29" t="s">
        <v>495</v>
      </c>
      <c r="B2070" s="29">
        <v>135.0</v>
      </c>
      <c r="C2070" s="29" t="s">
        <v>608</v>
      </c>
      <c r="D2070" s="29" t="s">
        <v>961</v>
      </c>
      <c r="E2070" s="29">
        <v>73.0</v>
      </c>
      <c r="F2070" s="30" t="s">
        <v>962</v>
      </c>
      <c r="G2070" s="29" t="s">
        <v>615</v>
      </c>
      <c r="H2070" s="31">
        <v>2.67</v>
      </c>
      <c r="I2070" s="29" t="s">
        <v>616</v>
      </c>
      <c r="J2070" s="32" t="s">
        <v>598</v>
      </c>
      <c r="K2070" s="29" t="s">
        <v>840</v>
      </c>
      <c r="L2070" s="29" t="s">
        <v>1270</v>
      </c>
      <c r="M2070" s="36">
        <v>-88.183</v>
      </c>
      <c r="N2070" s="36">
        <v>19.312</v>
      </c>
      <c r="O2070" s="34" t="s">
        <v>641</v>
      </c>
      <c r="P2070" s="32" t="s">
        <v>602</v>
      </c>
      <c r="Q2070" s="29">
        <v>30.0</v>
      </c>
      <c r="R2070" s="29">
        <v>29.0</v>
      </c>
      <c r="S2070" s="36">
        <v>0.26</v>
      </c>
      <c r="T2070" s="36">
        <v>0.91</v>
      </c>
      <c r="U2070" s="36">
        <f t="shared" ref="U2070:V2070" si="469">SQRT(S2070)</f>
        <v>0.5099019514</v>
      </c>
      <c r="V2070" s="36">
        <f t="shared" si="469"/>
        <v>0.9539392014</v>
      </c>
      <c r="W2070" s="35" t="s">
        <v>603</v>
      </c>
      <c r="X2070" s="31">
        <v>3.5</v>
      </c>
      <c r="Y2070" s="36">
        <v>-1.251860383172021</v>
      </c>
      <c r="Z2070" s="36">
        <v>0.16609826954654544</v>
      </c>
      <c r="AA2070" s="29" t="s">
        <v>820</v>
      </c>
      <c r="AB2070" s="51">
        <v>3.364</v>
      </c>
      <c r="AC2070" s="35">
        <v>192.0</v>
      </c>
    </row>
    <row r="2071" ht="14.25" customHeight="1">
      <c r="A2071" s="29" t="s">
        <v>495</v>
      </c>
      <c r="B2071" s="29">
        <v>135.0</v>
      </c>
      <c r="C2071" s="29" t="s">
        <v>608</v>
      </c>
      <c r="D2071" s="29" t="s">
        <v>851</v>
      </c>
      <c r="E2071" s="29">
        <v>102.0</v>
      </c>
      <c r="F2071" s="30" t="s">
        <v>852</v>
      </c>
      <c r="G2071" s="29" t="s">
        <v>626</v>
      </c>
      <c r="H2071" s="31">
        <v>16.5</v>
      </c>
      <c r="I2071" s="29" t="s">
        <v>612</v>
      </c>
      <c r="J2071" s="32" t="s">
        <v>598</v>
      </c>
      <c r="K2071" s="29" t="s">
        <v>840</v>
      </c>
      <c r="L2071" s="29" t="s">
        <v>1270</v>
      </c>
      <c r="M2071" s="36">
        <v>-88.146</v>
      </c>
      <c r="N2071" s="36">
        <v>19.449</v>
      </c>
      <c r="O2071" s="34" t="s">
        <v>641</v>
      </c>
      <c r="P2071" s="32" t="s">
        <v>602</v>
      </c>
      <c r="Q2071" s="29">
        <v>30.0</v>
      </c>
      <c r="R2071" s="29">
        <v>29.0</v>
      </c>
      <c r="S2071" s="36">
        <v>0.0</v>
      </c>
      <c r="T2071" s="36">
        <v>0.64</v>
      </c>
      <c r="U2071" s="36">
        <f t="shared" ref="U2071:V2071" si="470">SQRT(S2071)</f>
        <v>0</v>
      </c>
      <c r="V2071" s="36">
        <f t="shared" si="470"/>
        <v>0.8</v>
      </c>
      <c r="W2071" s="35" t="s">
        <v>603</v>
      </c>
      <c r="X2071" s="31">
        <v>3.5</v>
      </c>
      <c r="Y2071" s="36">
        <v>-8.262558973010657</v>
      </c>
      <c r="Z2071" s="36">
        <v>0.07817471688901624</v>
      </c>
      <c r="AA2071" s="29" t="s">
        <v>820</v>
      </c>
      <c r="AB2071" s="51">
        <v>3.364</v>
      </c>
      <c r="AC2071" s="35">
        <v>380.0</v>
      </c>
    </row>
    <row r="2072" ht="14.25" customHeight="1">
      <c r="A2072" s="29" t="s">
        <v>495</v>
      </c>
      <c r="B2072" s="29">
        <v>135.0</v>
      </c>
      <c r="C2072" s="29" t="s">
        <v>608</v>
      </c>
      <c r="D2072" s="29" t="s">
        <v>851</v>
      </c>
      <c r="E2072" s="29">
        <v>102.0</v>
      </c>
      <c r="F2072" s="30" t="s">
        <v>852</v>
      </c>
      <c r="G2072" s="29" t="s">
        <v>626</v>
      </c>
      <c r="H2072" s="31">
        <v>16.5</v>
      </c>
      <c r="I2072" s="29" t="s">
        <v>612</v>
      </c>
      <c r="J2072" s="32" t="s">
        <v>598</v>
      </c>
      <c r="K2072" s="29" t="s">
        <v>840</v>
      </c>
      <c r="L2072" s="29" t="s">
        <v>1270</v>
      </c>
      <c r="M2072" s="36">
        <v>-88.183</v>
      </c>
      <c r="N2072" s="36">
        <v>19.312</v>
      </c>
      <c r="O2072" s="34" t="s">
        <v>641</v>
      </c>
      <c r="P2072" s="32" t="s">
        <v>602</v>
      </c>
      <c r="Q2072" s="29">
        <v>30.0</v>
      </c>
      <c r="R2072" s="29">
        <v>29.0</v>
      </c>
      <c r="S2072" s="36">
        <v>0.18</v>
      </c>
      <c r="T2072" s="36">
        <v>0.64</v>
      </c>
      <c r="U2072" s="36">
        <f t="shared" ref="U2072:V2072" si="471">SQRT(S2072)</f>
        <v>0.4242640687</v>
      </c>
      <c r="V2072" s="36">
        <f t="shared" si="471"/>
        <v>0.8</v>
      </c>
      <c r="W2072" s="35" t="s">
        <v>603</v>
      </c>
      <c r="X2072" s="31">
        <v>3.5</v>
      </c>
      <c r="Y2072" s="36">
        <v>-1.267594419955143</v>
      </c>
      <c r="Z2072" s="36">
        <v>0.23906449553001277</v>
      </c>
      <c r="AA2072" s="29" t="s">
        <v>820</v>
      </c>
      <c r="AB2072" s="51">
        <v>3.364</v>
      </c>
      <c r="AC2072" s="35">
        <v>192.0</v>
      </c>
    </row>
    <row r="2073" ht="14.25" customHeight="1">
      <c r="A2073" s="29" t="s">
        <v>495</v>
      </c>
      <c r="B2073" s="29">
        <v>135.0</v>
      </c>
      <c r="C2073" s="29" t="s">
        <v>608</v>
      </c>
      <c r="D2073" s="29" t="s">
        <v>853</v>
      </c>
      <c r="E2073" s="29">
        <v>110.0</v>
      </c>
      <c r="F2073" s="30" t="s">
        <v>854</v>
      </c>
      <c r="G2073" s="29" t="s">
        <v>629</v>
      </c>
      <c r="H2073" s="31">
        <v>4.03</v>
      </c>
      <c r="I2073" s="29" t="s">
        <v>597</v>
      </c>
      <c r="J2073" s="32" t="s">
        <v>598</v>
      </c>
      <c r="K2073" s="29" t="s">
        <v>840</v>
      </c>
      <c r="L2073" s="29" t="s">
        <v>1270</v>
      </c>
      <c r="M2073" s="36">
        <v>-88.146</v>
      </c>
      <c r="N2073" s="36">
        <v>19.449</v>
      </c>
      <c r="O2073" s="34" t="s">
        <v>641</v>
      </c>
      <c r="P2073" s="32" t="s">
        <v>602</v>
      </c>
      <c r="Q2073" s="29">
        <v>30.0</v>
      </c>
      <c r="R2073" s="29">
        <v>29.0</v>
      </c>
      <c r="S2073" s="36">
        <v>0.7</v>
      </c>
      <c r="T2073" s="36">
        <v>2.73</v>
      </c>
      <c r="U2073" s="36">
        <f t="shared" ref="U2073:V2073" si="472">SQRT(S2073)</f>
        <v>0.8366600265</v>
      </c>
      <c r="V2073" s="36">
        <f t="shared" si="472"/>
        <v>1.652271164</v>
      </c>
      <c r="W2073" s="35" t="s">
        <v>1072</v>
      </c>
      <c r="X2073" s="31">
        <v>3.5</v>
      </c>
      <c r="Y2073" s="36">
        <v>-1.3599708670569493</v>
      </c>
      <c r="Z2073" s="36">
        <v>0.060250094732853365</v>
      </c>
      <c r="AA2073" s="29" t="s">
        <v>820</v>
      </c>
      <c r="AB2073" s="51">
        <v>3.364</v>
      </c>
      <c r="AC2073" s="35">
        <v>380.0</v>
      </c>
    </row>
    <row r="2074" ht="14.25" customHeight="1">
      <c r="A2074" s="29" t="s">
        <v>495</v>
      </c>
      <c r="B2074" s="29">
        <v>135.0</v>
      </c>
      <c r="C2074" s="29" t="s">
        <v>608</v>
      </c>
      <c r="D2074" s="29" t="s">
        <v>853</v>
      </c>
      <c r="E2074" s="29">
        <v>110.0</v>
      </c>
      <c r="F2074" s="30" t="s">
        <v>854</v>
      </c>
      <c r="G2074" s="29" t="s">
        <v>629</v>
      </c>
      <c r="H2074" s="31">
        <v>4.03</v>
      </c>
      <c r="I2074" s="29" t="s">
        <v>597</v>
      </c>
      <c r="J2074" s="32" t="s">
        <v>598</v>
      </c>
      <c r="K2074" s="29" t="s">
        <v>840</v>
      </c>
      <c r="L2074" s="29" t="s">
        <v>1270</v>
      </c>
      <c r="M2074" s="36">
        <v>-88.183</v>
      </c>
      <c r="N2074" s="36">
        <v>19.312</v>
      </c>
      <c r="O2074" s="34" t="s">
        <v>641</v>
      </c>
      <c r="P2074" s="32" t="s">
        <v>602</v>
      </c>
      <c r="Q2074" s="29">
        <v>30.0</v>
      </c>
      <c r="R2074" s="29">
        <v>29.0</v>
      </c>
      <c r="S2074" s="36">
        <v>0.79</v>
      </c>
      <c r="T2074" s="36">
        <v>2.73</v>
      </c>
      <c r="U2074" s="36">
        <f t="shared" ref="U2074:V2074" si="473">SQRT(S2074)</f>
        <v>0.8888194417</v>
      </c>
      <c r="V2074" s="36">
        <f t="shared" si="473"/>
        <v>1.652271164</v>
      </c>
      <c r="W2074" s="35" t="s">
        <v>1072</v>
      </c>
      <c r="X2074" s="31">
        <v>3.5</v>
      </c>
      <c r="Y2074" s="36">
        <v>-1.239132777435948</v>
      </c>
      <c r="Z2074" s="36">
        <v>0.05482513994080995</v>
      </c>
      <c r="AA2074" s="29" t="s">
        <v>820</v>
      </c>
      <c r="AB2074" s="51">
        <v>3.364</v>
      </c>
      <c r="AC2074" s="35">
        <v>192.0</v>
      </c>
    </row>
    <row r="2075" ht="14.25" customHeight="1">
      <c r="A2075" s="29" t="s">
        <v>495</v>
      </c>
      <c r="B2075" s="29">
        <v>135.0</v>
      </c>
      <c r="C2075" s="29" t="s">
        <v>608</v>
      </c>
      <c r="D2075" s="29" t="s">
        <v>855</v>
      </c>
      <c r="E2075" s="29">
        <v>114.0</v>
      </c>
      <c r="F2075" s="30" t="s">
        <v>856</v>
      </c>
      <c r="G2075" s="29" t="s">
        <v>626</v>
      </c>
      <c r="H2075" s="31">
        <v>55.51</v>
      </c>
      <c r="I2075" s="29" t="s">
        <v>612</v>
      </c>
      <c r="J2075" s="32" t="s">
        <v>598</v>
      </c>
      <c r="K2075" s="29" t="s">
        <v>840</v>
      </c>
      <c r="L2075" s="29" t="s">
        <v>1270</v>
      </c>
      <c r="M2075" s="36">
        <v>-88.146</v>
      </c>
      <c r="N2075" s="36">
        <v>19.449</v>
      </c>
      <c r="O2075" s="34" t="s">
        <v>641</v>
      </c>
      <c r="P2075" s="32" t="s">
        <v>602</v>
      </c>
      <c r="Q2075" s="29">
        <v>30.0</v>
      </c>
      <c r="R2075" s="29">
        <v>29.0</v>
      </c>
      <c r="S2075" s="36">
        <v>0.09</v>
      </c>
      <c r="T2075" s="36">
        <v>0.18</v>
      </c>
      <c r="U2075" s="36">
        <f t="shared" ref="U2075:V2075" si="474">SQRT(S2075)</f>
        <v>0.3</v>
      </c>
      <c r="V2075" s="36">
        <f t="shared" si="474"/>
        <v>0.4242640687</v>
      </c>
      <c r="W2075" s="35" t="s">
        <v>603</v>
      </c>
      <c r="X2075" s="31">
        <v>3.5</v>
      </c>
      <c r="Y2075" s="36">
        <v>-0.692631317768005</v>
      </c>
      <c r="Z2075" s="36">
        <v>0.5619412515964239</v>
      </c>
      <c r="AA2075" s="29" t="s">
        <v>820</v>
      </c>
      <c r="AB2075" s="51">
        <v>3.364</v>
      </c>
      <c r="AC2075" s="35">
        <v>380.0</v>
      </c>
    </row>
    <row r="2076" ht="14.25" customHeight="1">
      <c r="A2076" s="29" t="s">
        <v>495</v>
      </c>
      <c r="B2076" s="29">
        <v>135.0</v>
      </c>
      <c r="C2076" s="29" t="s">
        <v>608</v>
      </c>
      <c r="D2076" s="29" t="s">
        <v>855</v>
      </c>
      <c r="E2076" s="29">
        <v>114.0</v>
      </c>
      <c r="F2076" s="30" t="s">
        <v>856</v>
      </c>
      <c r="G2076" s="29" t="s">
        <v>626</v>
      </c>
      <c r="H2076" s="31">
        <v>55.51</v>
      </c>
      <c r="I2076" s="29" t="s">
        <v>612</v>
      </c>
      <c r="J2076" s="32" t="s">
        <v>598</v>
      </c>
      <c r="K2076" s="29" t="s">
        <v>840</v>
      </c>
      <c r="L2076" s="29" t="s">
        <v>1270</v>
      </c>
      <c r="M2076" s="36">
        <v>-88.183</v>
      </c>
      <c r="N2076" s="36">
        <v>19.312</v>
      </c>
      <c r="O2076" s="34" t="s">
        <v>641</v>
      </c>
      <c r="P2076" s="32" t="s">
        <v>602</v>
      </c>
      <c r="Q2076" s="29">
        <v>30.0</v>
      </c>
      <c r="R2076" s="29">
        <v>29.0</v>
      </c>
      <c r="S2076" s="36">
        <v>0.09</v>
      </c>
      <c r="T2076" s="36">
        <v>0.18</v>
      </c>
      <c r="U2076" s="36">
        <f t="shared" ref="U2076:V2076" si="475">SQRT(S2076)</f>
        <v>0.3</v>
      </c>
      <c r="V2076" s="36">
        <f t="shared" si="475"/>
        <v>0.4242640687</v>
      </c>
      <c r="W2076" s="35" t="s">
        <v>603</v>
      </c>
      <c r="X2076" s="31">
        <v>3.5</v>
      </c>
      <c r="Y2076" s="36">
        <v>-0.692631317768005</v>
      </c>
      <c r="Z2076" s="36">
        <v>0.5619412515964239</v>
      </c>
      <c r="AA2076" s="29" t="s">
        <v>820</v>
      </c>
      <c r="AB2076" s="51">
        <v>3.364</v>
      </c>
      <c r="AC2076" s="35">
        <v>192.0</v>
      </c>
    </row>
    <row r="2077" ht="14.25" customHeight="1">
      <c r="A2077" s="29" t="s">
        <v>495</v>
      </c>
      <c r="B2077" s="29">
        <v>135.0</v>
      </c>
      <c r="C2077" s="29" t="s">
        <v>608</v>
      </c>
      <c r="D2077" s="29" t="s">
        <v>630</v>
      </c>
      <c r="E2077" s="29">
        <v>129.0</v>
      </c>
      <c r="F2077" s="30" t="s">
        <v>631</v>
      </c>
      <c r="G2077" s="29" t="s">
        <v>626</v>
      </c>
      <c r="H2077" s="31">
        <v>21.27</v>
      </c>
      <c r="I2077" s="29" t="s">
        <v>612</v>
      </c>
      <c r="J2077" s="32" t="s">
        <v>598</v>
      </c>
      <c r="K2077" s="29" t="s">
        <v>840</v>
      </c>
      <c r="L2077" s="29" t="s">
        <v>1270</v>
      </c>
      <c r="M2077" s="36">
        <v>-88.146</v>
      </c>
      <c r="N2077" s="36">
        <v>19.449</v>
      </c>
      <c r="O2077" s="34" t="s">
        <v>641</v>
      </c>
      <c r="P2077" s="32" t="s">
        <v>602</v>
      </c>
      <c r="Q2077" s="29">
        <v>30.0</v>
      </c>
      <c r="R2077" s="29">
        <v>29.0</v>
      </c>
      <c r="S2077" s="36">
        <v>0.09</v>
      </c>
      <c r="T2077" s="36">
        <v>0.27</v>
      </c>
      <c r="U2077" s="36">
        <f t="shared" ref="U2077:V2077" si="476">SQRT(S2077)</f>
        <v>0.3</v>
      </c>
      <c r="V2077" s="36">
        <f t="shared" si="476"/>
        <v>0.5196152423</v>
      </c>
      <c r="W2077" s="35" t="s">
        <v>1072</v>
      </c>
      <c r="X2077" s="31">
        <v>3.5</v>
      </c>
      <c r="Y2077" s="36">
        <v>-1.0978385942387994</v>
      </c>
      <c r="Z2077" s="36">
        <v>0.49808429118773945</v>
      </c>
      <c r="AA2077" s="29" t="s">
        <v>820</v>
      </c>
      <c r="AB2077" s="51">
        <v>3.364</v>
      </c>
      <c r="AC2077" s="35">
        <v>380.0</v>
      </c>
    </row>
    <row r="2078" ht="14.25" customHeight="1">
      <c r="A2078" s="29" t="s">
        <v>495</v>
      </c>
      <c r="B2078" s="29">
        <v>135.0</v>
      </c>
      <c r="C2078" s="29" t="s">
        <v>608</v>
      </c>
      <c r="D2078" s="29" t="s">
        <v>630</v>
      </c>
      <c r="E2078" s="29">
        <v>129.0</v>
      </c>
      <c r="F2078" s="30" t="s">
        <v>631</v>
      </c>
      <c r="G2078" s="29" t="s">
        <v>626</v>
      </c>
      <c r="H2078" s="31">
        <v>21.27</v>
      </c>
      <c r="I2078" s="29" t="s">
        <v>612</v>
      </c>
      <c r="J2078" s="32" t="s">
        <v>598</v>
      </c>
      <c r="K2078" s="29" t="s">
        <v>840</v>
      </c>
      <c r="L2078" s="29" t="s">
        <v>1270</v>
      </c>
      <c r="M2078" s="36">
        <v>-88.183</v>
      </c>
      <c r="N2078" s="36">
        <v>19.312</v>
      </c>
      <c r="O2078" s="34" t="s">
        <v>641</v>
      </c>
      <c r="P2078" s="32" t="s">
        <v>602</v>
      </c>
      <c r="Q2078" s="29">
        <v>30.0</v>
      </c>
      <c r="R2078" s="29">
        <v>29.0</v>
      </c>
      <c r="S2078" s="36">
        <v>0.09</v>
      </c>
      <c r="T2078" s="36">
        <v>0.27</v>
      </c>
      <c r="U2078" s="36">
        <f t="shared" ref="U2078:V2078" si="477">SQRT(S2078)</f>
        <v>0.3</v>
      </c>
      <c r="V2078" s="36">
        <f t="shared" si="477"/>
        <v>0.5196152423</v>
      </c>
      <c r="W2078" s="35" t="s">
        <v>1072</v>
      </c>
      <c r="X2078" s="31">
        <v>3.5</v>
      </c>
      <c r="Y2078" s="36">
        <v>-1.0978385942387994</v>
      </c>
      <c r="Z2078" s="36">
        <v>0.49808429118773945</v>
      </c>
      <c r="AA2078" s="29" t="s">
        <v>820</v>
      </c>
      <c r="AB2078" s="51">
        <v>3.364</v>
      </c>
      <c r="AC2078" s="35">
        <v>192.0</v>
      </c>
    </row>
    <row r="2079" ht="14.25" customHeight="1">
      <c r="A2079" s="29" t="s">
        <v>495</v>
      </c>
      <c r="B2079" s="29">
        <v>135.0</v>
      </c>
      <c r="C2079" s="29" t="s">
        <v>608</v>
      </c>
      <c r="D2079" s="29" t="s">
        <v>1035</v>
      </c>
      <c r="E2079" s="29">
        <v>176.0</v>
      </c>
      <c r="F2079" s="30" t="s">
        <v>1036</v>
      </c>
      <c r="G2079" s="29" t="s">
        <v>615</v>
      </c>
      <c r="H2079" s="31">
        <v>0.6</v>
      </c>
      <c r="I2079" s="29" t="s">
        <v>597</v>
      </c>
      <c r="J2079" s="32" t="s">
        <v>598</v>
      </c>
      <c r="K2079" s="29" t="s">
        <v>840</v>
      </c>
      <c r="L2079" s="29" t="s">
        <v>1270</v>
      </c>
      <c r="M2079" s="36">
        <v>-88.183</v>
      </c>
      <c r="N2079" s="36">
        <v>19.312</v>
      </c>
      <c r="O2079" s="34" t="s">
        <v>641</v>
      </c>
      <c r="P2079" s="32" t="s">
        <v>602</v>
      </c>
      <c r="Q2079" s="29">
        <v>30.0</v>
      </c>
      <c r="R2079" s="29">
        <v>29.0</v>
      </c>
      <c r="S2079" s="36">
        <v>3.51</v>
      </c>
      <c r="T2079" s="36">
        <v>3.0</v>
      </c>
      <c r="U2079" s="36">
        <f t="shared" ref="U2079:V2079" si="478">SQRT(S2079)</f>
        <v>1.8734994</v>
      </c>
      <c r="V2079" s="36">
        <f t="shared" si="478"/>
        <v>1.732050808</v>
      </c>
      <c r="W2079" s="35" t="s">
        <v>603</v>
      </c>
      <c r="X2079" s="31">
        <v>3.5</v>
      </c>
      <c r="Y2079" s="36">
        <v>0.15722423555709972</v>
      </c>
      <c r="Z2079" s="36">
        <v>0.020990929036906046</v>
      </c>
      <c r="AA2079" s="29" t="s">
        <v>820</v>
      </c>
      <c r="AB2079" s="51">
        <v>3.364</v>
      </c>
      <c r="AC2079" s="35">
        <v>192.0</v>
      </c>
    </row>
    <row r="2080" ht="14.25" customHeight="1">
      <c r="A2080" s="29" t="s">
        <v>495</v>
      </c>
      <c r="B2080" s="29">
        <v>135.0</v>
      </c>
      <c r="C2080" s="29" t="s">
        <v>608</v>
      </c>
      <c r="D2080" s="29" t="s">
        <v>1035</v>
      </c>
      <c r="E2080" s="29">
        <v>176.0</v>
      </c>
      <c r="F2080" s="30" t="s">
        <v>1036</v>
      </c>
      <c r="G2080" s="29" t="s">
        <v>615</v>
      </c>
      <c r="H2080" s="31">
        <v>0.6</v>
      </c>
      <c r="I2080" s="29" t="s">
        <v>597</v>
      </c>
      <c r="J2080" s="32" t="s">
        <v>598</v>
      </c>
      <c r="K2080" s="29" t="s">
        <v>840</v>
      </c>
      <c r="L2080" s="29" t="s">
        <v>1270</v>
      </c>
      <c r="M2080" s="36">
        <v>-88.146</v>
      </c>
      <c r="N2080" s="36">
        <v>19.449</v>
      </c>
      <c r="O2080" s="34" t="s">
        <v>641</v>
      </c>
      <c r="P2080" s="32" t="s">
        <v>602</v>
      </c>
      <c r="Q2080" s="29">
        <v>30.0</v>
      </c>
      <c r="R2080" s="29">
        <v>29.0</v>
      </c>
      <c r="S2080" s="36">
        <v>5.7</v>
      </c>
      <c r="T2080" s="36">
        <v>3.0</v>
      </c>
      <c r="U2080" s="36">
        <f t="shared" ref="U2080:V2080" si="479">SQRT(S2080)</f>
        <v>2.387467277</v>
      </c>
      <c r="V2080" s="36">
        <f t="shared" si="479"/>
        <v>1.732050808</v>
      </c>
      <c r="W2080" s="35" t="s">
        <v>603</v>
      </c>
      <c r="X2080" s="31">
        <v>3.5</v>
      </c>
      <c r="Y2080" s="36">
        <v>0.6419896653413634</v>
      </c>
      <c r="Z2080" s="36">
        <v>0.017342206089937487</v>
      </c>
      <c r="AA2080" s="29" t="s">
        <v>820</v>
      </c>
      <c r="AB2080" s="51">
        <v>3.364</v>
      </c>
      <c r="AC2080" s="35">
        <v>380.0</v>
      </c>
    </row>
    <row r="2081" ht="14.25" customHeight="1">
      <c r="A2081" s="29" t="s">
        <v>495</v>
      </c>
      <c r="B2081" s="29">
        <v>135.0</v>
      </c>
      <c r="C2081" s="29" t="s">
        <v>608</v>
      </c>
      <c r="D2081" s="29" t="s">
        <v>968</v>
      </c>
      <c r="E2081" s="29">
        <v>186.0</v>
      </c>
      <c r="F2081" s="30" t="s">
        <v>969</v>
      </c>
      <c r="G2081" s="29" t="s">
        <v>695</v>
      </c>
      <c r="H2081" s="31">
        <v>4.21</v>
      </c>
      <c r="I2081" s="29" t="s">
        <v>620</v>
      </c>
      <c r="J2081" s="32" t="s">
        <v>598</v>
      </c>
      <c r="K2081" s="29" t="s">
        <v>840</v>
      </c>
      <c r="L2081" s="29" t="s">
        <v>1270</v>
      </c>
      <c r="M2081" s="36">
        <v>-88.183</v>
      </c>
      <c r="N2081" s="36">
        <v>19.312</v>
      </c>
      <c r="O2081" s="34" t="s">
        <v>641</v>
      </c>
      <c r="P2081" s="32" t="s">
        <v>602</v>
      </c>
      <c r="Q2081" s="29">
        <v>30.0</v>
      </c>
      <c r="R2081" s="29">
        <v>29.0</v>
      </c>
      <c r="S2081" s="36">
        <v>0.0</v>
      </c>
      <c r="T2081" s="36">
        <v>0.09</v>
      </c>
      <c r="U2081" s="36">
        <f t="shared" ref="U2081:V2081" si="480">SQRT(S2081)</f>
        <v>0</v>
      </c>
      <c r="V2081" s="36">
        <f t="shared" si="480"/>
        <v>0.3</v>
      </c>
      <c r="W2081" s="35" t="s">
        <v>603</v>
      </c>
      <c r="X2081" s="31">
        <v>3.5</v>
      </c>
      <c r="Y2081" s="36">
        <v>-8.262558973010657</v>
      </c>
      <c r="Z2081" s="36">
        <v>0.09673168299504373</v>
      </c>
      <c r="AA2081" s="29" t="s">
        <v>820</v>
      </c>
      <c r="AB2081" s="51">
        <v>3.364</v>
      </c>
      <c r="AC2081" s="35">
        <v>192.0</v>
      </c>
    </row>
    <row r="2082" ht="14.25" customHeight="1">
      <c r="A2082" s="29" t="s">
        <v>495</v>
      </c>
      <c r="B2082" s="29">
        <v>135.0</v>
      </c>
      <c r="C2082" s="29" t="s">
        <v>608</v>
      </c>
      <c r="D2082" s="29" t="s">
        <v>968</v>
      </c>
      <c r="E2082" s="29">
        <v>186.0</v>
      </c>
      <c r="F2082" s="30" t="s">
        <v>969</v>
      </c>
      <c r="G2082" s="29" t="s">
        <v>695</v>
      </c>
      <c r="H2082" s="31">
        <v>4.21</v>
      </c>
      <c r="I2082" s="29" t="s">
        <v>620</v>
      </c>
      <c r="J2082" s="32" t="s">
        <v>598</v>
      </c>
      <c r="K2082" s="29" t="s">
        <v>840</v>
      </c>
      <c r="L2082" s="29" t="s">
        <v>1270</v>
      </c>
      <c r="M2082" s="36">
        <v>-88.146</v>
      </c>
      <c r="N2082" s="36">
        <v>19.449</v>
      </c>
      <c r="O2082" s="34" t="s">
        <v>641</v>
      </c>
      <c r="P2082" s="32" t="s">
        <v>602</v>
      </c>
      <c r="Q2082" s="29">
        <v>30.0</v>
      </c>
      <c r="R2082" s="29">
        <v>29.0</v>
      </c>
      <c r="S2082" s="36">
        <v>0.18</v>
      </c>
      <c r="T2082" s="36">
        <v>0.09</v>
      </c>
      <c r="U2082" s="36">
        <f t="shared" ref="U2082:V2082" si="481">SQRT(S2082)</f>
        <v>0.4242640687</v>
      </c>
      <c r="V2082" s="36">
        <f t="shared" si="481"/>
        <v>0.3</v>
      </c>
      <c r="W2082" s="35" t="s">
        <v>603</v>
      </c>
      <c r="X2082" s="31">
        <v>3.5</v>
      </c>
      <c r="Y2082" s="36">
        <v>0.6932761712083021</v>
      </c>
      <c r="Z2082" s="36">
        <v>0.5683269476372925</v>
      </c>
      <c r="AA2082" s="29" t="s">
        <v>820</v>
      </c>
      <c r="AB2082" s="51">
        <v>3.364</v>
      </c>
      <c r="AC2082" s="35">
        <v>380.0</v>
      </c>
    </row>
    <row r="2083" ht="14.25" customHeight="1">
      <c r="A2083" s="29" t="s">
        <v>495</v>
      </c>
      <c r="B2083" s="29">
        <v>135.0</v>
      </c>
      <c r="C2083" s="29" t="s">
        <v>593</v>
      </c>
      <c r="D2083" s="29" t="s">
        <v>838</v>
      </c>
      <c r="E2083" s="29">
        <v>62.0</v>
      </c>
      <c r="F2083" s="30" t="s">
        <v>839</v>
      </c>
      <c r="G2083" s="29" t="s">
        <v>607</v>
      </c>
      <c r="H2083" s="31">
        <v>4.13</v>
      </c>
      <c r="I2083" s="29" t="s">
        <v>597</v>
      </c>
      <c r="J2083" s="32" t="s">
        <v>598</v>
      </c>
      <c r="K2083" s="29" t="s">
        <v>840</v>
      </c>
      <c r="L2083" s="29" t="s">
        <v>1270</v>
      </c>
      <c r="M2083" s="36">
        <v>-87.664</v>
      </c>
      <c r="N2083" s="36">
        <v>20.663</v>
      </c>
      <c r="O2083" s="34" t="s">
        <v>601</v>
      </c>
      <c r="P2083" s="32" t="s">
        <v>602</v>
      </c>
      <c r="Q2083" s="29">
        <v>30.0</v>
      </c>
      <c r="R2083" s="29">
        <v>29.0</v>
      </c>
      <c r="S2083" s="36">
        <v>0.0</v>
      </c>
      <c r="T2083" s="36">
        <v>0.36</v>
      </c>
      <c r="U2083" s="36">
        <f t="shared" ref="U2083:V2083" si="482">SQRT(S2083)</f>
        <v>0</v>
      </c>
      <c r="V2083" s="36">
        <f t="shared" si="482"/>
        <v>0.6</v>
      </c>
      <c r="W2083" s="35" t="s">
        <v>1072</v>
      </c>
      <c r="X2083" s="31">
        <v>3.5</v>
      </c>
      <c r="Y2083" s="36">
        <v>-6.643789733147672</v>
      </c>
      <c r="Z2083" s="36">
        <v>0.08974779781553248</v>
      </c>
      <c r="AA2083" s="29" t="s">
        <v>820</v>
      </c>
      <c r="AB2083" s="51">
        <v>14.986</v>
      </c>
      <c r="AC2083" s="35">
        <v>982.0</v>
      </c>
    </row>
    <row r="2084" ht="14.25" customHeight="1">
      <c r="A2084" s="29" t="s">
        <v>495</v>
      </c>
      <c r="B2084" s="29">
        <v>135.0</v>
      </c>
      <c r="C2084" s="29" t="s">
        <v>593</v>
      </c>
      <c r="D2084" s="29" t="s">
        <v>594</v>
      </c>
      <c r="E2084" s="29">
        <v>67.0</v>
      </c>
      <c r="F2084" s="30" t="s">
        <v>595</v>
      </c>
      <c r="G2084" s="29" t="s">
        <v>596</v>
      </c>
      <c r="H2084" s="31">
        <v>0.4</v>
      </c>
      <c r="I2084" s="29" t="s">
        <v>597</v>
      </c>
      <c r="J2084" s="32" t="s">
        <v>598</v>
      </c>
      <c r="K2084" s="29" t="s">
        <v>840</v>
      </c>
      <c r="L2084" s="29" t="s">
        <v>1270</v>
      </c>
      <c r="M2084" s="36">
        <v>-87.664</v>
      </c>
      <c r="N2084" s="36">
        <v>20.663</v>
      </c>
      <c r="O2084" s="34" t="s">
        <v>601</v>
      </c>
      <c r="P2084" s="32" t="s">
        <v>602</v>
      </c>
      <c r="Q2084" s="29">
        <v>30.0</v>
      </c>
      <c r="R2084" s="29">
        <v>29.0</v>
      </c>
      <c r="S2084" s="36">
        <v>1.89</v>
      </c>
      <c r="T2084" s="36">
        <v>1.0</v>
      </c>
      <c r="U2084" s="36">
        <f t="shared" ref="U2084:V2084" si="483">SQRT(S2084)</f>
        <v>1.374772708</v>
      </c>
      <c r="V2084" s="36">
        <f t="shared" si="483"/>
        <v>1</v>
      </c>
      <c r="W2084" s="35" t="s">
        <v>603</v>
      </c>
      <c r="X2084" s="31">
        <v>3.5</v>
      </c>
      <c r="Y2084" s="36">
        <v>0.6372655248467642</v>
      </c>
      <c r="Z2084" s="36">
        <v>0.052119442924040624</v>
      </c>
      <c r="AA2084" s="29" t="s">
        <v>820</v>
      </c>
      <c r="AB2084" s="51">
        <v>14.986</v>
      </c>
      <c r="AC2084" s="35">
        <v>982.0</v>
      </c>
    </row>
    <row r="2085" ht="14.25" customHeight="1">
      <c r="A2085" s="29" t="s">
        <v>495</v>
      </c>
      <c r="B2085" s="29">
        <v>135.0</v>
      </c>
      <c r="C2085" s="29" t="s">
        <v>593</v>
      </c>
      <c r="D2085" s="29" t="s">
        <v>842</v>
      </c>
      <c r="E2085" s="29">
        <v>269.0</v>
      </c>
      <c r="F2085" s="30" t="s">
        <v>843</v>
      </c>
      <c r="G2085" s="29" t="s">
        <v>607</v>
      </c>
      <c r="H2085" s="31">
        <v>5.525</v>
      </c>
      <c r="I2085" s="29" t="s">
        <v>616</v>
      </c>
      <c r="J2085" s="32" t="s">
        <v>598</v>
      </c>
      <c r="K2085" s="29" t="s">
        <v>840</v>
      </c>
      <c r="L2085" s="29" t="s">
        <v>1270</v>
      </c>
      <c r="M2085" s="36">
        <v>-87.664</v>
      </c>
      <c r="N2085" s="36">
        <v>20.663</v>
      </c>
      <c r="O2085" s="34" t="s">
        <v>601</v>
      </c>
      <c r="P2085" s="32" t="s">
        <v>602</v>
      </c>
      <c r="Q2085" s="29">
        <v>30.0</v>
      </c>
      <c r="R2085" s="29">
        <v>29.0</v>
      </c>
      <c r="S2085" s="36">
        <v>0.54</v>
      </c>
      <c r="T2085" s="36">
        <v>0.36</v>
      </c>
      <c r="U2085" s="36">
        <f t="shared" ref="U2085:V2085" si="484">SQRT(S2085)</f>
        <v>0.7348469228</v>
      </c>
      <c r="V2085" s="36">
        <f t="shared" si="484"/>
        <v>0.6</v>
      </c>
      <c r="W2085" s="35" t="s">
        <v>1072</v>
      </c>
      <c r="X2085" s="31">
        <v>3.5</v>
      </c>
      <c r="Y2085" s="36">
        <v>0.4063327871213871</v>
      </c>
      <c r="Z2085" s="36">
        <v>0.15751383567475521</v>
      </c>
      <c r="AA2085" s="29" t="s">
        <v>820</v>
      </c>
      <c r="AB2085" s="51">
        <v>14.986</v>
      </c>
      <c r="AC2085" s="35">
        <v>982.0</v>
      </c>
    </row>
    <row r="2086" ht="14.25" customHeight="1">
      <c r="A2086" s="29" t="s">
        <v>495</v>
      </c>
      <c r="B2086" s="29">
        <v>135.0</v>
      </c>
      <c r="C2086" s="29" t="s">
        <v>593</v>
      </c>
      <c r="D2086" s="29" t="s">
        <v>844</v>
      </c>
      <c r="E2086" s="29">
        <v>120.0</v>
      </c>
      <c r="F2086" s="30" t="s">
        <v>845</v>
      </c>
      <c r="G2086" s="29" t="s">
        <v>607</v>
      </c>
      <c r="H2086" s="31">
        <v>0.56</v>
      </c>
      <c r="I2086" s="29" t="s">
        <v>597</v>
      </c>
      <c r="J2086" s="32" t="s">
        <v>598</v>
      </c>
      <c r="K2086" s="29" t="s">
        <v>840</v>
      </c>
      <c r="L2086" s="29" t="s">
        <v>1270</v>
      </c>
      <c r="M2086" s="36">
        <v>-87.664</v>
      </c>
      <c r="N2086" s="36">
        <v>20.663</v>
      </c>
      <c r="O2086" s="34" t="s">
        <v>601</v>
      </c>
      <c r="P2086" s="32" t="s">
        <v>602</v>
      </c>
      <c r="Q2086" s="29">
        <v>30.0</v>
      </c>
      <c r="R2086" s="29">
        <v>29.0</v>
      </c>
      <c r="S2086" s="36">
        <v>1.53</v>
      </c>
      <c r="T2086" s="36">
        <v>1.9</v>
      </c>
      <c r="U2086" s="36">
        <f t="shared" ref="U2086:V2086" si="485">SQRT(S2086)</f>
        <v>1.236931688</v>
      </c>
      <c r="V2086" s="36">
        <f t="shared" si="485"/>
        <v>1.378404875</v>
      </c>
      <c r="W2086" s="35" t="s">
        <v>1072</v>
      </c>
      <c r="X2086" s="31">
        <v>3.5</v>
      </c>
      <c r="Y2086" s="36">
        <v>-0.21497049041948746</v>
      </c>
      <c r="Z2086" s="36">
        <v>0.039935312701406434</v>
      </c>
      <c r="AA2086" s="29" t="s">
        <v>820</v>
      </c>
      <c r="AB2086" s="51">
        <v>14.986</v>
      </c>
      <c r="AC2086" s="35">
        <v>982.0</v>
      </c>
    </row>
    <row r="2087" ht="14.25" customHeight="1">
      <c r="A2087" s="29" t="s">
        <v>495</v>
      </c>
      <c r="B2087" s="29">
        <v>135.0</v>
      </c>
      <c r="C2087" s="29" t="s">
        <v>593</v>
      </c>
      <c r="D2087" s="29" t="s">
        <v>1030</v>
      </c>
      <c r="E2087" s="29">
        <v>161.0</v>
      </c>
      <c r="F2087" s="30" t="s">
        <v>1031</v>
      </c>
      <c r="G2087" s="29" t="s">
        <v>909</v>
      </c>
      <c r="H2087" s="31">
        <v>0.41</v>
      </c>
      <c r="I2087" s="29" t="s">
        <v>597</v>
      </c>
      <c r="J2087" s="32" t="s">
        <v>598</v>
      </c>
      <c r="K2087" s="29" t="s">
        <v>840</v>
      </c>
      <c r="L2087" s="29" t="s">
        <v>1270</v>
      </c>
      <c r="M2087" s="36">
        <v>-87.664</v>
      </c>
      <c r="N2087" s="36">
        <v>20.663</v>
      </c>
      <c r="O2087" s="34" t="s">
        <v>601</v>
      </c>
      <c r="P2087" s="32" t="s">
        <v>602</v>
      </c>
      <c r="Q2087" s="29">
        <v>30.0</v>
      </c>
      <c r="R2087" s="29">
        <v>29.0</v>
      </c>
      <c r="S2087" s="36">
        <v>0.0</v>
      </c>
      <c r="T2087" s="36">
        <v>4.09</v>
      </c>
      <c r="U2087" s="36">
        <f t="shared" ref="U2087:V2087" si="486">SQRT(S2087)</f>
        <v>0</v>
      </c>
      <c r="V2087" s="36">
        <f t="shared" si="486"/>
        <v>2.022374842</v>
      </c>
      <c r="W2087" s="35" t="s">
        <v>1072</v>
      </c>
      <c r="X2087" s="31">
        <v>3.5</v>
      </c>
      <c r="Y2087" s="36">
        <v>-6.643789733147672</v>
      </c>
      <c r="Z2087" s="36">
        <v>0.04374681323507016</v>
      </c>
      <c r="AA2087" s="29" t="s">
        <v>820</v>
      </c>
      <c r="AB2087" s="51">
        <v>14.986</v>
      </c>
      <c r="AC2087" s="35">
        <v>982.0</v>
      </c>
    </row>
    <row r="2088" ht="14.25" customHeight="1">
      <c r="A2088" s="29" t="s">
        <v>495</v>
      </c>
      <c r="B2088" s="29">
        <v>135.0</v>
      </c>
      <c r="C2088" s="29" t="s">
        <v>608</v>
      </c>
      <c r="D2088" s="42" t="s">
        <v>1416</v>
      </c>
      <c r="E2088" s="29">
        <v>300.0</v>
      </c>
      <c r="F2088" s="39" t="s">
        <v>1417</v>
      </c>
      <c r="G2088" s="29" t="s">
        <v>611</v>
      </c>
      <c r="H2088" s="31">
        <v>7.00003</v>
      </c>
      <c r="I2088" s="29" t="s">
        <v>612</v>
      </c>
      <c r="J2088" s="32" t="s">
        <v>598</v>
      </c>
      <c r="K2088" s="29" t="s">
        <v>840</v>
      </c>
      <c r="L2088" s="29" t="s">
        <v>1270</v>
      </c>
      <c r="M2088" s="36">
        <v>-87.664</v>
      </c>
      <c r="N2088" s="36">
        <v>20.663</v>
      </c>
      <c r="O2088" s="34" t="s">
        <v>601</v>
      </c>
      <c r="P2088" s="32" t="s">
        <v>602</v>
      </c>
      <c r="Q2088" s="29">
        <v>30.0</v>
      </c>
      <c r="R2088" s="29">
        <v>29.0</v>
      </c>
      <c r="S2088" s="36">
        <v>0.0</v>
      </c>
      <c r="T2088" s="36">
        <v>0.09</v>
      </c>
      <c r="U2088" s="36">
        <f t="shared" ref="U2088:V2088" si="487">SQRT(S2088)</f>
        <v>0</v>
      </c>
      <c r="V2088" s="36">
        <f t="shared" si="487"/>
        <v>0.3</v>
      </c>
      <c r="W2088" s="35" t="s">
        <v>1072</v>
      </c>
      <c r="X2088" s="31">
        <v>3.5</v>
      </c>
      <c r="Y2088" s="36">
        <v>-8.262558973010657</v>
      </c>
      <c r="Z2088" s="36">
        <v>0.09673168299504373</v>
      </c>
      <c r="AA2088" s="29" t="s">
        <v>820</v>
      </c>
      <c r="AB2088" s="51">
        <v>14.986</v>
      </c>
      <c r="AC2088" s="35">
        <v>982.0</v>
      </c>
    </row>
    <row r="2089" ht="14.25" customHeight="1">
      <c r="A2089" s="29" t="s">
        <v>495</v>
      </c>
      <c r="B2089" s="29">
        <v>135.0</v>
      </c>
      <c r="C2089" s="29" t="s">
        <v>608</v>
      </c>
      <c r="D2089" s="29" t="s">
        <v>957</v>
      </c>
      <c r="E2089" s="29">
        <v>16.0</v>
      </c>
      <c r="F2089" s="30" t="s">
        <v>958</v>
      </c>
      <c r="G2089" s="29" t="s">
        <v>611</v>
      </c>
      <c r="H2089" s="31">
        <v>5.28</v>
      </c>
      <c r="I2089" s="29" t="s">
        <v>597</v>
      </c>
      <c r="J2089" s="32" t="s">
        <v>598</v>
      </c>
      <c r="K2089" s="29" t="s">
        <v>840</v>
      </c>
      <c r="L2089" s="29" t="s">
        <v>1270</v>
      </c>
      <c r="M2089" s="36">
        <v>-87.664</v>
      </c>
      <c r="N2089" s="36">
        <v>20.663</v>
      </c>
      <c r="O2089" s="34" t="s">
        <v>601</v>
      </c>
      <c r="P2089" s="32" t="s">
        <v>602</v>
      </c>
      <c r="Q2089" s="29">
        <v>30.0</v>
      </c>
      <c r="R2089" s="29">
        <v>29.0</v>
      </c>
      <c r="S2089" s="36">
        <v>2.43</v>
      </c>
      <c r="T2089" s="36">
        <v>0.45</v>
      </c>
      <c r="U2089" s="36">
        <f t="shared" ref="U2089:V2089" si="488">SQRT(S2089)</f>
        <v>1.558845727</v>
      </c>
      <c r="V2089" s="36">
        <f t="shared" si="488"/>
        <v>0.6708203932</v>
      </c>
      <c r="W2089" s="35" t="s">
        <v>1072</v>
      </c>
      <c r="X2089" s="31">
        <v>3.5</v>
      </c>
      <c r="Y2089" s="36">
        <v>1.686446729824484</v>
      </c>
      <c r="Z2089" s="36">
        <v>0.09034577361524998</v>
      </c>
      <c r="AA2089" s="29" t="s">
        <v>820</v>
      </c>
      <c r="AB2089" s="51">
        <v>14.986</v>
      </c>
      <c r="AC2089" s="35">
        <v>982.0</v>
      </c>
    </row>
    <row r="2090" ht="14.25" customHeight="1">
      <c r="A2090" s="29" t="s">
        <v>495</v>
      </c>
      <c r="B2090" s="29">
        <v>135.0</v>
      </c>
      <c r="C2090" s="29" t="s">
        <v>608</v>
      </c>
      <c r="D2090" s="29" t="s">
        <v>961</v>
      </c>
      <c r="E2090" s="29">
        <v>73.0</v>
      </c>
      <c r="F2090" s="30" t="s">
        <v>962</v>
      </c>
      <c r="G2090" s="29" t="s">
        <v>615</v>
      </c>
      <c r="H2090" s="31">
        <v>2.67</v>
      </c>
      <c r="I2090" s="29" t="s">
        <v>616</v>
      </c>
      <c r="J2090" s="32" t="s">
        <v>598</v>
      </c>
      <c r="K2090" s="29" t="s">
        <v>840</v>
      </c>
      <c r="L2090" s="29" t="s">
        <v>1270</v>
      </c>
      <c r="M2090" s="36">
        <v>-87.664</v>
      </c>
      <c r="N2090" s="36">
        <v>20.663</v>
      </c>
      <c r="O2090" s="34" t="s">
        <v>601</v>
      </c>
      <c r="P2090" s="32" t="s">
        <v>602</v>
      </c>
      <c r="Q2090" s="29">
        <v>30.0</v>
      </c>
      <c r="R2090" s="29">
        <v>29.0</v>
      </c>
      <c r="S2090" s="36">
        <v>0.81</v>
      </c>
      <c r="T2090" s="36">
        <v>0.91</v>
      </c>
      <c r="U2090" s="36">
        <f t="shared" ref="U2090:V2090" si="489">SQRT(S2090)</f>
        <v>0.9</v>
      </c>
      <c r="V2090" s="36">
        <f t="shared" si="489"/>
        <v>0.9539392014</v>
      </c>
      <c r="W2090" s="35" t="s">
        <v>603</v>
      </c>
      <c r="X2090" s="31">
        <v>3.5</v>
      </c>
      <c r="Y2090" s="36">
        <v>-0.11612054430961623</v>
      </c>
      <c r="Z2090" s="36">
        <v>0.0790454047159028</v>
      </c>
      <c r="AA2090" s="29" t="s">
        <v>820</v>
      </c>
      <c r="AB2090" s="51">
        <v>14.986</v>
      </c>
      <c r="AC2090" s="35">
        <v>982.0</v>
      </c>
    </row>
    <row r="2091" ht="14.25" customHeight="1">
      <c r="A2091" s="29" t="s">
        <v>495</v>
      </c>
      <c r="B2091" s="29">
        <v>135.0</v>
      </c>
      <c r="C2091" s="29" t="s">
        <v>608</v>
      </c>
      <c r="D2091" s="29" t="s">
        <v>851</v>
      </c>
      <c r="E2091" s="29">
        <v>102.0</v>
      </c>
      <c r="F2091" s="30" t="s">
        <v>852</v>
      </c>
      <c r="G2091" s="29" t="s">
        <v>626</v>
      </c>
      <c r="H2091" s="31">
        <v>16.5</v>
      </c>
      <c r="I2091" s="29" t="s">
        <v>612</v>
      </c>
      <c r="J2091" s="32" t="s">
        <v>598</v>
      </c>
      <c r="K2091" s="29" t="s">
        <v>840</v>
      </c>
      <c r="L2091" s="29" t="s">
        <v>1270</v>
      </c>
      <c r="M2091" s="36">
        <v>-87.664</v>
      </c>
      <c r="N2091" s="36">
        <v>20.663</v>
      </c>
      <c r="O2091" s="34" t="s">
        <v>601</v>
      </c>
      <c r="P2091" s="32" t="s">
        <v>602</v>
      </c>
      <c r="Q2091" s="29">
        <v>30.0</v>
      </c>
      <c r="R2091" s="29">
        <v>29.0</v>
      </c>
      <c r="S2091" s="36">
        <v>0.09</v>
      </c>
      <c r="T2091" s="36">
        <v>0.64</v>
      </c>
      <c r="U2091" s="36">
        <f t="shared" ref="U2091:V2091" si="490">SQRT(S2091)</f>
        <v>0.3</v>
      </c>
      <c r="V2091" s="36">
        <f t="shared" si="490"/>
        <v>0.8</v>
      </c>
      <c r="W2091" s="35" t="s">
        <v>603</v>
      </c>
      <c r="X2091" s="31">
        <v>3.5</v>
      </c>
      <c r="Y2091" s="36">
        <v>-1.9598255349523435</v>
      </c>
      <c r="Z2091" s="36">
        <v>0.4242496807151979</v>
      </c>
      <c r="AA2091" s="29" t="s">
        <v>820</v>
      </c>
      <c r="AB2091" s="51">
        <v>14.986</v>
      </c>
      <c r="AC2091" s="35">
        <v>982.0</v>
      </c>
    </row>
    <row r="2092" ht="14.25" customHeight="1">
      <c r="A2092" s="29" t="s">
        <v>495</v>
      </c>
      <c r="B2092" s="29">
        <v>135.0</v>
      </c>
      <c r="C2092" s="29" t="s">
        <v>608</v>
      </c>
      <c r="D2092" s="29" t="s">
        <v>853</v>
      </c>
      <c r="E2092" s="29">
        <v>110.0</v>
      </c>
      <c r="F2092" s="30" t="s">
        <v>854</v>
      </c>
      <c r="G2092" s="29" t="s">
        <v>629</v>
      </c>
      <c r="H2092" s="31">
        <v>4.03</v>
      </c>
      <c r="I2092" s="29" t="s">
        <v>597</v>
      </c>
      <c r="J2092" s="32" t="s">
        <v>598</v>
      </c>
      <c r="K2092" s="29" t="s">
        <v>840</v>
      </c>
      <c r="L2092" s="29" t="s">
        <v>1270</v>
      </c>
      <c r="M2092" s="36">
        <v>-87.664</v>
      </c>
      <c r="N2092" s="36">
        <v>20.663</v>
      </c>
      <c r="O2092" s="34" t="s">
        <v>601</v>
      </c>
      <c r="P2092" s="32" t="s">
        <v>602</v>
      </c>
      <c r="Q2092" s="29">
        <v>30.0</v>
      </c>
      <c r="R2092" s="29">
        <v>29.0</v>
      </c>
      <c r="S2092" s="36">
        <v>0.81</v>
      </c>
      <c r="T2092" s="36">
        <v>2.73</v>
      </c>
      <c r="U2092" s="36">
        <f t="shared" ref="U2092:V2092" si="491">SQRT(S2092)</f>
        <v>0.9</v>
      </c>
      <c r="V2092" s="36">
        <f t="shared" si="491"/>
        <v>1.652271164</v>
      </c>
      <c r="W2092" s="35" t="s">
        <v>1072</v>
      </c>
      <c r="X2092" s="31">
        <v>3.5</v>
      </c>
      <c r="Y2092" s="36">
        <v>-1.2141534697517207</v>
      </c>
      <c r="Z2092" s="36">
        <v>0.053783310488291325</v>
      </c>
      <c r="AA2092" s="29" t="s">
        <v>820</v>
      </c>
      <c r="AB2092" s="51">
        <v>14.986</v>
      </c>
      <c r="AC2092" s="35">
        <v>982.0</v>
      </c>
    </row>
    <row r="2093" ht="14.25" customHeight="1">
      <c r="A2093" s="29" t="s">
        <v>495</v>
      </c>
      <c r="B2093" s="29">
        <v>135.0</v>
      </c>
      <c r="C2093" s="29" t="s">
        <v>608</v>
      </c>
      <c r="D2093" s="29" t="s">
        <v>855</v>
      </c>
      <c r="E2093" s="29">
        <v>114.0</v>
      </c>
      <c r="F2093" s="30" t="s">
        <v>856</v>
      </c>
      <c r="G2093" s="29" t="s">
        <v>626</v>
      </c>
      <c r="H2093" s="31">
        <v>55.51</v>
      </c>
      <c r="I2093" s="29" t="s">
        <v>612</v>
      </c>
      <c r="J2093" s="32" t="s">
        <v>598</v>
      </c>
      <c r="K2093" s="29" t="s">
        <v>840</v>
      </c>
      <c r="L2093" s="29" t="s">
        <v>1270</v>
      </c>
      <c r="M2093" s="36">
        <v>-87.664</v>
      </c>
      <c r="N2093" s="36">
        <v>20.663</v>
      </c>
      <c r="O2093" s="34" t="s">
        <v>601</v>
      </c>
      <c r="P2093" s="32" t="s">
        <v>602</v>
      </c>
      <c r="Q2093" s="29">
        <v>30.0</v>
      </c>
      <c r="R2093" s="29">
        <v>29.0</v>
      </c>
      <c r="S2093" s="36">
        <v>1.08</v>
      </c>
      <c r="T2093" s="36">
        <v>0.18</v>
      </c>
      <c r="U2093" s="36">
        <f t="shared" ref="U2093:V2093" si="492">SQRT(S2093)</f>
        <v>1.039230485</v>
      </c>
      <c r="V2093" s="36">
        <f t="shared" si="492"/>
        <v>0.4242640687</v>
      </c>
      <c r="W2093" s="35" t="s">
        <v>603</v>
      </c>
      <c r="X2093" s="31">
        <v>3.5</v>
      </c>
      <c r="Y2093" s="36">
        <v>1.7918024679595992</v>
      </c>
      <c r="Z2093" s="36">
        <v>0.22243507875691784</v>
      </c>
      <c r="AA2093" s="29" t="s">
        <v>820</v>
      </c>
      <c r="AB2093" s="51">
        <v>14.986</v>
      </c>
      <c r="AC2093" s="35">
        <v>982.0</v>
      </c>
    </row>
    <row r="2094" ht="14.25" customHeight="1">
      <c r="A2094" s="29" t="s">
        <v>495</v>
      </c>
      <c r="B2094" s="29">
        <v>135.0</v>
      </c>
      <c r="C2094" s="29" t="s">
        <v>608</v>
      </c>
      <c r="D2094" s="29" t="s">
        <v>630</v>
      </c>
      <c r="E2094" s="29">
        <v>129.0</v>
      </c>
      <c r="F2094" s="30" t="s">
        <v>631</v>
      </c>
      <c r="G2094" s="29" t="s">
        <v>626</v>
      </c>
      <c r="H2094" s="31">
        <v>21.27</v>
      </c>
      <c r="I2094" s="29" t="s">
        <v>612</v>
      </c>
      <c r="J2094" s="32" t="s">
        <v>598</v>
      </c>
      <c r="K2094" s="29" t="s">
        <v>840</v>
      </c>
      <c r="L2094" s="29" t="s">
        <v>1270</v>
      </c>
      <c r="M2094" s="36">
        <v>-87.664</v>
      </c>
      <c r="N2094" s="36">
        <v>20.663</v>
      </c>
      <c r="O2094" s="34" t="s">
        <v>601</v>
      </c>
      <c r="P2094" s="32" t="s">
        <v>602</v>
      </c>
      <c r="Q2094" s="29">
        <v>30.0</v>
      </c>
      <c r="R2094" s="29">
        <v>29.0</v>
      </c>
      <c r="S2094" s="36">
        <v>0.09</v>
      </c>
      <c r="T2094" s="36">
        <v>0.27</v>
      </c>
      <c r="U2094" s="36">
        <f t="shared" ref="U2094:V2094" si="493">SQRT(S2094)</f>
        <v>0.3</v>
      </c>
      <c r="V2094" s="36">
        <f t="shared" si="493"/>
        <v>0.5196152423</v>
      </c>
      <c r="W2094" s="35" t="s">
        <v>1072</v>
      </c>
      <c r="X2094" s="31">
        <v>3.5</v>
      </c>
      <c r="Y2094" s="36">
        <v>-1.0978385942387994</v>
      </c>
      <c r="Z2094" s="36">
        <v>0.49808429118773945</v>
      </c>
      <c r="AA2094" s="29" t="s">
        <v>820</v>
      </c>
      <c r="AB2094" s="51">
        <v>14.986</v>
      </c>
      <c r="AC2094" s="35">
        <v>982.0</v>
      </c>
    </row>
    <row r="2095" ht="14.25" customHeight="1">
      <c r="A2095" s="29" t="s">
        <v>495</v>
      </c>
      <c r="B2095" s="29">
        <v>135.0</v>
      </c>
      <c r="C2095" s="29" t="s">
        <v>608</v>
      </c>
      <c r="D2095" s="29" t="s">
        <v>1035</v>
      </c>
      <c r="E2095" s="29">
        <v>176.0</v>
      </c>
      <c r="F2095" s="30" t="s">
        <v>1036</v>
      </c>
      <c r="G2095" s="29" t="s">
        <v>615</v>
      </c>
      <c r="H2095" s="31">
        <v>0.6</v>
      </c>
      <c r="I2095" s="29" t="s">
        <v>597</v>
      </c>
      <c r="J2095" s="32" t="s">
        <v>598</v>
      </c>
      <c r="K2095" s="29" t="s">
        <v>840</v>
      </c>
      <c r="L2095" s="29" t="s">
        <v>1270</v>
      </c>
      <c r="M2095" s="36">
        <v>-87.664</v>
      </c>
      <c r="N2095" s="36">
        <v>20.663</v>
      </c>
      <c r="O2095" s="34" t="s">
        <v>601</v>
      </c>
      <c r="P2095" s="32" t="s">
        <v>602</v>
      </c>
      <c r="Q2095" s="29">
        <v>30.0</v>
      </c>
      <c r="R2095" s="29">
        <v>29.0</v>
      </c>
      <c r="S2095" s="36">
        <v>5.32</v>
      </c>
      <c r="T2095" s="36">
        <v>3.0</v>
      </c>
      <c r="U2095" s="36">
        <f t="shared" ref="U2095:V2095" si="494">SQRT(S2095)</f>
        <v>2.306512519</v>
      </c>
      <c r="V2095" s="36">
        <f t="shared" si="494"/>
        <v>1.732050808</v>
      </c>
      <c r="W2095" s="35" t="s">
        <v>603</v>
      </c>
      <c r="X2095" s="31">
        <v>3.5</v>
      </c>
      <c r="Y2095" s="36">
        <v>0.573006491661059</v>
      </c>
      <c r="Z2095" s="36">
        <v>0.01775991703396422</v>
      </c>
      <c r="AA2095" s="29" t="s">
        <v>820</v>
      </c>
      <c r="AB2095" s="51">
        <v>14.986</v>
      </c>
      <c r="AC2095" s="35">
        <v>982.0</v>
      </c>
    </row>
    <row r="2096" ht="14.25" customHeight="1">
      <c r="A2096" s="29" t="s">
        <v>495</v>
      </c>
      <c r="B2096" s="29">
        <v>135.0</v>
      </c>
      <c r="C2096" s="29" t="s">
        <v>608</v>
      </c>
      <c r="D2096" s="29" t="s">
        <v>968</v>
      </c>
      <c r="E2096" s="29">
        <v>186.0</v>
      </c>
      <c r="F2096" s="30" t="s">
        <v>969</v>
      </c>
      <c r="G2096" s="29" t="s">
        <v>695</v>
      </c>
      <c r="H2096" s="31">
        <v>4.21</v>
      </c>
      <c r="I2096" s="29" t="s">
        <v>620</v>
      </c>
      <c r="J2096" s="32" t="s">
        <v>598</v>
      </c>
      <c r="K2096" s="29" t="s">
        <v>840</v>
      </c>
      <c r="L2096" s="29" t="s">
        <v>1270</v>
      </c>
      <c r="M2096" s="36">
        <v>-87.664</v>
      </c>
      <c r="N2096" s="36">
        <v>20.663</v>
      </c>
      <c r="O2096" s="34" t="s">
        <v>601</v>
      </c>
      <c r="P2096" s="32" t="s">
        <v>602</v>
      </c>
      <c r="Q2096" s="29">
        <v>30.0</v>
      </c>
      <c r="R2096" s="29">
        <v>29.0</v>
      </c>
      <c r="S2096" s="36">
        <v>0.0</v>
      </c>
      <c r="T2096" s="36">
        <v>0.09</v>
      </c>
      <c r="U2096" s="36">
        <f t="shared" ref="U2096:V2096" si="495">SQRT(S2096)</f>
        <v>0</v>
      </c>
      <c r="V2096" s="36">
        <f t="shared" si="495"/>
        <v>0.3</v>
      </c>
      <c r="W2096" s="35" t="s">
        <v>603</v>
      </c>
      <c r="X2096" s="31">
        <v>3.5</v>
      </c>
      <c r="Y2096" s="36">
        <v>-8.262558973010657</v>
      </c>
      <c r="Z2096" s="36">
        <v>0.09673168299504373</v>
      </c>
      <c r="AA2096" s="29" t="s">
        <v>820</v>
      </c>
      <c r="AB2096" s="51">
        <v>14.986</v>
      </c>
      <c r="AC2096" s="35">
        <v>982.0</v>
      </c>
    </row>
    <row r="2097" ht="14.25" customHeight="1">
      <c r="A2097" s="29" t="s">
        <v>501</v>
      </c>
      <c r="B2097" s="29">
        <v>12.0</v>
      </c>
      <c r="C2097" s="29" t="s">
        <v>608</v>
      </c>
      <c r="D2097" s="29" t="s">
        <v>935</v>
      </c>
      <c r="E2097" s="29">
        <v>36.0</v>
      </c>
      <c r="F2097" s="30" t="s">
        <v>1253</v>
      </c>
      <c r="G2097" s="29" t="s">
        <v>626</v>
      </c>
      <c r="H2097" s="31">
        <v>17.07</v>
      </c>
      <c r="I2097" s="29" t="s">
        <v>612</v>
      </c>
      <c r="J2097" s="32" t="s">
        <v>642</v>
      </c>
      <c r="K2097" s="29" t="s">
        <v>698</v>
      </c>
      <c r="L2097" s="29" t="s">
        <v>823</v>
      </c>
      <c r="M2097" s="33">
        <v>10.094</v>
      </c>
      <c r="N2097" s="33">
        <v>-1.985</v>
      </c>
      <c r="O2097" s="34" t="s">
        <v>641</v>
      </c>
      <c r="P2097" s="32" t="s">
        <v>700</v>
      </c>
      <c r="Q2097" s="35">
        <v>159.0</v>
      </c>
      <c r="R2097" s="35">
        <v>159.0</v>
      </c>
      <c r="S2097" s="36">
        <v>0.0293</v>
      </c>
      <c r="T2097" s="36">
        <v>0.0934</v>
      </c>
      <c r="U2097" s="36">
        <v>0.0078</v>
      </c>
      <c r="V2097" s="36">
        <v>0.0261</v>
      </c>
      <c r="W2097" s="37" t="s">
        <v>1257</v>
      </c>
      <c r="X2097" s="31">
        <v>1.5</v>
      </c>
      <c r="Y2097" s="36">
        <v>-1.1584817437618935</v>
      </c>
      <c r="Z2097" s="36">
        <v>9.368374265308387E-4</v>
      </c>
      <c r="AA2097" s="29" t="s">
        <v>820</v>
      </c>
      <c r="AB2097" s="31">
        <v>0.485856682062</v>
      </c>
      <c r="AC2097" s="38">
        <v>798.0</v>
      </c>
    </row>
    <row r="2098" ht="14.25" customHeight="1">
      <c r="A2098" s="29" t="s">
        <v>501</v>
      </c>
      <c r="B2098" s="29">
        <v>12.0</v>
      </c>
      <c r="C2098" s="29" t="s">
        <v>608</v>
      </c>
      <c r="D2098" s="29" t="s">
        <v>935</v>
      </c>
      <c r="E2098" s="29">
        <v>36.0</v>
      </c>
      <c r="F2098" s="30" t="s">
        <v>1253</v>
      </c>
      <c r="G2098" s="29" t="s">
        <v>626</v>
      </c>
      <c r="H2098" s="31">
        <v>17.07</v>
      </c>
      <c r="I2098" s="29" t="s">
        <v>612</v>
      </c>
      <c r="J2098" s="32" t="s">
        <v>642</v>
      </c>
      <c r="K2098" s="29" t="s">
        <v>698</v>
      </c>
      <c r="L2098" s="29" t="s">
        <v>823</v>
      </c>
      <c r="M2098" s="33">
        <v>10.094</v>
      </c>
      <c r="N2098" s="33">
        <v>-1.985</v>
      </c>
      <c r="O2098" s="34" t="s">
        <v>641</v>
      </c>
      <c r="P2098" s="32" t="s">
        <v>700</v>
      </c>
      <c r="Q2098" s="35">
        <v>159.0</v>
      </c>
      <c r="R2098" s="35">
        <v>159.0</v>
      </c>
      <c r="S2098" s="36">
        <v>0.0358</v>
      </c>
      <c r="T2098" s="36">
        <v>0.0934</v>
      </c>
      <c r="U2098" s="36">
        <v>0.0156</v>
      </c>
      <c r="V2098" s="36">
        <v>0.0261</v>
      </c>
      <c r="W2098" s="37" t="s">
        <v>1257</v>
      </c>
      <c r="X2098" s="31">
        <v>5.0</v>
      </c>
      <c r="Y2098" s="36">
        <v>-0.9582705774984123</v>
      </c>
      <c r="Z2098" s="36">
        <v>0.001685347463629805</v>
      </c>
      <c r="AA2098" s="29" t="s">
        <v>820</v>
      </c>
      <c r="AB2098" s="31">
        <v>0.485856682062</v>
      </c>
      <c r="AC2098" s="38">
        <v>798.0</v>
      </c>
    </row>
    <row r="2099" ht="14.25" customHeight="1">
      <c r="A2099" s="29" t="s">
        <v>501</v>
      </c>
      <c r="B2099" s="29">
        <v>12.0</v>
      </c>
      <c r="C2099" s="29" t="s">
        <v>608</v>
      </c>
      <c r="D2099" s="29" t="s">
        <v>935</v>
      </c>
      <c r="E2099" s="29">
        <v>36.0</v>
      </c>
      <c r="F2099" s="30" t="s">
        <v>1253</v>
      </c>
      <c r="G2099" s="29" t="s">
        <v>626</v>
      </c>
      <c r="H2099" s="31">
        <v>17.07</v>
      </c>
      <c r="I2099" s="29" t="s">
        <v>612</v>
      </c>
      <c r="J2099" s="32" t="s">
        <v>642</v>
      </c>
      <c r="K2099" s="29" t="s">
        <v>698</v>
      </c>
      <c r="L2099" s="29" t="s">
        <v>823</v>
      </c>
      <c r="M2099" s="33">
        <v>10.094</v>
      </c>
      <c r="N2099" s="33">
        <v>-1.985</v>
      </c>
      <c r="O2099" s="34" t="s">
        <v>641</v>
      </c>
      <c r="P2099" s="32" t="s">
        <v>700</v>
      </c>
      <c r="Q2099" s="35">
        <v>159.0</v>
      </c>
      <c r="R2099" s="35">
        <v>159.0</v>
      </c>
      <c r="S2099" s="36">
        <v>0.0747</v>
      </c>
      <c r="T2099" s="36">
        <v>0.0934</v>
      </c>
      <c r="U2099" s="36">
        <v>0.0035</v>
      </c>
      <c r="V2099" s="36">
        <v>0.0261</v>
      </c>
      <c r="W2099" s="37" t="s">
        <v>1257</v>
      </c>
      <c r="X2099" s="31">
        <v>8.5</v>
      </c>
      <c r="Y2099" s="36">
        <v>-0.2230887213502699</v>
      </c>
      <c r="Z2099" s="36">
        <v>5.049297972133078E-4</v>
      </c>
      <c r="AA2099" s="29" t="s">
        <v>820</v>
      </c>
      <c r="AB2099" s="31">
        <v>0.485856682062</v>
      </c>
      <c r="AC2099" s="38">
        <v>798.0</v>
      </c>
    </row>
    <row r="2100" ht="14.25" customHeight="1">
      <c r="A2100" s="29" t="s">
        <v>501</v>
      </c>
      <c r="B2100" s="29">
        <v>12.0</v>
      </c>
      <c r="C2100" s="29" t="s">
        <v>608</v>
      </c>
      <c r="D2100" s="29" t="s">
        <v>1053</v>
      </c>
      <c r="E2100" s="29">
        <v>41.0</v>
      </c>
      <c r="F2100" s="30" t="s">
        <v>1054</v>
      </c>
      <c r="G2100" s="29" t="s">
        <v>626</v>
      </c>
      <c r="H2100" s="31">
        <v>72.5</v>
      </c>
      <c r="I2100" s="29" t="s">
        <v>612</v>
      </c>
      <c r="J2100" s="32" t="s">
        <v>642</v>
      </c>
      <c r="K2100" s="29" t="s">
        <v>698</v>
      </c>
      <c r="L2100" s="29" t="s">
        <v>823</v>
      </c>
      <c r="M2100" s="33">
        <v>10.094</v>
      </c>
      <c r="N2100" s="33">
        <v>-1.985</v>
      </c>
      <c r="O2100" s="34" t="s">
        <v>641</v>
      </c>
      <c r="P2100" s="32" t="s">
        <v>700</v>
      </c>
      <c r="Q2100" s="35">
        <v>159.0</v>
      </c>
      <c r="R2100" s="35">
        <v>159.0</v>
      </c>
      <c r="S2100" s="36">
        <v>0.015</v>
      </c>
      <c r="T2100" s="36">
        <v>0.0222</v>
      </c>
      <c r="U2100" s="36">
        <v>0.003</v>
      </c>
      <c r="V2100" s="36">
        <v>0.0093</v>
      </c>
      <c r="W2100" s="37" t="s">
        <v>1257</v>
      </c>
      <c r="X2100" s="31">
        <v>1.5</v>
      </c>
      <c r="Y2100" s="36">
        <v>-0.3916603237118939</v>
      </c>
      <c r="Z2100" s="36">
        <v>0.0013553022681018598</v>
      </c>
      <c r="AA2100" s="29" t="s">
        <v>820</v>
      </c>
      <c r="AB2100" s="31">
        <v>0.485856682062</v>
      </c>
      <c r="AC2100" s="38">
        <v>798.0</v>
      </c>
    </row>
    <row r="2101" ht="14.25" customHeight="1">
      <c r="A2101" s="29" t="s">
        <v>501</v>
      </c>
      <c r="B2101" s="29">
        <v>12.0</v>
      </c>
      <c r="C2101" s="29" t="s">
        <v>608</v>
      </c>
      <c r="D2101" s="29" t="s">
        <v>1053</v>
      </c>
      <c r="E2101" s="29">
        <v>41.0</v>
      </c>
      <c r="F2101" s="30" t="s">
        <v>1054</v>
      </c>
      <c r="G2101" s="29" t="s">
        <v>626</v>
      </c>
      <c r="H2101" s="31">
        <v>72.5</v>
      </c>
      <c r="I2101" s="29" t="s">
        <v>612</v>
      </c>
      <c r="J2101" s="32" t="s">
        <v>642</v>
      </c>
      <c r="K2101" s="29" t="s">
        <v>698</v>
      </c>
      <c r="L2101" s="29" t="s">
        <v>823</v>
      </c>
      <c r="M2101" s="33">
        <v>10.094</v>
      </c>
      <c r="N2101" s="33">
        <v>-1.985</v>
      </c>
      <c r="O2101" s="34" t="s">
        <v>641</v>
      </c>
      <c r="P2101" s="32" t="s">
        <v>700</v>
      </c>
      <c r="Q2101" s="35">
        <v>159.0</v>
      </c>
      <c r="R2101" s="35">
        <v>159.0</v>
      </c>
      <c r="S2101" s="36">
        <v>0.0115</v>
      </c>
      <c r="T2101" s="36">
        <v>0.0222</v>
      </c>
      <c r="U2101" s="36">
        <v>0.0052</v>
      </c>
      <c r="V2101" s="36">
        <v>0.0093</v>
      </c>
      <c r="W2101" s="37" t="s">
        <v>1257</v>
      </c>
      <c r="X2101" s="31">
        <v>5.0</v>
      </c>
      <c r="Y2101" s="36">
        <v>-0.6572473293043365</v>
      </c>
      <c r="Z2101" s="36">
        <v>0.0023896497375172753</v>
      </c>
      <c r="AA2101" s="29" t="s">
        <v>820</v>
      </c>
      <c r="AB2101" s="31">
        <v>0.485856682062</v>
      </c>
      <c r="AC2101" s="38">
        <v>798.0</v>
      </c>
    </row>
    <row r="2102" ht="14.25" customHeight="1">
      <c r="A2102" s="29" t="s">
        <v>501</v>
      </c>
      <c r="B2102" s="29">
        <v>12.0</v>
      </c>
      <c r="C2102" s="29" t="s">
        <v>608</v>
      </c>
      <c r="D2102" s="29" t="s">
        <v>1053</v>
      </c>
      <c r="E2102" s="29">
        <v>41.0</v>
      </c>
      <c r="F2102" s="30" t="s">
        <v>1054</v>
      </c>
      <c r="G2102" s="29" t="s">
        <v>626</v>
      </c>
      <c r="H2102" s="31">
        <v>72.5</v>
      </c>
      <c r="I2102" s="29" t="s">
        <v>612</v>
      </c>
      <c r="J2102" s="32" t="s">
        <v>642</v>
      </c>
      <c r="K2102" s="29" t="s">
        <v>698</v>
      </c>
      <c r="L2102" s="29" t="s">
        <v>823</v>
      </c>
      <c r="M2102" s="33">
        <v>10.094</v>
      </c>
      <c r="N2102" s="33">
        <v>-1.985</v>
      </c>
      <c r="O2102" s="34" t="s">
        <v>641</v>
      </c>
      <c r="P2102" s="32" t="s">
        <v>700</v>
      </c>
      <c r="Q2102" s="35">
        <v>159.0</v>
      </c>
      <c r="R2102" s="35">
        <v>159.0</v>
      </c>
      <c r="S2102" s="36">
        <v>0.0047</v>
      </c>
      <c r="T2102" s="36">
        <v>0.0222</v>
      </c>
      <c r="U2102" s="36">
        <v>0.005</v>
      </c>
      <c r="V2102" s="36">
        <v>0.0093</v>
      </c>
      <c r="W2102" s="37" t="s">
        <v>1257</v>
      </c>
      <c r="X2102" s="31">
        <v>8.5</v>
      </c>
      <c r="Y2102" s="36">
        <v>-1.5513118935384542</v>
      </c>
      <c r="Z2102" s="36">
        <v>0.00822155268449449</v>
      </c>
      <c r="AA2102" s="29" t="s">
        <v>820</v>
      </c>
      <c r="AB2102" s="31">
        <v>0.485856682062</v>
      </c>
      <c r="AC2102" s="38">
        <v>798.0</v>
      </c>
    </row>
    <row r="2103" ht="14.25" customHeight="1">
      <c r="A2103" s="29" t="s">
        <v>501</v>
      </c>
      <c r="B2103" s="29">
        <v>12.0</v>
      </c>
      <c r="C2103" s="29" t="s">
        <v>608</v>
      </c>
      <c r="D2103" s="29" t="s">
        <v>1363</v>
      </c>
      <c r="E2103" s="29">
        <v>46.0</v>
      </c>
      <c r="F2103" s="30" t="s">
        <v>1364</v>
      </c>
      <c r="G2103" s="29" t="s">
        <v>611</v>
      </c>
      <c r="H2103" s="31">
        <v>4.92</v>
      </c>
      <c r="I2103" s="29" t="s">
        <v>597</v>
      </c>
      <c r="J2103" s="32" t="s">
        <v>642</v>
      </c>
      <c r="K2103" s="29" t="s">
        <v>698</v>
      </c>
      <c r="L2103" s="29" t="s">
        <v>823</v>
      </c>
      <c r="M2103" s="33">
        <v>10.094</v>
      </c>
      <c r="N2103" s="33">
        <v>-1.985</v>
      </c>
      <c r="O2103" s="34" t="s">
        <v>641</v>
      </c>
      <c r="P2103" s="32" t="s">
        <v>700</v>
      </c>
      <c r="Q2103" s="35">
        <v>159.0</v>
      </c>
      <c r="R2103" s="35">
        <v>159.0</v>
      </c>
      <c r="S2103" s="36">
        <v>0.0273</v>
      </c>
      <c r="T2103" s="36">
        <v>0.0263</v>
      </c>
      <c r="U2103" s="36">
        <v>0.0042</v>
      </c>
      <c r="V2103" s="36">
        <v>0.0119</v>
      </c>
      <c r="W2103" s="37" t="s">
        <v>1257</v>
      </c>
      <c r="X2103" s="31">
        <v>1.5</v>
      </c>
      <c r="Y2103" s="36">
        <v>0.03756627958656161</v>
      </c>
      <c r="Z2103" s="36">
        <v>0.0014364722130923847</v>
      </c>
      <c r="AA2103" s="29" t="s">
        <v>820</v>
      </c>
      <c r="AB2103" s="31">
        <v>0.485856682062</v>
      </c>
      <c r="AC2103" s="38">
        <v>798.0</v>
      </c>
    </row>
    <row r="2104" ht="14.25" customHeight="1">
      <c r="A2104" s="29" t="s">
        <v>501</v>
      </c>
      <c r="B2104" s="29">
        <v>12.0</v>
      </c>
      <c r="C2104" s="29" t="s">
        <v>608</v>
      </c>
      <c r="D2104" s="29" t="s">
        <v>1363</v>
      </c>
      <c r="E2104" s="29">
        <v>46.0</v>
      </c>
      <c r="F2104" s="30" t="s">
        <v>1364</v>
      </c>
      <c r="G2104" s="29" t="s">
        <v>611</v>
      </c>
      <c r="H2104" s="31">
        <v>4.92</v>
      </c>
      <c r="I2104" s="29" t="s">
        <v>597</v>
      </c>
      <c r="J2104" s="32" t="s">
        <v>642</v>
      </c>
      <c r="K2104" s="29" t="s">
        <v>698</v>
      </c>
      <c r="L2104" s="29" t="s">
        <v>823</v>
      </c>
      <c r="M2104" s="33">
        <v>10.094</v>
      </c>
      <c r="N2104" s="33">
        <v>-1.985</v>
      </c>
      <c r="O2104" s="34" t="s">
        <v>641</v>
      </c>
      <c r="P2104" s="32" t="s">
        <v>700</v>
      </c>
      <c r="Q2104" s="35">
        <v>159.0</v>
      </c>
      <c r="R2104" s="35">
        <v>159.0</v>
      </c>
      <c r="S2104" s="36">
        <v>0.045</v>
      </c>
      <c r="T2104" s="36">
        <v>0.0263</v>
      </c>
      <c r="U2104" s="36">
        <v>0.0088</v>
      </c>
      <c r="V2104" s="36">
        <v>0.0119</v>
      </c>
      <c r="W2104" s="37" t="s">
        <v>1257</v>
      </c>
      <c r="X2104" s="31">
        <v>5.0</v>
      </c>
      <c r="Y2104" s="36">
        <v>0.5372443246799989</v>
      </c>
      <c r="Z2104" s="36">
        <v>0.0015281284159564573</v>
      </c>
      <c r="AA2104" s="29" t="s">
        <v>820</v>
      </c>
      <c r="AB2104" s="31">
        <v>0.485856682062</v>
      </c>
      <c r="AC2104" s="38">
        <v>798.0</v>
      </c>
    </row>
    <row r="2105" ht="14.25" customHeight="1">
      <c r="A2105" s="29" t="s">
        <v>501</v>
      </c>
      <c r="B2105" s="29">
        <v>12.0</v>
      </c>
      <c r="C2105" s="29" t="s">
        <v>608</v>
      </c>
      <c r="D2105" s="29" t="s">
        <v>1363</v>
      </c>
      <c r="E2105" s="29">
        <v>46.0</v>
      </c>
      <c r="F2105" s="30" t="s">
        <v>1364</v>
      </c>
      <c r="G2105" s="29" t="s">
        <v>611</v>
      </c>
      <c r="H2105" s="31">
        <v>4.92</v>
      </c>
      <c r="I2105" s="29" t="s">
        <v>597</v>
      </c>
      <c r="J2105" s="32" t="s">
        <v>642</v>
      </c>
      <c r="K2105" s="29" t="s">
        <v>698</v>
      </c>
      <c r="L2105" s="29" t="s">
        <v>823</v>
      </c>
      <c r="M2105" s="33">
        <v>10.094</v>
      </c>
      <c r="N2105" s="33">
        <v>-1.985</v>
      </c>
      <c r="O2105" s="34" t="s">
        <v>641</v>
      </c>
      <c r="P2105" s="32" t="s">
        <v>700</v>
      </c>
      <c r="Q2105" s="35">
        <v>159.0</v>
      </c>
      <c r="R2105" s="35">
        <v>159.0</v>
      </c>
      <c r="S2105" s="36">
        <v>0.0427</v>
      </c>
      <c r="T2105" s="36">
        <v>0.0263</v>
      </c>
      <c r="U2105" s="36">
        <v>0.0153</v>
      </c>
      <c r="V2105" s="36">
        <v>0.0119</v>
      </c>
      <c r="W2105" s="37" t="s">
        <v>1257</v>
      </c>
      <c r="X2105" s="31">
        <v>8.5</v>
      </c>
      <c r="Y2105" s="36">
        <v>0.4847888758202637</v>
      </c>
      <c r="Z2105" s="36">
        <v>0.002095089525271587</v>
      </c>
      <c r="AA2105" s="29" t="s">
        <v>820</v>
      </c>
      <c r="AB2105" s="31">
        <v>0.485856682062</v>
      </c>
      <c r="AC2105" s="38">
        <v>798.0</v>
      </c>
    </row>
    <row r="2106" ht="14.25" customHeight="1">
      <c r="A2106" s="29" t="s">
        <v>501</v>
      </c>
      <c r="B2106" s="29">
        <v>12.0</v>
      </c>
      <c r="C2106" s="29" t="s">
        <v>608</v>
      </c>
      <c r="D2106" s="29" t="s">
        <v>751</v>
      </c>
      <c r="E2106" s="29">
        <v>97.0</v>
      </c>
      <c r="F2106" s="30" t="s">
        <v>752</v>
      </c>
      <c r="G2106" s="29" t="s">
        <v>753</v>
      </c>
      <c r="H2106" s="31">
        <v>3940.03</v>
      </c>
      <c r="I2106" s="29" t="s">
        <v>612</v>
      </c>
      <c r="J2106" s="32" t="s">
        <v>642</v>
      </c>
      <c r="K2106" s="29" t="s">
        <v>698</v>
      </c>
      <c r="L2106" s="29" t="s">
        <v>823</v>
      </c>
      <c r="M2106" s="33">
        <v>10.094</v>
      </c>
      <c r="N2106" s="33">
        <v>-1.985</v>
      </c>
      <c r="O2106" s="34" t="s">
        <v>641</v>
      </c>
      <c r="P2106" s="32" t="s">
        <v>700</v>
      </c>
      <c r="Q2106" s="35">
        <v>159.0</v>
      </c>
      <c r="R2106" s="35">
        <v>159.0</v>
      </c>
      <c r="S2106" s="36">
        <v>0.073</v>
      </c>
      <c r="T2106" s="36">
        <v>0.0712</v>
      </c>
      <c r="U2106" s="36">
        <v>0.0053</v>
      </c>
      <c r="V2106" s="36">
        <v>0.0212</v>
      </c>
      <c r="W2106" s="37" t="s">
        <v>1257</v>
      </c>
      <c r="X2106" s="31">
        <v>1.5</v>
      </c>
      <c r="Y2106" s="36">
        <v>0.02521822741842021</v>
      </c>
      <c r="Z2106" s="36">
        <v>5.907414658894635E-4</v>
      </c>
      <c r="AA2106" s="29" t="s">
        <v>820</v>
      </c>
      <c r="AB2106" s="31">
        <v>0.485856682062</v>
      </c>
      <c r="AC2106" s="38">
        <v>798.0</v>
      </c>
    </row>
    <row r="2107" ht="14.25" customHeight="1">
      <c r="A2107" s="29" t="s">
        <v>501</v>
      </c>
      <c r="B2107" s="29">
        <v>12.0</v>
      </c>
      <c r="C2107" s="29" t="s">
        <v>608</v>
      </c>
      <c r="D2107" s="29" t="s">
        <v>751</v>
      </c>
      <c r="E2107" s="29">
        <v>97.0</v>
      </c>
      <c r="F2107" s="30" t="s">
        <v>752</v>
      </c>
      <c r="G2107" s="29" t="s">
        <v>753</v>
      </c>
      <c r="H2107" s="31">
        <v>3940.03</v>
      </c>
      <c r="I2107" s="29" t="s">
        <v>612</v>
      </c>
      <c r="J2107" s="32" t="s">
        <v>642</v>
      </c>
      <c r="K2107" s="29" t="s">
        <v>698</v>
      </c>
      <c r="L2107" s="29" t="s">
        <v>823</v>
      </c>
      <c r="M2107" s="33">
        <v>10.094</v>
      </c>
      <c r="N2107" s="33">
        <v>-1.985</v>
      </c>
      <c r="O2107" s="34" t="s">
        <v>641</v>
      </c>
      <c r="P2107" s="32" t="s">
        <v>700</v>
      </c>
      <c r="Q2107" s="35">
        <v>159.0</v>
      </c>
      <c r="R2107" s="35">
        <v>159.0</v>
      </c>
      <c r="S2107" s="36">
        <v>0.0635</v>
      </c>
      <c r="T2107" s="36">
        <v>0.0712</v>
      </c>
      <c r="U2107" s="36">
        <v>0.0124</v>
      </c>
      <c r="V2107" s="36">
        <v>0.0212</v>
      </c>
      <c r="W2107" s="37" t="s">
        <v>1257</v>
      </c>
      <c r="X2107" s="31">
        <v>5.0</v>
      </c>
      <c r="Y2107" s="36">
        <v>-0.11416367162835553</v>
      </c>
      <c r="Z2107" s="36">
        <v>7.974169278352953E-4</v>
      </c>
      <c r="AA2107" s="29" t="s">
        <v>820</v>
      </c>
      <c r="AB2107" s="31">
        <v>0.485856682062</v>
      </c>
      <c r="AC2107" s="38">
        <v>798.0</v>
      </c>
    </row>
    <row r="2108" ht="14.25" customHeight="1">
      <c r="A2108" s="29" t="s">
        <v>501</v>
      </c>
      <c r="B2108" s="29">
        <v>12.0</v>
      </c>
      <c r="C2108" s="29" t="s">
        <v>608</v>
      </c>
      <c r="D2108" s="29" t="s">
        <v>751</v>
      </c>
      <c r="E2108" s="29">
        <v>97.0</v>
      </c>
      <c r="F2108" s="30" t="s">
        <v>752</v>
      </c>
      <c r="G2108" s="29" t="s">
        <v>753</v>
      </c>
      <c r="H2108" s="31">
        <v>3940.03</v>
      </c>
      <c r="I2108" s="29" t="s">
        <v>612</v>
      </c>
      <c r="J2108" s="32" t="s">
        <v>642</v>
      </c>
      <c r="K2108" s="29" t="s">
        <v>698</v>
      </c>
      <c r="L2108" s="29" t="s">
        <v>823</v>
      </c>
      <c r="M2108" s="33">
        <v>10.094</v>
      </c>
      <c r="N2108" s="33">
        <v>-1.985</v>
      </c>
      <c r="O2108" s="34" t="s">
        <v>641</v>
      </c>
      <c r="P2108" s="32" t="s">
        <v>700</v>
      </c>
      <c r="Q2108" s="35">
        <v>159.0</v>
      </c>
      <c r="R2108" s="35">
        <v>159.0</v>
      </c>
      <c r="S2108" s="36">
        <v>0.084</v>
      </c>
      <c r="T2108" s="36">
        <v>0.0712</v>
      </c>
      <c r="U2108" s="36">
        <v>0.0075</v>
      </c>
      <c r="V2108" s="36">
        <v>0.0212</v>
      </c>
      <c r="W2108" s="37" t="s">
        <v>1257</v>
      </c>
      <c r="X2108" s="31">
        <v>8.5</v>
      </c>
      <c r="Y2108" s="36">
        <v>0.16554264048234488</v>
      </c>
      <c r="Z2108" s="36">
        <v>6.077275096616957E-4</v>
      </c>
      <c r="AA2108" s="29" t="s">
        <v>820</v>
      </c>
      <c r="AB2108" s="31">
        <v>0.485856682062</v>
      </c>
      <c r="AC2108" s="38">
        <v>798.0</v>
      </c>
    </row>
    <row r="2109" ht="14.25" customHeight="1">
      <c r="A2109" s="29" t="s">
        <v>501</v>
      </c>
      <c r="B2109" s="29">
        <v>12.0</v>
      </c>
      <c r="C2109" s="29" t="s">
        <v>608</v>
      </c>
      <c r="D2109" s="29" t="s">
        <v>781</v>
      </c>
      <c r="E2109" s="29">
        <v>136.0</v>
      </c>
      <c r="F2109" s="30" t="s">
        <v>782</v>
      </c>
      <c r="G2109" s="29" t="s">
        <v>626</v>
      </c>
      <c r="H2109" s="31">
        <v>4.9</v>
      </c>
      <c r="I2109" s="29" t="s">
        <v>597</v>
      </c>
      <c r="J2109" s="32" t="s">
        <v>642</v>
      </c>
      <c r="K2109" s="29" t="s">
        <v>698</v>
      </c>
      <c r="L2109" s="29" t="s">
        <v>823</v>
      </c>
      <c r="M2109" s="33">
        <v>10.094</v>
      </c>
      <c r="N2109" s="33">
        <v>-1.985</v>
      </c>
      <c r="O2109" s="34" t="s">
        <v>641</v>
      </c>
      <c r="P2109" s="32" t="s">
        <v>700</v>
      </c>
      <c r="Q2109" s="35">
        <v>159.0</v>
      </c>
      <c r="R2109" s="35">
        <v>159.0</v>
      </c>
      <c r="S2109" s="36">
        <v>0.0177</v>
      </c>
      <c r="T2109" s="36">
        <v>0.0272</v>
      </c>
      <c r="U2109" s="36">
        <v>0.0055</v>
      </c>
      <c r="V2109" s="36">
        <v>0.0094</v>
      </c>
      <c r="W2109" s="37" t="s">
        <v>1257</v>
      </c>
      <c r="X2109" s="31">
        <v>1.5</v>
      </c>
      <c r="Y2109" s="36">
        <v>-0.42925594089168806</v>
      </c>
      <c r="Z2109" s="36">
        <v>0.0013584096543499738</v>
      </c>
      <c r="AA2109" s="29" t="s">
        <v>820</v>
      </c>
      <c r="AB2109" s="31">
        <v>0.485856682062</v>
      </c>
      <c r="AC2109" s="38">
        <v>798.0</v>
      </c>
    </row>
    <row r="2110" ht="14.25" customHeight="1">
      <c r="A2110" s="29" t="s">
        <v>501</v>
      </c>
      <c r="B2110" s="29">
        <v>12.0</v>
      </c>
      <c r="C2110" s="29" t="s">
        <v>608</v>
      </c>
      <c r="D2110" s="29" t="s">
        <v>781</v>
      </c>
      <c r="E2110" s="29">
        <v>136.0</v>
      </c>
      <c r="F2110" s="30" t="s">
        <v>782</v>
      </c>
      <c r="G2110" s="29" t="s">
        <v>626</v>
      </c>
      <c r="H2110" s="31">
        <v>4.9</v>
      </c>
      <c r="I2110" s="29" t="s">
        <v>597</v>
      </c>
      <c r="J2110" s="32" t="s">
        <v>642</v>
      </c>
      <c r="K2110" s="29" t="s">
        <v>698</v>
      </c>
      <c r="L2110" s="29" t="s">
        <v>823</v>
      </c>
      <c r="M2110" s="33">
        <v>10.094</v>
      </c>
      <c r="N2110" s="33">
        <v>-1.985</v>
      </c>
      <c r="O2110" s="34" t="s">
        <v>641</v>
      </c>
      <c r="P2110" s="32" t="s">
        <v>700</v>
      </c>
      <c r="Q2110" s="35">
        <v>159.0</v>
      </c>
      <c r="R2110" s="35">
        <v>159.0</v>
      </c>
      <c r="S2110" s="36">
        <v>0.0205</v>
      </c>
      <c r="T2110" s="36">
        <v>0.0272</v>
      </c>
      <c r="U2110" s="36">
        <v>0.0065</v>
      </c>
      <c r="V2110" s="36">
        <v>0.0094</v>
      </c>
      <c r="W2110" s="37" t="s">
        <v>1257</v>
      </c>
      <c r="X2110" s="31">
        <v>5.0</v>
      </c>
      <c r="Y2110" s="36">
        <v>-0.282449826522777</v>
      </c>
      <c r="Z2110" s="36">
        <v>0.00138343788661359</v>
      </c>
      <c r="AA2110" s="29" t="s">
        <v>820</v>
      </c>
      <c r="AB2110" s="31">
        <v>0.485856682062</v>
      </c>
      <c r="AC2110" s="38">
        <v>798.0</v>
      </c>
    </row>
    <row r="2111" ht="14.25" customHeight="1">
      <c r="A2111" s="29" t="s">
        <v>501</v>
      </c>
      <c r="B2111" s="29">
        <v>12.0</v>
      </c>
      <c r="C2111" s="29" t="s">
        <v>608</v>
      </c>
      <c r="D2111" s="29" t="s">
        <v>781</v>
      </c>
      <c r="E2111" s="29">
        <v>136.0</v>
      </c>
      <c r="F2111" s="30" t="s">
        <v>782</v>
      </c>
      <c r="G2111" s="29" t="s">
        <v>626</v>
      </c>
      <c r="H2111" s="31">
        <v>4.9</v>
      </c>
      <c r="I2111" s="29" t="s">
        <v>597</v>
      </c>
      <c r="J2111" s="32" t="s">
        <v>642</v>
      </c>
      <c r="K2111" s="29" t="s">
        <v>698</v>
      </c>
      <c r="L2111" s="29" t="s">
        <v>823</v>
      </c>
      <c r="M2111" s="33">
        <v>10.094</v>
      </c>
      <c r="N2111" s="33">
        <v>-1.985</v>
      </c>
      <c r="O2111" s="34" t="s">
        <v>641</v>
      </c>
      <c r="P2111" s="32" t="s">
        <v>700</v>
      </c>
      <c r="Q2111" s="35">
        <v>159.0</v>
      </c>
      <c r="R2111" s="35">
        <v>159.0</v>
      </c>
      <c r="S2111" s="36">
        <v>0.033</v>
      </c>
      <c r="T2111" s="36">
        <v>0.0272</v>
      </c>
      <c r="U2111" s="36">
        <v>0.007</v>
      </c>
      <c r="V2111" s="36">
        <v>0.0094</v>
      </c>
      <c r="W2111" s="37" t="s">
        <v>1257</v>
      </c>
      <c r="X2111" s="31">
        <v>8.5</v>
      </c>
      <c r="Y2111" s="36">
        <v>0.1935032184013495</v>
      </c>
      <c r="Z2111" s="36">
        <v>0.0010341297924872622</v>
      </c>
      <c r="AA2111" s="29" t="s">
        <v>820</v>
      </c>
      <c r="AB2111" s="31">
        <v>0.485856682062</v>
      </c>
      <c r="AC2111" s="38">
        <v>798.0</v>
      </c>
    </row>
    <row r="2112" ht="14.25" customHeight="1">
      <c r="A2112" s="29" t="s">
        <v>505</v>
      </c>
      <c r="B2112" s="29">
        <v>47.0</v>
      </c>
      <c r="C2112" s="29" t="s">
        <v>608</v>
      </c>
      <c r="D2112" s="29" t="s">
        <v>1159</v>
      </c>
      <c r="E2112" s="29">
        <v>20.0</v>
      </c>
      <c r="F2112" s="30" t="s">
        <v>1160</v>
      </c>
      <c r="G2112" s="29" t="s">
        <v>626</v>
      </c>
      <c r="H2112" s="31">
        <v>825.0</v>
      </c>
      <c r="I2112" s="29" t="s">
        <v>612</v>
      </c>
      <c r="J2112" s="32" t="s">
        <v>642</v>
      </c>
      <c r="K2112" s="29" t="s">
        <v>951</v>
      </c>
      <c r="L2112" s="29" t="s">
        <v>1418</v>
      </c>
      <c r="M2112" s="33">
        <v>98.762</v>
      </c>
      <c r="N2112" s="33">
        <v>15.505</v>
      </c>
      <c r="O2112" s="34" t="s">
        <v>601</v>
      </c>
      <c r="P2112" s="32" t="s">
        <v>602</v>
      </c>
      <c r="Q2112" s="35">
        <v>10.0</v>
      </c>
      <c r="R2112" s="35">
        <v>10.0</v>
      </c>
      <c r="S2112" s="36">
        <v>0.0</v>
      </c>
      <c r="T2112" s="36">
        <v>0.43</v>
      </c>
      <c r="U2112" s="36">
        <v>0.0</v>
      </c>
      <c r="V2112" s="36">
        <v>0.3872</v>
      </c>
      <c r="W2112" s="37" t="s">
        <v>1419</v>
      </c>
      <c r="X2112" s="31">
        <v>1.0</v>
      </c>
      <c r="Y2112" s="36">
        <v>-8.262558973010657</v>
      </c>
      <c r="Z2112" s="36">
        <v>0.19100749682044169</v>
      </c>
      <c r="AA2112" s="29" t="s">
        <v>820</v>
      </c>
      <c r="AB2112" s="31">
        <v>4.72643709183</v>
      </c>
      <c r="AC2112" s="38">
        <v>574.0</v>
      </c>
    </row>
    <row r="2113" ht="14.25" customHeight="1">
      <c r="A2113" s="29" t="s">
        <v>505</v>
      </c>
      <c r="B2113" s="29">
        <v>47.0</v>
      </c>
      <c r="C2113" s="29" t="s">
        <v>608</v>
      </c>
      <c r="D2113" s="29" t="s">
        <v>1159</v>
      </c>
      <c r="E2113" s="29">
        <v>20.0</v>
      </c>
      <c r="F2113" s="30" t="s">
        <v>1160</v>
      </c>
      <c r="G2113" s="29" t="s">
        <v>626</v>
      </c>
      <c r="H2113" s="31">
        <v>825.0</v>
      </c>
      <c r="I2113" s="29" t="s">
        <v>612</v>
      </c>
      <c r="J2113" s="32" t="s">
        <v>642</v>
      </c>
      <c r="K2113" s="29" t="s">
        <v>951</v>
      </c>
      <c r="L2113" s="29" t="s">
        <v>1418</v>
      </c>
      <c r="M2113" s="33">
        <v>98.762</v>
      </c>
      <c r="N2113" s="33">
        <v>15.505</v>
      </c>
      <c r="O2113" s="34" t="s">
        <v>601</v>
      </c>
      <c r="P2113" s="32" t="s">
        <v>602</v>
      </c>
      <c r="Q2113" s="35">
        <v>10.0</v>
      </c>
      <c r="R2113" s="35">
        <v>10.0</v>
      </c>
      <c r="S2113" s="36">
        <v>0.0</v>
      </c>
      <c r="T2113" s="36">
        <v>0.43</v>
      </c>
      <c r="U2113" s="36">
        <v>0.0</v>
      </c>
      <c r="V2113" s="36">
        <v>0.3872</v>
      </c>
      <c r="W2113" s="37" t="s">
        <v>1419</v>
      </c>
      <c r="X2113" s="31">
        <v>2.0</v>
      </c>
      <c r="Y2113" s="36">
        <v>-8.262558973010657</v>
      </c>
      <c r="Z2113" s="36">
        <v>0.19100749682044169</v>
      </c>
      <c r="AA2113" s="29" t="s">
        <v>820</v>
      </c>
      <c r="AB2113" s="31">
        <v>4.72643709183</v>
      </c>
      <c r="AC2113" s="38">
        <v>574.0</v>
      </c>
    </row>
    <row r="2114" ht="14.25" customHeight="1">
      <c r="A2114" s="29" t="s">
        <v>505</v>
      </c>
      <c r="B2114" s="29">
        <v>47.0</v>
      </c>
      <c r="C2114" s="29" t="s">
        <v>608</v>
      </c>
      <c r="D2114" s="29" t="s">
        <v>1159</v>
      </c>
      <c r="E2114" s="29">
        <v>20.0</v>
      </c>
      <c r="F2114" s="30" t="s">
        <v>1160</v>
      </c>
      <c r="G2114" s="29" t="s">
        <v>626</v>
      </c>
      <c r="H2114" s="31">
        <v>825.0</v>
      </c>
      <c r="I2114" s="29" t="s">
        <v>612</v>
      </c>
      <c r="J2114" s="32" t="s">
        <v>642</v>
      </c>
      <c r="K2114" s="29" t="s">
        <v>951</v>
      </c>
      <c r="L2114" s="29" t="s">
        <v>1418</v>
      </c>
      <c r="M2114" s="33">
        <v>98.762</v>
      </c>
      <c r="N2114" s="33">
        <v>15.505</v>
      </c>
      <c r="O2114" s="34" t="s">
        <v>601</v>
      </c>
      <c r="P2114" s="32" t="s">
        <v>602</v>
      </c>
      <c r="Q2114" s="35">
        <v>10.0</v>
      </c>
      <c r="R2114" s="35">
        <v>10.0</v>
      </c>
      <c r="S2114" s="36">
        <v>0.0</v>
      </c>
      <c r="T2114" s="36">
        <v>0.43</v>
      </c>
      <c r="U2114" s="36">
        <v>0.0</v>
      </c>
      <c r="V2114" s="36">
        <v>0.3872</v>
      </c>
      <c r="W2114" s="37" t="s">
        <v>1419</v>
      </c>
      <c r="X2114" s="31">
        <v>3.0</v>
      </c>
      <c r="Y2114" s="36">
        <v>-8.262558973010657</v>
      </c>
      <c r="Z2114" s="36">
        <v>0.19100749682044169</v>
      </c>
      <c r="AA2114" s="29" t="s">
        <v>820</v>
      </c>
      <c r="AB2114" s="31">
        <v>4.72643709183</v>
      </c>
      <c r="AC2114" s="38">
        <v>574.0</v>
      </c>
    </row>
    <row r="2115" ht="14.25" customHeight="1">
      <c r="A2115" s="29" t="s">
        <v>505</v>
      </c>
      <c r="B2115" s="29">
        <v>47.0</v>
      </c>
      <c r="C2115" s="29" t="s">
        <v>608</v>
      </c>
      <c r="D2115" s="29" t="s">
        <v>1159</v>
      </c>
      <c r="E2115" s="29">
        <v>20.0</v>
      </c>
      <c r="F2115" s="30" t="s">
        <v>1160</v>
      </c>
      <c r="G2115" s="29" t="s">
        <v>626</v>
      </c>
      <c r="H2115" s="31">
        <v>825.0</v>
      </c>
      <c r="I2115" s="29" t="s">
        <v>612</v>
      </c>
      <c r="J2115" s="32" t="s">
        <v>642</v>
      </c>
      <c r="K2115" s="29" t="s">
        <v>951</v>
      </c>
      <c r="L2115" s="29" t="s">
        <v>1418</v>
      </c>
      <c r="M2115" s="33">
        <v>98.762</v>
      </c>
      <c r="N2115" s="33">
        <v>15.505</v>
      </c>
      <c r="O2115" s="34" t="s">
        <v>601</v>
      </c>
      <c r="P2115" s="32" t="s">
        <v>602</v>
      </c>
      <c r="Q2115" s="35">
        <v>10.0</v>
      </c>
      <c r="R2115" s="35">
        <v>10.0</v>
      </c>
      <c r="S2115" s="36">
        <v>0.0</v>
      </c>
      <c r="T2115" s="36">
        <v>0.43</v>
      </c>
      <c r="U2115" s="36">
        <v>0.0</v>
      </c>
      <c r="V2115" s="36">
        <v>0.3872</v>
      </c>
      <c r="W2115" s="37" t="s">
        <v>1419</v>
      </c>
      <c r="X2115" s="31">
        <v>4.0</v>
      </c>
      <c r="Y2115" s="36">
        <v>-8.262558973010657</v>
      </c>
      <c r="Z2115" s="36">
        <v>0.19100749682044169</v>
      </c>
      <c r="AA2115" s="29" t="s">
        <v>820</v>
      </c>
      <c r="AB2115" s="31">
        <v>4.72643709183</v>
      </c>
      <c r="AC2115" s="38">
        <v>574.0</v>
      </c>
    </row>
    <row r="2116" ht="14.25" customHeight="1">
      <c r="A2116" s="29" t="s">
        <v>505</v>
      </c>
      <c r="B2116" s="29">
        <v>47.0</v>
      </c>
      <c r="C2116" s="29" t="s">
        <v>608</v>
      </c>
      <c r="D2116" s="29" t="s">
        <v>1159</v>
      </c>
      <c r="E2116" s="29">
        <v>20.0</v>
      </c>
      <c r="F2116" s="30" t="s">
        <v>1160</v>
      </c>
      <c r="G2116" s="29" t="s">
        <v>626</v>
      </c>
      <c r="H2116" s="31">
        <v>825.0</v>
      </c>
      <c r="I2116" s="29" t="s">
        <v>612</v>
      </c>
      <c r="J2116" s="32" t="s">
        <v>642</v>
      </c>
      <c r="K2116" s="29" t="s">
        <v>951</v>
      </c>
      <c r="L2116" s="29" t="s">
        <v>1418</v>
      </c>
      <c r="M2116" s="33">
        <v>98.762</v>
      </c>
      <c r="N2116" s="33">
        <v>15.505</v>
      </c>
      <c r="O2116" s="34" t="s">
        <v>601</v>
      </c>
      <c r="P2116" s="32" t="s">
        <v>602</v>
      </c>
      <c r="Q2116" s="35">
        <v>10.0</v>
      </c>
      <c r="R2116" s="35">
        <v>10.0</v>
      </c>
      <c r="S2116" s="36">
        <v>0.0</v>
      </c>
      <c r="T2116" s="36">
        <v>0.43</v>
      </c>
      <c r="U2116" s="36">
        <v>0.0</v>
      </c>
      <c r="V2116" s="36">
        <v>0.3872</v>
      </c>
      <c r="W2116" s="37" t="s">
        <v>1419</v>
      </c>
      <c r="X2116" s="31">
        <v>5.0</v>
      </c>
      <c r="Y2116" s="36">
        <v>-8.262558973010657</v>
      </c>
      <c r="Z2116" s="36">
        <v>0.19100749682044169</v>
      </c>
      <c r="AA2116" s="29" t="s">
        <v>820</v>
      </c>
      <c r="AB2116" s="31">
        <v>4.72643709183</v>
      </c>
      <c r="AC2116" s="38">
        <v>574.0</v>
      </c>
    </row>
    <row r="2117" ht="14.25" customHeight="1">
      <c r="A2117" s="29" t="s">
        <v>505</v>
      </c>
      <c r="B2117" s="29">
        <v>47.0</v>
      </c>
      <c r="C2117" s="29" t="s">
        <v>608</v>
      </c>
      <c r="D2117" s="29" t="s">
        <v>1159</v>
      </c>
      <c r="E2117" s="29">
        <v>20.0</v>
      </c>
      <c r="F2117" s="30" t="s">
        <v>1160</v>
      </c>
      <c r="G2117" s="29" t="s">
        <v>626</v>
      </c>
      <c r="H2117" s="31">
        <v>825.0</v>
      </c>
      <c r="I2117" s="29" t="s">
        <v>612</v>
      </c>
      <c r="J2117" s="32" t="s">
        <v>642</v>
      </c>
      <c r="K2117" s="29" t="s">
        <v>951</v>
      </c>
      <c r="L2117" s="29" t="s">
        <v>1418</v>
      </c>
      <c r="M2117" s="33">
        <v>98.762</v>
      </c>
      <c r="N2117" s="33">
        <v>15.505</v>
      </c>
      <c r="O2117" s="34" t="s">
        <v>601</v>
      </c>
      <c r="P2117" s="32" t="s">
        <v>602</v>
      </c>
      <c r="Q2117" s="35">
        <v>10.0</v>
      </c>
      <c r="R2117" s="35">
        <v>10.0</v>
      </c>
      <c r="S2117" s="36">
        <v>0.0</v>
      </c>
      <c r="T2117" s="36">
        <v>0.43</v>
      </c>
      <c r="U2117" s="36">
        <v>0.0</v>
      </c>
      <c r="V2117" s="36">
        <v>0.3872</v>
      </c>
      <c r="W2117" s="37" t="s">
        <v>1419</v>
      </c>
      <c r="X2117" s="31">
        <v>6.0</v>
      </c>
      <c r="Y2117" s="36">
        <v>-8.262558973010657</v>
      </c>
      <c r="Z2117" s="36">
        <v>0.19100749682044169</v>
      </c>
      <c r="AA2117" s="29" t="s">
        <v>820</v>
      </c>
      <c r="AB2117" s="31">
        <v>4.72643709183</v>
      </c>
      <c r="AC2117" s="38">
        <v>574.0</v>
      </c>
    </row>
    <row r="2118" ht="14.25" customHeight="1">
      <c r="A2118" s="29" t="s">
        <v>505</v>
      </c>
      <c r="B2118" s="29">
        <v>47.0</v>
      </c>
      <c r="C2118" s="29" t="s">
        <v>608</v>
      </c>
      <c r="D2118" s="29" t="s">
        <v>1159</v>
      </c>
      <c r="E2118" s="29">
        <v>20.0</v>
      </c>
      <c r="F2118" s="30" t="s">
        <v>1160</v>
      </c>
      <c r="G2118" s="29" t="s">
        <v>626</v>
      </c>
      <c r="H2118" s="31">
        <v>825.0</v>
      </c>
      <c r="I2118" s="29" t="s">
        <v>612</v>
      </c>
      <c r="J2118" s="32" t="s">
        <v>642</v>
      </c>
      <c r="K2118" s="29" t="s">
        <v>951</v>
      </c>
      <c r="L2118" s="29" t="s">
        <v>1418</v>
      </c>
      <c r="M2118" s="33">
        <v>98.762</v>
      </c>
      <c r="N2118" s="33">
        <v>15.505</v>
      </c>
      <c r="O2118" s="34" t="s">
        <v>601</v>
      </c>
      <c r="P2118" s="32" t="s">
        <v>602</v>
      </c>
      <c r="Q2118" s="35">
        <v>10.0</v>
      </c>
      <c r="R2118" s="35">
        <v>10.0</v>
      </c>
      <c r="S2118" s="36">
        <v>0.06</v>
      </c>
      <c r="T2118" s="36">
        <v>0.43</v>
      </c>
      <c r="U2118" s="36">
        <v>0.242</v>
      </c>
      <c r="V2118" s="36">
        <v>0.3872</v>
      </c>
      <c r="W2118" s="37" t="s">
        <v>1419</v>
      </c>
      <c r="X2118" s="31">
        <v>7.0</v>
      </c>
      <c r="Y2118" s="36">
        <v>-1.9675933685263862</v>
      </c>
      <c r="Z2118" s="36">
        <v>1.7078615203413257</v>
      </c>
      <c r="AA2118" s="29" t="s">
        <v>820</v>
      </c>
      <c r="AB2118" s="31">
        <v>4.72643709183</v>
      </c>
      <c r="AC2118" s="38">
        <v>574.0</v>
      </c>
    </row>
    <row r="2119" ht="14.25" customHeight="1">
      <c r="A2119" s="29" t="s">
        <v>505</v>
      </c>
      <c r="B2119" s="29">
        <v>47.0</v>
      </c>
      <c r="C2119" s="29" t="s">
        <v>608</v>
      </c>
      <c r="D2119" s="29" t="s">
        <v>1159</v>
      </c>
      <c r="E2119" s="29">
        <v>20.0</v>
      </c>
      <c r="F2119" s="30" t="s">
        <v>1160</v>
      </c>
      <c r="G2119" s="29" t="s">
        <v>626</v>
      </c>
      <c r="H2119" s="31">
        <v>825.0</v>
      </c>
      <c r="I2119" s="29" t="s">
        <v>612</v>
      </c>
      <c r="J2119" s="32" t="s">
        <v>642</v>
      </c>
      <c r="K2119" s="29" t="s">
        <v>951</v>
      </c>
      <c r="L2119" s="29" t="s">
        <v>1418</v>
      </c>
      <c r="M2119" s="33">
        <v>98.762</v>
      </c>
      <c r="N2119" s="33">
        <v>15.505</v>
      </c>
      <c r="O2119" s="34" t="s">
        <v>601</v>
      </c>
      <c r="P2119" s="32" t="s">
        <v>602</v>
      </c>
      <c r="Q2119" s="35">
        <v>10.0</v>
      </c>
      <c r="R2119" s="35">
        <v>10.0</v>
      </c>
      <c r="S2119" s="36">
        <v>0.06</v>
      </c>
      <c r="T2119" s="36">
        <v>0.43</v>
      </c>
      <c r="U2119" s="36">
        <v>0.242</v>
      </c>
      <c r="V2119" s="36">
        <v>0.3872</v>
      </c>
      <c r="W2119" s="37" t="s">
        <v>1419</v>
      </c>
      <c r="X2119" s="31">
        <v>8.0</v>
      </c>
      <c r="Y2119" s="36">
        <v>-1.9675933685263862</v>
      </c>
      <c r="Z2119" s="36">
        <v>1.7078615203413257</v>
      </c>
      <c r="AA2119" s="29" t="s">
        <v>820</v>
      </c>
      <c r="AB2119" s="31">
        <v>4.72643709183</v>
      </c>
      <c r="AC2119" s="38">
        <v>574.0</v>
      </c>
    </row>
    <row r="2120" ht="14.25" customHeight="1">
      <c r="A2120" s="29" t="s">
        <v>505</v>
      </c>
      <c r="B2120" s="29">
        <v>47.0</v>
      </c>
      <c r="C2120" s="29" t="s">
        <v>608</v>
      </c>
      <c r="D2120" s="29" t="s">
        <v>1159</v>
      </c>
      <c r="E2120" s="29">
        <v>20.0</v>
      </c>
      <c r="F2120" s="30" t="s">
        <v>1160</v>
      </c>
      <c r="G2120" s="29" t="s">
        <v>626</v>
      </c>
      <c r="H2120" s="31">
        <v>825.0</v>
      </c>
      <c r="I2120" s="29" t="s">
        <v>612</v>
      </c>
      <c r="J2120" s="32" t="s">
        <v>642</v>
      </c>
      <c r="K2120" s="29" t="s">
        <v>951</v>
      </c>
      <c r="L2120" s="29" t="s">
        <v>1418</v>
      </c>
      <c r="M2120" s="33">
        <v>98.762</v>
      </c>
      <c r="N2120" s="33">
        <v>15.505</v>
      </c>
      <c r="O2120" s="34" t="s">
        <v>601</v>
      </c>
      <c r="P2120" s="32" t="s">
        <v>602</v>
      </c>
      <c r="Q2120" s="35">
        <v>10.0</v>
      </c>
      <c r="R2120" s="35">
        <v>10.0</v>
      </c>
      <c r="S2120" s="36">
        <v>0.17</v>
      </c>
      <c r="T2120" s="36">
        <v>0.43</v>
      </c>
      <c r="U2120" s="36">
        <v>0.3307</v>
      </c>
      <c r="V2120" s="36">
        <v>0.3872</v>
      </c>
      <c r="W2120" s="37" t="s">
        <v>1419</v>
      </c>
      <c r="X2120" s="31">
        <v>9.0</v>
      </c>
      <c r="Y2120" s="36">
        <v>-0.9273344014624197</v>
      </c>
      <c r="Z2120" s="36">
        <v>0.45950066297877273</v>
      </c>
      <c r="AA2120" s="29" t="s">
        <v>820</v>
      </c>
      <c r="AB2120" s="31">
        <v>4.72643709183</v>
      </c>
      <c r="AC2120" s="38">
        <v>574.0</v>
      </c>
    </row>
    <row r="2121" ht="14.25" customHeight="1">
      <c r="A2121" s="29" t="s">
        <v>505</v>
      </c>
      <c r="B2121" s="29">
        <v>47.0</v>
      </c>
      <c r="C2121" s="29" t="s">
        <v>608</v>
      </c>
      <c r="D2121" s="29" t="s">
        <v>1255</v>
      </c>
      <c r="E2121" s="29">
        <v>77.0</v>
      </c>
      <c r="F2121" s="30" t="s">
        <v>1168</v>
      </c>
      <c r="G2121" s="29" t="s">
        <v>753</v>
      </c>
      <c r="H2121" s="31">
        <v>2915.04</v>
      </c>
      <c r="I2121" s="29" t="s">
        <v>612</v>
      </c>
      <c r="J2121" s="32" t="s">
        <v>642</v>
      </c>
      <c r="K2121" s="29" t="s">
        <v>951</v>
      </c>
      <c r="L2121" s="29" t="s">
        <v>1418</v>
      </c>
      <c r="M2121" s="33">
        <v>98.762</v>
      </c>
      <c r="N2121" s="33">
        <v>15.505</v>
      </c>
      <c r="O2121" s="34" t="s">
        <v>601</v>
      </c>
      <c r="P2121" s="32" t="s">
        <v>602</v>
      </c>
      <c r="Q2121" s="35">
        <v>10.0</v>
      </c>
      <c r="R2121" s="35">
        <v>10.0</v>
      </c>
      <c r="S2121" s="36">
        <v>0.0</v>
      </c>
      <c r="T2121" s="36">
        <v>0.43</v>
      </c>
      <c r="U2121" s="36">
        <v>0.0</v>
      </c>
      <c r="V2121" s="36">
        <v>0.2904</v>
      </c>
      <c r="W2121" s="37" t="s">
        <v>1419</v>
      </c>
      <c r="X2121" s="31">
        <v>1.0</v>
      </c>
      <c r="Y2121" s="36">
        <v>-8.262558973010657</v>
      </c>
      <c r="Z2121" s="36">
        <v>0.17223172158631056</v>
      </c>
      <c r="AA2121" s="29" t="s">
        <v>820</v>
      </c>
      <c r="AB2121" s="31">
        <v>4.72643709183</v>
      </c>
      <c r="AC2121" s="38">
        <v>574.0</v>
      </c>
    </row>
    <row r="2122" ht="14.25" customHeight="1">
      <c r="A2122" s="29" t="s">
        <v>505</v>
      </c>
      <c r="B2122" s="29">
        <v>47.0</v>
      </c>
      <c r="C2122" s="29" t="s">
        <v>608</v>
      </c>
      <c r="D2122" s="29" t="s">
        <v>1255</v>
      </c>
      <c r="E2122" s="29">
        <v>77.0</v>
      </c>
      <c r="F2122" s="30" t="s">
        <v>1168</v>
      </c>
      <c r="G2122" s="29" t="s">
        <v>753</v>
      </c>
      <c r="H2122" s="31">
        <v>2915.04</v>
      </c>
      <c r="I2122" s="29" t="s">
        <v>612</v>
      </c>
      <c r="J2122" s="32" t="s">
        <v>642</v>
      </c>
      <c r="K2122" s="29" t="s">
        <v>951</v>
      </c>
      <c r="L2122" s="29" t="s">
        <v>1418</v>
      </c>
      <c r="M2122" s="33">
        <v>98.762</v>
      </c>
      <c r="N2122" s="33">
        <v>15.505</v>
      </c>
      <c r="O2122" s="34" t="s">
        <v>601</v>
      </c>
      <c r="P2122" s="32" t="s">
        <v>602</v>
      </c>
      <c r="Q2122" s="35">
        <v>10.0</v>
      </c>
      <c r="R2122" s="35">
        <v>10.0</v>
      </c>
      <c r="S2122" s="36">
        <v>0.0</v>
      </c>
      <c r="T2122" s="36">
        <v>0.43</v>
      </c>
      <c r="U2122" s="36">
        <v>0.0</v>
      </c>
      <c r="V2122" s="36">
        <v>0.2904</v>
      </c>
      <c r="W2122" s="37" t="s">
        <v>1419</v>
      </c>
      <c r="X2122" s="31">
        <v>2.0</v>
      </c>
      <c r="Y2122" s="36">
        <v>-8.262558973010657</v>
      </c>
      <c r="Z2122" s="36">
        <v>0.17223172158631056</v>
      </c>
      <c r="AA2122" s="29" t="s">
        <v>820</v>
      </c>
      <c r="AB2122" s="31">
        <v>4.72643709183</v>
      </c>
      <c r="AC2122" s="38">
        <v>574.0</v>
      </c>
    </row>
    <row r="2123" ht="14.25" customHeight="1">
      <c r="A2123" s="29" t="s">
        <v>505</v>
      </c>
      <c r="B2123" s="29">
        <v>47.0</v>
      </c>
      <c r="C2123" s="29" t="s">
        <v>608</v>
      </c>
      <c r="D2123" s="29" t="s">
        <v>1255</v>
      </c>
      <c r="E2123" s="29">
        <v>77.0</v>
      </c>
      <c r="F2123" s="30" t="s">
        <v>1168</v>
      </c>
      <c r="G2123" s="29" t="s">
        <v>753</v>
      </c>
      <c r="H2123" s="31">
        <v>2915.04</v>
      </c>
      <c r="I2123" s="29" t="s">
        <v>612</v>
      </c>
      <c r="J2123" s="32" t="s">
        <v>642</v>
      </c>
      <c r="K2123" s="29" t="s">
        <v>951</v>
      </c>
      <c r="L2123" s="29" t="s">
        <v>1418</v>
      </c>
      <c r="M2123" s="33">
        <v>98.762</v>
      </c>
      <c r="N2123" s="33">
        <v>15.505</v>
      </c>
      <c r="O2123" s="34" t="s">
        <v>601</v>
      </c>
      <c r="P2123" s="32" t="s">
        <v>602</v>
      </c>
      <c r="Q2123" s="35">
        <v>10.0</v>
      </c>
      <c r="R2123" s="35">
        <v>10.0</v>
      </c>
      <c r="S2123" s="36">
        <v>0.0</v>
      </c>
      <c r="T2123" s="36">
        <v>0.43</v>
      </c>
      <c r="U2123" s="36">
        <v>0.0</v>
      </c>
      <c r="V2123" s="36">
        <v>0.2904</v>
      </c>
      <c r="W2123" s="37" t="s">
        <v>1419</v>
      </c>
      <c r="X2123" s="31">
        <v>3.0</v>
      </c>
      <c r="Y2123" s="36">
        <v>-8.262558973010657</v>
      </c>
      <c r="Z2123" s="36">
        <v>0.17223172158631056</v>
      </c>
      <c r="AA2123" s="29" t="s">
        <v>820</v>
      </c>
      <c r="AB2123" s="31">
        <v>4.72643709183</v>
      </c>
      <c r="AC2123" s="38">
        <v>574.0</v>
      </c>
    </row>
    <row r="2124" ht="14.25" customHeight="1">
      <c r="A2124" s="29" t="s">
        <v>505</v>
      </c>
      <c r="B2124" s="29">
        <v>47.0</v>
      </c>
      <c r="C2124" s="29" t="s">
        <v>608</v>
      </c>
      <c r="D2124" s="29" t="s">
        <v>1255</v>
      </c>
      <c r="E2124" s="29">
        <v>77.0</v>
      </c>
      <c r="F2124" s="30" t="s">
        <v>1168</v>
      </c>
      <c r="G2124" s="29" t="s">
        <v>753</v>
      </c>
      <c r="H2124" s="31">
        <v>2915.04</v>
      </c>
      <c r="I2124" s="29" t="s">
        <v>612</v>
      </c>
      <c r="J2124" s="32" t="s">
        <v>642</v>
      </c>
      <c r="K2124" s="29" t="s">
        <v>951</v>
      </c>
      <c r="L2124" s="29" t="s">
        <v>1418</v>
      </c>
      <c r="M2124" s="33">
        <v>98.762</v>
      </c>
      <c r="N2124" s="33">
        <v>15.505</v>
      </c>
      <c r="O2124" s="34" t="s">
        <v>601</v>
      </c>
      <c r="P2124" s="32" t="s">
        <v>602</v>
      </c>
      <c r="Q2124" s="35">
        <v>10.0</v>
      </c>
      <c r="R2124" s="35">
        <v>10.0</v>
      </c>
      <c r="S2124" s="36">
        <v>0.0</v>
      </c>
      <c r="T2124" s="36">
        <v>0.43</v>
      </c>
      <c r="U2124" s="36">
        <v>0.0</v>
      </c>
      <c r="V2124" s="36">
        <v>0.2904</v>
      </c>
      <c r="W2124" s="37" t="s">
        <v>1419</v>
      </c>
      <c r="X2124" s="31">
        <v>4.0</v>
      </c>
      <c r="Y2124" s="36">
        <v>-8.262558973010657</v>
      </c>
      <c r="Z2124" s="36">
        <v>0.17223172158631056</v>
      </c>
      <c r="AA2124" s="29" t="s">
        <v>820</v>
      </c>
      <c r="AB2124" s="31">
        <v>4.72643709183</v>
      </c>
      <c r="AC2124" s="38">
        <v>574.0</v>
      </c>
    </row>
    <row r="2125" ht="14.25" customHeight="1">
      <c r="A2125" s="29" t="s">
        <v>505</v>
      </c>
      <c r="B2125" s="29">
        <v>47.0</v>
      </c>
      <c r="C2125" s="29" t="s">
        <v>608</v>
      </c>
      <c r="D2125" s="29" t="s">
        <v>1255</v>
      </c>
      <c r="E2125" s="29">
        <v>77.0</v>
      </c>
      <c r="F2125" s="30" t="s">
        <v>1168</v>
      </c>
      <c r="G2125" s="29" t="s">
        <v>753</v>
      </c>
      <c r="H2125" s="31">
        <v>2915.04</v>
      </c>
      <c r="I2125" s="29" t="s">
        <v>612</v>
      </c>
      <c r="J2125" s="32" t="s">
        <v>642</v>
      </c>
      <c r="K2125" s="29" t="s">
        <v>951</v>
      </c>
      <c r="L2125" s="29" t="s">
        <v>1418</v>
      </c>
      <c r="M2125" s="33">
        <v>98.762</v>
      </c>
      <c r="N2125" s="33">
        <v>15.505</v>
      </c>
      <c r="O2125" s="34" t="s">
        <v>601</v>
      </c>
      <c r="P2125" s="32" t="s">
        <v>602</v>
      </c>
      <c r="Q2125" s="35">
        <v>10.0</v>
      </c>
      <c r="R2125" s="35">
        <v>10.0</v>
      </c>
      <c r="S2125" s="36">
        <v>0.0</v>
      </c>
      <c r="T2125" s="36">
        <v>0.43</v>
      </c>
      <c r="U2125" s="36">
        <v>0.0</v>
      </c>
      <c r="V2125" s="36">
        <v>0.2904</v>
      </c>
      <c r="W2125" s="37" t="s">
        <v>1419</v>
      </c>
      <c r="X2125" s="31">
        <v>5.0</v>
      </c>
      <c r="Y2125" s="36">
        <v>-8.262558973010657</v>
      </c>
      <c r="Z2125" s="36">
        <v>0.17223172158631056</v>
      </c>
      <c r="AA2125" s="29" t="s">
        <v>820</v>
      </c>
      <c r="AB2125" s="31">
        <v>4.72643709183</v>
      </c>
      <c r="AC2125" s="38">
        <v>574.0</v>
      </c>
    </row>
    <row r="2126" ht="14.25" customHeight="1">
      <c r="A2126" s="29" t="s">
        <v>505</v>
      </c>
      <c r="B2126" s="29">
        <v>47.0</v>
      </c>
      <c r="C2126" s="29" t="s">
        <v>608</v>
      </c>
      <c r="D2126" s="29" t="s">
        <v>1255</v>
      </c>
      <c r="E2126" s="29">
        <v>77.0</v>
      </c>
      <c r="F2126" s="30" t="s">
        <v>1168</v>
      </c>
      <c r="G2126" s="29" t="s">
        <v>753</v>
      </c>
      <c r="H2126" s="31">
        <v>2915.04</v>
      </c>
      <c r="I2126" s="29" t="s">
        <v>612</v>
      </c>
      <c r="J2126" s="32" t="s">
        <v>642</v>
      </c>
      <c r="K2126" s="29" t="s">
        <v>951</v>
      </c>
      <c r="L2126" s="29" t="s">
        <v>1418</v>
      </c>
      <c r="M2126" s="33">
        <v>98.762</v>
      </c>
      <c r="N2126" s="33">
        <v>15.505</v>
      </c>
      <c r="O2126" s="34" t="s">
        <v>601</v>
      </c>
      <c r="P2126" s="32" t="s">
        <v>602</v>
      </c>
      <c r="Q2126" s="35">
        <v>10.0</v>
      </c>
      <c r="R2126" s="35">
        <v>10.0</v>
      </c>
      <c r="S2126" s="36">
        <v>0.0</v>
      </c>
      <c r="T2126" s="36">
        <v>0.43</v>
      </c>
      <c r="U2126" s="36">
        <v>0.0</v>
      </c>
      <c r="V2126" s="36">
        <v>0.2904</v>
      </c>
      <c r="W2126" s="37" t="s">
        <v>1419</v>
      </c>
      <c r="X2126" s="31">
        <v>6.0</v>
      </c>
      <c r="Y2126" s="36">
        <v>-8.262558973010657</v>
      </c>
      <c r="Z2126" s="36">
        <v>0.17223172158631056</v>
      </c>
      <c r="AA2126" s="29" t="s">
        <v>820</v>
      </c>
      <c r="AB2126" s="31">
        <v>4.72643709183</v>
      </c>
      <c r="AC2126" s="38">
        <v>574.0</v>
      </c>
    </row>
    <row r="2127" ht="14.25" customHeight="1">
      <c r="A2127" s="29" t="s">
        <v>505</v>
      </c>
      <c r="B2127" s="29">
        <v>47.0</v>
      </c>
      <c r="C2127" s="29" t="s">
        <v>608</v>
      </c>
      <c r="D2127" s="29" t="s">
        <v>1255</v>
      </c>
      <c r="E2127" s="29">
        <v>77.0</v>
      </c>
      <c r="F2127" s="30" t="s">
        <v>1168</v>
      </c>
      <c r="G2127" s="29" t="s">
        <v>753</v>
      </c>
      <c r="H2127" s="31">
        <v>2915.04</v>
      </c>
      <c r="I2127" s="29" t="s">
        <v>612</v>
      </c>
      <c r="J2127" s="32" t="s">
        <v>642</v>
      </c>
      <c r="K2127" s="29" t="s">
        <v>951</v>
      </c>
      <c r="L2127" s="29" t="s">
        <v>1418</v>
      </c>
      <c r="M2127" s="33">
        <v>98.762</v>
      </c>
      <c r="N2127" s="33">
        <v>15.505</v>
      </c>
      <c r="O2127" s="34" t="s">
        <v>601</v>
      </c>
      <c r="P2127" s="32" t="s">
        <v>602</v>
      </c>
      <c r="Q2127" s="35">
        <v>10.0</v>
      </c>
      <c r="R2127" s="35">
        <v>10.0</v>
      </c>
      <c r="S2127" s="36">
        <v>0.0</v>
      </c>
      <c r="T2127" s="36">
        <v>0.43</v>
      </c>
      <c r="U2127" s="36">
        <v>0.0</v>
      </c>
      <c r="V2127" s="36">
        <v>0.2904</v>
      </c>
      <c r="W2127" s="37" t="s">
        <v>1419</v>
      </c>
      <c r="X2127" s="31">
        <v>7.0</v>
      </c>
      <c r="Y2127" s="36">
        <v>-8.262558973010657</v>
      </c>
      <c r="Z2127" s="36">
        <v>0.17223172158631056</v>
      </c>
      <c r="AA2127" s="29" t="s">
        <v>820</v>
      </c>
      <c r="AB2127" s="31">
        <v>4.72643709183</v>
      </c>
      <c r="AC2127" s="38">
        <v>574.0</v>
      </c>
    </row>
    <row r="2128" ht="14.25" customHeight="1">
      <c r="A2128" s="29" t="s">
        <v>505</v>
      </c>
      <c r="B2128" s="29">
        <v>47.0</v>
      </c>
      <c r="C2128" s="29" t="s">
        <v>608</v>
      </c>
      <c r="D2128" s="29" t="s">
        <v>1255</v>
      </c>
      <c r="E2128" s="29">
        <v>77.0</v>
      </c>
      <c r="F2128" s="30" t="s">
        <v>1168</v>
      </c>
      <c r="G2128" s="29" t="s">
        <v>753</v>
      </c>
      <c r="H2128" s="31">
        <v>2915.04</v>
      </c>
      <c r="I2128" s="29" t="s">
        <v>612</v>
      </c>
      <c r="J2128" s="32" t="s">
        <v>642</v>
      </c>
      <c r="K2128" s="29" t="s">
        <v>951</v>
      </c>
      <c r="L2128" s="29" t="s">
        <v>1418</v>
      </c>
      <c r="M2128" s="33">
        <v>98.762</v>
      </c>
      <c r="N2128" s="33">
        <v>15.505</v>
      </c>
      <c r="O2128" s="34" t="s">
        <v>601</v>
      </c>
      <c r="P2128" s="32" t="s">
        <v>602</v>
      </c>
      <c r="Q2128" s="35">
        <v>10.0</v>
      </c>
      <c r="R2128" s="35">
        <v>10.0</v>
      </c>
      <c r="S2128" s="36">
        <v>0.13</v>
      </c>
      <c r="T2128" s="36">
        <v>0.43</v>
      </c>
      <c r="U2128" s="36">
        <v>0.2501</v>
      </c>
      <c r="V2128" s="36">
        <v>0.2904</v>
      </c>
      <c r="W2128" s="37" t="s">
        <v>1419</v>
      </c>
      <c r="X2128" s="31">
        <v>8.0</v>
      </c>
      <c r="Y2128" s="36">
        <v>-1.1953977443634622</v>
      </c>
      <c r="Z2128" s="36">
        <v>0.4157280075588595</v>
      </c>
      <c r="AA2128" s="29" t="s">
        <v>820</v>
      </c>
      <c r="AB2128" s="31">
        <v>4.72643709183</v>
      </c>
      <c r="AC2128" s="38">
        <v>574.0</v>
      </c>
    </row>
    <row r="2129" ht="14.25" customHeight="1">
      <c r="A2129" s="29" t="s">
        <v>505</v>
      </c>
      <c r="B2129" s="29">
        <v>47.0</v>
      </c>
      <c r="C2129" s="29" t="s">
        <v>608</v>
      </c>
      <c r="D2129" s="29" t="s">
        <v>1255</v>
      </c>
      <c r="E2129" s="29">
        <v>77.0</v>
      </c>
      <c r="F2129" s="30" t="s">
        <v>1168</v>
      </c>
      <c r="G2129" s="29" t="s">
        <v>753</v>
      </c>
      <c r="H2129" s="31">
        <v>2915.04</v>
      </c>
      <c r="I2129" s="29" t="s">
        <v>612</v>
      </c>
      <c r="J2129" s="32" t="s">
        <v>642</v>
      </c>
      <c r="K2129" s="29" t="s">
        <v>951</v>
      </c>
      <c r="L2129" s="29" t="s">
        <v>1418</v>
      </c>
      <c r="M2129" s="33">
        <v>98.762</v>
      </c>
      <c r="N2129" s="33">
        <v>15.505</v>
      </c>
      <c r="O2129" s="34" t="s">
        <v>601</v>
      </c>
      <c r="P2129" s="32" t="s">
        <v>602</v>
      </c>
      <c r="Q2129" s="35">
        <v>10.0</v>
      </c>
      <c r="R2129" s="35">
        <v>10.0</v>
      </c>
      <c r="S2129" s="36">
        <v>0.23</v>
      </c>
      <c r="T2129" s="36">
        <v>0.43</v>
      </c>
      <c r="U2129" s="36">
        <v>0.2904</v>
      </c>
      <c r="V2129" s="36">
        <v>0.2904</v>
      </c>
      <c r="W2129" s="37" t="s">
        <v>1419</v>
      </c>
      <c r="X2129" s="31">
        <v>9.0</v>
      </c>
      <c r="Y2129" s="36">
        <v>-0.6252236720875358</v>
      </c>
      <c r="Z2129" s="36">
        <v>0.20502767702564403</v>
      </c>
      <c r="AA2129" s="29" t="s">
        <v>820</v>
      </c>
      <c r="AB2129" s="31">
        <v>4.72643709183</v>
      </c>
      <c r="AC2129" s="38">
        <v>574.0</v>
      </c>
    </row>
    <row r="2130" ht="14.25" customHeight="1">
      <c r="A2130" s="29" t="s">
        <v>505</v>
      </c>
      <c r="B2130" s="29">
        <v>47.0</v>
      </c>
      <c r="C2130" s="29" t="s">
        <v>608</v>
      </c>
      <c r="D2130" s="29" t="s">
        <v>1173</v>
      </c>
      <c r="E2130" s="29">
        <v>106.0</v>
      </c>
      <c r="F2130" s="30" t="s">
        <v>1174</v>
      </c>
      <c r="G2130" s="29" t="s">
        <v>626</v>
      </c>
      <c r="H2130" s="31">
        <v>15.93</v>
      </c>
      <c r="I2130" s="29" t="s">
        <v>612</v>
      </c>
      <c r="J2130" s="32" t="s">
        <v>642</v>
      </c>
      <c r="K2130" s="29" t="s">
        <v>951</v>
      </c>
      <c r="L2130" s="29" t="s">
        <v>1418</v>
      </c>
      <c r="M2130" s="33">
        <v>98.762</v>
      </c>
      <c r="N2130" s="33">
        <v>15.505</v>
      </c>
      <c r="O2130" s="34" t="s">
        <v>601</v>
      </c>
      <c r="P2130" s="32" t="s">
        <v>602</v>
      </c>
      <c r="Q2130" s="35">
        <v>10.0</v>
      </c>
      <c r="R2130" s="35">
        <v>10.0</v>
      </c>
      <c r="S2130" s="36">
        <v>0.56</v>
      </c>
      <c r="T2130" s="36">
        <v>5.7</v>
      </c>
      <c r="U2130" s="36">
        <v>1.5569</v>
      </c>
      <c r="V2130" s="36">
        <v>2.2023</v>
      </c>
      <c r="W2130" s="37" t="s">
        <v>1419</v>
      </c>
      <c r="X2130" s="31">
        <v>1.0</v>
      </c>
      <c r="Y2130" s="36">
        <v>-2.31766206171901</v>
      </c>
      <c r="Z2130" s="36">
        <v>0.7878673445817315</v>
      </c>
      <c r="AA2130" s="29" t="s">
        <v>820</v>
      </c>
      <c r="AB2130" s="31">
        <v>4.72643709183</v>
      </c>
      <c r="AC2130" s="38">
        <v>574.0</v>
      </c>
    </row>
    <row r="2131" ht="14.25" customHeight="1">
      <c r="A2131" s="29" t="s">
        <v>505</v>
      </c>
      <c r="B2131" s="29">
        <v>47.0</v>
      </c>
      <c r="C2131" s="29" t="s">
        <v>608</v>
      </c>
      <c r="D2131" s="29" t="s">
        <v>1173</v>
      </c>
      <c r="E2131" s="29">
        <v>106.0</v>
      </c>
      <c r="F2131" s="30" t="s">
        <v>1174</v>
      </c>
      <c r="G2131" s="29" t="s">
        <v>626</v>
      </c>
      <c r="H2131" s="31">
        <v>15.93</v>
      </c>
      <c r="I2131" s="29" t="s">
        <v>612</v>
      </c>
      <c r="J2131" s="32" t="s">
        <v>642</v>
      </c>
      <c r="K2131" s="29" t="s">
        <v>951</v>
      </c>
      <c r="L2131" s="29" t="s">
        <v>1418</v>
      </c>
      <c r="M2131" s="33">
        <v>98.762</v>
      </c>
      <c r="N2131" s="33">
        <v>15.505</v>
      </c>
      <c r="O2131" s="34" t="s">
        <v>601</v>
      </c>
      <c r="P2131" s="32" t="s">
        <v>602</v>
      </c>
      <c r="Q2131" s="35">
        <v>10.0</v>
      </c>
      <c r="R2131" s="35">
        <v>10.0</v>
      </c>
      <c r="S2131" s="36">
        <v>2.03</v>
      </c>
      <c r="T2131" s="36">
        <v>5.7</v>
      </c>
      <c r="U2131" s="36">
        <v>2.2023</v>
      </c>
      <c r="V2131" s="36">
        <v>2.2023</v>
      </c>
      <c r="W2131" s="37" t="s">
        <v>1419</v>
      </c>
      <c r="X2131" s="31">
        <v>2.0</v>
      </c>
      <c r="Y2131" s="36">
        <v>-1.0317062163557844</v>
      </c>
      <c r="Z2131" s="36">
        <v>0.13262383305739833</v>
      </c>
      <c r="AA2131" s="29" t="s">
        <v>820</v>
      </c>
      <c r="AB2131" s="31">
        <v>4.72643709183</v>
      </c>
      <c r="AC2131" s="38">
        <v>574.0</v>
      </c>
    </row>
    <row r="2132" ht="14.25" customHeight="1">
      <c r="A2132" s="29" t="s">
        <v>505</v>
      </c>
      <c r="B2132" s="29">
        <v>47.0</v>
      </c>
      <c r="C2132" s="29" t="s">
        <v>608</v>
      </c>
      <c r="D2132" s="29" t="s">
        <v>1173</v>
      </c>
      <c r="E2132" s="29">
        <v>106.0</v>
      </c>
      <c r="F2132" s="30" t="s">
        <v>1174</v>
      </c>
      <c r="G2132" s="29" t="s">
        <v>626</v>
      </c>
      <c r="H2132" s="31">
        <v>15.93</v>
      </c>
      <c r="I2132" s="29" t="s">
        <v>612</v>
      </c>
      <c r="J2132" s="32" t="s">
        <v>642</v>
      </c>
      <c r="K2132" s="29" t="s">
        <v>951</v>
      </c>
      <c r="L2132" s="29" t="s">
        <v>1418</v>
      </c>
      <c r="M2132" s="33">
        <v>98.762</v>
      </c>
      <c r="N2132" s="33">
        <v>15.505</v>
      </c>
      <c r="O2132" s="34" t="s">
        <v>601</v>
      </c>
      <c r="P2132" s="32" t="s">
        <v>602</v>
      </c>
      <c r="Q2132" s="35">
        <v>10.0</v>
      </c>
      <c r="R2132" s="35">
        <v>10.0</v>
      </c>
      <c r="S2132" s="36">
        <v>2.41</v>
      </c>
      <c r="T2132" s="36">
        <v>5.7</v>
      </c>
      <c r="U2132" s="36">
        <v>2.2023</v>
      </c>
      <c r="V2132" s="36">
        <v>2.2023</v>
      </c>
      <c r="W2132" s="37" t="s">
        <v>1419</v>
      </c>
      <c r="X2132" s="31">
        <v>3.0</v>
      </c>
      <c r="Y2132" s="36">
        <v>-0.8602294108485795</v>
      </c>
      <c r="Z2132" s="36">
        <v>0.09843428473808738</v>
      </c>
      <c r="AA2132" s="29" t="s">
        <v>820</v>
      </c>
      <c r="AB2132" s="31">
        <v>4.72643709183</v>
      </c>
      <c r="AC2132" s="38">
        <v>574.0</v>
      </c>
    </row>
    <row r="2133" ht="14.25" customHeight="1">
      <c r="A2133" s="29" t="s">
        <v>505</v>
      </c>
      <c r="B2133" s="29">
        <v>47.0</v>
      </c>
      <c r="C2133" s="29" t="s">
        <v>608</v>
      </c>
      <c r="D2133" s="29" t="s">
        <v>1173</v>
      </c>
      <c r="E2133" s="29">
        <v>106.0</v>
      </c>
      <c r="F2133" s="30" t="s">
        <v>1174</v>
      </c>
      <c r="G2133" s="29" t="s">
        <v>626</v>
      </c>
      <c r="H2133" s="31">
        <v>15.93</v>
      </c>
      <c r="I2133" s="29" t="s">
        <v>612</v>
      </c>
      <c r="J2133" s="32" t="s">
        <v>642</v>
      </c>
      <c r="K2133" s="29" t="s">
        <v>951</v>
      </c>
      <c r="L2133" s="29" t="s">
        <v>1418</v>
      </c>
      <c r="M2133" s="33">
        <v>98.762</v>
      </c>
      <c r="N2133" s="33">
        <v>15.505</v>
      </c>
      <c r="O2133" s="34" t="s">
        <v>601</v>
      </c>
      <c r="P2133" s="32" t="s">
        <v>602</v>
      </c>
      <c r="Q2133" s="35">
        <v>10.0</v>
      </c>
      <c r="R2133" s="35">
        <v>10.0</v>
      </c>
      <c r="S2133" s="36">
        <v>3.95</v>
      </c>
      <c r="T2133" s="36">
        <v>5.7</v>
      </c>
      <c r="U2133" s="36">
        <v>2.2023</v>
      </c>
      <c r="V2133" s="36">
        <v>2.2023</v>
      </c>
      <c r="W2133" s="37" t="s">
        <v>1419</v>
      </c>
      <c r="X2133" s="31">
        <v>4.0</v>
      </c>
      <c r="Y2133" s="36">
        <v>-0.3663783643951657</v>
      </c>
      <c r="Z2133" s="36">
        <v>0.04601362074837073</v>
      </c>
      <c r="AA2133" s="29" t="s">
        <v>820</v>
      </c>
      <c r="AB2133" s="31">
        <v>4.72643709183</v>
      </c>
      <c r="AC2133" s="38">
        <v>574.0</v>
      </c>
    </row>
    <row r="2134" ht="14.25" customHeight="1">
      <c r="A2134" s="29" t="s">
        <v>505</v>
      </c>
      <c r="B2134" s="29">
        <v>47.0</v>
      </c>
      <c r="C2134" s="29" t="s">
        <v>608</v>
      </c>
      <c r="D2134" s="29" t="s">
        <v>1173</v>
      </c>
      <c r="E2134" s="29">
        <v>106.0</v>
      </c>
      <c r="F2134" s="30" t="s">
        <v>1174</v>
      </c>
      <c r="G2134" s="29" t="s">
        <v>626</v>
      </c>
      <c r="H2134" s="31">
        <v>15.93</v>
      </c>
      <c r="I2134" s="29" t="s">
        <v>612</v>
      </c>
      <c r="J2134" s="32" t="s">
        <v>642</v>
      </c>
      <c r="K2134" s="29" t="s">
        <v>951</v>
      </c>
      <c r="L2134" s="29" t="s">
        <v>1418</v>
      </c>
      <c r="M2134" s="33">
        <v>98.762</v>
      </c>
      <c r="N2134" s="33">
        <v>15.505</v>
      </c>
      <c r="O2134" s="34" t="s">
        <v>601</v>
      </c>
      <c r="P2134" s="32" t="s">
        <v>602</v>
      </c>
      <c r="Q2134" s="35">
        <v>10.0</v>
      </c>
      <c r="R2134" s="35">
        <v>10.0</v>
      </c>
      <c r="S2134" s="36">
        <v>4.82</v>
      </c>
      <c r="T2134" s="36">
        <v>5.7</v>
      </c>
      <c r="U2134" s="36">
        <v>2.2023</v>
      </c>
      <c r="V2134" s="36">
        <v>2.2023</v>
      </c>
      <c r="W2134" s="37" t="s">
        <v>1419</v>
      </c>
      <c r="X2134" s="31">
        <v>5.0</v>
      </c>
      <c r="Y2134" s="36">
        <v>-0.1673871920183008</v>
      </c>
      <c r="Z2134" s="36">
        <v>0.03580461294352461</v>
      </c>
      <c r="AA2134" s="29" t="s">
        <v>820</v>
      </c>
      <c r="AB2134" s="31">
        <v>4.72643709183</v>
      </c>
      <c r="AC2134" s="38">
        <v>574.0</v>
      </c>
    </row>
    <row r="2135" ht="14.25" customHeight="1">
      <c r="A2135" s="29" t="s">
        <v>505</v>
      </c>
      <c r="B2135" s="29">
        <v>47.0</v>
      </c>
      <c r="C2135" s="29" t="s">
        <v>608</v>
      </c>
      <c r="D2135" s="29" t="s">
        <v>1173</v>
      </c>
      <c r="E2135" s="29">
        <v>106.0</v>
      </c>
      <c r="F2135" s="30" t="s">
        <v>1174</v>
      </c>
      <c r="G2135" s="29" t="s">
        <v>626</v>
      </c>
      <c r="H2135" s="31">
        <v>15.93</v>
      </c>
      <c r="I2135" s="29" t="s">
        <v>612</v>
      </c>
      <c r="J2135" s="32" t="s">
        <v>642</v>
      </c>
      <c r="K2135" s="29" t="s">
        <v>951</v>
      </c>
      <c r="L2135" s="29" t="s">
        <v>1418</v>
      </c>
      <c r="M2135" s="33">
        <v>98.762</v>
      </c>
      <c r="N2135" s="33">
        <v>15.505</v>
      </c>
      <c r="O2135" s="34" t="s">
        <v>601</v>
      </c>
      <c r="P2135" s="32" t="s">
        <v>602</v>
      </c>
      <c r="Q2135" s="35">
        <v>10.0</v>
      </c>
      <c r="R2135" s="35">
        <v>10.0</v>
      </c>
      <c r="S2135" s="36">
        <v>4.9</v>
      </c>
      <c r="T2135" s="36">
        <v>5.7</v>
      </c>
      <c r="U2135" s="36">
        <v>2.2023</v>
      </c>
      <c r="V2135" s="36">
        <v>2.2023</v>
      </c>
      <c r="W2135" s="37" t="s">
        <v>1419</v>
      </c>
      <c r="X2135" s="31">
        <v>6.0</v>
      </c>
      <c r="Y2135" s="36">
        <v>-0.1509308947029171</v>
      </c>
      <c r="Z2135" s="36">
        <v>0.03512849420428468</v>
      </c>
      <c r="AA2135" s="29" t="s">
        <v>820</v>
      </c>
      <c r="AB2135" s="31">
        <v>4.72643709183</v>
      </c>
      <c r="AC2135" s="38">
        <v>574.0</v>
      </c>
    </row>
    <row r="2136" ht="14.25" customHeight="1">
      <c r="A2136" s="29" t="s">
        <v>505</v>
      </c>
      <c r="B2136" s="29">
        <v>47.0</v>
      </c>
      <c r="C2136" s="29" t="s">
        <v>608</v>
      </c>
      <c r="D2136" s="29" t="s">
        <v>1173</v>
      </c>
      <c r="E2136" s="29">
        <v>106.0</v>
      </c>
      <c r="F2136" s="30" t="s">
        <v>1174</v>
      </c>
      <c r="G2136" s="29" t="s">
        <v>626</v>
      </c>
      <c r="H2136" s="31">
        <v>15.93</v>
      </c>
      <c r="I2136" s="29" t="s">
        <v>612</v>
      </c>
      <c r="J2136" s="32" t="s">
        <v>642</v>
      </c>
      <c r="K2136" s="29" t="s">
        <v>951</v>
      </c>
      <c r="L2136" s="29" t="s">
        <v>1418</v>
      </c>
      <c r="M2136" s="33">
        <v>98.762</v>
      </c>
      <c r="N2136" s="33">
        <v>15.505</v>
      </c>
      <c r="O2136" s="34" t="s">
        <v>601</v>
      </c>
      <c r="P2136" s="32" t="s">
        <v>602</v>
      </c>
      <c r="Q2136" s="35">
        <v>10.0</v>
      </c>
      <c r="R2136" s="35">
        <v>10.0</v>
      </c>
      <c r="S2136" s="36">
        <v>4.84</v>
      </c>
      <c r="T2136" s="36">
        <v>5.7</v>
      </c>
      <c r="U2136" s="36">
        <v>2.2023</v>
      </c>
      <c r="V2136" s="36">
        <v>2.2023</v>
      </c>
      <c r="W2136" s="37" t="s">
        <v>1419</v>
      </c>
      <c r="X2136" s="31">
        <v>7.0</v>
      </c>
      <c r="Y2136" s="36">
        <v>-0.16324765971767227</v>
      </c>
      <c r="Z2136" s="36">
        <v>0.035632435886647953</v>
      </c>
      <c r="AA2136" s="29" t="s">
        <v>820</v>
      </c>
      <c r="AB2136" s="31">
        <v>4.72643709183</v>
      </c>
      <c r="AC2136" s="38">
        <v>574.0</v>
      </c>
    </row>
    <row r="2137" ht="14.25" customHeight="1">
      <c r="A2137" s="29" t="s">
        <v>505</v>
      </c>
      <c r="B2137" s="29">
        <v>47.0</v>
      </c>
      <c r="C2137" s="29" t="s">
        <v>608</v>
      </c>
      <c r="D2137" s="29" t="s">
        <v>1173</v>
      </c>
      <c r="E2137" s="29">
        <v>106.0</v>
      </c>
      <c r="F2137" s="30" t="s">
        <v>1174</v>
      </c>
      <c r="G2137" s="29" t="s">
        <v>626</v>
      </c>
      <c r="H2137" s="31">
        <v>15.93</v>
      </c>
      <c r="I2137" s="29" t="s">
        <v>612</v>
      </c>
      <c r="J2137" s="32" t="s">
        <v>642</v>
      </c>
      <c r="K2137" s="29" t="s">
        <v>951</v>
      </c>
      <c r="L2137" s="29" t="s">
        <v>1418</v>
      </c>
      <c r="M2137" s="33">
        <v>98.762</v>
      </c>
      <c r="N2137" s="33">
        <v>15.505</v>
      </c>
      <c r="O2137" s="34" t="s">
        <v>601</v>
      </c>
      <c r="P2137" s="32" t="s">
        <v>602</v>
      </c>
      <c r="Q2137" s="35">
        <v>10.0</v>
      </c>
      <c r="R2137" s="35">
        <v>10.0</v>
      </c>
      <c r="S2137" s="36">
        <v>4.83</v>
      </c>
      <c r="T2137" s="36">
        <v>5.7</v>
      </c>
      <c r="U2137" s="36">
        <v>2.1942</v>
      </c>
      <c r="V2137" s="36">
        <v>2.2023</v>
      </c>
      <c r="W2137" s="37" t="s">
        <v>1419</v>
      </c>
      <c r="X2137" s="31">
        <v>8.0</v>
      </c>
      <c r="Y2137" s="36">
        <v>-0.16531528390355738</v>
      </c>
      <c r="Z2137" s="36">
        <v>0.03556560669907852</v>
      </c>
      <c r="AA2137" s="29" t="s">
        <v>820</v>
      </c>
      <c r="AB2137" s="31">
        <v>4.72643709183</v>
      </c>
      <c r="AC2137" s="38">
        <v>574.0</v>
      </c>
    </row>
    <row r="2138" ht="14.25" customHeight="1">
      <c r="A2138" s="29" t="s">
        <v>505</v>
      </c>
      <c r="B2138" s="29">
        <v>47.0</v>
      </c>
      <c r="C2138" s="29" t="s">
        <v>608</v>
      </c>
      <c r="D2138" s="29" t="s">
        <v>1173</v>
      </c>
      <c r="E2138" s="29">
        <v>106.0</v>
      </c>
      <c r="F2138" s="30" t="s">
        <v>1174</v>
      </c>
      <c r="G2138" s="29" t="s">
        <v>626</v>
      </c>
      <c r="H2138" s="31">
        <v>15.93</v>
      </c>
      <c r="I2138" s="29" t="s">
        <v>612</v>
      </c>
      <c r="J2138" s="32" t="s">
        <v>642</v>
      </c>
      <c r="K2138" s="29" t="s">
        <v>951</v>
      </c>
      <c r="L2138" s="29" t="s">
        <v>1418</v>
      </c>
      <c r="M2138" s="33">
        <v>98.762</v>
      </c>
      <c r="N2138" s="33">
        <v>15.505</v>
      </c>
      <c r="O2138" s="34" t="s">
        <v>601</v>
      </c>
      <c r="P2138" s="32" t="s">
        <v>602</v>
      </c>
      <c r="Q2138" s="35">
        <v>10.0</v>
      </c>
      <c r="R2138" s="35">
        <v>10.0</v>
      </c>
      <c r="S2138" s="36">
        <v>5.31</v>
      </c>
      <c r="T2138" s="36">
        <v>5.7</v>
      </c>
      <c r="U2138" s="36">
        <v>2.2023</v>
      </c>
      <c r="V2138" s="36">
        <v>2.2023</v>
      </c>
      <c r="W2138" s="37" t="s">
        <v>1419</v>
      </c>
      <c r="X2138" s="31">
        <v>9.0</v>
      </c>
      <c r="Y2138" s="36">
        <v>-0.07059743099241403</v>
      </c>
      <c r="Z2138" s="36">
        <v>0.03212946044741498</v>
      </c>
      <c r="AA2138" s="29" t="s">
        <v>820</v>
      </c>
      <c r="AB2138" s="31">
        <v>4.72643709183</v>
      </c>
      <c r="AC2138" s="38">
        <v>574.0</v>
      </c>
    </row>
    <row r="2139" ht="14.25" customHeight="1">
      <c r="A2139" s="29" t="s">
        <v>505</v>
      </c>
      <c r="B2139" s="29">
        <v>47.0</v>
      </c>
      <c r="C2139" s="29" t="s">
        <v>608</v>
      </c>
      <c r="D2139" s="29" t="s">
        <v>758</v>
      </c>
      <c r="E2139" s="29">
        <v>123.0</v>
      </c>
      <c r="F2139" s="30" t="s">
        <v>759</v>
      </c>
      <c r="G2139" s="29" t="s">
        <v>629</v>
      </c>
      <c r="H2139" s="31">
        <v>52.04</v>
      </c>
      <c r="I2139" s="29" t="s">
        <v>657</v>
      </c>
      <c r="J2139" s="32" t="s">
        <v>642</v>
      </c>
      <c r="K2139" s="29" t="s">
        <v>951</v>
      </c>
      <c r="L2139" s="29" t="s">
        <v>1418</v>
      </c>
      <c r="M2139" s="33">
        <v>98.762</v>
      </c>
      <c r="N2139" s="33">
        <v>15.505</v>
      </c>
      <c r="O2139" s="34" t="s">
        <v>601</v>
      </c>
      <c r="P2139" s="32" t="s">
        <v>602</v>
      </c>
      <c r="Q2139" s="35">
        <v>99.0</v>
      </c>
      <c r="R2139" s="35">
        <v>99.0</v>
      </c>
      <c r="S2139" s="36">
        <v>0.0</v>
      </c>
      <c r="T2139" s="36">
        <v>0.7</v>
      </c>
      <c r="U2139" s="36">
        <v>0.0</v>
      </c>
      <c r="V2139" s="36">
        <v>2.0895</v>
      </c>
      <c r="W2139" s="37" t="s">
        <v>1140</v>
      </c>
      <c r="X2139" s="31">
        <v>5.0</v>
      </c>
      <c r="Y2139" s="36">
        <v>-8.262558973010657</v>
      </c>
      <c r="Z2139" s="36">
        <v>0.057137417578563415</v>
      </c>
      <c r="AA2139" s="29" t="s">
        <v>820</v>
      </c>
      <c r="AB2139" s="31">
        <v>4.72643709183</v>
      </c>
      <c r="AC2139" s="38">
        <v>574.0</v>
      </c>
    </row>
    <row r="2140" ht="14.25" customHeight="1">
      <c r="A2140" s="29" t="s">
        <v>505</v>
      </c>
      <c r="B2140" s="29">
        <v>47.0</v>
      </c>
      <c r="C2140" s="29" t="s">
        <v>608</v>
      </c>
      <c r="D2140" s="29" t="s">
        <v>1420</v>
      </c>
      <c r="E2140" s="29">
        <v>124.0</v>
      </c>
      <c r="F2140" s="30" t="s">
        <v>1421</v>
      </c>
      <c r="G2140" s="29" t="s">
        <v>629</v>
      </c>
      <c r="H2140" s="31">
        <v>162.56</v>
      </c>
      <c r="I2140" s="29" t="s">
        <v>657</v>
      </c>
      <c r="J2140" s="32" t="s">
        <v>642</v>
      </c>
      <c r="K2140" s="29" t="s">
        <v>951</v>
      </c>
      <c r="L2140" s="29" t="s">
        <v>1418</v>
      </c>
      <c r="M2140" s="33">
        <v>98.762</v>
      </c>
      <c r="N2140" s="33">
        <v>15.505</v>
      </c>
      <c r="O2140" s="34" t="s">
        <v>601</v>
      </c>
      <c r="P2140" s="32" t="s">
        <v>602</v>
      </c>
      <c r="Q2140" s="35">
        <v>99.0</v>
      </c>
      <c r="R2140" s="35">
        <v>99.0</v>
      </c>
      <c r="S2140" s="36">
        <v>0.0</v>
      </c>
      <c r="T2140" s="36">
        <v>1.56</v>
      </c>
      <c r="U2140" s="36">
        <v>0.0</v>
      </c>
      <c r="V2140" s="36">
        <v>5.3729</v>
      </c>
      <c r="W2140" s="37" t="s">
        <v>1140</v>
      </c>
      <c r="X2140" s="31">
        <v>5.0</v>
      </c>
      <c r="Y2140" s="36">
        <v>-8.262558973010657</v>
      </c>
      <c r="Z2140" s="36">
        <v>0.092199577093396</v>
      </c>
      <c r="AA2140" s="29" t="s">
        <v>820</v>
      </c>
      <c r="AB2140" s="31">
        <v>4.72643709183</v>
      </c>
      <c r="AC2140" s="38">
        <v>574.0</v>
      </c>
    </row>
    <row r="2141" ht="14.25" customHeight="1">
      <c r="A2141" s="29" t="s">
        <v>505</v>
      </c>
      <c r="B2141" s="29">
        <v>47.0</v>
      </c>
      <c r="C2141" s="29" t="s">
        <v>608</v>
      </c>
      <c r="D2141" s="29" t="s">
        <v>1422</v>
      </c>
      <c r="E2141" s="29">
        <v>163.0</v>
      </c>
      <c r="F2141" s="30" t="s">
        <v>1423</v>
      </c>
      <c r="G2141" s="29" t="s">
        <v>626</v>
      </c>
      <c r="H2141" s="31">
        <v>177.52</v>
      </c>
      <c r="I2141" s="29" t="s">
        <v>612</v>
      </c>
      <c r="J2141" s="32" t="s">
        <v>642</v>
      </c>
      <c r="K2141" s="29" t="s">
        <v>951</v>
      </c>
      <c r="L2141" s="29" t="s">
        <v>1418</v>
      </c>
      <c r="M2141" s="33">
        <v>98.762</v>
      </c>
      <c r="N2141" s="33">
        <v>15.505</v>
      </c>
      <c r="O2141" s="34" t="s">
        <v>601</v>
      </c>
      <c r="P2141" s="32" t="s">
        <v>602</v>
      </c>
      <c r="Q2141" s="35">
        <v>10.0</v>
      </c>
      <c r="R2141" s="35">
        <v>10.0</v>
      </c>
      <c r="S2141" s="36">
        <v>0.0</v>
      </c>
      <c r="T2141" s="36">
        <v>5.54</v>
      </c>
      <c r="U2141" s="36">
        <v>0.0</v>
      </c>
      <c r="V2141" s="36">
        <v>3.1139</v>
      </c>
      <c r="W2141" s="37" t="s">
        <v>1419</v>
      </c>
      <c r="X2141" s="31">
        <v>1.0</v>
      </c>
      <c r="Y2141" s="36">
        <v>-8.262558973010657</v>
      </c>
      <c r="Z2141" s="36">
        <v>0.13579961736875576</v>
      </c>
      <c r="AA2141" s="29" t="s">
        <v>820</v>
      </c>
      <c r="AB2141" s="31">
        <v>4.72643709183</v>
      </c>
      <c r="AC2141" s="38">
        <v>574.0</v>
      </c>
    </row>
    <row r="2142" ht="14.25" customHeight="1">
      <c r="A2142" s="29" t="s">
        <v>505</v>
      </c>
      <c r="B2142" s="29">
        <v>47.0</v>
      </c>
      <c r="C2142" s="29" t="s">
        <v>608</v>
      </c>
      <c r="D2142" s="29" t="s">
        <v>1422</v>
      </c>
      <c r="E2142" s="29">
        <v>163.0</v>
      </c>
      <c r="F2142" s="30" t="s">
        <v>1423</v>
      </c>
      <c r="G2142" s="29" t="s">
        <v>626</v>
      </c>
      <c r="H2142" s="31">
        <v>177.52</v>
      </c>
      <c r="I2142" s="29" t="s">
        <v>612</v>
      </c>
      <c r="J2142" s="32" t="s">
        <v>642</v>
      </c>
      <c r="K2142" s="29" t="s">
        <v>951</v>
      </c>
      <c r="L2142" s="29" t="s">
        <v>1418</v>
      </c>
      <c r="M2142" s="33">
        <v>98.762</v>
      </c>
      <c r="N2142" s="33">
        <v>15.505</v>
      </c>
      <c r="O2142" s="34" t="s">
        <v>601</v>
      </c>
      <c r="P2142" s="32" t="s">
        <v>602</v>
      </c>
      <c r="Q2142" s="35">
        <v>10.0</v>
      </c>
      <c r="R2142" s="35">
        <v>10.0</v>
      </c>
      <c r="S2142" s="36">
        <v>0.46</v>
      </c>
      <c r="T2142" s="36">
        <v>5.54</v>
      </c>
      <c r="U2142" s="36">
        <v>1.928</v>
      </c>
      <c r="V2142" s="36">
        <v>3.1139</v>
      </c>
      <c r="W2142" s="37" t="s">
        <v>1419</v>
      </c>
      <c r="X2142" s="31">
        <v>2.0</v>
      </c>
      <c r="Y2142" s="36">
        <v>-2.485420915070777</v>
      </c>
      <c r="Z2142" s="36">
        <v>1.788296135484975</v>
      </c>
      <c r="AA2142" s="29" t="s">
        <v>820</v>
      </c>
      <c r="AB2142" s="31">
        <v>4.72643709183</v>
      </c>
      <c r="AC2142" s="38">
        <v>574.0</v>
      </c>
    </row>
    <row r="2143" ht="14.25" customHeight="1">
      <c r="A2143" s="29" t="s">
        <v>505</v>
      </c>
      <c r="B2143" s="29">
        <v>47.0</v>
      </c>
      <c r="C2143" s="29" t="s">
        <v>608</v>
      </c>
      <c r="D2143" s="29" t="s">
        <v>1422</v>
      </c>
      <c r="E2143" s="29">
        <v>163.0</v>
      </c>
      <c r="F2143" s="30" t="s">
        <v>1423</v>
      </c>
      <c r="G2143" s="29" t="s">
        <v>626</v>
      </c>
      <c r="H2143" s="31">
        <v>177.52</v>
      </c>
      <c r="I2143" s="29" t="s">
        <v>612</v>
      </c>
      <c r="J2143" s="32" t="s">
        <v>642</v>
      </c>
      <c r="K2143" s="29" t="s">
        <v>951</v>
      </c>
      <c r="L2143" s="29" t="s">
        <v>1418</v>
      </c>
      <c r="M2143" s="33">
        <v>98.762</v>
      </c>
      <c r="N2143" s="33">
        <v>15.505</v>
      </c>
      <c r="O2143" s="34" t="s">
        <v>601</v>
      </c>
      <c r="P2143" s="32" t="s">
        <v>602</v>
      </c>
      <c r="Q2143" s="35">
        <v>10.0</v>
      </c>
      <c r="R2143" s="35">
        <v>10.0</v>
      </c>
      <c r="S2143" s="36">
        <v>0.89</v>
      </c>
      <c r="T2143" s="36">
        <v>5.54</v>
      </c>
      <c r="U2143" s="36">
        <v>2.2749</v>
      </c>
      <c r="V2143" s="36">
        <v>3.1139</v>
      </c>
      <c r="W2143" s="37" t="s">
        <v>1419</v>
      </c>
      <c r="X2143" s="31">
        <v>3.0</v>
      </c>
      <c r="Y2143" s="36">
        <v>-1.8269236405170497</v>
      </c>
      <c r="Z2143" s="36">
        <v>0.6849409852502255</v>
      </c>
      <c r="AA2143" s="29" t="s">
        <v>820</v>
      </c>
      <c r="AB2143" s="31">
        <v>4.72643709183</v>
      </c>
      <c r="AC2143" s="38">
        <v>574.0</v>
      </c>
    </row>
    <row r="2144" ht="14.25" customHeight="1">
      <c r="A2144" s="29" t="s">
        <v>505</v>
      </c>
      <c r="B2144" s="29">
        <v>47.0</v>
      </c>
      <c r="C2144" s="29" t="s">
        <v>608</v>
      </c>
      <c r="D2144" s="29" t="s">
        <v>1422</v>
      </c>
      <c r="E2144" s="29">
        <v>163.0</v>
      </c>
      <c r="F2144" s="30" t="s">
        <v>1423</v>
      </c>
      <c r="G2144" s="29" t="s">
        <v>626</v>
      </c>
      <c r="H2144" s="31">
        <v>177.52</v>
      </c>
      <c r="I2144" s="29" t="s">
        <v>612</v>
      </c>
      <c r="J2144" s="32" t="s">
        <v>642</v>
      </c>
      <c r="K2144" s="29" t="s">
        <v>951</v>
      </c>
      <c r="L2144" s="29" t="s">
        <v>1418</v>
      </c>
      <c r="M2144" s="33">
        <v>98.762</v>
      </c>
      <c r="N2144" s="33">
        <v>15.505</v>
      </c>
      <c r="O2144" s="34" t="s">
        <v>601</v>
      </c>
      <c r="P2144" s="32" t="s">
        <v>602</v>
      </c>
      <c r="Q2144" s="35">
        <v>10.0</v>
      </c>
      <c r="R2144" s="35">
        <v>10.0</v>
      </c>
      <c r="S2144" s="36">
        <v>1.77</v>
      </c>
      <c r="T2144" s="36">
        <v>5.54</v>
      </c>
      <c r="U2144" s="36">
        <v>2.9848</v>
      </c>
      <c r="V2144" s="36">
        <v>3.1139</v>
      </c>
      <c r="W2144" s="37" t="s">
        <v>1419</v>
      </c>
      <c r="X2144" s="31">
        <v>4.0</v>
      </c>
      <c r="Y2144" s="36">
        <v>-1.140207761077898</v>
      </c>
      <c r="Z2144" s="36">
        <v>0.31596302752729843</v>
      </c>
      <c r="AA2144" s="29" t="s">
        <v>820</v>
      </c>
      <c r="AB2144" s="31">
        <v>4.72643709183</v>
      </c>
      <c r="AC2144" s="38">
        <v>574.0</v>
      </c>
    </row>
    <row r="2145" ht="14.25" customHeight="1">
      <c r="A2145" s="29" t="s">
        <v>505</v>
      </c>
      <c r="B2145" s="29">
        <v>47.0</v>
      </c>
      <c r="C2145" s="29" t="s">
        <v>608</v>
      </c>
      <c r="D2145" s="29" t="s">
        <v>1422</v>
      </c>
      <c r="E2145" s="29">
        <v>163.0</v>
      </c>
      <c r="F2145" s="30" t="s">
        <v>1423</v>
      </c>
      <c r="G2145" s="29" t="s">
        <v>626</v>
      </c>
      <c r="H2145" s="31">
        <v>177.52</v>
      </c>
      <c r="I2145" s="29" t="s">
        <v>612</v>
      </c>
      <c r="J2145" s="32" t="s">
        <v>642</v>
      </c>
      <c r="K2145" s="29" t="s">
        <v>951</v>
      </c>
      <c r="L2145" s="29" t="s">
        <v>1418</v>
      </c>
      <c r="M2145" s="33">
        <v>98.762</v>
      </c>
      <c r="N2145" s="33">
        <v>15.505</v>
      </c>
      <c r="O2145" s="34" t="s">
        <v>601</v>
      </c>
      <c r="P2145" s="32" t="s">
        <v>602</v>
      </c>
      <c r="Q2145" s="35">
        <v>10.0</v>
      </c>
      <c r="R2145" s="35">
        <v>10.0</v>
      </c>
      <c r="S2145" s="36">
        <v>3.7</v>
      </c>
      <c r="T2145" s="36">
        <v>5.54</v>
      </c>
      <c r="U2145" s="36">
        <v>3.1139</v>
      </c>
      <c r="V2145" s="36">
        <v>3.1139</v>
      </c>
      <c r="W2145" s="37" t="s">
        <v>1419</v>
      </c>
      <c r="X2145" s="31">
        <v>5.0</v>
      </c>
      <c r="Y2145" s="36">
        <v>-0.4032754560911932</v>
      </c>
      <c r="Z2145" s="36">
        <v>0.1024210680394731</v>
      </c>
      <c r="AA2145" s="29" t="s">
        <v>820</v>
      </c>
      <c r="AB2145" s="31">
        <v>4.72643709183</v>
      </c>
      <c r="AC2145" s="38">
        <v>574.0</v>
      </c>
    </row>
    <row r="2146" ht="14.25" customHeight="1">
      <c r="A2146" s="29" t="s">
        <v>505</v>
      </c>
      <c r="B2146" s="29">
        <v>47.0</v>
      </c>
      <c r="C2146" s="29" t="s">
        <v>608</v>
      </c>
      <c r="D2146" s="29" t="s">
        <v>1422</v>
      </c>
      <c r="E2146" s="29">
        <v>163.0</v>
      </c>
      <c r="F2146" s="30" t="s">
        <v>1423</v>
      </c>
      <c r="G2146" s="29" t="s">
        <v>626</v>
      </c>
      <c r="H2146" s="31">
        <v>177.52</v>
      </c>
      <c r="I2146" s="29" t="s">
        <v>612</v>
      </c>
      <c r="J2146" s="32" t="s">
        <v>642</v>
      </c>
      <c r="K2146" s="29" t="s">
        <v>951</v>
      </c>
      <c r="L2146" s="29" t="s">
        <v>1418</v>
      </c>
      <c r="M2146" s="33">
        <v>98.762</v>
      </c>
      <c r="N2146" s="33">
        <v>15.505</v>
      </c>
      <c r="O2146" s="34" t="s">
        <v>601</v>
      </c>
      <c r="P2146" s="32" t="s">
        <v>602</v>
      </c>
      <c r="Q2146" s="35">
        <v>10.0</v>
      </c>
      <c r="R2146" s="35">
        <v>10.0</v>
      </c>
      <c r="S2146" s="36">
        <v>3.46</v>
      </c>
      <c r="T2146" s="36">
        <v>5.54</v>
      </c>
      <c r="U2146" s="36">
        <v>3.1139</v>
      </c>
      <c r="V2146" s="36">
        <v>3.1139</v>
      </c>
      <c r="W2146" s="37" t="s">
        <v>1419</v>
      </c>
      <c r="X2146" s="31">
        <v>6.0</v>
      </c>
      <c r="Y2146" s="36">
        <v>-0.4703129020286563</v>
      </c>
      <c r="Z2146" s="36">
        <v>0.11258771964578138</v>
      </c>
      <c r="AA2146" s="29" t="s">
        <v>820</v>
      </c>
      <c r="AB2146" s="31">
        <v>4.72643709183</v>
      </c>
      <c r="AC2146" s="38">
        <v>574.0</v>
      </c>
    </row>
    <row r="2147" ht="14.25" customHeight="1">
      <c r="A2147" s="29" t="s">
        <v>505</v>
      </c>
      <c r="B2147" s="29">
        <v>47.0</v>
      </c>
      <c r="C2147" s="29" t="s">
        <v>608</v>
      </c>
      <c r="D2147" s="29" t="s">
        <v>1422</v>
      </c>
      <c r="E2147" s="29">
        <v>163.0</v>
      </c>
      <c r="F2147" s="30" t="s">
        <v>1423</v>
      </c>
      <c r="G2147" s="29" t="s">
        <v>626</v>
      </c>
      <c r="H2147" s="31">
        <v>177.52</v>
      </c>
      <c r="I2147" s="29" t="s">
        <v>612</v>
      </c>
      <c r="J2147" s="32" t="s">
        <v>642</v>
      </c>
      <c r="K2147" s="29" t="s">
        <v>951</v>
      </c>
      <c r="L2147" s="29" t="s">
        <v>1418</v>
      </c>
      <c r="M2147" s="33">
        <v>98.762</v>
      </c>
      <c r="N2147" s="33">
        <v>15.505</v>
      </c>
      <c r="O2147" s="34" t="s">
        <v>601</v>
      </c>
      <c r="P2147" s="32" t="s">
        <v>602</v>
      </c>
      <c r="Q2147" s="35">
        <v>10.0</v>
      </c>
      <c r="R2147" s="35">
        <v>10.0</v>
      </c>
      <c r="S2147" s="36">
        <v>3.68</v>
      </c>
      <c r="T2147" s="36">
        <v>5.54</v>
      </c>
      <c r="U2147" s="36">
        <v>3.1058</v>
      </c>
      <c r="V2147" s="36">
        <v>3.1139</v>
      </c>
      <c r="W2147" s="37" t="s">
        <v>1419</v>
      </c>
      <c r="X2147" s="31">
        <v>7.0</v>
      </c>
      <c r="Y2147" s="36">
        <v>-0.408693424919025</v>
      </c>
      <c r="Z2147" s="36">
        <v>0.10282101763289568</v>
      </c>
      <c r="AA2147" s="29" t="s">
        <v>820</v>
      </c>
      <c r="AB2147" s="31">
        <v>4.72643709183</v>
      </c>
      <c r="AC2147" s="38">
        <v>574.0</v>
      </c>
    </row>
    <row r="2148" ht="14.25" customHeight="1">
      <c r="A2148" s="29" t="s">
        <v>505</v>
      </c>
      <c r="B2148" s="29">
        <v>47.0</v>
      </c>
      <c r="C2148" s="29" t="s">
        <v>608</v>
      </c>
      <c r="D2148" s="29" t="s">
        <v>1422</v>
      </c>
      <c r="E2148" s="29">
        <v>163.0</v>
      </c>
      <c r="F2148" s="30" t="s">
        <v>1423</v>
      </c>
      <c r="G2148" s="29" t="s">
        <v>626</v>
      </c>
      <c r="H2148" s="31">
        <v>177.52</v>
      </c>
      <c r="I2148" s="29" t="s">
        <v>612</v>
      </c>
      <c r="J2148" s="32" t="s">
        <v>642</v>
      </c>
      <c r="K2148" s="29" t="s">
        <v>951</v>
      </c>
      <c r="L2148" s="29" t="s">
        <v>1418</v>
      </c>
      <c r="M2148" s="33">
        <v>98.762</v>
      </c>
      <c r="N2148" s="33">
        <v>15.505</v>
      </c>
      <c r="O2148" s="34" t="s">
        <v>601</v>
      </c>
      <c r="P2148" s="32" t="s">
        <v>602</v>
      </c>
      <c r="Q2148" s="35">
        <v>10.0</v>
      </c>
      <c r="R2148" s="35">
        <v>10.0</v>
      </c>
      <c r="S2148" s="36">
        <v>4.14</v>
      </c>
      <c r="T2148" s="36">
        <v>5.54</v>
      </c>
      <c r="U2148" s="36">
        <v>3.1139</v>
      </c>
      <c r="V2148" s="36">
        <v>3.1139</v>
      </c>
      <c r="W2148" s="37" t="s">
        <v>1419</v>
      </c>
      <c r="X2148" s="31">
        <v>8.0</v>
      </c>
      <c r="Y2148" s="36">
        <v>-0.2909535288899702</v>
      </c>
      <c r="Z2148" s="36">
        <v>0.08816584778864614</v>
      </c>
      <c r="AA2148" s="29" t="s">
        <v>820</v>
      </c>
      <c r="AB2148" s="31">
        <v>4.72643709183</v>
      </c>
      <c r="AC2148" s="38">
        <v>574.0</v>
      </c>
    </row>
    <row r="2149" ht="14.25" customHeight="1">
      <c r="A2149" s="29" t="s">
        <v>505</v>
      </c>
      <c r="B2149" s="29">
        <v>47.0</v>
      </c>
      <c r="C2149" s="29" t="s">
        <v>608</v>
      </c>
      <c r="D2149" s="29" t="s">
        <v>1422</v>
      </c>
      <c r="E2149" s="29">
        <v>163.0</v>
      </c>
      <c r="F2149" s="30" t="s">
        <v>1423</v>
      </c>
      <c r="G2149" s="29" t="s">
        <v>626</v>
      </c>
      <c r="H2149" s="31">
        <v>177.52</v>
      </c>
      <c r="I2149" s="29" t="s">
        <v>612</v>
      </c>
      <c r="J2149" s="32" t="s">
        <v>642</v>
      </c>
      <c r="K2149" s="29" t="s">
        <v>951</v>
      </c>
      <c r="L2149" s="29" t="s">
        <v>1418</v>
      </c>
      <c r="M2149" s="33">
        <v>98.762</v>
      </c>
      <c r="N2149" s="33">
        <v>15.505</v>
      </c>
      <c r="O2149" s="34" t="s">
        <v>601</v>
      </c>
      <c r="P2149" s="32" t="s">
        <v>602</v>
      </c>
      <c r="Q2149" s="35">
        <v>10.0</v>
      </c>
      <c r="R2149" s="35">
        <v>10.0</v>
      </c>
      <c r="S2149" s="36">
        <v>5.32</v>
      </c>
      <c r="T2149" s="36">
        <v>5.54</v>
      </c>
      <c r="U2149" s="36">
        <v>3.1139</v>
      </c>
      <c r="V2149" s="36">
        <v>3.1139</v>
      </c>
      <c r="W2149" s="37" t="s">
        <v>1419</v>
      </c>
      <c r="X2149" s="31">
        <v>9.0</v>
      </c>
      <c r="Y2149" s="36">
        <v>-0.04025256646656503</v>
      </c>
      <c r="Z2149" s="36">
        <v>0.06585281930358237</v>
      </c>
      <c r="AA2149" s="29" t="s">
        <v>820</v>
      </c>
      <c r="AB2149" s="31">
        <v>4.72643709183</v>
      </c>
      <c r="AC2149" s="38">
        <v>574.0</v>
      </c>
    </row>
    <row r="2150" ht="14.25" customHeight="1">
      <c r="A2150" s="29" t="s">
        <v>505</v>
      </c>
      <c r="B2150" s="29">
        <v>47.0</v>
      </c>
      <c r="C2150" s="29" t="s">
        <v>608</v>
      </c>
      <c r="D2150" s="29" t="s">
        <v>1179</v>
      </c>
      <c r="E2150" s="29">
        <v>182.0</v>
      </c>
      <c r="F2150" s="30" t="s">
        <v>1180</v>
      </c>
      <c r="G2150" s="29" t="s">
        <v>626</v>
      </c>
      <c r="H2150" s="31">
        <v>96.12</v>
      </c>
      <c r="I2150" s="29" t="s">
        <v>612</v>
      </c>
      <c r="J2150" s="32" t="s">
        <v>642</v>
      </c>
      <c r="K2150" s="29" t="s">
        <v>951</v>
      </c>
      <c r="L2150" s="29" t="s">
        <v>1418</v>
      </c>
      <c r="M2150" s="33">
        <v>98.762</v>
      </c>
      <c r="N2150" s="33">
        <v>15.505</v>
      </c>
      <c r="O2150" s="34" t="s">
        <v>601</v>
      </c>
      <c r="P2150" s="32" t="s">
        <v>602</v>
      </c>
      <c r="Q2150" s="35">
        <v>10.0</v>
      </c>
      <c r="R2150" s="35">
        <v>10.0</v>
      </c>
      <c r="S2150" s="36">
        <v>1.11</v>
      </c>
      <c r="T2150" s="36">
        <v>9.31</v>
      </c>
      <c r="U2150" s="36">
        <v>2.7912</v>
      </c>
      <c r="V2150" s="36">
        <v>3.7834</v>
      </c>
      <c r="W2150" s="37" t="s">
        <v>1419</v>
      </c>
      <c r="X2150" s="31">
        <v>1.0</v>
      </c>
      <c r="Y2150" s="36">
        <v>-2.124567485251661</v>
      </c>
      <c r="Z2150" s="36">
        <v>0.64883308716237</v>
      </c>
      <c r="AA2150" s="29" t="s">
        <v>820</v>
      </c>
      <c r="AB2150" s="31">
        <v>4.72643709183</v>
      </c>
      <c r="AC2150" s="38">
        <v>574.0</v>
      </c>
    </row>
    <row r="2151" ht="14.25" customHeight="1">
      <c r="A2151" s="29" t="s">
        <v>505</v>
      </c>
      <c r="B2151" s="29">
        <v>47.0</v>
      </c>
      <c r="C2151" s="29" t="s">
        <v>608</v>
      </c>
      <c r="D2151" s="29" t="s">
        <v>1179</v>
      </c>
      <c r="E2151" s="29">
        <v>182.0</v>
      </c>
      <c r="F2151" s="30" t="s">
        <v>1180</v>
      </c>
      <c r="G2151" s="29" t="s">
        <v>626</v>
      </c>
      <c r="H2151" s="31">
        <v>96.12</v>
      </c>
      <c r="I2151" s="29" t="s">
        <v>612</v>
      </c>
      <c r="J2151" s="32" t="s">
        <v>642</v>
      </c>
      <c r="K2151" s="29" t="s">
        <v>951</v>
      </c>
      <c r="L2151" s="29" t="s">
        <v>1418</v>
      </c>
      <c r="M2151" s="33">
        <v>98.762</v>
      </c>
      <c r="N2151" s="33">
        <v>15.505</v>
      </c>
      <c r="O2151" s="34" t="s">
        <v>601</v>
      </c>
      <c r="P2151" s="32" t="s">
        <v>602</v>
      </c>
      <c r="Q2151" s="35">
        <v>10.0</v>
      </c>
      <c r="R2151" s="35">
        <v>10.0</v>
      </c>
      <c r="S2151" s="36">
        <v>1.02</v>
      </c>
      <c r="T2151" s="36">
        <v>9.31</v>
      </c>
      <c r="U2151" s="36">
        <v>2.7105</v>
      </c>
      <c r="V2151" s="36">
        <v>3.7834</v>
      </c>
      <c r="W2151" s="37" t="s">
        <v>1419</v>
      </c>
      <c r="X2151" s="31">
        <v>2.0</v>
      </c>
      <c r="Y2151" s="36">
        <v>-2.2089343688246483</v>
      </c>
      <c r="Z2151" s="36">
        <v>0.7226669550438587</v>
      </c>
      <c r="AA2151" s="29" t="s">
        <v>820</v>
      </c>
      <c r="AB2151" s="31">
        <v>4.72643709183</v>
      </c>
      <c r="AC2151" s="38">
        <v>574.0</v>
      </c>
    </row>
    <row r="2152" ht="14.25" customHeight="1">
      <c r="A2152" s="29" t="s">
        <v>505</v>
      </c>
      <c r="B2152" s="29">
        <v>47.0</v>
      </c>
      <c r="C2152" s="29" t="s">
        <v>608</v>
      </c>
      <c r="D2152" s="29" t="s">
        <v>1179</v>
      </c>
      <c r="E2152" s="29">
        <v>182.0</v>
      </c>
      <c r="F2152" s="30" t="s">
        <v>1180</v>
      </c>
      <c r="G2152" s="29" t="s">
        <v>626</v>
      </c>
      <c r="H2152" s="31">
        <v>96.12</v>
      </c>
      <c r="I2152" s="29" t="s">
        <v>612</v>
      </c>
      <c r="J2152" s="32" t="s">
        <v>642</v>
      </c>
      <c r="K2152" s="29" t="s">
        <v>951</v>
      </c>
      <c r="L2152" s="29" t="s">
        <v>1418</v>
      </c>
      <c r="M2152" s="33">
        <v>98.762</v>
      </c>
      <c r="N2152" s="33">
        <v>15.505</v>
      </c>
      <c r="O2152" s="34" t="s">
        <v>601</v>
      </c>
      <c r="P2152" s="32" t="s">
        <v>602</v>
      </c>
      <c r="Q2152" s="35">
        <v>10.0</v>
      </c>
      <c r="R2152" s="35">
        <v>10.0</v>
      </c>
      <c r="S2152" s="36">
        <v>1.84</v>
      </c>
      <c r="T2152" s="36">
        <v>9.31</v>
      </c>
      <c r="U2152" s="36">
        <v>3.3801</v>
      </c>
      <c r="V2152" s="36">
        <v>3.7834</v>
      </c>
      <c r="W2152" s="37" t="s">
        <v>1419</v>
      </c>
      <c r="X2152" s="31">
        <v>3.0</v>
      </c>
      <c r="Y2152" s="36">
        <v>-1.6200189575097141</v>
      </c>
      <c r="Z2152" s="36">
        <v>0.35397538313601035</v>
      </c>
      <c r="AA2152" s="29" t="s">
        <v>820</v>
      </c>
      <c r="AB2152" s="31">
        <v>4.72643709183</v>
      </c>
      <c r="AC2152" s="38">
        <v>574.0</v>
      </c>
    </row>
    <row r="2153" ht="14.25" customHeight="1">
      <c r="A2153" s="29" t="s">
        <v>505</v>
      </c>
      <c r="B2153" s="29">
        <v>47.0</v>
      </c>
      <c r="C2153" s="29" t="s">
        <v>608</v>
      </c>
      <c r="D2153" s="29" t="s">
        <v>1179</v>
      </c>
      <c r="E2153" s="29">
        <v>182.0</v>
      </c>
      <c r="F2153" s="30" t="s">
        <v>1180</v>
      </c>
      <c r="G2153" s="29" t="s">
        <v>626</v>
      </c>
      <c r="H2153" s="31">
        <v>96.12</v>
      </c>
      <c r="I2153" s="29" t="s">
        <v>612</v>
      </c>
      <c r="J2153" s="32" t="s">
        <v>642</v>
      </c>
      <c r="K2153" s="29" t="s">
        <v>951</v>
      </c>
      <c r="L2153" s="29" t="s">
        <v>1418</v>
      </c>
      <c r="M2153" s="33">
        <v>98.762</v>
      </c>
      <c r="N2153" s="33">
        <v>15.505</v>
      </c>
      <c r="O2153" s="34" t="s">
        <v>601</v>
      </c>
      <c r="P2153" s="32" t="s">
        <v>602</v>
      </c>
      <c r="Q2153" s="35">
        <v>10.0</v>
      </c>
      <c r="R2153" s="35">
        <v>10.0</v>
      </c>
      <c r="S2153" s="36">
        <v>2.83</v>
      </c>
      <c r="T2153" s="36">
        <v>9.31</v>
      </c>
      <c r="U2153" s="36">
        <v>3.7834</v>
      </c>
      <c r="V2153" s="36">
        <v>3.7834</v>
      </c>
      <c r="W2153" s="37" t="s">
        <v>1419</v>
      </c>
      <c r="X2153" s="31">
        <v>4.0</v>
      </c>
      <c r="Y2153" s="36">
        <v>-1.1899639902241692</v>
      </c>
      <c r="Z2153" s="36">
        <v>0.19524209967977205</v>
      </c>
      <c r="AA2153" s="29" t="s">
        <v>820</v>
      </c>
      <c r="AB2153" s="31">
        <v>4.72643709183</v>
      </c>
      <c r="AC2153" s="38">
        <v>574.0</v>
      </c>
    </row>
    <row r="2154" ht="14.25" customHeight="1">
      <c r="A2154" s="29" t="s">
        <v>505</v>
      </c>
      <c r="B2154" s="29">
        <v>47.0</v>
      </c>
      <c r="C2154" s="29" t="s">
        <v>608</v>
      </c>
      <c r="D2154" s="29" t="s">
        <v>1179</v>
      </c>
      <c r="E2154" s="29">
        <v>182.0</v>
      </c>
      <c r="F2154" s="30" t="s">
        <v>1180</v>
      </c>
      <c r="G2154" s="29" t="s">
        <v>626</v>
      </c>
      <c r="H2154" s="31">
        <v>96.12</v>
      </c>
      <c r="I2154" s="29" t="s">
        <v>612</v>
      </c>
      <c r="J2154" s="32" t="s">
        <v>642</v>
      </c>
      <c r="K2154" s="29" t="s">
        <v>951</v>
      </c>
      <c r="L2154" s="29" t="s">
        <v>1418</v>
      </c>
      <c r="M2154" s="33">
        <v>98.762</v>
      </c>
      <c r="N2154" s="33">
        <v>15.505</v>
      </c>
      <c r="O2154" s="34" t="s">
        <v>601</v>
      </c>
      <c r="P2154" s="32" t="s">
        <v>602</v>
      </c>
      <c r="Q2154" s="35">
        <v>10.0</v>
      </c>
      <c r="R2154" s="35">
        <v>10.0</v>
      </c>
      <c r="S2154" s="36">
        <v>3.7</v>
      </c>
      <c r="T2154" s="36">
        <v>9.31</v>
      </c>
      <c r="U2154" s="36">
        <v>3.7754</v>
      </c>
      <c r="V2154" s="36">
        <v>3.7834</v>
      </c>
      <c r="W2154" s="37" t="s">
        <v>1419</v>
      </c>
      <c r="X2154" s="31">
        <v>5.0</v>
      </c>
      <c r="Y2154" s="36">
        <v>-0.9221073036737122</v>
      </c>
      <c r="Z2154" s="36">
        <v>0.12063169315214359</v>
      </c>
      <c r="AA2154" s="29" t="s">
        <v>820</v>
      </c>
      <c r="AB2154" s="31">
        <v>4.72643709183</v>
      </c>
      <c r="AC2154" s="38">
        <v>574.0</v>
      </c>
    </row>
    <row r="2155" ht="14.25" customHeight="1">
      <c r="A2155" s="29" t="s">
        <v>505</v>
      </c>
      <c r="B2155" s="29">
        <v>47.0</v>
      </c>
      <c r="C2155" s="29" t="s">
        <v>608</v>
      </c>
      <c r="D2155" s="29" t="s">
        <v>1179</v>
      </c>
      <c r="E2155" s="29">
        <v>182.0</v>
      </c>
      <c r="F2155" s="30" t="s">
        <v>1180</v>
      </c>
      <c r="G2155" s="29" t="s">
        <v>626</v>
      </c>
      <c r="H2155" s="31">
        <v>96.12</v>
      </c>
      <c r="I2155" s="29" t="s">
        <v>612</v>
      </c>
      <c r="J2155" s="32" t="s">
        <v>642</v>
      </c>
      <c r="K2155" s="29" t="s">
        <v>951</v>
      </c>
      <c r="L2155" s="29" t="s">
        <v>1418</v>
      </c>
      <c r="M2155" s="33">
        <v>98.762</v>
      </c>
      <c r="N2155" s="33">
        <v>15.505</v>
      </c>
      <c r="O2155" s="34" t="s">
        <v>601</v>
      </c>
      <c r="P2155" s="32" t="s">
        <v>602</v>
      </c>
      <c r="Q2155" s="35">
        <v>10.0</v>
      </c>
      <c r="R2155" s="35">
        <v>10.0</v>
      </c>
      <c r="S2155" s="36">
        <v>4.37</v>
      </c>
      <c r="T2155" s="36">
        <v>9.31</v>
      </c>
      <c r="U2155" s="36">
        <v>3.7834</v>
      </c>
      <c r="V2155" s="36">
        <v>3.7834</v>
      </c>
      <c r="W2155" s="37" t="s">
        <v>1419</v>
      </c>
      <c r="X2155" s="31">
        <v>6.0</v>
      </c>
      <c r="Y2155" s="36">
        <v>-0.7557765854057563</v>
      </c>
      <c r="Z2155" s="36">
        <v>0.0914696685493169</v>
      </c>
      <c r="AA2155" s="29" t="s">
        <v>820</v>
      </c>
      <c r="AB2155" s="31">
        <v>4.72643709183</v>
      </c>
      <c r="AC2155" s="38">
        <v>574.0</v>
      </c>
    </row>
    <row r="2156" ht="14.25" customHeight="1">
      <c r="A2156" s="29" t="s">
        <v>505</v>
      </c>
      <c r="B2156" s="29">
        <v>47.0</v>
      </c>
      <c r="C2156" s="29" t="s">
        <v>608</v>
      </c>
      <c r="D2156" s="29" t="s">
        <v>1179</v>
      </c>
      <c r="E2156" s="29">
        <v>182.0</v>
      </c>
      <c r="F2156" s="30" t="s">
        <v>1180</v>
      </c>
      <c r="G2156" s="29" t="s">
        <v>626</v>
      </c>
      <c r="H2156" s="31">
        <v>96.12</v>
      </c>
      <c r="I2156" s="29" t="s">
        <v>612</v>
      </c>
      <c r="J2156" s="32" t="s">
        <v>642</v>
      </c>
      <c r="K2156" s="29" t="s">
        <v>951</v>
      </c>
      <c r="L2156" s="29" t="s">
        <v>1418</v>
      </c>
      <c r="M2156" s="33">
        <v>98.762</v>
      </c>
      <c r="N2156" s="33">
        <v>15.505</v>
      </c>
      <c r="O2156" s="34" t="s">
        <v>601</v>
      </c>
      <c r="P2156" s="32" t="s">
        <v>602</v>
      </c>
      <c r="Q2156" s="35">
        <v>10.0</v>
      </c>
      <c r="R2156" s="35">
        <v>10.0</v>
      </c>
      <c r="S2156" s="36">
        <v>5.46</v>
      </c>
      <c r="T2156" s="36">
        <v>9.31</v>
      </c>
      <c r="U2156" s="36">
        <v>3.7834</v>
      </c>
      <c r="V2156" s="36">
        <v>3.7834</v>
      </c>
      <c r="W2156" s="37" t="s">
        <v>1419</v>
      </c>
      <c r="X2156" s="31">
        <v>7.0</v>
      </c>
      <c r="Y2156" s="36">
        <v>-0.5332004787108344</v>
      </c>
      <c r="Z2156" s="36">
        <v>0.06452974397646374</v>
      </c>
      <c r="AA2156" s="29" t="s">
        <v>820</v>
      </c>
      <c r="AB2156" s="31">
        <v>4.72643709183</v>
      </c>
      <c r="AC2156" s="38">
        <v>574.0</v>
      </c>
    </row>
    <row r="2157" ht="14.25" customHeight="1">
      <c r="A2157" s="29" t="s">
        <v>505</v>
      </c>
      <c r="B2157" s="29">
        <v>47.0</v>
      </c>
      <c r="C2157" s="29" t="s">
        <v>608</v>
      </c>
      <c r="D2157" s="29" t="s">
        <v>1179</v>
      </c>
      <c r="E2157" s="29">
        <v>182.0</v>
      </c>
      <c r="F2157" s="30" t="s">
        <v>1180</v>
      </c>
      <c r="G2157" s="29" t="s">
        <v>626</v>
      </c>
      <c r="H2157" s="31">
        <v>96.12</v>
      </c>
      <c r="I2157" s="29" t="s">
        <v>612</v>
      </c>
      <c r="J2157" s="32" t="s">
        <v>642</v>
      </c>
      <c r="K2157" s="29" t="s">
        <v>951</v>
      </c>
      <c r="L2157" s="29" t="s">
        <v>1418</v>
      </c>
      <c r="M2157" s="33">
        <v>98.762</v>
      </c>
      <c r="N2157" s="33">
        <v>15.505</v>
      </c>
      <c r="O2157" s="34" t="s">
        <v>601</v>
      </c>
      <c r="P2157" s="32" t="s">
        <v>602</v>
      </c>
      <c r="Q2157" s="35">
        <v>10.0</v>
      </c>
      <c r="R2157" s="35">
        <v>10.0</v>
      </c>
      <c r="S2157" s="36">
        <v>6.3</v>
      </c>
      <c r="T2157" s="36">
        <v>9.31</v>
      </c>
      <c r="U2157" s="36">
        <v>3.7754</v>
      </c>
      <c r="V2157" s="36">
        <v>3.7834</v>
      </c>
      <c r="W2157" s="37" t="s">
        <v>1419</v>
      </c>
      <c r="X2157" s="31">
        <v>8.0</v>
      </c>
      <c r="Y2157" s="36">
        <v>-0.39015826693743516</v>
      </c>
      <c r="Z2157" s="36">
        <v>0.05242692391149277</v>
      </c>
      <c r="AA2157" s="29" t="s">
        <v>820</v>
      </c>
      <c r="AB2157" s="31">
        <v>4.72643709183</v>
      </c>
      <c r="AC2157" s="38">
        <v>574.0</v>
      </c>
    </row>
    <row r="2158" ht="14.25" customHeight="1">
      <c r="A2158" s="29" t="s">
        <v>505</v>
      </c>
      <c r="B2158" s="29">
        <v>47.0</v>
      </c>
      <c r="C2158" s="29" t="s">
        <v>608</v>
      </c>
      <c r="D2158" s="29" t="s">
        <v>1179</v>
      </c>
      <c r="E2158" s="29">
        <v>182.0</v>
      </c>
      <c r="F2158" s="30" t="s">
        <v>1180</v>
      </c>
      <c r="G2158" s="29" t="s">
        <v>626</v>
      </c>
      <c r="H2158" s="31">
        <v>96.12</v>
      </c>
      <c r="I2158" s="29" t="s">
        <v>612</v>
      </c>
      <c r="J2158" s="32" t="s">
        <v>642</v>
      </c>
      <c r="K2158" s="29" t="s">
        <v>951</v>
      </c>
      <c r="L2158" s="29" t="s">
        <v>1418</v>
      </c>
      <c r="M2158" s="33">
        <v>98.762</v>
      </c>
      <c r="N2158" s="33">
        <v>15.505</v>
      </c>
      <c r="O2158" s="34" t="s">
        <v>601</v>
      </c>
      <c r="P2158" s="32" t="s">
        <v>602</v>
      </c>
      <c r="Q2158" s="35">
        <v>10.0</v>
      </c>
      <c r="R2158" s="35">
        <v>10.0</v>
      </c>
      <c r="S2158" s="36">
        <v>8.39</v>
      </c>
      <c r="T2158" s="36">
        <v>9.31</v>
      </c>
      <c r="U2158" s="36">
        <v>3.7754</v>
      </c>
      <c r="V2158" s="36">
        <v>3.7834</v>
      </c>
      <c r="W2158" s="37" t="s">
        <v>1419</v>
      </c>
      <c r="X2158" s="31">
        <v>9.0</v>
      </c>
      <c r="Y2158" s="36">
        <v>-0.1037623232505036</v>
      </c>
      <c r="Z2158" s="36">
        <v>0.03676341695453892</v>
      </c>
      <c r="AA2158" s="29" t="s">
        <v>820</v>
      </c>
      <c r="AB2158" s="31">
        <v>4.72643709183</v>
      </c>
      <c r="AC2158" s="38">
        <v>574.0</v>
      </c>
    </row>
    <row r="2159" ht="14.25" customHeight="1">
      <c r="A2159" s="29" t="s">
        <v>505</v>
      </c>
      <c r="B2159" s="29">
        <v>47.0</v>
      </c>
      <c r="C2159" s="29" t="s">
        <v>608</v>
      </c>
      <c r="D2159" s="29" t="s">
        <v>1424</v>
      </c>
      <c r="E2159" s="29">
        <v>188.0</v>
      </c>
      <c r="F2159" s="30" t="s">
        <v>1425</v>
      </c>
      <c r="G2159" s="29" t="s">
        <v>638</v>
      </c>
      <c r="H2159" s="31">
        <v>296.25</v>
      </c>
      <c r="I2159" s="29" t="s">
        <v>612</v>
      </c>
      <c r="J2159" s="32" t="s">
        <v>642</v>
      </c>
      <c r="K2159" s="29" t="s">
        <v>951</v>
      </c>
      <c r="L2159" s="29" t="s">
        <v>1418</v>
      </c>
      <c r="M2159" s="33">
        <v>98.762</v>
      </c>
      <c r="N2159" s="33">
        <v>15.505</v>
      </c>
      <c r="O2159" s="34" t="s">
        <v>601</v>
      </c>
      <c r="P2159" s="32" t="s">
        <v>602</v>
      </c>
      <c r="Q2159" s="35">
        <v>10.0</v>
      </c>
      <c r="R2159" s="35">
        <v>10.0</v>
      </c>
      <c r="S2159" s="36">
        <v>0.0</v>
      </c>
      <c r="T2159" s="36">
        <v>2.62</v>
      </c>
      <c r="U2159" s="36">
        <v>0.0</v>
      </c>
      <c r="V2159" s="36">
        <v>0.6615</v>
      </c>
      <c r="W2159" s="37" t="s">
        <v>1419</v>
      </c>
      <c r="X2159" s="31">
        <v>1.0</v>
      </c>
      <c r="Y2159" s="36">
        <v>-8.262558973010657</v>
      </c>
      <c r="Z2159" s="36">
        <v>0.1138589152901052</v>
      </c>
      <c r="AA2159" s="29" t="s">
        <v>820</v>
      </c>
      <c r="AB2159" s="31">
        <v>4.72643709183</v>
      </c>
      <c r="AC2159" s="38">
        <v>574.0</v>
      </c>
    </row>
    <row r="2160" ht="14.25" customHeight="1">
      <c r="A2160" s="29" t="s">
        <v>505</v>
      </c>
      <c r="B2160" s="29">
        <v>47.0</v>
      </c>
      <c r="C2160" s="29" t="s">
        <v>608</v>
      </c>
      <c r="D2160" s="29" t="s">
        <v>1424</v>
      </c>
      <c r="E2160" s="29">
        <v>188.0</v>
      </c>
      <c r="F2160" s="30" t="s">
        <v>1425</v>
      </c>
      <c r="G2160" s="29" t="s">
        <v>638</v>
      </c>
      <c r="H2160" s="31">
        <v>296.25</v>
      </c>
      <c r="I2160" s="29" t="s">
        <v>612</v>
      </c>
      <c r="J2160" s="32" t="s">
        <v>642</v>
      </c>
      <c r="K2160" s="29" t="s">
        <v>951</v>
      </c>
      <c r="L2160" s="29" t="s">
        <v>1418</v>
      </c>
      <c r="M2160" s="33">
        <v>98.762</v>
      </c>
      <c r="N2160" s="33">
        <v>15.505</v>
      </c>
      <c r="O2160" s="34" t="s">
        <v>601</v>
      </c>
      <c r="P2160" s="32" t="s">
        <v>602</v>
      </c>
      <c r="Q2160" s="35">
        <v>10.0</v>
      </c>
      <c r="R2160" s="35">
        <v>10.0</v>
      </c>
      <c r="S2160" s="36">
        <v>0.0</v>
      </c>
      <c r="T2160" s="36">
        <v>2.62</v>
      </c>
      <c r="U2160" s="36">
        <v>0.0</v>
      </c>
      <c r="V2160" s="36">
        <v>0.6615</v>
      </c>
      <c r="W2160" s="37" t="s">
        <v>1419</v>
      </c>
      <c r="X2160" s="31">
        <v>2.0</v>
      </c>
      <c r="Y2160" s="36">
        <v>-8.262558973010657</v>
      </c>
      <c r="Z2160" s="36">
        <v>0.1138589152901052</v>
      </c>
      <c r="AA2160" s="29" t="s">
        <v>820</v>
      </c>
      <c r="AB2160" s="31">
        <v>4.72643709183</v>
      </c>
      <c r="AC2160" s="38">
        <v>574.0</v>
      </c>
    </row>
    <row r="2161" ht="14.25" customHeight="1">
      <c r="A2161" s="29" t="s">
        <v>505</v>
      </c>
      <c r="B2161" s="29">
        <v>47.0</v>
      </c>
      <c r="C2161" s="29" t="s">
        <v>608</v>
      </c>
      <c r="D2161" s="29" t="s">
        <v>1424</v>
      </c>
      <c r="E2161" s="29">
        <v>188.0</v>
      </c>
      <c r="F2161" s="30" t="s">
        <v>1425</v>
      </c>
      <c r="G2161" s="29" t="s">
        <v>638</v>
      </c>
      <c r="H2161" s="31">
        <v>296.25</v>
      </c>
      <c r="I2161" s="29" t="s">
        <v>612</v>
      </c>
      <c r="J2161" s="32" t="s">
        <v>642</v>
      </c>
      <c r="K2161" s="29" t="s">
        <v>951</v>
      </c>
      <c r="L2161" s="29" t="s">
        <v>1418</v>
      </c>
      <c r="M2161" s="33">
        <v>98.762</v>
      </c>
      <c r="N2161" s="33">
        <v>15.505</v>
      </c>
      <c r="O2161" s="34" t="s">
        <v>601</v>
      </c>
      <c r="P2161" s="32" t="s">
        <v>602</v>
      </c>
      <c r="Q2161" s="35">
        <v>10.0</v>
      </c>
      <c r="R2161" s="35">
        <v>10.0</v>
      </c>
      <c r="S2161" s="36">
        <v>0.0</v>
      </c>
      <c r="T2161" s="36">
        <v>2.62</v>
      </c>
      <c r="U2161" s="36">
        <v>0.0</v>
      </c>
      <c r="V2161" s="36">
        <v>0.6615</v>
      </c>
      <c r="W2161" s="37" t="s">
        <v>1419</v>
      </c>
      <c r="X2161" s="31">
        <v>3.0</v>
      </c>
      <c r="Y2161" s="36">
        <v>-8.262558973010657</v>
      </c>
      <c r="Z2161" s="36">
        <v>0.1138589152901052</v>
      </c>
      <c r="AA2161" s="29" t="s">
        <v>820</v>
      </c>
      <c r="AB2161" s="31">
        <v>4.72643709183</v>
      </c>
      <c r="AC2161" s="38">
        <v>574.0</v>
      </c>
    </row>
    <row r="2162" ht="14.25" customHeight="1">
      <c r="A2162" s="29" t="s">
        <v>505</v>
      </c>
      <c r="B2162" s="29">
        <v>47.0</v>
      </c>
      <c r="C2162" s="29" t="s">
        <v>608</v>
      </c>
      <c r="D2162" s="29" t="s">
        <v>1424</v>
      </c>
      <c r="E2162" s="29">
        <v>188.0</v>
      </c>
      <c r="F2162" s="30" t="s">
        <v>1425</v>
      </c>
      <c r="G2162" s="29" t="s">
        <v>638</v>
      </c>
      <c r="H2162" s="31">
        <v>296.25</v>
      </c>
      <c r="I2162" s="29" t="s">
        <v>612</v>
      </c>
      <c r="J2162" s="32" t="s">
        <v>642</v>
      </c>
      <c r="K2162" s="29" t="s">
        <v>951</v>
      </c>
      <c r="L2162" s="29" t="s">
        <v>1418</v>
      </c>
      <c r="M2162" s="33">
        <v>98.762</v>
      </c>
      <c r="N2162" s="33">
        <v>15.505</v>
      </c>
      <c r="O2162" s="34" t="s">
        <v>601</v>
      </c>
      <c r="P2162" s="32" t="s">
        <v>602</v>
      </c>
      <c r="Q2162" s="35">
        <v>10.0</v>
      </c>
      <c r="R2162" s="35">
        <v>10.0</v>
      </c>
      <c r="S2162" s="36">
        <v>0.0</v>
      </c>
      <c r="T2162" s="36">
        <v>2.62</v>
      </c>
      <c r="U2162" s="36">
        <v>0.0</v>
      </c>
      <c r="V2162" s="36">
        <v>0.6615</v>
      </c>
      <c r="W2162" s="37" t="s">
        <v>1419</v>
      </c>
      <c r="X2162" s="31">
        <v>4.0</v>
      </c>
      <c r="Y2162" s="36">
        <v>-8.262558973010657</v>
      </c>
      <c r="Z2162" s="36">
        <v>0.1138589152901052</v>
      </c>
      <c r="AA2162" s="29" t="s">
        <v>820</v>
      </c>
      <c r="AB2162" s="31">
        <v>4.72643709183</v>
      </c>
      <c r="AC2162" s="38">
        <v>574.0</v>
      </c>
    </row>
    <row r="2163" ht="14.25" customHeight="1">
      <c r="A2163" s="29" t="s">
        <v>505</v>
      </c>
      <c r="B2163" s="29">
        <v>47.0</v>
      </c>
      <c r="C2163" s="29" t="s">
        <v>608</v>
      </c>
      <c r="D2163" s="29" t="s">
        <v>1424</v>
      </c>
      <c r="E2163" s="29">
        <v>188.0</v>
      </c>
      <c r="F2163" s="30" t="s">
        <v>1425</v>
      </c>
      <c r="G2163" s="29" t="s">
        <v>638</v>
      </c>
      <c r="H2163" s="31">
        <v>296.25</v>
      </c>
      <c r="I2163" s="29" t="s">
        <v>612</v>
      </c>
      <c r="J2163" s="32" t="s">
        <v>642</v>
      </c>
      <c r="K2163" s="29" t="s">
        <v>951</v>
      </c>
      <c r="L2163" s="29" t="s">
        <v>1418</v>
      </c>
      <c r="M2163" s="33">
        <v>98.762</v>
      </c>
      <c r="N2163" s="33">
        <v>15.505</v>
      </c>
      <c r="O2163" s="34" t="s">
        <v>601</v>
      </c>
      <c r="P2163" s="32" t="s">
        <v>602</v>
      </c>
      <c r="Q2163" s="35">
        <v>10.0</v>
      </c>
      <c r="R2163" s="35">
        <v>10.0</v>
      </c>
      <c r="S2163" s="36">
        <v>0.08</v>
      </c>
      <c r="T2163" s="36">
        <v>2.62</v>
      </c>
      <c r="U2163" s="36">
        <v>0.3953</v>
      </c>
      <c r="V2163" s="36">
        <v>0.6615</v>
      </c>
      <c r="W2163" s="37" t="s">
        <v>1419</v>
      </c>
      <c r="X2163" s="31">
        <v>5.0</v>
      </c>
      <c r="Y2163" s="36">
        <v>-3.4804890263198667</v>
      </c>
      <c r="Z2163" s="36">
        <v>2.4479698175459617</v>
      </c>
      <c r="AA2163" s="29" t="s">
        <v>820</v>
      </c>
      <c r="AB2163" s="31">
        <v>4.72643709183</v>
      </c>
      <c r="AC2163" s="38">
        <v>574.0</v>
      </c>
    </row>
    <row r="2164" ht="14.25" customHeight="1">
      <c r="A2164" s="29" t="s">
        <v>505</v>
      </c>
      <c r="B2164" s="29">
        <v>47.0</v>
      </c>
      <c r="C2164" s="29" t="s">
        <v>608</v>
      </c>
      <c r="D2164" s="29" t="s">
        <v>1424</v>
      </c>
      <c r="E2164" s="29">
        <v>188.0</v>
      </c>
      <c r="F2164" s="30" t="s">
        <v>1425</v>
      </c>
      <c r="G2164" s="29" t="s">
        <v>638</v>
      </c>
      <c r="H2164" s="31">
        <v>296.25</v>
      </c>
      <c r="I2164" s="29" t="s">
        <v>612</v>
      </c>
      <c r="J2164" s="32" t="s">
        <v>642</v>
      </c>
      <c r="K2164" s="29" t="s">
        <v>951</v>
      </c>
      <c r="L2164" s="29" t="s">
        <v>1418</v>
      </c>
      <c r="M2164" s="33">
        <v>98.762</v>
      </c>
      <c r="N2164" s="33">
        <v>15.505</v>
      </c>
      <c r="O2164" s="34" t="s">
        <v>601</v>
      </c>
      <c r="P2164" s="32" t="s">
        <v>602</v>
      </c>
      <c r="Q2164" s="35">
        <v>10.0</v>
      </c>
      <c r="R2164" s="35">
        <v>10.0</v>
      </c>
      <c r="S2164" s="36">
        <v>0.07</v>
      </c>
      <c r="T2164" s="36">
        <v>2.62</v>
      </c>
      <c r="U2164" s="36">
        <v>0.3872</v>
      </c>
      <c r="V2164" s="36">
        <v>0.6615</v>
      </c>
      <c r="W2164" s="37" t="s">
        <v>1419</v>
      </c>
      <c r="X2164" s="31">
        <v>6.0</v>
      </c>
      <c r="Y2164" s="36">
        <v>-3.612824186476987</v>
      </c>
      <c r="Z2164" s="36">
        <v>3.066044865377594</v>
      </c>
      <c r="AA2164" s="29" t="s">
        <v>820</v>
      </c>
      <c r="AB2164" s="31">
        <v>4.72643709183</v>
      </c>
      <c r="AC2164" s="38">
        <v>574.0</v>
      </c>
    </row>
    <row r="2165" ht="14.25" customHeight="1">
      <c r="A2165" s="29" t="s">
        <v>505</v>
      </c>
      <c r="B2165" s="29">
        <v>47.0</v>
      </c>
      <c r="C2165" s="29" t="s">
        <v>608</v>
      </c>
      <c r="D2165" s="29" t="s">
        <v>1424</v>
      </c>
      <c r="E2165" s="29">
        <v>188.0</v>
      </c>
      <c r="F2165" s="30" t="s">
        <v>1425</v>
      </c>
      <c r="G2165" s="29" t="s">
        <v>638</v>
      </c>
      <c r="H2165" s="31">
        <v>296.25</v>
      </c>
      <c r="I2165" s="29" t="s">
        <v>612</v>
      </c>
      <c r="J2165" s="32" t="s">
        <v>642</v>
      </c>
      <c r="K2165" s="29" t="s">
        <v>951</v>
      </c>
      <c r="L2165" s="29" t="s">
        <v>1418</v>
      </c>
      <c r="M2165" s="33">
        <v>98.762</v>
      </c>
      <c r="N2165" s="33">
        <v>15.505</v>
      </c>
      <c r="O2165" s="34" t="s">
        <v>601</v>
      </c>
      <c r="P2165" s="32" t="s">
        <v>602</v>
      </c>
      <c r="Q2165" s="35">
        <v>10.0</v>
      </c>
      <c r="R2165" s="35">
        <v>10.0</v>
      </c>
      <c r="S2165" s="36">
        <v>0.2</v>
      </c>
      <c r="T2165" s="36">
        <v>2.62</v>
      </c>
      <c r="U2165" s="36">
        <v>0.4921</v>
      </c>
      <c r="V2165" s="36">
        <v>0.6615</v>
      </c>
      <c r="W2165" s="37" t="s">
        <v>1419</v>
      </c>
      <c r="X2165" s="31">
        <v>7.0</v>
      </c>
      <c r="Y2165" s="36">
        <v>-2.569238155841562</v>
      </c>
      <c r="Z2165" s="36">
        <v>0.6117806862959616</v>
      </c>
      <c r="AA2165" s="29" t="s">
        <v>820</v>
      </c>
      <c r="AB2165" s="31">
        <v>4.72643709183</v>
      </c>
      <c r="AC2165" s="38">
        <v>574.0</v>
      </c>
    </row>
    <row r="2166" ht="14.25" customHeight="1">
      <c r="A2166" s="29" t="s">
        <v>505</v>
      </c>
      <c r="B2166" s="29">
        <v>47.0</v>
      </c>
      <c r="C2166" s="29" t="s">
        <v>608</v>
      </c>
      <c r="D2166" s="29" t="s">
        <v>1424</v>
      </c>
      <c r="E2166" s="29">
        <v>188.0</v>
      </c>
      <c r="F2166" s="30" t="s">
        <v>1425</v>
      </c>
      <c r="G2166" s="29" t="s">
        <v>638</v>
      </c>
      <c r="H2166" s="31">
        <v>296.25</v>
      </c>
      <c r="I2166" s="29" t="s">
        <v>612</v>
      </c>
      <c r="J2166" s="32" t="s">
        <v>642</v>
      </c>
      <c r="K2166" s="29" t="s">
        <v>951</v>
      </c>
      <c r="L2166" s="29" t="s">
        <v>1418</v>
      </c>
      <c r="M2166" s="33">
        <v>98.762</v>
      </c>
      <c r="N2166" s="33">
        <v>15.505</v>
      </c>
      <c r="O2166" s="34" t="s">
        <v>601</v>
      </c>
      <c r="P2166" s="32" t="s">
        <v>602</v>
      </c>
      <c r="Q2166" s="35">
        <v>10.0</v>
      </c>
      <c r="R2166" s="35">
        <v>10.0</v>
      </c>
      <c r="S2166" s="36">
        <v>1.08</v>
      </c>
      <c r="T2166" s="36">
        <v>2.62</v>
      </c>
      <c r="U2166" s="36">
        <v>0.6615</v>
      </c>
      <c r="V2166" s="36">
        <v>0.6615</v>
      </c>
      <c r="W2166" s="37" t="s">
        <v>1419</v>
      </c>
      <c r="X2166" s="31">
        <v>8.0</v>
      </c>
      <c r="Y2166" s="36">
        <v>-0.8855875885386885</v>
      </c>
      <c r="Z2166" s="36">
        <v>0.04389028629596176</v>
      </c>
      <c r="AA2166" s="29" t="s">
        <v>820</v>
      </c>
      <c r="AB2166" s="31">
        <v>4.72643709183</v>
      </c>
      <c r="AC2166" s="38">
        <v>574.0</v>
      </c>
    </row>
    <row r="2167" ht="14.25" customHeight="1">
      <c r="A2167" s="29" t="s">
        <v>505</v>
      </c>
      <c r="B2167" s="29">
        <v>47.0</v>
      </c>
      <c r="C2167" s="29" t="s">
        <v>608</v>
      </c>
      <c r="D2167" s="29" t="s">
        <v>1424</v>
      </c>
      <c r="E2167" s="29">
        <v>188.0</v>
      </c>
      <c r="F2167" s="30" t="s">
        <v>1425</v>
      </c>
      <c r="G2167" s="29" t="s">
        <v>638</v>
      </c>
      <c r="H2167" s="31">
        <v>296.25</v>
      </c>
      <c r="I2167" s="29" t="s">
        <v>612</v>
      </c>
      <c r="J2167" s="32" t="s">
        <v>642</v>
      </c>
      <c r="K2167" s="29" t="s">
        <v>951</v>
      </c>
      <c r="L2167" s="29" t="s">
        <v>1418</v>
      </c>
      <c r="M2167" s="33">
        <v>98.762</v>
      </c>
      <c r="N2167" s="33">
        <v>15.505</v>
      </c>
      <c r="O2167" s="34" t="s">
        <v>601</v>
      </c>
      <c r="P2167" s="32" t="s">
        <v>602</v>
      </c>
      <c r="Q2167" s="35">
        <v>10.0</v>
      </c>
      <c r="R2167" s="35">
        <v>10.0</v>
      </c>
      <c r="S2167" s="36">
        <v>2.12</v>
      </c>
      <c r="T2167" s="36">
        <v>2.62</v>
      </c>
      <c r="U2167" s="36">
        <v>0.6615</v>
      </c>
      <c r="V2167" s="36">
        <v>0.6615</v>
      </c>
      <c r="W2167" s="37" t="s">
        <v>1419</v>
      </c>
      <c r="X2167" s="31">
        <v>9.0</v>
      </c>
      <c r="Y2167" s="36">
        <v>-0.21143943340399748</v>
      </c>
      <c r="Z2167" s="36">
        <v>0.0161108274137973</v>
      </c>
      <c r="AA2167" s="29" t="s">
        <v>820</v>
      </c>
      <c r="AB2167" s="31">
        <v>4.72643709183</v>
      </c>
      <c r="AC2167" s="38">
        <v>574.0</v>
      </c>
    </row>
    <row r="2168" ht="14.25" customHeight="1">
      <c r="A2168" s="29" t="s">
        <v>510</v>
      </c>
      <c r="B2168" s="29">
        <v>90.0</v>
      </c>
      <c r="C2168" s="29" t="s">
        <v>608</v>
      </c>
      <c r="D2168" s="29" t="s">
        <v>939</v>
      </c>
      <c r="E2168" s="29">
        <v>45.0</v>
      </c>
      <c r="F2168" s="30" t="s">
        <v>940</v>
      </c>
      <c r="G2168" s="29" t="s">
        <v>611</v>
      </c>
      <c r="H2168" s="31">
        <v>3.48</v>
      </c>
      <c r="I2168" s="29" t="s">
        <v>597</v>
      </c>
      <c r="J2168" s="32" t="s">
        <v>642</v>
      </c>
      <c r="K2168" s="29" t="s">
        <v>698</v>
      </c>
      <c r="L2168" s="29" t="s">
        <v>910</v>
      </c>
      <c r="M2168" s="33">
        <v>12.867</v>
      </c>
      <c r="N2168" s="33">
        <v>3.533</v>
      </c>
      <c r="O2168" s="34" t="s">
        <v>641</v>
      </c>
      <c r="P2168" s="32" t="s">
        <v>602</v>
      </c>
      <c r="Q2168" s="35">
        <v>10.0</v>
      </c>
      <c r="R2168" s="35">
        <v>11.0</v>
      </c>
      <c r="S2168" s="36">
        <v>0.8459</v>
      </c>
      <c r="T2168" s="36">
        <v>0.437346364</v>
      </c>
      <c r="U2168" s="36">
        <v>2.2657</v>
      </c>
      <c r="V2168" s="36">
        <v>0.56567499</v>
      </c>
      <c r="W2168" s="37" t="s">
        <v>780</v>
      </c>
      <c r="X2168" s="31">
        <v>2.9</v>
      </c>
      <c r="Y2168" s="36">
        <v>0.6598090541229991</v>
      </c>
      <c r="Z2168" s="36">
        <v>0.869495246304082</v>
      </c>
      <c r="AA2168" s="29" t="s">
        <v>820</v>
      </c>
      <c r="AB2168" s="31">
        <v>4.51044273376</v>
      </c>
      <c r="AC2168" s="38">
        <v>237.0</v>
      </c>
    </row>
    <row r="2169" ht="14.25" customHeight="1">
      <c r="A2169" s="29" t="s">
        <v>510</v>
      </c>
      <c r="B2169" s="29">
        <v>90.0</v>
      </c>
      <c r="C2169" s="29" t="s">
        <v>608</v>
      </c>
      <c r="D2169" s="29" t="s">
        <v>941</v>
      </c>
      <c r="E2169" s="29">
        <v>48.0</v>
      </c>
      <c r="F2169" s="30" t="s">
        <v>942</v>
      </c>
      <c r="G2169" s="29" t="s">
        <v>611</v>
      </c>
      <c r="H2169" s="31">
        <v>5.8</v>
      </c>
      <c r="I2169" s="29" t="s">
        <v>597</v>
      </c>
      <c r="J2169" s="32" t="s">
        <v>642</v>
      </c>
      <c r="K2169" s="29" t="s">
        <v>698</v>
      </c>
      <c r="L2169" s="29" t="s">
        <v>910</v>
      </c>
      <c r="M2169" s="33">
        <v>12.867</v>
      </c>
      <c r="N2169" s="33">
        <v>3.533</v>
      </c>
      <c r="O2169" s="34" t="s">
        <v>641</v>
      </c>
      <c r="P2169" s="32" t="s">
        <v>602</v>
      </c>
      <c r="Q2169" s="35">
        <v>10.0</v>
      </c>
      <c r="R2169" s="35">
        <v>11.0</v>
      </c>
      <c r="S2169" s="36">
        <v>0.0</v>
      </c>
      <c r="T2169" s="36">
        <v>1.140495364</v>
      </c>
      <c r="U2169" s="36">
        <v>0.0</v>
      </c>
      <c r="V2169" s="36">
        <v>0.775786197</v>
      </c>
      <c r="W2169" s="37" t="s">
        <v>780</v>
      </c>
      <c r="X2169" s="31">
        <v>2.9</v>
      </c>
      <c r="Y2169" s="36">
        <v>-8.262558973010657</v>
      </c>
      <c r="Z2169" s="36">
        <v>0.1549810586994969</v>
      </c>
      <c r="AA2169" s="29" t="s">
        <v>820</v>
      </c>
      <c r="AB2169" s="31">
        <v>4.51044273376</v>
      </c>
      <c r="AC2169" s="38">
        <v>237.0</v>
      </c>
    </row>
    <row r="2170" ht="14.25" customHeight="1">
      <c r="A2170" s="29" t="s">
        <v>510</v>
      </c>
      <c r="B2170" s="29">
        <v>90.0</v>
      </c>
      <c r="C2170" s="29" t="s">
        <v>608</v>
      </c>
      <c r="D2170" s="29" t="s">
        <v>943</v>
      </c>
      <c r="E2170" s="29">
        <v>49.0</v>
      </c>
      <c r="F2170" s="30" t="s">
        <v>944</v>
      </c>
      <c r="G2170" s="29" t="s">
        <v>611</v>
      </c>
      <c r="H2170" s="31">
        <v>3.76</v>
      </c>
      <c r="I2170" s="29" t="s">
        <v>597</v>
      </c>
      <c r="J2170" s="32" t="s">
        <v>642</v>
      </c>
      <c r="K2170" s="29" t="s">
        <v>698</v>
      </c>
      <c r="L2170" s="29" t="s">
        <v>910</v>
      </c>
      <c r="M2170" s="33">
        <v>12.867</v>
      </c>
      <c r="N2170" s="33">
        <v>3.533</v>
      </c>
      <c r="O2170" s="34" t="s">
        <v>641</v>
      </c>
      <c r="P2170" s="32" t="s">
        <v>602</v>
      </c>
      <c r="Q2170" s="35">
        <v>10.0</v>
      </c>
      <c r="R2170" s="35">
        <v>11.0</v>
      </c>
      <c r="S2170" s="36">
        <v>0.2081</v>
      </c>
      <c r="T2170" s="36">
        <v>1.606611818</v>
      </c>
      <c r="U2170" s="36">
        <v>0.798</v>
      </c>
      <c r="V2170" s="36">
        <v>1.565112893</v>
      </c>
      <c r="W2170" s="37" t="s">
        <v>780</v>
      </c>
      <c r="X2170" s="31">
        <v>2.9</v>
      </c>
      <c r="Y2170" s="36">
        <v>-2.041874184286324</v>
      </c>
      <c r="Z2170" s="36">
        <v>1.556761830764942</v>
      </c>
      <c r="AA2170" s="29" t="s">
        <v>820</v>
      </c>
      <c r="AB2170" s="31">
        <v>4.51044273376</v>
      </c>
      <c r="AC2170" s="38">
        <v>237.0</v>
      </c>
    </row>
    <row r="2171" ht="14.25" customHeight="1">
      <c r="A2171" s="29" t="s">
        <v>510</v>
      </c>
      <c r="B2171" s="29">
        <v>90.0</v>
      </c>
      <c r="C2171" s="29" t="s">
        <v>608</v>
      </c>
      <c r="D2171" s="43" t="s">
        <v>1234</v>
      </c>
      <c r="E2171" s="29">
        <v>57.0</v>
      </c>
      <c r="F2171" s="30" t="s">
        <v>1235</v>
      </c>
      <c r="G2171" s="29" t="s">
        <v>611</v>
      </c>
      <c r="H2171" s="31">
        <v>10.6</v>
      </c>
      <c r="I2171" s="29" t="s">
        <v>612</v>
      </c>
      <c r="J2171" s="32" t="s">
        <v>642</v>
      </c>
      <c r="K2171" s="29" t="s">
        <v>698</v>
      </c>
      <c r="L2171" s="29" t="s">
        <v>910</v>
      </c>
      <c r="M2171" s="33">
        <v>12.867</v>
      </c>
      <c r="N2171" s="33">
        <v>3.533</v>
      </c>
      <c r="O2171" s="34" t="s">
        <v>641</v>
      </c>
      <c r="P2171" s="32" t="s">
        <v>602</v>
      </c>
      <c r="Q2171" s="35">
        <v>10.0</v>
      </c>
      <c r="R2171" s="35">
        <v>11.0</v>
      </c>
      <c r="S2171" s="36">
        <v>0.0</v>
      </c>
      <c r="T2171" s="36">
        <v>0.327036273</v>
      </c>
      <c r="U2171" s="36">
        <v>0.0</v>
      </c>
      <c r="V2171" s="36">
        <v>0.672426482</v>
      </c>
      <c r="W2171" s="37" t="s">
        <v>780</v>
      </c>
      <c r="X2171" s="31">
        <v>2.9</v>
      </c>
      <c r="Y2171" s="36">
        <v>-8.262558973010657</v>
      </c>
      <c r="Z2171" s="36">
        <v>0.28269616802845754</v>
      </c>
      <c r="AA2171" s="29" t="s">
        <v>820</v>
      </c>
      <c r="AB2171" s="31">
        <v>4.51044273376</v>
      </c>
      <c r="AC2171" s="38">
        <v>237.0</v>
      </c>
    </row>
    <row r="2172" ht="14.25" customHeight="1">
      <c r="A2172" s="29" t="s">
        <v>510</v>
      </c>
      <c r="B2172" s="29">
        <v>90.0</v>
      </c>
      <c r="C2172" s="29" t="s">
        <v>608</v>
      </c>
      <c r="D2172" s="29" t="s">
        <v>945</v>
      </c>
      <c r="E2172" s="29">
        <v>95.0</v>
      </c>
      <c r="F2172" s="30" t="s">
        <v>946</v>
      </c>
      <c r="G2172" s="29" t="s">
        <v>611</v>
      </c>
      <c r="H2172" s="31">
        <v>7.69</v>
      </c>
      <c r="I2172" s="29" t="s">
        <v>616</v>
      </c>
      <c r="J2172" s="32" t="s">
        <v>642</v>
      </c>
      <c r="K2172" s="29" t="s">
        <v>698</v>
      </c>
      <c r="L2172" s="29" t="s">
        <v>910</v>
      </c>
      <c r="M2172" s="33">
        <v>12.867</v>
      </c>
      <c r="N2172" s="33">
        <v>3.533</v>
      </c>
      <c r="O2172" s="34" t="s">
        <v>641</v>
      </c>
      <c r="P2172" s="32" t="s">
        <v>602</v>
      </c>
      <c r="Q2172" s="35">
        <v>10.0</v>
      </c>
      <c r="R2172" s="35">
        <v>11.0</v>
      </c>
      <c r="S2172" s="36">
        <v>0.0179</v>
      </c>
      <c r="T2172" s="36">
        <v>1.822844545</v>
      </c>
      <c r="U2172" s="36">
        <v>0.1662</v>
      </c>
      <c r="V2172" s="36">
        <v>1.643609982</v>
      </c>
      <c r="W2172" s="37" t="s">
        <v>780</v>
      </c>
      <c r="X2172" s="31">
        <v>2.9</v>
      </c>
      <c r="Y2172" s="36">
        <v>-4.597418803966028</v>
      </c>
      <c r="Z2172" s="36">
        <v>8.6948772924125</v>
      </c>
      <c r="AA2172" s="29" t="s">
        <v>820</v>
      </c>
      <c r="AB2172" s="31">
        <v>4.51044273376</v>
      </c>
      <c r="AC2172" s="38">
        <v>237.0</v>
      </c>
    </row>
    <row r="2173" ht="14.25" customHeight="1">
      <c r="A2173" s="29" t="s">
        <v>510</v>
      </c>
      <c r="B2173" s="29">
        <v>90.0</v>
      </c>
      <c r="C2173" s="29" t="s">
        <v>608</v>
      </c>
      <c r="D2173" s="35" t="s">
        <v>947</v>
      </c>
      <c r="E2173" s="29">
        <v>121.0</v>
      </c>
      <c r="F2173" s="30" t="s">
        <v>948</v>
      </c>
      <c r="G2173" s="29" t="s">
        <v>611</v>
      </c>
      <c r="H2173" s="31">
        <v>42.5</v>
      </c>
      <c r="I2173" s="29" t="s">
        <v>597</v>
      </c>
      <c r="J2173" s="32" t="s">
        <v>642</v>
      </c>
      <c r="K2173" s="29" t="s">
        <v>698</v>
      </c>
      <c r="L2173" s="29" t="s">
        <v>910</v>
      </c>
      <c r="M2173" s="33">
        <v>12.867</v>
      </c>
      <c r="N2173" s="33">
        <v>3.533</v>
      </c>
      <c r="O2173" s="34" t="s">
        <v>641</v>
      </c>
      <c r="P2173" s="32" t="s">
        <v>602</v>
      </c>
      <c r="Q2173" s="35">
        <v>10.0</v>
      </c>
      <c r="R2173" s="35">
        <v>11.0</v>
      </c>
      <c r="S2173" s="36">
        <v>0.0</v>
      </c>
      <c r="T2173" s="36">
        <v>0.069554673</v>
      </c>
      <c r="U2173" s="36">
        <v>0.0</v>
      </c>
      <c r="V2173" s="36">
        <v>0.199642709</v>
      </c>
      <c r="W2173" s="37" t="s">
        <v>780</v>
      </c>
      <c r="X2173" s="31">
        <v>2.9</v>
      </c>
      <c r="Y2173" s="36">
        <v>-8.262558973010657</v>
      </c>
      <c r="Z2173" s="36">
        <v>0.23717946391359218</v>
      </c>
      <c r="AA2173" s="29" t="s">
        <v>820</v>
      </c>
      <c r="AB2173" s="31">
        <v>4.51044273376</v>
      </c>
      <c r="AC2173" s="38">
        <v>237.0</v>
      </c>
    </row>
    <row r="2174" ht="14.25" customHeight="1">
      <c r="A2174" s="29" t="s">
        <v>515</v>
      </c>
      <c r="B2174" s="29">
        <v>91.0</v>
      </c>
      <c r="C2174" s="29" t="s">
        <v>593</v>
      </c>
      <c r="D2174" s="29" t="s">
        <v>1426</v>
      </c>
      <c r="E2174" s="29">
        <v>266.0</v>
      </c>
      <c r="F2174" s="30" t="s">
        <v>1427</v>
      </c>
      <c r="G2174" s="35" t="s">
        <v>1000</v>
      </c>
      <c r="H2174" s="31">
        <v>0.921</v>
      </c>
      <c r="I2174" s="29" t="s">
        <v>597</v>
      </c>
      <c r="J2174" s="32" t="s">
        <v>642</v>
      </c>
      <c r="K2174" s="29" t="s">
        <v>698</v>
      </c>
      <c r="L2174" s="29" t="s">
        <v>910</v>
      </c>
      <c r="M2174" s="33">
        <v>12.867</v>
      </c>
      <c r="N2174" s="33">
        <v>3.533</v>
      </c>
      <c r="O2174" s="34" t="s">
        <v>641</v>
      </c>
      <c r="P2174" s="32" t="s">
        <v>602</v>
      </c>
      <c r="Q2174" s="35">
        <v>132.0</v>
      </c>
      <c r="R2174" s="35">
        <v>231.0</v>
      </c>
      <c r="S2174" s="36">
        <v>15.3</v>
      </c>
      <c r="T2174" s="36">
        <v>9.0</v>
      </c>
      <c r="U2174" s="36" t="str">
        <f t="shared" ref="U2174:V2174" si="496">#REF!*SQRT(Q2174)</f>
        <v>#REF!</v>
      </c>
      <c r="V2174" s="36" t="str">
        <f t="shared" si="496"/>
        <v>#REF!</v>
      </c>
      <c r="W2174" s="37" t="s">
        <v>623</v>
      </c>
      <c r="X2174" s="31">
        <v>2.9</v>
      </c>
      <c r="Y2174" s="36">
        <v>0.5313938892589779</v>
      </c>
      <c r="Z2174" s="36" t="e">
        <v>#REF!</v>
      </c>
      <c r="AA2174" s="29" t="s">
        <v>820</v>
      </c>
      <c r="AB2174" s="31">
        <v>4.51044273376</v>
      </c>
      <c r="AC2174" s="38">
        <v>237.0</v>
      </c>
    </row>
    <row r="2175" ht="14.25" customHeight="1">
      <c r="A2175" s="29" t="s">
        <v>515</v>
      </c>
      <c r="B2175" s="29">
        <v>91.0</v>
      </c>
      <c r="C2175" s="29" t="s">
        <v>593</v>
      </c>
      <c r="D2175" s="29" t="s">
        <v>1428</v>
      </c>
      <c r="E2175" s="29">
        <v>267.0</v>
      </c>
      <c r="F2175" s="30" t="s">
        <v>1211</v>
      </c>
      <c r="G2175" s="35" t="s">
        <v>1000</v>
      </c>
      <c r="H2175" s="31">
        <v>0.921</v>
      </c>
      <c r="I2175" s="29" t="s">
        <v>597</v>
      </c>
      <c r="J2175" s="32" t="s">
        <v>642</v>
      </c>
      <c r="K2175" s="29" t="s">
        <v>698</v>
      </c>
      <c r="L2175" s="29" t="s">
        <v>910</v>
      </c>
      <c r="M2175" s="33">
        <v>12.867</v>
      </c>
      <c r="N2175" s="33">
        <v>3.533</v>
      </c>
      <c r="O2175" s="34" t="s">
        <v>641</v>
      </c>
      <c r="P2175" s="32" t="s">
        <v>602</v>
      </c>
      <c r="Q2175" s="35">
        <v>132.0</v>
      </c>
      <c r="R2175" s="35">
        <v>231.0</v>
      </c>
      <c r="S2175" s="36">
        <v>15.6</v>
      </c>
      <c r="T2175" s="36">
        <v>6.5</v>
      </c>
      <c r="U2175" s="36" t="str">
        <f t="shared" ref="U2175:V2175" si="497">#REF!*SQRT(Q2175)</f>
        <v>#REF!</v>
      </c>
      <c r="V2175" s="36" t="str">
        <f t="shared" si="497"/>
        <v>#REF!</v>
      </c>
      <c r="W2175" s="37" t="s">
        <v>623</v>
      </c>
      <c r="X2175" s="31">
        <v>2.9</v>
      </c>
      <c r="Y2175" s="36">
        <v>0.8760111249573685</v>
      </c>
      <c r="Z2175" s="36" t="e">
        <v>#REF!</v>
      </c>
      <c r="AA2175" s="29" t="s">
        <v>820</v>
      </c>
      <c r="AB2175" s="31">
        <v>4.51044273376</v>
      </c>
      <c r="AC2175" s="38">
        <v>237.0</v>
      </c>
    </row>
    <row r="2176" ht="14.25" customHeight="1">
      <c r="A2176" s="29" t="s">
        <v>515</v>
      </c>
      <c r="B2176" s="29">
        <v>91.0</v>
      </c>
      <c r="C2176" s="29" t="s">
        <v>593</v>
      </c>
      <c r="D2176" s="43" t="s">
        <v>1212</v>
      </c>
      <c r="E2176" s="29">
        <v>268.0</v>
      </c>
      <c r="F2176" s="30" t="s">
        <v>1213</v>
      </c>
      <c r="G2176" s="29" t="s">
        <v>1000</v>
      </c>
      <c r="H2176" s="31">
        <v>1.194</v>
      </c>
      <c r="I2176" s="29" t="s">
        <v>597</v>
      </c>
      <c r="J2176" s="32" t="s">
        <v>642</v>
      </c>
      <c r="K2176" s="29" t="s">
        <v>698</v>
      </c>
      <c r="L2176" s="29" t="s">
        <v>910</v>
      </c>
      <c r="M2176" s="33">
        <v>12.867</v>
      </c>
      <c r="N2176" s="33">
        <v>3.533</v>
      </c>
      <c r="O2176" s="34" t="s">
        <v>641</v>
      </c>
      <c r="P2176" s="32" t="s">
        <v>602</v>
      </c>
      <c r="Q2176" s="35">
        <v>132.0</v>
      </c>
      <c r="R2176" s="35">
        <v>231.0</v>
      </c>
      <c r="S2176" s="36">
        <v>28.5</v>
      </c>
      <c r="T2176" s="36">
        <v>23.2</v>
      </c>
      <c r="U2176" s="36" t="str">
        <f t="shared" ref="U2176:V2176" si="498">#REF!*SQRT(Q2176)</f>
        <v>#REF!</v>
      </c>
      <c r="V2176" s="36" t="str">
        <f t="shared" si="498"/>
        <v>#REF!</v>
      </c>
      <c r="W2176" s="37" t="s">
        <v>623</v>
      </c>
      <c r="X2176" s="31">
        <v>2.9</v>
      </c>
      <c r="Y2176" s="36">
        <v>0.20681118878141927</v>
      </c>
      <c r="Z2176" s="36" t="e">
        <v>#REF!</v>
      </c>
      <c r="AA2176" s="29" t="s">
        <v>820</v>
      </c>
      <c r="AB2176" s="31">
        <v>4.51044273376</v>
      </c>
      <c r="AC2176" s="38">
        <v>237.0</v>
      </c>
    </row>
    <row r="2177" ht="14.25" customHeight="1">
      <c r="A2177" s="29" t="s">
        <v>515</v>
      </c>
      <c r="B2177" s="29">
        <v>91.0</v>
      </c>
      <c r="C2177" s="29" t="s">
        <v>593</v>
      </c>
      <c r="D2177" s="43" t="s">
        <v>1225</v>
      </c>
      <c r="E2177" s="29">
        <v>271.0</v>
      </c>
      <c r="F2177" s="30" t="s">
        <v>1226</v>
      </c>
      <c r="G2177" s="29" t="s">
        <v>1000</v>
      </c>
      <c r="H2177" s="31">
        <v>0.10376</v>
      </c>
      <c r="I2177" s="29" t="s">
        <v>620</v>
      </c>
      <c r="J2177" s="32" t="s">
        <v>642</v>
      </c>
      <c r="K2177" s="29" t="s">
        <v>698</v>
      </c>
      <c r="L2177" s="29" t="s">
        <v>910</v>
      </c>
      <c r="M2177" s="33">
        <v>12.867</v>
      </c>
      <c r="N2177" s="33">
        <v>3.533</v>
      </c>
      <c r="O2177" s="34" t="s">
        <v>641</v>
      </c>
      <c r="P2177" s="32" t="s">
        <v>602</v>
      </c>
      <c r="Q2177" s="35">
        <v>132.0</v>
      </c>
      <c r="R2177" s="35">
        <v>231.0</v>
      </c>
      <c r="S2177" s="36">
        <v>47.0</v>
      </c>
      <c r="T2177" s="36">
        <v>2.5</v>
      </c>
      <c r="U2177" s="36" t="str">
        <f t="shared" ref="U2177:V2177" si="499">#REF!*SQRT(Q2177)</f>
        <v>#REF!</v>
      </c>
      <c r="V2177" s="36" t="str">
        <f t="shared" si="499"/>
        <v>#REF!</v>
      </c>
      <c r="W2177" s="37" t="s">
        <v>623</v>
      </c>
      <c r="X2177" s="31">
        <v>2.9</v>
      </c>
      <c r="Y2177" s="36">
        <v>2.9339261271893307</v>
      </c>
      <c r="Z2177" s="36" t="e">
        <v>#REF!</v>
      </c>
      <c r="AA2177" s="29" t="s">
        <v>820</v>
      </c>
      <c r="AB2177" s="31">
        <v>4.51044273376</v>
      </c>
      <c r="AC2177" s="38">
        <v>237.0</v>
      </c>
    </row>
    <row r="2178" ht="14.25" customHeight="1">
      <c r="A2178" s="29" t="s">
        <v>515</v>
      </c>
      <c r="B2178" s="29">
        <v>91.0</v>
      </c>
      <c r="C2178" s="29" t="s">
        <v>593</v>
      </c>
      <c r="D2178" s="43" t="s">
        <v>1227</v>
      </c>
      <c r="E2178" s="29">
        <v>272.0</v>
      </c>
      <c r="F2178" s="30" t="s">
        <v>1228</v>
      </c>
      <c r="G2178" s="29" t="s">
        <v>1000</v>
      </c>
      <c r="H2178" s="31">
        <v>0.25883</v>
      </c>
      <c r="I2178" s="29" t="s">
        <v>616</v>
      </c>
      <c r="J2178" s="32" t="s">
        <v>642</v>
      </c>
      <c r="K2178" s="29" t="s">
        <v>698</v>
      </c>
      <c r="L2178" s="29" t="s">
        <v>910</v>
      </c>
      <c r="M2178" s="33">
        <v>12.867</v>
      </c>
      <c r="N2178" s="33">
        <v>3.533</v>
      </c>
      <c r="O2178" s="34" t="s">
        <v>641</v>
      </c>
      <c r="P2178" s="32" t="s">
        <v>602</v>
      </c>
      <c r="Q2178" s="35">
        <v>132.0</v>
      </c>
      <c r="R2178" s="35">
        <v>231.0</v>
      </c>
      <c r="S2178" s="36">
        <v>5.7</v>
      </c>
      <c r="T2178" s="36">
        <v>4.3</v>
      </c>
      <c r="U2178" s="36" t="str">
        <f t="shared" ref="U2178:V2178" si="500">#REF!*SQRT(Q2178)</f>
        <v>#REF!</v>
      </c>
      <c r="V2178" s="36" t="str">
        <f t="shared" si="500"/>
        <v>#REF!</v>
      </c>
      <c r="W2178" s="37" t="s">
        <v>623</v>
      </c>
      <c r="X2178" s="31">
        <v>2.9</v>
      </c>
      <c r="Y2178" s="36">
        <v>0.28283294341797904</v>
      </c>
      <c r="Z2178" s="36" t="e">
        <v>#REF!</v>
      </c>
      <c r="AA2178" s="29" t="s">
        <v>820</v>
      </c>
      <c r="AB2178" s="31">
        <v>4.51044273376</v>
      </c>
      <c r="AC2178" s="38">
        <v>237.0</v>
      </c>
    </row>
    <row r="2179" ht="14.25" customHeight="1">
      <c r="A2179" s="29" t="s">
        <v>515</v>
      </c>
      <c r="B2179" s="29">
        <v>91.0</v>
      </c>
      <c r="C2179" s="29" t="s">
        <v>593</v>
      </c>
      <c r="D2179" s="43" t="s">
        <v>1229</v>
      </c>
      <c r="E2179" s="29">
        <v>270.0</v>
      </c>
      <c r="F2179" s="45" t="s">
        <v>1230</v>
      </c>
      <c r="G2179" s="29" t="s">
        <v>1000</v>
      </c>
      <c r="H2179" s="31">
        <v>0.289</v>
      </c>
      <c r="I2179" s="29" t="s">
        <v>616</v>
      </c>
      <c r="J2179" s="32" t="s">
        <v>642</v>
      </c>
      <c r="K2179" s="29" t="s">
        <v>698</v>
      </c>
      <c r="L2179" s="29" t="s">
        <v>910</v>
      </c>
      <c r="M2179" s="33">
        <v>12.867</v>
      </c>
      <c r="N2179" s="33">
        <v>3.533</v>
      </c>
      <c r="O2179" s="34" t="s">
        <v>641</v>
      </c>
      <c r="P2179" s="32" t="s">
        <v>602</v>
      </c>
      <c r="Q2179" s="35">
        <v>132.0</v>
      </c>
      <c r="R2179" s="35">
        <v>231.0</v>
      </c>
      <c r="S2179" s="36">
        <v>1.1</v>
      </c>
      <c r="T2179" s="36">
        <v>1.7</v>
      </c>
      <c r="U2179" s="36" t="str">
        <f t="shared" ref="U2179:V2179" si="501">#REF!*SQRT(Q2179)</f>
        <v>#REF!</v>
      </c>
      <c r="V2179" s="36" t="str">
        <f t="shared" si="501"/>
        <v>#REF!</v>
      </c>
      <c r="W2179" s="37" t="s">
        <v>623</v>
      </c>
      <c r="X2179" s="31">
        <v>2.9</v>
      </c>
      <c r="Y2179" s="36">
        <v>-0.4333077826366524</v>
      </c>
      <c r="Z2179" s="36" t="e">
        <v>#REF!</v>
      </c>
      <c r="AA2179" s="29" t="s">
        <v>820</v>
      </c>
      <c r="AB2179" s="31">
        <v>4.51044273376</v>
      </c>
      <c r="AC2179" s="38">
        <v>237.0</v>
      </c>
    </row>
    <row r="2180" ht="14.25" customHeight="1">
      <c r="A2180" s="29" t="s">
        <v>518</v>
      </c>
      <c r="B2180" s="29">
        <v>92.0</v>
      </c>
      <c r="C2180" s="29" t="s">
        <v>608</v>
      </c>
      <c r="D2180" s="29" t="s">
        <v>851</v>
      </c>
      <c r="E2180" s="29">
        <v>102.0</v>
      </c>
      <c r="F2180" s="30" t="s">
        <v>852</v>
      </c>
      <c r="G2180" s="29" t="s">
        <v>626</v>
      </c>
      <c r="H2180" s="31">
        <v>16.5</v>
      </c>
      <c r="I2180" s="29" t="s">
        <v>612</v>
      </c>
      <c r="J2180" s="32" t="s">
        <v>598</v>
      </c>
      <c r="K2180" s="29" t="s">
        <v>840</v>
      </c>
      <c r="L2180" s="29" t="s">
        <v>1270</v>
      </c>
      <c r="M2180" s="33">
        <v>-89.303</v>
      </c>
      <c r="N2180" s="33">
        <v>18.61</v>
      </c>
      <c r="O2180" s="34" t="s">
        <v>641</v>
      </c>
      <c r="P2180" s="32" t="s">
        <v>602</v>
      </c>
      <c r="Q2180" s="29">
        <v>8.0</v>
      </c>
      <c r="R2180" s="29">
        <v>7.0</v>
      </c>
      <c r="S2180" s="36">
        <v>0.802548</v>
      </c>
      <c r="T2180" s="36">
        <v>1.79618</v>
      </c>
      <c r="U2180" s="36" t="str">
        <f t="shared" ref="U2180:V2180" si="502">#REF!*SQRT(Q2180)</f>
        <v>#REF!</v>
      </c>
      <c r="V2180" s="36" t="str">
        <f t="shared" si="502"/>
        <v>#REF!</v>
      </c>
      <c r="W2180" s="37" t="s">
        <v>972</v>
      </c>
      <c r="X2180" s="31">
        <v>5.5</v>
      </c>
      <c r="Y2180" s="36">
        <v>-0.8050485425836214</v>
      </c>
      <c r="Z2180" s="36" t="e">
        <v>#REF!</v>
      </c>
      <c r="AA2180" s="29" t="s">
        <v>820</v>
      </c>
      <c r="AB2180" s="31">
        <v>2.72929406166</v>
      </c>
      <c r="AC2180" s="38">
        <v>711.0</v>
      </c>
    </row>
    <row r="2181" ht="14.25" customHeight="1">
      <c r="A2181" s="29" t="s">
        <v>518</v>
      </c>
      <c r="B2181" s="29">
        <v>92.0</v>
      </c>
      <c r="C2181" s="29" t="s">
        <v>608</v>
      </c>
      <c r="D2181" s="29" t="s">
        <v>851</v>
      </c>
      <c r="E2181" s="29">
        <v>102.0</v>
      </c>
      <c r="F2181" s="30" t="s">
        <v>852</v>
      </c>
      <c r="G2181" s="29" t="s">
        <v>626</v>
      </c>
      <c r="H2181" s="31">
        <v>16.5</v>
      </c>
      <c r="I2181" s="29" t="s">
        <v>612</v>
      </c>
      <c r="J2181" s="32" t="s">
        <v>598</v>
      </c>
      <c r="K2181" s="29" t="s">
        <v>840</v>
      </c>
      <c r="L2181" s="29" t="s">
        <v>1270</v>
      </c>
      <c r="M2181" s="33">
        <v>-89.303</v>
      </c>
      <c r="N2181" s="33">
        <v>18.61</v>
      </c>
      <c r="O2181" s="34" t="s">
        <v>641</v>
      </c>
      <c r="P2181" s="32" t="s">
        <v>602</v>
      </c>
      <c r="Q2181" s="29">
        <v>8.0</v>
      </c>
      <c r="R2181" s="29">
        <v>7.0</v>
      </c>
      <c r="S2181" s="36">
        <v>2.305</v>
      </c>
      <c r="T2181" s="36">
        <v>1.79618</v>
      </c>
      <c r="U2181" s="36" t="str">
        <f t="shared" ref="U2181:V2181" si="503">#REF!*SQRT(Q2181)</f>
        <v>#REF!</v>
      </c>
      <c r="V2181" s="36" t="str">
        <f t="shared" si="503"/>
        <v>#REF!</v>
      </c>
      <c r="W2181" s="37" t="s">
        <v>972</v>
      </c>
      <c r="X2181" s="31">
        <v>13.5</v>
      </c>
      <c r="Y2181" s="36">
        <v>0.2496195145374286</v>
      </c>
      <c r="Z2181" s="36" t="e">
        <v>#REF!</v>
      </c>
      <c r="AA2181" s="29" t="s">
        <v>820</v>
      </c>
      <c r="AB2181" s="31">
        <v>2.72929406166</v>
      </c>
      <c r="AC2181" s="38">
        <v>711.0</v>
      </c>
    </row>
    <row r="2182" ht="14.25" customHeight="1">
      <c r="A2182" s="29" t="s">
        <v>518</v>
      </c>
      <c r="B2182" s="29">
        <v>92.0</v>
      </c>
      <c r="C2182" s="29" t="s">
        <v>608</v>
      </c>
      <c r="D2182" s="29" t="s">
        <v>855</v>
      </c>
      <c r="E2182" s="29">
        <v>114.0</v>
      </c>
      <c r="F2182" s="30" t="s">
        <v>856</v>
      </c>
      <c r="G2182" s="29" t="s">
        <v>626</v>
      </c>
      <c r="H2182" s="31">
        <v>55.51</v>
      </c>
      <c r="I2182" s="29" t="s">
        <v>612</v>
      </c>
      <c r="J2182" s="32" t="s">
        <v>598</v>
      </c>
      <c r="K2182" s="29" t="s">
        <v>840</v>
      </c>
      <c r="L2182" s="29" t="s">
        <v>1270</v>
      </c>
      <c r="M2182" s="33">
        <v>-89.303</v>
      </c>
      <c r="N2182" s="33">
        <v>18.61</v>
      </c>
      <c r="O2182" s="34" t="s">
        <v>641</v>
      </c>
      <c r="P2182" s="32" t="s">
        <v>602</v>
      </c>
      <c r="Q2182" s="29">
        <v>8.0</v>
      </c>
      <c r="R2182" s="29">
        <v>7.0</v>
      </c>
      <c r="S2182" s="36">
        <v>0.101911</v>
      </c>
      <c r="T2182" s="36">
        <v>1.69427</v>
      </c>
      <c r="U2182" s="36" t="str">
        <f t="shared" ref="U2182:V2182" si="504">#REF!*SQRT(Q2182)</f>
        <v>#REF!</v>
      </c>
      <c r="V2182" s="36" t="str">
        <f t="shared" si="504"/>
        <v>#REF!</v>
      </c>
      <c r="W2182" s="37" t="s">
        <v>972</v>
      </c>
      <c r="X2182" s="31">
        <v>5.5</v>
      </c>
      <c r="Y2182" s="36">
        <v>-2.8066273229331986</v>
      </c>
      <c r="Z2182" s="36" t="e">
        <v>#REF!</v>
      </c>
      <c r="AA2182" s="29" t="s">
        <v>820</v>
      </c>
      <c r="AB2182" s="31">
        <v>2.72929406166</v>
      </c>
      <c r="AC2182" s="38">
        <v>711.0</v>
      </c>
    </row>
    <row r="2183" ht="14.25" customHeight="1">
      <c r="A2183" s="29" t="s">
        <v>518</v>
      </c>
      <c r="B2183" s="29">
        <v>92.0</v>
      </c>
      <c r="C2183" s="29" t="s">
        <v>608</v>
      </c>
      <c r="D2183" s="29" t="s">
        <v>855</v>
      </c>
      <c r="E2183" s="29">
        <v>114.0</v>
      </c>
      <c r="F2183" s="30" t="s">
        <v>856</v>
      </c>
      <c r="G2183" s="29" t="s">
        <v>626</v>
      </c>
      <c r="H2183" s="31">
        <v>55.51</v>
      </c>
      <c r="I2183" s="29" t="s">
        <v>612</v>
      </c>
      <c r="J2183" s="32" t="s">
        <v>598</v>
      </c>
      <c r="K2183" s="29" t="s">
        <v>840</v>
      </c>
      <c r="L2183" s="29" t="s">
        <v>1270</v>
      </c>
      <c r="M2183" s="33">
        <v>-89.303</v>
      </c>
      <c r="N2183" s="33">
        <v>18.61</v>
      </c>
      <c r="O2183" s="34" t="s">
        <v>641</v>
      </c>
      <c r="P2183" s="32" t="s">
        <v>602</v>
      </c>
      <c r="Q2183" s="29">
        <v>8.0</v>
      </c>
      <c r="R2183" s="29">
        <v>7.0</v>
      </c>
      <c r="S2183" s="36">
        <v>0.216561</v>
      </c>
      <c r="T2183" s="36">
        <v>1.69427</v>
      </c>
      <c r="U2183" s="36" t="str">
        <f t="shared" ref="U2183:V2183" si="505">#REF!*SQRT(Q2183)</f>
        <v>#REF!</v>
      </c>
      <c r="V2183" s="36" t="str">
        <f t="shared" si="505"/>
        <v>#REF!</v>
      </c>
      <c r="W2183" s="37" t="s">
        <v>972</v>
      </c>
      <c r="X2183" s="31">
        <v>13.5</v>
      </c>
      <c r="Y2183" s="36">
        <v>-2.0551185671366654</v>
      </c>
      <c r="Z2183" s="36" t="e">
        <v>#REF!</v>
      </c>
      <c r="AA2183" s="29" t="s">
        <v>820</v>
      </c>
      <c r="AB2183" s="31">
        <v>2.72929406166</v>
      </c>
      <c r="AC2183" s="38">
        <v>711.0</v>
      </c>
    </row>
    <row r="2184" ht="14.25" customHeight="1">
      <c r="A2184" s="29" t="s">
        <v>554</v>
      </c>
      <c r="B2184" s="29">
        <v>24.0</v>
      </c>
      <c r="C2184" s="29" t="s">
        <v>608</v>
      </c>
      <c r="D2184" s="29" t="s">
        <v>935</v>
      </c>
      <c r="E2184" s="29">
        <v>35.0</v>
      </c>
      <c r="F2184" s="30" t="s">
        <v>936</v>
      </c>
      <c r="G2184" s="29" t="s">
        <v>626</v>
      </c>
      <c r="H2184" s="31">
        <v>16.74</v>
      </c>
      <c r="I2184" s="29" t="s">
        <v>612</v>
      </c>
      <c r="J2184" s="32" t="s">
        <v>598</v>
      </c>
      <c r="K2184" s="29" t="s">
        <v>698</v>
      </c>
      <c r="L2184" s="29" t="s">
        <v>912</v>
      </c>
      <c r="M2184" s="33">
        <v>28.824</v>
      </c>
      <c r="N2184" s="33">
        <v>2.174</v>
      </c>
      <c r="O2184" s="34" t="s">
        <v>641</v>
      </c>
      <c r="P2184" s="32" t="s">
        <v>643</v>
      </c>
      <c r="Q2184" s="35">
        <v>61.0</v>
      </c>
      <c r="R2184" s="35">
        <v>62.0</v>
      </c>
      <c r="S2184" s="36">
        <v>4.92</v>
      </c>
      <c r="T2184" s="36">
        <v>5.1</v>
      </c>
      <c r="U2184" s="36">
        <v>2.2181</v>
      </c>
      <c r="V2184" s="36">
        <v>2.2583</v>
      </c>
      <c r="W2184" s="37" t="s">
        <v>1429</v>
      </c>
      <c r="X2184" s="31">
        <v>1.5</v>
      </c>
      <c r="Y2184" s="36">
        <v>-0.035664608096037186</v>
      </c>
      <c r="Z2184" s="36">
        <v>0.0064944836451362835</v>
      </c>
      <c r="AA2184" s="29" t="s">
        <v>820</v>
      </c>
      <c r="AB2184" s="31">
        <v>3.54470586777</v>
      </c>
      <c r="AC2184" s="38">
        <v>214.0</v>
      </c>
    </row>
    <row r="2185" ht="14.25" customHeight="1">
      <c r="A2185" s="29" t="s">
        <v>554</v>
      </c>
      <c r="B2185" s="29">
        <v>24.0</v>
      </c>
      <c r="C2185" s="29" t="s">
        <v>608</v>
      </c>
      <c r="D2185" s="29" t="s">
        <v>1053</v>
      </c>
      <c r="E2185" s="29">
        <v>41.0</v>
      </c>
      <c r="F2185" s="30" t="s">
        <v>1054</v>
      </c>
      <c r="G2185" s="29" t="s">
        <v>626</v>
      </c>
      <c r="H2185" s="31">
        <v>72.5</v>
      </c>
      <c r="I2185" s="29" t="s">
        <v>612</v>
      </c>
      <c r="J2185" s="32" t="s">
        <v>598</v>
      </c>
      <c r="K2185" s="29" t="s">
        <v>698</v>
      </c>
      <c r="L2185" s="29" t="s">
        <v>912</v>
      </c>
      <c r="M2185" s="33">
        <v>28.824</v>
      </c>
      <c r="N2185" s="33">
        <v>2.174</v>
      </c>
      <c r="O2185" s="34" t="s">
        <v>641</v>
      </c>
      <c r="P2185" s="32" t="s">
        <v>643</v>
      </c>
      <c r="Q2185" s="35">
        <v>61.0</v>
      </c>
      <c r="R2185" s="35">
        <v>62.0</v>
      </c>
      <c r="S2185" s="36">
        <v>0.66</v>
      </c>
      <c r="T2185" s="36">
        <v>1.87</v>
      </c>
      <c r="U2185" s="36">
        <v>0.8124</v>
      </c>
      <c r="V2185" s="36">
        <v>1.3675</v>
      </c>
      <c r="W2185" s="37" t="s">
        <v>1429</v>
      </c>
      <c r="X2185" s="31">
        <v>1.5</v>
      </c>
      <c r="Y2185" s="36">
        <v>-1.0407231477222079</v>
      </c>
      <c r="Z2185" s="36">
        <v>0.033463724978045443</v>
      </c>
      <c r="AA2185" s="29" t="s">
        <v>820</v>
      </c>
      <c r="AB2185" s="31">
        <v>3.54470586777</v>
      </c>
      <c r="AC2185" s="38">
        <v>214.0</v>
      </c>
    </row>
    <row r="2186" ht="14.25" customHeight="1">
      <c r="A2186" s="29" t="s">
        <v>554</v>
      </c>
      <c r="B2186" s="29">
        <v>24.0</v>
      </c>
      <c r="C2186" s="29" t="s">
        <v>608</v>
      </c>
      <c r="D2186" s="29" t="s">
        <v>1193</v>
      </c>
      <c r="E2186" s="29">
        <v>54.0</v>
      </c>
      <c r="F2186" s="30" t="s">
        <v>1194</v>
      </c>
      <c r="G2186" s="29" t="s">
        <v>629</v>
      </c>
      <c r="H2186" s="31">
        <v>12.0</v>
      </c>
      <c r="I2186" s="29" t="s">
        <v>657</v>
      </c>
      <c r="J2186" s="32" t="s">
        <v>598</v>
      </c>
      <c r="K2186" s="29" t="s">
        <v>698</v>
      </c>
      <c r="L2186" s="29" t="s">
        <v>912</v>
      </c>
      <c r="M2186" s="33">
        <v>28.824</v>
      </c>
      <c r="N2186" s="33">
        <v>2.174</v>
      </c>
      <c r="O2186" s="34" t="s">
        <v>641</v>
      </c>
      <c r="P2186" s="32" t="s">
        <v>643</v>
      </c>
      <c r="Q2186" s="35">
        <v>61.0</v>
      </c>
      <c r="R2186" s="35">
        <v>62.0</v>
      </c>
      <c r="S2186" s="36">
        <v>0.75</v>
      </c>
      <c r="T2186" s="36">
        <v>0.13</v>
      </c>
      <c r="U2186" s="36">
        <v>0.866</v>
      </c>
      <c r="V2186" s="36">
        <v>0.3606</v>
      </c>
      <c r="W2186" s="37" t="s">
        <v>1429</v>
      </c>
      <c r="X2186" s="31">
        <v>1.5</v>
      </c>
      <c r="Y2186" s="36">
        <v>1.7525834747171232</v>
      </c>
      <c r="Z2186" s="36">
        <v>0.14595700383038657</v>
      </c>
      <c r="AA2186" s="29" t="s">
        <v>820</v>
      </c>
      <c r="AB2186" s="31">
        <v>3.54470586777</v>
      </c>
      <c r="AC2186" s="38">
        <v>214.0</v>
      </c>
    </row>
    <row r="2187" ht="14.25" customHeight="1">
      <c r="A2187" s="29" t="s">
        <v>554</v>
      </c>
      <c r="B2187" s="29">
        <v>24.0</v>
      </c>
      <c r="C2187" s="29" t="s">
        <v>608</v>
      </c>
      <c r="D2187" s="29" t="s">
        <v>1430</v>
      </c>
      <c r="E2187" s="29">
        <v>80.0</v>
      </c>
      <c r="F2187" s="30" t="s">
        <v>1431</v>
      </c>
      <c r="G2187" s="29" t="s">
        <v>629</v>
      </c>
      <c r="H2187" s="31">
        <v>1.84</v>
      </c>
      <c r="I2187" s="29" t="s">
        <v>657</v>
      </c>
      <c r="J2187" s="32" t="s">
        <v>598</v>
      </c>
      <c r="K2187" s="29" t="s">
        <v>698</v>
      </c>
      <c r="L2187" s="29" t="s">
        <v>912</v>
      </c>
      <c r="M2187" s="33">
        <v>28.824</v>
      </c>
      <c r="N2187" s="33">
        <v>2.174</v>
      </c>
      <c r="O2187" s="34" t="s">
        <v>641</v>
      </c>
      <c r="P2187" s="32" t="s">
        <v>643</v>
      </c>
      <c r="Q2187" s="35">
        <v>61.0</v>
      </c>
      <c r="R2187" s="35">
        <v>62.0</v>
      </c>
      <c r="S2187" s="36">
        <v>0.02</v>
      </c>
      <c r="T2187" s="36">
        <v>0.06</v>
      </c>
      <c r="U2187" s="36">
        <v>0.1414</v>
      </c>
      <c r="V2187" s="36">
        <v>0.2449</v>
      </c>
      <c r="W2187" s="37" t="s">
        <v>1429</v>
      </c>
      <c r="X2187" s="31">
        <v>1.5</v>
      </c>
      <c r="Y2187" s="36">
        <v>-1.0978385942387991</v>
      </c>
      <c r="Z2187" s="36">
        <v>1.0881343123861567</v>
      </c>
      <c r="AA2187" s="29" t="s">
        <v>820</v>
      </c>
      <c r="AB2187" s="31">
        <v>3.54470586777</v>
      </c>
      <c r="AC2187" s="38">
        <v>214.0</v>
      </c>
    </row>
    <row r="2188" ht="14.25" customHeight="1">
      <c r="A2188" s="29" t="s">
        <v>554</v>
      </c>
      <c r="B2188" s="29">
        <v>24.0</v>
      </c>
      <c r="C2188" s="29" t="s">
        <v>608</v>
      </c>
      <c r="D2188" s="29" t="s">
        <v>1282</v>
      </c>
      <c r="E2188" s="29">
        <v>84.0</v>
      </c>
      <c r="F2188" s="30" t="s">
        <v>1283</v>
      </c>
      <c r="G2188" s="29" t="s">
        <v>629</v>
      </c>
      <c r="H2188" s="31">
        <v>2.108</v>
      </c>
      <c r="I2188" s="29" t="s">
        <v>657</v>
      </c>
      <c r="J2188" s="32" t="s">
        <v>598</v>
      </c>
      <c r="K2188" s="29" t="s">
        <v>698</v>
      </c>
      <c r="L2188" s="29" t="s">
        <v>912</v>
      </c>
      <c r="M2188" s="33">
        <v>28.824</v>
      </c>
      <c r="N2188" s="33">
        <v>2.174</v>
      </c>
      <c r="O2188" s="34" t="s">
        <v>641</v>
      </c>
      <c r="P2188" s="32" t="s">
        <v>643</v>
      </c>
      <c r="Q2188" s="35">
        <v>61.0</v>
      </c>
      <c r="R2188" s="35">
        <v>62.0</v>
      </c>
      <c r="S2188" s="36">
        <v>0.13</v>
      </c>
      <c r="T2188" s="36">
        <v>0.11</v>
      </c>
      <c r="U2188" s="36">
        <v>0.3606</v>
      </c>
      <c r="V2188" s="36">
        <v>0.3317</v>
      </c>
      <c r="W2188" s="37" t="s">
        <v>1429</v>
      </c>
      <c r="X2188" s="31">
        <v>1.5</v>
      </c>
      <c r="Y2188" s="36">
        <v>0.1672723667837507</v>
      </c>
      <c r="Z2188" s="36">
        <v>0.2727955386411135</v>
      </c>
      <c r="AA2188" s="29" t="s">
        <v>820</v>
      </c>
      <c r="AB2188" s="31">
        <v>3.54470586777</v>
      </c>
      <c r="AC2188" s="38">
        <v>214.0</v>
      </c>
    </row>
    <row r="2189" ht="14.25" customHeight="1">
      <c r="A2189" s="29" t="s">
        <v>554</v>
      </c>
      <c r="B2189" s="29">
        <v>24.0</v>
      </c>
      <c r="C2189" s="29" t="s">
        <v>608</v>
      </c>
      <c r="D2189" s="29" t="s">
        <v>1251</v>
      </c>
      <c r="E2189" s="29">
        <v>85.0</v>
      </c>
      <c r="F2189" s="30" t="s">
        <v>1252</v>
      </c>
      <c r="G2189" s="29" t="s">
        <v>626</v>
      </c>
      <c r="H2189" s="31">
        <v>10.85</v>
      </c>
      <c r="I2189" s="29" t="s">
        <v>597</v>
      </c>
      <c r="J2189" s="32" t="s">
        <v>598</v>
      </c>
      <c r="K2189" s="29" t="s">
        <v>698</v>
      </c>
      <c r="L2189" s="29" t="s">
        <v>912</v>
      </c>
      <c r="M2189" s="33">
        <v>28.824</v>
      </c>
      <c r="N2189" s="33">
        <v>2.174</v>
      </c>
      <c r="O2189" s="34" t="s">
        <v>641</v>
      </c>
      <c r="P2189" s="32" t="s">
        <v>643</v>
      </c>
      <c r="Q2189" s="35">
        <v>61.0</v>
      </c>
      <c r="R2189" s="35">
        <v>62.0</v>
      </c>
      <c r="S2189" s="36">
        <v>0.29</v>
      </c>
      <c r="T2189" s="36">
        <v>0.06</v>
      </c>
      <c r="U2189" s="36">
        <v>0.5385</v>
      </c>
      <c r="V2189" s="36">
        <v>0.2449</v>
      </c>
      <c r="W2189" s="37" t="s">
        <v>1429</v>
      </c>
      <c r="X2189" s="31">
        <v>1.5</v>
      </c>
      <c r="Y2189" s="36">
        <v>1.5755897382171309</v>
      </c>
      <c r="Z2189" s="36">
        <v>0.32523537474361564</v>
      </c>
      <c r="AA2189" s="29" t="s">
        <v>820</v>
      </c>
      <c r="AB2189" s="31">
        <v>3.54470586777</v>
      </c>
      <c r="AC2189" s="38">
        <v>214.0</v>
      </c>
    </row>
    <row r="2190" ht="14.25" customHeight="1">
      <c r="A2190" s="29" t="s">
        <v>554</v>
      </c>
      <c r="B2190" s="29">
        <v>24.0</v>
      </c>
      <c r="C2190" s="29" t="s">
        <v>608</v>
      </c>
      <c r="D2190" s="29" t="s">
        <v>1432</v>
      </c>
      <c r="E2190" s="29">
        <v>86.0</v>
      </c>
      <c r="F2190" s="30" t="s">
        <v>1433</v>
      </c>
      <c r="G2190" s="29" t="s">
        <v>626</v>
      </c>
      <c r="H2190" s="31">
        <v>188.5</v>
      </c>
      <c r="I2190" s="29" t="s">
        <v>612</v>
      </c>
      <c r="J2190" s="32" t="s">
        <v>598</v>
      </c>
      <c r="K2190" s="29" t="s">
        <v>698</v>
      </c>
      <c r="L2190" s="29" t="s">
        <v>912</v>
      </c>
      <c r="M2190" s="33">
        <v>28.824</v>
      </c>
      <c r="N2190" s="33">
        <v>2.174</v>
      </c>
      <c r="O2190" s="34" t="s">
        <v>641</v>
      </c>
      <c r="P2190" s="32" t="s">
        <v>643</v>
      </c>
      <c r="Q2190" s="35">
        <v>61.0</v>
      </c>
      <c r="R2190" s="35">
        <v>62.0</v>
      </c>
      <c r="S2190" s="36">
        <v>0.02</v>
      </c>
      <c r="T2190" s="36">
        <v>0.24</v>
      </c>
      <c r="U2190" s="36">
        <v>0.1414</v>
      </c>
      <c r="V2190" s="36">
        <v>0.4899</v>
      </c>
      <c r="W2190" s="37" t="s">
        <v>1429</v>
      </c>
      <c r="X2190" s="31">
        <v>1.5</v>
      </c>
      <c r="Y2190" s="36">
        <v>-2.4818154572183273</v>
      </c>
      <c r="Z2190" s="36">
        <v>0.8866294540752246</v>
      </c>
      <c r="AA2190" s="29" t="s">
        <v>820</v>
      </c>
      <c r="AB2190" s="31">
        <v>3.54470586777</v>
      </c>
      <c r="AC2190" s="38">
        <v>214.0</v>
      </c>
    </row>
    <row r="2191" ht="14.25" customHeight="1">
      <c r="A2191" s="29" t="s">
        <v>554</v>
      </c>
      <c r="B2191" s="29">
        <v>24.0</v>
      </c>
      <c r="C2191" s="29" t="s">
        <v>608</v>
      </c>
      <c r="D2191" s="29" t="s">
        <v>751</v>
      </c>
      <c r="E2191" s="29">
        <v>97.0</v>
      </c>
      <c r="F2191" s="30" t="s">
        <v>752</v>
      </c>
      <c r="G2191" s="29" t="s">
        <v>753</v>
      </c>
      <c r="H2191" s="31">
        <v>3940.03</v>
      </c>
      <c r="I2191" s="29" t="s">
        <v>612</v>
      </c>
      <c r="J2191" s="32" t="s">
        <v>598</v>
      </c>
      <c r="K2191" s="29" t="s">
        <v>698</v>
      </c>
      <c r="L2191" s="29" t="s">
        <v>912</v>
      </c>
      <c r="M2191" s="33">
        <v>28.824</v>
      </c>
      <c r="N2191" s="33">
        <v>2.174</v>
      </c>
      <c r="O2191" s="34" t="s">
        <v>641</v>
      </c>
      <c r="P2191" s="32" t="s">
        <v>643</v>
      </c>
      <c r="Q2191" s="35">
        <v>61.0</v>
      </c>
      <c r="R2191" s="35">
        <v>62.0</v>
      </c>
      <c r="S2191" s="36">
        <v>0.0</v>
      </c>
      <c r="T2191" s="36">
        <v>0.02</v>
      </c>
      <c r="U2191" s="36">
        <v>0.0</v>
      </c>
      <c r="V2191" s="36">
        <v>0.1414</v>
      </c>
      <c r="W2191" s="37" t="s">
        <v>1429</v>
      </c>
      <c r="X2191" s="31">
        <v>1.5</v>
      </c>
      <c r="Y2191" s="36">
        <v>-8.262558973010657</v>
      </c>
      <c r="Z2191" s="36">
        <v>0.0409325937014009</v>
      </c>
      <c r="AA2191" s="29" t="s">
        <v>820</v>
      </c>
      <c r="AB2191" s="31">
        <v>3.54470586777</v>
      </c>
      <c r="AC2191" s="38">
        <v>214.0</v>
      </c>
    </row>
    <row r="2192" ht="14.25" customHeight="1">
      <c r="A2192" s="29" t="s">
        <v>554</v>
      </c>
      <c r="B2192" s="29">
        <v>24.0</v>
      </c>
      <c r="C2192" s="29" t="s">
        <v>608</v>
      </c>
      <c r="D2192" s="29" t="s">
        <v>1434</v>
      </c>
      <c r="E2192" s="29">
        <v>112.0</v>
      </c>
      <c r="F2192" s="30" t="s">
        <v>1435</v>
      </c>
      <c r="G2192" s="29" t="s">
        <v>626</v>
      </c>
      <c r="H2192" s="31">
        <v>3.0</v>
      </c>
      <c r="I2192" s="29" t="s">
        <v>612</v>
      </c>
      <c r="J2192" s="32" t="s">
        <v>598</v>
      </c>
      <c r="K2192" s="29" t="s">
        <v>698</v>
      </c>
      <c r="L2192" s="29" t="s">
        <v>912</v>
      </c>
      <c r="M2192" s="33">
        <v>28.824</v>
      </c>
      <c r="N2192" s="33">
        <v>2.174</v>
      </c>
      <c r="O2192" s="34" t="s">
        <v>641</v>
      </c>
      <c r="P2192" s="32" t="s">
        <v>643</v>
      </c>
      <c r="Q2192" s="35">
        <v>61.0</v>
      </c>
      <c r="R2192" s="35">
        <v>62.0</v>
      </c>
      <c r="S2192" s="36">
        <v>1.49</v>
      </c>
      <c r="T2192" s="36">
        <v>1.55</v>
      </c>
      <c r="U2192" s="36">
        <v>1.2207</v>
      </c>
      <c r="V2192" s="36">
        <v>1.245</v>
      </c>
      <c r="W2192" s="37" t="s">
        <v>1429</v>
      </c>
      <c r="X2192" s="31">
        <v>1.5</v>
      </c>
      <c r="Y2192" s="36">
        <v>-0.039210459868518205</v>
      </c>
      <c r="Z2192" s="36">
        <v>0.021409106685510063</v>
      </c>
      <c r="AA2192" s="29" t="s">
        <v>820</v>
      </c>
      <c r="AB2192" s="31">
        <v>3.54470586777</v>
      </c>
      <c r="AC2192" s="38">
        <v>214.0</v>
      </c>
    </row>
    <row r="2193" ht="14.25" customHeight="1">
      <c r="A2193" s="29" t="s">
        <v>554</v>
      </c>
      <c r="B2193" s="29">
        <v>24.0</v>
      </c>
      <c r="C2193" s="29" t="s">
        <v>608</v>
      </c>
      <c r="D2193" s="29" t="s">
        <v>1436</v>
      </c>
      <c r="E2193" s="29">
        <v>118.0</v>
      </c>
      <c r="F2193" s="30" t="s">
        <v>1437</v>
      </c>
      <c r="G2193" s="29" t="s">
        <v>626</v>
      </c>
      <c r="H2193" s="31">
        <v>230.0</v>
      </c>
      <c r="I2193" s="29" t="s">
        <v>612</v>
      </c>
      <c r="J2193" s="32" t="s">
        <v>598</v>
      </c>
      <c r="K2193" s="29" t="s">
        <v>698</v>
      </c>
      <c r="L2193" s="29" t="s">
        <v>912</v>
      </c>
      <c r="M2193" s="33">
        <v>28.824</v>
      </c>
      <c r="N2193" s="33">
        <v>2.174</v>
      </c>
      <c r="O2193" s="34" t="s">
        <v>641</v>
      </c>
      <c r="P2193" s="32" t="s">
        <v>643</v>
      </c>
      <c r="Q2193" s="35">
        <v>61.0</v>
      </c>
      <c r="R2193" s="35">
        <v>62.0</v>
      </c>
      <c r="S2193" s="36">
        <v>0.0</v>
      </c>
      <c r="T2193" s="36">
        <v>0.74</v>
      </c>
      <c r="U2193" s="36">
        <v>0.0</v>
      </c>
      <c r="V2193" s="36">
        <v>0.8602</v>
      </c>
      <c r="W2193" s="37" t="s">
        <v>1429</v>
      </c>
      <c r="X2193" s="31">
        <v>1.5</v>
      </c>
      <c r="Y2193" s="36">
        <v>-8.262558973010657</v>
      </c>
      <c r="Z2193" s="36">
        <v>0.03580098223222879</v>
      </c>
      <c r="AA2193" s="29" t="s">
        <v>820</v>
      </c>
      <c r="AB2193" s="31">
        <v>3.54470586777</v>
      </c>
      <c r="AC2193" s="38">
        <v>214.0</v>
      </c>
    </row>
    <row r="2194" ht="14.25" customHeight="1">
      <c r="A2194" s="29" t="s">
        <v>554</v>
      </c>
      <c r="B2194" s="29">
        <v>24.0</v>
      </c>
      <c r="C2194" s="29" t="s">
        <v>608</v>
      </c>
      <c r="D2194" s="35" t="s">
        <v>947</v>
      </c>
      <c r="E2194" s="29">
        <v>121.0</v>
      </c>
      <c r="F2194" s="30" t="s">
        <v>948</v>
      </c>
      <c r="G2194" s="29" t="s">
        <v>611</v>
      </c>
      <c r="H2194" s="31">
        <v>42.5</v>
      </c>
      <c r="I2194" s="29" t="s">
        <v>597</v>
      </c>
      <c r="J2194" s="32" t="s">
        <v>598</v>
      </c>
      <c r="K2194" s="29" t="s">
        <v>698</v>
      </c>
      <c r="L2194" s="29" t="s">
        <v>912</v>
      </c>
      <c r="M2194" s="33">
        <v>28.824</v>
      </c>
      <c r="N2194" s="33">
        <v>2.174</v>
      </c>
      <c r="O2194" s="34" t="s">
        <v>641</v>
      </c>
      <c r="P2194" s="32" t="s">
        <v>643</v>
      </c>
      <c r="Q2194" s="35">
        <v>61.0</v>
      </c>
      <c r="R2194" s="35">
        <v>62.0</v>
      </c>
      <c r="S2194" s="36">
        <v>0.13</v>
      </c>
      <c r="T2194" s="36">
        <v>0.19</v>
      </c>
      <c r="U2194" s="36">
        <v>0.3606</v>
      </c>
      <c r="V2194" s="36">
        <v>0.4359</v>
      </c>
      <c r="W2194" s="37" t="s">
        <v>1429</v>
      </c>
      <c r="X2194" s="31">
        <v>1.5</v>
      </c>
      <c r="Y2194" s="36">
        <v>-0.37911261887291725</v>
      </c>
      <c r="Z2194" s="36">
        <v>0.2110283745016892</v>
      </c>
      <c r="AA2194" s="29" t="s">
        <v>820</v>
      </c>
      <c r="AB2194" s="31">
        <v>3.54470586777</v>
      </c>
      <c r="AC2194" s="38">
        <v>214.0</v>
      </c>
    </row>
    <row r="2195" ht="14.25" customHeight="1">
      <c r="A2195" s="29" t="s">
        <v>554</v>
      </c>
      <c r="B2195" s="29">
        <v>24.0</v>
      </c>
      <c r="C2195" s="29" t="s">
        <v>608</v>
      </c>
      <c r="D2195" s="29" t="s">
        <v>758</v>
      </c>
      <c r="E2195" s="29">
        <v>123.0</v>
      </c>
      <c r="F2195" s="30" t="s">
        <v>759</v>
      </c>
      <c r="G2195" s="29" t="s">
        <v>629</v>
      </c>
      <c r="H2195" s="31">
        <v>52.04</v>
      </c>
      <c r="I2195" s="29" t="s">
        <v>657</v>
      </c>
      <c r="J2195" s="32" t="s">
        <v>598</v>
      </c>
      <c r="K2195" s="29" t="s">
        <v>698</v>
      </c>
      <c r="L2195" s="29" t="s">
        <v>912</v>
      </c>
      <c r="M2195" s="33">
        <v>28.824</v>
      </c>
      <c r="N2195" s="33">
        <v>2.174</v>
      </c>
      <c r="O2195" s="34" t="s">
        <v>641</v>
      </c>
      <c r="P2195" s="32" t="s">
        <v>643</v>
      </c>
      <c r="Q2195" s="35">
        <v>61.0</v>
      </c>
      <c r="R2195" s="35">
        <v>62.0</v>
      </c>
      <c r="S2195" s="36">
        <v>0.07</v>
      </c>
      <c r="T2195" s="36">
        <v>0.31</v>
      </c>
      <c r="U2195" s="36">
        <v>0.2646</v>
      </c>
      <c r="V2195" s="36">
        <v>0.5568</v>
      </c>
      <c r="W2195" s="37" t="s">
        <v>1429</v>
      </c>
      <c r="X2195" s="31">
        <v>1.5</v>
      </c>
      <c r="Y2195" s="36">
        <v>-1.486935145369291</v>
      </c>
      <c r="Z2195" s="36">
        <v>0.2862696059047429</v>
      </c>
      <c r="AA2195" s="29" t="s">
        <v>820</v>
      </c>
      <c r="AB2195" s="31">
        <v>3.54470586777</v>
      </c>
      <c r="AC2195" s="38">
        <v>214.0</v>
      </c>
    </row>
    <row r="2196" ht="14.25" customHeight="1">
      <c r="A2196" s="29" t="s">
        <v>554</v>
      </c>
      <c r="B2196" s="29">
        <v>24.0</v>
      </c>
      <c r="C2196" s="29" t="s">
        <v>608</v>
      </c>
      <c r="D2196" s="29" t="s">
        <v>1438</v>
      </c>
      <c r="E2196" s="29">
        <v>125.0</v>
      </c>
      <c r="F2196" s="30" t="s">
        <v>1439</v>
      </c>
      <c r="G2196" s="29" t="s">
        <v>611</v>
      </c>
      <c r="H2196" s="31">
        <v>17.73</v>
      </c>
      <c r="I2196" s="29" t="s">
        <v>616</v>
      </c>
      <c r="J2196" s="32" t="s">
        <v>598</v>
      </c>
      <c r="K2196" s="29" t="s">
        <v>698</v>
      </c>
      <c r="L2196" s="29" t="s">
        <v>912</v>
      </c>
      <c r="M2196" s="33">
        <v>28.824</v>
      </c>
      <c r="N2196" s="33">
        <v>2.174</v>
      </c>
      <c r="O2196" s="34" t="s">
        <v>641</v>
      </c>
      <c r="P2196" s="32" t="s">
        <v>643</v>
      </c>
      <c r="Q2196" s="35">
        <v>61.0</v>
      </c>
      <c r="R2196" s="35">
        <v>62.0</v>
      </c>
      <c r="S2196" s="36">
        <v>0.33</v>
      </c>
      <c r="T2196" s="36">
        <v>0.02</v>
      </c>
      <c r="U2196" s="36">
        <v>0.5745</v>
      </c>
      <c r="V2196" s="36">
        <v>0.1414</v>
      </c>
      <c r="W2196" s="37" t="s">
        <v>1429</v>
      </c>
      <c r="X2196" s="31">
        <v>1.5</v>
      </c>
      <c r="Y2196" s="36">
        <v>2.8033760170228366</v>
      </c>
      <c r="Z2196" s="36">
        <v>0.8558927278408817</v>
      </c>
      <c r="AA2196" s="29" t="s">
        <v>820</v>
      </c>
      <c r="AB2196" s="31">
        <v>3.54470586777</v>
      </c>
      <c r="AC2196" s="38">
        <v>214.0</v>
      </c>
    </row>
    <row r="2197" ht="14.25" customHeight="1">
      <c r="A2197" s="29" t="s">
        <v>554</v>
      </c>
      <c r="B2197" s="29">
        <v>24.0</v>
      </c>
      <c r="C2197" s="29" t="s">
        <v>608</v>
      </c>
      <c r="D2197" s="29" t="s">
        <v>781</v>
      </c>
      <c r="E2197" s="29">
        <v>136.0</v>
      </c>
      <c r="F2197" s="30" t="s">
        <v>782</v>
      </c>
      <c r="G2197" s="29" t="s">
        <v>626</v>
      </c>
      <c r="H2197" s="31">
        <v>4.9</v>
      </c>
      <c r="I2197" s="29" t="s">
        <v>597</v>
      </c>
      <c r="J2197" s="32" t="s">
        <v>598</v>
      </c>
      <c r="K2197" s="29" t="s">
        <v>698</v>
      </c>
      <c r="L2197" s="29" t="s">
        <v>912</v>
      </c>
      <c r="M2197" s="33">
        <v>28.824</v>
      </c>
      <c r="N2197" s="33">
        <v>2.174</v>
      </c>
      <c r="O2197" s="34" t="s">
        <v>641</v>
      </c>
      <c r="P2197" s="32" t="s">
        <v>643</v>
      </c>
      <c r="Q2197" s="35">
        <v>61.0</v>
      </c>
      <c r="R2197" s="35">
        <v>62.0</v>
      </c>
      <c r="S2197" s="36">
        <v>3.36</v>
      </c>
      <c r="T2197" s="36">
        <v>5.01</v>
      </c>
      <c r="U2197" s="36">
        <v>1.833</v>
      </c>
      <c r="V2197" s="36">
        <v>2.2383</v>
      </c>
      <c r="W2197" s="37" t="s">
        <v>1429</v>
      </c>
      <c r="X2197" s="31">
        <v>1.5</v>
      </c>
      <c r="Y2197" s="36">
        <v>-0.3991103217461518</v>
      </c>
      <c r="Z2197" s="36">
        <v>0.008098198891211394</v>
      </c>
      <c r="AA2197" s="29" t="s">
        <v>820</v>
      </c>
      <c r="AB2197" s="31">
        <v>3.54470586777</v>
      </c>
      <c r="AC2197" s="38">
        <v>214.0</v>
      </c>
    </row>
    <row r="2198" ht="14.25" customHeight="1">
      <c r="A2198" s="29" t="s">
        <v>554</v>
      </c>
      <c r="B2198" s="29">
        <v>24.0</v>
      </c>
      <c r="C2198" s="29" t="s">
        <v>608</v>
      </c>
      <c r="D2198" s="29" t="s">
        <v>1195</v>
      </c>
      <c r="E2198" s="29">
        <v>148.0</v>
      </c>
      <c r="F2198" s="30" t="s">
        <v>1196</v>
      </c>
      <c r="G2198" s="29" t="s">
        <v>626</v>
      </c>
      <c r="H2198" s="31">
        <v>70.0</v>
      </c>
      <c r="I2198" s="29" t="s">
        <v>616</v>
      </c>
      <c r="J2198" s="32" t="s">
        <v>598</v>
      </c>
      <c r="K2198" s="29" t="s">
        <v>698</v>
      </c>
      <c r="L2198" s="29" t="s">
        <v>912</v>
      </c>
      <c r="M2198" s="33">
        <v>28.824</v>
      </c>
      <c r="N2198" s="33">
        <v>2.174</v>
      </c>
      <c r="O2198" s="34" t="s">
        <v>641</v>
      </c>
      <c r="P2198" s="32" t="s">
        <v>643</v>
      </c>
      <c r="Q2198" s="35">
        <v>61.0</v>
      </c>
      <c r="R2198" s="35">
        <v>62.0</v>
      </c>
      <c r="S2198" s="36">
        <v>2.1</v>
      </c>
      <c r="T2198" s="36">
        <v>1.0</v>
      </c>
      <c r="U2198" s="36">
        <v>1.4491</v>
      </c>
      <c r="V2198" s="36">
        <v>1.0</v>
      </c>
      <c r="W2198" s="37" t="s">
        <v>1429</v>
      </c>
      <c r="X2198" s="31">
        <v>1.5</v>
      </c>
      <c r="Y2198" s="36">
        <v>0.7420601933431852</v>
      </c>
      <c r="Z2198" s="36">
        <v>0.023935027611397108</v>
      </c>
      <c r="AA2198" s="29" t="s">
        <v>820</v>
      </c>
      <c r="AB2198" s="31">
        <v>3.54470586777</v>
      </c>
      <c r="AC2198" s="38">
        <v>214.0</v>
      </c>
    </row>
    <row r="2199" ht="14.25" customHeight="1">
      <c r="A2199" s="29" t="s">
        <v>554</v>
      </c>
      <c r="B2199" s="29">
        <v>24.0</v>
      </c>
      <c r="C2199" s="29" t="s">
        <v>608</v>
      </c>
      <c r="D2199" s="29" t="s">
        <v>1440</v>
      </c>
      <c r="E2199" s="29">
        <v>178.0</v>
      </c>
      <c r="F2199" s="30" t="s">
        <v>1441</v>
      </c>
      <c r="G2199" s="29" t="s">
        <v>1442</v>
      </c>
      <c r="H2199" s="31">
        <v>32.99</v>
      </c>
      <c r="I2199" s="29" t="s">
        <v>620</v>
      </c>
      <c r="J2199" s="32" t="s">
        <v>598</v>
      </c>
      <c r="K2199" s="29" t="s">
        <v>698</v>
      </c>
      <c r="L2199" s="29" t="s">
        <v>912</v>
      </c>
      <c r="M2199" s="33">
        <v>28.824</v>
      </c>
      <c r="N2199" s="33">
        <v>2.174</v>
      </c>
      <c r="O2199" s="34" t="s">
        <v>641</v>
      </c>
      <c r="P2199" s="32" t="s">
        <v>643</v>
      </c>
      <c r="Q2199" s="35">
        <v>61.0</v>
      </c>
      <c r="R2199" s="35">
        <v>62.0</v>
      </c>
      <c r="S2199" s="36">
        <v>0.0</v>
      </c>
      <c r="T2199" s="36">
        <v>0.03</v>
      </c>
      <c r="U2199" s="36">
        <v>0.0</v>
      </c>
      <c r="V2199" s="36">
        <v>0.1732</v>
      </c>
      <c r="W2199" s="37" t="s">
        <v>1429</v>
      </c>
      <c r="X2199" s="31">
        <v>1.5</v>
      </c>
      <c r="Y2199" s="36">
        <v>-8.262558973010657</v>
      </c>
      <c r="Z2199" s="36">
        <v>0.042415689088803665</v>
      </c>
      <c r="AA2199" s="29" t="s">
        <v>820</v>
      </c>
      <c r="AB2199" s="31">
        <v>3.54470586777</v>
      </c>
      <c r="AC2199" s="38">
        <v>214.0</v>
      </c>
    </row>
    <row r="2200" ht="14.25" customHeight="1">
      <c r="A2200" s="29" t="s">
        <v>554</v>
      </c>
      <c r="B2200" s="29">
        <v>24.0</v>
      </c>
      <c r="C2200" s="29" t="s">
        <v>608</v>
      </c>
      <c r="D2200" s="29" t="s">
        <v>771</v>
      </c>
      <c r="E2200" s="29">
        <v>184.0</v>
      </c>
      <c r="F2200" s="30" t="s">
        <v>772</v>
      </c>
      <c r="G2200" s="29" t="s">
        <v>626</v>
      </c>
      <c r="H2200" s="31">
        <v>580.0</v>
      </c>
      <c r="I2200" s="29" t="s">
        <v>612</v>
      </c>
      <c r="J2200" s="32" t="s">
        <v>598</v>
      </c>
      <c r="K2200" s="29" t="s">
        <v>698</v>
      </c>
      <c r="L2200" s="29" t="s">
        <v>912</v>
      </c>
      <c r="M2200" s="33">
        <v>28.824</v>
      </c>
      <c r="N2200" s="33">
        <v>2.174</v>
      </c>
      <c r="O2200" s="34" t="s">
        <v>641</v>
      </c>
      <c r="P2200" s="32" t="s">
        <v>643</v>
      </c>
      <c r="Q2200" s="35">
        <v>61.0</v>
      </c>
      <c r="R2200" s="35">
        <v>62.0</v>
      </c>
      <c r="S2200" s="36">
        <v>0.0</v>
      </c>
      <c r="T2200" s="36">
        <v>0.03</v>
      </c>
      <c r="U2200" s="36">
        <v>0.0</v>
      </c>
      <c r="V2200" s="36">
        <v>0.1732</v>
      </c>
      <c r="W2200" s="37" t="s">
        <v>1429</v>
      </c>
      <c r="X2200" s="31">
        <v>1.5</v>
      </c>
      <c r="Y2200" s="36">
        <v>-8.262558973010657</v>
      </c>
      <c r="Z2200" s="36">
        <v>0.042415689088803665</v>
      </c>
      <c r="AA2200" s="29" t="s">
        <v>820</v>
      </c>
      <c r="AB2200" s="31">
        <v>3.54470586777</v>
      </c>
      <c r="AC2200" s="38">
        <v>214.0</v>
      </c>
    </row>
    <row r="2201" ht="14.25" customHeight="1">
      <c r="A2201" s="29" t="s">
        <v>521</v>
      </c>
      <c r="B2201" s="29">
        <v>100.0</v>
      </c>
      <c r="C2201" s="29" t="s">
        <v>608</v>
      </c>
      <c r="D2201" s="29" t="s">
        <v>955</v>
      </c>
      <c r="E2201" s="29">
        <v>3.0</v>
      </c>
      <c r="F2201" s="30" t="s">
        <v>956</v>
      </c>
      <c r="G2201" s="29" t="s">
        <v>611</v>
      </c>
      <c r="H2201" s="31">
        <v>7.27</v>
      </c>
      <c r="I2201" s="29" t="s">
        <v>612</v>
      </c>
      <c r="J2201" s="32" t="s">
        <v>642</v>
      </c>
      <c r="K2201" s="29" t="s">
        <v>840</v>
      </c>
      <c r="L2201" s="29" t="s">
        <v>1147</v>
      </c>
      <c r="M2201" s="33">
        <v>-79.784</v>
      </c>
      <c r="N2201" s="33">
        <v>9.186</v>
      </c>
      <c r="O2201" s="34" t="s">
        <v>601</v>
      </c>
      <c r="P2201" s="32" t="s">
        <v>602</v>
      </c>
      <c r="Q2201" s="35">
        <v>18.0</v>
      </c>
      <c r="R2201" s="35">
        <v>17.0</v>
      </c>
      <c r="S2201" s="36">
        <v>0.325842697</v>
      </c>
      <c r="T2201" s="36">
        <v>0.747126437</v>
      </c>
      <c r="U2201" s="36">
        <v>0.570826328</v>
      </c>
      <c r="V2201" s="36">
        <v>0.864364759</v>
      </c>
      <c r="W2201" s="37" t="s">
        <v>780</v>
      </c>
      <c r="X2201" s="31">
        <v>5.3</v>
      </c>
      <c r="Y2201" s="36">
        <v>-0.8292283002195642</v>
      </c>
      <c r="Z2201" s="36">
        <v>0.24923111556922167</v>
      </c>
      <c r="AA2201" s="29" t="s">
        <v>820</v>
      </c>
      <c r="AB2201" s="31">
        <v>2.06895089149</v>
      </c>
      <c r="AC2201" s="38">
        <v>35.0</v>
      </c>
    </row>
    <row r="2202" ht="14.25" customHeight="1">
      <c r="A2202" s="29" t="s">
        <v>521</v>
      </c>
      <c r="B2202" s="29">
        <v>100.0</v>
      </c>
      <c r="C2202" s="29" t="s">
        <v>608</v>
      </c>
      <c r="D2202" s="29" t="s">
        <v>959</v>
      </c>
      <c r="E2202" s="29">
        <v>31.0</v>
      </c>
      <c r="F2202" s="30" t="s">
        <v>960</v>
      </c>
      <c r="G2202" s="29" t="s">
        <v>611</v>
      </c>
      <c r="H2202" s="31">
        <v>2.73</v>
      </c>
      <c r="I2202" s="29" t="s">
        <v>616</v>
      </c>
      <c r="J2202" s="32" t="s">
        <v>642</v>
      </c>
      <c r="K2202" s="29" t="s">
        <v>840</v>
      </c>
      <c r="L2202" s="29" t="s">
        <v>1147</v>
      </c>
      <c r="M2202" s="33">
        <v>-79.784</v>
      </c>
      <c r="N2202" s="33">
        <v>9.186</v>
      </c>
      <c r="O2202" s="34" t="s">
        <v>601</v>
      </c>
      <c r="P2202" s="32" t="s">
        <v>602</v>
      </c>
      <c r="Q2202" s="35">
        <v>18.0</v>
      </c>
      <c r="R2202" s="35">
        <v>17.0</v>
      </c>
      <c r="S2202" s="36">
        <v>0.112359551</v>
      </c>
      <c r="T2202" s="36">
        <v>0.24137931</v>
      </c>
      <c r="U2202" s="36">
        <v>0.335200762</v>
      </c>
      <c r="V2202" s="36">
        <v>0.491303684</v>
      </c>
      <c r="W2202" s="37" t="s">
        <v>780</v>
      </c>
      <c r="X2202" s="31">
        <v>5.3</v>
      </c>
      <c r="Y2202" s="36">
        <v>-0.7641114932831159</v>
      </c>
      <c r="Z2202" s="36">
        <v>0.7381419210865623</v>
      </c>
      <c r="AA2202" s="29" t="s">
        <v>820</v>
      </c>
      <c r="AB2202" s="31">
        <v>2.06895089149</v>
      </c>
      <c r="AC2202" s="38">
        <v>35.0</v>
      </c>
    </row>
    <row r="2203" ht="14.25" customHeight="1">
      <c r="A2203" s="29" t="s">
        <v>521</v>
      </c>
      <c r="B2203" s="29">
        <v>100.0</v>
      </c>
      <c r="C2203" s="29" t="s">
        <v>608</v>
      </c>
      <c r="D2203" s="29" t="s">
        <v>961</v>
      </c>
      <c r="E2203" s="29">
        <v>73.0</v>
      </c>
      <c r="F2203" s="30" t="s">
        <v>962</v>
      </c>
      <c r="G2203" s="29" t="s">
        <v>615</v>
      </c>
      <c r="H2203" s="31">
        <v>2.67</v>
      </c>
      <c r="I2203" s="29" t="s">
        <v>616</v>
      </c>
      <c r="J2203" s="32" t="s">
        <v>642</v>
      </c>
      <c r="K2203" s="29" t="s">
        <v>840</v>
      </c>
      <c r="L2203" s="29" t="s">
        <v>1147</v>
      </c>
      <c r="M2203" s="33">
        <v>-79.784</v>
      </c>
      <c r="N2203" s="33">
        <v>9.186</v>
      </c>
      <c r="O2203" s="34" t="s">
        <v>601</v>
      </c>
      <c r="P2203" s="32" t="s">
        <v>602</v>
      </c>
      <c r="Q2203" s="35">
        <v>18.0</v>
      </c>
      <c r="R2203" s="35">
        <v>17.0</v>
      </c>
      <c r="S2203" s="36">
        <v>24.8555</v>
      </c>
      <c r="T2203" s="36">
        <v>98.8439</v>
      </c>
      <c r="U2203" s="36">
        <v>4.985529059</v>
      </c>
      <c r="V2203" s="36">
        <v>9.942026956</v>
      </c>
      <c r="W2203" s="37" t="s">
        <v>623</v>
      </c>
      <c r="X2203" s="31">
        <v>5.3</v>
      </c>
      <c r="Y2203" s="36">
        <v>-1.3794373168833725</v>
      </c>
      <c r="Z2203" s="36">
        <v>0.0028302567624866517</v>
      </c>
      <c r="AA2203" s="29" t="s">
        <v>820</v>
      </c>
      <c r="AB2203" s="31">
        <v>2.06895089149</v>
      </c>
      <c r="AC2203" s="38">
        <v>35.0</v>
      </c>
    </row>
    <row r="2204" ht="14.25" customHeight="1">
      <c r="A2204" s="29" t="s">
        <v>521</v>
      </c>
      <c r="B2204" s="29">
        <v>100.0</v>
      </c>
      <c r="C2204" s="29" t="s">
        <v>608</v>
      </c>
      <c r="D2204" s="29" t="s">
        <v>973</v>
      </c>
      <c r="E2204" s="29">
        <v>243.0</v>
      </c>
      <c r="F2204" s="30" t="s">
        <v>974</v>
      </c>
      <c r="G2204" s="29" t="s">
        <v>656</v>
      </c>
      <c r="H2204" s="31">
        <v>1.09</v>
      </c>
      <c r="I2204" s="29" t="s">
        <v>657</v>
      </c>
      <c r="J2204" s="32" t="s">
        <v>642</v>
      </c>
      <c r="K2204" s="29" t="s">
        <v>840</v>
      </c>
      <c r="L2204" s="29" t="s">
        <v>1147</v>
      </c>
      <c r="M2204" s="33">
        <v>-79.784</v>
      </c>
      <c r="N2204" s="33">
        <v>9.186</v>
      </c>
      <c r="O2204" s="34" t="s">
        <v>601</v>
      </c>
      <c r="P2204" s="32" t="s">
        <v>602</v>
      </c>
      <c r="Q2204" s="35">
        <v>18.0</v>
      </c>
      <c r="R2204" s="35">
        <v>17.0</v>
      </c>
      <c r="S2204" s="36">
        <v>0.13125</v>
      </c>
      <c r="T2204" s="36">
        <v>0.478</v>
      </c>
      <c r="U2204" s="36">
        <v>0.362284419</v>
      </c>
      <c r="V2204" s="36">
        <v>0.691375441</v>
      </c>
      <c r="W2204" s="37" t="s">
        <v>1162</v>
      </c>
      <c r="X2204" s="31">
        <v>5.3</v>
      </c>
      <c r="Y2204" s="36">
        <v>-1.2915676682594213</v>
      </c>
      <c r="Z2204" s="36">
        <v>0.5463422012068726</v>
      </c>
      <c r="AA2204" s="29" t="s">
        <v>820</v>
      </c>
      <c r="AB2204" s="31">
        <v>2.06895089149</v>
      </c>
      <c r="AC2204" s="38">
        <v>35.0</v>
      </c>
    </row>
    <row r="2205" ht="14.25" customHeight="1">
      <c r="A2205" s="29" t="s">
        <v>521</v>
      </c>
      <c r="B2205" s="29">
        <v>100.0</v>
      </c>
      <c r="C2205" s="29" t="s">
        <v>608</v>
      </c>
      <c r="D2205" s="29" t="s">
        <v>1443</v>
      </c>
      <c r="E2205" s="29">
        <v>279.0</v>
      </c>
      <c r="F2205" s="30" t="s">
        <v>1444</v>
      </c>
      <c r="G2205" s="29" t="s">
        <v>626</v>
      </c>
      <c r="H2205" s="31">
        <f>AVERAGE(22.8,55.508)</f>
        <v>39.154</v>
      </c>
      <c r="I2205" s="29" t="s">
        <v>612</v>
      </c>
      <c r="J2205" s="32" t="s">
        <v>642</v>
      </c>
      <c r="K2205" s="29" t="s">
        <v>840</v>
      </c>
      <c r="L2205" s="29" t="s">
        <v>1147</v>
      </c>
      <c r="M2205" s="33">
        <v>-79.784</v>
      </c>
      <c r="N2205" s="33">
        <v>9.186</v>
      </c>
      <c r="O2205" s="34" t="s">
        <v>601</v>
      </c>
      <c r="P2205" s="32" t="s">
        <v>602</v>
      </c>
      <c r="Q2205" s="35">
        <v>18.0</v>
      </c>
      <c r="R2205" s="35">
        <v>17.0</v>
      </c>
      <c r="S2205" s="36">
        <v>0.710983</v>
      </c>
      <c r="T2205" s="36">
        <v>2.4104</v>
      </c>
      <c r="U2205" s="36">
        <v>0.843198079</v>
      </c>
      <c r="V2205" s="36">
        <v>1.552546296</v>
      </c>
      <c r="W2205" s="37" t="s">
        <v>780</v>
      </c>
      <c r="X2205" s="31">
        <v>5.3</v>
      </c>
      <c r="Y2205" s="36">
        <v>-1.2200251767570514</v>
      </c>
      <c r="Z2205" s="36">
        <v>0.10254313032782669</v>
      </c>
      <c r="AA2205" s="29" t="s">
        <v>820</v>
      </c>
      <c r="AB2205" s="31">
        <v>2.06895089149</v>
      </c>
      <c r="AC2205" s="38">
        <v>35.0</v>
      </c>
    </row>
    <row r="2206" ht="14.25" customHeight="1">
      <c r="A2206" s="29" t="s">
        <v>521</v>
      </c>
      <c r="B2206" s="29">
        <v>100.0</v>
      </c>
      <c r="C2206" s="29" t="s">
        <v>608</v>
      </c>
      <c r="D2206" s="29" t="s">
        <v>853</v>
      </c>
      <c r="E2206" s="29">
        <v>110.0</v>
      </c>
      <c r="F2206" s="30" t="s">
        <v>854</v>
      </c>
      <c r="G2206" s="29" t="s">
        <v>629</v>
      </c>
      <c r="H2206" s="31">
        <v>4.03</v>
      </c>
      <c r="I2206" s="29" t="s">
        <v>597</v>
      </c>
      <c r="J2206" s="32" t="s">
        <v>642</v>
      </c>
      <c r="K2206" s="29" t="s">
        <v>840</v>
      </c>
      <c r="L2206" s="29" t="s">
        <v>1147</v>
      </c>
      <c r="M2206" s="33">
        <v>-79.784</v>
      </c>
      <c r="N2206" s="33">
        <v>9.186</v>
      </c>
      <c r="O2206" s="34" t="s">
        <v>601</v>
      </c>
      <c r="P2206" s="32" t="s">
        <v>602</v>
      </c>
      <c r="Q2206" s="35">
        <v>18.0</v>
      </c>
      <c r="R2206" s="35">
        <v>17.0</v>
      </c>
      <c r="S2206" s="36">
        <v>2.42775</v>
      </c>
      <c r="T2206" s="36">
        <v>56.8786</v>
      </c>
      <c r="U2206" s="36">
        <v>1.558123872</v>
      </c>
      <c r="V2206" s="36">
        <v>7.541790238</v>
      </c>
      <c r="W2206" s="37" t="s">
        <v>623</v>
      </c>
      <c r="X2206" s="31">
        <v>5.3</v>
      </c>
      <c r="Y2206" s="36">
        <v>-3.147927953325714</v>
      </c>
      <c r="Z2206" s="36">
        <v>0.02391775142136513</v>
      </c>
      <c r="AA2206" s="29" t="s">
        <v>820</v>
      </c>
      <c r="AB2206" s="31">
        <v>2.06895089149</v>
      </c>
      <c r="AC2206" s="38">
        <v>35.0</v>
      </c>
    </row>
    <row r="2207" ht="14.25" customHeight="1">
      <c r="A2207" s="29" t="s">
        <v>521</v>
      </c>
      <c r="B2207" s="29">
        <v>100.0</v>
      </c>
      <c r="C2207" s="29" t="s">
        <v>608</v>
      </c>
      <c r="D2207" s="29" t="s">
        <v>630</v>
      </c>
      <c r="E2207" s="29">
        <v>129.0</v>
      </c>
      <c r="F2207" s="30" t="s">
        <v>631</v>
      </c>
      <c r="G2207" s="29" t="s">
        <v>626</v>
      </c>
      <c r="H2207" s="31">
        <v>21.27</v>
      </c>
      <c r="I2207" s="29" t="s">
        <v>612</v>
      </c>
      <c r="J2207" s="32" t="s">
        <v>642</v>
      </c>
      <c r="K2207" s="29" t="s">
        <v>840</v>
      </c>
      <c r="L2207" s="29" t="s">
        <v>1147</v>
      </c>
      <c r="M2207" s="33">
        <v>-79.784</v>
      </c>
      <c r="N2207" s="33">
        <v>9.186</v>
      </c>
      <c r="O2207" s="34" t="s">
        <v>601</v>
      </c>
      <c r="P2207" s="32" t="s">
        <v>602</v>
      </c>
      <c r="Q2207" s="35">
        <v>18.0</v>
      </c>
      <c r="R2207" s="35">
        <v>17.0</v>
      </c>
      <c r="S2207" s="36">
        <v>0.566474</v>
      </c>
      <c r="T2207" s="36">
        <v>6.838</v>
      </c>
      <c r="U2207" s="36">
        <v>0.75264467</v>
      </c>
      <c r="V2207" s="36">
        <v>2.614956979</v>
      </c>
      <c r="W2207" s="37" t="s">
        <v>623</v>
      </c>
      <c r="X2207" s="31">
        <v>5.3</v>
      </c>
      <c r="Y2207" s="36">
        <v>-2.487709890988367</v>
      </c>
      <c r="Z2207" s="36">
        <v>0.10667500677037828</v>
      </c>
      <c r="AA2207" s="29" t="s">
        <v>820</v>
      </c>
      <c r="AB2207" s="31">
        <v>2.06895089149</v>
      </c>
      <c r="AC2207" s="38">
        <v>35.0</v>
      </c>
    </row>
    <row r="2208" ht="14.25" customHeight="1">
      <c r="A2208" s="29" t="s">
        <v>521</v>
      </c>
      <c r="B2208" s="29">
        <v>100.0</v>
      </c>
      <c r="C2208" s="29" t="s">
        <v>608</v>
      </c>
      <c r="D2208" s="29" t="s">
        <v>1445</v>
      </c>
      <c r="E2208" s="29">
        <v>284.0</v>
      </c>
      <c r="F2208" s="30" t="s">
        <v>1446</v>
      </c>
      <c r="G2208" s="29" t="s">
        <v>615</v>
      </c>
      <c r="H2208" s="31">
        <v>0.36</v>
      </c>
      <c r="I2208" s="29" t="s">
        <v>612</v>
      </c>
      <c r="J2208" s="32" t="s">
        <v>642</v>
      </c>
      <c r="K2208" s="29" t="s">
        <v>840</v>
      </c>
      <c r="L2208" s="29" t="s">
        <v>1147</v>
      </c>
      <c r="M2208" s="33">
        <v>-79.784</v>
      </c>
      <c r="N2208" s="33">
        <v>9.186</v>
      </c>
      <c r="O2208" s="34" t="s">
        <v>601</v>
      </c>
      <c r="P2208" s="32" t="s">
        <v>602</v>
      </c>
      <c r="Q2208" s="35">
        <v>18.0</v>
      </c>
      <c r="R2208" s="35">
        <v>17.0</v>
      </c>
      <c r="S2208" s="36">
        <v>1.47103</v>
      </c>
      <c r="T2208" s="36">
        <v>3.15695</v>
      </c>
      <c r="U2208" s="36">
        <v>1.212860256</v>
      </c>
      <c r="V2208" s="36">
        <v>1.776780797</v>
      </c>
      <c r="W2208" s="37" t="s">
        <v>1162</v>
      </c>
      <c r="X2208" s="31">
        <v>5.3</v>
      </c>
      <c r="Y2208" s="36">
        <v>-0.7630900046051602</v>
      </c>
      <c r="Z2208" s="36">
        <v>0.05639945812033486</v>
      </c>
      <c r="AA2208" s="29" t="s">
        <v>820</v>
      </c>
      <c r="AB2208" s="31">
        <v>2.06895089149</v>
      </c>
      <c r="AC2208" s="38">
        <v>35.0</v>
      </c>
    </row>
    <row r="2209" ht="14.25" customHeight="1">
      <c r="A2209" s="29" t="s">
        <v>521</v>
      </c>
      <c r="B2209" s="29">
        <v>100.0</v>
      </c>
      <c r="C2209" s="29" t="s">
        <v>608</v>
      </c>
      <c r="D2209" s="29" t="s">
        <v>1447</v>
      </c>
      <c r="E2209" s="29">
        <v>285.0</v>
      </c>
      <c r="F2209" s="30" t="s">
        <v>1448</v>
      </c>
      <c r="G2209" s="29" t="s">
        <v>611</v>
      </c>
      <c r="H2209" s="31">
        <v>0.4865</v>
      </c>
      <c r="I2209" s="29" t="s">
        <v>616</v>
      </c>
      <c r="J2209" s="32" t="s">
        <v>642</v>
      </c>
      <c r="K2209" s="29" t="s">
        <v>840</v>
      </c>
      <c r="L2209" s="29" t="s">
        <v>1147</v>
      </c>
      <c r="M2209" s="33">
        <v>-79.784</v>
      </c>
      <c r="N2209" s="33">
        <v>9.186</v>
      </c>
      <c r="O2209" s="34" t="s">
        <v>601</v>
      </c>
      <c r="P2209" s="32" t="s">
        <v>602</v>
      </c>
      <c r="Q2209" s="35">
        <v>18.0</v>
      </c>
      <c r="R2209" s="35">
        <v>17.0</v>
      </c>
      <c r="S2209" s="36">
        <v>0.0093</v>
      </c>
      <c r="T2209" s="36">
        <v>0.0232558</v>
      </c>
      <c r="U2209" s="36">
        <v>0.096436508</v>
      </c>
      <c r="V2209" s="36">
        <v>0.152498525</v>
      </c>
      <c r="W2209" s="37" t="s">
        <v>780</v>
      </c>
      <c r="X2209" s="31">
        <v>5.3</v>
      </c>
      <c r="Y2209" s="36">
        <v>-0.9158952154107034</v>
      </c>
      <c r="Z2209" s="36">
        <v>8.50312899564657</v>
      </c>
      <c r="AA2209" s="29" t="s">
        <v>820</v>
      </c>
      <c r="AB2209" s="31">
        <v>2.06895089149</v>
      </c>
      <c r="AC2209" s="38">
        <v>35.0</v>
      </c>
    </row>
    <row r="2210" ht="14.25" customHeight="1">
      <c r="A2210" s="29" t="s">
        <v>521</v>
      </c>
      <c r="B2210" s="29">
        <v>100.0</v>
      </c>
      <c r="C2210" s="29" t="s">
        <v>608</v>
      </c>
      <c r="D2210" s="29" t="s">
        <v>1449</v>
      </c>
      <c r="E2210" s="29">
        <v>286.0</v>
      </c>
      <c r="F2210" s="30" t="s">
        <v>1450</v>
      </c>
      <c r="G2210" s="29" t="s">
        <v>615</v>
      </c>
      <c r="H2210" s="31">
        <v>0.25</v>
      </c>
      <c r="I2210" s="29" t="s">
        <v>597</v>
      </c>
      <c r="J2210" s="32" t="s">
        <v>642</v>
      </c>
      <c r="K2210" s="29" t="s">
        <v>840</v>
      </c>
      <c r="L2210" s="29" t="s">
        <v>1147</v>
      </c>
      <c r="M2210" s="33">
        <v>-79.784</v>
      </c>
      <c r="N2210" s="33">
        <v>9.186</v>
      </c>
      <c r="O2210" s="34" t="s">
        <v>601</v>
      </c>
      <c r="P2210" s="32" t="s">
        <v>602</v>
      </c>
      <c r="Q2210" s="35">
        <v>18.0</v>
      </c>
      <c r="R2210" s="35">
        <v>17.0</v>
      </c>
      <c r="S2210" s="36">
        <v>20.0</v>
      </c>
      <c r="T2210" s="36">
        <v>37.0115</v>
      </c>
      <c r="U2210" s="36">
        <v>4.472135955</v>
      </c>
      <c r="V2210" s="36">
        <v>6.083707751</v>
      </c>
      <c r="W2210" s="37" t="s">
        <v>623</v>
      </c>
      <c r="X2210" s="31">
        <v>5.3</v>
      </c>
      <c r="Y2210" s="36">
        <v>-0.6150190710193012</v>
      </c>
      <c r="Z2210" s="36">
        <v>0.004367108915697412</v>
      </c>
      <c r="AA2210" s="29" t="s">
        <v>820</v>
      </c>
      <c r="AB2210" s="31">
        <v>2.06895089149</v>
      </c>
      <c r="AC2210" s="38">
        <v>35.0</v>
      </c>
    </row>
    <row r="2211" ht="14.25" customHeight="1">
      <c r="A2211" s="29" t="s">
        <v>521</v>
      </c>
      <c r="B2211" s="29">
        <v>100.0</v>
      </c>
      <c r="C2211" s="29" t="s">
        <v>608</v>
      </c>
      <c r="D2211" s="29" t="s">
        <v>968</v>
      </c>
      <c r="E2211" s="29">
        <v>186.0</v>
      </c>
      <c r="F2211" s="30" t="s">
        <v>969</v>
      </c>
      <c r="G2211" s="29" t="s">
        <v>695</v>
      </c>
      <c r="H2211" s="31">
        <v>4.21</v>
      </c>
      <c r="I2211" s="29" t="s">
        <v>620</v>
      </c>
      <c r="J2211" s="32" t="s">
        <v>642</v>
      </c>
      <c r="K2211" s="29" t="s">
        <v>840</v>
      </c>
      <c r="L2211" s="29" t="s">
        <v>1147</v>
      </c>
      <c r="M2211" s="33">
        <v>-79.784</v>
      </c>
      <c r="N2211" s="33">
        <v>9.186</v>
      </c>
      <c r="O2211" s="34" t="s">
        <v>601</v>
      </c>
      <c r="P2211" s="32" t="s">
        <v>602</v>
      </c>
      <c r="Q2211" s="35">
        <v>18.0</v>
      </c>
      <c r="R2211" s="35">
        <v>17.0</v>
      </c>
      <c r="S2211" s="36">
        <v>1.6474</v>
      </c>
      <c r="T2211" s="36">
        <v>3.3237</v>
      </c>
      <c r="U2211" s="36">
        <v>1.28351081</v>
      </c>
      <c r="V2211" s="36">
        <v>1.823101753</v>
      </c>
      <c r="W2211" s="37" t="s">
        <v>623</v>
      </c>
      <c r="X2211" s="31">
        <v>5.3</v>
      </c>
      <c r="Y2211" s="36">
        <v>-0.7013599462352491</v>
      </c>
      <c r="Z2211" s="36">
        <v>0.05142137985341699</v>
      </c>
      <c r="AA2211" s="29" t="s">
        <v>820</v>
      </c>
      <c r="AB2211" s="31">
        <v>2.06895089149</v>
      </c>
      <c r="AC2211" s="38">
        <v>35.0</v>
      </c>
    </row>
    <row r="2212" ht="14.25" customHeight="1">
      <c r="A2212" s="29" t="s">
        <v>521</v>
      </c>
      <c r="B2212" s="29">
        <v>100.0</v>
      </c>
      <c r="C2212" s="29" t="s">
        <v>608</v>
      </c>
      <c r="D2212" s="29" t="s">
        <v>955</v>
      </c>
      <c r="E2212" s="29">
        <v>3.0</v>
      </c>
      <c r="F2212" s="30" t="s">
        <v>956</v>
      </c>
      <c r="G2212" s="29" t="s">
        <v>611</v>
      </c>
      <c r="H2212" s="31">
        <v>7.27</v>
      </c>
      <c r="I2212" s="29" t="s">
        <v>612</v>
      </c>
      <c r="J2212" s="32" t="s">
        <v>642</v>
      </c>
      <c r="K2212" s="29" t="s">
        <v>840</v>
      </c>
      <c r="L2212" s="29" t="s">
        <v>1147</v>
      </c>
      <c r="M2212" s="33">
        <v>-79.852</v>
      </c>
      <c r="N2212" s="33">
        <v>9.112</v>
      </c>
      <c r="O2212" s="34" t="s">
        <v>601</v>
      </c>
      <c r="P2212" s="32" t="s">
        <v>602</v>
      </c>
      <c r="Q2212" s="35">
        <v>12.0</v>
      </c>
      <c r="R2212" s="35">
        <v>17.0</v>
      </c>
      <c r="S2212" s="36">
        <v>1.166666667</v>
      </c>
      <c r="T2212" s="36">
        <v>0.747126437</v>
      </c>
      <c r="U2212" s="36">
        <v>1.08012345</v>
      </c>
      <c r="V2212" s="36">
        <v>0.864364759</v>
      </c>
      <c r="W2212" s="37" t="s">
        <v>780</v>
      </c>
      <c r="X2212" s="31">
        <v>4.0</v>
      </c>
      <c r="Y2212" s="36">
        <v>0.4458367352853473</v>
      </c>
      <c r="Z2212" s="36">
        <v>0.15016160303201148</v>
      </c>
      <c r="AA2212" s="29" t="s">
        <v>820</v>
      </c>
      <c r="AB2212" s="31">
        <v>62.9627227783</v>
      </c>
      <c r="AC2212" s="38">
        <v>154.0</v>
      </c>
    </row>
    <row r="2213" ht="14.25" customHeight="1">
      <c r="A2213" s="29" t="s">
        <v>521</v>
      </c>
      <c r="B2213" s="29">
        <v>100.0</v>
      </c>
      <c r="C2213" s="29" t="s">
        <v>608</v>
      </c>
      <c r="D2213" s="29" t="s">
        <v>959</v>
      </c>
      <c r="E2213" s="29">
        <v>31.0</v>
      </c>
      <c r="F2213" s="30" t="s">
        <v>960</v>
      </c>
      <c r="G2213" s="29" t="s">
        <v>611</v>
      </c>
      <c r="H2213" s="31">
        <v>2.73</v>
      </c>
      <c r="I2213" s="29" t="s">
        <v>616</v>
      </c>
      <c r="J2213" s="32" t="s">
        <v>642</v>
      </c>
      <c r="K2213" s="29" t="s">
        <v>840</v>
      </c>
      <c r="L2213" s="29" t="s">
        <v>1147</v>
      </c>
      <c r="M2213" s="33">
        <v>-79.852</v>
      </c>
      <c r="N2213" s="33">
        <v>9.112</v>
      </c>
      <c r="O2213" s="34" t="s">
        <v>601</v>
      </c>
      <c r="P2213" s="32" t="s">
        <v>602</v>
      </c>
      <c r="Q2213" s="35">
        <v>12.0</v>
      </c>
      <c r="R2213" s="35">
        <v>17.0</v>
      </c>
      <c r="S2213" s="36">
        <v>0.283333333</v>
      </c>
      <c r="T2213" s="36">
        <v>0.24137931</v>
      </c>
      <c r="U2213" s="36">
        <v>0.532290647</v>
      </c>
      <c r="V2213" s="36">
        <v>0.491303684</v>
      </c>
      <c r="W2213" s="37" t="s">
        <v>780</v>
      </c>
      <c r="X2213" s="31">
        <v>4.0</v>
      </c>
      <c r="Y2213" s="36">
        <v>0.16047423426773147</v>
      </c>
      <c r="Z2213" s="36">
        <v>0.5378151265349577</v>
      </c>
      <c r="AA2213" s="29" t="s">
        <v>820</v>
      </c>
      <c r="AB2213" s="31">
        <v>62.9627227783</v>
      </c>
      <c r="AC2213" s="38">
        <v>154.0</v>
      </c>
    </row>
    <row r="2214" ht="14.25" customHeight="1">
      <c r="A2214" s="29" t="s">
        <v>521</v>
      </c>
      <c r="B2214" s="29">
        <v>100.0</v>
      </c>
      <c r="C2214" s="29" t="s">
        <v>608</v>
      </c>
      <c r="D2214" s="29" t="s">
        <v>961</v>
      </c>
      <c r="E2214" s="29">
        <v>73.0</v>
      </c>
      <c r="F2214" s="30" t="s">
        <v>962</v>
      </c>
      <c r="G2214" s="29" t="s">
        <v>615</v>
      </c>
      <c r="H2214" s="31">
        <v>2.67</v>
      </c>
      <c r="I2214" s="29" t="s">
        <v>616</v>
      </c>
      <c r="J2214" s="32" t="s">
        <v>642</v>
      </c>
      <c r="K2214" s="29" t="s">
        <v>840</v>
      </c>
      <c r="L2214" s="29" t="s">
        <v>1147</v>
      </c>
      <c r="M2214" s="33">
        <v>-79.852</v>
      </c>
      <c r="N2214" s="33">
        <v>9.112</v>
      </c>
      <c r="O2214" s="34" t="s">
        <v>601</v>
      </c>
      <c r="P2214" s="32" t="s">
        <v>602</v>
      </c>
      <c r="Q2214" s="35">
        <v>12.0</v>
      </c>
      <c r="R2214" s="35">
        <v>17.0</v>
      </c>
      <c r="S2214" s="36">
        <v>39.8844</v>
      </c>
      <c r="T2214" s="36">
        <v>98.8439</v>
      </c>
      <c r="U2214" s="36">
        <v>6.315409725</v>
      </c>
      <c r="V2214" s="36">
        <v>9.942026956</v>
      </c>
      <c r="W2214" s="37" t="s">
        <v>623</v>
      </c>
      <c r="X2214" s="31">
        <v>4.0</v>
      </c>
      <c r="Y2214" s="36">
        <v>-0.9069173864909785</v>
      </c>
      <c r="Z2214" s="36">
        <v>0.0026844870405176788</v>
      </c>
      <c r="AA2214" s="29" t="s">
        <v>820</v>
      </c>
      <c r="AB2214" s="31">
        <v>62.9627227783</v>
      </c>
      <c r="AC2214" s="38">
        <v>154.0</v>
      </c>
    </row>
    <row r="2215" ht="14.25" customHeight="1">
      <c r="A2215" s="29" t="s">
        <v>521</v>
      </c>
      <c r="B2215" s="29">
        <v>100.0</v>
      </c>
      <c r="C2215" s="29" t="s">
        <v>608</v>
      </c>
      <c r="D2215" s="29" t="s">
        <v>973</v>
      </c>
      <c r="E2215" s="29">
        <v>243.0</v>
      </c>
      <c r="F2215" s="30" t="s">
        <v>974</v>
      </c>
      <c r="G2215" s="29" t="s">
        <v>656</v>
      </c>
      <c r="H2215" s="31">
        <v>1.09</v>
      </c>
      <c r="I2215" s="29" t="s">
        <v>657</v>
      </c>
      <c r="J2215" s="32" t="s">
        <v>642</v>
      </c>
      <c r="K2215" s="29" t="s">
        <v>840</v>
      </c>
      <c r="L2215" s="29" t="s">
        <v>1147</v>
      </c>
      <c r="M2215" s="33">
        <v>-79.852</v>
      </c>
      <c r="N2215" s="33">
        <v>9.112</v>
      </c>
      <c r="O2215" s="34" t="s">
        <v>601</v>
      </c>
      <c r="P2215" s="32" t="s">
        <v>602</v>
      </c>
      <c r="Q2215" s="35">
        <v>12.0</v>
      </c>
      <c r="R2215" s="35">
        <v>17.0</v>
      </c>
      <c r="S2215" s="36">
        <v>0.271875</v>
      </c>
      <c r="T2215" s="36">
        <v>0.478</v>
      </c>
      <c r="U2215" s="36">
        <v>0.52141634</v>
      </c>
      <c r="V2215" s="36">
        <v>0.691375441</v>
      </c>
      <c r="W2215" s="37" t="s">
        <v>1162</v>
      </c>
      <c r="X2215" s="31">
        <v>4.0</v>
      </c>
      <c r="Y2215" s="36">
        <v>-0.5638148316063182</v>
      </c>
      <c r="Z2215" s="36">
        <v>0.42957518665179995</v>
      </c>
      <c r="AA2215" s="29" t="s">
        <v>820</v>
      </c>
      <c r="AB2215" s="31">
        <v>62.9627227783</v>
      </c>
      <c r="AC2215" s="38">
        <v>154.0</v>
      </c>
    </row>
    <row r="2216" ht="14.25" customHeight="1">
      <c r="A2216" s="29" t="s">
        <v>521</v>
      </c>
      <c r="B2216" s="29">
        <v>100.0</v>
      </c>
      <c r="C2216" s="29" t="s">
        <v>608</v>
      </c>
      <c r="D2216" s="29" t="s">
        <v>1443</v>
      </c>
      <c r="E2216" s="29">
        <v>279.0</v>
      </c>
      <c r="F2216" s="30" t="s">
        <v>1444</v>
      </c>
      <c r="G2216" s="29" t="s">
        <v>626</v>
      </c>
      <c r="H2216" s="31">
        <f>AVERAGE(22.8,55.508)</f>
        <v>39.154</v>
      </c>
      <c r="I2216" s="29" t="s">
        <v>612</v>
      </c>
      <c r="J2216" s="32" t="s">
        <v>642</v>
      </c>
      <c r="K2216" s="29" t="s">
        <v>840</v>
      </c>
      <c r="L2216" s="29" t="s">
        <v>1147</v>
      </c>
      <c r="M2216" s="33">
        <v>-79.852</v>
      </c>
      <c r="N2216" s="33">
        <v>9.112</v>
      </c>
      <c r="O2216" s="34" t="s">
        <v>601</v>
      </c>
      <c r="P2216" s="32" t="s">
        <v>602</v>
      </c>
      <c r="Q2216" s="35">
        <v>12.0</v>
      </c>
      <c r="R2216" s="35">
        <v>17.0</v>
      </c>
      <c r="S2216" s="36">
        <v>1.49133</v>
      </c>
      <c r="T2216" s="36">
        <v>2.4104</v>
      </c>
      <c r="U2216" s="36">
        <v>1.221200229</v>
      </c>
      <c r="V2216" s="36">
        <v>1.552546296</v>
      </c>
      <c r="W2216" s="37" t="s">
        <v>780</v>
      </c>
      <c r="X2216" s="31">
        <v>4.0</v>
      </c>
      <c r="Y2216" s="36">
        <v>-0.47970746077295034</v>
      </c>
      <c r="Z2216" s="36">
        <v>0.08028258649070985</v>
      </c>
      <c r="AA2216" s="29" t="s">
        <v>820</v>
      </c>
      <c r="AB2216" s="31">
        <v>62.9627227783</v>
      </c>
      <c r="AC2216" s="38">
        <v>154.0</v>
      </c>
    </row>
    <row r="2217" ht="14.25" customHeight="1">
      <c r="A2217" s="29" t="s">
        <v>521</v>
      </c>
      <c r="B2217" s="29">
        <v>100.0</v>
      </c>
      <c r="C2217" s="29" t="s">
        <v>608</v>
      </c>
      <c r="D2217" s="29" t="s">
        <v>853</v>
      </c>
      <c r="E2217" s="29">
        <v>110.0</v>
      </c>
      <c r="F2217" s="30" t="s">
        <v>854</v>
      </c>
      <c r="G2217" s="29" t="s">
        <v>629</v>
      </c>
      <c r="H2217" s="31">
        <v>4.03</v>
      </c>
      <c r="I2217" s="29" t="s">
        <v>597</v>
      </c>
      <c r="J2217" s="32" t="s">
        <v>642</v>
      </c>
      <c r="K2217" s="29" t="s">
        <v>840</v>
      </c>
      <c r="L2217" s="29" t="s">
        <v>1147</v>
      </c>
      <c r="M2217" s="33">
        <v>-79.852</v>
      </c>
      <c r="N2217" s="33">
        <v>9.112</v>
      </c>
      <c r="O2217" s="34" t="s">
        <v>601</v>
      </c>
      <c r="P2217" s="32" t="s">
        <v>602</v>
      </c>
      <c r="Q2217" s="35">
        <v>12.0</v>
      </c>
      <c r="R2217" s="35">
        <v>17.0</v>
      </c>
      <c r="S2217" s="36">
        <v>20.4624</v>
      </c>
      <c r="T2217" s="36">
        <v>56.8786</v>
      </c>
      <c r="U2217" s="36">
        <v>4.523538438</v>
      </c>
      <c r="V2217" s="36">
        <v>7.541790238</v>
      </c>
      <c r="W2217" s="37" t="s">
        <v>623</v>
      </c>
      <c r="X2217" s="31">
        <v>4.0</v>
      </c>
      <c r="Y2217" s="36">
        <v>-1.021613225684552</v>
      </c>
      <c r="Z2217" s="36">
        <v>0.005106704626742485</v>
      </c>
      <c r="AA2217" s="29" t="s">
        <v>820</v>
      </c>
      <c r="AB2217" s="31">
        <v>62.9627227783</v>
      </c>
      <c r="AC2217" s="38">
        <v>154.0</v>
      </c>
    </row>
    <row r="2218" ht="14.25" customHeight="1">
      <c r="A2218" s="29" t="s">
        <v>521</v>
      </c>
      <c r="B2218" s="29">
        <v>100.0</v>
      </c>
      <c r="C2218" s="29" t="s">
        <v>608</v>
      </c>
      <c r="D2218" s="29" t="s">
        <v>630</v>
      </c>
      <c r="E2218" s="29">
        <v>129.0</v>
      </c>
      <c r="F2218" s="30" t="s">
        <v>631</v>
      </c>
      <c r="G2218" s="29" t="s">
        <v>626</v>
      </c>
      <c r="H2218" s="31">
        <v>21.27</v>
      </c>
      <c r="I2218" s="29" t="s">
        <v>612</v>
      </c>
      <c r="J2218" s="32" t="s">
        <v>642</v>
      </c>
      <c r="K2218" s="29" t="s">
        <v>840</v>
      </c>
      <c r="L2218" s="29" t="s">
        <v>1147</v>
      </c>
      <c r="M2218" s="33">
        <v>-79.852</v>
      </c>
      <c r="N2218" s="33">
        <v>9.112</v>
      </c>
      <c r="O2218" s="34" t="s">
        <v>601</v>
      </c>
      <c r="P2218" s="32" t="s">
        <v>602</v>
      </c>
      <c r="Q2218" s="35">
        <v>12.0</v>
      </c>
      <c r="R2218" s="35">
        <v>17.0</v>
      </c>
      <c r="S2218" s="36">
        <v>2.87283</v>
      </c>
      <c r="T2218" s="36">
        <v>6.838</v>
      </c>
      <c r="U2218" s="36">
        <v>1.694942477</v>
      </c>
      <c r="V2218" s="36">
        <v>2.614956979</v>
      </c>
      <c r="W2218" s="37" t="s">
        <v>623</v>
      </c>
      <c r="X2218" s="31">
        <v>4.0</v>
      </c>
      <c r="Y2218" s="36">
        <v>-0.866583778274417</v>
      </c>
      <c r="Z2218" s="36">
        <v>0.037609848070332935</v>
      </c>
      <c r="AA2218" s="29" t="s">
        <v>820</v>
      </c>
      <c r="AB2218" s="31">
        <v>62.9627227783</v>
      </c>
      <c r="AC2218" s="38">
        <v>154.0</v>
      </c>
    </row>
    <row r="2219" ht="14.25" customHeight="1">
      <c r="A2219" s="29" t="s">
        <v>521</v>
      </c>
      <c r="B2219" s="29">
        <v>100.0</v>
      </c>
      <c r="C2219" s="29" t="s">
        <v>608</v>
      </c>
      <c r="D2219" s="29" t="s">
        <v>1445</v>
      </c>
      <c r="E2219" s="29">
        <v>284.0</v>
      </c>
      <c r="F2219" s="30" t="s">
        <v>1446</v>
      </c>
      <c r="G2219" s="29" t="s">
        <v>615</v>
      </c>
      <c r="H2219" s="31">
        <v>0.36</v>
      </c>
      <c r="I2219" s="29" t="s">
        <v>612</v>
      </c>
      <c r="J2219" s="32" t="s">
        <v>642</v>
      </c>
      <c r="K2219" s="29" t="s">
        <v>840</v>
      </c>
      <c r="L2219" s="29" t="s">
        <v>1147</v>
      </c>
      <c r="M2219" s="33">
        <v>-79.852</v>
      </c>
      <c r="N2219" s="33">
        <v>9.112</v>
      </c>
      <c r="O2219" s="34" t="s">
        <v>601</v>
      </c>
      <c r="P2219" s="32" t="s">
        <v>602</v>
      </c>
      <c r="Q2219" s="35">
        <v>12.0</v>
      </c>
      <c r="R2219" s="35">
        <v>17.0</v>
      </c>
      <c r="S2219" s="36">
        <v>1.8201</v>
      </c>
      <c r="T2219" s="36">
        <v>3.15695</v>
      </c>
      <c r="U2219" s="36">
        <v>1.349110818</v>
      </c>
      <c r="V2219" s="36">
        <v>1.776780797</v>
      </c>
      <c r="W2219" s="37" t="s">
        <v>1162</v>
      </c>
      <c r="X2219" s="31">
        <v>4.0</v>
      </c>
      <c r="Y2219" s="36">
        <v>-0.5502675315782588</v>
      </c>
      <c r="Z2219" s="36">
        <v>0.0644180554714977</v>
      </c>
      <c r="AA2219" s="29" t="s">
        <v>820</v>
      </c>
      <c r="AB2219" s="31">
        <v>62.9627227783</v>
      </c>
      <c r="AC2219" s="38">
        <v>154.0</v>
      </c>
    </row>
    <row r="2220" ht="14.25" customHeight="1">
      <c r="A2220" s="29" t="s">
        <v>521</v>
      </c>
      <c r="B2220" s="29">
        <v>100.0</v>
      </c>
      <c r="C2220" s="29" t="s">
        <v>608</v>
      </c>
      <c r="D2220" s="29" t="s">
        <v>1447</v>
      </c>
      <c r="E2220" s="29">
        <v>285.0</v>
      </c>
      <c r="F2220" s="30" t="s">
        <v>1448</v>
      </c>
      <c r="G2220" s="29" t="s">
        <v>611</v>
      </c>
      <c r="H2220" s="31">
        <v>0.4865</v>
      </c>
      <c r="I2220" s="29" t="s">
        <v>616</v>
      </c>
      <c r="J2220" s="32" t="s">
        <v>642</v>
      </c>
      <c r="K2220" s="29" t="s">
        <v>840</v>
      </c>
      <c r="L2220" s="29" t="s">
        <v>1147</v>
      </c>
      <c r="M2220" s="33">
        <v>-79.852</v>
      </c>
      <c r="N2220" s="33">
        <v>9.112</v>
      </c>
      <c r="O2220" s="34" t="s">
        <v>601</v>
      </c>
      <c r="P2220" s="32" t="s">
        <v>602</v>
      </c>
      <c r="Q2220" s="35">
        <v>12.0</v>
      </c>
      <c r="R2220" s="35">
        <v>17.0</v>
      </c>
      <c r="S2220" s="36">
        <v>0.113953</v>
      </c>
      <c r="T2220" s="36">
        <v>0.0232558</v>
      </c>
      <c r="U2220" s="36">
        <v>0.337569252</v>
      </c>
      <c r="V2220" s="36">
        <v>0.152498525</v>
      </c>
      <c r="W2220" s="37" t="s">
        <v>780</v>
      </c>
      <c r="X2220" s="31">
        <v>4.0</v>
      </c>
      <c r="Y2220" s="36">
        <v>1.5892841708412464</v>
      </c>
      <c r="Z2220" s="36">
        <v>3.2607089466486574</v>
      </c>
      <c r="AA2220" s="29" t="s">
        <v>820</v>
      </c>
      <c r="AB2220" s="31">
        <v>62.9627227783</v>
      </c>
      <c r="AC2220" s="38">
        <v>154.0</v>
      </c>
    </row>
    <row r="2221" ht="14.25" customHeight="1">
      <c r="A2221" s="29" t="s">
        <v>521</v>
      </c>
      <c r="B2221" s="29">
        <v>100.0</v>
      </c>
      <c r="C2221" s="29" t="s">
        <v>608</v>
      </c>
      <c r="D2221" s="29" t="s">
        <v>1449</v>
      </c>
      <c r="E2221" s="29">
        <v>286.0</v>
      </c>
      <c r="F2221" s="30" t="s">
        <v>1450</v>
      </c>
      <c r="G2221" s="29" t="s">
        <v>615</v>
      </c>
      <c r="H2221" s="31">
        <v>0.25</v>
      </c>
      <c r="I2221" s="29" t="s">
        <v>597</v>
      </c>
      <c r="J2221" s="32" t="s">
        <v>642</v>
      </c>
      <c r="K2221" s="29" t="s">
        <v>840</v>
      </c>
      <c r="L2221" s="29" t="s">
        <v>1147</v>
      </c>
      <c r="M2221" s="33">
        <v>-79.852</v>
      </c>
      <c r="N2221" s="33">
        <v>9.112</v>
      </c>
      <c r="O2221" s="34" t="s">
        <v>601</v>
      </c>
      <c r="P2221" s="32" t="s">
        <v>602</v>
      </c>
      <c r="Q2221" s="35">
        <v>12.0</v>
      </c>
      <c r="R2221" s="35">
        <v>17.0</v>
      </c>
      <c r="S2221" s="36">
        <v>25.977</v>
      </c>
      <c r="T2221" s="36">
        <v>37.0115</v>
      </c>
      <c r="U2221" s="36">
        <v>5.096763679</v>
      </c>
      <c r="V2221" s="36">
        <v>6.083707751</v>
      </c>
      <c r="W2221" s="37" t="s">
        <v>623</v>
      </c>
      <c r="X2221" s="31">
        <v>4.0</v>
      </c>
      <c r="Y2221" s="36">
        <v>-0.3536496213749489</v>
      </c>
      <c r="Z2221" s="36">
        <v>0.00479729715909036</v>
      </c>
      <c r="AA2221" s="29" t="s">
        <v>820</v>
      </c>
      <c r="AB2221" s="31">
        <v>62.9627227783</v>
      </c>
      <c r="AC2221" s="38">
        <v>154.0</v>
      </c>
    </row>
    <row r="2222" ht="14.25" customHeight="1">
      <c r="A2222" s="29" t="s">
        <v>521</v>
      </c>
      <c r="B2222" s="29">
        <v>100.0</v>
      </c>
      <c r="C2222" s="29" t="s">
        <v>608</v>
      </c>
      <c r="D2222" s="29" t="s">
        <v>968</v>
      </c>
      <c r="E2222" s="29">
        <v>186.0</v>
      </c>
      <c r="F2222" s="30" t="s">
        <v>969</v>
      </c>
      <c r="G2222" s="29" t="s">
        <v>695</v>
      </c>
      <c r="H2222" s="31">
        <v>4.21</v>
      </c>
      <c r="I2222" s="29" t="s">
        <v>620</v>
      </c>
      <c r="J2222" s="32" t="s">
        <v>642</v>
      </c>
      <c r="K2222" s="29" t="s">
        <v>840</v>
      </c>
      <c r="L2222" s="29" t="s">
        <v>1147</v>
      </c>
      <c r="M2222" s="33">
        <v>-79.852</v>
      </c>
      <c r="N2222" s="33">
        <v>9.112</v>
      </c>
      <c r="O2222" s="34" t="s">
        <v>601</v>
      </c>
      <c r="P2222" s="32" t="s">
        <v>602</v>
      </c>
      <c r="Q2222" s="35">
        <v>12.0</v>
      </c>
      <c r="R2222" s="35">
        <v>17.0</v>
      </c>
      <c r="S2222" s="36">
        <v>3.20809</v>
      </c>
      <c r="T2222" s="36">
        <v>3.3237</v>
      </c>
      <c r="U2222" s="36">
        <v>1.791114178</v>
      </c>
      <c r="V2222" s="36">
        <v>1.823101753</v>
      </c>
      <c r="W2222" s="37" t="s">
        <v>623</v>
      </c>
      <c r="X2222" s="31">
        <v>4.0</v>
      </c>
      <c r="Y2222" s="36">
        <v>-0.035135616043557555</v>
      </c>
      <c r="Z2222" s="36">
        <v>0.043674202740712244</v>
      </c>
      <c r="AA2222" s="29" t="s">
        <v>820</v>
      </c>
      <c r="AB2222" s="31">
        <v>62.9627227783</v>
      </c>
      <c r="AC2222" s="38">
        <v>154.0</v>
      </c>
    </row>
    <row r="2223" ht="14.25" customHeight="1">
      <c r="A2223" s="29" t="s">
        <v>521</v>
      </c>
      <c r="B2223" s="29">
        <v>100.0</v>
      </c>
      <c r="C2223" s="29" t="s">
        <v>608</v>
      </c>
      <c r="D2223" s="29" t="s">
        <v>955</v>
      </c>
      <c r="E2223" s="29">
        <v>3.0</v>
      </c>
      <c r="F2223" s="30" t="s">
        <v>956</v>
      </c>
      <c r="G2223" s="29" t="s">
        <v>611</v>
      </c>
      <c r="H2223" s="31">
        <v>7.27</v>
      </c>
      <c r="I2223" s="29" t="s">
        <v>612</v>
      </c>
      <c r="J2223" s="32" t="s">
        <v>642</v>
      </c>
      <c r="K2223" s="29" t="s">
        <v>840</v>
      </c>
      <c r="L2223" s="29" t="s">
        <v>1147</v>
      </c>
      <c r="M2223" s="33">
        <v>-79.633</v>
      </c>
      <c r="N2223" s="33">
        <v>9.115</v>
      </c>
      <c r="O2223" s="34" t="s">
        <v>601</v>
      </c>
      <c r="P2223" s="32" t="s">
        <v>602</v>
      </c>
      <c r="Q2223" s="35">
        <v>14.0</v>
      </c>
      <c r="R2223" s="35">
        <v>17.0</v>
      </c>
      <c r="S2223" s="36">
        <v>0.338028169</v>
      </c>
      <c r="T2223" s="36">
        <v>0.747126437</v>
      </c>
      <c r="U2223" s="36">
        <v>0.5814019</v>
      </c>
      <c r="V2223" s="36">
        <v>0.864364759</v>
      </c>
      <c r="W2223" s="37" t="s">
        <v>780</v>
      </c>
      <c r="X2223" s="31">
        <v>2.0</v>
      </c>
      <c r="Y2223" s="36">
        <v>-0.7925351211021214</v>
      </c>
      <c r="Z2223" s="36">
        <v>0.2900425556297851</v>
      </c>
      <c r="AA2223" s="29" t="s">
        <v>820</v>
      </c>
      <c r="AB2223" s="31">
        <v>97.7075653076</v>
      </c>
      <c r="AC2223" s="38">
        <v>55.0</v>
      </c>
    </row>
    <row r="2224" ht="14.25" customHeight="1">
      <c r="A2224" s="29" t="s">
        <v>521</v>
      </c>
      <c r="B2224" s="29">
        <v>100.0</v>
      </c>
      <c r="C2224" s="29" t="s">
        <v>608</v>
      </c>
      <c r="D2224" s="29" t="s">
        <v>959</v>
      </c>
      <c r="E2224" s="29">
        <v>31.0</v>
      </c>
      <c r="F2224" s="30" t="s">
        <v>960</v>
      </c>
      <c r="G2224" s="29" t="s">
        <v>611</v>
      </c>
      <c r="H2224" s="31">
        <v>2.73</v>
      </c>
      <c r="I2224" s="29" t="s">
        <v>616</v>
      </c>
      <c r="J2224" s="32" t="s">
        <v>642</v>
      </c>
      <c r="K2224" s="29" t="s">
        <v>840</v>
      </c>
      <c r="L2224" s="29" t="s">
        <v>1147</v>
      </c>
      <c r="M2224" s="33">
        <v>-79.633</v>
      </c>
      <c r="N2224" s="33">
        <v>9.115</v>
      </c>
      <c r="O2224" s="34" t="s">
        <v>601</v>
      </c>
      <c r="P2224" s="32" t="s">
        <v>602</v>
      </c>
      <c r="Q2224" s="35">
        <v>14.0</v>
      </c>
      <c r="R2224" s="35">
        <v>17.0</v>
      </c>
      <c r="S2224" s="36">
        <v>0.028169014</v>
      </c>
      <c r="T2224" s="36">
        <v>0.24137931</v>
      </c>
      <c r="U2224" s="36">
        <v>0.167836272</v>
      </c>
      <c r="V2224" s="36">
        <v>0.491303684</v>
      </c>
      <c r="W2224" s="37" t="s">
        <v>780</v>
      </c>
      <c r="X2224" s="31">
        <v>2.0</v>
      </c>
      <c r="Y2224" s="36">
        <v>-2.1459386818691186</v>
      </c>
      <c r="Z2224" s="36">
        <v>2.779411790473061</v>
      </c>
      <c r="AA2224" s="29" t="s">
        <v>820</v>
      </c>
      <c r="AB2224" s="31">
        <v>97.7075653076</v>
      </c>
      <c r="AC2224" s="38">
        <v>55.0</v>
      </c>
    </row>
    <row r="2225" ht="14.25" customHeight="1">
      <c r="A2225" s="29" t="s">
        <v>521</v>
      </c>
      <c r="B2225" s="29">
        <v>100.0</v>
      </c>
      <c r="C2225" s="29" t="s">
        <v>608</v>
      </c>
      <c r="D2225" s="29" t="s">
        <v>961</v>
      </c>
      <c r="E2225" s="29">
        <v>73.0</v>
      </c>
      <c r="F2225" s="30" t="s">
        <v>962</v>
      </c>
      <c r="G2225" s="29" t="s">
        <v>615</v>
      </c>
      <c r="H2225" s="31">
        <v>2.67</v>
      </c>
      <c r="I2225" s="29" t="s">
        <v>616</v>
      </c>
      <c r="J2225" s="32" t="s">
        <v>642</v>
      </c>
      <c r="K2225" s="29" t="s">
        <v>840</v>
      </c>
      <c r="L2225" s="29" t="s">
        <v>1147</v>
      </c>
      <c r="M2225" s="33">
        <v>-79.633</v>
      </c>
      <c r="N2225" s="33">
        <v>9.115</v>
      </c>
      <c r="O2225" s="34" t="s">
        <v>601</v>
      </c>
      <c r="P2225" s="32" t="s">
        <v>602</v>
      </c>
      <c r="Q2225" s="35">
        <v>14.0</v>
      </c>
      <c r="R2225" s="35">
        <v>17.0</v>
      </c>
      <c r="S2225" s="36">
        <v>8.67052</v>
      </c>
      <c r="T2225" s="36">
        <v>98.8439</v>
      </c>
      <c r="U2225" s="36">
        <v>2.944574672</v>
      </c>
      <c r="V2225" s="36">
        <v>9.942026956</v>
      </c>
      <c r="W2225" s="37" t="s">
        <v>623</v>
      </c>
      <c r="X2225" s="31">
        <v>2.0</v>
      </c>
      <c r="Y2225" s="36">
        <v>-2.4306762132829567</v>
      </c>
      <c r="Z2225" s="36">
        <v>0.008833210880304289</v>
      </c>
      <c r="AA2225" s="29" t="s">
        <v>820</v>
      </c>
      <c r="AB2225" s="31">
        <v>97.7075653076</v>
      </c>
      <c r="AC2225" s="38">
        <v>55.0</v>
      </c>
    </row>
    <row r="2226" ht="14.25" customHeight="1">
      <c r="A2226" s="29" t="s">
        <v>521</v>
      </c>
      <c r="B2226" s="29">
        <v>100.0</v>
      </c>
      <c r="C2226" s="29" t="s">
        <v>608</v>
      </c>
      <c r="D2226" s="29" t="s">
        <v>973</v>
      </c>
      <c r="E2226" s="29">
        <v>243.0</v>
      </c>
      <c r="F2226" s="30" t="s">
        <v>974</v>
      </c>
      <c r="G2226" s="29" t="s">
        <v>656</v>
      </c>
      <c r="H2226" s="31">
        <v>1.09</v>
      </c>
      <c r="I2226" s="29" t="s">
        <v>657</v>
      </c>
      <c r="J2226" s="32" t="s">
        <v>642</v>
      </c>
      <c r="K2226" s="29" t="s">
        <v>840</v>
      </c>
      <c r="L2226" s="29" t="s">
        <v>1147</v>
      </c>
      <c r="M2226" s="33">
        <v>-79.633</v>
      </c>
      <c r="N2226" s="33">
        <v>9.115</v>
      </c>
      <c r="O2226" s="34" t="s">
        <v>601</v>
      </c>
      <c r="P2226" s="32" t="s">
        <v>602</v>
      </c>
      <c r="Q2226" s="35">
        <v>14.0</v>
      </c>
      <c r="R2226" s="35">
        <v>17.0</v>
      </c>
      <c r="S2226" s="36">
        <v>0.496875</v>
      </c>
      <c r="T2226" s="36">
        <v>0.478</v>
      </c>
      <c r="U2226" s="36">
        <v>0.704893609</v>
      </c>
      <c r="V2226" s="36">
        <v>0.691375441</v>
      </c>
      <c r="W2226" s="37" t="s">
        <v>1162</v>
      </c>
      <c r="X2226" s="31">
        <v>2.0</v>
      </c>
      <c r="Y2226" s="36">
        <v>0.03897591938100093</v>
      </c>
      <c r="Z2226" s="36">
        <v>0.26681739257600595</v>
      </c>
      <c r="AA2226" s="29" t="s">
        <v>820</v>
      </c>
      <c r="AB2226" s="31">
        <v>97.7075653076</v>
      </c>
      <c r="AC2226" s="38">
        <v>55.0</v>
      </c>
    </row>
    <row r="2227" ht="14.25" customHeight="1">
      <c r="A2227" s="29" t="s">
        <v>521</v>
      </c>
      <c r="B2227" s="29">
        <v>100.0</v>
      </c>
      <c r="C2227" s="29" t="s">
        <v>608</v>
      </c>
      <c r="D2227" s="29" t="s">
        <v>1443</v>
      </c>
      <c r="E2227" s="29">
        <v>279.0</v>
      </c>
      <c r="F2227" s="30" t="s">
        <v>1444</v>
      </c>
      <c r="G2227" s="29" t="s">
        <v>626</v>
      </c>
      <c r="H2227" s="31">
        <f>AVERAGE(22.8,55.508)</f>
        <v>39.154</v>
      </c>
      <c r="I2227" s="29" t="s">
        <v>612</v>
      </c>
      <c r="J2227" s="32" t="s">
        <v>642</v>
      </c>
      <c r="K2227" s="29" t="s">
        <v>840</v>
      </c>
      <c r="L2227" s="29" t="s">
        <v>1147</v>
      </c>
      <c r="M2227" s="33">
        <v>-79.633</v>
      </c>
      <c r="N2227" s="33">
        <v>9.115</v>
      </c>
      <c r="O2227" s="34" t="s">
        <v>601</v>
      </c>
      <c r="P2227" s="32" t="s">
        <v>602</v>
      </c>
      <c r="Q2227" s="35">
        <v>14.0</v>
      </c>
      <c r="R2227" s="35">
        <v>17.0</v>
      </c>
      <c r="S2227" s="36">
        <v>0.450867</v>
      </c>
      <c r="T2227" s="36">
        <v>2.4104</v>
      </c>
      <c r="U2227" s="36">
        <v>0.671466306</v>
      </c>
      <c r="V2227" s="36">
        <v>1.552546296</v>
      </c>
      <c r="W2227" s="37" t="s">
        <v>780</v>
      </c>
      <c r="X2227" s="31">
        <v>2.0</v>
      </c>
      <c r="Y2227" s="36">
        <v>-1.674997248208241</v>
      </c>
      <c r="Z2227" s="36">
        <v>0.18282897977499812</v>
      </c>
      <c r="AA2227" s="29" t="s">
        <v>820</v>
      </c>
      <c r="AB2227" s="31">
        <v>97.7075653076</v>
      </c>
      <c r="AC2227" s="38">
        <v>55.0</v>
      </c>
    </row>
    <row r="2228" ht="14.25" customHeight="1">
      <c r="A2228" s="29" t="s">
        <v>521</v>
      </c>
      <c r="B2228" s="29">
        <v>100.0</v>
      </c>
      <c r="C2228" s="29" t="s">
        <v>608</v>
      </c>
      <c r="D2228" s="29" t="s">
        <v>853</v>
      </c>
      <c r="E2228" s="29">
        <v>110.0</v>
      </c>
      <c r="F2228" s="30" t="s">
        <v>854</v>
      </c>
      <c r="G2228" s="29" t="s">
        <v>629</v>
      </c>
      <c r="H2228" s="31">
        <v>4.03</v>
      </c>
      <c r="I2228" s="29" t="s">
        <v>597</v>
      </c>
      <c r="J2228" s="32" t="s">
        <v>642</v>
      </c>
      <c r="K2228" s="29" t="s">
        <v>840</v>
      </c>
      <c r="L2228" s="29" t="s">
        <v>1147</v>
      </c>
      <c r="M2228" s="33">
        <v>-79.633</v>
      </c>
      <c r="N2228" s="33">
        <v>9.115</v>
      </c>
      <c r="O2228" s="34" t="s">
        <v>601</v>
      </c>
      <c r="P2228" s="32" t="s">
        <v>602</v>
      </c>
      <c r="Q2228" s="35">
        <v>14.0</v>
      </c>
      <c r="R2228" s="35">
        <v>17.0</v>
      </c>
      <c r="S2228" s="36">
        <v>1.04046</v>
      </c>
      <c r="T2228" s="36">
        <v>56.8786</v>
      </c>
      <c r="U2228" s="36">
        <v>1.020029411</v>
      </c>
      <c r="V2228" s="36">
        <v>7.541790238</v>
      </c>
      <c r="W2228" s="37" t="s">
        <v>623</v>
      </c>
      <c r="X2228" s="31">
        <v>2.0</v>
      </c>
      <c r="Y2228" s="36">
        <v>-3.9872508668225373</v>
      </c>
      <c r="Z2228" s="36">
        <v>0.0696851481870802</v>
      </c>
      <c r="AA2228" s="29" t="s">
        <v>820</v>
      </c>
      <c r="AB2228" s="31">
        <v>97.7075653076</v>
      </c>
      <c r="AC2228" s="38">
        <v>55.0</v>
      </c>
    </row>
    <row r="2229" ht="14.25" customHeight="1">
      <c r="A2229" s="29" t="s">
        <v>521</v>
      </c>
      <c r="B2229" s="29">
        <v>100.0</v>
      </c>
      <c r="C2229" s="29" t="s">
        <v>608</v>
      </c>
      <c r="D2229" s="29" t="s">
        <v>630</v>
      </c>
      <c r="E2229" s="29">
        <v>129.0</v>
      </c>
      <c r="F2229" s="30" t="s">
        <v>631</v>
      </c>
      <c r="G2229" s="29" t="s">
        <v>626</v>
      </c>
      <c r="H2229" s="31">
        <v>21.27</v>
      </c>
      <c r="I2229" s="29" t="s">
        <v>612</v>
      </c>
      <c r="J2229" s="32" t="s">
        <v>642</v>
      </c>
      <c r="K2229" s="29" t="s">
        <v>840</v>
      </c>
      <c r="L2229" s="29" t="s">
        <v>1147</v>
      </c>
      <c r="M2229" s="33">
        <v>-79.633</v>
      </c>
      <c r="N2229" s="33">
        <v>9.115</v>
      </c>
      <c r="O2229" s="34" t="s">
        <v>601</v>
      </c>
      <c r="P2229" s="32" t="s">
        <v>602</v>
      </c>
      <c r="Q2229" s="35">
        <v>14.0</v>
      </c>
      <c r="R2229" s="35">
        <v>17.0</v>
      </c>
      <c r="S2229" s="36">
        <v>1.86127</v>
      </c>
      <c r="T2229" s="36">
        <v>6.838</v>
      </c>
      <c r="U2229" s="36">
        <v>1.364283695</v>
      </c>
      <c r="V2229" s="36">
        <v>2.614956979</v>
      </c>
      <c r="W2229" s="37" t="s">
        <v>623</v>
      </c>
      <c r="X2229" s="31">
        <v>2.0</v>
      </c>
      <c r="Y2229" s="36">
        <v>-1.3002888477067525</v>
      </c>
      <c r="Z2229" s="36">
        <v>0.04697870116317193</v>
      </c>
      <c r="AA2229" s="29" t="s">
        <v>820</v>
      </c>
      <c r="AB2229" s="31">
        <v>97.7075653076</v>
      </c>
      <c r="AC2229" s="38">
        <v>55.0</v>
      </c>
    </row>
    <row r="2230" ht="14.25" customHeight="1">
      <c r="A2230" s="29" t="s">
        <v>521</v>
      </c>
      <c r="B2230" s="29">
        <v>100.0</v>
      </c>
      <c r="C2230" s="29" t="s">
        <v>608</v>
      </c>
      <c r="D2230" s="29" t="s">
        <v>1445</v>
      </c>
      <c r="E2230" s="29">
        <v>284.0</v>
      </c>
      <c r="F2230" s="30" t="s">
        <v>1446</v>
      </c>
      <c r="G2230" s="29" t="s">
        <v>615</v>
      </c>
      <c r="H2230" s="31">
        <v>0.36</v>
      </c>
      <c r="I2230" s="29" t="s">
        <v>612</v>
      </c>
      <c r="J2230" s="32" t="s">
        <v>642</v>
      </c>
      <c r="K2230" s="29" t="s">
        <v>840</v>
      </c>
      <c r="L2230" s="29" t="s">
        <v>1147</v>
      </c>
      <c r="M2230" s="33">
        <v>-79.633</v>
      </c>
      <c r="N2230" s="33">
        <v>9.115</v>
      </c>
      <c r="O2230" s="34" t="s">
        <v>601</v>
      </c>
      <c r="P2230" s="32" t="s">
        <v>602</v>
      </c>
      <c r="Q2230" s="35">
        <v>14.0</v>
      </c>
      <c r="R2230" s="35">
        <v>17.0</v>
      </c>
      <c r="S2230" s="36">
        <v>0.0246903</v>
      </c>
      <c r="T2230" s="36">
        <v>3.15695</v>
      </c>
      <c r="U2230" s="36">
        <v>0.157131474</v>
      </c>
      <c r="V2230" s="36">
        <v>1.776780797</v>
      </c>
      <c r="W2230" s="37" t="s">
        <v>1162</v>
      </c>
      <c r="X2230" s="31">
        <v>2.0</v>
      </c>
      <c r="Y2230" s="36">
        <v>-4.81849550688196</v>
      </c>
      <c r="Z2230" s="36">
        <v>2.9116141466875467</v>
      </c>
      <c r="AA2230" s="29" t="s">
        <v>820</v>
      </c>
      <c r="AB2230" s="31">
        <v>97.7075653076</v>
      </c>
      <c r="AC2230" s="38">
        <v>55.0</v>
      </c>
    </row>
    <row r="2231" ht="14.25" customHeight="1">
      <c r="A2231" s="29" t="s">
        <v>521</v>
      </c>
      <c r="B2231" s="29">
        <v>100.0</v>
      </c>
      <c r="C2231" s="29" t="s">
        <v>608</v>
      </c>
      <c r="D2231" s="29" t="s">
        <v>1447</v>
      </c>
      <c r="E2231" s="29">
        <v>285.0</v>
      </c>
      <c r="F2231" s="30" t="s">
        <v>1448</v>
      </c>
      <c r="G2231" s="29" t="s">
        <v>611</v>
      </c>
      <c r="H2231" s="31">
        <v>0.4865</v>
      </c>
      <c r="I2231" s="29" t="s">
        <v>616</v>
      </c>
      <c r="J2231" s="32" t="s">
        <v>642</v>
      </c>
      <c r="K2231" s="29" t="s">
        <v>840</v>
      </c>
      <c r="L2231" s="29" t="s">
        <v>1147</v>
      </c>
      <c r="M2231" s="33">
        <v>-79.633</v>
      </c>
      <c r="N2231" s="33">
        <v>9.115</v>
      </c>
      <c r="O2231" s="34" t="s">
        <v>601</v>
      </c>
      <c r="P2231" s="32" t="s">
        <v>602</v>
      </c>
      <c r="Q2231" s="35">
        <v>14.0</v>
      </c>
      <c r="R2231" s="35">
        <v>17.0</v>
      </c>
      <c r="S2231" s="36">
        <v>0.24186</v>
      </c>
      <c r="T2231" s="36">
        <v>0.0232558</v>
      </c>
      <c r="U2231" s="36">
        <v>0.491792639</v>
      </c>
      <c r="V2231" s="36">
        <v>0.152498525</v>
      </c>
      <c r="W2231" s="37" t="s">
        <v>780</v>
      </c>
      <c r="X2231" s="31">
        <v>2.0</v>
      </c>
      <c r="Y2231" s="36">
        <v>2.3418292902877034</v>
      </c>
      <c r="Z2231" s="36">
        <v>2.8247435341832734</v>
      </c>
      <c r="AA2231" s="29" t="s">
        <v>820</v>
      </c>
      <c r="AB2231" s="31">
        <v>97.7075653076</v>
      </c>
      <c r="AC2231" s="38">
        <v>55.0</v>
      </c>
    </row>
    <row r="2232" ht="14.25" customHeight="1">
      <c r="A2232" s="29" t="s">
        <v>521</v>
      </c>
      <c r="B2232" s="29">
        <v>100.0</v>
      </c>
      <c r="C2232" s="29" t="s">
        <v>608</v>
      </c>
      <c r="D2232" s="29" t="s">
        <v>1449</v>
      </c>
      <c r="E2232" s="29">
        <v>286.0</v>
      </c>
      <c r="F2232" s="30" t="s">
        <v>1450</v>
      </c>
      <c r="G2232" s="29" t="s">
        <v>615</v>
      </c>
      <c r="H2232" s="31">
        <v>0.25</v>
      </c>
      <c r="I2232" s="29" t="s">
        <v>597</v>
      </c>
      <c r="J2232" s="32" t="s">
        <v>642</v>
      </c>
      <c r="K2232" s="29" t="s">
        <v>840</v>
      </c>
      <c r="L2232" s="29" t="s">
        <v>1147</v>
      </c>
      <c r="M2232" s="33">
        <v>-79.633</v>
      </c>
      <c r="N2232" s="33">
        <v>9.115</v>
      </c>
      <c r="O2232" s="34" t="s">
        <v>601</v>
      </c>
      <c r="P2232" s="32" t="s">
        <v>602</v>
      </c>
      <c r="Q2232" s="35">
        <v>14.0</v>
      </c>
      <c r="R2232" s="35">
        <v>17.0</v>
      </c>
      <c r="S2232" s="36">
        <v>7.81609</v>
      </c>
      <c r="T2232" s="36">
        <v>37.0115</v>
      </c>
      <c r="U2232" s="36">
        <v>2.795727097</v>
      </c>
      <c r="V2232" s="36">
        <v>6.083707751</v>
      </c>
      <c r="W2232" s="37" t="s">
        <v>623</v>
      </c>
      <c r="X2232" s="31">
        <v>2.0</v>
      </c>
      <c r="Y2232" s="36">
        <v>-1.5538232947079522</v>
      </c>
      <c r="Z2232" s="36">
        <v>0.010727988885820768</v>
      </c>
      <c r="AA2232" s="29" t="s">
        <v>820</v>
      </c>
      <c r="AB2232" s="31">
        <v>97.7075653076</v>
      </c>
      <c r="AC2232" s="38">
        <v>55.0</v>
      </c>
    </row>
    <row r="2233" ht="14.25" customHeight="1">
      <c r="A2233" s="29" t="s">
        <v>521</v>
      </c>
      <c r="B2233" s="29">
        <v>100.0</v>
      </c>
      <c r="C2233" s="29" t="s">
        <v>608</v>
      </c>
      <c r="D2233" s="29" t="s">
        <v>968</v>
      </c>
      <c r="E2233" s="29">
        <v>186.0</v>
      </c>
      <c r="F2233" s="30" t="s">
        <v>969</v>
      </c>
      <c r="G2233" s="29" t="s">
        <v>695</v>
      </c>
      <c r="H2233" s="31">
        <v>4.21</v>
      </c>
      <c r="I2233" s="29" t="s">
        <v>620</v>
      </c>
      <c r="J2233" s="32" t="s">
        <v>642</v>
      </c>
      <c r="K2233" s="29" t="s">
        <v>840</v>
      </c>
      <c r="L2233" s="29" t="s">
        <v>1147</v>
      </c>
      <c r="M2233" s="33">
        <v>-79.633</v>
      </c>
      <c r="N2233" s="33">
        <v>9.115</v>
      </c>
      <c r="O2233" s="34" t="s">
        <v>601</v>
      </c>
      <c r="P2233" s="32" t="s">
        <v>602</v>
      </c>
      <c r="Q2233" s="35">
        <v>14.0</v>
      </c>
      <c r="R2233" s="35">
        <v>17.0</v>
      </c>
      <c r="S2233" s="36">
        <v>1.35838</v>
      </c>
      <c r="T2233" s="36">
        <v>3.3237</v>
      </c>
      <c r="U2233" s="36">
        <v>1.165495603</v>
      </c>
      <c r="V2233" s="36">
        <v>1.823101753</v>
      </c>
      <c r="W2233" s="37" t="s">
        <v>623</v>
      </c>
      <c r="X2233" s="31">
        <v>2.0</v>
      </c>
      <c r="Y2233" s="36">
        <v>-0.8941547337646001</v>
      </c>
      <c r="Z2233" s="36">
        <v>0.07028185147775468</v>
      </c>
      <c r="AA2233" s="29" t="s">
        <v>820</v>
      </c>
      <c r="AB2233" s="31">
        <v>97.7075653076</v>
      </c>
      <c r="AC2233" s="38">
        <v>55.0</v>
      </c>
    </row>
    <row r="2234" ht="14.25" customHeight="1">
      <c r="A2234" s="29" t="s">
        <v>521</v>
      </c>
      <c r="B2234" s="29">
        <v>100.0</v>
      </c>
      <c r="C2234" s="29" t="s">
        <v>608</v>
      </c>
      <c r="D2234" s="29" t="s">
        <v>955</v>
      </c>
      <c r="E2234" s="29">
        <v>3.0</v>
      </c>
      <c r="F2234" s="30" t="s">
        <v>956</v>
      </c>
      <c r="G2234" s="29" t="s">
        <v>611</v>
      </c>
      <c r="H2234" s="31">
        <v>7.27</v>
      </c>
      <c r="I2234" s="29" t="s">
        <v>612</v>
      </c>
      <c r="J2234" s="32" t="s">
        <v>642</v>
      </c>
      <c r="K2234" s="29" t="s">
        <v>840</v>
      </c>
      <c r="L2234" s="29" t="s">
        <v>1147</v>
      </c>
      <c r="M2234" s="33">
        <v>-79.702</v>
      </c>
      <c r="N2234" s="33">
        <v>9.101</v>
      </c>
      <c r="O2234" s="34" t="s">
        <v>641</v>
      </c>
      <c r="P2234" s="32" t="s">
        <v>602</v>
      </c>
      <c r="Q2234" s="35">
        <v>15.0</v>
      </c>
      <c r="R2234" s="35">
        <v>17.0</v>
      </c>
      <c r="S2234" s="36">
        <v>0.04109589</v>
      </c>
      <c r="T2234" s="36">
        <v>0.747126437</v>
      </c>
      <c r="U2234" s="36">
        <v>0.202721214</v>
      </c>
      <c r="V2234" s="36">
        <v>0.864364759</v>
      </c>
      <c r="W2234" s="37" t="s">
        <v>780</v>
      </c>
      <c r="X2234" s="31">
        <v>1.7</v>
      </c>
      <c r="Y2234" s="36">
        <v>-2.8956468574733054</v>
      </c>
      <c r="Z2234" s="36">
        <v>1.7009552939604389</v>
      </c>
      <c r="AA2234" s="29" t="s">
        <v>820</v>
      </c>
      <c r="AB2234" s="31">
        <v>611.174072266</v>
      </c>
      <c r="AC2234" s="38">
        <v>38.0</v>
      </c>
    </row>
    <row r="2235" ht="14.25" customHeight="1">
      <c r="A2235" s="29" t="s">
        <v>521</v>
      </c>
      <c r="B2235" s="29">
        <v>100.0</v>
      </c>
      <c r="C2235" s="29" t="s">
        <v>608</v>
      </c>
      <c r="D2235" s="29" t="s">
        <v>959</v>
      </c>
      <c r="E2235" s="29">
        <v>31.0</v>
      </c>
      <c r="F2235" s="30" t="s">
        <v>960</v>
      </c>
      <c r="G2235" s="29" t="s">
        <v>611</v>
      </c>
      <c r="H2235" s="31">
        <v>2.73</v>
      </c>
      <c r="I2235" s="29" t="s">
        <v>616</v>
      </c>
      <c r="J2235" s="32" t="s">
        <v>642</v>
      </c>
      <c r="K2235" s="29" t="s">
        <v>840</v>
      </c>
      <c r="L2235" s="29" t="s">
        <v>1147</v>
      </c>
      <c r="M2235" s="33">
        <v>-79.702</v>
      </c>
      <c r="N2235" s="33">
        <v>9.101</v>
      </c>
      <c r="O2235" s="34" t="s">
        <v>641</v>
      </c>
      <c r="P2235" s="32" t="s">
        <v>602</v>
      </c>
      <c r="Q2235" s="35">
        <v>15.0</v>
      </c>
      <c r="R2235" s="35">
        <v>17.0</v>
      </c>
      <c r="S2235" s="36">
        <v>0.054794521</v>
      </c>
      <c r="T2235" s="36">
        <v>0.24137931</v>
      </c>
      <c r="U2235" s="36">
        <v>0.234082294</v>
      </c>
      <c r="V2235" s="36">
        <v>0.491303684</v>
      </c>
      <c r="W2235" s="37" t="s">
        <v>780</v>
      </c>
      <c r="X2235" s="31">
        <v>1.7</v>
      </c>
      <c r="Y2235" s="36">
        <v>-1.4816435093952527</v>
      </c>
      <c r="Z2235" s="36">
        <v>1.4603641217648948</v>
      </c>
      <c r="AA2235" s="29" t="s">
        <v>820</v>
      </c>
      <c r="AB2235" s="31">
        <v>611.174072266</v>
      </c>
      <c r="AC2235" s="38">
        <v>38.0</v>
      </c>
    </row>
    <row r="2236" ht="14.25" customHeight="1">
      <c r="A2236" s="29" t="s">
        <v>521</v>
      </c>
      <c r="B2236" s="29">
        <v>100.0</v>
      </c>
      <c r="C2236" s="29" t="s">
        <v>608</v>
      </c>
      <c r="D2236" s="29" t="s">
        <v>961</v>
      </c>
      <c r="E2236" s="29">
        <v>73.0</v>
      </c>
      <c r="F2236" s="30" t="s">
        <v>962</v>
      </c>
      <c r="G2236" s="29" t="s">
        <v>615</v>
      </c>
      <c r="H2236" s="31">
        <v>2.67</v>
      </c>
      <c r="I2236" s="29" t="s">
        <v>616</v>
      </c>
      <c r="J2236" s="32" t="s">
        <v>642</v>
      </c>
      <c r="K2236" s="29" t="s">
        <v>840</v>
      </c>
      <c r="L2236" s="29" t="s">
        <v>1147</v>
      </c>
      <c r="M2236" s="33">
        <v>-79.702</v>
      </c>
      <c r="N2236" s="33">
        <v>9.101</v>
      </c>
      <c r="O2236" s="34" t="s">
        <v>641</v>
      </c>
      <c r="P2236" s="32" t="s">
        <v>602</v>
      </c>
      <c r="Q2236" s="35">
        <v>15.0</v>
      </c>
      <c r="R2236" s="35">
        <v>17.0</v>
      </c>
      <c r="S2236" s="36">
        <v>21.9653</v>
      </c>
      <c r="T2236" s="36">
        <v>98.8439</v>
      </c>
      <c r="U2236" s="36">
        <v>4.686715268</v>
      </c>
      <c r="V2236" s="36">
        <v>9.942026956</v>
      </c>
      <c r="W2236" s="37" t="s">
        <v>623</v>
      </c>
      <c r="X2236" s="31">
        <v>1.7</v>
      </c>
      <c r="Y2236" s="36">
        <v>-1.5029175847543712</v>
      </c>
      <c r="Z2236" s="36">
        <v>0.0036302056192413796</v>
      </c>
      <c r="AA2236" s="29" t="s">
        <v>820</v>
      </c>
      <c r="AB2236" s="31">
        <v>611.174072266</v>
      </c>
      <c r="AC2236" s="38">
        <v>38.0</v>
      </c>
    </row>
    <row r="2237" ht="14.25" customHeight="1">
      <c r="A2237" s="29" t="s">
        <v>521</v>
      </c>
      <c r="B2237" s="29">
        <v>100.0</v>
      </c>
      <c r="C2237" s="29" t="s">
        <v>608</v>
      </c>
      <c r="D2237" s="29" t="s">
        <v>973</v>
      </c>
      <c r="E2237" s="29">
        <v>243.0</v>
      </c>
      <c r="F2237" s="30" t="s">
        <v>974</v>
      </c>
      <c r="G2237" s="29" t="s">
        <v>656</v>
      </c>
      <c r="H2237" s="31">
        <v>1.09</v>
      </c>
      <c r="I2237" s="29" t="s">
        <v>657</v>
      </c>
      <c r="J2237" s="32" t="s">
        <v>642</v>
      </c>
      <c r="K2237" s="29" t="s">
        <v>840</v>
      </c>
      <c r="L2237" s="29" t="s">
        <v>1147</v>
      </c>
      <c r="M2237" s="33">
        <v>-79.702</v>
      </c>
      <c r="N2237" s="33">
        <v>9.101</v>
      </c>
      <c r="O2237" s="34" t="s">
        <v>641</v>
      </c>
      <c r="P2237" s="32" t="s">
        <v>602</v>
      </c>
      <c r="Q2237" s="35">
        <v>15.0</v>
      </c>
      <c r="R2237" s="35">
        <v>17.0</v>
      </c>
      <c r="S2237" s="36">
        <v>0.684375</v>
      </c>
      <c r="T2237" s="36">
        <v>0.478</v>
      </c>
      <c r="U2237" s="36">
        <v>0.827269605</v>
      </c>
      <c r="V2237" s="36">
        <v>0.691375441</v>
      </c>
      <c r="W2237" s="37" t="s">
        <v>1162</v>
      </c>
      <c r="X2237" s="31">
        <v>1.7</v>
      </c>
      <c r="Y2237" s="36">
        <v>0.3590754622901692</v>
      </c>
      <c r="Z2237" s="36">
        <v>0.22047425800224155</v>
      </c>
      <c r="AA2237" s="29" t="s">
        <v>820</v>
      </c>
      <c r="AB2237" s="31">
        <v>611.174072266</v>
      </c>
      <c r="AC2237" s="38">
        <v>38.0</v>
      </c>
    </row>
    <row r="2238" ht="14.25" customHeight="1">
      <c r="A2238" s="29" t="s">
        <v>521</v>
      </c>
      <c r="B2238" s="29">
        <v>100.0</v>
      </c>
      <c r="C2238" s="29" t="s">
        <v>608</v>
      </c>
      <c r="D2238" s="29" t="s">
        <v>1443</v>
      </c>
      <c r="E2238" s="29">
        <v>279.0</v>
      </c>
      <c r="F2238" s="30" t="s">
        <v>1444</v>
      </c>
      <c r="G2238" s="29" t="s">
        <v>626</v>
      </c>
      <c r="H2238" s="31">
        <f>AVERAGE(22.8,55.508)</f>
        <v>39.154</v>
      </c>
      <c r="I2238" s="29" t="s">
        <v>612</v>
      </c>
      <c r="J2238" s="32" t="s">
        <v>642</v>
      </c>
      <c r="K2238" s="29" t="s">
        <v>840</v>
      </c>
      <c r="L2238" s="29" t="s">
        <v>1147</v>
      </c>
      <c r="M2238" s="33">
        <v>-79.702</v>
      </c>
      <c r="N2238" s="33">
        <v>9.101</v>
      </c>
      <c r="O2238" s="34" t="s">
        <v>641</v>
      </c>
      <c r="P2238" s="32" t="s">
        <v>602</v>
      </c>
      <c r="Q2238" s="35">
        <v>15.0</v>
      </c>
      <c r="R2238" s="35">
        <v>17.0</v>
      </c>
      <c r="S2238" s="36">
        <v>0.0</v>
      </c>
      <c r="T2238" s="36">
        <v>2.4104</v>
      </c>
      <c r="U2238" s="36">
        <v>0.0</v>
      </c>
      <c r="V2238" s="36">
        <v>1.552546296</v>
      </c>
      <c r="W2238" s="37" t="s">
        <v>780</v>
      </c>
      <c r="X2238" s="31">
        <v>1.7</v>
      </c>
      <c r="Y2238" s="36">
        <v>-8.262558973010657</v>
      </c>
      <c r="Z2238" s="36">
        <v>0.09592379106979732</v>
      </c>
      <c r="AA2238" s="29" t="s">
        <v>820</v>
      </c>
      <c r="AB2238" s="31">
        <v>611.174072266</v>
      </c>
      <c r="AC2238" s="38">
        <v>38.0</v>
      </c>
    </row>
    <row r="2239" ht="14.25" customHeight="1">
      <c r="A2239" s="29" t="s">
        <v>521</v>
      </c>
      <c r="B2239" s="29">
        <v>100.0</v>
      </c>
      <c r="C2239" s="29" t="s">
        <v>608</v>
      </c>
      <c r="D2239" s="29" t="s">
        <v>853</v>
      </c>
      <c r="E2239" s="29">
        <v>110.0</v>
      </c>
      <c r="F2239" s="30" t="s">
        <v>854</v>
      </c>
      <c r="G2239" s="29" t="s">
        <v>629</v>
      </c>
      <c r="H2239" s="31">
        <v>4.03</v>
      </c>
      <c r="I2239" s="29" t="s">
        <v>597</v>
      </c>
      <c r="J2239" s="32" t="s">
        <v>642</v>
      </c>
      <c r="K2239" s="29" t="s">
        <v>840</v>
      </c>
      <c r="L2239" s="29" t="s">
        <v>1147</v>
      </c>
      <c r="M2239" s="33">
        <v>-79.702</v>
      </c>
      <c r="N2239" s="33">
        <v>9.101</v>
      </c>
      <c r="O2239" s="34" t="s">
        <v>641</v>
      </c>
      <c r="P2239" s="32" t="s">
        <v>602</v>
      </c>
      <c r="Q2239" s="35">
        <v>15.0</v>
      </c>
      <c r="R2239" s="35">
        <v>17.0</v>
      </c>
      <c r="S2239" s="36">
        <v>26.7052</v>
      </c>
      <c r="T2239" s="36">
        <v>56.8786</v>
      </c>
      <c r="U2239" s="36">
        <v>5.167707422</v>
      </c>
      <c r="V2239" s="36">
        <v>7.541790238</v>
      </c>
      <c r="W2239" s="37" t="s">
        <v>623</v>
      </c>
      <c r="X2239" s="31">
        <v>1.7</v>
      </c>
      <c r="Y2239" s="36">
        <v>-0.7555115178720857</v>
      </c>
      <c r="Z2239" s="36">
        <v>0.0035305871090578864</v>
      </c>
      <c r="AA2239" s="29" t="s">
        <v>820</v>
      </c>
      <c r="AB2239" s="31">
        <v>611.174072266</v>
      </c>
      <c r="AC2239" s="38">
        <v>38.0</v>
      </c>
    </row>
    <row r="2240" ht="14.25" customHeight="1">
      <c r="A2240" s="29" t="s">
        <v>521</v>
      </c>
      <c r="B2240" s="29">
        <v>100.0</v>
      </c>
      <c r="C2240" s="29" t="s">
        <v>608</v>
      </c>
      <c r="D2240" s="29" t="s">
        <v>630</v>
      </c>
      <c r="E2240" s="29">
        <v>129.0</v>
      </c>
      <c r="F2240" s="30" t="s">
        <v>631</v>
      </c>
      <c r="G2240" s="29" t="s">
        <v>626</v>
      </c>
      <c r="H2240" s="31">
        <v>21.27</v>
      </c>
      <c r="I2240" s="29" t="s">
        <v>612</v>
      </c>
      <c r="J2240" s="32" t="s">
        <v>642</v>
      </c>
      <c r="K2240" s="29" t="s">
        <v>840</v>
      </c>
      <c r="L2240" s="29" t="s">
        <v>1147</v>
      </c>
      <c r="M2240" s="33">
        <v>-79.702</v>
      </c>
      <c r="N2240" s="33">
        <v>9.101</v>
      </c>
      <c r="O2240" s="34" t="s">
        <v>641</v>
      </c>
      <c r="P2240" s="32" t="s">
        <v>602</v>
      </c>
      <c r="Q2240" s="35">
        <v>15.0</v>
      </c>
      <c r="R2240" s="35">
        <v>17.0</v>
      </c>
      <c r="S2240" s="36">
        <v>1.21387</v>
      </c>
      <c r="T2240" s="36">
        <v>6.838</v>
      </c>
      <c r="U2240" s="36">
        <v>1.101757687</v>
      </c>
      <c r="V2240" s="36">
        <v>2.614956979</v>
      </c>
      <c r="W2240" s="37" t="s">
        <v>623</v>
      </c>
      <c r="X2240" s="31">
        <v>1.7</v>
      </c>
      <c r="Y2240" s="36">
        <v>-1.7272293836172217</v>
      </c>
      <c r="Z2240" s="36">
        <v>0.06352320964649169</v>
      </c>
      <c r="AA2240" s="29" t="s">
        <v>820</v>
      </c>
      <c r="AB2240" s="31">
        <v>611.174072266</v>
      </c>
      <c r="AC2240" s="38">
        <v>38.0</v>
      </c>
    </row>
    <row r="2241" ht="14.25" customHeight="1">
      <c r="A2241" s="29" t="s">
        <v>521</v>
      </c>
      <c r="B2241" s="29">
        <v>100.0</v>
      </c>
      <c r="C2241" s="29" t="s">
        <v>608</v>
      </c>
      <c r="D2241" s="29" t="s">
        <v>1445</v>
      </c>
      <c r="E2241" s="29">
        <v>284.0</v>
      </c>
      <c r="F2241" s="30" t="s">
        <v>1446</v>
      </c>
      <c r="G2241" s="29" t="s">
        <v>615</v>
      </c>
      <c r="H2241" s="31">
        <v>0.36</v>
      </c>
      <c r="I2241" s="29" t="s">
        <v>612</v>
      </c>
      <c r="J2241" s="32" t="s">
        <v>642</v>
      </c>
      <c r="K2241" s="29" t="s">
        <v>840</v>
      </c>
      <c r="L2241" s="29" t="s">
        <v>1147</v>
      </c>
      <c r="M2241" s="33">
        <v>-79.702</v>
      </c>
      <c r="N2241" s="33">
        <v>9.101</v>
      </c>
      <c r="O2241" s="34" t="s">
        <v>641</v>
      </c>
      <c r="P2241" s="32" t="s">
        <v>602</v>
      </c>
      <c r="Q2241" s="35">
        <v>15.0</v>
      </c>
      <c r="R2241" s="35">
        <v>17.0</v>
      </c>
      <c r="S2241" s="36">
        <v>0.346516</v>
      </c>
      <c r="T2241" s="36">
        <v>3.15695</v>
      </c>
      <c r="U2241" s="36">
        <v>0.588656097</v>
      </c>
      <c r="V2241" s="36">
        <v>1.776780797</v>
      </c>
      <c r="W2241" s="37" t="s">
        <v>1162</v>
      </c>
      <c r="X2241" s="31">
        <v>1.7</v>
      </c>
      <c r="Y2241" s="36">
        <v>-2.2070849130152874</v>
      </c>
      <c r="Z2241" s="36">
        <v>0.21102433419138772</v>
      </c>
      <c r="AA2241" s="29" t="s">
        <v>820</v>
      </c>
      <c r="AB2241" s="31">
        <v>611.174072266</v>
      </c>
      <c r="AC2241" s="38">
        <v>38.0</v>
      </c>
    </row>
    <row r="2242" ht="14.25" customHeight="1">
      <c r="A2242" s="29" t="s">
        <v>521</v>
      </c>
      <c r="B2242" s="29">
        <v>100.0</v>
      </c>
      <c r="C2242" s="29" t="s">
        <v>608</v>
      </c>
      <c r="D2242" s="29" t="s">
        <v>1447</v>
      </c>
      <c r="E2242" s="29">
        <v>285.0</v>
      </c>
      <c r="F2242" s="30" t="s">
        <v>1448</v>
      </c>
      <c r="G2242" s="29" t="s">
        <v>611</v>
      </c>
      <c r="H2242" s="31">
        <v>0.4865</v>
      </c>
      <c r="I2242" s="29" t="s">
        <v>616</v>
      </c>
      <c r="J2242" s="32" t="s">
        <v>642</v>
      </c>
      <c r="K2242" s="29" t="s">
        <v>840</v>
      </c>
      <c r="L2242" s="29" t="s">
        <v>1147</v>
      </c>
      <c r="M2242" s="33">
        <v>-79.702</v>
      </c>
      <c r="N2242" s="33">
        <v>9.101</v>
      </c>
      <c r="O2242" s="34" t="s">
        <v>641</v>
      </c>
      <c r="P2242" s="32" t="s">
        <v>602</v>
      </c>
      <c r="Q2242" s="35">
        <v>15.0</v>
      </c>
      <c r="R2242" s="35">
        <v>17.0</v>
      </c>
      <c r="S2242" s="36">
        <v>0.3465</v>
      </c>
      <c r="T2242" s="36">
        <v>0.0232558</v>
      </c>
      <c r="U2242" s="36">
        <v>0.588642506</v>
      </c>
      <c r="V2242" s="36">
        <v>0.152498525</v>
      </c>
      <c r="W2242" s="37" t="s">
        <v>780</v>
      </c>
      <c r="X2242" s="31">
        <v>1.7</v>
      </c>
      <c r="Y2242" s="36">
        <v>2.701345571060045</v>
      </c>
      <c r="Z2242" s="36">
        <v>2.7218134885140732</v>
      </c>
      <c r="AA2242" s="29" t="s">
        <v>820</v>
      </c>
      <c r="AB2242" s="31">
        <v>611.174072266</v>
      </c>
      <c r="AC2242" s="38">
        <v>38.0</v>
      </c>
    </row>
    <row r="2243" ht="14.25" customHeight="1">
      <c r="A2243" s="29" t="s">
        <v>521</v>
      </c>
      <c r="B2243" s="29">
        <v>100.0</v>
      </c>
      <c r="C2243" s="29" t="s">
        <v>608</v>
      </c>
      <c r="D2243" s="29" t="s">
        <v>1449</v>
      </c>
      <c r="E2243" s="29">
        <v>286.0</v>
      </c>
      <c r="F2243" s="30" t="s">
        <v>1450</v>
      </c>
      <c r="G2243" s="29" t="s">
        <v>615</v>
      </c>
      <c r="H2243" s="31">
        <v>0.25</v>
      </c>
      <c r="I2243" s="29" t="s">
        <v>597</v>
      </c>
      <c r="J2243" s="32" t="s">
        <v>642</v>
      </c>
      <c r="K2243" s="29" t="s">
        <v>840</v>
      </c>
      <c r="L2243" s="29" t="s">
        <v>1147</v>
      </c>
      <c r="M2243" s="33">
        <v>-79.702</v>
      </c>
      <c r="N2243" s="33">
        <v>9.101</v>
      </c>
      <c r="O2243" s="34" t="s">
        <v>641</v>
      </c>
      <c r="P2243" s="32" t="s">
        <v>602</v>
      </c>
      <c r="Q2243" s="35">
        <v>15.0</v>
      </c>
      <c r="R2243" s="35">
        <v>17.0</v>
      </c>
      <c r="S2243" s="36">
        <v>29.8851</v>
      </c>
      <c r="T2243" s="36">
        <v>37.0115</v>
      </c>
      <c r="U2243" s="36">
        <v>5.466726626</v>
      </c>
      <c r="V2243" s="36">
        <v>6.083707751</v>
      </c>
      <c r="W2243" s="37" t="s">
        <v>623</v>
      </c>
      <c r="X2243" s="31">
        <v>1.7</v>
      </c>
      <c r="Y2243" s="36">
        <v>-0.21354917765246995</v>
      </c>
      <c r="Z2243" s="36">
        <v>0.0038200971943917333</v>
      </c>
      <c r="AA2243" s="29" t="s">
        <v>820</v>
      </c>
      <c r="AB2243" s="31">
        <v>611.174072266</v>
      </c>
      <c r="AC2243" s="38">
        <v>38.0</v>
      </c>
    </row>
    <row r="2244" ht="14.25" customHeight="1">
      <c r="A2244" s="29" t="s">
        <v>521</v>
      </c>
      <c r="B2244" s="29">
        <v>100.0</v>
      </c>
      <c r="C2244" s="29" t="s">
        <v>608</v>
      </c>
      <c r="D2244" s="29" t="s">
        <v>968</v>
      </c>
      <c r="E2244" s="29">
        <v>186.0</v>
      </c>
      <c r="F2244" s="30" t="s">
        <v>969</v>
      </c>
      <c r="G2244" s="29" t="s">
        <v>695</v>
      </c>
      <c r="H2244" s="31">
        <v>4.21</v>
      </c>
      <c r="I2244" s="29" t="s">
        <v>620</v>
      </c>
      <c r="J2244" s="32" t="s">
        <v>642</v>
      </c>
      <c r="K2244" s="29" t="s">
        <v>840</v>
      </c>
      <c r="L2244" s="29" t="s">
        <v>1147</v>
      </c>
      <c r="M2244" s="33">
        <v>-79.702</v>
      </c>
      <c r="N2244" s="33">
        <v>9.101</v>
      </c>
      <c r="O2244" s="34" t="s">
        <v>641</v>
      </c>
      <c r="P2244" s="32" t="s">
        <v>602</v>
      </c>
      <c r="Q2244" s="35">
        <v>15.0</v>
      </c>
      <c r="R2244" s="35">
        <v>17.0</v>
      </c>
      <c r="S2244" s="36">
        <v>2.65896</v>
      </c>
      <c r="T2244" s="36">
        <v>3.3237</v>
      </c>
      <c r="U2244" s="36">
        <v>1.630631779</v>
      </c>
      <c r="V2244" s="36">
        <v>1.823101753</v>
      </c>
      <c r="W2244" s="37" t="s">
        <v>623</v>
      </c>
      <c r="X2244" s="31">
        <v>1.7</v>
      </c>
      <c r="Y2244" s="36">
        <v>-0.2228211058853044</v>
      </c>
      <c r="Z2244" s="36">
        <v>0.04277066604554723</v>
      </c>
      <c r="AA2244" s="29" t="s">
        <v>820</v>
      </c>
      <c r="AB2244" s="31">
        <v>611.174072266</v>
      </c>
      <c r="AC2244" s="38">
        <v>38.0</v>
      </c>
    </row>
    <row r="2245" ht="14.25" customHeight="1">
      <c r="A2245" s="29" t="s">
        <v>521</v>
      </c>
      <c r="B2245" s="29">
        <v>100.0</v>
      </c>
      <c r="C2245" s="29" t="s">
        <v>608</v>
      </c>
      <c r="D2245" s="29" t="s">
        <v>955</v>
      </c>
      <c r="E2245" s="29">
        <v>3.0</v>
      </c>
      <c r="F2245" s="30" t="s">
        <v>956</v>
      </c>
      <c r="G2245" s="29" t="s">
        <v>611</v>
      </c>
      <c r="H2245" s="31">
        <v>7.27</v>
      </c>
      <c r="I2245" s="29" t="s">
        <v>612</v>
      </c>
      <c r="J2245" s="32" t="s">
        <v>642</v>
      </c>
      <c r="K2245" s="29" t="s">
        <v>840</v>
      </c>
      <c r="L2245" s="29" t="s">
        <v>1147</v>
      </c>
      <c r="M2245" s="33">
        <v>-79.71</v>
      </c>
      <c r="N2245" s="33">
        <v>9.137</v>
      </c>
      <c r="O2245" s="34" t="s">
        <v>601</v>
      </c>
      <c r="P2245" s="32" t="s">
        <v>602</v>
      </c>
      <c r="Q2245" s="35">
        <v>16.0</v>
      </c>
      <c r="R2245" s="35">
        <v>17.0</v>
      </c>
      <c r="S2245" s="36">
        <v>0.609756098</v>
      </c>
      <c r="T2245" s="36">
        <v>0.747126437</v>
      </c>
      <c r="U2245" s="36">
        <v>0.780868809</v>
      </c>
      <c r="V2245" s="36">
        <v>0.864364759</v>
      </c>
      <c r="W2245" s="37" t="s">
        <v>780</v>
      </c>
      <c r="X2245" s="31">
        <v>2.3</v>
      </c>
      <c r="Y2245" s="36">
        <v>-0.20285932099655335</v>
      </c>
      <c r="Z2245" s="36">
        <v>0.1812330313452524</v>
      </c>
      <c r="AA2245" s="29" t="s">
        <v>820</v>
      </c>
      <c r="AB2245" s="31">
        <v>611.438232422</v>
      </c>
      <c r="AC2245" s="38">
        <v>41.0</v>
      </c>
    </row>
    <row r="2246" ht="14.25" customHeight="1">
      <c r="A2246" s="29" t="s">
        <v>521</v>
      </c>
      <c r="B2246" s="29">
        <v>100.0</v>
      </c>
      <c r="C2246" s="29" t="s">
        <v>608</v>
      </c>
      <c r="D2246" s="29" t="s">
        <v>959</v>
      </c>
      <c r="E2246" s="29">
        <v>31.0</v>
      </c>
      <c r="F2246" s="30" t="s">
        <v>960</v>
      </c>
      <c r="G2246" s="29" t="s">
        <v>611</v>
      </c>
      <c r="H2246" s="31">
        <v>2.73</v>
      </c>
      <c r="I2246" s="29" t="s">
        <v>616</v>
      </c>
      <c r="J2246" s="32" t="s">
        <v>642</v>
      </c>
      <c r="K2246" s="29" t="s">
        <v>840</v>
      </c>
      <c r="L2246" s="29" t="s">
        <v>1147</v>
      </c>
      <c r="M2246" s="33">
        <v>-79.71</v>
      </c>
      <c r="N2246" s="33">
        <v>9.137</v>
      </c>
      <c r="O2246" s="34" t="s">
        <v>601</v>
      </c>
      <c r="P2246" s="32" t="s">
        <v>602</v>
      </c>
      <c r="Q2246" s="35">
        <v>16.0</v>
      </c>
      <c r="R2246" s="35">
        <v>17.0</v>
      </c>
      <c r="S2246" s="36">
        <v>0.195121951</v>
      </c>
      <c r="T2246" s="36">
        <v>0.24137931</v>
      </c>
      <c r="U2246" s="36">
        <v>0.441726104</v>
      </c>
      <c r="V2246" s="36">
        <v>0.491303684</v>
      </c>
      <c r="W2246" s="37" t="s">
        <v>780</v>
      </c>
      <c r="X2246" s="31">
        <v>2.3</v>
      </c>
      <c r="Y2246" s="36">
        <v>-0.21242573347113736</v>
      </c>
      <c r="Z2246" s="36">
        <v>0.5640099795373728</v>
      </c>
      <c r="AA2246" s="29" t="s">
        <v>820</v>
      </c>
      <c r="AB2246" s="31">
        <v>611.438232422</v>
      </c>
      <c r="AC2246" s="38">
        <v>41.0</v>
      </c>
    </row>
    <row r="2247" ht="14.25" customHeight="1">
      <c r="A2247" s="29" t="s">
        <v>521</v>
      </c>
      <c r="B2247" s="29">
        <v>100.0</v>
      </c>
      <c r="C2247" s="29" t="s">
        <v>608</v>
      </c>
      <c r="D2247" s="29" t="s">
        <v>961</v>
      </c>
      <c r="E2247" s="29">
        <v>73.0</v>
      </c>
      <c r="F2247" s="30" t="s">
        <v>962</v>
      </c>
      <c r="G2247" s="29" t="s">
        <v>615</v>
      </c>
      <c r="H2247" s="31">
        <v>2.67</v>
      </c>
      <c r="I2247" s="29" t="s">
        <v>616</v>
      </c>
      <c r="J2247" s="32" t="s">
        <v>642</v>
      </c>
      <c r="K2247" s="29" t="s">
        <v>840</v>
      </c>
      <c r="L2247" s="29" t="s">
        <v>1147</v>
      </c>
      <c r="M2247" s="33">
        <v>-79.71</v>
      </c>
      <c r="N2247" s="33">
        <v>9.137</v>
      </c>
      <c r="O2247" s="34" t="s">
        <v>601</v>
      </c>
      <c r="P2247" s="32" t="s">
        <v>602</v>
      </c>
      <c r="Q2247" s="35">
        <v>16.0</v>
      </c>
      <c r="R2247" s="35">
        <v>17.0</v>
      </c>
      <c r="S2247" s="36">
        <v>13.2948</v>
      </c>
      <c r="T2247" s="36">
        <v>98.8439</v>
      </c>
      <c r="U2247" s="36">
        <v>3.646203505</v>
      </c>
      <c r="V2247" s="36">
        <v>9.942026956</v>
      </c>
      <c r="W2247" s="37" t="s">
        <v>623</v>
      </c>
      <c r="X2247" s="31">
        <v>2.3</v>
      </c>
      <c r="Y2247" s="36">
        <v>-2.004252536394482</v>
      </c>
      <c r="Z2247" s="36">
        <v>0.005296201562389009</v>
      </c>
      <c r="AA2247" s="29" t="s">
        <v>820</v>
      </c>
      <c r="AB2247" s="31">
        <v>611.438232422</v>
      </c>
      <c r="AC2247" s="38">
        <v>41.0</v>
      </c>
    </row>
    <row r="2248" ht="14.25" customHeight="1">
      <c r="A2248" s="29" t="s">
        <v>521</v>
      </c>
      <c r="B2248" s="29">
        <v>100.0</v>
      </c>
      <c r="C2248" s="29" t="s">
        <v>608</v>
      </c>
      <c r="D2248" s="29" t="s">
        <v>973</v>
      </c>
      <c r="E2248" s="29">
        <v>243.0</v>
      </c>
      <c r="F2248" s="30" t="s">
        <v>974</v>
      </c>
      <c r="G2248" s="29" t="s">
        <v>656</v>
      </c>
      <c r="H2248" s="31">
        <v>1.09</v>
      </c>
      <c r="I2248" s="29" t="s">
        <v>657</v>
      </c>
      <c r="J2248" s="32" t="s">
        <v>642</v>
      </c>
      <c r="K2248" s="29" t="s">
        <v>840</v>
      </c>
      <c r="L2248" s="29" t="s">
        <v>1147</v>
      </c>
      <c r="M2248" s="33">
        <v>-79.71</v>
      </c>
      <c r="N2248" s="33">
        <v>9.137</v>
      </c>
      <c r="O2248" s="34" t="s">
        <v>601</v>
      </c>
      <c r="P2248" s="32" t="s">
        <v>602</v>
      </c>
      <c r="Q2248" s="35">
        <v>16.0</v>
      </c>
      <c r="R2248" s="35">
        <v>17.0</v>
      </c>
      <c r="S2248" s="36">
        <v>1.00312</v>
      </c>
      <c r="T2248" s="36">
        <v>0.478</v>
      </c>
      <c r="U2248" s="36">
        <v>1.001558785</v>
      </c>
      <c r="V2248" s="36">
        <v>0.691375441</v>
      </c>
      <c r="W2248" s="37" t="s">
        <v>1162</v>
      </c>
      <c r="X2248" s="31">
        <v>2.3</v>
      </c>
      <c r="Y2248" s="36">
        <v>0.7413826212767484</v>
      </c>
      <c r="Z2248" s="36">
        <v>0.18536738361559724</v>
      </c>
      <c r="AA2248" s="29" t="s">
        <v>820</v>
      </c>
      <c r="AB2248" s="31">
        <v>611.438232422</v>
      </c>
      <c r="AC2248" s="38">
        <v>41.0</v>
      </c>
    </row>
    <row r="2249" ht="14.25" customHeight="1">
      <c r="A2249" s="29" t="s">
        <v>521</v>
      </c>
      <c r="B2249" s="29">
        <v>100.0</v>
      </c>
      <c r="C2249" s="29" t="s">
        <v>608</v>
      </c>
      <c r="D2249" s="29" t="s">
        <v>1443</v>
      </c>
      <c r="E2249" s="29">
        <v>279.0</v>
      </c>
      <c r="F2249" s="30" t="s">
        <v>1444</v>
      </c>
      <c r="G2249" s="29" t="s">
        <v>626</v>
      </c>
      <c r="H2249" s="31">
        <f>AVERAGE(22.8,55.508)</f>
        <v>39.154</v>
      </c>
      <c r="I2249" s="29" t="s">
        <v>612</v>
      </c>
      <c r="J2249" s="32" t="s">
        <v>642</v>
      </c>
      <c r="K2249" s="29" t="s">
        <v>840</v>
      </c>
      <c r="L2249" s="29" t="s">
        <v>1147</v>
      </c>
      <c r="M2249" s="33">
        <v>-79.71</v>
      </c>
      <c r="N2249" s="33">
        <v>9.137</v>
      </c>
      <c r="O2249" s="34" t="s">
        <v>601</v>
      </c>
      <c r="P2249" s="32" t="s">
        <v>602</v>
      </c>
      <c r="Q2249" s="35">
        <v>16.0</v>
      </c>
      <c r="R2249" s="35">
        <v>17.0</v>
      </c>
      <c r="S2249" s="36">
        <v>0.763006</v>
      </c>
      <c r="T2249" s="36">
        <v>2.4104</v>
      </c>
      <c r="U2249" s="36">
        <v>0.873502147</v>
      </c>
      <c r="V2249" s="36">
        <v>1.552546296</v>
      </c>
      <c r="W2249" s="37" t="s">
        <v>780</v>
      </c>
      <c r="X2249" s="31">
        <v>2.3</v>
      </c>
      <c r="Y2249" s="36">
        <v>-1.1494673876930421</v>
      </c>
      <c r="Z2249" s="36">
        <v>0.10631690833176263</v>
      </c>
      <c r="AA2249" s="29" t="s">
        <v>820</v>
      </c>
      <c r="AB2249" s="31">
        <v>611.438232422</v>
      </c>
      <c r="AC2249" s="38">
        <v>41.0</v>
      </c>
    </row>
    <row r="2250" ht="14.25" customHeight="1">
      <c r="A2250" s="29" t="s">
        <v>521</v>
      </c>
      <c r="B2250" s="29">
        <v>100.0</v>
      </c>
      <c r="C2250" s="29" t="s">
        <v>608</v>
      </c>
      <c r="D2250" s="29" t="s">
        <v>853</v>
      </c>
      <c r="E2250" s="29">
        <v>110.0</v>
      </c>
      <c r="F2250" s="30" t="s">
        <v>854</v>
      </c>
      <c r="G2250" s="29" t="s">
        <v>629</v>
      </c>
      <c r="H2250" s="31">
        <v>4.03</v>
      </c>
      <c r="I2250" s="29" t="s">
        <v>597</v>
      </c>
      <c r="J2250" s="32" t="s">
        <v>642</v>
      </c>
      <c r="K2250" s="29" t="s">
        <v>840</v>
      </c>
      <c r="L2250" s="29" t="s">
        <v>1147</v>
      </c>
      <c r="M2250" s="33">
        <v>-79.71</v>
      </c>
      <c r="N2250" s="33">
        <v>9.137</v>
      </c>
      <c r="O2250" s="34" t="s">
        <v>601</v>
      </c>
      <c r="P2250" s="32" t="s">
        <v>602</v>
      </c>
      <c r="Q2250" s="35">
        <v>16.0</v>
      </c>
      <c r="R2250" s="35">
        <v>17.0</v>
      </c>
      <c r="S2250" s="36">
        <v>23.237</v>
      </c>
      <c r="T2250" s="36">
        <v>56.8786</v>
      </c>
      <c r="U2250" s="36">
        <v>4.820477155</v>
      </c>
      <c r="V2250" s="36">
        <v>7.541790238</v>
      </c>
      <c r="W2250" s="37" t="s">
        <v>623</v>
      </c>
      <c r="X2250" s="31">
        <v>2.3</v>
      </c>
      <c r="Y2250" s="36">
        <v>-0.8945420183851209</v>
      </c>
      <c r="Z2250" s="36">
        <v>0.0037238703446432066</v>
      </c>
      <c r="AA2250" s="29" t="s">
        <v>820</v>
      </c>
      <c r="AB2250" s="31">
        <v>611.438232422</v>
      </c>
      <c r="AC2250" s="38">
        <v>41.0</v>
      </c>
    </row>
    <row r="2251" ht="14.25" customHeight="1">
      <c r="A2251" s="29" t="s">
        <v>521</v>
      </c>
      <c r="B2251" s="29">
        <v>100.0</v>
      </c>
      <c r="C2251" s="29" t="s">
        <v>608</v>
      </c>
      <c r="D2251" s="29" t="s">
        <v>630</v>
      </c>
      <c r="E2251" s="29">
        <v>129.0</v>
      </c>
      <c r="F2251" s="30" t="s">
        <v>631</v>
      </c>
      <c r="G2251" s="29" t="s">
        <v>626</v>
      </c>
      <c r="H2251" s="31">
        <v>21.27</v>
      </c>
      <c r="I2251" s="29" t="s">
        <v>612</v>
      </c>
      <c r="J2251" s="32" t="s">
        <v>642</v>
      </c>
      <c r="K2251" s="29" t="s">
        <v>840</v>
      </c>
      <c r="L2251" s="29" t="s">
        <v>1147</v>
      </c>
      <c r="M2251" s="33">
        <v>-79.71</v>
      </c>
      <c r="N2251" s="33">
        <v>9.137</v>
      </c>
      <c r="O2251" s="34" t="s">
        <v>601</v>
      </c>
      <c r="P2251" s="32" t="s">
        <v>602</v>
      </c>
      <c r="Q2251" s="35">
        <v>16.0</v>
      </c>
      <c r="R2251" s="35">
        <v>17.0</v>
      </c>
      <c r="S2251" s="36">
        <v>1.6185</v>
      </c>
      <c r="T2251" s="36">
        <v>6.838</v>
      </c>
      <c r="U2251" s="36">
        <v>1.272202814</v>
      </c>
      <c r="V2251" s="36">
        <v>2.614956979</v>
      </c>
      <c r="W2251" s="37" t="s">
        <v>623</v>
      </c>
      <c r="X2251" s="31">
        <v>2.3</v>
      </c>
      <c r="Y2251" s="36">
        <v>-1.4399060750921033</v>
      </c>
      <c r="Z2251" s="36">
        <v>0.047218449008556734</v>
      </c>
      <c r="AA2251" s="29" t="s">
        <v>820</v>
      </c>
      <c r="AB2251" s="31">
        <v>611.438232422</v>
      </c>
      <c r="AC2251" s="38">
        <v>41.0</v>
      </c>
    </row>
    <row r="2252" ht="14.25" customHeight="1">
      <c r="A2252" s="29" t="s">
        <v>521</v>
      </c>
      <c r="B2252" s="29">
        <v>100.0</v>
      </c>
      <c r="C2252" s="29" t="s">
        <v>608</v>
      </c>
      <c r="D2252" s="29" t="s">
        <v>1445</v>
      </c>
      <c r="E2252" s="29">
        <v>284.0</v>
      </c>
      <c r="F2252" s="30" t="s">
        <v>1446</v>
      </c>
      <c r="G2252" s="29" t="s">
        <v>615</v>
      </c>
      <c r="H2252" s="31">
        <v>0.36</v>
      </c>
      <c r="I2252" s="29" t="s">
        <v>612</v>
      </c>
      <c r="J2252" s="32" t="s">
        <v>642</v>
      </c>
      <c r="K2252" s="29" t="s">
        <v>840</v>
      </c>
      <c r="L2252" s="29" t="s">
        <v>1147</v>
      </c>
      <c r="M2252" s="33">
        <v>-79.71</v>
      </c>
      <c r="N2252" s="33">
        <v>9.137</v>
      </c>
      <c r="O2252" s="34" t="s">
        <v>601</v>
      </c>
      <c r="P2252" s="32" t="s">
        <v>602</v>
      </c>
      <c r="Q2252" s="35">
        <v>16.0</v>
      </c>
      <c r="R2252" s="35">
        <v>17.0</v>
      </c>
      <c r="S2252" s="36">
        <v>1.86029</v>
      </c>
      <c r="T2252" s="36">
        <v>3.15695</v>
      </c>
      <c r="U2252" s="36">
        <v>1.363924485</v>
      </c>
      <c r="V2252" s="36">
        <v>1.776780797</v>
      </c>
      <c r="W2252" s="37" t="s">
        <v>1162</v>
      </c>
      <c r="X2252" s="31">
        <v>2.3</v>
      </c>
      <c r="Y2252" s="36">
        <v>-0.5284362501485435</v>
      </c>
      <c r="Z2252" s="36">
        <v>0.052229937687452786</v>
      </c>
      <c r="AA2252" s="29" t="s">
        <v>820</v>
      </c>
      <c r="AB2252" s="31">
        <v>611.438232422</v>
      </c>
      <c r="AC2252" s="38">
        <v>41.0</v>
      </c>
    </row>
    <row r="2253" ht="14.25" customHeight="1">
      <c r="A2253" s="29" t="s">
        <v>521</v>
      </c>
      <c r="B2253" s="29">
        <v>100.0</v>
      </c>
      <c r="C2253" s="29" t="s">
        <v>608</v>
      </c>
      <c r="D2253" s="29" t="s">
        <v>1447</v>
      </c>
      <c r="E2253" s="29">
        <v>285.0</v>
      </c>
      <c r="F2253" s="30" t="s">
        <v>1448</v>
      </c>
      <c r="G2253" s="29" t="s">
        <v>611</v>
      </c>
      <c r="H2253" s="31">
        <v>0.4865</v>
      </c>
      <c r="I2253" s="29" t="s">
        <v>616</v>
      </c>
      <c r="J2253" s="32" t="s">
        <v>642</v>
      </c>
      <c r="K2253" s="29" t="s">
        <v>840</v>
      </c>
      <c r="L2253" s="29" t="s">
        <v>1147</v>
      </c>
      <c r="M2253" s="33">
        <v>-79.71</v>
      </c>
      <c r="N2253" s="33">
        <v>9.137</v>
      </c>
      <c r="O2253" s="34" t="s">
        <v>601</v>
      </c>
      <c r="P2253" s="32" t="s">
        <v>602</v>
      </c>
      <c r="Q2253" s="35">
        <v>16.0</v>
      </c>
      <c r="R2253" s="35">
        <v>17.0</v>
      </c>
      <c r="S2253" s="36">
        <v>0.0139</v>
      </c>
      <c r="T2253" s="36">
        <v>0.0232558</v>
      </c>
      <c r="U2253" s="36">
        <v>0.117898261</v>
      </c>
      <c r="V2253" s="36">
        <v>0.152498525</v>
      </c>
      <c r="W2253" s="37" t="s">
        <v>780</v>
      </c>
      <c r="X2253" s="31">
        <v>2.3</v>
      </c>
      <c r="Y2253" s="36">
        <v>-0.5142341653221675</v>
      </c>
      <c r="Z2253" s="36">
        <v>7.025816156682479</v>
      </c>
      <c r="AA2253" s="29" t="s">
        <v>820</v>
      </c>
      <c r="AB2253" s="31">
        <v>611.438232422</v>
      </c>
      <c r="AC2253" s="38">
        <v>41.0</v>
      </c>
    </row>
    <row r="2254" ht="14.25" customHeight="1">
      <c r="A2254" s="29" t="s">
        <v>521</v>
      </c>
      <c r="B2254" s="29">
        <v>100.0</v>
      </c>
      <c r="C2254" s="29" t="s">
        <v>608</v>
      </c>
      <c r="D2254" s="29" t="s">
        <v>1449</v>
      </c>
      <c r="E2254" s="29">
        <v>286.0</v>
      </c>
      <c r="F2254" s="30" t="s">
        <v>1450</v>
      </c>
      <c r="G2254" s="29" t="s">
        <v>615</v>
      </c>
      <c r="H2254" s="31">
        <v>0.25</v>
      </c>
      <c r="I2254" s="29" t="s">
        <v>597</v>
      </c>
      <c r="J2254" s="32" t="s">
        <v>642</v>
      </c>
      <c r="K2254" s="29" t="s">
        <v>840</v>
      </c>
      <c r="L2254" s="29" t="s">
        <v>1147</v>
      </c>
      <c r="M2254" s="33">
        <v>-79.71</v>
      </c>
      <c r="N2254" s="33">
        <v>9.137</v>
      </c>
      <c r="O2254" s="34" t="s">
        <v>601</v>
      </c>
      <c r="P2254" s="32" t="s">
        <v>602</v>
      </c>
      <c r="Q2254" s="35">
        <v>16.0</v>
      </c>
      <c r="R2254" s="35">
        <v>17.0</v>
      </c>
      <c r="S2254" s="36">
        <v>30.3448</v>
      </c>
      <c r="T2254" s="36">
        <v>37.0115</v>
      </c>
      <c r="U2254" s="36">
        <v>5.50861144</v>
      </c>
      <c r="V2254" s="36">
        <v>6.083707751</v>
      </c>
      <c r="W2254" s="37" t="s">
        <v>623</v>
      </c>
      <c r="X2254" s="31">
        <v>2.3</v>
      </c>
      <c r="Y2254" s="36">
        <v>-0.19828887663447445</v>
      </c>
      <c r="Z2254" s="36">
        <v>0.0036489921010367703</v>
      </c>
      <c r="AA2254" s="29" t="s">
        <v>820</v>
      </c>
      <c r="AB2254" s="31">
        <v>611.438232422</v>
      </c>
      <c r="AC2254" s="38">
        <v>41.0</v>
      </c>
    </row>
    <row r="2255" ht="14.25" customHeight="1">
      <c r="A2255" s="29" t="s">
        <v>521</v>
      </c>
      <c r="B2255" s="29">
        <v>100.0</v>
      </c>
      <c r="C2255" s="29" t="s">
        <v>608</v>
      </c>
      <c r="D2255" s="29" t="s">
        <v>968</v>
      </c>
      <c r="E2255" s="29">
        <v>186.0</v>
      </c>
      <c r="F2255" s="30" t="s">
        <v>969</v>
      </c>
      <c r="G2255" s="29" t="s">
        <v>695</v>
      </c>
      <c r="H2255" s="31">
        <v>4.21</v>
      </c>
      <c r="I2255" s="29" t="s">
        <v>620</v>
      </c>
      <c r="J2255" s="32" t="s">
        <v>642</v>
      </c>
      <c r="K2255" s="29" t="s">
        <v>840</v>
      </c>
      <c r="L2255" s="29" t="s">
        <v>1147</v>
      </c>
      <c r="M2255" s="33">
        <v>-79.71</v>
      </c>
      <c r="N2255" s="33">
        <v>9.137</v>
      </c>
      <c r="O2255" s="34" t="s">
        <v>601</v>
      </c>
      <c r="P2255" s="32" t="s">
        <v>602</v>
      </c>
      <c r="Q2255" s="35">
        <v>16.0</v>
      </c>
      <c r="R2255" s="35">
        <v>17.0</v>
      </c>
      <c r="S2255" s="36">
        <v>4.13295</v>
      </c>
      <c r="T2255" s="36">
        <v>3.3237</v>
      </c>
      <c r="U2255" s="36">
        <v>2.032965814</v>
      </c>
      <c r="V2255" s="36">
        <v>1.823101753</v>
      </c>
      <c r="W2255" s="37" t="s">
        <v>623</v>
      </c>
      <c r="X2255" s="31">
        <v>2.3</v>
      </c>
      <c r="Y2255" s="36">
        <v>0.21812027676499104</v>
      </c>
      <c r="Z2255" s="36">
        <v>0.032820576873346566</v>
      </c>
      <c r="AA2255" s="29" t="s">
        <v>820</v>
      </c>
      <c r="AB2255" s="31">
        <v>611.438232422</v>
      </c>
      <c r="AC2255" s="38">
        <v>41.0</v>
      </c>
    </row>
    <row r="2256" ht="14.25" customHeight="1">
      <c r="A2256" s="29" t="s">
        <v>521</v>
      </c>
      <c r="B2256" s="29">
        <v>100.0</v>
      </c>
      <c r="C2256" s="29" t="s">
        <v>608</v>
      </c>
      <c r="D2256" s="29" t="s">
        <v>955</v>
      </c>
      <c r="E2256" s="29">
        <v>3.0</v>
      </c>
      <c r="F2256" s="30" t="s">
        <v>956</v>
      </c>
      <c r="G2256" s="29" t="s">
        <v>611</v>
      </c>
      <c r="H2256" s="31">
        <v>7.27</v>
      </c>
      <c r="I2256" s="29" t="s">
        <v>612</v>
      </c>
      <c r="J2256" s="32" t="s">
        <v>642</v>
      </c>
      <c r="K2256" s="29" t="s">
        <v>840</v>
      </c>
      <c r="L2256" s="29" t="s">
        <v>1147</v>
      </c>
      <c r="M2256" s="33">
        <v>-79.611</v>
      </c>
      <c r="N2256" s="33">
        <v>9.073</v>
      </c>
      <c r="O2256" s="34" t="s">
        <v>601</v>
      </c>
      <c r="P2256" s="32" t="s">
        <v>602</v>
      </c>
      <c r="Q2256" s="35">
        <v>17.0</v>
      </c>
      <c r="R2256" s="35">
        <v>17.0</v>
      </c>
      <c r="S2256" s="36">
        <v>0.176470588</v>
      </c>
      <c r="T2256" s="36">
        <v>0.747126437</v>
      </c>
      <c r="U2256" s="36">
        <v>0.420084025</v>
      </c>
      <c r="V2256" s="36">
        <v>0.864364759</v>
      </c>
      <c r="W2256" s="37" t="s">
        <v>780</v>
      </c>
      <c r="X2256" s="31">
        <v>4.0</v>
      </c>
      <c r="Y2256" s="36">
        <v>-1.4419885142555706</v>
      </c>
      <c r="Z2256" s="36">
        <v>0.41206636550065034</v>
      </c>
      <c r="AA2256" s="29" t="s">
        <v>820</v>
      </c>
      <c r="AB2256" s="31">
        <v>680.092407227</v>
      </c>
      <c r="AC2256" s="38">
        <v>26.0</v>
      </c>
    </row>
    <row r="2257" ht="14.25" customHeight="1">
      <c r="A2257" s="29" t="s">
        <v>521</v>
      </c>
      <c r="B2257" s="29">
        <v>100.0</v>
      </c>
      <c r="C2257" s="29" t="s">
        <v>608</v>
      </c>
      <c r="D2257" s="29" t="s">
        <v>955</v>
      </c>
      <c r="E2257" s="29">
        <v>3.0</v>
      </c>
      <c r="F2257" s="30" t="s">
        <v>956</v>
      </c>
      <c r="G2257" s="29" t="s">
        <v>611</v>
      </c>
      <c r="H2257" s="31">
        <v>7.27</v>
      </c>
      <c r="I2257" s="29" t="s">
        <v>612</v>
      </c>
      <c r="J2257" s="32" t="s">
        <v>642</v>
      </c>
      <c r="K2257" s="29" t="s">
        <v>840</v>
      </c>
      <c r="L2257" s="29" t="s">
        <v>1147</v>
      </c>
      <c r="M2257" s="33">
        <v>-79.65</v>
      </c>
      <c r="N2257" s="33">
        <v>9.09</v>
      </c>
      <c r="O2257" s="34" t="s">
        <v>601</v>
      </c>
      <c r="P2257" s="32" t="s">
        <v>602</v>
      </c>
      <c r="Q2257" s="35">
        <v>17.0</v>
      </c>
      <c r="R2257" s="35">
        <v>17.0</v>
      </c>
      <c r="S2257" s="36">
        <v>0.413793103</v>
      </c>
      <c r="T2257" s="36">
        <v>0.747126437</v>
      </c>
      <c r="U2257" s="36">
        <v>0.643267521</v>
      </c>
      <c r="V2257" s="36">
        <v>0.864364759</v>
      </c>
      <c r="W2257" s="37" t="s">
        <v>780</v>
      </c>
      <c r="X2257" s="31">
        <v>5.0</v>
      </c>
      <c r="Y2257" s="36">
        <v>-0.5904026116727595</v>
      </c>
      <c r="Z2257" s="36">
        <v>0.2208898947052801</v>
      </c>
      <c r="AA2257" s="29" t="s">
        <v>820</v>
      </c>
      <c r="AB2257" s="31">
        <v>680.092407227</v>
      </c>
      <c r="AC2257" s="38">
        <v>26.0</v>
      </c>
    </row>
    <row r="2258" ht="14.25" customHeight="1">
      <c r="A2258" s="29" t="s">
        <v>521</v>
      </c>
      <c r="B2258" s="29">
        <v>100.0</v>
      </c>
      <c r="C2258" s="29" t="s">
        <v>608</v>
      </c>
      <c r="D2258" s="29" t="s">
        <v>959</v>
      </c>
      <c r="E2258" s="29">
        <v>31.0</v>
      </c>
      <c r="F2258" s="30" t="s">
        <v>960</v>
      </c>
      <c r="G2258" s="29" t="s">
        <v>611</v>
      </c>
      <c r="H2258" s="31">
        <v>2.73</v>
      </c>
      <c r="I2258" s="29" t="s">
        <v>616</v>
      </c>
      <c r="J2258" s="32" t="s">
        <v>642</v>
      </c>
      <c r="K2258" s="29" t="s">
        <v>840</v>
      </c>
      <c r="L2258" s="29" t="s">
        <v>1147</v>
      </c>
      <c r="M2258" s="33">
        <v>-79.611</v>
      </c>
      <c r="N2258" s="33">
        <v>9.073</v>
      </c>
      <c r="O2258" s="34" t="s">
        <v>601</v>
      </c>
      <c r="P2258" s="32" t="s">
        <v>602</v>
      </c>
      <c r="Q2258" s="35">
        <v>17.0</v>
      </c>
      <c r="R2258" s="35">
        <v>17.0</v>
      </c>
      <c r="S2258" s="36">
        <v>0.011764706</v>
      </c>
      <c r="T2258" s="36">
        <v>0.24137931</v>
      </c>
      <c r="U2258" s="36">
        <v>0.108465229</v>
      </c>
      <c r="V2258" s="36">
        <v>0.491303684</v>
      </c>
      <c r="W2258" s="37" t="s">
        <v>780</v>
      </c>
      <c r="X2258" s="31">
        <v>4.0</v>
      </c>
      <c r="Y2258" s="36">
        <v>-3.015986119090095</v>
      </c>
      <c r="Z2258" s="36">
        <v>5.243697387610401</v>
      </c>
      <c r="AA2258" s="29" t="s">
        <v>820</v>
      </c>
      <c r="AB2258" s="31">
        <v>680.092407227</v>
      </c>
      <c r="AC2258" s="38">
        <v>26.0</v>
      </c>
    </row>
    <row r="2259" ht="14.25" customHeight="1">
      <c r="A2259" s="29" t="s">
        <v>521</v>
      </c>
      <c r="B2259" s="29">
        <v>100.0</v>
      </c>
      <c r="C2259" s="29" t="s">
        <v>608</v>
      </c>
      <c r="D2259" s="29" t="s">
        <v>959</v>
      </c>
      <c r="E2259" s="29">
        <v>31.0</v>
      </c>
      <c r="F2259" s="30" t="s">
        <v>960</v>
      </c>
      <c r="G2259" s="29" t="s">
        <v>611</v>
      </c>
      <c r="H2259" s="31">
        <v>2.73</v>
      </c>
      <c r="I2259" s="29" t="s">
        <v>616</v>
      </c>
      <c r="J2259" s="32" t="s">
        <v>642</v>
      </c>
      <c r="K2259" s="29" t="s">
        <v>840</v>
      </c>
      <c r="L2259" s="29" t="s">
        <v>1147</v>
      </c>
      <c r="M2259" s="33">
        <v>-79.65</v>
      </c>
      <c r="N2259" s="33">
        <v>9.09</v>
      </c>
      <c r="O2259" s="34" t="s">
        <v>601</v>
      </c>
      <c r="P2259" s="32" t="s">
        <v>602</v>
      </c>
      <c r="Q2259" s="35">
        <v>17.0</v>
      </c>
      <c r="R2259" s="35">
        <v>17.0</v>
      </c>
      <c r="S2259" s="36">
        <v>0.126436782</v>
      </c>
      <c r="T2259" s="36">
        <v>0.24137931</v>
      </c>
      <c r="U2259" s="36">
        <v>0.355579501</v>
      </c>
      <c r="V2259" s="36">
        <v>0.491303684</v>
      </c>
      <c r="W2259" s="37" t="s">
        <v>780</v>
      </c>
      <c r="X2259" s="31">
        <v>5.0</v>
      </c>
      <c r="Y2259" s="36">
        <v>-0.6461347401523403</v>
      </c>
      <c r="Z2259" s="36">
        <v>0.7089381177998342</v>
      </c>
      <c r="AA2259" s="29" t="s">
        <v>820</v>
      </c>
      <c r="AB2259" s="31">
        <v>680.092407227</v>
      </c>
      <c r="AC2259" s="38">
        <v>26.0</v>
      </c>
    </row>
    <row r="2260" ht="14.25" customHeight="1">
      <c r="A2260" s="29" t="s">
        <v>521</v>
      </c>
      <c r="B2260" s="29">
        <v>100.0</v>
      </c>
      <c r="C2260" s="29" t="s">
        <v>608</v>
      </c>
      <c r="D2260" s="29" t="s">
        <v>961</v>
      </c>
      <c r="E2260" s="29">
        <v>73.0</v>
      </c>
      <c r="F2260" s="30" t="s">
        <v>962</v>
      </c>
      <c r="G2260" s="29" t="s">
        <v>615</v>
      </c>
      <c r="H2260" s="31">
        <v>2.67</v>
      </c>
      <c r="I2260" s="29" t="s">
        <v>616</v>
      </c>
      <c r="J2260" s="32" t="s">
        <v>642</v>
      </c>
      <c r="K2260" s="29" t="s">
        <v>840</v>
      </c>
      <c r="L2260" s="29" t="s">
        <v>1147</v>
      </c>
      <c r="M2260" s="33">
        <v>-79.611</v>
      </c>
      <c r="N2260" s="33">
        <v>9.073</v>
      </c>
      <c r="O2260" s="34" t="s">
        <v>601</v>
      </c>
      <c r="P2260" s="32" t="s">
        <v>602</v>
      </c>
      <c r="Q2260" s="35">
        <v>17.0</v>
      </c>
      <c r="R2260" s="35">
        <v>17.0</v>
      </c>
      <c r="S2260" s="36">
        <v>17.341</v>
      </c>
      <c r="T2260" s="36">
        <v>98.8439</v>
      </c>
      <c r="U2260" s="36">
        <v>4.164252634</v>
      </c>
      <c r="V2260" s="36">
        <v>9.942026956</v>
      </c>
      <c r="W2260" s="37" t="s">
        <v>623</v>
      </c>
      <c r="X2260" s="31">
        <v>4.0</v>
      </c>
      <c r="Y2260" s="36">
        <v>-1.738998687284418</v>
      </c>
      <c r="Z2260" s="36">
        <v>0.003987280201244339</v>
      </c>
      <c r="AA2260" s="29" t="s">
        <v>820</v>
      </c>
      <c r="AB2260" s="31">
        <v>680.092407227</v>
      </c>
      <c r="AC2260" s="38">
        <v>26.0</v>
      </c>
    </row>
    <row r="2261" ht="14.25" customHeight="1">
      <c r="A2261" s="29" t="s">
        <v>521</v>
      </c>
      <c r="B2261" s="29">
        <v>100.0</v>
      </c>
      <c r="C2261" s="29" t="s">
        <v>608</v>
      </c>
      <c r="D2261" s="29" t="s">
        <v>961</v>
      </c>
      <c r="E2261" s="29">
        <v>73.0</v>
      </c>
      <c r="F2261" s="30" t="s">
        <v>962</v>
      </c>
      <c r="G2261" s="29" t="s">
        <v>615</v>
      </c>
      <c r="H2261" s="31">
        <v>2.67</v>
      </c>
      <c r="I2261" s="29" t="s">
        <v>616</v>
      </c>
      <c r="J2261" s="32" t="s">
        <v>642</v>
      </c>
      <c r="K2261" s="29" t="s">
        <v>840</v>
      </c>
      <c r="L2261" s="29" t="s">
        <v>1147</v>
      </c>
      <c r="M2261" s="33">
        <v>-79.65</v>
      </c>
      <c r="N2261" s="33">
        <v>9.09</v>
      </c>
      <c r="O2261" s="34" t="s">
        <v>601</v>
      </c>
      <c r="P2261" s="32" t="s">
        <v>602</v>
      </c>
      <c r="Q2261" s="35">
        <v>17.0</v>
      </c>
      <c r="R2261" s="35">
        <v>17.0</v>
      </c>
      <c r="S2261" s="36">
        <v>15.0289</v>
      </c>
      <c r="T2261" s="36">
        <v>98.8439</v>
      </c>
      <c r="U2261" s="36">
        <v>3.876712525</v>
      </c>
      <c r="V2261" s="36">
        <v>9.942026956</v>
      </c>
      <c r="W2261" s="37" t="s">
        <v>623</v>
      </c>
      <c r="X2261" s="31">
        <v>5.0</v>
      </c>
      <c r="Y2261" s="36">
        <v>-1.881871429668558</v>
      </c>
      <c r="Z2261" s="36">
        <v>0.004509143024820293</v>
      </c>
      <c r="AA2261" s="29" t="s">
        <v>820</v>
      </c>
      <c r="AB2261" s="31">
        <v>680.092407227</v>
      </c>
      <c r="AC2261" s="38">
        <v>26.0</v>
      </c>
    </row>
    <row r="2262" ht="14.25" customHeight="1">
      <c r="A2262" s="29" t="s">
        <v>521</v>
      </c>
      <c r="B2262" s="29">
        <v>100.0</v>
      </c>
      <c r="C2262" s="29" t="s">
        <v>608</v>
      </c>
      <c r="D2262" s="29" t="s">
        <v>973</v>
      </c>
      <c r="E2262" s="29">
        <v>243.0</v>
      </c>
      <c r="F2262" s="30" t="s">
        <v>974</v>
      </c>
      <c r="G2262" s="29" t="s">
        <v>656</v>
      </c>
      <c r="H2262" s="31">
        <v>1.09</v>
      </c>
      <c r="I2262" s="29" t="s">
        <v>657</v>
      </c>
      <c r="J2262" s="32" t="s">
        <v>642</v>
      </c>
      <c r="K2262" s="29" t="s">
        <v>840</v>
      </c>
      <c r="L2262" s="29" t="s">
        <v>1147</v>
      </c>
      <c r="M2262" s="33">
        <v>-79.611</v>
      </c>
      <c r="N2262" s="33">
        <v>9.073</v>
      </c>
      <c r="O2262" s="34" t="s">
        <v>601</v>
      </c>
      <c r="P2262" s="32" t="s">
        <v>602</v>
      </c>
      <c r="Q2262" s="35">
        <v>17.0</v>
      </c>
      <c r="R2262" s="35">
        <v>17.0</v>
      </c>
      <c r="S2262" s="36">
        <v>0.8625</v>
      </c>
      <c r="T2262" s="36">
        <v>0.478</v>
      </c>
      <c r="U2262" s="36">
        <v>0.928708781</v>
      </c>
      <c r="V2262" s="36">
        <v>0.691375441</v>
      </c>
      <c r="W2262" s="37" t="s">
        <v>1162</v>
      </c>
      <c r="X2262" s="31">
        <v>4.0</v>
      </c>
      <c r="Y2262" s="36">
        <v>0.5903673893968954</v>
      </c>
      <c r="Z2262" s="36">
        <v>0.19126297063315414</v>
      </c>
      <c r="AA2262" s="29" t="s">
        <v>820</v>
      </c>
      <c r="AB2262" s="31">
        <v>680.092407227</v>
      </c>
      <c r="AC2262" s="38">
        <v>26.0</v>
      </c>
    </row>
    <row r="2263" ht="14.25" customHeight="1">
      <c r="A2263" s="29" t="s">
        <v>521</v>
      </c>
      <c r="B2263" s="29">
        <v>100.0</v>
      </c>
      <c r="C2263" s="29" t="s">
        <v>608</v>
      </c>
      <c r="D2263" s="29" t="s">
        <v>973</v>
      </c>
      <c r="E2263" s="29">
        <v>243.0</v>
      </c>
      <c r="F2263" s="30" t="s">
        <v>974</v>
      </c>
      <c r="G2263" s="29" t="s">
        <v>656</v>
      </c>
      <c r="H2263" s="31">
        <v>1.09</v>
      </c>
      <c r="I2263" s="29" t="s">
        <v>657</v>
      </c>
      <c r="J2263" s="32" t="s">
        <v>642</v>
      </c>
      <c r="K2263" s="29" t="s">
        <v>840</v>
      </c>
      <c r="L2263" s="29" t="s">
        <v>1147</v>
      </c>
      <c r="M2263" s="33">
        <v>-79.65</v>
      </c>
      <c r="N2263" s="33">
        <v>9.09</v>
      </c>
      <c r="O2263" s="34" t="s">
        <v>601</v>
      </c>
      <c r="P2263" s="32" t="s">
        <v>602</v>
      </c>
      <c r="Q2263" s="35">
        <v>17.0</v>
      </c>
      <c r="R2263" s="35">
        <v>17.0</v>
      </c>
      <c r="S2263" s="36">
        <v>0.703125</v>
      </c>
      <c r="T2263" s="36">
        <v>0.478</v>
      </c>
      <c r="U2263" s="36">
        <v>0.838525492</v>
      </c>
      <c r="V2263" s="36">
        <v>0.691375441</v>
      </c>
      <c r="W2263" s="37" t="s">
        <v>1162</v>
      </c>
      <c r="X2263" s="31">
        <v>5.0</v>
      </c>
      <c r="Y2263" s="36">
        <v>0.3860993302520139</v>
      </c>
      <c r="Z2263" s="36">
        <v>0.20672190792592968</v>
      </c>
      <c r="AA2263" s="29" t="s">
        <v>820</v>
      </c>
      <c r="AB2263" s="31">
        <v>680.092407227</v>
      </c>
      <c r="AC2263" s="38">
        <v>26.0</v>
      </c>
    </row>
    <row r="2264" ht="14.25" customHeight="1">
      <c r="A2264" s="29" t="s">
        <v>521</v>
      </c>
      <c r="B2264" s="29">
        <v>100.0</v>
      </c>
      <c r="C2264" s="29" t="s">
        <v>608</v>
      </c>
      <c r="D2264" s="29" t="s">
        <v>1443</v>
      </c>
      <c r="E2264" s="29">
        <v>279.0</v>
      </c>
      <c r="F2264" s="30" t="s">
        <v>1444</v>
      </c>
      <c r="G2264" s="29" t="s">
        <v>626</v>
      </c>
      <c r="H2264" s="31">
        <f t="shared" ref="H2264:H2265" si="506">AVERAGE(22.8,55.508)</f>
        <v>39.154</v>
      </c>
      <c r="I2264" s="29" t="s">
        <v>612</v>
      </c>
      <c r="J2264" s="32" t="s">
        <v>642</v>
      </c>
      <c r="K2264" s="29" t="s">
        <v>840</v>
      </c>
      <c r="L2264" s="29" t="s">
        <v>1147</v>
      </c>
      <c r="M2264" s="33">
        <v>-79.611</v>
      </c>
      <c r="N2264" s="33">
        <v>9.073</v>
      </c>
      <c r="O2264" s="34" t="s">
        <v>601</v>
      </c>
      <c r="P2264" s="32" t="s">
        <v>602</v>
      </c>
      <c r="Q2264" s="35">
        <v>17.0</v>
      </c>
      <c r="R2264" s="35">
        <v>17.0</v>
      </c>
      <c r="S2264" s="36">
        <v>0.0</v>
      </c>
      <c r="T2264" s="36">
        <v>2.4104</v>
      </c>
      <c r="U2264" s="36">
        <v>0.0</v>
      </c>
      <c r="V2264" s="36">
        <v>1.552546296</v>
      </c>
      <c r="W2264" s="37" t="s">
        <v>780</v>
      </c>
      <c r="X2264" s="31">
        <v>4.0</v>
      </c>
      <c r="Y2264" s="36">
        <v>-8.262558973010657</v>
      </c>
      <c r="Z2264" s="36">
        <v>0.08808065381489535</v>
      </c>
      <c r="AA2264" s="29" t="s">
        <v>820</v>
      </c>
      <c r="AB2264" s="31">
        <v>680.092407227</v>
      </c>
      <c r="AC2264" s="38">
        <v>26.0</v>
      </c>
    </row>
    <row r="2265" ht="14.25" customHeight="1">
      <c r="A2265" s="29" t="s">
        <v>521</v>
      </c>
      <c r="B2265" s="29">
        <v>100.0</v>
      </c>
      <c r="C2265" s="29" t="s">
        <v>608</v>
      </c>
      <c r="D2265" s="29" t="s">
        <v>1443</v>
      </c>
      <c r="E2265" s="29">
        <v>279.0</v>
      </c>
      <c r="F2265" s="30" t="s">
        <v>1444</v>
      </c>
      <c r="G2265" s="29" t="s">
        <v>626</v>
      </c>
      <c r="H2265" s="31">
        <f t="shared" si="506"/>
        <v>39.154</v>
      </c>
      <c r="I2265" s="29" t="s">
        <v>612</v>
      </c>
      <c r="J2265" s="32" t="s">
        <v>642</v>
      </c>
      <c r="K2265" s="29" t="s">
        <v>840</v>
      </c>
      <c r="L2265" s="29" t="s">
        <v>1147</v>
      </c>
      <c r="M2265" s="33">
        <v>-79.65</v>
      </c>
      <c r="N2265" s="33">
        <v>9.09</v>
      </c>
      <c r="O2265" s="34" t="s">
        <v>601</v>
      </c>
      <c r="P2265" s="32" t="s">
        <v>602</v>
      </c>
      <c r="Q2265" s="35">
        <v>17.0</v>
      </c>
      <c r="R2265" s="35">
        <v>17.0</v>
      </c>
      <c r="S2265" s="36">
        <v>0.693642</v>
      </c>
      <c r="T2265" s="36">
        <v>2.4104</v>
      </c>
      <c r="U2265" s="36">
        <v>0.832851728</v>
      </c>
      <c r="V2265" s="36">
        <v>1.552546296</v>
      </c>
      <c r="W2265" s="37" t="s">
        <v>780</v>
      </c>
      <c r="X2265" s="31">
        <v>5.0</v>
      </c>
      <c r="Y2265" s="36">
        <v>-1.2446958715877543</v>
      </c>
      <c r="Z2265" s="36">
        <v>0.10920792806579914</v>
      </c>
      <c r="AA2265" s="29" t="s">
        <v>820</v>
      </c>
      <c r="AB2265" s="31">
        <v>680.092407227</v>
      </c>
      <c r="AC2265" s="38">
        <v>26.0</v>
      </c>
    </row>
    <row r="2266" ht="14.25" customHeight="1">
      <c r="A2266" s="29" t="s">
        <v>521</v>
      </c>
      <c r="B2266" s="29">
        <v>100.0</v>
      </c>
      <c r="C2266" s="29" t="s">
        <v>608</v>
      </c>
      <c r="D2266" s="29" t="s">
        <v>853</v>
      </c>
      <c r="E2266" s="29">
        <v>110.0</v>
      </c>
      <c r="F2266" s="30" t="s">
        <v>854</v>
      </c>
      <c r="G2266" s="29" t="s">
        <v>629</v>
      </c>
      <c r="H2266" s="31">
        <v>4.03</v>
      </c>
      <c r="I2266" s="29" t="s">
        <v>597</v>
      </c>
      <c r="J2266" s="32" t="s">
        <v>642</v>
      </c>
      <c r="K2266" s="29" t="s">
        <v>840</v>
      </c>
      <c r="L2266" s="29" t="s">
        <v>1147</v>
      </c>
      <c r="M2266" s="33">
        <v>-79.611</v>
      </c>
      <c r="N2266" s="33">
        <v>9.073</v>
      </c>
      <c r="O2266" s="34" t="s">
        <v>601</v>
      </c>
      <c r="P2266" s="32" t="s">
        <v>602</v>
      </c>
      <c r="Q2266" s="35">
        <v>17.0</v>
      </c>
      <c r="R2266" s="35">
        <v>17.0</v>
      </c>
      <c r="S2266" s="36">
        <v>5.54913</v>
      </c>
      <c r="T2266" s="36">
        <v>56.8786</v>
      </c>
      <c r="U2266" s="36">
        <v>2.355659143</v>
      </c>
      <c r="V2266" s="36">
        <v>7.541790238</v>
      </c>
      <c r="W2266" s="37" t="s">
        <v>623</v>
      </c>
      <c r="X2266" s="31">
        <v>4.0</v>
      </c>
      <c r="Y2266" s="36">
        <v>-2.3246370240835024</v>
      </c>
      <c r="Z2266" s="36">
        <v>0.011634690220354429</v>
      </c>
      <c r="AA2266" s="29" t="s">
        <v>820</v>
      </c>
      <c r="AB2266" s="31">
        <v>680.092407227</v>
      </c>
      <c r="AC2266" s="38">
        <v>26.0</v>
      </c>
    </row>
    <row r="2267" ht="14.25" customHeight="1">
      <c r="A2267" s="29" t="s">
        <v>521</v>
      </c>
      <c r="B2267" s="29">
        <v>100.0</v>
      </c>
      <c r="C2267" s="29" t="s">
        <v>608</v>
      </c>
      <c r="D2267" s="29" t="s">
        <v>853</v>
      </c>
      <c r="E2267" s="29">
        <v>110.0</v>
      </c>
      <c r="F2267" s="30" t="s">
        <v>854</v>
      </c>
      <c r="G2267" s="29" t="s">
        <v>629</v>
      </c>
      <c r="H2267" s="31">
        <v>4.03</v>
      </c>
      <c r="I2267" s="29" t="s">
        <v>597</v>
      </c>
      <c r="J2267" s="32" t="s">
        <v>642</v>
      </c>
      <c r="K2267" s="29" t="s">
        <v>840</v>
      </c>
      <c r="L2267" s="29" t="s">
        <v>1147</v>
      </c>
      <c r="M2267" s="33">
        <v>-79.65</v>
      </c>
      <c r="N2267" s="33">
        <v>9.09</v>
      </c>
      <c r="O2267" s="34" t="s">
        <v>601</v>
      </c>
      <c r="P2267" s="32" t="s">
        <v>602</v>
      </c>
      <c r="Q2267" s="35">
        <v>17.0</v>
      </c>
      <c r="R2267" s="35">
        <v>17.0</v>
      </c>
      <c r="S2267" s="36">
        <v>32.6012</v>
      </c>
      <c r="T2267" s="36">
        <v>56.8786</v>
      </c>
      <c r="U2267" s="36">
        <v>5.709746054</v>
      </c>
      <c r="V2267" s="36">
        <v>7.541790238</v>
      </c>
      <c r="W2267" s="37" t="s">
        <v>623</v>
      </c>
      <c r="X2267" s="31">
        <v>5.0</v>
      </c>
      <c r="Y2267" s="36">
        <v>-0.556120052383842</v>
      </c>
      <c r="Z2267" s="36">
        <v>0.002838530722052945</v>
      </c>
      <c r="AA2267" s="29" t="s">
        <v>820</v>
      </c>
      <c r="AB2267" s="31">
        <v>680.092407227</v>
      </c>
      <c r="AC2267" s="38">
        <v>26.0</v>
      </c>
    </row>
    <row r="2268" ht="14.25" customHeight="1">
      <c r="A2268" s="29" t="s">
        <v>521</v>
      </c>
      <c r="B2268" s="29">
        <v>100.0</v>
      </c>
      <c r="C2268" s="29" t="s">
        <v>608</v>
      </c>
      <c r="D2268" s="29" t="s">
        <v>630</v>
      </c>
      <c r="E2268" s="29">
        <v>129.0</v>
      </c>
      <c r="F2268" s="30" t="s">
        <v>631</v>
      </c>
      <c r="G2268" s="29" t="s">
        <v>626</v>
      </c>
      <c r="H2268" s="31">
        <v>21.27</v>
      </c>
      <c r="I2268" s="29" t="s">
        <v>612</v>
      </c>
      <c r="J2268" s="32" t="s">
        <v>642</v>
      </c>
      <c r="K2268" s="29" t="s">
        <v>840</v>
      </c>
      <c r="L2268" s="29" t="s">
        <v>1147</v>
      </c>
      <c r="M2268" s="33">
        <v>-79.611</v>
      </c>
      <c r="N2268" s="33">
        <v>9.073</v>
      </c>
      <c r="O2268" s="34" t="s">
        <v>601</v>
      </c>
      <c r="P2268" s="32" t="s">
        <v>602</v>
      </c>
      <c r="Q2268" s="35">
        <v>17.0</v>
      </c>
      <c r="R2268" s="35">
        <v>17.0</v>
      </c>
      <c r="S2268" s="36">
        <v>0.0</v>
      </c>
      <c r="T2268" s="36">
        <v>6.838</v>
      </c>
      <c r="U2268" s="36">
        <v>0.0</v>
      </c>
      <c r="V2268" s="36">
        <v>2.614956979</v>
      </c>
      <c r="W2268" s="37" t="s">
        <v>623</v>
      </c>
      <c r="X2268" s="31">
        <v>4.0</v>
      </c>
      <c r="Y2268" s="36">
        <v>-8.262558973010657</v>
      </c>
      <c r="Z2268" s="36">
        <v>0.0694233806354483</v>
      </c>
      <c r="AA2268" s="29" t="s">
        <v>820</v>
      </c>
      <c r="AB2268" s="31">
        <v>680.092407227</v>
      </c>
      <c r="AC2268" s="38">
        <v>26.0</v>
      </c>
    </row>
    <row r="2269" ht="14.25" customHeight="1">
      <c r="A2269" s="29" t="s">
        <v>521</v>
      </c>
      <c r="B2269" s="29">
        <v>100.0</v>
      </c>
      <c r="C2269" s="29" t="s">
        <v>608</v>
      </c>
      <c r="D2269" s="29" t="s">
        <v>630</v>
      </c>
      <c r="E2269" s="29">
        <v>129.0</v>
      </c>
      <c r="F2269" s="30" t="s">
        <v>631</v>
      </c>
      <c r="G2269" s="29" t="s">
        <v>626</v>
      </c>
      <c r="H2269" s="31">
        <v>21.27</v>
      </c>
      <c r="I2269" s="29" t="s">
        <v>612</v>
      </c>
      <c r="J2269" s="32" t="s">
        <v>642</v>
      </c>
      <c r="K2269" s="29" t="s">
        <v>840</v>
      </c>
      <c r="L2269" s="29" t="s">
        <v>1147</v>
      </c>
      <c r="M2269" s="33">
        <v>-79.65</v>
      </c>
      <c r="N2269" s="33">
        <v>9.09</v>
      </c>
      <c r="O2269" s="34" t="s">
        <v>601</v>
      </c>
      <c r="P2269" s="32" t="s">
        <v>602</v>
      </c>
      <c r="Q2269" s="35">
        <v>17.0</v>
      </c>
      <c r="R2269" s="35">
        <v>17.0</v>
      </c>
      <c r="S2269" s="36">
        <v>1.49711</v>
      </c>
      <c r="T2269" s="36">
        <v>6.838</v>
      </c>
      <c r="U2269" s="36">
        <v>1.223564465</v>
      </c>
      <c r="V2269" s="36">
        <v>2.614956979</v>
      </c>
      <c r="W2269" s="37" t="s">
        <v>623</v>
      </c>
      <c r="X2269" s="31">
        <v>5.0</v>
      </c>
      <c r="Y2269" s="36">
        <v>-1.5177810049808356</v>
      </c>
      <c r="Z2269" s="36">
        <v>0.047893834220061514</v>
      </c>
      <c r="AA2269" s="29" t="s">
        <v>820</v>
      </c>
      <c r="AB2269" s="31">
        <v>680.092407227</v>
      </c>
      <c r="AC2269" s="38">
        <v>26.0</v>
      </c>
    </row>
    <row r="2270" ht="14.25" customHeight="1">
      <c r="A2270" s="29" t="s">
        <v>521</v>
      </c>
      <c r="B2270" s="29">
        <v>100.0</v>
      </c>
      <c r="C2270" s="29" t="s">
        <v>608</v>
      </c>
      <c r="D2270" s="29" t="s">
        <v>1445</v>
      </c>
      <c r="E2270" s="29">
        <v>284.0</v>
      </c>
      <c r="F2270" s="30" t="s">
        <v>1446</v>
      </c>
      <c r="G2270" s="29" t="s">
        <v>615</v>
      </c>
      <c r="H2270" s="31">
        <v>0.36</v>
      </c>
      <c r="I2270" s="29" t="s">
        <v>612</v>
      </c>
      <c r="J2270" s="32" t="s">
        <v>642</v>
      </c>
      <c r="K2270" s="29" t="s">
        <v>840</v>
      </c>
      <c r="L2270" s="29" t="s">
        <v>1147</v>
      </c>
      <c r="M2270" s="33">
        <v>-79.611</v>
      </c>
      <c r="N2270" s="33">
        <v>9.073</v>
      </c>
      <c r="O2270" s="34" t="s">
        <v>601</v>
      </c>
      <c r="P2270" s="32" t="s">
        <v>602</v>
      </c>
      <c r="Q2270" s="35">
        <v>17.0</v>
      </c>
      <c r="R2270" s="35">
        <v>17.0</v>
      </c>
      <c r="S2270" s="36">
        <v>1.28321</v>
      </c>
      <c r="T2270" s="36">
        <v>3.15695</v>
      </c>
      <c r="U2270" s="36">
        <v>1.132788595</v>
      </c>
      <c r="V2270" s="36">
        <v>1.776780797</v>
      </c>
      <c r="W2270" s="37" t="s">
        <v>1162</v>
      </c>
      <c r="X2270" s="31">
        <v>4.0</v>
      </c>
      <c r="Y2270" s="36">
        <v>-0.8996070959954202</v>
      </c>
      <c r="Z2270" s="36">
        <v>0.06447394731426703</v>
      </c>
      <c r="AA2270" s="29" t="s">
        <v>820</v>
      </c>
      <c r="AB2270" s="31">
        <v>680.092407227</v>
      </c>
      <c r="AC2270" s="38">
        <v>26.0</v>
      </c>
    </row>
    <row r="2271" ht="14.25" customHeight="1">
      <c r="A2271" s="29" t="s">
        <v>521</v>
      </c>
      <c r="B2271" s="29">
        <v>100.0</v>
      </c>
      <c r="C2271" s="29" t="s">
        <v>608</v>
      </c>
      <c r="D2271" s="29" t="s">
        <v>1445</v>
      </c>
      <c r="E2271" s="29">
        <v>284.0</v>
      </c>
      <c r="F2271" s="30" t="s">
        <v>1446</v>
      </c>
      <c r="G2271" s="29" t="s">
        <v>615</v>
      </c>
      <c r="H2271" s="31">
        <v>0.36</v>
      </c>
      <c r="I2271" s="29" t="s">
        <v>612</v>
      </c>
      <c r="J2271" s="32" t="s">
        <v>642</v>
      </c>
      <c r="K2271" s="29" t="s">
        <v>840</v>
      </c>
      <c r="L2271" s="29" t="s">
        <v>1147</v>
      </c>
      <c r="M2271" s="33">
        <v>-79.65</v>
      </c>
      <c r="N2271" s="33">
        <v>9.09</v>
      </c>
      <c r="O2271" s="34" t="s">
        <v>601</v>
      </c>
      <c r="P2271" s="32" t="s">
        <v>602</v>
      </c>
      <c r="Q2271" s="35">
        <v>17.0</v>
      </c>
      <c r="R2271" s="35">
        <v>17.0</v>
      </c>
      <c r="S2271" s="36">
        <v>0.108978</v>
      </c>
      <c r="T2271" s="36">
        <v>3.15695</v>
      </c>
      <c r="U2271" s="36">
        <v>0.330118161</v>
      </c>
      <c r="V2271" s="36">
        <v>1.776780797</v>
      </c>
      <c r="W2271" s="37" t="s">
        <v>1162</v>
      </c>
      <c r="X2271" s="31">
        <v>5.0</v>
      </c>
      <c r="Y2271" s="36">
        <v>-3.3587695520734857</v>
      </c>
      <c r="Z2271" s="36">
        <v>0.5584073791932218</v>
      </c>
      <c r="AA2271" s="29" t="s">
        <v>820</v>
      </c>
      <c r="AB2271" s="31">
        <v>680.092407227</v>
      </c>
      <c r="AC2271" s="38">
        <v>26.0</v>
      </c>
    </row>
    <row r="2272" ht="14.25" customHeight="1">
      <c r="A2272" s="29" t="s">
        <v>521</v>
      </c>
      <c r="B2272" s="29">
        <v>100.0</v>
      </c>
      <c r="C2272" s="29" t="s">
        <v>608</v>
      </c>
      <c r="D2272" s="29" t="s">
        <v>1447</v>
      </c>
      <c r="E2272" s="29">
        <v>285.0</v>
      </c>
      <c r="F2272" s="30" t="s">
        <v>1448</v>
      </c>
      <c r="G2272" s="29" t="s">
        <v>611</v>
      </c>
      <c r="H2272" s="31">
        <v>0.4865</v>
      </c>
      <c r="I2272" s="29" t="s">
        <v>616</v>
      </c>
      <c r="J2272" s="32" t="s">
        <v>642</v>
      </c>
      <c r="K2272" s="29" t="s">
        <v>840</v>
      </c>
      <c r="L2272" s="29" t="s">
        <v>1147</v>
      </c>
      <c r="M2272" s="33">
        <v>-79.611</v>
      </c>
      <c r="N2272" s="33">
        <v>9.073</v>
      </c>
      <c r="O2272" s="34" t="s">
        <v>601</v>
      </c>
      <c r="P2272" s="32" t="s">
        <v>602</v>
      </c>
      <c r="Q2272" s="35">
        <v>17.0</v>
      </c>
      <c r="R2272" s="35">
        <v>17.0</v>
      </c>
      <c r="S2272" s="36">
        <v>0.202326</v>
      </c>
      <c r="T2272" s="36">
        <v>0.0232558</v>
      </c>
      <c r="U2272" s="36">
        <v>0.449806625</v>
      </c>
      <c r="V2272" s="36">
        <v>0.152498525</v>
      </c>
      <c r="W2272" s="37" t="s">
        <v>780</v>
      </c>
      <c r="X2272" s="31">
        <v>4.0</v>
      </c>
      <c r="Y2272" s="36">
        <v>2.1633553490404247</v>
      </c>
      <c r="Z2272" s="36">
        <v>2.820149678959013</v>
      </c>
      <c r="AA2272" s="29" t="s">
        <v>820</v>
      </c>
      <c r="AB2272" s="31">
        <v>680.092407227</v>
      </c>
      <c r="AC2272" s="38">
        <v>26.0</v>
      </c>
    </row>
    <row r="2273" ht="14.25" customHeight="1">
      <c r="A2273" s="29" t="s">
        <v>521</v>
      </c>
      <c r="B2273" s="29">
        <v>100.0</v>
      </c>
      <c r="C2273" s="29" t="s">
        <v>608</v>
      </c>
      <c r="D2273" s="29" t="s">
        <v>1447</v>
      </c>
      <c r="E2273" s="29">
        <v>285.0</v>
      </c>
      <c r="F2273" s="30" t="s">
        <v>1448</v>
      </c>
      <c r="G2273" s="29" t="s">
        <v>611</v>
      </c>
      <c r="H2273" s="31">
        <v>0.4865</v>
      </c>
      <c r="I2273" s="29" t="s">
        <v>616</v>
      </c>
      <c r="J2273" s="32" t="s">
        <v>642</v>
      </c>
      <c r="K2273" s="29" t="s">
        <v>840</v>
      </c>
      <c r="L2273" s="29" t="s">
        <v>1147</v>
      </c>
      <c r="M2273" s="33">
        <v>-79.65</v>
      </c>
      <c r="N2273" s="33">
        <v>9.09</v>
      </c>
      <c r="O2273" s="34" t="s">
        <v>601</v>
      </c>
      <c r="P2273" s="32" t="s">
        <v>602</v>
      </c>
      <c r="Q2273" s="35">
        <v>17.0</v>
      </c>
      <c r="R2273" s="35">
        <v>17.0</v>
      </c>
      <c r="S2273" s="36">
        <v>0.3162</v>
      </c>
      <c r="T2273" s="36">
        <v>0.0232558</v>
      </c>
      <c r="U2273" s="36">
        <v>0.562316637</v>
      </c>
      <c r="V2273" s="36">
        <v>0.152498525</v>
      </c>
      <c r="W2273" s="37" t="s">
        <v>780</v>
      </c>
      <c r="X2273" s="31">
        <v>5.0</v>
      </c>
      <c r="Y2273" s="36">
        <v>2.6098393364758325</v>
      </c>
      <c r="Z2273" s="36">
        <v>2.7154459636677855</v>
      </c>
      <c r="AA2273" s="29" t="s">
        <v>820</v>
      </c>
      <c r="AB2273" s="31">
        <v>680.092407227</v>
      </c>
      <c r="AC2273" s="38">
        <v>26.0</v>
      </c>
    </row>
    <row r="2274" ht="14.25" customHeight="1">
      <c r="A2274" s="29" t="s">
        <v>521</v>
      </c>
      <c r="B2274" s="29">
        <v>100.0</v>
      </c>
      <c r="C2274" s="29" t="s">
        <v>608</v>
      </c>
      <c r="D2274" s="29" t="s">
        <v>1449</v>
      </c>
      <c r="E2274" s="29">
        <v>286.0</v>
      </c>
      <c r="F2274" s="30" t="s">
        <v>1450</v>
      </c>
      <c r="G2274" s="29" t="s">
        <v>615</v>
      </c>
      <c r="H2274" s="31">
        <v>0.25</v>
      </c>
      <c r="I2274" s="29" t="s">
        <v>597</v>
      </c>
      <c r="J2274" s="32" t="s">
        <v>642</v>
      </c>
      <c r="K2274" s="29" t="s">
        <v>840</v>
      </c>
      <c r="L2274" s="29" t="s">
        <v>1147</v>
      </c>
      <c r="M2274" s="33">
        <v>-79.611</v>
      </c>
      <c r="N2274" s="33">
        <v>9.073</v>
      </c>
      <c r="O2274" s="34" t="s">
        <v>601</v>
      </c>
      <c r="P2274" s="32" t="s">
        <v>602</v>
      </c>
      <c r="Q2274" s="35">
        <v>17.0</v>
      </c>
      <c r="R2274" s="35">
        <v>17.0</v>
      </c>
      <c r="S2274" s="36">
        <v>5.05747</v>
      </c>
      <c r="T2274" s="36">
        <v>37.0115</v>
      </c>
      <c r="U2274" s="36">
        <v>2.248881944</v>
      </c>
      <c r="V2274" s="36">
        <v>6.083707751</v>
      </c>
      <c r="W2274" s="37" t="s">
        <v>623</v>
      </c>
      <c r="X2274" s="31">
        <v>4.0</v>
      </c>
      <c r="Y2274" s="36">
        <v>-1.9884760205121657</v>
      </c>
      <c r="Z2274" s="36">
        <v>0.013220350083968248</v>
      </c>
      <c r="AA2274" s="29" t="s">
        <v>820</v>
      </c>
      <c r="AB2274" s="31">
        <v>680.092407227</v>
      </c>
      <c r="AC2274" s="38">
        <v>26.0</v>
      </c>
    </row>
    <row r="2275" ht="14.25" customHeight="1">
      <c r="A2275" s="29" t="s">
        <v>521</v>
      </c>
      <c r="B2275" s="29">
        <v>100.0</v>
      </c>
      <c r="C2275" s="29" t="s">
        <v>608</v>
      </c>
      <c r="D2275" s="29" t="s">
        <v>1449</v>
      </c>
      <c r="E2275" s="29">
        <v>286.0</v>
      </c>
      <c r="F2275" s="30" t="s">
        <v>1450</v>
      </c>
      <c r="G2275" s="29" t="s">
        <v>615</v>
      </c>
      <c r="H2275" s="31">
        <v>0.25</v>
      </c>
      <c r="I2275" s="29" t="s">
        <v>597</v>
      </c>
      <c r="J2275" s="32" t="s">
        <v>642</v>
      </c>
      <c r="K2275" s="29" t="s">
        <v>840</v>
      </c>
      <c r="L2275" s="29" t="s">
        <v>1147</v>
      </c>
      <c r="M2275" s="33">
        <v>-79.65</v>
      </c>
      <c r="N2275" s="33">
        <v>9.09</v>
      </c>
      <c r="O2275" s="34" t="s">
        <v>601</v>
      </c>
      <c r="P2275" s="32" t="s">
        <v>602</v>
      </c>
      <c r="Q2275" s="35">
        <v>17.0</v>
      </c>
      <c r="R2275" s="35">
        <v>17.0</v>
      </c>
      <c r="S2275" s="36">
        <v>12.8736</v>
      </c>
      <c r="T2275" s="36">
        <v>37.0115</v>
      </c>
      <c r="U2275" s="36">
        <v>3.587979933</v>
      </c>
      <c r="V2275" s="36">
        <v>6.083707751</v>
      </c>
      <c r="W2275" s="37" t="s">
        <v>623</v>
      </c>
      <c r="X2275" s="31">
        <v>5.0</v>
      </c>
      <c r="Y2275" s="36">
        <v>-1.055308505282755</v>
      </c>
      <c r="Z2275" s="36">
        <v>0.006158645813688578</v>
      </c>
      <c r="AA2275" s="29" t="s">
        <v>820</v>
      </c>
      <c r="AB2275" s="31">
        <v>680.092407227</v>
      </c>
      <c r="AC2275" s="38">
        <v>26.0</v>
      </c>
    </row>
    <row r="2276" ht="14.25" customHeight="1">
      <c r="A2276" s="29" t="s">
        <v>521</v>
      </c>
      <c r="B2276" s="29">
        <v>100.0</v>
      </c>
      <c r="C2276" s="29" t="s">
        <v>608</v>
      </c>
      <c r="D2276" s="29" t="s">
        <v>968</v>
      </c>
      <c r="E2276" s="29">
        <v>186.0</v>
      </c>
      <c r="F2276" s="30" t="s">
        <v>969</v>
      </c>
      <c r="G2276" s="29" t="s">
        <v>695</v>
      </c>
      <c r="H2276" s="31">
        <v>4.21</v>
      </c>
      <c r="I2276" s="29" t="s">
        <v>620</v>
      </c>
      <c r="J2276" s="32" t="s">
        <v>642</v>
      </c>
      <c r="K2276" s="29" t="s">
        <v>840</v>
      </c>
      <c r="L2276" s="29" t="s">
        <v>1147</v>
      </c>
      <c r="M2276" s="33">
        <v>-79.611</v>
      </c>
      <c r="N2276" s="33">
        <v>9.073</v>
      </c>
      <c r="O2276" s="34" t="s">
        <v>601</v>
      </c>
      <c r="P2276" s="32" t="s">
        <v>602</v>
      </c>
      <c r="Q2276" s="35">
        <v>17.0</v>
      </c>
      <c r="R2276" s="35">
        <v>17.0</v>
      </c>
      <c r="S2276" s="36">
        <v>0.0</v>
      </c>
      <c r="T2276" s="36">
        <v>3.3237</v>
      </c>
      <c r="U2276" s="36">
        <v>0.0</v>
      </c>
      <c r="V2276" s="36">
        <v>1.823101753</v>
      </c>
      <c r="W2276" s="37" t="s">
        <v>623</v>
      </c>
      <c r="X2276" s="31">
        <v>4.0</v>
      </c>
      <c r="Y2276" s="36">
        <v>-8.262558973010657</v>
      </c>
      <c r="Z2276" s="36">
        <v>0.08053653387239676</v>
      </c>
      <c r="AA2276" s="29" t="s">
        <v>820</v>
      </c>
      <c r="AB2276" s="31">
        <v>680.092407227</v>
      </c>
      <c r="AC2276" s="38">
        <v>26.0</v>
      </c>
    </row>
    <row r="2277" ht="14.25" customHeight="1">
      <c r="A2277" s="29" t="s">
        <v>521</v>
      </c>
      <c r="B2277" s="29">
        <v>100.0</v>
      </c>
      <c r="C2277" s="29" t="s">
        <v>608</v>
      </c>
      <c r="D2277" s="29" t="s">
        <v>968</v>
      </c>
      <c r="E2277" s="29">
        <v>186.0</v>
      </c>
      <c r="F2277" s="30" t="s">
        <v>969</v>
      </c>
      <c r="G2277" s="29" t="s">
        <v>695</v>
      </c>
      <c r="H2277" s="31">
        <v>4.21</v>
      </c>
      <c r="I2277" s="29" t="s">
        <v>620</v>
      </c>
      <c r="J2277" s="32" t="s">
        <v>642</v>
      </c>
      <c r="K2277" s="29" t="s">
        <v>840</v>
      </c>
      <c r="L2277" s="29" t="s">
        <v>1147</v>
      </c>
      <c r="M2277" s="33">
        <v>-79.65</v>
      </c>
      <c r="N2277" s="33">
        <v>9.09</v>
      </c>
      <c r="O2277" s="34" t="s">
        <v>601</v>
      </c>
      <c r="P2277" s="32" t="s">
        <v>602</v>
      </c>
      <c r="Q2277" s="35">
        <v>17.0</v>
      </c>
      <c r="R2277" s="35">
        <v>17.0</v>
      </c>
      <c r="S2277" s="36">
        <v>0.0</v>
      </c>
      <c r="T2277" s="36">
        <v>3.3237</v>
      </c>
      <c r="U2277" s="36">
        <v>0.0</v>
      </c>
      <c r="V2277" s="36">
        <v>1.823101753</v>
      </c>
      <c r="W2277" s="37" t="s">
        <v>623</v>
      </c>
      <c r="X2277" s="31">
        <v>5.0</v>
      </c>
      <c r="Y2277" s="36">
        <v>-8.262558973010657</v>
      </c>
      <c r="Z2277" s="36">
        <v>0.08053653387239676</v>
      </c>
      <c r="AA2277" s="29" t="s">
        <v>820</v>
      </c>
      <c r="AB2277" s="31">
        <v>680.092407227</v>
      </c>
      <c r="AC2277" s="38">
        <v>26.0</v>
      </c>
    </row>
    <row r="2278" ht="14.25" customHeight="1">
      <c r="A2278" s="35" t="s">
        <v>528</v>
      </c>
      <c r="B2278" s="35">
        <v>160.0</v>
      </c>
      <c r="C2278" s="35" t="s">
        <v>608</v>
      </c>
      <c r="D2278" s="29" t="s">
        <v>935</v>
      </c>
      <c r="E2278" s="29">
        <v>35.0</v>
      </c>
      <c r="F2278" s="30" t="s">
        <v>936</v>
      </c>
      <c r="G2278" s="29" t="s">
        <v>626</v>
      </c>
      <c r="H2278" s="31">
        <v>16.74</v>
      </c>
      <c r="I2278" s="29" t="s">
        <v>612</v>
      </c>
      <c r="J2278" s="35" t="s">
        <v>598</v>
      </c>
      <c r="K2278" s="35" t="s">
        <v>698</v>
      </c>
      <c r="L2278" s="35" t="s">
        <v>910</v>
      </c>
      <c r="M2278" s="35">
        <v>14.63</v>
      </c>
      <c r="N2278" s="35">
        <v>2.707</v>
      </c>
      <c r="O2278" s="35" t="s">
        <v>601</v>
      </c>
      <c r="P2278" s="32" t="s">
        <v>602</v>
      </c>
      <c r="Q2278" s="35">
        <v>2.0</v>
      </c>
      <c r="R2278" s="35">
        <v>2.0</v>
      </c>
      <c r="S2278" s="36">
        <v>3.8</v>
      </c>
      <c r="T2278" s="36">
        <v>10.0</v>
      </c>
      <c r="U2278" s="36">
        <f t="shared" ref="U2278:V2278" si="507">SQRT(S2278)</f>
        <v>1.949358869</v>
      </c>
      <c r="V2278" s="36">
        <f t="shared" si="507"/>
        <v>3.16227766</v>
      </c>
      <c r="W2278" s="35" t="s">
        <v>623</v>
      </c>
      <c r="X2278" s="31">
        <v>13.0</v>
      </c>
      <c r="Y2278" s="36">
        <v>-0.9669053147016277</v>
      </c>
      <c r="Z2278" s="36">
        <v>0.18157894736842106</v>
      </c>
      <c r="AA2278" s="35" t="s">
        <v>820</v>
      </c>
      <c r="AB2278" s="35">
        <v>2.972</v>
      </c>
      <c r="AC2278" s="35">
        <v>1088.0</v>
      </c>
    </row>
    <row r="2279" ht="14.25" customHeight="1">
      <c r="A2279" s="35" t="s">
        <v>528</v>
      </c>
      <c r="B2279" s="35">
        <v>160.0</v>
      </c>
      <c r="C2279" s="35" t="s">
        <v>608</v>
      </c>
      <c r="D2279" s="29" t="s">
        <v>935</v>
      </c>
      <c r="E2279" s="29">
        <v>35.0</v>
      </c>
      <c r="F2279" s="30" t="s">
        <v>936</v>
      </c>
      <c r="G2279" s="29" t="s">
        <v>626</v>
      </c>
      <c r="H2279" s="31">
        <v>16.74</v>
      </c>
      <c r="I2279" s="29" t="s">
        <v>612</v>
      </c>
      <c r="J2279" s="35" t="s">
        <v>598</v>
      </c>
      <c r="K2279" s="35" t="s">
        <v>698</v>
      </c>
      <c r="L2279" s="35" t="s">
        <v>910</v>
      </c>
      <c r="M2279" s="35">
        <v>14.66</v>
      </c>
      <c r="N2279" s="35">
        <v>2.685</v>
      </c>
      <c r="O2279" s="35" t="s">
        <v>601</v>
      </c>
      <c r="P2279" s="32" t="s">
        <v>602</v>
      </c>
      <c r="Q2279" s="35">
        <v>2.0</v>
      </c>
      <c r="R2279" s="35">
        <v>2.0</v>
      </c>
      <c r="S2279" s="36">
        <v>4.9</v>
      </c>
      <c r="T2279" s="36">
        <v>10.0</v>
      </c>
      <c r="U2279" s="36">
        <f t="shared" ref="U2279:V2279" si="508">SQRT(S2279)</f>
        <v>2.213594362</v>
      </c>
      <c r="V2279" s="36">
        <f t="shared" si="508"/>
        <v>3.16227766</v>
      </c>
      <c r="W2279" s="35" t="s">
        <v>623</v>
      </c>
      <c r="X2279" s="31">
        <v>17.0</v>
      </c>
      <c r="Y2279" s="36">
        <v>-0.7128235000438188</v>
      </c>
      <c r="Z2279" s="36">
        <v>0.1520408163265306</v>
      </c>
      <c r="AA2279" s="35" t="s">
        <v>820</v>
      </c>
      <c r="AB2279" s="35">
        <v>2.972</v>
      </c>
      <c r="AC2279" s="35">
        <v>1275.0</v>
      </c>
    </row>
    <row r="2280" ht="14.25" customHeight="1">
      <c r="A2280" s="35" t="s">
        <v>528</v>
      </c>
      <c r="B2280" s="35">
        <v>160.0</v>
      </c>
      <c r="C2280" s="35" t="s">
        <v>608</v>
      </c>
      <c r="D2280" s="29" t="s">
        <v>935</v>
      </c>
      <c r="E2280" s="29">
        <v>35.0</v>
      </c>
      <c r="F2280" s="30" t="s">
        <v>936</v>
      </c>
      <c r="G2280" s="29" t="s">
        <v>626</v>
      </c>
      <c r="H2280" s="31">
        <v>16.74</v>
      </c>
      <c r="I2280" s="29" t="s">
        <v>612</v>
      </c>
      <c r="J2280" s="35" t="s">
        <v>598</v>
      </c>
      <c r="K2280" s="35" t="s">
        <v>698</v>
      </c>
      <c r="L2280" s="35" t="s">
        <v>910</v>
      </c>
      <c r="M2280" s="35">
        <v>14.696</v>
      </c>
      <c r="N2280" s="35">
        <v>2.645</v>
      </c>
      <c r="O2280" s="35" t="s">
        <v>601</v>
      </c>
      <c r="P2280" s="32" t="s">
        <v>602</v>
      </c>
      <c r="Q2280" s="35">
        <v>2.0</v>
      </c>
      <c r="R2280" s="35">
        <v>2.0</v>
      </c>
      <c r="S2280" s="36">
        <v>7.0</v>
      </c>
      <c r="T2280" s="36">
        <v>10.0</v>
      </c>
      <c r="U2280" s="36">
        <f t="shared" ref="U2280:V2280" si="509">SQRT(S2280)</f>
        <v>2.645751311</v>
      </c>
      <c r="V2280" s="36">
        <f t="shared" si="509"/>
        <v>3.16227766</v>
      </c>
      <c r="W2280" s="35" t="s">
        <v>623</v>
      </c>
      <c r="X2280" s="31">
        <v>22.0</v>
      </c>
      <c r="Y2280" s="36">
        <v>-0.3563064433633865</v>
      </c>
      <c r="Z2280" s="36">
        <v>0.12142857142857144</v>
      </c>
      <c r="AA2280" s="35" t="s">
        <v>820</v>
      </c>
      <c r="AB2280" s="35">
        <v>2.972</v>
      </c>
      <c r="AC2280" s="35">
        <v>1683.0</v>
      </c>
    </row>
    <row r="2281" ht="14.25" customHeight="1">
      <c r="A2281" s="35" t="s">
        <v>528</v>
      </c>
      <c r="B2281" s="35">
        <v>160.0</v>
      </c>
      <c r="C2281" s="35" t="s">
        <v>608</v>
      </c>
      <c r="D2281" s="29" t="s">
        <v>935</v>
      </c>
      <c r="E2281" s="29">
        <v>35.0</v>
      </c>
      <c r="F2281" s="30" t="s">
        <v>936</v>
      </c>
      <c r="G2281" s="29" t="s">
        <v>626</v>
      </c>
      <c r="H2281" s="31">
        <v>16.74</v>
      </c>
      <c r="I2281" s="29" t="s">
        <v>612</v>
      </c>
      <c r="J2281" s="35" t="s">
        <v>598</v>
      </c>
      <c r="K2281" s="35" t="s">
        <v>698</v>
      </c>
      <c r="L2281" s="35" t="s">
        <v>910</v>
      </c>
      <c r="M2281" s="35">
        <v>14.724</v>
      </c>
      <c r="N2281" s="35">
        <v>2.606</v>
      </c>
      <c r="O2281" s="35" t="s">
        <v>601</v>
      </c>
      <c r="P2281" s="32" t="s">
        <v>602</v>
      </c>
      <c r="Q2281" s="35">
        <v>2.0</v>
      </c>
      <c r="R2281" s="35">
        <v>2.0</v>
      </c>
      <c r="S2281" s="36">
        <v>14.0</v>
      </c>
      <c r="T2281" s="36">
        <v>10.0</v>
      </c>
      <c r="U2281" s="36">
        <f t="shared" ref="U2281:V2281" si="510">SQRT(S2281)</f>
        <v>3.741657387</v>
      </c>
      <c r="V2281" s="36">
        <f t="shared" si="510"/>
        <v>3.16227766</v>
      </c>
      <c r="W2281" s="35" t="s">
        <v>623</v>
      </c>
      <c r="X2281" s="31">
        <v>28.0</v>
      </c>
      <c r="Y2281" s="36">
        <v>0.3366565038829699</v>
      </c>
      <c r="Z2281" s="36">
        <v>0.08571428571428572</v>
      </c>
      <c r="AA2281" s="35" t="s">
        <v>820</v>
      </c>
      <c r="AB2281" s="35">
        <v>2.972</v>
      </c>
      <c r="AC2281" s="35">
        <v>2067.0</v>
      </c>
    </row>
    <row r="2282" ht="14.25" customHeight="1">
      <c r="A2282" s="35" t="s">
        <v>528</v>
      </c>
      <c r="B2282" s="35">
        <v>160.0</v>
      </c>
      <c r="C2282" s="35" t="s">
        <v>608</v>
      </c>
      <c r="D2282" s="35" t="s">
        <v>1053</v>
      </c>
      <c r="E2282" s="29">
        <v>41.0</v>
      </c>
      <c r="F2282" s="39" t="s">
        <v>1054</v>
      </c>
      <c r="G2282" s="35" t="s">
        <v>626</v>
      </c>
      <c r="H2282" s="31">
        <v>72.5</v>
      </c>
      <c r="I2282" s="29" t="s">
        <v>612</v>
      </c>
      <c r="J2282" s="35" t="s">
        <v>598</v>
      </c>
      <c r="K2282" s="35" t="s">
        <v>698</v>
      </c>
      <c r="L2282" s="35" t="s">
        <v>910</v>
      </c>
      <c r="M2282" s="35">
        <v>14.63</v>
      </c>
      <c r="N2282" s="35">
        <v>2.707</v>
      </c>
      <c r="O2282" s="35" t="s">
        <v>601</v>
      </c>
      <c r="P2282" s="32" t="s">
        <v>602</v>
      </c>
      <c r="Q2282" s="35">
        <v>1.0</v>
      </c>
      <c r="R2282" s="35">
        <v>1.0</v>
      </c>
      <c r="S2282" s="36">
        <v>0.0</v>
      </c>
      <c r="T2282" s="36">
        <v>2.0</v>
      </c>
      <c r="U2282" s="36">
        <f t="shared" ref="U2282:V2282" si="511">SQRT(S2282)</f>
        <v>0</v>
      </c>
      <c r="V2282" s="36">
        <f t="shared" si="511"/>
        <v>1.414213562</v>
      </c>
      <c r="W2282" s="35" t="s">
        <v>1451</v>
      </c>
      <c r="X2282" s="31">
        <v>13.0</v>
      </c>
      <c r="Y2282" s="36">
        <v>-8.262558973010657</v>
      </c>
      <c r="Z2282" s="36">
        <v>1.5862741699796952</v>
      </c>
      <c r="AA2282" s="35" t="s">
        <v>820</v>
      </c>
      <c r="AB2282" s="35">
        <v>2.972</v>
      </c>
      <c r="AC2282" s="35">
        <v>1088.0</v>
      </c>
    </row>
    <row r="2283" ht="14.25" customHeight="1">
      <c r="A2283" s="35" t="s">
        <v>528</v>
      </c>
      <c r="B2283" s="35">
        <v>160.0</v>
      </c>
      <c r="C2283" s="35" t="s">
        <v>608</v>
      </c>
      <c r="D2283" s="35" t="s">
        <v>1053</v>
      </c>
      <c r="E2283" s="29">
        <v>41.0</v>
      </c>
      <c r="F2283" s="39" t="s">
        <v>1054</v>
      </c>
      <c r="G2283" s="35" t="s">
        <v>626</v>
      </c>
      <c r="H2283" s="31">
        <v>72.5</v>
      </c>
      <c r="I2283" s="29" t="s">
        <v>612</v>
      </c>
      <c r="J2283" s="35" t="s">
        <v>598</v>
      </c>
      <c r="K2283" s="35" t="s">
        <v>698</v>
      </c>
      <c r="L2283" s="35" t="s">
        <v>910</v>
      </c>
      <c r="M2283" s="35">
        <v>14.66</v>
      </c>
      <c r="N2283" s="35">
        <v>2.685</v>
      </c>
      <c r="O2283" s="35" t="s">
        <v>601</v>
      </c>
      <c r="P2283" s="32" t="s">
        <v>602</v>
      </c>
      <c r="Q2283" s="35">
        <v>1.0</v>
      </c>
      <c r="R2283" s="35">
        <v>1.0</v>
      </c>
      <c r="S2283" s="36">
        <v>0.0</v>
      </c>
      <c r="T2283" s="36">
        <v>2.0</v>
      </c>
      <c r="U2283" s="36">
        <f t="shared" ref="U2283:V2283" si="512">SQRT(S2283)</f>
        <v>0</v>
      </c>
      <c r="V2283" s="36">
        <f t="shared" si="512"/>
        <v>1.414213562</v>
      </c>
      <c r="W2283" s="35" t="s">
        <v>1451</v>
      </c>
      <c r="X2283" s="31">
        <v>17.0</v>
      </c>
      <c r="Y2283" s="36">
        <v>-8.262558973010657</v>
      </c>
      <c r="Z2283" s="36">
        <v>1.5862741699796952</v>
      </c>
      <c r="AA2283" s="35" t="s">
        <v>820</v>
      </c>
      <c r="AB2283" s="35">
        <v>2.972</v>
      </c>
      <c r="AC2283" s="35">
        <v>1275.0</v>
      </c>
    </row>
    <row r="2284" ht="14.25" customHeight="1">
      <c r="A2284" s="35" t="s">
        <v>528</v>
      </c>
      <c r="B2284" s="35">
        <v>160.0</v>
      </c>
      <c r="C2284" s="35" t="s">
        <v>608</v>
      </c>
      <c r="D2284" s="35" t="s">
        <v>1053</v>
      </c>
      <c r="E2284" s="29">
        <v>41.0</v>
      </c>
      <c r="F2284" s="39" t="s">
        <v>1054</v>
      </c>
      <c r="G2284" s="35" t="s">
        <v>626</v>
      </c>
      <c r="H2284" s="31">
        <v>72.5</v>
      </c>
      <c r="I2284" s="29" t="s">
        <v>612</v>
      </c>
      <c r="J2284" s="35" t="s">
        <v>598</v>
      </c>
      <c r="K2284" s="35" t="s">
        <v>698</v>
      </c>
      <c r="L2284" s="35" t="s">
        <v>910</v>
      </c>
      <c r="M2284" s="35">
        <v>14.696</v>
      </c>
      <c r="N2284" s="35">
        <v>2.645</v>
      </c>
      <c r="O2284" s="35" t="s">
        <v>601</v>
      </c>
      <c r="P2284" s="32" t="s">
        <v>602</v>
      </c>
      <c r="Q2284" s="35">
        <v>1.0</v>
      </c>
      <c r="R2284" s="35">
        <v>1.0</v>
      </c>
      <c r="S2284" s="36">
        <v>3.0</v>
      </c>
      <c r="T2284" s="36">
        <v>2.0</v>
      </c>
      <c r="U2284" s="36">
        <f t="shared" ref="U2284:V2284" si="513">SQRT(S2284)</f>
        <v>1.732050808</v>
      </c>
      <c r="V2284" s="36">
        <f t="shared" si="513"/>
        <v>1.414213562</v>
      </c>
      <c r="W2284" s="35" t="s">
        <v>1451</v>
      </c>
      <c r="X2284" s="31">
        <v>22.0</v>
      </c>
      <c r="Y2284" s="36">
        <v>0.4056370919421079</v>
      </c>
      <c r="Z2284" s="36">
        <v>0.8333333333333334</v>
      </c>
      <c r="AA2284" s="35" t="s">
        <v>820</v>
      </c>
      <c r="AB2284" s="35">
        <v>2.972</v>
      </c>
      <c r="AC2284" s="35">
        <v>1683.0</v>
      </c>
    </row>
    <row r="2285" ht="14.25" customHeight="1">
      <c r="A2285" s="35" t="s">
        <v>528</v>
      </c>
      <c r="B2285" s="35">
        <v>160.0</v>
      </c>
      <c r="C2285" s="35" t="s">
        <v>608</v>
      </c>
      <c r="D2285" s="35" t="s">
        <v>1053</v>
      </c>
      <c r="E2285" s="29">
        <v>41.0</v>
      </c>
      <c r="F2285" s="39" t="s">
        <v>1054</v>
      </c>
      <c r="G2285" s="35" t="s">
        <v>626</v>
      </c>
      <c r="H2285" s="31">
        <v>72.5</v>
      </c>
      <c r="I2285" s="29" t="s">
        <v>612</v>
      </c>
      <c r="J2285" s="35" t="s">
        <v>598</v>
      </c>
      <c r="K2285" s="35" t="s">
        <v>698</v>
      </c>
      <c r="L2285" s="35" t="s">
        <v>910</v>
      </c>
      <c r="M2285" s="35">
        <v>14.724</v>
      </c>
      <c r="N2285" s="35">
        <v>2.606</v>
      </c>
      <c r="O2285" s="35" t="s">
        <v>601</v>
      </c>
      <c r="P2285" s="32" t="s">
        <v>602</v>
      </c>
      <c r="Q2285" s="35">
        <v>1.0</v>
      </c>
      <c r="R2285" s="35">
        <v>1.0</v>
      </c>
      <c r="S2285" s="36">
        <v>7.0</v>
      </c>
      <c r="T2285" s="36">
        <v>2.0</v>
      </c>
      <c r="U2285" s="36">
        <f t="shared" ref="U2285:V2285" si="514">SQRT(S2285)</f>
        <v>2.645751311</v>
      </c>
      <c r="V2285" s="36">
        <f t="shared" si="514"/>
        <v>1.414213562</v>
      </c>
      <c r="W2285" s="35" t="s">
        <v>1451</v>
      </c>
      <c r="X2285" s="31">
        <v>28.0</v>
      </c>
      <c r="Y2285" s="36">
        <v>1.2528366794746517</v>
      </c>
      <c r="Z2285" s="36">
        <v>0.642857142857143</v>
      </c>
      <c r="AA2285" s="35" t="s">
        <v>820</v>
      </c>
      <c r="AB2285" s="35">
        <v>2.972</v>
      </c>
      <c r="AC2285" s="35">
        <v>2067.0</v>
      </c>
    </row>
    <row r="2286" ht="14.25" customHeight="1">
      <c r="A2286" s="35" t="s">
        <v>528</v>
      </c>
      <c r="B2286" s="35">
        <v>160.0</v>
      </c>
      <c r="C2286" s="35" t="s">
        <v>608</v>
      </c>
      <c r="D2286" s="29" t="s">
        <v>751</v>
      </c>
      <c r="E2286" s="29">
        <v>97.0</v>
      </c>
      <c r="F2286" s="30" t="s">
        <v>752</v>
      </c>
      <c r="G2286" s="35" t="s">
        <v>753</v>
      </c>
      <c r="H2286" s="31">
        <v>3940.03</v>
      </c>
      <c r="I2286" s="29" t="s">
        <v>612</v>
      </c>
      <c r="J2286" s="35" t="s">
        <v>598</v>
      </c>
      <c r="K2286" s="35" t="s">
        <v>698</v>
      </c>
      <c r="L2286" s="35" t="s">
        <v>910</v>
      </c>
      <c r="M2286" s="35">
        <v>14.63</v>
      </c>
      <c r="N2286" s="35">
        <v>2.707</v>
      </c>
      <c r="O2286" s="35" t="s">
        <v>601</v>
      </c>
      <c r="P2286" s="32" t="s">
        <v>602</v>
      </c>
      <c r="Q2286" s="35">
        <v>2.0</v>
      </c>
      <c r="R2286" s="35">
        <v>2.0</v>
      </c>
      <c r="S2286" s="36">
        <v>0.0</v>
      </c>
      <c r="T2286" s="36">
        <v>1.3</v>
      </c>
      <c r="U2286" s="36">
        <f t="shared" ref="U2286:V2286" si="515">SQRT(S2286)</f>
        <v>0</v>
      </c>
      <c r="V2286" s="36">
        <f t="shared" si="515"/>
        <v>1.140175425</v>
      </c>
      <c r="W2286" s="35" t="s">
        <v>623</v>
      </c>
      <c r="X2286" s="31">
        <v>13.0</v>
      </c>
      <c r="Y2286" s="36">
        <v>-8.262558973010657</v>
      </c>
      <c r="Z2286" s="36">
        <v>0.9151505285646817</v>
      </c>
      <c r="AA2286" s="35" t="s">
        <v>820</v>
      </c>
      <c r="AB2286" s="35">
        <v>2.972</v>
      </c>
      <c r="AC2286" s="35">
        <v>1088.0</v>
      </c>
    </row>
    <row r="2287" ht="14.25" customHeight="1">
      <c r="A2287" s="35" t="s">
        <v>528</v>
      </c>
      <c r="B2287" s="35">
        <v>160.0</v>
      </c>
      <c r="C2287" s="35" t="s">
        <v>608</v>
      </c>
      <c r="D2287" s="29" t="s">
        <v>751</v>
      </c>
      <c r="E2287" s="29">
        <v>97.0</v>
      </c>
      <c r="F2287" s="30" t="s">
        <v>752</v>
      </c>
      <c r="G2287" s="35" t="s">
        <v>753</v>
      </c>
      <c r="H2287" s="31">
        <v>3940.03</v>
      </c>
      <c r="I2287" s="29" t="s">
        <v>612</v>
      </c>
      <c r="J2287" s="35" t="s">
        <v>598</v>
      </c>
      <c r="K2287" s="35" t="s">
        <v>698</v>
      </c>
      <c r="L2287" s="35" t="s">
        <v>910</v>
      </c>
      <c r="M2287" s="35">
        <v>14.66</v>
      </c>
      <c r="N2287" s="35">
        <v>2.685</v>
      </c>
      <c r="O2287" s="35" t="s">
        <v>601</v>
      </c>
      <c r="P2287" s="32" t="s">
        <v>602</v>
      </c>
      <c r="Q2287" s="35">
        <v>2.0</v>
      </c>
      <c r="R2287" s="35">
        <v>2.0</v>
      </c>
      <c r="S2287" s="36">
        <v>0.3</v>
      </c>
      <c r="T2287" s="36">
        <v>1.3</v>
      </c>
      <c r="U2287" s="36">
        <f t="shared" ref="U2287:V2287" si="516">SQRT(S2287)</f>
        <v>0.5477225575</v>
      </c>
      <c r="V2287" s="36">
        <f t="shared" si="516"/>
        <v>1.140175425</v>
      </c>
      <c r="W2287" s="35" t="s">
        <v>623</v>
      </c>
      <c r="X2287" s="31">
        <v>17.0</v>
      </c>
      <c r="Y2287" s="36">
        <v>-1.4652197022239526</v>
      </c>
      <c r="Z2287" s="36">
        <v>2.051282051282051</v>
      </c>
      <c r="AA2287" s="35" t="s">
        <v>820</v>
      </c>
      <c r="AB2287" s="35">
        <v>2.972</v>
      </c>
      <c r="AC2287" s="35">
        <v>1275.0</v>
      </c>
    </row>
    <row r="2288" ht="14.25" customHeight="1">
      <c r="A2288" s="35" t="s">
        <v>528</v>
      </c>
      <c r="B2288" s="35">
        <v>160.0</v>
      </c>
      <c r="C2288" s="35" t="s">
        <v>608</v>
      </c>
      <c r="D2288" s="29" t="s">
        <v>751</v>
      </c>
      <c r="E2288" s="29">
        <v>97.0</v>
      </c>
      <c r="F2288" s="30" t="s">
        <v>752</v>
      </c>
      <c r="G2288" s="35" t="s">
        <v>753</v>
      </c>
      <c r="H2288" s="31">
        <v>3940.03</v>
      </c>
      <c r="I2288" s="29" t="s">
        <v>612</v>
      </c>
      <c r="J2288" s="35" t="s">
        <v>598</v>
      </c>
      <c r="K2288" s="35" t="s">
        <v>698</v>
      </c>
      <c r="L2288" s="35" t="s">
        <v>910</v>
      </c>
      <c r="M2288" s="35">
        <v>14.696</v>
      </c>
      <c r="N2288" s="35">
        <v>2.645</v>
      </c>
      <c r="O2288" s="35" t="s">
        <v>601</v>
      </c>
      <c r="P2288" s="32" t="s">
        <v>602</v>
      </c>
      <c r="Q2288" s="35">
        <v>2.0</v>
      </c>
      <c r="R2288" s="35">
        <v>2.0</v>
      </c>
      <c r="S2288" s="36">
        <v>0.2</v>
      </c>
      <c r="T2288" s="36">
        <v>1.3</v>
      </c>
      <c r="U2288" s="36">
        <f t="shared" ref="U2288:V2288" si="517">SQRT(S2288)</f>
        <v>0.4472135955</v>
      </c>
      <c r="V2288" s="36">
        <f t="shared" si="517"/>
        <v>1.140175425</v>
      </c>
      <c r="W2288" s="35" t="s">
        <v>623</v>
      </c>
      <c r="X2288" s="31">
        <v>22.0</v>
      </c>
      <c r="Y2288" s="36">
        <v>-1.870126594889406</v>
      </c>
      <c r="Z2288" s="36">
        <v>2.8846153846153837</v>
      </c>
      <c r="AA2288" s="35" t="s">
        <v>820</v>
      </c>
      <c r="AB2288" s="35">
        <v>2.972</v>
      </c>
      <c r="AC2288" s="35">
        <v>1683.0</v>
      </c>
    </row>
    <row r="2289" ht="14.25" customHeight="1">
      <c r="A2289" s="35" t="s">
        <v>528</v>
      </c>
      <c r="B2289" s="35">
        <v>160.0</v>
      </c>
      <c r="C2289" s="35" t="s">
        <v>608</v>
      </c>
      <c r="D2289" s="29" t="s">
        <v>751</v>
      </c>
      <c r="E2289" s="29">
        <v>97.0</v>
      </c>
      <c r="F2289" s="30" t="s">
        <v>752</v>
      </c>
      <c r="G2289" s="35" t="s">
        <v>753</v>
      </c>
      <c r="H2289" s="31">
        <v>3940.03</v>
      </c>
      <c r="I2289" s="29" t="s">
        <v>612</v>
      </c>
      <c r="J2289" s="35" t="s">
        <v>598</v>
      </c>
      <c r="K2289" s="35" t="s">
        <v>698</v>
      </c>
      <c r="L2289" s="35" t="s">
        <v>910</v>
      </c>
      <c r="M2289" s="35">
        <v>14.724</v>
      </c>
      <c r="N2289" s="35">
        <v>2.606</v>
      </c>
      <c r="O2289" s="35" t="s">
        <v>601</v>
      </c>
      <c r="P2289" s="32" t="s">
        <v>602</v>
      </c>
      <c r="Q2289" s="35">
        <v>2.0</v>
      </c>
      <c r="R2289" s="35">
        <v>2.0</v>
      </c>
      <c r="S2289" s="36">
        <v>0.3</v>
      </c>
      <c r="T2289" s="36">
        <v>1.3</v>
      </c>
      <c r="U2289" s="36">
        <f t="shared" ref="U2289:V2289" si="518">SQRT(S2289)</f>
        <v>0.5477225575</v>
      </c>
      <c r="V2289" s="36">
        <f t="shared" si="518"/>
        <v>1.140175425</v>
      </c>
      <c r="W2289" s="35" t="s">
        <v>623</v>
      </c>
      <c r="X2289" s="31">
        <v>28.0</v>
      </c>
      <c r="Y2289" s="36">
        <v>-1.4652197022239526</v>
      </c>
      <c r="Z2289" s="36">
        <v>2.051282051282051</v>
      </c>
      <c r="AA2289" s="35" t="s">
        <v>820</v>
      </c>
      <c r="AB2289" s="35">
        <v>2.972</v>
      </c>
      <c r="AC2289" s="35">
        <v>2067.0</v>
      </c>
    </row>
    <row r="2290" ht="14.25" customHeight="1">
      <c r="A2290" s="35" t="s">
        <v>528</v>
      </c>
      <c r="B2290" s="35">
        <v>160.0</v>
      </c>
      <c r="C2290" s="35" t="s">
        <v>608</v>
      </c>
      <c r="D2290" s="29" t="s">
        <v>781</v>
      </c>
      <c r="E2290" s="29">
        <v>136.0</v>
      </c>
      <c r="F2290" s="30" t="s">
        <v>782</v>
      </c>
      <c r="G2290" s="29" t="s">
        <v>626</v>
      </c>
      <c r="H2290" s="31">
        <v>4.9</v>
      </c>
      <c r="I2290" s="29" t="s">
        <v>597</v>
      </c>
      <c r="J2290" s="35" t="s">
        <v>598</v>
      </c>
      <c r="K2290" s="35" t="s">
        <v>698</v>
      </c>
      <c r="L2290" s="35" t="s">
        <v>910</v>
      </c>
      <c r="M2290" s="35">
        <v>14.63</v>
      </c>
      <c r="N2290" s="35">
        <v>2.707</v>
      </c>
      <c r="O2290" s="35" t="s">
        <v>601</v>
      </c>
      <c r="P2290" s="32" t="s">
        <v>602</v>
      </c>
      <c r="Q2290" s="35">
        <v>1.0</v>
      </c>
      <c r="R2290" s="35">
        <v>1.0</v>
      </c>
      <c r="S2290" s="36">
        <v>0.0</v>
      </c>
      <c r="T2290" s="36">
        <v>2.0</v>
      </c>
      <c r="U2290" s="36">
        <f t="shared" ref="U2290:V2290" si="519">SQRT(S2290)</f>
        <v>0</v>
      </c>
      <c r="V2290" s="36">
        <f t="shared" si="519"/>
        <v>1.414213562</v>
      </c>
      <c r="W2290" s="35" t="s">
        <v>1452</v>
      </c>
      <c r="X2290" s="31">
        <v>13.0</v>
      </c>
      <c r="Y2290" s="36">
        <v>-8.262558973010657</v>
      </c>
      <c r="Z2290" s="36">
        <v>1.5862741699796952</v>
      </c>
      <c r="AA2290" s="35" t="s">
        <v>820</v>
      </c>
      <c r="AB2290" s="35">
        <v>2.972</v>
      </c>
      <c r="AC2290" s="35">
        <v>1088.0</v>
      </c>
    </row>
    <row r="2291" ht="14.25" customHeight="1">
      <c r="A2291" s="35" t="s">
        <v>528</v>
      </c>
      <c r="B2291" s="35">
        <v>160.0</v>
      </c>
      <c r="C2291" s="35" t="s">
        <v>608</v>
      </c>
      <c r="D2291" s="29" t="s">
        <v>781</v>
      </c>
      <c r="E2291" s="29">
        <v>136.0</v>
      </c>
      <c r="F2291" s="30" t="s">
        <v>782</v>
      </c>
      <c r="G2291" s="29" t="s">
        <v>626</v>
      </c>
      <c r="H2291" s="31">
        <v>4.9</v>
      </c>
      <c r="I2291" s="29" t="s">
        <v>597</v>
      </c>
      <c r="J2291" s="35" t="s">
        <v>598</v>
      </c>
      <c r="K2291" s="35" t="s">
        <v>698</v>
      </c>
      <c r="L2291" s="35" t="s">
        <v>910</v>
      </c>
      <c r="M2291" s="35">
        <v>14.66</v>
      </c>
      <c r="N2291" s="35">
        <v>2.685</v>
      </c>
      <c r="O2291" s="35" t="s">
        <v>601</v>
      </c>
      <c r="P2291" s="32" t="s">
        <v>602</v>
      </c>
      <c r="Q2291" s="35">
        <v>1.0</v>
      </c>
      <c r="R2291" s="35">
        <v>1.0</v>
      </c>
      <c r="S2291" s="36">
        <v>1.0</v>
      </c>
      <c r="T2291" s="36">
        <v>2.0</v>
      </c>
      <c r="U2291" s="36">
        <f t="shared" ref="U2291:V2291" si="520">SQRT(S2291)</f>
        <v>1</v>
      </c>
      <c r="V2291" s="36">
        <f t="shared" si="520"/>
        <v>1.414213562</v>
      </c>
      <c r="W2291" s="35" t="s">
        <v>1452</v>
      </c>
      <c r="X2291" s="31">
        <v>17.0</v>
      </c>
      <c r="Y2291" s="36">
        <v>-0.692631317768005</v>
      </c>
      <c r="Z2291" s="36">
        <v>1.5</v>
      </c>
      <c r="AA2291" s="35" t="s">
        <v>820</v>
      </c>
      <c r="AB2291" s="35">
        <v>2.972</v>
      </c>
      <c r="AC2291" s="35">
        <v>1275.0</v>
      </c>
    </row>
    <row r="2292" ht="14.25" customHeight="1">
      <c r="A2292" s="35" t="s">
        <v>528</v>
      </c>
      <c r="B2292" s="35">
        <v>160.0</v>
      </c>
      <c r="C2292" s="35" t="s">
        <v>608</v>
      </c>
      <c r="D2292" s="29" t="s">
        <v>781</v>
      </c>
      <c r="E2292" s="29">
        <v>136.0</v>
      </c>
      <c r="F2292" s="30" t="s">
        <v>782</v>
      </c>
      <c r="G2292" s="29" t="s">
        <v>626</v>
      </c>
      <c r="H2292" s="31">
        <v>4.9</v>
      </c>
      <c r="I2292" s="29" t="s">
        <v>597</v>
      </c>
      <c r="J2292" s="35" t="s">
        <v>598</v>
      </c>
      <c r="K2292" s="35" t="s">
        <v>698</v>
      </c>
      <c r="L2292" s="35" t="s">
        <v>910</v>
      </c>
      <c r="M2292" s="35">
        <v>14.696</v>
      </c>
      <c r="N2292" s="35">
        <v>2.645</v>
      </c>
      <c r="O2292" s="35" t="s">
        <v>601</v>
      </c>
      <c r="P2292" s="32" t="s">
        <v>602</v>
      </c>
      <c r="Q2292" s="35">
        <v>1.0</v>
      </c>
      <c r="R2292" s="35">
        <v>1.0</v>
      </c>
      <c r="S2292" s="36">
        <v>0.0</v>
      </c>
      <c r="T2292" s="36">
        <v>2.0</v>
      </c>
      <c r="U2292" s="36">
        <f t="shared" ref="U2292:V2292" si="521">SQRT(S2292)</f>
        <v>0</v>
      </c>
      <c r="V2292" s="36">
        <f t="shared" si="521"/>
        <v>1.414213562</v>
      </c>
      <c r="W2292" s="35" t="s">
        <v>1452</v>
      </c>
      <c r="X2292" s="31">
        <v>22.0</v>
      </c>
      <c r="Y2292" s="36">
        <v>-8.262558973010657</v>
      </c>
      <c r="Z2292" s="36">
        <v>1.5862741699796952</v>
      </c>
      <c r="AA2292" s="35" t="s">
        <v>820</v>
      </c>
      <c r="AB2292" s="35">
        <v>2.972</v>
      </c>
      <c r="AC2292" s="35">
        <v>1683.0</v>
      </c>
    </row>
    <row r="2293" ht="14.25" customHeight="1">
      <c r="A2293" s="35" t="s">
        <v>528</v>
      </c>
      <c r="B2293" s="35">
        <v>160.0</v>
      </c>
      <c r="C2293" s="35" t="s">
        <v>608</v>
      </c>
      <c r="D2293" s="29" t="s">
        <v>781</v>
      </c>
      <c r="E2293" s="29">
        <v>136.0</v>
      </c>
      <c r="F2293" s="30" t="s">
        <v>782</v>
      </c>
      <c r="G2293" s="29" t="s">
        <v>626</v>
      </c>
      <c r="H2293" s="31">
        <v>4.9</v>
      </c>
      <c r="I2293" s="29" t="s">
        <v>597</v>
      </c>
      <c r="J2293" s="35" t="s">
        <v>598</v>
      </c>
      <c r="K2293" s="35" t="s">
        <v>698</v>
      </c>
      <c r="L2293" s="35" t="s">
        <v>910</v>
      </c>
      <c r="M2293" s="35">
        <v>14.724</v>
      </c>
      <c r="N2293" s="35">
        <v>2.606</v>
      </c>
      <c r="O2293" s="35" t="s">
        <v>601</v>
      </c>
      <c r="P2293" s="32" t="s">
        <v>602</v>
      </c>
      <c r="Q2293" s="35">
        <v>1.0</v>
      </c>
      <c r="R2293" s="35">
        <v>1.0</v>
      </c>
      <c r="S2293" s="36">
        <v>3.0</v>
      </c>
      <c r="T2293" s="36">
        <v>2.0</v>
      </c>
      <c r="U2293" s="36">
        <f t="shared" ref="U2293:V2293" si="522">SQRT(S2293)</f>
        <v>1.732050808</v>
      </c>
      <c r="V2293" s="36">
        <f t="shared" si="522"/>
        <v>1.414213562</v>
      </c>
      <c r="W2293" s="35" t="s">
        <v>1452</v>
      </c>
      <c r="X2293" s="31">
        <v>28.0</v>
      </c>
      <c r="Y2293" s="36">
        <v>0.4056370919421079</v>
      </c>
      <c r="Z2293" s="36">
        <v>0.8333333333333334</v>
      </c>
      <c r="AA2293" s="35" t="s">
        <v>820</v>
      </c>
      <c r="AB2293" s="35">
        <v>2.972</v>
      </c>
      <c r="AC2293" s="35">
        <v>2067.0</v>
      </c>
    </row>
    <row r="2294" ht="14.25" customHeight="1">
      <c r="A2294" s="35" t="s">
        <v>528</v>
      </c>
      <c r="B2294" s="35">
        <v>160.0</v>
      </c>
      <c r="C2294" s="35" t="s">
        <v>608</v>
      </c>
      <c r="D2294" s="43" t="s">
        <v>1195</v>
      </c>
      <c r="E2294" s="29">
        <v>148.0</v>
      </c>
      <c r="F2294" s="39" t="s">
        <v>1196</v>
      </c>
      <c r="G2294" s="35" t="s">
        <v>626</v>
      </c>
      <c r="H2294" s="31">
        <v>70.0</v>
      </c>
      <c r="I2294" s="29" t="s">
        <v>616</v>
      </c>
      <c r="J2294" s="35" t="s">
        <v>598</v>
      </c>
      <c r="K2294" s="35" t="s">
        <v>698</v>
      </c>
      <c r="L2294" s="35" t="s">
        <v>910</v>
      </c>
      <c r="M2294" s="35">
        <v>14.63</v>
      </c>
      <c r="N2294" s="35">
        <v>2.707</v>
      </c>
      <c r="O2294" s="35" t="s">
        <v>601</v>
      </c>
      <c r="P2294" s="32" t="s">
        <v>602</v>
      </c>
      <c r="Q2294" s="35">
        <v>1.0</v>
      </c>
      <c r="R2294" s="35">
        <v>1.0</v>
      </c>
      <c r="S2294" s="36">
        <v>4.0</v>
      </c>
      <c r="T2294" s="36">
        <v>4.0</v>
      </c>
      <c r="U2294" s="36">
        <f t="shared" ref="U2294:V2294" si="523">SQRT(S2294)</f>
        <v>2</v>
      </c>
      <c r="V2294" s="36">
        <f t="shared" si="523"/>
        <v>2</v>
      </c>
      <c r="W2294" s="35" t="s">
        <v>1452</v>
      </c>
      <c r="X2294" s="31">
        <v>13.0</v>
      </c>
      <c r="Y2294" s="36">
        <v>2.5796466027220563E-4</v>
      </c>
      <c r="Z2294" s="36">
        <v>0.5</v>
      </c>
      <c r="AA2294" s="35" t="s">
        <v>820</v>
      </c>
      <c r="AB2294" s="35">
        <v>2.972</v>
      </c>
      <c r="AC2294" s="35">
        <v>1088.0</v>
      </c>
    </row>
    <row r="2295" ht="14.25" customHeight="1">
      <c r="A2295" s="35" t="s">
        <v>528</v>
      </c>
      <c r="B2295" s="35">
        <v>160.0</v>
      </c>
      <c r="C2295" s="35" t="s">
        <v>608</v>
      </c>
      <c r="D2295" s="43" t="s">
        <v>1195</v>
      </c>
      <c r="E2295" s="29">
        <v>148.0</v>
      </c>
      <c r="F2295" s="39" t="s">
        <v>1196</v>
      </c>
      <c r="G2295" s="35" t="s">
        <v>626</v>
      </c>
      <c r="H2295" s="31">
        <v>70.0</v>
      </c>
      <c r="I2295" s="29" t="s">
        <v>616</v>
      </c>
      <c r="J2295" s="35" t="s">
        <v>598</v>
      </c>
      <c r="K2295" s="35" t="s">
        <v>698</v>
      </c>
      <c r="L2295" s="35" t="s">
        <v>910</v>
      </c>
      <c r="M2295" s="35">
        <v>14.66</v>
      </c>
      <c r="N2295" s="35">
        <v>2.685</v>
      </c>
      <c r="O2295" s="35" t="s">
        <v>601</v>
      </c>
      <c r="P2295" s="32" t="s">
        <v>602</v>
      </c>
      <c r="Q2295" s="35">
        <v>1.0</v>
      </c>
      <c r="R2295" s="35">
        <v>1.0</v>
      </c>
      <c r="S2295" s="36">
        <v>1.0</v>
      </c>
      <c r="T2295" s="36">
        <v>4.0</v>
      </c>
      <c r="U2295" s="36">
        <f t="shared" ref="U2295:V2295" si="524">SQRT(S2295)</f>
        <v>1</v>
      </c>
      <c r="V2295" s="36">
        <f t="shared" si="524"/>
        <v>2</v>
      </c>
      <c r="W2295" s="35" t="s">
        <v>1452</v>
      </c>
      <c r="X2295" s="31">
        <v>17.0</v>
      </c>
      <c r="Y2295" s="36">
        <v>-1.3852629015132285</v>
      </c>
      <c r="Z2295" s="36">
        <v>1.25</v>
      </c>
      <c r="AA2295" s="35" t="s">
        <v>820</v>
      </c>
      <c r="AB2295" s="35">
        <v>2.972</v>
      </c>
      <c r="AC2295" s="35">
        <v>1275.0</v>
      </c>
    </row>
    <row r="2296" ht="14.25" customHeight="1">
      <c r="A2296" s="35" t="s">
        <v>528</v>
      </c>
      <c r="B2296" s="35">
        <v>160.0</v>
      </c>
      <c r="C2296" s="35" t="s">
        <v>608</v>
      </c>
      <c r="D2296" s="43" t="s">
        <v>1195</v>
      </c>
      <c r="E2296" s="29">
        <v>148.0</v>
      </c>
      <c r="F2296" s="39" t="s">
        <v>1196</v>
      </c>
      <c r="G2296" s="35" t="s">
        <v>626</v>
      </c>
      <c r="H2296" s="31">
        <v>70.0</v>
      </c>
      <c r="I2296" s="29" t="s">
        <v>616</v>
      </c>
      <c r="J2296" s="35" t="s">
        <v>598</v>
      </c>
      <c r="K2296" s="35" t="s">
        <v>698</v>
      </c>
      <c r="L2296" s="35" t="s">
        <v>910</v>
      </c>
      <c r="M2296" s="35">
        <v>14.696</v>
      </c>
      <c r="N2296" s="35">
        <v>2.645</v>
      </c>
      <c r="O2296" s="35" t="s">
        <v>601</v>
      </c>
      <c r="P2296" s="32" t="s">
        <v>602</v>
      </c>
      <c r="Q2296" s="35">
        <v>1.0</v>
      </c>
      <c r="R2296" s="35">
        <v>1.0</v>
      </c>
      <c r="S2296" s="36">
        <v>2.0</v>
      </c>
      <c r="T2296" s="36">
        <v>4.0</v>
      </c>
      <c r="U2296" s="36">
        <f t="shared" ref="U2296:V2296" si="525">SQRT(S2296)</f>
        <v>1.414213562</v>
      </c>
      <c r="V2296" s="36">
        <f t="shared" si="525"/>
        <v>2</v>
      </c>
      <c r="W2296" s="35" t="s">
        <v>1452</v>
      </c>
      <c r="X2296" s="31">
        <v>22.0</v>
      </c>
      <c r="Y2296" s="36">
        <v>-0.692631317768005</v>
      </c>
      <c r="Z2296" s="36">
        <v>0.7500000000000001</v>
      </c>
      <c r="AA2296" s="35" t="s">
        <v>820</v>
      </c>
      <c r="AB2296" s="35">
        <v>2.972</v>
      </c>
      <c r="AC2296" s="35">
        <v>1683.0</v>
      </c>
    </row>
    <row r="2297" ht="14.25" customHeight="1">
      <c r="A2297" s="35" t="s">
        <v>528</v>
      </c>
      <c r="B2297" s="35">
        <v>160.0</v>
      </c>
      <c r="C2297" s="35" t="s">
        <v>608</v>
      </c>
      <c r="D2297" s="43" t="s">
        <v>1195</v>
      </c>
      <c r="E2297" s="29">
        <v>148.0</v>
      </c>
      <c r="F2297" s="39" t="s">
        <v>1196</v>
      </c>
      <c r="G2297" s="35" t="s">
        <v>626</v>
      </c>
      <c r="H2297" s="31">
        <v>70.0</v>
      </c>
      <c r="I2297" s="29" t="s">
        <v>616</v>
      </c>
      <c r="J2297" s="35" t="s">
        <v>598</v>
      </c>
      <c r="K2297" s="35" t="s">
        <v>698</v>
      </c>
      <c r="L2297" s="35" t="s">
        <v>910</v>
      </c>
      <c r="M2297" s="35">
        <v>14.724</v>
      </c>
      <c r="N2297" s="35">
        <v>2.606</v>
      </c>
      <c r="O2297" s="35" t="s">
        <v>601</v>
      </c>
      <c r="P2297" s="32" t="s">
        <v>602</v>
      </c>
      <c r="Q2297" s="35">
        <v>1.0</v>
      </c>
      <c r="R2297" s="35">
        <v>1.0</v>
      </c>
      <c r="S2297" s="36">
        <v>3.0</v>
      </c>
      <c r="T2297" s="36">
        <v>4.0</v>
      </c>
      <c r="U2297" s="36">
        <f t="shared" ref="U2297:V2297" si="526">SQRT(S2297)</f>
        <v>1.732050808</v>
      </c>
      <c r="V2297" s="36">
        <f t="shared" si="526"/>
        <v>2</v>
      </c>
      <c r="W2297" s="35" t="s">
        <v>1452</v>
      </c>
      <c r="X2297" s="31">
        <v>28.0</v>
      </c>
      <c r="Y2297" s="36">
        <v>-0.2873381343572468</v>
      </c>
      <c r="Z2297" s="36">
        <v>0.5833333333333333</v>
      </c>
      <c r="AA2297" s="35" t="s">
        <v>820</v>
      </c>
      <c r="AB2297" s="35">
        <v>2.972</v>
      </c>
      <c r="AC2297" s="35">
        <v>2067.0</v>
      </c>
    </row>
    <row r="2298" ht="14.25" customHeight="1">
      <c r="A2298" s="29" t="s">
        <v>93</v>
      </c>
      <c r="B2298" s="29">
        <v>6.0</v>
      </c>
      <c r="C2298" s="29" t="s">
        <v>608</v>
      </c>
      <c r="D2298" s="29" t="s">
        <v>1453</v>
      </c>
      <c r="E2298" s="29">
        <v>28.0</v>
      </c>
      <c r="F2298" s="30" t="s">
        <v>1454</v>
      </c>
      <c r="G2298" s="29" t="s">
        <v>626</v>
      </c>
      <c r="H2298" s="31">
        <v>35.57</v>
      </c>
      <c r="I2298" s="29" t="s">
        <v>612</v>
      </c>
      <c r="J2298" s="32" t="s">
        <v>598</v>
      </c>
      <c r="K2298" s="29" t="s">
        <v>599</v>
      </c>
      <c r="L2298" s="29" t="s">
        <v>721</v>
      </c>
      <c r="M2298" s="33">
        <v>-61.981</v>
      </c>
      <c r="N2298" s="33">
        <v>-25.509</v>
      </c>
      <c r="O2298" s="34" t="s">
        <v>641</v>
      </c>
      <c r="P2298" s="32" t="s">
        <v>602</v>
      </c>
      <c r="Q2298" s="35">
        <v>2.0</v>
      </c>
      <c r="R2298" s="35">
        <v>2.0</v>
      </c>
      <c r="S2298" s="36">
        <v>0.0</v>
      </c>
      <c r="T2298" s="36">
        <v>0.44</v>
      </c>
      <c r="U2298" s="36">
        <v>0.0</v>
      </c>
      <c r="V2298" s="36">
        <v>0.1556</v>
      </c>
      <c r="W2298" s="29" t="s">
        <v>623</v>
      </c>
      <c r="X2298" s="31">
        <v>0.75</v>
      </c>
      <c r="Y2298" s="36">
        <v>-8.262558973010657</v>
      </c>
      <c r="Z2298" s="36">
        <v>0.7432160253508375</v>
      </c>
      <c r="AA2298" s="29" t="s">
        <v>1455</v>
      </c>
      <c r="AB2298" s="31">
        <v>0.378908604383</v>
      </c>
      <c r="AC2298" s="38">
        <v>1956.0</v>
      </c>
    </row>
    <row r="2299" ht="14.25" customHeight="1">
      <c r="A2299" s="29" t="s">
        <v>93</v>
      </c>
      <c r="B2299" s="29">
        <v>6.0</v>
      </c>
      <c r="C2299" s="29" t="s">
        <v>608</v>
      </c>
      <c r="D2299" s="29" t="s">
        <v>1453</v>
      </c>
      <c r="E2299" s="29">
        <v>28.0</v>
      </c>
      <c r="F2299" s="30" t="s">
        <v>1454</v>
      </c>
      <c r="G2299" s="29" t="s">
        <v>626</v>
      </c>
      <c r="H2299" s="31">
        <v>35.57</v>
      </c>
      <c r="I2299" s="29" t="s">
        <v>612</v>
      </c>
      <c r="J2299" s="32" t="s">
        <v>598</v>
      </c>
      <c r="K2299" s="29" t="s">
        <v>599</v>
      </c>
      <c r="L2299" s="29" t="s">
        <v>721</v>
      </c>
      <c r="M2299" s="33">
        <v>-61.981</v>
      </c>
      <c r="N2299" s="33">
        <v>-25.509</v>
      </c>
      <c r="O2299" s="34" t="s">
        <v>641</v>
      </c>
      <c r="P2299" s="32" t="s">
        <v>602</v>
      </c>
      <c r="Q2299" s="35">
        <v>2.0</v>
      </c>
      <c r="R2299" s="35">
        <v>2.0</v>
      </c>
      <c r="S2299" s="36">
        <v>0.17</v>
      </c>
      <c r="T2299" s="36">
        <v>0.44</v>
      </c>
      <c r="U2299" s="36">
        <v>0.12</v>
      </c>
      <c r="V2299" s="36">
        <v>0.1556</v>
      </c>
      <c r="W2299" s="29" t="s">
        <v>623</v>
      </c>
      <c r="X2299" s="31">
        <v>3.25</v>
      </c>
      <c r="Y2299" s="36">
        <v>-0.9503087533503194</v>
      </c>
      <c r="Z2299" s="36">
        <v>0.311664286939861</v>
      </c>
      <c r="AA2299" s="29" t="s">
        <v>1455</v>
      </c>
      <c r="AB2299" s="31">
        <v>0.378908604383</v>
      </c>
      <c r="AC2299" s="38">
        <v>1956.0</v>
      </c>
    </row>
    <row r="2300" ht="14.25" customHeight="1">
      <c r="A2300" s="29" t="s">
        <v>93</v>
      </c>
      <c r="B2300" s="29">
        <v>6.0</v>
      </c>
      <c r="C2300" s="29" t="s">
        <v>608</v>
      </c>
      <c r="D2300" s="29" t="s">
        <v>630</v>
      </c>
      <c r="E2300" s="29">
        <v>129.0</v>
      </c>
      <c r="F2300" s="30" t="s">
        <v>631</v>
      </c>
      <c r="G2300" s="29" t="s">
        <v>626</v>
      </c>
      <c r="H2300" s="31">
        <v>21.27</v>
      </c>
      <c r="I2300" s="29" t="s">
        <v>612</v>
      </c>
      <c r="J2300" s="32" t="s">
        <v>598</v>
      </c>
      <c r="K2300" s="29" t="s">
        <v>599</v>
      </c>
      <c r="L2300" s="29" t="s">
        <v>721</v>
      </c>
      <c r="M2300" s="33">
        <v>-61.981</v>
      </c>
      <c r="N2300" s="33">
        <v>-25.509</v>
      </c>
      <c r="O2300" s="34" t="s">
        <v>641</v>
      </c>
      <c r="P2300" s="32" t="s">
        <v>602</v>
      </c>
      <c r="Q2300" s="35">
        <v>2.0</v>
      </c>
      <c r="R2300" s="35">
        <v>2.0</v>
      </c>
      <c r="S2300" s="36">
        <v>0.0</v>
      </c>
      <c r="T2300" s="36">
        <v>0.91</v>
      </c>
      <c r="U2300" s="36">
        <v>0.0</v>
      </c>
      <c r="V2300" s="36">
        <v>0.2263</v>
      </c>
      <c r="W2300" s="29" t="s">
        <v>623</v>
      </c>
      <c r="X2300" s="31">
        <v>0.75</v>
      </c>
      <c r="Y2300" s="36">
        <v>-8.262558973010657</v>
      </c>
      <c r="Z2300" s="36">
        <v>0.6326672928927115</v>
      </c>
      <c r="AA2300" s="29" t="s">
        <v>1455</v>
      </c>
      <c r="AB2300" s="31">
        <v>0.378908604383</v>
      </c>
      <c r="AC2300" s="38">
        <v>1956.0</v>
      </c>
    </row>
    <row r="2301" ht="14.25" customHeight="1">
      <c r="A2301" s="29" t="s">
        <v>93</v>
      </c>
      <c r="B2301" s="29">
        <v>6.0</v>
      </c>
      <c r="C2301" s="29" t="s">
        <v>608</v>
      </c>
      <c r="D2301" s="29" t="s">
        <v>630</v>
      </c>
      <c r="E2301" s="29">
        <v>129.0</v>
      </c>
      <c r="F2301" s="30" t="s">
        <v>631</v>
      </c>
      <c r="G2301" s="29" t="s">
        <v>626</v>
      </c>
      <c r="H2301" s="31">
        <v>21.27</v>
      </c>
      <c r="I2301" s="29" t="s">
        <v>612</v>
      </c>
      <c r="J2301" s="32" t="s">
        <v>598</v>
      </c>
      <c r="K2301" s="29" t="s">
        <v>599</v>
      </c>
      <c r="L2301" s="29" t="s">
        <v>721</v>
      </c>
      <c r="M2301" s="33">
        <v>-61.981</v>
      </c>
      <c r="N2301" s="33">
        <v>-25.509</v>
      </c>
      <c r="O2301" s="34" t="s">
        <v>641</v>
      </c>
      <c r="P2301" s="32" t="s">
        <v>602</v>
      </c>
      <c r="Q2301" s="35">
        <v>2.0</v>
      </c>
      <c r="R2301" s="35">
        <v>2.0</v>
      </c>
      <c r="S2301" s="36">
        <v>0.62</v>
      </c>
      <c r="T2301" s="36">
        <v>0.91</v>
      </c>
      <c r="U2301" s="36">
        <v>0.2</v>
      </c>
      <c r="V2301" s="36">
        <v>0.2263</v>
      </c>
      <c r="W2301" s="29" t="s">
        <v>623</v>
      </c>
      <c r="X2301" s="31">
        <v>3.25</v>
      </c>
      <c r="Y2301" s="36">
        <v>-0.3833465187608507</v>
      </c>
      <c r="Z2301" s="36">
        <v>0.08295033544687694</v>
      </c>
      <c r="AA2301" s="29" t="s">
        <v>1455</v>
      </c>
      <c r="AB2301" s="31">
        <v>0.378908604383</v>
      </c>
      <c r="AC2301" s="38">
        <v>1956.0</v>
      </c>
    </row>
    <row r="2302" ht="14.25" customHeight="1">
      <c r="A2302" s="29" t="s">
        <v>93</v>
      </c>
      <c r="B2302" s="29">
        <v>6.0</v>
      </c>
      <c r="C2302" s="29" t="s">
        <v>608</v>
      </c>
      <c r="D2302" s="29" t="s">
        <v>639</v>
      </c>
      <c r="E2302" s="29">
        <v>190.0</v>
      </c>
      <c r="F2302" s="30" t="s">
        <v>640</v>
      </c>
      <c r="G2302" s="29" t="s">
        <v>626</v>
      </c>
      <c r="H2302" s="31">
        <v>32.23</v>
      </c>
      <c r="I2302" s="29" t="s">
        <v>597</v>
      </c>
      <c r="J2302" s="32" t="s">
        <v>598</v>
      </c>
      <c r="K2302" s="29" t="s">
        <v>599</v>
      </c>
      <c r="L2302" s="29" t="s">
        <v>721</v>
      </c>
      <c r="M2302" s="33">
        <v>-61.981</v>
      </c>
      <c r="N2302" s="33">
        <v>-25.509</v>
      </c>
      <c r="O2302" s="34" t="s">
        <v>641</v>
      </c>
      <c r="P2302" s="32" t="s">
        <v>602</v>
      </c>
      <c r="Q2302" s="35">
        <v>2.0</v>
      </c>
      <c r="R2302" s="35">
        <v>2.0</v>
      </c>
      <c r="S2302" s="36">
        <v>0.0</v>
      </c>
      <c r="T2302" s="36">
        <v>1.04</v>
      </c>
      <c r="U2302" s="36">
        <v>0.0</v>
      </c>
      <c r="V2302" s="36">
        <v>1.4708</v>
      </c>
      <c r="W2302" s="29" t="s">
        <v>623</v>
      </c>
      <c r="X2302" s="31">
        <v>0.75</v>
      </c>
      <c r="Y2302" s="36">
        <v>-8.262558973010657</v>
      </c>
      <c r="Z2302" s="36">
        <v>1.318867566200034</v>
      </c>
      <c r="AA2302" s="29" t="s">
        <v>1455</v>
      </c>
      <c r="AB2302" s="31">
        <v>0.378908604383</v>
      </c>
      <c r="AC2302" s="38">
        <v>1956.0</v>
      </c>
    </row>
    <row r="2303" ht="14.25" customHeight="1">
      <c r="A2303" s="29" t="s">
        <v>93</v>
      </c>
      <c r="B2303" s="29">
        <v>6.0</v>
      </c>
      <c r="C2303" s="29" t="s">
        <v>608</v>
      </c>
      <c r="D2303" s="29" t="s">
        <v>639</v>
      </c>
      <c r="E2303" s="29">
        <v>190.0</v>
      </c>
      <c r="F2303" s="30" t="s">
        <v>640</v>
      </c>
      <c r="G2303" s="29" t="s">
        <v>626</v>
      </c>
      <c r="H2303" s="31">
        <v>32.23</v>
      </c>
      <c r="I2303" s="29" t="s">
        <v>597</v>
      </c>
      <c r="J2303" s="32" t="s">
        <v>598</v>
      </c>
      <c r="K2303" s="29" t="s">
        <v>599</v>
      </c>
      <c r="L2303" s="29" t="s">
        <v>721</v>
      </c>
      <c r="M2303" s="33">
        <v>-61.981</v>
      </c>
      <c r="N2303" s="33">
        <v>-25.509</v>
      </c>
      <c r="O2303" s="34" t="s">
        <v>641</v>
      </c>
      <c r="P2303" s="32" t="s">
        <v>602</v>
      </c>
      <c r="Q2303" s="35">
        <v>2.0</v>
      </c>
      <c r="R2303" s="35">
        <v>2.0</v>
      </c>
      <c r="S2303" s="36">
        <v>0.33</v>
      </c>
      <c r="T2303" s="36">
        <v>1.04</v>
      </c>
      <c r="U2303" s="36">
        <v>0.64</v>
      </c>
      <c r="V2303" s="36">
        <v>1.4708</v>
      </c>
      <c r="W2303" s="29" t="s">
        <v>623</v>
      </c>
      <c r="X2303" s="31">
        <v>3.25</v>
      </c>
      <c r="Y2303" s="36">
        <v>-1.147070583644532</v>
      </c>
      <c r="Z2303" s="36">
        <v>2.8806487603984983</v>
      </c>
      <c r="AA2303" s="29" t="s">
        <v>1455</v>
      </c>
      <c r="AB2303" s="31">
        <v>0.378908604383</v>
      </c>
      <c r="AC2303" s="38">
        <v>1956.0</v>
      </c>
    </row>
    <row r="2304" ht="14.25" customHeight="1">
      <c r="A2304" s="29" t="s">
        <v>395</v>
      </c>
      <c r="B2304" s="29">
        <v>141.0</v>
      </c>
      <c r="C2304" s="29" t="s">
        <v>608</v>
      </c>
      <c r="D2304" s="29" t="s">
        <v>1453</v>
      </c>
      <c r="E2304" s="29">
        <v>28.0</v>
      </c>
      <c r="F2304" s="30" t="s">
        <v>1454</v>
      </c>
      <c r="G2304" s="29" t="s">
        <v>626</v>
      </c>
      <c r="H2304" s="31">
        <v>35.57</v>
      </c>
      <c r="I2304" s="29" t="s">
        <v>612</v>
      </c>
      <c r="J2304" s="32" t="s">
        <v>598</v>
      </c>
      <c r="K2304" s="29" t="s">
        <v>599</v>
      </c>
      <c r="L2304" s="29" t="s">
        <v>1241</v>
      </c>
      <c r="M2304" s="36">
        <v>-62.486</v>
      </c>
      <c r="N2304" s="36">
        <v>-19.427</v>
      </c>
      <c r="O2304" s="34" t="s">
        <v>641</v>
      </c>
      <c r="P2304" s="32" t="s">
        <v>602</v>
      </c>
      <c r="Q2304" s="29">
        <v>66.0</v>
      </c>
      <c r="R2304" s="29">
        <v>92.0</v>
      </c>
      <c r="S2304" s="36">
        <v>0.0</v>
      </c>
      <c r="T2304" s="36">
        <v>0.09</v>
      </c>
      <c r="U2304" s="36">
        <v>0.0</v>
      </c>
      <c r="V2304" s="36">
        <f>SQRT(T2304)</f>
        <v>0.3</v>
      </c>
      <c r="W2304" s="37" t="s">
        <v>623</v>
      </c>
      <c r="X2304" s="31">
        <v>8.24</v>
      </c>
      <c r="Y2304" s="36">
        <v>-8.262558973010657</v>
      </c>
      <c r="Z2304" s="36">
        <v>0.035135777544880384</v>
      </c>
      <c r="AA2304" s="29" t="s">
        <v>1455</v>
      </c>
      <c r="AB2304" s="31">
        <v>0.89</v>
      </c>
      <c r="AC2304" s="35">
        <v>480.0</v>
      </c>
    </row>
    <row r="2305" ht="14.25" customHeight="1">
      <c r="A2305" s="29" t="s">
        <v>395</v>
      </c>
      <c r="B2305" s="29">
        <v>141.0</v>
      </c>
      <c r="C2305" s="29" t="s">
        <v>608</v>
      </c>
      <c r="D2305" s="42" t="s">
        <v>1456</v>
      </c>
      <c r="E2305" s="29">
        <v>311.0</v>
      </c>
      <c r="F2305" s="39" t="s">
        <v>1457</v>
      </c>
      <c r="G2305" s="29" t="s">
        <v>619</v>
      </c>
      <c r="H2305" s="31">
        <v>1.03001</v>
      </c>
      <c r="I2305" s="29" t="s">
        <v>616</v>
      </c>
      <c r="J2305" s="32" t="s">
        <v>598</v>
      </c>
      <c r="K2305" s="29" t="s">
        <v>599</v>
      </c>
      <c r="L2305" s="29" t="s">
        <v>1241</v>
      </c>
      <c r="M2305" s="36">
        <v>-62.486</v>
      </c>
      <c r="N2305" s="36">
        <v>-19.427</v>
      </c>
      <c r="O2305" s="34" t="s">
        <v>641</v>
      </c>
      <c r="P2305" s="32" t="s">
        <v>602</v>
      </c>
      <c r="Q2305" s="29">
        <v>66.0</v>
      </c>
      <c r="R2305" s="29">
        <v>92.0</v>
      </c>
      <c r="S2305" s="36">
        <v>1.7</v>
      </c>
      <c r="T2305" s="36">
        <v>0.2</v>
      </c>
      <c r="U2305" s="36">
        <f t="shared" ref="U2305:V2305" si="527">SQRT(S2305)</f>
        <v>1.303840481</v>
      </c>
      <c r="V2305" s="36">
        <f t="shared" si="527"/>
        <v>0.4472135955</v>
      </c>
      <c r="W2305" s="37" t="s">
        <v>1458</v>
      </c>
      <c r="X2305" s="31">
        <v>8.24</v>
      </c>
      <c r="Y2305" s="36">
        <v>2.1400965157339917</v>
      </c>
      <c r="Z2305" s="36">
        <v>0.06326048205843601</v>
      </c>
      <c r="AA2305" s="29" t="s">
        <v>1455</v>
      </c>
      <c r="AB2305" s="31">
        <v>0.89</v>
      </c>
      <c r="AC2305" s="35">
        <v>480.0</v>
      </c>
    </row>
    <row r="2306" ht="14.25" customHeight="1">
      <c r="A2306" s="29" t="s">
        <v>395</v>
      </c>
      <c r="B2306" s="29">
        <v>141.0</v>
      </c>
      <c r="C2306" s="29" t="s">
        <v>608</v>
      </c>
      <c r="D2306" s="42" t="s">
        <v>1459</v>
      </c>
      <c r="E2306" s="29">
        <v>310.0</v>
      </c>
      <c r="F2306" s="39" t="s">
        <v>1460</v>
      </c>
      <c r="G2306" s="29" t="s">
        <v>619</v>
      </c>
      <c r="H2306" s="31">
        <v>4.54</v>
      </c>
      <c r="I2306" s="29" t="s">
        <v>616</v>
      </c>
      <c r="J2306" s="32" t="s">
        <v>598</v>
      </c>
      <c r="K2306" s="29" t="s">
        <v>599</v>
      </c>
      <c r="L2306" s="29" t="s">
        <v>1241</v>
      </c>
      <c r="M2306" s="36">
        <v>-62.486</v>
      </c>
      <c r="N2306" s="36">
        <v>-19.427</v>
      </c>
      <c r="O2306" s="34" t="s">
        <v>641</v>
      </c>
      <c r="P2306" s="32" t="s">
        <v>602</v>
      </c>
      <c r="Q2306" s="29">
        <v>66.0</v>
      </c>
      <c r="R2306" s="29">
        <v>92.0</v>
      </c>
      <c r="S2306" s="36">
        <v>0.58</v>
      </c>
      <c r="T2306" s="36">
        <v>0.18</v>
      </c>
      <c r="U2306" s="36">
        <v>0.13</v>
      </c>
      <c r="V2306" s="36">
        <v>0.14833333333333334</v>
      </c>
      <c r="W2306" s="37" t="s">
        <v>623</v>
      </c>
      <c r="X2306" s="31">
        <v>8.24</v>
      </c>
      <c r="Y2306" s="36">
        <v>1.170151317769928</v>
      </c>
      <c r="Z2306" s="36">
        <v>0.008142679836436647</v>
      </c>
      <c r="AA2306" s="29" t="s">
        <v>1455</v>
      </c>
      <c r="AB2306" s="31">
        <v>0.89</v>
      </c>
      <c r="AC2306" s="35">
        <v>480.0</v>
      </c>
    </row>
    <row r="2307" ht="14.25" customHeight="1">
      <c r="A2307" s="29" t="s">
        <v>395</v>
      </c>
      <c r="B2307" s="29">
        <v>141.0</v>
      </c>
      <c r="C2307" s="29" t="s">
        <v>608</v>
      </c>
      <c r="D2307" s="29" t="s">
        <v>617</v>
      </c>
      <c r="E2307" s="29">
        <v>75.0</v>
      </c>
      <c r="F2307" s="30" t="s">
        <v>618</v>
      </c>
      <c r="G2307" s="29" t="s">
        <v>619</v>
      </c>
      <c r="H2307" s="31">
        <v>4.2</v>
      </c>
      <c r="I2307" s="29" t="s">
        <v>620</v>
      </c>
      <c r="J2307" s="32" t="s">
        <v>598</v>
      </c>
      <c r="K2307" s="29" t="s">
        <v>599</v>
      </c>
      <c r="L2307" s="29" t="s">
        <v>1241</v>
      </c>
      <c r="M2307" s="36">
        <v>-62.486</v>
      </c>
      <c r="N2307" s="36">
        <v>-19.427</v>
      </c>
      <c r="O2307" s="34" t="s">
        <v>641</v>
      </c>
      <c r="P2307" s="32" t="s">
        <v>602</v>
      </c>
      <c r="Q2307" s="29">
        <v>66.0</v>
      </c>
      <c r="R2307" s="29">
        <v>92.0</v>
      </c>
      <c r="S2307" s="36">
        <v>0.65</v>
      </c>
      <c r="T2307" s="36">
        <v>0.05</v>
      </c>
      <c r="U2307" s="36">
        <v>0.17500000000000002</v>
      </c>
      <c r="V2307" s="36">
        <v>0.13999999999999999</v>
      </c>
      <c r="W2307" s="37" t="s">
        <v>623</v>
      </c>
      <c r="X2307" s="31">
        <v>8.24</v>
      </c>
      <c r="Y2307" s="36">
        <v>2.5649692032596856</v>
      </c>
      <c r="Z2307" s="36">
        <v>0.08631565201799313</v>
      </c>
      <c r="AA2307" s="29" t="s">
        <v>1455</v>
      </c>
      <c r="AB2307" s="31">
        <v>0.89</v>
      </c>
      <c r="AC2307" s="35">
        <v>480.0</v>
      </c>
    </row>
    <row r="2308" ht="14.25" customHeight="1">
      <c r="A2308" s="29" t="s">
        <v>395</v>
      </c>
      <c r="B2308" s="29">
        <v>141.0</v>
      </c>
      <c r="C2308" s="29" t="s">
        <v>608</v>
      </c>
      <c r="D2308" s="29" t="s">
        <v>1244</v>
      </c>
      <c r="E2308" s="29">
        <v>205.0</v>
      </c>
      <c r="F2308" s="30" t="s">
        <v>1245</v>
      </c>
      <c r="G2308" s="29" t="s">
        <v>619</v>
      </c>
      <c r="H2308" s="31">
        <v>4.78</v>
      </c>
      <c r="I2308" s="29" t="s">
        <v>616</v>
      </c>
      <c r="J2308" s="32" t="s">
        <v>598</v>
      </c>
      <c r="K2308" s="29" t="s">
        <v>599</v>
      </c>
      <c r="L2308" s="29" t="s">
        <v>1241</v>
      </c>
      <c r="M2308" s="36">
        <v>-62.486</v>
      </c>
      <c r="N2308" s="36">
        <v>-19.427</v>
      </c>
      <c r="O2308" s="34" t="s">
        <v>641</v>
      </c>
      <c r="P2308" s="32" t="s">
        <v>602</v>
      </c>
      <c r="Q2308" s="29">
        <v>66.0</v>
      </c>
      <c r="R2308" s="29">
        <v>92.0</v>
      </c>
      <c r="S2308" s="36">
        <v>1.18</v>
      </c>
      <c r="T2308" s="36">
        <v>0.18</v>
      </c>
      <c r="U2308" s="36">
        <v>0.215</v>
      </c>
      <c r="V2308" s="36">
        <v>0.14833333333333334</v>
      </c>
      <c r="W2308" s="37" t="s">
        <v>623</v>
      </c>
      <c r="X2308" s="31">
        <v>8.24</v>
      </c>
      <c r="Y2308" s="36">
        <v>1.8803522214124464</v>
      </c>
      <c r="Z2308" s="36">
        <v>0.007884502005183763</v>
      </c>
      <c r="AA2308" s="29" t="s">
        <v>1455</v>
      </c>
      <c r="AB2308" s="31">
        <v>0.89</v>
      </c>
      <c r="AC2308" s="35">
        <v>480.0</v>
      </c>
    </row>
    <row r="2309" ht="14.25" customHeight="1">
      <c r="A2309" s="29" t="s">
        <v>395</v>
      </c>
      <c r="B2309" s="29">
        <v>141.0</v>
      </c>
      <c r="C2309" s="29" t="s">
        <v>608</v>
      </c>
      <c r="D2309" s="29" t="s">
        <v>821</v>
      </c>
      <c r="E2309" s="29">
        <v>103.0</v>
      </c>
      <c r="F2309" s="30" t="s">
        <v>822</v>
      </c>
      <c r="G2309" s="29" t="s">
        <v>626</v>
      </c>
      <c r="H2309" s="31">
        <v>16.63</v>
      </c>
      <c r="I2309" s="29" t="s">
        <v>616</v>
      </c>
      <c r="J2309" s="32" t="s">
        <v>598</v>
      </c>
      <c r="K2309" s="29" t="s">
        <v>599</v>
      </c>
      <c r="L2309" s="29" t="s">
        <v>1241</v>
      </c>
      <c r="M2309" s="36">
        <v>-62.486</v>
      </c>
      <c r="N2309" s="36">
        <v>-19.427</v>
      </c>
      <c r="O2309" s="34" t="s">
        <v>641</v>
      </c>
      <c r="P2309" s="32" t="s">
        <v>602</v>
      </c>
      <c r="Q2309" s="29">
        <v>66.0</v>
      </c>
      <c r="R2309" s="29">
        <v>92.0</v>
      </c>
      <c r="S2309" s="36">
        <v>1.19</v>
      </c>
      <c r="T2309" s="36">
        <v>2.36</v>
      </c>
      <c r="U2309" s="36">
        <v>0.31</v>
      </c>
      <c r="V2309" s="36">
        <v>0.28833333333333333</v>
      </c>
      <c r="W2309" s="37" t="s">
        <v>623</v>
      </c>
      <c r="X2309" s="31">
        <v>8.24</v>
      </c>
      <c r="Y2309" s="36">
        <v>-0.6841967829950408</v>
      </c>
      <c r="Z2309" s="36">
        <v>0.0011904662212899313</v>
      </c>
      <c r="AA2309" s="29" t="s">
        <v>1455</v>
      </c>
      <c r="AB2309" s="31">
        <v>0.89</v>
      </c>
      <c r="AC2309" s="35">
        <v>480.0</v>
      </c>
    </row>
    <row r="2310" ht="14.25" customHeight="1">
      <c r="A2310" s="29" t="s">
        <v>395</v>
      </c>
      <c r="B2310" s="29">
        <v>141.0</v>
      </c>
      <c r="C2310" s="29" t="s">
        <v>608</v>
      </c>
      <c r="D2310" s="29" t="s">
        <v>630</v>
      </c>
      <c r="E2310" s="29">
        <v>129.0</v>
      </c>
      <c r="F2310" s="30" t="s">
        <v>631</v>
      </c>
      <c r="G2310" s="29" t="s">
        <v>626</v>
      </c>
      <c r="H2310" s="31">
        <v>21.27</v>
      </c>
      <c r="I2310" s="29" t="s">
        <v>612</v>
      </c>
      <c r="J2310" s="32" t="s">
        <v>598</v>
      </c>
      <c r="K2310" s="29" t="s">
        <v>599</v>
      </c>
      <c r="L2310" s="29" t="s">
        <v>1241</v>
      </c>
      <c r="M2310" s="36">
        <v>-62.486</v>
      </c>
      <c r="N2310" s="36">
        <v>-19.427</v>
      </c>
      <c r="O2310" s="34" t="s">
        <v>641</v>
      </c>
      <c r="P2310" s="32" t="s">
        <v>602</v>
      </c>
      <c r="Q2310" s="29">
        <v>66.0</v>
      </c>
      <c r="R2310" s="29">
        <v>92.0</v>
      </c>
      <c r="S2310" s="36">
        <v>0.81</v>
      </c>
      <c r="T2310" s="36">
        <v>0.78</v>
      </c>
      <c r="U2310" s="36">
        <v>0.1925</v>
      </c>
      <c r="V2310" s="36">
        <v>0.33</v>
      </c>
      <c r="W2310" s="37" t="s">
        <v>623</v>
      </c>
      <c r="X2310" s="31">
        <v>8.24</v>
      </c>
      <c r="Y2310" s="36">
        <v>0.03798873958303527</v>
      </c>
      <c r="Z2310" s="36">
        <v>0.002801339012778837</v>
      </c>
      <c r="AA2310" s="29" t="s">
        <v>1455</v>
      </c>
      <c r="AB2310" s="31">
        <v>0.89</v>
      </c>
      <c r="AC2310" s="35">
        <v>480.0</v>
      </c>
    </row>
    <row r="2311" ht="14.25" customHeight="1">
      <c r="A2311" s="29" t="s">
        <v>395</v>
      </c>
      <c r="B2311" s="29">
        <v>141.0</v>
      </c>
      <c r="C2311" s="29" t="s">
        <v>608</v>
      </c>
      <c r="D2311" s="29" t="s">
        <v>663</v>
      </c>
      <c r="E2311" s="29">
        <v>189.0</v>
      </c>
      <c r="F2311" s="30" t="s">
        <v>637</v>
      </c>
      <c r="G2311" s="29" t="s">
        <v>638</v>
      </c>
      <c r="H2311" s="31">
        <v>207.5</v>
      </c>
      <c r="I2311" s="29" t="s">
        <v>612</v>
      </c>
      <c r="J2311" s="32" t="s">
        <v>598</v>
      </c>
      <c r="K2311" s="29" t="s">
        <v>599</v>
      </c>
      <c r="L2311" s="29" t="s">
        <v>1241</v>
      </c>
      <c r="M2311" s="36">
        <v>-62.486</v>
      </c>
      <c r="N2311" s="36">
        <v>-19.427</v>
      </c>
      <c r="O2311" s="34" t="s">
        <v>641</v>
      </c>
      <c r="P2311" s="32" t="s">
        <v>602</v>
      </c>
      <c r="Q2311" s="29">
        <v>66.0</v>
      </c>
      <c r="R2311" s="29">
        <v>92.0</v>
      </c>
      <c r="S2311" s="36">
        <v>0.01</v>
      </c>
      <c r="T2311" s="36">
        <v>0.11</v>
      </c>
      <c r="U2311" s="36">
        <v>0.015</v>
      </c>
      <c r="V2311" s="36">
        <v>0.05166666666666667</v>
      </c>
      <c r="W2311" s="37" t="s">
        <v>623</v>
      </c>
      <c r="X2311" s="31">
        <v>8.24</v>
      </c>
      <c r="Y2311" s="36">
        <v>-2.3950613149568043</v>
      </c>
      <c r="Z2311" s="36">
        <v>0.03648890086637122</v>
      </c>
      <c r="AA2311" s="29" t="s">
        <v>1455</v>
      </c>
      <c r="AB2311" s="31">
        <v>0.89</v>
      </c>
      <c r="AC2311" s="35">
        <v>480.0</v>
      </c>
    </row>
    <row r="2312" ht="14.25" customHeight="1">
      <c r="A2312" s="29" t="s">
        <v>395</v>
      </c>
      <c r="B2312" s="29">
        <v>141.0</v>
      </c>
      <c r="C2312" s="29" t="s">
        <v>608</v>
      </c>
      <c r="D2312" s="29" t="s">
        <v>639</v>
      </c>
      <c r="E2312" s="29">
        <v>190.0</v>
      </c>
      <c r="F2312" s="30" t="s">
        <v>640</v>
      </c>
      <c r="G2312" s="29" t="s">
        <v>626</v>
      </c>
      <c r="H2312" s="31">
        <v>32.23</v>
      </c>
      <c r="I2312" s="29" t="s">
        <v>597</v>
      </c>
      <c r="J2312" s="32" t="s">
        <v>598</v>
      </c>
      <c r="K2312" s="29" t="s">
        <v>599</v>
      </c>
      <c r="L2312" s="29" t="s">
        <v>1241</v>
      </c>
      <c r="M2312" s="36">
        <v>-62.486</v>
      </c>
      <c r="N2312" s="36">
        <v>-19.427</v>
      </c>
      <c r="O2312" s="34" t="s">
        <v>641</v>
      </c>
      <c r="P2312" s="32" t="s">
        <v>602</v>
      </c>
      <c r="Q2312" s="29">
        <v>66.0</v>
      </c>
      <c r="R2312" s="29">
        <v>92.0</v>
      </c>
      <c r="S2312" s="36">
        <v>5.1</v>
      </c>
      <c r="T2312" s="36">
        <v>0.2</v>
      </c>
      <c r="U2312" s="36">
        <f t="shared" ref="U2312:V2312" si="528">SQRT(S2312)</f>
        <v>2.258317958</v>
      </c>
      <c r="V2312" s="36">
        <f t="shared" si="528"/>
        <v>0.4472135955</v>
      </c>
      <c r="W2312" s="37" t="s">
        <v>1458</v>
      </c>
      <c r="X2312" s="31">
        <v>8.24</v>
      </c>
      <c r="Y2312" s="36">
        <v>3.2386885696793164</v>
      </c>
      <c r="Z2312" s="36">
        <v>0.057318711410783006</v>
      </c>
      <c r="AA2312" s="29" t="s">
        <v>1455</v>
      </c>
      <c r="AB2312" s="31">
        <v>0.89</v>
      </c>
      <c r="AC2312" s="35">
        <v>480.0</v>
      </c>
    </row>
    <row r="2313" ht="14.25" customHeight="1">
      <c r="A2313" s="29" t="s">
        <v>395</v>
      </c>
      <c r="B2313" s="29">
        <v>141.0</v>
      </c>
      <c r="C2313" s="29" t="s">
        <v>608</v>
      </c>
      <c r="D2313" s="29" t="s">
        <v>1246</v>
      </c>
      <c r="E2313" s="29">
        <v>210.0</v>
      </c>
      <c r="F2313" s="30" t="s">
        <v>1247</v>
      </c>
      <c r="G2313" s="29" t="s">
        <v>619</v>
      </c>
      <c r="H2313" s="31">
        <v>1.2</v>
      </c>
      <c r="I2313" s="29" t="s">
        <v>620</v>
      </c>
      <c r="J2313" s="32" t="s">
        <v>598</v>
      </c>
      <c r="K2313" s="29" t="s">
        <v>599</v>
      </c>
      <c r="L2313" s="29" t="s">
        <v>1241</v>
      </c>
      <c r="M2313" s="36">
        <v>-62.486</v>
      </c>
      <c r="N2313" s="36">
        <v>-19.427</v>
      </c>
      <c r="O2313" s="34" t="s">
        <v>641</v>
      </c>
      <c r="P2313" s="32" t="s">
        <v>602</v>
      </c>
      <c r="Q2313" s="29">
        <v>66.0</v>
      </c>
      <c r="R2313" s="29">
        <v>92.0</v>
      </c>
      <c r="S2313" s="36">
        <v>0.18</v>
      </c>
      <c r="T2313" s="36">
        <v>0.3</v>
      </c>
      <c r="U2313" s="36">
        <v>0.1125</v>
      </c>
      <c r="V2313" s="36">
        <f>SQRT(T2313)</f>
        <v>0.5477225575</v>
      </c>
      <c r="W2313" s="37" t="s">
        <v>623</v>
      </c>
      <c r="X2313" s="31">
        <v>8.24</v>
      </c>
      <c r="Y2313" s="36">
        <v>-0.5103957196279908</v>
      </c>
      <c r="Z2313" s="36">
        <v>0.04215044466403162</v>
      </c>
      <c r="AA2313" s="29" t="s">
        <v>1455</v>
      </c>
      <c r="AB2313" s="31">
        <v>0.89</v>
      </c>
      <c r="AC2313" s="35">
        <v>480.0</v>
      </c>
    </row>
    <row r="2314" ht="14.25" customHeight="1">
      <c r="A2314" s="29" t="s">
        <v>467</v>
      </c>
      <c r="B2314" s="29">
        <v>76.0</v>
      </c>
      <c r="C2314" s="29" t="s">
        <v>608</v>
      </c>
      <c r="D2314" s="29" t="s">
        <v>1461</v>
      </c>
      <c r="E2314" s="29">
        <v>223.0</v>
      </c>
      <c r="F2314" s="30" t="s">
        <v>1462</v>
      </c>
      <c r="G2314" s="29" t="s">
        <v>611</v>
      </c>
      <c r="H2314" s="31">
        <v>0.8</v>
      </c>
      <c r="I2314" s="29" t="s">
        <v>612</v>
      </c>
      <c r="J2314" s="32" t="s">
        <v>598</v>
      </c>
      <c r="K2314" s="29" t="s">
        <v>698</v>
      </c>
      <c r="L2314" s="29" t="s">
        <v>699</v>
      </c>
      <c r="M2314" s="33">
        <v>46.79</v>
      </c>
      <c r="N2314" s="33">
        <v>-16.34</v>
      </c>
      <c r="O2314" s="34" t="s">
        <v>601</v>
      </c>
      <c r="P2314" s="32" t="s">
        <v>700</v>
      </c>
      <c r="Q2314" s="35">
        <v>3.0</v>
      </c>
      <c r="R2314" s="35">
        <v>2.0</v>
      </c>
      <c r="S2314" s="36">
        <v>1.9333</v>
      </c>
      <c r="T2314" s="36">
        <v>0.3</v>
      </c>
      <c r="U2314" s="36">
        <v>1.6862</v>
      </c>
      <c r="V2314" s="36">
        <v>0.5196</v>
      </c>
      <c r="W2314" s="37" t="s">
        <v>780</v>
      </c>
      <c r="X2314" s="31">
        <v>3.51</v>
      </c>
      <c r="Y2314" s="36">
        <v>1.8632412257336233</v>
      </c>
      <c r="Z2314" s="36">
        <v>1.7534823168558813</v>
      </c>
      <c r="AA2314" s="29" t="s">
        <v>1463</v>
      </c>
      <c r="AB2314" s="31">
        <v>16.5998306274</v>
      </c>
      <c r="AC2314" s="38">
        <v>261.0</v>
      </c>
    </row>
    <row r="2315" ht="14.25" customHeight="1">
      <c r="A2315" s="29" t="s">
        <v>467</v>
      </c>
      <c r="B2315" s="29">
        <v>76.0</v>
      </c>
      <c r="C2315" s="29" t="s">
        <v>608</v>
      </c>
      <c r="D2315" s="29" t="s">
        <v>1464</v>
      </c>
      <c r="E2315" s="29">
        <v>222.0</v>
      </c>
      <c r="F2315" s="30" t="s">
        <v>1465</v>
      </c>
      <c r="G2315" s="29" t="s">
        <v>611</v>
      </c>
      <c r="H2315" s="31">
        <v>0.18</v>
      </c>
      <c r="I2315" s="29" t="s">
        <v>616</v>
      </c>
      <c r="J2315" s="32" t="s">
        <v>598</v>
      </c>
      <c r="K2315" s="29" t="s">
        <v>698</v>
      </c>
      <c r="L2315" s="29" t="s">
        <v>699</v>
      </c>
      <c r="M2315" s="33">
        <v>46.79</v>
      </c>
      <c r="N2315" s="33">
        <v>-16.34</v>
      </c>
      <c r="O2315" s="34" t="s">
        <v>601</v>
      </c>
      <c r="P2315" s="32" t="s">
        <v>700</v>
      </c>
      <c r="Q2315" s="35">
        <v>3.0</v>
      </c>
      <c r="R2315" s="35">
        <v>2.0</v>
      </c>
      <c r="S2315" s="36">
        <v>2.2667</v>
      </c>
      <c r="T2315" s="36">
        <v>1.1333</v>
      </c>
      <c r="U2315" s="36">
        <v>2.4111</v>
      </c>
      <c r="V2315" s="36">
        <v>1.2662</v>
      </c>
      <c r="W2315" s="37" t="s">
        <v>780</v>
      </c>
      <c r="X2315" s="31">
        <v>3.51</v>
      </c>
      <c r="Y2315" s="36">
        <v>0.6933202834894518</v>
      </c>
      <c r="Z2315" s="36">
        <v>1.0013001353993047</v>
      </c>
      <c r="AA2315" s="29" t="s">
        <v>1463</v>
      </c>
      <c r="AB2315" s="31">
        <v>16.5998306274</v>
      </c>
      <c r="AC2315" s="38">
        <v>261.0</v>
      </c>
    </row>
    <row r="2316" ht="14.25" customHeight="1">
      <c r="A2316" s="29" t="s">
        <v>467</v>
      </c>
      <c r="B2316" s="29">
        <v>76.0</v>
      </c>
      <c r="C2316" s="29" t="s">
        <v>608</v>
      </c>
      <c r="D2316" s="29" t="s">
        <v>1466</v>
      </c>
      <c r="E2316" s="29">
        <v>225.0</v>
      </c>
      <c r="F2316" s="30" t="s">
        <v>1467</v>
      </c>
      <c r="G2316" s="29" t="s">
        <v>611</v>
      </c>
      <c r="H2316" s="31">
        <v>3.15</v>
      </c>
      <c r="I2316" s="29" t="s">
        <v>612</v>
      </c>
      <c r="J2316" s="32" t="s">
        <v>598</v>
      </c>
      <c r="K2316" s="29" t="s">
        <v>698</v>
      </c>
      <c r="L2316" s="29" t="s">
        <v>699</v>
      </c>
      <c r="M2316" s="33">
        <v>46.79</v>
      </c>
      <c r="N2316" s="33">
        <v>-16.34</v>
      </c>
      <c r="O2316" s="34" t="s">
        <v>601</v>
      </c>
      <c r="P2316" s="32" t="s">
        <v>700</v>
      </c>
      <c r="Q2316" s="35">
        <v>3.0</v>
      </c>
      <c r="R2316" s="35">
        <v>2.0</v>
      </c>
      <c r="S2316" s="36">
        <v>0.3333</v>
      </c>
      <c r="T2316" s="36">
        <v>0.5</v>
      </c>
      <c r="U2316" s="36">
        <v>0.3055</v>
      </c>
      <c r="V2316" s="36">
        <v>0.4583</v>
      </c>
      <c r="W2316" s="37" t="s">
        <v>777</v>
      </c>
      <c r="X2316" s="31">
        <v>3.51</v>
      </c>
      <c r="Y2316" s="36">
        <v>-0.40517815237987304</v>
      </c>
      <c r="Z2316" s="36">
        <v>0.7001245365508426</v>
      </c>
      <c r="AA2316" s="29" t="s">
        <v>1463</v>
      </c>
      <c r="AB2316" s="31">
        <v>16.5998306274</v>
      </c>
      <c r="AC2316" s="38">
        <v>261.0</v>
      </c>
    </row>
    <row r="2317" ht="14.25" customHeight="1">
      <c r="A2317" s="29" t="s">
        <v>467</v>
      </c>
      <c r="B2317" s="29">
        <v>76.0</v>
      </c>
      <c r="C2317" s="29" t="s">
        <v>608</v>
      </c>
      <c r="D2317" s="42" t="s">
        <v>1468</v>
      </c>
      <c r="E2317" s="29">
        <v>224.0</v>
      </c>
      <c r="F2317" s="30" t="s">
        <v>1469</v>
      </c>
      <c r="G2317" s="29" t="s">
        <v>611</v>
      </c>
      <c r="H2317" s="31">
        <v>0.7</v>
      </c>
      <c r="I2317" s="29" t="s">
        <v>612</v>
      </c>
      <c r="J2317" s="32" t="s">
        <v>598</v>
      </c>
      <c r="K2317" s="29" t="s">
        <v>698</v>
      </c>
      <c r="L2317" s="29" t="s">
        <v>699</v>
      </c>
      <c r="M2317" s="33">
        <v>46.79</v>
      </c>
      <c r="N2317" s="33">
        <v>-16.34</v>
      </c>
      <c r="O2317" s="34" t="s">
        <v>601</v>
      </c>
      <c r="P2317" s="32" t="s">
        <v>700</v>
      </c>
      <c r="Q2317" s="35">
        <v>3.0</v>
      </c>
      <c r="R2317" s="35">
        <v>2.0</v>
      </c>
      <c r="S2317" s="36">
        <v>0.9667</v>
      </c>
      <c r="T2317" s="36">
        <v>2.4</v>
      </c>
      <c r="U2317" s="36">
        <v>0.8505</v>
      </c>
      <c r="V2317" s="36">
        <v>2.7221</v>
      </c>
      <c r="W2317" s="37" t="s">
        <v>780</v>
      </c>
      <c r="X2317" s="31">
        <v>3.51</v>
      </c>
      <c r="Y2317" s="36">
        <v>-0.9086954874010358</v>
      </c>
      <c r="Z2317" s="36">
        <v>0.9012286711149676</v>
      </c>
      <c r="AA2317" s="29" t="s">
        <v>1463</v>
      </c>
      <c r="AB2317" s="31">
        <v>16.5998306274</v>
      </c>
      <c r="AC2317" s="38">
        <v>261.0</v>
      </c>
    </row>
    <row r="2318" ht="14.25" customHeight="1">
      <c r="A2318" s="29" t="s">
        <v>467</v>
      </c>
      <c r="B2318" s="29">
        <v>76.0</v>
      </c>
      <c r="C2318" s="29" t="s">
        <v>608</v>
      </c>
      <c r="D2318" s="29" t="s">
        <v>1470</v>
      </c>
      <c r="E2318" s="29">
        <v>221.0</v>
      </c>
      <c r="F2318" s="30" t="s">
        <v>1471</v>
      </c>
      <c r="G2318" s="29" t="s">
        <v>611</v>
      </c>
      <c r="H2318" s="31">
        <v>0.07</v>
      </c>
      <c r="I2318" s="29" t="s">
        <v>616</v>
      </c>
      <c r="J2318" s="32" t="s">
        <v>598</v>
      </c>
      <c r="K2318" s="29" t="s">
        <v>698</v>
      </c>
      <c r="L2318" s="29" t="s">
        <v>699</v>
      </c>
      <c r="M2318" s="33">
        <v>46.79</v>
      </c>
      <c r="N2318" s="33">
        <v>-16.34</v>
      </c>
      <c r="O2318" s="34" t="s">
        <v>601</v>
      </c>
      <c r="P2318" s="32" t="s">
        <v>700</v>
      </c>
      <c r="Q2318" s="35">
        <v>3.0</v>
      </c>
      <c r="R2318" s="35">
        <v>2.0</v>
      </c>
      <c r="S2318" s="36">
        <v>4.0</v>
      </c>
      <c r="T2318" s="36">
        <v>2.9667</v>
      </c>
      <c r="U2318" s="36">
        <v>2.0809</v>
      </c>
      <c r="V2318" s="36">
        <v>1.6803</v>
      </c>
      <c r="W2318" s="37" t="s">
        <v>780</v>
      </c>
      <c r="X2318" s="31">
        <v>3.51</v>
      </c>
      <c r="Y2318" s="36">
        <v>0.2990354694719732</v>
      </c>
      <c r="Z2318" s="36">
        <v>0.25060840735559137</v>
      </c>
      <c r="AA2318" s="29" t="s">
        <v>1463</v>
      </c>
      <c r="AB2318" s="31">
        <v>16.5998306274</v>
      </c>
      <c r="AC2318" s="38">
        <v>261.0</v>
      </c>
    </row>
    <row r="2319" ht="14.25" customHeight="1">
      <c r="A2319" s="29" t="s">
        <v>467</v>
      </c>
      <c r="B2319" s="29">
        <v>76.0</v>
      </c>
      <c r="C2319" s="29" t="s">
        <v>608</v>
      </c>
      <c r="D2319" s="29" t="s">
        <v>1461</v>
      </c>
      <c r="E2319" s="29">
        <v>223.0</v>
      </c>
      <c r="F2319" s="30" t="s">
        <v>1462</v>
      </c>
      <c r="G2319" s="29" t="s">
        <v>611</v>
      </c>
      <c r="H2319" s="31">
        <v>0.8</v>
      </c>
      <c r="I2319" s="29" t="s">
        <v>612</v>
      </c>
      <c r="J2319" s="32" t="s">
        <v>598</v>
      </c>
      <c r="K2319" s="29" t="s">
        <v>698</v>
      </c>
      <c r="L2319" s="29" t="s">
        <v>699</v>
      </c>
      <c r="M2319" s="33">
        <v>46.96</v>
      </c>
      <c r="N2319" s="33">
        <v>-16.23</v>
      </c>
      <c r="O2319" s="34" t="s">
        <v>601</v>
      </c>
      <c r="P2319" s="32" t="s">
        <v>700</v>
      </c>
      <c r="Q2319" s="35">
        <v>3.0</v>
      </c>
      <c r="R2319" s="35">
        <v>2.0</v>
      </c>
      <c r="S2319" s="36">
        <v>0.45</v>
      </c>
      <c r="T2319" s="36">
        <v>0.3</v>
      </c>
      <c r="U2319" s="36">
        <v>0.2121</v>
      </c>
      <c r="V2319" s="36">
        <v>0.5196</v>
      </c>
      <c r="W2319" s="37" t="s">
        <v>780</v>
      </c>
      <c r="X2319" s="31">
        <v>3.51</v>
      </c>
      <c r="Y2319" s="36">
        <v>0.4056370919421079</v>
      </c>
      <c r="Z2319" s="36">
        <v>1.5739637037037035</v>
      </c>
      <c r="AA2319" s="29" t="s">
        <v>1463</v>
      </c>
      <c r="AB2319" s="31">
        <v>39.4040794373</v>
      </c>
      <c r="AC2319" s="38">
        <v>264.0</v>
      </c>
    </row>
    <row r="2320" ht="14.25" customHeight="1">
      <c r="A2320" s="29" t="s">
        <v>467</v>
      </c>
      <c r="B2320" s="29">
        <v>76.0</v>
      </c>
      <c r="C2320" s="29" t="s">
        <v>608</v>
      </c>
      <c r="D2320" s="29" t="s">
        <v>1464</v>
      </c>
      <c r="E2320" s="29">
        <v>222.0</v>
      </c>
      <c r="F2320" s="30" t="s">
        <v>1465</v>
      </c>
      <c r="G2320" s="29" t="s">
        <v>611</v>
      </c>
      <c r="H2320" s="31">
        <v>0.18</v>
      </c>
      <c r="I2320" s="29" t="s">
        <v>616</v>
      </c>
      <c r="J2320" s="32" t="s">
        <v>598</v>
      </c>
      <c r="K2320" s="29" t="s">
        <v>698</v>
      </c>
      <c r="L2320" s="29" t="s">
        <v>699</v>
      </c>
      <c r="M2320" s="33">
        <v>46.96</v>
      </c>
      <c r="N2320" s="33">
        <v>-16.23</v>
      </c>
      <c r="O2320" s="34" t="s">
        <v>601</v>
      </c>
      <c r="P2320" s="32" t="s">
        <v>700</v>
      </c>
      <c r="Q2320" s="35">
        <v>3.0</v>
      </c>
      <c r="R2320" s="35">
        <v>2.0</v>
      </c>
      <c r="S2320" s="36">
        <v>0.65</v>
      </c>
      <c r="T2320" s="36">
        <v>1.1333</v>
      </c>
      <c r="U2320" s="36">
        <v>0.0707</v>
      </c>
      <c r="V2320" s="36">
        <v>1.2662</v>
      </c>
      <c r="W2320" s="37" t="s">
        <v>780</v>
      </c>
      <c r="X2320" s="31">
        <v>3.51</v>
      </c>
      <c r="Y2320" s="36">
        <v>-0.5554669186676577</v>
      </c>
      <c r="Z2320" s="36">
        <v>0.6280876468819655</v>
      </c>
      <c r="AA2320" s="29" t="s">
        <v>1463</v>
      </c>
      <c r="AB2320" s="31">
        <v>39.4040794373</v>
      </c>
      <c r="AC2320" s="38">
        <v>264.0</v>
      </c>
    </row>
    <row r="2321" ht="14.25" customHeight="1">
      <c r="A2321" s="29" t="s">
        <v>467</v>
      </c>
      <c r="B2321" s="29">
        <v>76.0</v>
      </c>
      <c r="C2321" s="29" t="s">
        <v>608</v>
      </c>
      <c r="D2321" s="29" t="s">
        <v>1466</v>
      </c>
      <c r="E2321" s="29">
        <v>225.0</v>
      </c>
      <c r="F2321" s="30" t="s">
        <v>1467</v>
      </c>
      <c r="G2321" s="29" t="s">
        <v>611</v>
      </c>
      <c r="H2321" s="31">
        <v>3.15</v>
      </c>
      <c r="I2321" s="29" t="s">
        <v>612</v>
      </c>
      <c r="J2321" s="32" t="s">
        <v>598</v>
      </c>
      <c r="K2321" s="29" t="s">
        <v>698</v>
      </c>
      <c r="L2321" s="29" t="s">
        <v>699</v>
      </c>
      <c r="M2321" s="33">
        <v>46.96</v>
      </c>
      <c r="N2321" s="33">
        <v>-16.23</v>
      </c>
      <c r="O2321" s="34" t="s">
        <v>601</v>
      </c>
      <c r="P2321" s="32" t="s">
        <v>700</v>
      </c>
      <c r="Q2321" s="35">
        <v>3.0</v>
      </c>
      <c r="R2321" s="35">
        <v>2.0</v>
      </c>
      <c r="S2321" s="36">
        <v>0.85</v>
      </c>
      <c r="T2321" s="36">
        <v>0.5</v>
      </c>
      <c r="U2321" s="36">
        <v>0.0707</v>
      </c>
      <c r="V2321" s="36">
        <v>0.4583</v>
      </c>
      <c r="W2321" s="37" t="s">
        <v>777</v>
      </c>
      <c r="X2321" s="31">
        <v>3.51</v>
      </c>
      <c r="Y2321" s="36">
        <v>0.5307800030390311</v>
      </c>
      <c r="Z2321" s="36">
        <v>0.4223838884198385</v>
      </c>
      <c r="AA2321" s="29" t="s">
        <v>1463</v>
      </c>
      <c r="AB2321" s="31">
        <v>39.4040794373</v>
      </c>
      <c r="AC2321" s="38">
        <v>264.0</v>
      </c>
    </row>
    <row r="2322" ht="14.25" customHeight="1">
      <c r="A2322" s="29" t="s">
        <v>467</v>
      </c>
      <c r="B2322" s="29">
        <v>76.0</v>
      </c>
      <c r="C2322" s="29" t="s">
        <v>608</v>
      </c>
      <c r="D2322" s="42" t="s">
        <v>1468</v>
      </c>
      <c r="E2322" s="29">
        <v>224.0</v>
      </c>
      <c r="F2322" s="30" t="s">
        <v>1469</v>
      </c>
      <c r="G2322" s="29" t="s">
        <v>611</v>
      </c>
      <c r="H2322" s="31">
        <v>0.7</v>
      </c>
      <c r="I2322" s="29" t="s">
        <v>612</v>
      </c>
      <c r="J2322" s="32" t="s">
        <v>598</v>
      </c>
      <c r="K2322" s="29" t="s">
        <v>698</v>
      </c>
      <c r="L2322" s="29" t="s">
        <v>699</v>
      </c>
      <c r="M2322" s="33">
        <v>46.96</v>
      </c>
      <c r="N2322" s="33">
        <v>-16.23</v>
      </c>
      <c r="O2322" s="34" t="s">
        <v>601</v>
      </c>
      <c r="P2322" s="32" t="s">
        <v>700</v>
      </c>
      <c r="Q2322" s="35">
        <v>3.0</v>
      </c>
      <c r="R2322" s="35">
        <v>2.0</v>
      </c>
      <c r="S2322" s="36">
        <v>1.45</v>
      </c>
      <c r="T2322" s="36">
        <v>2.4</v>
      </c>
      <c r="U2322" s="36">
        <v>0.3536</v>
      </c>
      <c r="V2322" s="36">
        <v>2.7221</v>
      </c>
      <c r="W2322" s="37" t="s">
        <v>780</v>
      </c>
      <c r="X2322" s="31">
        <v>3.51</v>
      </c>
      <c r="Y2322" s="36">
        <v>-0.5034782410067239</v>
      </c>
      <c r="Z2322" s="36">
        <v>0.6630371745947699</v>
      </c>
      <c r="AA2322" s="29" t="s">
        <v>1463</v>
      </c>
      <c r="AB2322" s="31">
        <v>39.4040794373</v>
      </c>
      <c r="AC2322" s="38">
        <v>264.0</v>
      </c>
    </row>
    <row r="2323" ht="14.25" customHeight="1">
      <c r="A2323" s="29" t="s">
        <v>467</v>
      </c>
      <c r="B2323" s="29">
        <v>76.0</v>
      </c>
      <c r="C2323" s="29" t="s">
        <v>608</v>
      </c>
      <c r="D2323" s="29" t="s">
        <v>1470</v>
      </c>
      <c r="E2323" s="29">
        <v>221.0</v>
      </c>
      <c r="F2323" s="30" t="s">
        <v>1471</v>
      </c>
      <c r="G2323" s="29" t="s">
        <v>611</v>
      </c>
      <c r="H2323" s="31">
        <v>0.07</v>
      </c>
      <c r="I2323" s="29" t="s">
        <v>616</v>
      </c>
      <c r="J2323" s="32" t="s">
        <v>598</v>
      </c>
      <c r="K2323" s="29" t="s">
        <v>698</v>
      </c>
      <c r="L2323" s="29" t="s">
        <v>699</v>
      </c>
      <c r="M2323" s="33">
        <v>46.96</v>
      </c>
      <c r="N2323" s="33">
        <v>-16.23</v>
      </c>
      <c r="O2323" s="34" t="s">
        <v>601</v>
      </c>
      <c r="P2323" s="32" t="s">
        <v>700</v>
      </c>
      <c r="Q2323" s="35">
        <v>3.0</v>
      </c>
      <c r="R2323" s="35">
        <v>2.0</v>
      </c>
      <c r="S2323" s="36">
        <v>1.15</v>
      </c>
      <c r="T2323" s="36">
        <v>2.9667</v>
      </c>
      <c r="U2323" s="36">
        <v>1.2021</v>
      </c>
      <c r="V2323" s="36">
        <v>1.6803</v>
      </c>
      <c r="W2323" s="37" t="s">
        <v>780</v>
      </c>
      <c r="X2323" s="31">
        <v>3.51</v>
      </c>
      <c r="Y2323" s="36">
        <v>-0.9470229356073799</v>
      </c>
      <c r="Z2323" s="36">
        <v>0.524617450341965</v>
      </c>
      <c r="AA2323" s="29" t="s">
        <v>1463</v>
      </c>
      <c r="AB2323" s="31">
        <v>39.4040794373</v>
      </c>
      <c r="AC2323" s="38">
        <v>264.0</v>
      </c>
    </row>
  </sheetData>
  <autoFilter ref="$A$1:$AC$2323">
    <sortState ref="A1:AC2323">
      <sortCondition ref="AA1:AA2323"/>
    </sortState>
  </autoFilter>
  <printOptions/>
  <pageMargins bottom="0.75" footer="0.0" header="0.0" left="0.7" right="0.7" top="0.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7.38"/>
    <col customWidth="1" min="2" max="2" width="12.63"/>
    <col customWidth="1" min="3" max="3" width="13.13"/>
    <col customWidth="1" min="4" max="4" width="12.25"/>
    <col customWidth="1" min="5" max="5" width="28.38"/>
    <col customWidth="1" min="6" max="6" width="28.5"/>
    <col customWidth="1" min="7" max="7" width="15.5"/>
    <col customWidth="1" min="8" max="8" width="19.0"/>
    <col customWidth="1" min="9" max="9" width="21.75"/>
  </cols>
  <sheetData>
    <row r="1" ht="15.75" customHeight="1">
      <c r="A1" s="8" t="s">
        <v>18</v>
      </c>
      <c r="B1" s="8" t="s">
        <v>19</v>
      </c>
      <c r="C1" s="8" t="s">
        <v>20</v>
      </c>
      <c r="D1" s="8" t="s">
        <v>21</v>
      </c>
      <c r="E1" s="8" t="s">
        <v>1472</v>
      </c>
      <c r="F1" s="8" t="s">
        <v>1473</v>
      </c>
      <c r="G1" s="8" t="s">
        <v>1474</v>
      </c>
      <c r="H1" s="8"/>
      <c r="I1" s="8"/>
      <c r="J1" s="8"/>
      <c r="K1" s="8"/>
      <c r="L1" s="8"/>
    </row>
    <row r="2" ht="15.75" customHeight="1">
      <c r="A2" s="13" t="s">
        <v>46</v>
      </c>
      <c r="B2" s="13" t="s">
        <v>47</v>
      </c>
      <c r="C2" s="14">
        <v>27.0</v>
      </c>
      <c r="D2" s="15" t="s">
        <v>48</v>
      </c>
      <c r="F2" s="13" t="s">
        <v>1475</v>
      </c>
      <c r="G2" s="13" t="s">
        <v>641</v>
      </c>
    </row>
    <row r="3" ht="15.75" customHeight="1">
      <c r="A3" s="13" t="s">
        <v>98</v>
      </c>
      <c r="B3" s="13" t="s">
        <v>99</v>
      </c>
      <c r="C3" s="14">
        <v>60.0</v>
      </c>
      <c r="D3" s="15" t="s">
        <v>100</v>
      </c>
      <c r="F3" s="13" t="s">
        <v>1476</v>
      </c>
      <c r="G3" s="13" t="s">
        <v>641</v>
      </c>
    </row>
    <row r="4" ht="15.75" customHeight="1">
      <c r="A4" s="13" t="s">
        <v>1477</v>
      </c>
      <c r="B4" s="13" t="s">
        <v>123</v>
      </c>
      <c r="C4" s="14">
        <v>64.0</v>
      </c>
      <c r="D4" s="15" t="s">
        <v>124</v>
      </c>
      <c r="F4" s="13" t="s">
        <v>1478</v>
      </c>
      <c r="G4" s="13" t="s">
        <v>641</v>
      </c>
    </row>
    <row r="5" ht="15.75" customHeight="1">
      <c r="A5" s="13" t="s">
        <v>149</v>
      </c>
      <c r="B5" s="13" t="s">
        <v>150</v>
      </c>
      <c r="C5" s="14">
        <v>69.0</v>
      </c>
      <c r="D5" s="15" t="s">
        <v>151</v>
      </c>
      <c r="F5" s="13" t="s">
        <v>1479</v>
      </c>
      <c r="G5" s="13" t="s">
        <v>641</v>
      </c>
    </row>
    <row r="6" ht="15.75" customHeight="1">
      <c r="A6" s="13" t="s">
        <v>165</v>
      </c>
      <c r="B6" s="13" t="s">
        <v>166</v>
      </c>
      <c r="C6" s="14">
        <v>72.0</v>
      </c>
      <c r="D6" s="15" t="s">
        <v>167</v>
      </c>
      <c r="F6" s="13" t="s">
        <v>1480</v>
      </c>
      <c r="G6" s="13" t="s">
        <v>641</v>
      </c>
    </row>
    <row r="7" ht="15.75" customHeight="1">
      <c r="A7" s="13" t="s">
        <v>176</v>
      </c>
      <c r="B7" s="13" t="s">
        <v>177</v>
      </c>
      <c r="C7" s="14">
        <v>76.0</v>
      </c>
      <c r="E7" s="13" t="s">
        <v>1481</v>
      </c>
      <c r="F7" s="13" t="s">
        <v>1482</v>
      </c>
      <c r="G7" s="13" t="s">
        <v>641</v>
      </c>
    </row>
    <row r="8" ht="15.75" customHeight="1">
      <c r="A8" s="13" t="s">
        <v>1483</v>
      </c>
      <c r="B8" s="13" t="s">
        <v>299</v>
      </c>
      <c r="C8" s="14">
        <v>102.0</v>
      </c>
      <c r="D8" s="15" t="s">
        <v>300</v>
      </c>
      <c r="F8" s="13" t="s">
        <v>1484</v>
      </c>
      <c r="G8" s="13" t="s">
        <v>641</v>
      </c>
    </row>
    <row r="9" ht="15.75" customHeight="1">
      <c r="A9" s="13" t="s">
        <v>1485</v>
      </c>
      <c r="B9" s="13" t="s">
        <v>304</v>
      </c>
      <c r="C9" s="14">
        <v>103.0</v>
      </c>
      <c r="D9" s="15" t="s">
        <v>305</v>
      </c>
      <c r="F9" s="13" t="s">
        <v>1486</v>
      </c>
      <c r="G9" s="13" t="s">
        <v>641</v>
      </c>
    </row>
    <row r="10" ht="15.75" customHeight="1">
      <c r="A10" s="13" t="s">
        <v>312</v>
      </c>
      <c r="B10" s="13" t="s">
        <v>313</v>
      </c>
      <c r="C10" s="14">
        <v>105.0</v>
      </c>
      <c r="D10" s="15" t="s">
        <v>314</v>
      </c>
      <c r="F10" s="13" t="s">
        <v>1487</v>
      </c>
      <c r="G10" s="13" t="s">
        <v>641</v>
      </c>
    </row>
    <row r="11" ht="15.75" customHeight="1">
      <c r="A11" s="13" t="s">
        <v>426</v>
      </c>
      <c r="B11" s="13" t="s">
        <v>427</v>
      </c>
      <c r="C11" s="14">
        <v>133.0</v>
      </c>
      <c r="D11" s="15" t="s">
        <v>428</v>
      </c>
      <c r="F11" s="13" t="s">
        <v>1488</v>
      </c>
      <c r="G11" s="13" t="s">
        <v>641</v>
      </c>
    </row>
    <row r="12" ht="15.75" customHeight="1">
      <c r="A12" s="13" t="s">
        <v>432</v>
      </c>
      <c r="B12" s="13" t="s">
        <v>433</v>
      </c>
      <c r="C12" s="14">
        <v>134.0</v>
      </c>
      <c r="D12" s="15" t="s">
        <v>434</v>
      </c>
      <c r="F12" s="13" t="s">
        <v>1489</v>
      </c>
      <c r="G12" s="13" t="s">
        <v>641</v>
      </c>
    </row>
    <row r="13" ht="15.75" customHeight="1">
      <c r="A13" s="13" t="s">
        <v>439</v>
      </c>
      <c r="B13" s="13" t="s">
        <v>440</v>
      </c>
      <c r="C13" s="14">
        <v>137.0</v>
      </c>
      <c r="D13" s="15" t="s">
        <v>441</v>
      </c>
      <c r="F13" s="13" t="s">
        <v>1490</v>
      </c>
      <c r="G13" s="13" t="s">
        <v>641</v>
      </c>
    </row>
    <row r="14" ht="15.75" customHeight="1">
      <c r="A14" s="13" t="s">
        <v>445</v>
      </c>
      <c r="B14" s="13" t="s">
        <v>446</v>
      </c>
      <c r="C14" s="14">
        <v>138.0</v>
      </c>
      <c r="D14" s="15" t="s">
        <v>447</v>
      </c>
      <c r="F14" s="13" t="s">
        <v>1491</v>
      </c>
      <c r="G14" s="13" t="s">
        <v>641</v>
      </c>
    </row>
    <row r="15" ht="15.75" customHeight="1">
      <c r="A15" s="13" t="s">
        <v>456</v>
      </c>
      <c r="B15" s="13" t="s">
        <v>457</v>
      </c>
      <c r="C15" s="14">
        <v>142.0</v>
      </c>
      <c r="D15" s="15" t="s">
        <v>458</v>
      </c>
      <c r="F15" s="13" t="s">
        <v>1492</v>
      </c>
      <c r="G15" s="13" t="s">
        <v>641</v>
      </c>
    </row>
    <row r="16" ht="15.75" customHeight="1">
      <c r="A16" s="13" t="s">
        <v>476</v>
      </c>
      <c r="B16" s="13" t="s">
        <v>477</v>
      </c>
      <c r="C16" s="14">
        <v>146.0</v>
      </c>
      <c r="E16" s="13" t="s">
        <v>1493</v>
      </c>
      <c r="F16" s="13" t="s">
        <v>1482</v>
      </c>
      <c r="G16" s="13" t="s">
        <v>641</v>
      </c>
    </row>
    <row r="17" ht="15.75" customHeight="1">
      <c r="A17" s="13" t="s">
        <v>528</v>
      </c>
      <c r="B17" s="13" t="s">
        <v>529</v>
      </c>
      <c r="C17" s="14">
        <v>159.0</v>
      </c>
      <c r="E17" s="13" t="s">
        <v>1494</v>
      </c>
      <c r="F17" s="13" t="s">
        <v>1482</v>
      </c>
      <c r="G17" s="13" t="s">
        <v>641</v>
      </c>
    </row>
    <row r="18" ht="15.75" customHeight="1">
      <c r="A18" s="13" t="s">
        <v>1495</v>
      </c>
      <c r="B18" s="13" t="s">
        <v>1496</v>
      </c>
      <c r="C18" s="14">
        <v>74.0</v>
      </c>
      <c r="D18" s="15" t="s">
        <v>1497</v>
      </c>
      <c r="F18" s="13" t="s">
        <v>1498</v>
      </c>
      <c r="G18" s="13" t="s">
        <v>641</v>
      </c>
    </row>
    <row r="19" ht="15.75" customHeight="1">
      <c r="A19" s="13" t="s">
        <v>1499</v>
      </c>
      <c r="B19" s="13" t="s">
        <v>1500</v>
      </c>
      <c r="C19" s="14">
        <v>75.0</v>
      </c>
      <c r="D19" s="13"/>
      <c r="E19" s="13" t="s">
        <v>1501</v>
      </c>
      <c r="F19" s="13" t="s">
        <v>1482</v>
      </c>
      <c r="G19" s="13" t="s">
        <v>641</v>
      </c>
    </row>
    <row r="20" ht="15.75" customHeight="1">
      <c r="A20" s="13" t="s">
        <v>36</v>
      </c>
      <c r="B20" s="13" t="s">
        <v>37</v>
      </c>
      <c r="C20" s="14">
        <v>5.0</v>
      </c>
      <c r="D20" s="15" t="s">
        <v>38</v>
      </c>
      <c r="F20" s="13" t="s">
        <v>1502</v>
      </c>
      <c r="G20" s="52" t="s">
        <v>641</v>
      </c>
      <c r="H20" s="3" t="s">
        <v>1503</v>
      </c>
    </row>
    <row r="21" ht="15.75" customHeight="1">
      <c r="A21" s="13" t="s">
        <v>53</v>
      </c>
      <c r="B21" s="13" t="s">
        <v>54</v>
      </c>
      <c r="C21" s="14">
        <v>32.0</v>
      </c>
      <c r="D21" s="15" t="s">
        <v>55</v>
      </c>
      <c r="F21" s="13" t="s">
        <v>1504</v>
      </c>
      <c r="G21" s="13" t="s">
        <v>601</v>
      </c>
    </row>
    <row r="22" ht="15.75" customHeight="1">
      <c r="A22" s="13" t="s">
        <v>61</v>
      </c>
      <c r="B22" s="13" t="s">
        <v>62</v>
      </c>
      <c r="C22" s="14">
        <v>33.0</v>
      </c>
      <c r="D22" s="15" t="s">
        <v>63</v>
      </c>
      <c r="F22" s="13" t="s">
        <v>1505</v>
      </c>
      <c r="G22" s="13" t="s">
        <v>601</v>
      </c>
    </row>
    <row r="23" ht="15.75" customHeight="1">
      <c r="A23" s="13" t="s">
        <v>69</v>
      </c>
      <c r="B23" s="13" t="s">
        <v>70</v>
      </c>
      <c r="C23" s="14">
        <v>34.0</v>
      </c>
      <c r="D23" s="15" t="s">
        <v>71</v>
      </c>
      <c r="F23" s="13" t="s">
        <v>1506</v>
      </c>
      <c r="G23" s="13" t="s">
        <v>601</v>
      </c>
    </row>
    <row r="24" ht="15.75" customHeight="1">
      <c r="A24" s="13" t="s">
        <v>77</v>
      </c>
      <c r="B24" s="13" t="s">
        <v>78</v>
      </c>
      <c r="C24" s="14">
        <v>35.0</v>
      </c>
      <c r="E24" s="13" t="s">
        <v>1507</v>
      </c>
      <c r="F24" s="13" t="s">
        <v>1482</v>
      </c>
      <c r="G24" s="13" t="s">
        <v>601</v>
      </c>
    </row>
    <row r="25" ht="15.75" customHeight="1">
      <c r="A25" s="13" t="s">
        <v>82</v>
      </c>
      <c r="B25" s="13" t="s">
        <v>83</v>
      </c>
      <c r="C25" s="14">
        <v>36.0</v>
      </c>
      <c r="D25" s="15" t="s">
        <v>84</v>
      </c>
      <c r="F25" s="13" t="s">
        <v>1508</v>
      </c>
      <c r="G25" s="13" t="s">
        <v>601</v>
      </c>
    </row>
    <row r="26" ht="15.75" customHeight="1">
      <c r="A26" s="13" t="s">
        <v>88</v>
      </c>
      <c r="B26" s="13" t="s">
        <v>89</v>
      </c>
      <c r="C26" s="14">
        <v>37.0</v>
      </c>
      <c r="D26" s="15" t="s">
        <v>90</v>
      </c>
      <c r="F26" s="13" t="s">
        <v>1509</v>
      </c>
      <c r="G26" s="13" t="s">
        <v>601</v>
      </c>
    </row>
    <row r="27" ht="15.75" customHeight="1">
      <c r="A27" s="13" t="s">
        <v>1510</v>
      </c>
      <c r="B27" s="13" t="s">
        <v>94</v>
      </c>
      <c r="C27" s="14">
        <v>59.0</v>
      </c>
      <c r="D27" s="15" t="s">
        <v>95</v>
      </c>
      <c r="F27" s="13" t="s">
        <v>1511</v>
      </c>
      <c r="G27" s="13" t="s">
        <v>601</v>
      </c>
    </row>
    <row r="28" ht="15.75" customHeight="1">
      <c r="A28" s="13" t="s">
        <v>106</v>
      </c>
      <c r="B28" s="13" t="s">
        <v>107</v>
      </c>
      <c r="C28" s="14">
        <v>61.0</v>
      </c>
      <c r="D28" s="15" t="s">
        <v>108</v>
      </c>
      <c r="F28" s="13" t="s">
        <v>1512</v>
      </c>
      <c r="G28" s="13" t="s">
        <v>601</v>
      </c>
    </row>
    <row r="29" ht="15.75" customHeight="1">
      <c r="A29" s="13" t="s">
        <v>112</v>
      </c>
      <c r="B29" s="13" t="s">
        <v>113</v>
      </c>
      <c r="C29" s="14">
        <v>62.0</v>
      </c>
      <c r="D29" s="15" t="s">
        <v>114</v>
      </c>
      <c r="F29" s="13" t="s">
        <v>1513</v>
      </c>
      <c r="G29" s="13" t="s">
        <v>601</v>
      </c>
    </row>
    <row r="30" ht="15.75" customHeight="1">
      <c r="A30" s="13" t="s">
        <v>134</v>
      </c>
      <c r="B30" s="13" t="s">
        <v>135</v>
      </c>
      <c r="C30" s="14">
        <v>66.0</v>
      </c>
      <c r="D30" s="15" t="s">
        <v>136</v>
      </c>
      <c r="F30" s="13" t="s">
        <v>1514</v>
      </c>
      <c r="G30" s="13" t="s">
        <v>601</v>
      </c>
    </row>
    <row r="31" ht="15.75" customHeight="1">
      <c r="A31" s="13" t="s">
        <v>139</v>
      </c>
      <c r="B31" s="13" t="s">
        <v>140</v>
      </c>
      <c r="C31" s="14">
        <v>67.0</v>
      </c>
      <c r="D31" s="15" t="s">
        <v>141</v>
      </c>
      <c r="F31" s="13" t="s">
        <v>1515</v>
      </c>
      <c r="G31" s="13" t="s">
        <v>601</v>
      </c>
    </row>
    <row r="32" ht="15.75" customHeight="1">
      <c r="A32" s="13" t="s">
        <v>145</v>
      </c>
      <c r="B32" s="13" t="s">
        <v>146</v>
      </c>
      <c r="C32" s="14">
        <v>68.0</v>
      </c>
      <c r="D32" s="15" t="s">
        <v>147</v>
      </c>
      <c r="F32" s="13" t="s">
        <v>1516</v>
      </c>
      <c r="G32" s="13" t="s">
        <v>601</v>
      </c>
    </row>
    <row r="33" ht="15.75" customHeight="1">
      <c r="A33" s="13" t="s">
        <v>1517</v>
      </c>
      <c r="B33" s="13" t="s">
        <v>159</v>
      </c>
      <c r="C33" s="14">
        <v>71.0</v>
      </c>
      <c r="D33" s="15" t="s">
        <v>160</v>
      </c>
      <c r="F33" s="13" t="s">
        <v>1518</v>
      </c>
      <c r="G33" s="13" t="s">
        <v>601</v>
      </c>
    </row>
    <row r="34" ht="15.75" customHeight="1">
      <c r="A34" s="13" t="s">
        <v>189</v>
      </c>
      <c r="B34" s="13" t="s">
        <v>190</v>
      </c>
      <c r="C34" s="14">
        <v>78.0</v>
      </c>
      <c r="D34" s="15" t="s">
        <v>191</v>
      </c>
      <c r="F34" s="13" t="s">
        <v>1519</v>
      </c>
      <c r="G34" s="13" t="s">
        <v>601</v>
      </c>
    </row>
    <row r="35" ht="15.75" customHeight="1">
      <c r="A35" s="13" t="s">
        <v>197</v>
      </c>
      <c r="B35" s="13" t="s">
        <v>198</v>
      </c>
      <c r="C35" s="14">
        <v>80.0</v>
      </c>
      <c r="D35" s="15" t="s">
        <v>199</v>
      </c>
      <c r="F35" s="13" t="s">
        <v>1520</v>
      </c>
      <c r="G35" s="13" t="s">
        <v>601</v>
      </c>
    </row>
    <row r="36" ht="15.75" customHeight="1">
      <c r="A36" s="13" t="s">
        <v>207</v>
      </c>
      <c r="B36" s="13" t="s">
        <v>208</v>
      </c>
      <c r="C36" s="14">
        <v>82.0</v>
      </c>
      <c r="D36" s="15" t="s">
        <v>199</v>
      </c>
      <c r="F36" s="13" t="s">
        <v>1520</v>
      </c>
      <c r="G36" s="13" t="s">
        <v>601</v>
      </c>
    </row>
    <row r="37" ht="15.75" customHeight="1">
      <c r="A37" s="13" t="s">
        <v>211</v>
      </c>
      <c r="B37" s="13" t="s">
        <v>212</v>
      </c>
      <c r="C37" s="14">
        <v>83.0</v>
      </c>
      <c r="D37" s="15" t="s">
        <v>213</v>
      </c>
      <c r="F37" s="13" t="s">
        <v>1521</v>
      </c>
      <c r="G37" s="13" t="s">
        <v>601</v>
      </c>
    </row>
    <row r="38" ht="15.75" customHeight="1">
      <c r="A38" s="13" t="s">
        <v>215</v>
      </c>
      <c r="B38" s="13" t="s">
        <v>216</v>
      </c>
      <c r="C38" s="14">
        <v>84.0</v>
      </c>
      <c r="D38" s="15" t="s">
        <v>217</v>
      </c>
      <c r="F38" s="13" t="s">
        <v>1522</v>
      </c>
      <c r="G38" s="13" t="s">
        <v>601</v>
      </c>
    </row>
    <row r="39" ht="15.75" customHeight="1">
      <c r="A39" s="13" t="s">
        <v>1523</v>
      </c>
      <c r="B39" s="13" t="s">
        <v>221</v>
      </c>
      <c r="C39" s="14">
        <v>85.0</v>
      </c>
      <c r="D39" s="15" t="s">
        <v>222</v>
      </c>
      <c r="F39" s="13" t="s">
        <v>1524</v>
      </c>
      <c r="G39" s="13" t="s">
        <v>601</v>
      </c>
    </row>
    <row r="40" ht="15.75" customHeight="1">
      <c r="A40" s="13" t="s">
        <v>236</v>
      </c>
      <c r="B40" s="13" t="s">
        <v>237</v>
      </c>
      <c r="C40" s="14">
        <v>88.0</v>
      </c>
      <c r="D40" s="15" t="s">
        <v>238</v>
      </c>
      <c r="F40" s="13" t="s">
        <v>1525</v>
      </c>
      <c r="G40" s="13" t="s">
        <v>601</v>
      </c>
    </row>
    <row r="41" ht="15.75" customHeight="1">
      <c r="A41" s="13" t="s">
        <v>240</v>
      </c>
      <c r="B41" s="13" t="s">
        <v>241</v>
      </c>
      <c r="C41" s="14">
        <v>89.0</v>
      </c>
      <c r="D41" s="15" t="s">
        <v>242</v>
      </c>
      <c r="F41" s="13" t="s">
        <v>1526</v>
      </c>
      <c r="G41" s="13" t="s">
        <v>601</v>
      </c>
    </row>
    <row r="42" ht="15.75" customHeight="1">
      <c r="A42" s="13" t="s">
        <v>258</v>
      </c>
      <c r="B42" s="13" t="s">
        <v>259</v>
      </c>
      <c r="C42" s="14">
        <v>93.0</v>
      </c>
      <c r="D42" s="15" t="s">
        <v>260</v>
      </c>
      <c r="F42" s="13" t="s">
        <v>1527</v>
      </c>
      <c r="G42" s="13" t="s">
        <v>601</v>
      </c>
    </row>
    <row r="43" ht="15.75" customHeight="1">
      <c r="A43" s="13" t="s">
        <v>262</v>
      </c>
      <c r="B43" s="13" t="s">
        <v>263</v>
      </c>
      <c r="C43" s="14">
        <v>94.0</v>
      </c>
      <c r="D43" s="15" t="s">
        <v>264</v>
      </c>
      <c r="F43" s="13" t="s">
        <v>1528</v>
      </c>
      <c r="G43" s="13" t="s">
        <v>601</v>
      </c>
    </row>
    <row r="44" ht="15.75" customHeight="1">
      <c r="A44" s="13" t="s">
        <v>270</v>
      </c>
      <c r="B44" s="13" t="s">
        <v>271</v>
      </c>
      <c r="C44" s="14">
        <v>96.0</v>
      </c>
      <c r="D44" s="15" t="s">
        <v>272</v>
      </c>
      <c r="F44" s="13" t="s">
        <v>1529</v>
      </c>
      <c r="G44" s="13" t="s">
        <v>601</v>
      </c>
    </row>
    <row r="45" ht="15.75" customHeight="1">
      <c r="A45" s="13" t="s">
        <v>1530</v>
      </c>
      <c r="B45" s="13" t="s">
        <v>278</v>
      </c>
      <c r="C45" s="14">
        <v>97.0</v>
      </c>
      <c r="D45" s="15" t="s">
        <v>279</v>
      </c>
      <c r="F45" s="13" t="s">
        <v>1531</v>
      </c>
      <c r="G45" s="13" t="s">
        <v>601</v>
      </c>
    </row>
    <row r="46" ht="15.75" customHeight="1">
      <c r="A46" s="13" t="s">
        <v>283</v>
      </c>
      <c r="B46" s="13" t="s">
        <v>284</v>
      </c>
      <c r="C46" s="14">
        <v>98.0</v>
      </c>
      <c r="D46" s="15" t="s">
        <v>285</v>
      </c>
      <c r="F46" s="13" t="s">
        <v>1532</v>
      </c>
      <c r="G46" s="13" t="s">
        <v>601</v>
      </c>
    </row>
    <row r="47" ht="15.75" customHeight="1">
      <c r="A47" s="13" t="s">
        <v>291</v>
      </c>
      <c r="B47" s="13" t="s">
        <v>292</v>
      </c>
      <c r="C47" s="14">
        <v>101.0</v>
      </c>
      <c r="D47" s="15" t="s">
        <v>293</v>
      </c>
      <c r="F47" s="13" t="s">
        <v>1533</v>
      </c>
      <c r="G47" s="13" t="s">
        <v>601</v>
      </c>
    </row>
    <row r="48" ht="15.75" customHeight="1">
      <c r="A48" s="13" t="s">
        <v>1534</v>
      </c>
      <c r="B48" s="13" t="s">
        <v>308</v>
      </c>
      <c r="C48" s="14">
        <v>104.0</v>
      </c>
      <c r="D48" s="15" t="s">
        <v>309</v>
      </c>
      <c r="F48" s="13" t="s">
        <v>1535</v>
      </c>
      <c r="G48" s="13" t="s">
        <v>601</v>
      </c>
    </row>
    <row r="49" ht="15.75" customHeight="1">
      <c r="A49" s="13" t="s">
        <v>1536</v>
      </c>
      <c r="B49" s="13" t="s">
        <v>319</v>
      </c>
      <c r="C49" s="14">
        <v>106.0</v>
      </c>
      <c r="D49" s="15" t="s">
        <v>320</v>
      </c>
      <c r="F49" s="13" t="s">
        <v>1537</v>
      </c>
      <c r="G49" s="13" t="s">
        <v>601</v>
      </c>
    </row>
    <row r="50" ht="15.75" customHeight="1">
      <c r="A50" s="13" t="s">
        <v>324</v>
      </c>
      <c r="B50" s="13" t="s">
        <v>325</v>
      </c>
      <c r="C50" s="14">
        <v>107.0</v>
      </c>
      <c r="D50" s="15" t="s">
        <v>326</v>
      </c>
      <c r="F50" s="13" t="s">
        <v>1538</v>
      </c>
      <c r="G50" s="13" t="s">
        <v>601</v>
      </c>
    </row>
    <row r="51" ht="15.75" customHeight="1">
      <c r="A51" s="13" t="s">
        <v>333</v>
      </c>
      <c r="B51" s="13" t="s">
        <v>334</v>
      </c>
      <c r="C51" s="14">
        <v>109.0</v>
      </c>
      <c r="D51" s="15" t="s">
        <v>335</v>
      </c>
      <c r="F51" s="13" t="s">
        <v>1539</v>
      </c>
      <c r="G51" s="13" t="s">
        <v>601</v>
      </c>
    </row>
    <row r="52" ht="15.75" customHeight="1">
      <c r="A52" s="13" t="s">
        <v>337</v>
      </c>
      <c r="B52" s="13" t="s">
        <v>338</v>
      </c>
      <c r="C52" s="14">
        <v>110.0</v>
      </c>
      <c r="D52" s="15" t="s">
        <v>339</v>
      </c>
      <c r="F52" s="13" t="s">
        <v>1540</v>
      </c>
      <c r="G52" s="13" t="s">
        <v>601</v>
      </c>
    </row>
    <row r="53" ht="15.75" customHeight="1">
      <c r="A53" s="13" t="s">
        <v>342</v>
      </c>
      <c r="B53" s="13" t="s">
        <v>343</v>
      </c>
      <c r="C53" s="14">
        <v>111.0</v>
      </c>
      <c r="D53" s="15" t="s">
        <v>344</v>
      </c>
      <c r="F53" s="13" t="s">
        <v>1541</v>
      </c>
      <c r="G53" s="13" t="s">
        <v>601</v>
      </c>
    </row>
    <row r="54" ht="15.75" customHeight="1">
      <c r="A54" s="13" t="s">
        <v>347</v>
      </c>
      <c r="B54" s="13" t="s">
        <v>348</v>
      </c>
      <c r="C54" s="14">
        <v>114.0</v>
      </c>
      <c r="D54" s="15" t="s">
        <v>349</v>
      </c>
      <c r="F54" s="13" t="s">
        <v>1542</v>
      </c>
      <c r="G54" s="13" t="s">
        <v>601</v>
      </c>
    </row>
    <row r="55" ht="15.75" customHeight="1">
      <c r="A55" s="13" t="s">
        <v>1543</v>
      </c>
      <c r="B55" s="13" t="s">
        <v>353</v>
      </c>
      <c r="C55" s="14">
        <v>115.0</v>
      </c>
      <c r="D55" s="15" t="s">
        <v>354</v>
      </c>
      <c r="F55" s="13" t="s">
        <v>1544</v>
      </c>
      <c r="G55" s="13" t="s">
        <v>601</v>
      </c>
    </row>
    <row r="56" ht="15.75" customHeight="1">
      <c r="A56" s="13" t="s">
        <v>358</v>
      </c>
      <c r="B56" s="13" t="s">
        <v>359</v>
      </c>
      <c r="C56" s="14">
        <v>116.0</v>
      </c>
      <c r="D56" s="15" t="s">
        <v>360</v>
      </c>
      <c r="F56" s="13" t="s">
        <v>1545</v>
      </c>
      <c r="G56" s="13" t="s">
        <v>601</v>
      </c>
    </row>
    <row r="57" ht="15.75" customHeight="1">
      <c r="A57" s="13" t="s">
        <v>364</v>
      </c>
      <c r="B57" s="13" t="s">
        <v>365</v>
      </c>
      <c r="C57" s="14">
        <v>117.0</v>
      </c>
      <c r="D57" s="15" t="s">
        <v>366</v>
      </c>
      <c r="F57" s="13" t="s">
        <v>1546</v>
      </c>
      <c r="G57" s="13" t="s">
        <v>601</v>
      </c>
    </row>
    <row r="58" ht="15.75" customHeight="1">
      <c r="A58" s="13" t="s">
        <v>1547</v>
      </c>
      <c r="B58" s="13" t="s">
        <v>369</v>
      </c>
      <c r="C58" s="14">
        <v>118.0</v>
      </c>
      <c r="D58" s="15" t="s">
        <v>370</v>
      </c>
      <c r="F58" s="13" t="s">
        <v>1548</v>
      </c>
      <c r="G58" s="13" t="s">
        <v>601</v>
      </c>
    </row>
    <row r="59" ht="15.75" customHeight="1">
      <c r="A59" s="13" t="s">
        <v>378</v>
      </c>
      <c r="B59" s="13" t="s">
        <v>379</v>
      </c>
      <c r="C59" s="14">
        <v>120.0</v>
      </c>
      <c r="D59" s="15" t="s">
        <v>380</v>
      </c>
      <c r="F59" s="13" t="s">
        <v>1549</v>
      </c>
      <c r="G59" s="13" t="s">
        <v>601</v>
      </c>
    </row>
    <row r="60" ht="15.75" customHeight="1">
      <c r="A60" s="13" t="s">
        <v>383</v>
      </c>
      <c r="B60" s="13" t="s">
        <v>384</v>
      </c>
      <c r="C60" s="14">
        <v>121.0</v>
      </c>
      <c r="D60" s="15" t="s">
        <v>385</v>
      </c>
      <c r="F60" s="13" t="s">
        <v>1550</v>
      </c>
      <c r="G60" s="13" t="s">
        <v>601</v>
      </c>
    </row>
    <row r="61" ht="15.75" customHeight="1">
      <c r="A61" s="13" t="s">
        <v>387</v>
      </c>
      <c r="B61" s="13" t="s">
        <v>388</v>
      </c>
      <c r="C61" s="14">
        <v>122.0</v>
      </c>
      <c r="D61" s="53" t="s">
        <v>1551</v>
      </c>
      <c r="E61" s="13" t="s">
        <v>1552</v>
      </c>
      <c r="F61" s="52" t="s">
        <v>1553</v>
      </c>
      <c r="G61" s="13" t="s">
        <v>601</v>
      </c>
    </row>
    <row r="62" ht="15.75" customHeight="1">
      <c r="A62" s="13" t="s">
        <v>411</v>
      </c>
      <c r="B62" s="13" t="s">
        <v>412</v>
      </c>
      <c r="C62" s="14">
        <v>130.0</v>
      </c>
      <c r="D62" s="15" t="s">
        <v>413</v>
      </c>
      <c r="F62" s="13" t="s">
        <v>1554</v>
      </c>
      <c r="G62" s="13" t="s">
        <v>601</v>
      </c>
    </row>
    <row r="63" ht="15.75" customHeight="1">
      <c r="A63" s="13" t="s">
        <v>421</v>
      </c>
      <c r="B63" s="13" t="s">
        <v>422</v>
      </c>
      <c r="C63" s="14">
        <v>132.0</v>
      </c>
      <c r="D63" s="15" t="s">
        <v>423</v>
      </c>
      <c r="F63" s="13" t="s">
        <v>1555</v>
      </c>
      <c r="G63" s="13" t="s">
        <v>601</v>
      </c>
    </row>
    <row r="64" ht="15.75" customHeight="1">
      <c r="A64" s="13" t="s">
        <v>450</v>
      </c>
      <c r="B64" s="13" t="s">
        <v>451</v>
      </c>
      <c r="C64" s="14">
        <v>139.0</v>
      </c>
      <c r="D64" s="15" t="s">
        <v>452</v>
      </c>
      <c r="F64" s="13" t="s">
        <v>1556</v>
      </c>
      <c r="G64" s="13" t="s">
        <v>601</v>
      </c>
    </row>
    <row r="65" ht="15.75" customHeight="1">
      <c r="A65" s="13" t="s">
        <v>1557</v>
      </c>
      <c r="B65" s="13" t="s">
        <v>462</v>
      </c>
      <c r="C65" s="14">
        <v>143.0</v>
      </c>
      <c r="D65" s="15" t="s">
        <v>463</v>
      </c>
      <c r="F65" s="13" t="s">
        <v>1558</v>
      </c>
      <c r="G65" s="13" t="s">
        <v>601</v>
      </c>
    </row>
    <row r="66" ht="15.75" customHeight="1">
      <c r="A66" s="13" t="s">
        <v>470</v>
      </c>
      <c r="B66" s="13" t="s">
        <v>471</v>
      </c>
      <c r="C66" s="14">
        <v>145.0</v>
      </c>
      <c r="D66" s="15" t="s">
        <v>472</v>
      </c>
      <c r="F66" s="13" t="s">
        <v>1559</v>
      </c>
      <c r="G66" s="13" t="s">
        <v>601</v>
      </c>
    </row>
    <row r="67" ht="15.75" customHeight="1">
      <c r="A67" s="13" t="s">
        <v>481</v>
      </c>
      <c r="B67" s="13" t="s">
        <v>482</v>
      </c>
      <c r="C67" s="14">
        <v>147.0</v>
      </c>
      <c r="D67" s="15" t="s">
        <v>483</v>
      </c>
      <c r="F67" s="13" t="s">
        <v>1560</v>
      </c>
      <c r="G67" s="13" t="s">
        <v>601</v>
      </c>
    </row>
    <row r="68" ht="15.75" customHeight="1">
      <c r="A68" s="13" t="s">
        <v>1561</v>
      </c>
      <c r="B68" s="13" t="s">
        <v>486</v>
      </c>
      <c r="C68" s="14">
        <v>148.0</v>
      </c>
      <c r="D68" s="15" t="s">
        <v>487</v>
      </c>
      <c r="F68" s="13" t="s">
        <v>1562</v>
      </c>
      <c r="G68" s="13" t="s">
        <v>601</v>
      </c>
    </row>
    <row r="69" ht="15.75" customHeight="1">
      <c r="A69" s="13" t="s">
        <v>490</v>
      </c>
      <c r="B69" s="13" t="s">
        <v>491</v>
      </c>
      <c r="C69" s="14">
        <v>149.0</v>
      </c>
      <c r="D69" s="15" t="s">
        <v>492</v>
      </c>
      <c r="F69" s="13" t="s">
        <v>1563</v>
      </c>
      <c r="G69" s="13" t="s">
        <v>601</v>
      </c>
    </row>
    <row r="70" ht="15.75" customHeight="1">
      <c r="A70" s="13" t="s">
        <v>1564</v>
      </c>
      <c r="B70" s="13" t="s">
        <v>496</v>
      </c>
      <c r="C70" s="14">
        <v>150.0</v>
      </c>
      <c r="D70" s="15" t="s">
        <v>497</v>
      </c>
      <c r="F70" s="13" t="s">
        <v>1565</v>
      </c>
      <c r="G70" s="13" t="s">
        <v>601</v>
      </c>
    </row>
    <row r="71" ht="15.75" customHeight="1">
      <c r="A71" s="13" t="s">
        <v>501</v>
      </c>
      <c r="B71" s="13" t="s">
        <v>502</v>
      </c>
      <c r="C71" s="14">
        <v>151.0</v>
      </c>
      <c r="D71" s="15" t="s">
        <v>503</v>
      </c>
      <c r="F71" s="13" t="s">
        <v>1566</v>
      </c>
      <c r="G71" s="13" t="s">
        <v>601</v>
      </c>
    </row>
    <row r="72" ht="15.75" customHeight="1">
      <c r="A72" s="13" t="s">
        <v>510</v>
      </c>
      <c r="B72" s="13" t="s">
        <v>511</v>
      </c>
      <c r="C72" s="14">
        <v>153.0</v>
      </c>
      <c r="D72" s="15" t="s">
        <v>512</v>
      </c>
      <c r="F72" s="13" t="s">
        <v>1567</v>
      </c>
      <c r="G72" s="13" t="s">
        <v>601</v>
      </c>
    </row>
    <row r="73" ht="15.75" customHeight="1">
      <c r="A73" s="13" t="s">
        <v>521</v>
      </c>
      <c r="B73" s="13" t="s">
        <v>522</v>
      </c>
      <c r="C73" s="14">
        <v>158.0</v>
      </c>
      <c r="D73" s="15" t="s">
        <v>523</v>
      </c>
      <c r="F73" s="13" t="s">
        <v>1568</v>
      </c>
      <c r="G73" s="13" t="s">
        <v>601</v>
      </c>
    </row>
    <row r="74" ht="15.75" customHeight="1">
      <c r="A74" s="13" t="s">
        <v>1569</v>
      </c>
      <c r="B74" s="13" t="s">
        <v>1570</v>
      </c>
      <c r="C74" s="18">
        <v>112.0</v>
      </c>
      <c r="D74" s="15" t="s">
        <v>1571</v>
      </c>
      <c r="F74" s="13" t="s">
        <v>1572</v>
      </c>
      <c r="G74" s="13" t="s">
        <v>601</v>
      </c>
    </row>
    <row r="75" ht="15.75" customHeight="1">
      <c r="A75" s="13" t="s">
        <v>1573</v>
      </c>
      <c r="B75" s="13" t="s">
        <v>1574</v>
      </c>
      <c r="C75" s="14">
        <v>126.0</v>
      </c>
      <c r="D75" s="15" t="s">
        <v>1575</v>
      </c>
      <c r="F75" s="13" t="s">
        <v>1576</v>
      </c>
      <c r="G75" s="13" t="s">
        <v>601</v>
      </c>
    </row>
    <row r="76" ht="15.75" customHeight="1">
      <c r="A76" s="13" t="s">
        <v>1577</v>
      </c>
      <c r="B76" s="13" t="s">
        <v>1578</v>
      </c>
      <c r="C76" s="14">
        <v>127.0</v>
      </c>
      <c r="D76" s="15" t="s">
        <v>1579</v>
      </c>
      <c r="F76" s="13" t="s">
        <v>1580</v>
      </c>
      <c r="G76" s="13" t="s">
        <v>601</v>
      </c>
    </row>
    <row r="77" ht="15.75" customHeight="1">
      <c r="A77" s="13" t="s">
        <v>718</v>
      </c>
      <c r="B77" s="13" t="s">
        <v>1581</v>
      </c>
      <c r="C77" s="14">
        <v>136.0</v>
      </c>
      <c r="D77" s="15" t="s">
        <v>1582</v>
      </c>
      <c r="F77" s="13" t="s">
        <v>1583</v>
      </c>
      <c r="G77" s="13" t="s">
        <v>601</v>
      </c>
    </row>
    <row r="78" ht="15.75" customHeight="1">
      <c r="A78" s="13" t="s">
        <v>1584</v>
      </c>
      <c r="B78" s="13" t="s">
        <v>1585</v>
      </c>
      <c r="C78" s="14">
        <v>140.0</v>
      </c>
      <c r="D78" s="15" t="s">
        <v>1586</v>
      </c>
      <c r="F78" s="13" t="s">
        <v>1587</v>
      </c>
      <c r="G78" s="13" t="s">
        <v>601</v>
      </c>
    </row>
    <row r="79" ht="15.75" customHeight="1">
      <c r="A79" s="13" t="s">
        <v>554</v>
      </c>
      <c r="B79" s="13" t="s">
        <v>1588</v>
      </c>
      <c r="C79" s="14">
        <v>156.0</v>
      </c>
      <c r="D79" s="15" t="s">
        <v>1589</v>
      </c>
      <c r="F79" s="13" t="s">
        <v>1590</v>
      </c>
      <c r="G79" s="13" t="s">
        <v>601</v>
      </c>
    </row>
    <row r="80" ht="15.75" customHeight="1">
      <c r="A80" s="13" t="s">
        <v>1591</v>
      </c>
      <c r="B80" s="13" t="s">
        <v>1592</v>
      </c>
      <c r="C80" s="14">
        <v>99.0</v>
      </c>
      <c r="D80" s="15" t="s">
        <v>1593</v>
      </c>
      <c r="F80" s="13" t="s">
        <v>1594</v>
      </c>
      <c r="G80" s="13" t="s">
        <v>601</v>
      </c>
    </row>
    <row r="81" ht="15.75" customHeight="1"/>
    <row r="82" ht="15.75" customHeight="1"/>
    <row r="83" ht="15.75" customHeight="1">
      <c r="A83" s="54"/>
    </row>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80">
    <sortState ref="A1:G80">
      <sortCondition ref="G1:G80"/>
    </sortState>
  </autoFilter>
  <hyperlinks>
    <hyperlink r:id="rId1" ref="D2"/>
    <hyperlink r:id="rId2" ref="D3"/>
    <hyperlink r:id="rId3" ref="D4"/>
    <hyperlink r:id="rId4" ref="D5"/>
    <hyperlink r:id="rId5" ref="D6"/>
    <hyperlink r:id="rId6" ref="D8"/>
    <hyperlink r:id="rId7" ref="D9"/>
    <hyperlink r:id="rId8" ref="D10"/>
    <hyperlink r:id="rId9" ref="D11"/>
    <hyperlink r:id="rId10" ref="D12"/>
    <hyperlink r:id="rId11" ref="D13"/>
    <hyperlink r:id="rId12" ref="D14"/>
    <hyperlink r:id="rId13" ref="D15"/>
    <hyperlink r:id="rId14" ref="D18"/>
    <hyperlink r:id="rId15" ref="D20"/>
    <hyperlink r:id="rId16" ref="D21"/>
    <hyperlink r:id="rId17" ref="D22"/>
    <hyperlink r:id="rId18" ref="D23"/>
    <hyperlink r:id="rId19" ref="D25"/>
    <hyperlink r:id="rId20" ref="D26"/>
    <hyperlink r:id="rId21" ref="D27"/>
    <hyperlink r:id="rId22" ref="D28"/>
    <hyperlink r:id="rId23" ref="D29"/>
    <hyperlink r:id="rId24" ref="D30"/>
    <hyperlink r:id="rId25" ref="D31"/>
    <hyperlink r:id="rId26" ref="D32"/>
    <hyperlink r:id="rId27" ref="D33"/>
    <hyperlink r:id="rId28" ref="D34"/>
    <hyperlink r:id="rId29" ref="D35"/>
    <hyperlink r:id="rId30" ref="D36"/>
    <hyperlink r:id="rId31" ref="D37"/>
    <hyperlink r:id="rId32" ref="D38"/>
    <hyperlink r:id="rId33" ref="D39"/>
    <hyperlink r:id="rId34" ref="D40"/>
    <hyperlink r:id="rId35" ref="D41"/>
    <hyperlink r:id="rId36" ref="D42"/>
    <hyperlink r:id="rId37" ref="D43"/>
    <hyperlink r:id="rId38" ref="D44"/>
    <hyperlink r:id="rId39" ref="D45"/>
    <hyperlink r:id="rId40" ref="D46"/>
    <hyperlink r:id="rId41" ref="D47"/>
    <hyperlink r:id="rId42" ref="D48"/>
    <hyperlink r:id="rId43" ref="D49"/>
    <hyperlink r:id="rId44" ref="D50"/>
    <hyperlink r:id="rId45" ref="D51"/>
    <hyperlink r:id="rId46" ref="D52"/>
    <hyperlink r:id="rId47" ref="D53"/>
    <hyperlink r:id="rId48" ref="D54"/>
    <hyperlink r:id="rId49" ref="D55"/>
    <hyperlink r:id="rId50" ref="D56"/>
    <hyperlink r:id="rId51" ref="D57"/>
    <hyperlink r:id="rId52" ref="D58"/>
    <hyperlink r:id="rId53" ref="D59"/>
    <hyperlink r:id="rId54" ref="D60"/>
    <hyperlink r:id="rId55" ref="D61"/>
    <hyperlink r:id="rId56" ref="D62"/>
    <hyperlink r:id="rId57" ref="D63"/>
    <hyperlink r:id="rId58" ref="D64"/>
    <hyperlink r:id="rId59" ref="D65"/>
    <hyperlink r:id="rId60" ref="D66"/>
    <hyperlink r:id="rId61" ref="D67"/>
    <hyperlink r:id="rId62" ref="D68"/>
    <hyperlink r:id="rId63" ref="D69"/>
    <hyperlink r:id="rId64" ref="D70"/>
    <hyperlink r:id="rId65" ref="D71"/>
    <hyperlink r:id="rId66" ref="D72"/>
    <hyperlink r:id="rId67" ref="D73"/>
    <hyperlink r:id="rId68" ref="D74"/>
    <hyperlink r:id="rId69" ref="D75"/>
    <hyperlink r:id="rId70" ref="D76"/>
    <hyperlink r:id="rId71" ref="D77"/>
    <hyperlink r:id="rId72" ref="D78"/>
    <hyperlink r:id="rId73" ref="D79"/>
    <hyperlink r:id="rId74" ref="D80"/>
  </hyperlinks>
  <drawing r:id="rId7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2.25"/>
    <col customWidth="1" min="2" max="2" width="42.0"/>
  </cols>
  <sheetData>
    <row r="1">
      <c r="A1" s="55" t="s">
        <v>571</v>
      </c>
      <c r="B1" s="55" t="s">
        <v>21</v>
      </c>
      <c r="C1" s="55" t="s">
        <v>29</v>
      </c>
      <c r="D1" s="55" t="s">
        <v>1595</v>
      </c>
      <c r="E1" s="55" t="s">
        <v>575</v>
      </c>
      <c r="F1" s="55" t="s">
        <v>25</v>
      </c>
    </row>
    <row r="2">
      <c r="A2" s="56" t="s">
        <v>1510</v>
      </c>
      <c r="B2" s="56" t="s">
        <v>1511</v>
      </c>
      <c r="C2" s="56" t="s">
        <v>608</v>
      </c>
      <c r="D2" s="56" t="s">
        <v>1596</v>
      </c>
      <c r="E2" s="56" t="s">
        <v>1597</v>
      </c>
      <c r="F2" s="56" t="s">
        <v>626</v>
      </c>
    </row>
    <row r="3">
      <c r="A3" s="56" t="s">
        <v>98</v>
      </c>
      <c r="B3" s="56" t="s">
        <v>1476</v>
      </c>
      <c r="C3" s="56" t="s">
        <v>608</v>
      </c>
      <c r="D3" s="56" t="s">
        <v>1598</v>
      </c>
      <c r="E3" s="56" t="s">
        <v>1599</v>
      </c>
      <c r="F3" s="56" t="s">
        <v>1600</v>
      </c>
    </row>
    <row r="4">
      <c r="A4" s="56" t="s">
        <v>106</v>
      </c>
      <c r="B4" s="56" t="s">
        <v>1512</v>
      </c>
      <c r="C4" s="56" t="s">
        <v>608</v>
      </c>
      <c r="D4" s="56" t="s">
        <v>712</v>
      </c>
      <c r="E4" s="56" t="s">
        <v>713</v>
      </c>
      <c r="F4" s="56" t="s">
        <v>626</v>
      </c>
    </row>
    <row r="5">
      <c r="A5" s="56" t="s">
        <v>112</v>
      </c>
      <c r="B5" s="56" t="s">
        <v>1513</v>
      </c>
      <c r="C5" s="56" t="s">
        <v>608</v>
      </c>
      <c r="D5" s="56" t="s">
        <v>751</v>
      </c>
      <c r="E5" s="56" t="s">
        <v>752</v>
      </c>
      <c r="F5" s="56" t="s">
        <v>753</v>
      </c>
    </row>
    <row r="6">
      <c r="A6" s="56" t="s">
        <v>46</v>
      </c>
      <c r="B6" s="56" t="s">
        <v>1475</v>
      </c>
      <c r="C6" s="56" t="s">
        <v>608</v>
      </c>
      <c r="D6" s="56" t="s">
        <v>1601</v>
      </c>
      <c r="E6" s="56" t="s">
        <v>1602</v>
      </c>
      <c r="F6" s="56" t="s">
        <v>611</v>
      </c>
    </row>
    <row r="7">
      <c r="A7" s="56" t="s">
        <v>116</v>
      </c>
      <c r="B7" s="56"/>
      <c r="C7" s="56" t="s">
        <v>1603</v>
      </c>
      <c r="D7" s="56" t="s">
        <v>1604</v>
      </c>
      <c r="E7" s="56" t="s">
        <v>1605</v>
      </c>
      <c r="F7" s="56" t="s">
        <v>1606</v>
      </c>
    </row>
    <row r="8">
      <c r="A8" s="57" t="s">
        <v>1477</v>
      </c>
      <c r="B8" s="56" t="s">
        <v>1478</v>
      </c>
      <c r="C8" s="56" t="s">
        <v>593</v>
      </c>
      <c r="D8" s="56" t="s">
        <v>1607</v>
      </c>
      <c r="E8" s="56" t="s">
        <v>1608</v>
      </c>
      <c r="F8" s="56" t="s">
        <v>607</v>
      </c>
    </row>
    <row r="9">
      <c r="A9" s="56" t="s">
        <v>129</v>
      </c>
      <c r="B9" s="56"/>
      <c r="C9" s="56" t="s">
        <v>593</v>
      </c>
      <c r="D9" s="56" t="s">
        <v>1609</v>
      </c>
      <c r="E9" s="56" t="s">
        <v>1610</v>
      </c>
      <c r="F9" s="56" t="s">
        <v>1611</v>
      </c>
    </row>
    <row r="10">
      <c r="A10" s="56" t="s">
        <v>53</v>
      </c>
      <c r="B10" s="56" t="s">
        <v>1504</v>
      </c>
      <c r="C10" s="56" t="s">
        <v>608</v>
      </c>
      <c r="D10" s="56" t="s">
        <v>751</v>
      </c>
      <c r="E10" s="56" t="s">
        <v>752</v>
      </c>
      <c r="F10" s="56" t="s">
        <v>753</v>
      </c>
    </row>
    <row r="11">
      <c r="A11" s="56" t="s">
        <v>134</v>
      </c>
      <c r="B11" s="56" t="s">
        <v>1514</v>
      </c>
      <c r="C11" s="56" t="s">
        <v>1612</v>
      </c>
      <c r="D11" s="56" t="s">
        <v>1613</v>
      </c>
      <c r="E11" s="56" t="s">
        <v>1614</v>
      </c>
      <c r="F11" s="56" t="s">
        <v>1615</v>
      </c>
    </row>
    <row r="12">
      <c r="A12" s="56" t="s">
        <v>139</v>
      </c>
      <c r="B12" s="56" t="s">
        <v>1515</v>
      </c>
      <c r="C12" s="56" t="s">
        <v>608</v>
      </c>
      <c r="D12" s="56" t="s">
        <v>1616</v>
      </c>
      <c r="E12" s="56" t="s">
        <v>1617</v>
      </c>
      <c r="F12" s="56" t="s">
        <v>1618</v>
      </c>
    </row>
    <row r="13">
      <c r="A13" s="56" t="s">
        <v>145</v>
      </c>
      <c r="B13" s="56" t="s">
        <v>1516</v>
      </c>
      <c r="C13" s="56" t="s">
        <v>608</v>
      </c>
      <c r="D13" s="56" t="s">
        <v>1619</v>
      </c>
      <c r="E13" s="56" t="s">
        <v>1620</v>
      </c>
      <c r="F13" s="56" t="s">
        <v>1621</v>
      </c>
    </row>
    <row r="14">
      <c r="A14" s="56" t="s">
        <v>61</v>
      </c>
      <c r="B14" s="56" t="s">
        <v>1505</v>
      </c>
      <c r="C14" s="56" t="s">
        <v>608</v>
      </c>
      <c r="D14" s="56" t="s">
        <v>1622</v>
      </c>
      <c r="E14" s="56" t="s">
        <v>1623</v>
      </c>
      <c r="F14" s="56" t="s">
        <v>626</v>
      </c>
    </row>
    <row r="15">
      <c r="A15" s="56" t="s">
        <v>149</v>
      </c>
      <c r="B15" s="56" t="s">
        <v>1479</v>
      </c>
      <c r="C15" s="56" t="s">
        <v>593</v>
      </c>
      <c r="D15" s="56" t="s">
        <v>949</v>
      </c>
      <c r="E15" s="56" t="s">
        <v>950</v>
      </c>
      <c r="F15" s="56" t="s">
        <v>607</v>
      </c>
    </row>
    <row r="16">
      <c r="A16" s="56" t="s">
        <v>154</v>
      </c>
      <c r="B16" s="56"/>
      <c r="C16" s="56" t="s">
        <v>1603</v>
      </c>
      <c r="D16" s="56" t="s">
        <v>1624</v>
      </c>
      <c r="E16" s="56" t="s">
        <v>1625</v>
      </c>
      <c r="F16" s="56" t="s">
        <v>1626</v>
      </c>
    </row>
    <row r="17">
      <c r="A17" s="57" t="s">
        <v>1517</v>
      </c>
      <c r="B17" s="56" t="s">
        <v>1518</v>
      </c>
      <c r="C17" s="56" t="s">
        <v>608</v>
      </c>
      <c r="D17" s="56" t="s">
        <v>1627</v>
      </c>
      <c r="E17" s="56" t="s">
        <v>1628</v>
      </c>
      <c r="F17" s="56" t="s">
        <v>1629</v>
      </c>
    </row>
    <row r="18">
      <c r="A18" s="56" t="s">
        <v>165</v>
      </c>
      <c r="B18" s="56" t="s">
        <v>1480</v>
      </c>
      <c r="C18" s="56" t="s">
        <v>608</v>
      </c>
      <c r="D18" s="56" t="s">
        <v>1630</v>
      </c>
      <c r="E18" s="56" t="s">
        <v>1631</v>
      </c>
      <c r="F18" s="56" t="s">
        <v>1632</v>
      </c>
    </row>
    <row r="19">
      <c r="A19" s="56" t="s">
        <v>171</v>
      </c>
      <c r="B19" s="56"/>
      <c r="C19" s="56" t="s">
        <v>608</v>
      </c>
      <c r="D19" s="56" t="s">
        <v>1633</v>
      </c>
      <c r="E19" s="56" t="s">
        <v>1634</v>
      </c>
      <c r="F19" s="56" t="s">
        <v>611</v>
      </c>
    </row>
    <row r="20">
      <c r="A20" s="57" t="s">
        <v>1495</v>
      </c>
      <c r="B20" s="56" t="s">
        <v>1498</v>
      </c>
      <c r="C20" s="56" t="s">
        <v>1603</v>
      </c>
      <c r="D20" s="56" t="s">
        <v>1635</v>
      </c>
      <c r="E20" s="56" t="s">
        <v>1636</v>
      </c>
      <c r="F20" s="56" t="s">
        <v>1637</v>
      </c>
    </row>
    <row r="21">
      <c r="A21" s="56" t="s">
        <v>176</v>
      </c>
      <c r="B21" s="56" t="s">
        <v>1482</v>
      </c>
      <c r="C21" s="56" t="s">
        <v>593</v>
      </c>
      <c r="D21" s="56" t="s">
        <v>1638</v>
      </c>
      <c r="E21" s="56" t="s">
        <v>1639</v>
      </c>
      <c r="F21" s="56" t="s">
        <v>1640</v>
      </c>
    </row>
    <row r="22">
      <c r="A22" s="56" t="s">
        <v>183</v>
      </c>
      <c r="B22" s="56"/>
      <c r="C22" s="56" t="s">
        <v>608</v>
      </c>
      <c r="D22" s="56" t="s">
        <v>1641</v>
      </c>
      <c r="E22" s="56" t="s">
        <v>1642</v>
      </c>
      <c r="F22" s="56" t="s">
        <v>611</v>
      </c>
    </row>
    <row r="23">
      <c r="A23" s="56" t="s">
        <v>189</v>
      </c>
      <c r="B23" s="56" t="s">
        <v>1519</v>
      </c>
      <c r="C23" s="56" t="s">
        <v>608</v>
      </c>
      <c r="D23" s="56" t="s">
        <v>1643</v>
      </c>
      <c r="E23" s="56" t="s">
        <v>1644</v>
      </c>
      <c r="F23" s="56" t="s">
        <v>1645</v>
      </c>
    </row>
    <row r="24">
      <c r="A24" s="56" t="s">
        <v>69</v>
      </c>
      <c r="B24" s="56" t="s">
        <v>1506</v>
      </c>
      <c r="C24" s="56" t="s">
        <v>1603</v>
      </c>
      <c r="D24" s="56" t="s">
        <v>1646</v>
      </c>
      <c r="E24" s="56" t="s">
        <v>1647</v>
      </c>
      <c r="F24" s="56" t="s">
        <v>1648</v>
      </c>
    </row>
    <row r="25">
      <c r="A25" s="56" t="s">
        <v>195</v>
      </c>
      <c r="B25" s="56"/>
      <c r="C25" s="56" t="s">
        <v>608</v>
      </c>
      <c r="D25" s="56" t="s">
        <v>1649</v>
      </c>
      <c r="E25" s="56" t="s">
        <v>1650</v>
      </c>
      <c r="F25" s="56" t="s">
        <v>611</v>
      </c>
    </row>
    <row r="26">
      <c r="A26" s="56" t="s">
        <v>197</v>
      </c>
      <c r="B26" s="56" t="s">
        <v>1520</v>
      </c>
      <c r="C26" s="56" t="s">
        <v>608</v>
      </c>
      <c r="D26" s="56" t="s">
        <v>1651</v>
      </c>
      <c r="E26" s="56" t="s">
        <v>1652</v>
      </c>
      <c r="F26" s="56" t="s">
        <v>626</v>
      </c>
    </row>
    <row r="27">
      <c r="A27" s="56" t="s">
        <v>202</v>
      </c>
      <c r="B27" s="56"/>
      <c r="C27" s="56" t="s">
        <v>608</v>
      </c>
      <c r="D27" s="56" t="s">
        <v>1653</v>
      </c>
      <c r="E27" s="56" t="s">
        <v>1654</v>
      </c>
      <c r="F27" s="56" t="s">
        <v>1655</v>
      </c>
    </row>
    <row r="28">
      <c r="A28" s="56" t="s">
        <v>207</v>
      </c>
      <c r="B28" s="56" t="s">
        <v>1520</v>
      </c>
      <c r="C28" s="56" t="s">
        <v>608</v>
      </c>
      <c r="D28" s="56" t="s">
        <v>1058</v>
      </c>
      <c r="E28" s="56" t="s">
        <v>1059</v>
      </c>
      <c r="F28" s="56" t="s">
        <v>626</v>
      </c>
    </row>
    <row r="29">
      <c r="A29" s="56" t="s">
        <v>211</v>
      </c>
      <c r="B29" s="56" t="s">
        <v>1521</v>
      </c>
      <c r="C29" s="56" t="s">
        <v>608</v>
      </c>
      <c r="D29" s="56" t="s">
        <v>1656</v>
      </c>
      <c r="E29" s="56" t="s">
        <v>1657</v>
      </c>
      <c r="F29" s="56" t="s">
        <v>1658</v>
      </c>
    </row>
    <row r="30">
      <c r="A30" s="56" t="s">
        <v>215</v>
      </c>
      <c r="B30" s="56" t="s">
        <v>1522</v>
      </c>
      <c r="C30" s="56" t="s">
        <v>608</v>
      </c>
      <c r="D30" s="56" t="s">
        <v>1659</v>
      </c>
      <c r="E30" s="56" t="s">
        <v>1660</v>
      </c>
      <c r="F30" s="56" t="s">
        <v>1661</v>
      </c>
    </row>
    <row r="31">
      <c r="A31" s="57" t="s">
        <v>1523</v>
      </c>
      <c r="B31" s="56" t="s">
        <v>1524</v>
      </c>
      <c r="C31" s="56" t="s">
        <v>1603</v>
      </c>
      <c r="D31" s="56" t="s">
        <v>1662</v>
      </c>
      <c r="E31" s="56" t="s">
        <v>1663</v>
      </c>
      <c r="F31" s="56" t="s">
        <v>1664</v>
      </c>
    </row>
    <row r="32">
      <c r="A32" s="56" t="s">
        <v>226</v>
      </c>
      <c r="B32" s="56"/>
      <c r="C32" s="56" t="s">
        <v>1603</v>
      </c>
      <c r="D32" s="56" t="s">
        <v>1665</v>
      </c>
      <c r="E32" s="56" t="s">
        <v>1666</v>
      </c>
      <c r="F32" s="56" t="s">
        <v>1667</v>
      </c>
    </row>
    <row r="33">
      <c r="A33" s="56" t="s">
        <v>231</v>
      </c>
      <c r="B33" s="56"/>
      <c r="C33" s="56" t="s">
        <v>608</v>
      </c>
      <c r="D33" s="56" t="s">
        <v>935</v>
      </c>
      <c r="E33" s="56" t="s">
        <v>1143</v>
      </c>
      <c r="F33" s="56" t="s">
        <v>626</v>
      </c>
    </row>
    <row r="34">
      <c r="A34" s="56" t="s">
        <v>236</v>
      </c>
      <c r="B34" s="56" t="s">
        <v>1525</v>
      </c>
      <c r="C34" s="56" t="s">
        <v>608</v>
      </c>
      <c r="D34" s="56" t="s">
        <v>751</v>
      </c>
      <c r="E34" s="56" t="s">
        <v>752</v>
      </c>
      <c r="F34" s="56" t="s">
        <v>753</v>
      </c>
    </row>
    <row r="35">
      <c r="A35" s="56" t="s">
        <v>240</v>
      </c>
      <c r="B35" s="56" t="s">
        <v>1526</v>
      </c>
      <c r="C35" s="56" t="s">
        <v>608</v>
      </c>
      <c r="D35" s="56" t="s">
        <v>751</v>
      </c>
      <c r="E35" s="56" t="s">
        <v>752</v>
      </c>
      <c r="F35" s="56" t="s">
        <v>753</v>
      </c>
    </row>
    <row r="36">
      <c r="A36" s="56" t="s">
        <v>244</v>
      </c>
      <c r="B36" s="56"/>
      <c r="C36" s="56" t="s">
        <v>608</v>
      </c>
      <c r="D36" s="56" t="s">
        <v>1668</v>
      </c>
      <c r="E36" s="56" t="s">
        <v>1669</v>
      </c>
      <c r="F36" s="56" t="s">
        <v>626</v>
      </c>
    </row>
    <row r="37">
      <c r="A37" s="56" t="s">
        <v>250</v>
      </c>
      <c r="B37" s="56"/>
      <c r="C37" s="56" t="s">
        <v>608</v>
      </c>
      <c r="D37" s="56" t="s">
        <v>860</v>
      </c>
      <c r="E37" s="56" t="s">
        <v>861</v>
      </c>
      <c r="F37" s="56" t="s">
        <v>638</v>
      </c>
    </row>
    <row r="38">
      <c r="A38" s="56" t="s">
        <v>254</v>
      </c>
      <c r="B38" s="56"/>
      <c r="C38" s="56" t="s">
        <v>608</v>
      </c>
      <c r="D38" s="56" t="s">
        <v>1670</v>
      </c>
      <c r="E38" s="56" t="s">
        <v>1671</v>
      </c>
      <c r="F38" s="56" t="s">
        <v>1672</v>
      </c>
    </row>
    <row r="39">
      <c r="A39" s="56" t="s">
        <v>77</v>
      </c>
      <c r="B39" s="56" t="s">
        <v>1482</v>
      </c>
      <c r="C39" s="56" t="s">
        <v>608</v>
      </c>
      <c r="D39" s="56" t="s">
        <v>1673</v>
      </c>
      <c r="E39" s="56" t="s">
        <v>1674</v>
      </c>
      <c r="F39" s="56" t="s">
        <v>1675</v>
      </c>
    </row>
    <row r="40">
      <c r="A40" s="56" t="s">
        <v>258</v>
      </c>
      <c r="B40" s="56" t="s">
        <v>1527</v>
      </c>
      <c r="C40" s="56" t="s">
        <v>608</v>
      </c>
      <c r="D40" s="56" t="s">
        <v>751</v>
      </c>
      <c r="E40" s="56" t="s">
        <v>752</v>
      </c>
      <c r="F40" s="56" t="s">
        <v>753</v>
      </c>
    </row>
    <row r="41">
      <c r="A41" s="56" t="s">
        <v>262</v>
      </c>
      <c r="B41" s="56" t="s">
        <v>1528</v>
      </c>
      <c r="C41" s="56" t="s">
        <v>608</v>
      </c>
      <c r="D41" s="56" t="s">
        <v>1184</v>
      </c>
      <c r="E41" s="56" t="s">
        <v>1185</v>
      </c>
      <c r="F41" s="56" t="s">
        <v>611</v>
      </c>
    </row>
    <row r="42">
      <c r="A42" s="56" t="s">
        <v>266</v>
      </c>
      <c r="B42" s="56"/>
      <c r="C42" s="56" t="s">
        <v>608</v>
      </c>
      <c r="D42" s="56" t="s">
        <v>1676</v>
      </c>
      <c r="E42" s="56" t="s">
        <v>1677</v>
      </c>
      <c r="F42" s="56" t="s">
        <v>626</v>
      </c>
    </row>
    <row r="43">
      <c r="A43" s="56" t="s">
        <v>270</v>
      </c>
      <c r="B43" s="56" t="s">
        <v>1529</v>
      </c>
      <c r="C43" s="56" t="s">
        <v>608</v>
      </c>
      <c r="D43" s="56" t="s">
        <v>1678</v>
      </c>
      <c r="E43" s="56" t="s">
        <v>1679</v>
      </c>
      <c r="F43" s="56" t="s">
        <v>1680</v>
      </c>
    </row>
    <row r="44">
      <c r="A44" s="56" t="s">
        <v>277</v>
      </c>
      <c r="B44" s="56"/>
      <c r="C44" s="56" t="s">
        <v>608</v>
      </c>
      <c r="D44" s="56" t="s">
        <v>1681</v>
      </c>
      <c r="E44" s="56" t="s">
        <v>1682</v>
      </c>
      <c r="F44" s="56" t="s">
        <v>1683</v>
      </c>
    </row>
    <row r="45">
      <c r="A45" s="56" t="s">
        <v>283</v>
      </c>
      <c r="B45" s="56" t="s">
        <v>1532</v>
      </c>
      <c r="C45" s="56" t="s">
        <v>608</v>
      </c>
      <c r="D45" s="56" t="s">
        <v>751</v>
      </c>
      <c r="E45" s="56" t="s">
        <v>752</v>
      </c>
      <c r="F45" s="56" t="s">
        <v>753</v>
      </c>
    </row>
    <row r="46">
      <c r="A46" s="56" t="s">
        <v>1591</v>
      </c>
      <c r="B46" s="56" t="s">
        <v>1594</v>
      </c>
      <c r="C46" s="56" t="s">
        <v>608</v>
      </c>
      <c r="D46" s="56" t="s">
        <v>1684</v>
      </c>
      <c r="E46" s="56" t="s">
        <v>1685</v>
      </c>
      <c r="F46" s="56" t="s">
        <v>1686</v>
      </c>
    </row>
    <row r="47">
      <c r="A47" s="56" t="s">
        <v>291</v>
      </c>
      <c r="B47" s="56" t="s">
        <v>1533</v>
      </c>
      <c r="C47" s="56" t="s">
        <v>608</v>
      </c>
      <c r="D47" s="56" t="s">
        <v>1687</v>
      </c>
      <c r="E47" s="56" t="s">
        <v>1688</v>
      </c>
      <c r="F47" s="56" t="s">
        <v>1689</v>
      </c>
    </row>
    <row r="48">
      <c r="A48" s="57" t="s">
        <v>1483</v>
      </c>
      <c r="B48" s="56" t="s">
        <v>1484</v>
      </c>
      <c r="C48" s="56" t="s">
        <v>608</v>
      </c>
      <c r="D48" s="56" t="s">
        <v>1690</v>
      </c>
      <c r="E48" s="56" t="s">
        <v>1691</v>
      </c>
      <c r="F48" s="56" t="s">
        <v>626</v>
      </c>
    </row>
    <row r="49">
      <c r="A49" s="57" t="s">
        <v>1485</v>
      </c>
      <c r="B49" s="56" t="s">
        <v>1486</v>
      </c>
      <c r="C49" s="56" t="s">
        <v>608</v>
      </c>
      <c r="D49" s="56" t="s">
        <v>1692</v>
      </c>
      <c r="E49" s="56" t="s">
        <v>1693</v>
      </c>
      <c r="F49" s="56" t="s">
        <v>611</v>
      </c>
    </row>
    <row r="50">
      <c r="A50" s="57" t="s">
        <v>1534</v>
      </c>
      <c r="B50" s="56" t="s">
        <v>1535</v>
      </c>
      <c r="C50" s="56" t="s">
        <v>1603</v>
      </c>
      <c r="D50" s="56" t="s">
        <v>1694</v>
      </c>
      <c r="E50" s="56" t="s">
        <v>1695</v>
      </c>
      <c r="F50" s="56" t="s">
        <v>1696</v>
      </c>
    </row>
    <row r="51">
      <c r="A51" s="56" t="s">
        <v>312</v>
      </c>
      <c r="B51" s="56" t="s">
        <v>1487</v>
      </c>
      <c r="C51" s="56" t="s">
        <v>608</v>
      </c>
      <c r="D51" s="56" t="s">
        <v>1697</v>
      </c>
      <c r="E51" s="56" t="s">
        <v>1698</v>
      </c>
      <c r="F51" s="56" t="s">
        <v>1699</v>
      </c>
    </row>
    <row r="52">
      <c r="A52" s="56" t="s">
        <v>82</v>
      </c>
      <c r="B52" s="56" t="s">
        <v>1508</v>
      </c>
      <c r="C52" s="56" t="s">
        <v>608</v>
      </c>
      <c r="D52" s="56" t="s">
        <v>1692</v>
      </c>
      <c r="E52" s="56" t="s">
        <v>1693</v>
      </c>
      <c r="F52" s="56" t="s">
        <v>611</v>
      </c>
    </row>
    <row r="53">
      <c r="A53" s="57" t="s">
        <v>1536</v>
      </c>
      <c r="B53" s="56" t="s">
        <v>1537</v>
      </c>
      <c r="C53" s="56" t="s">
        <v>608</v>
      </c>
      <c r="D53" s="56" t="s">
        <v>1700</v>
      </c>
      <c r="E53" s="56" t="s">
        <v>1701</v>
      </c>
      <c r="F53" s="56" t="s">
        <v>611</v>
      </c>
    </row>
    <row r="54">
      <c r="A54" s="56" t="s">
        <v>324</v>
      </c>
      <c r="B54" s="56" t="s">
        <v>1538</v>
      </c>
      <c r="C54" s="56" t="s">
        <v>608</v>
      </c>
      <c r="D54" s="56" t="s">
        <v>696</v>
      </c>
      <c r="E54" s="56" t="s">
        <v>697</v>
      </c>
      <c r="F54" s="56" t="s">
        <v>611</v>
      </c>
    </row>
    <row r="55">
      <c r="A55" s="56" t="s">
        <v>333</v>
      </c>
      <c r="B55" s="56" t="s">
        <v>1539</v>
      </c>
      <c r="C55" s="56" t="s">
        <v>608</v>
      </c>
      <c r="D55" s="56" t="s">
        <v>941</v>
      </c>
      <c r="E55" s="56" t="s">
        <v>942</v>
      </c>
      <c r="F55" s="56" t="s">
        <v>611</v>
      </c>
    </row>
    <row r="56">
      <c r="A56" s="56" t="s">
        <v>330</v>
      </c>
      <c r="B56" s="56"/>
      <c r="C56" s="56" t="s">
        <v>608</v>
      </c>
      <c r="D56" s="56" t="s">
        <v>1702</v>
      </c>
      <c r="E56" s="56" t="s">
        <v>1703</v>
      </c>
      <c r="F56" s="56" t="s">
        <v>1704</v>
      </c>
    </row>
    <row r="57">
      <c r="A57" s="56" t="s">
        <v>337</v>
      </c>
      <c r="B57" s="56" t="s">
        <v>1540</v>
      </c>
      <c r="C57" s="56" t="s">
        <v>608</v>
      </c>
      <c r="D57" s="56" t="s">
        <v>1705</v>
      </c>
      <c r="E57" s="56" t="s">
        <v>1706</v>
      </c>
      <c r="F57" s="56" t="s">
        <v>1707</v>
      </c>
    </row>
    <row r="58">
      <c r="A58" s="56" t="s">
        <v>342</v>
      </c>
      <c r="B58" s="56" t="s">
        <v>1541</v>
      </c>
      <c r="C58" s="56" t="s">
        <v>608</v>
      </c>
      <c r="D58" s="56" t="s">
        <v>1255</v>
      </c>
      <c r="E58" s="56" t="s">
        <v>1168</v>
      </c>
      <c r="F58" s="56" t="s">
        <v>753</v>
      </c>
    </row>
    <row r="59">
      <c r="A59" s="57" t="s">
        <v>1569</v>
      </c>
      <c r="B59" s="56" t="s">
        <v>1572</v>
      </c>
      <c r="C59" s="56" t="s">
        <v>608</v>
      </c>
      <c r="D59" s="56" t="s">
        <v>1708</v>
      </c>
      <c r="E59" s="56" t="s">
        <v>1709</v>
      </c>
      <c r="F59" s="56" t="s">
        <v>611</v>
      </c>
    </row>
    <row r="60">
      <c r="A60" s="56" t="s">
        <v>347</v>
      </c>
      <c r="B60" s="56" t="s">
        <v>1542</v>
      </c>
      <c r="C60" s="56" t="s">
        <v>608</v>
      </c>
      <c r="D60" s="56" t="s">
        <v>1710</v>
      </c>
      <c r="E60" s="56" t="s">
        <v>1711</v>
      </c>
      <c r="F60" s="56" t="s">
        <v>626</v>
      </c>
    </row>
    <row r="61">
      <c r="A61" s="57" t="s">
        <v>1543</v>
      </c>
      <c r="B61" s="56" t="s">
        <v>1544</v>
      </c>
      <c r="C61" s="56" t="s">
        <v>593</v>
      </c>
      <c r="D61" s="56" t="s">
        <v>795</v>
      </c>
      <c r="E61" s="56" t="s">
        <v>796</v>
      </c>
      <c r="F61" s="56" t="s">
        <v>797</v>
      </c>
    </row>
    <row r="62">
      <c r="A62" s="56" t="s">
        <v>358</v>
      </c>
      <c r="B62" s="56" t="s">
        <v>1545</v>
      </c>
      <c r="C62" s="56" t="s">
        <v>608</v>
      </c>
      <c r="D62" s="56" t="s">
        <v>1712</v>
      </c>
      <c r="E62" s="56" t="s">
        <v>1713</v>
      </c>
      <c r="F62" s="56" t="s">
        <v>611</v>
      </c>
    </row>
    <row r="63">
      <c r="A63" s="56" t="s">
        <v>364</v>
      </c>
      <c r="B63" s="56" t="s">
        <v>1546</v>
      </c>
      <c r="C63" s="56" t="s">
        <v>608</v>
      </c>
      <c r="D63" s="56" t="s">
        <v>1264</v>
      </c>
      <c r="E63" s="56" t="s">
        <v>1265</v>
      </c>
      <c r="F63" s="56" t="s">
        <v>611</v>
      </c>
    </row>
    <row r="64">
      <c r="A64" s="57" t="s">
        <v>1547</v>
      </c>
      <c r="B64" s="56" t="s">
        <v>1548</v>
      </c>
      <c r="C64" s="56" t="s">
        <v>593</v>
      </c>
      <c r="D64" s="56" t="s">
        <v>1268</v>
      </c>
      <c r="E64" s="56" t="s">
        <v>1269</v>
      </c>
      <c r="F64" s="56" t="s">
        <v>607</v>
      </c>
    </row>
    <row r="65">
      <c r="A65" s="56" t="s">
        <v>373</v>
      </c>
      <c r="B65" s="56"/>
      <c r="C65" s="56" t="s">
        <v>1603</v>
      </c>
      <c r="D65" s="56" t="s">
        <v>1714</v>
      </c>
      <c r="E65" s="56" t="s">
        <v>1715</v>
      </c>
      <c r="F65" s="56" t="s">
        <v>1716</v>
      </c>
    </row>
    <row r="66">
      <c r="A66" s="56" t="s">
        <v>378</v>
      </c>
      <c r="B66" s="56" t="s">
        <v>1549</v>
      </c>
      <c r="C66" s="56" t="s">
        <v>608</v>
      </c>
      <c r="D66" s="56" t="s">
        <v>1717</v>
      </c>
      <c r="E66" s="56" t="s">
        <v>1718</v>
      </c>
      <c r="F66" s="56" t="s">
        <v>1719</v>
      </c>
    </row>
    <row r="67">
      <c r="A67" s="56" t="s">
        <v>383</v>
      </c>
      <c r="B67" s="56" t="s">
        <v>1550</v>
      </c>
      <c r="C67" s="56" t="s">
        <v>608</v>
      </c>
      <c r="D67" s="56" t="s">
        <v>1720</v>
      </c>
      <c r="E67" s="56" t="s">
        <v>1721</v>
      </c>
      <c r="F67" s="56" t="s">
        <v>1722</v>
      </c>
    </row>
    <row r="68">
      <c r="A68" s="57" t="s">
        <v>387</v>
      </c>
      <c r="B68" s="56" t="s">
        <v>1553</v>
      </c>
      <c r="C68" s="56" t="s">
        <v>608</v>
      </c>
      <c r="D68" s="56" t="s">
        <v>1284</v>
      </c>
      <c r="E68" s="56" t="s">
        <v>1285</v>
      </c>
      <c r="F68" s="56" t="s">
        <v>611</v>
      </c>
    </row>
    <row r="69">
      <c r="A69" s="56" t="s">
        <v>391</v>
      </c>
      <c r="B69" s="56"/>
      <c r="C69" s="56" t="s">
        <v>608</v>
      </c>
      <c r="D69" s="56" t="s">
        <v>1723</v>
      </c>
      <c r="E69" s="56" t="s">
        <v>1724</v>
      </c>
      <c r="F69" s="56" t="s">
        <v>1725</v>
      </c>
    </row>
    <row r="70">
      <c r="A70" s="56" t="s">
        <v>395</v>
      </c>
      <c r="B70" s="56"/>
      <c r="C70" s="56" t="s">
        <v>608</v>
      </c>
      <c r="D70" s="56" t="s">
        <v>1726</v>
      </c>
      <c r="E70" s="56" t="s">
        <v>1727</v>
      </c>
      <c r="F70" s="56" t="s">
        <v>1728</v>
      </c>
    </row>
    <row r="71">
      <c r="A71" s="56" t="s">
        <v>400</v>
      </c>
      <c r="B71" s="56"/>
      <c r="C71" s="56" t="s">
        <v>608</v>
      </c>
      <c r="D71" s="56" t="s">
        <v>1729</v>
      </c>
      <c r="E71" s="56" t="s">
        <v>1730</v>
      </c>
      <c r="F71" s="56" t="s">
        <v>1731</v>
      </c>
    </row>
    <row r="72">
      <c r="A72" s="57" t="s">
        <v>1577</v>
      </c>
      <c r="B72" s="56" t="s">
        <v>1580</v>
      </c>
      <c r="C72" s="56" t="s">
        <v>1603</v>
      </c>
      <c r="D72" s="56" t="s">
        <v>1732</v>
      </c>
      <c r="E72" s="56" t="s">
        <v>1733</v>
      </c>
      <c r="F72" s="56" t="s">
        <v>1734</v>
      </c>
    </row>
    <row r="73">
      <c r="A73" s="56" t="s">
        <v>405</v>
      </c>
      <c r="B73" s="56"/>
      <c r="C73" s="56" t="s">
        <v>608</v>
      </c>
      <c r="D73" s="56" t="s">
        <v>1735</v>
      </c>
      <c r="E73" s="56" t="s">
        <v>1736</v>
      </c>
      <c r="F73" s="56" t="s">
        <v>611</v>
      </c>
    </row>
    <row r="74">
      <c r="A74" s="57" t="s">
        <v>411</v>
      </c>
      <c r="B74" s="56" t="s">
        <v>1554</v>
      </c>
      <c r="C74" s="56" t="s">
        <v>1603</v>
      </c>
      <c r="D74" s="56" t="s">
        <v>1737</v>
      </c>
      <c r="E74" s="56" t="s">
        <v>1738</v>
      </c>
      <c r="F74" s="56" t="s">
        <v>1739</v>
      </c>
    </row>
    <row r="75">
      <c r="A75" s="56" t="s">
        <v>417</v>
      </c>
      <c r="B75" s="56"/>
      <c r="C75" s="56" t="s">
        <v>1603</v>
      </c>
      <c r="D75" s="56" t="s">
        <v>1740</v>
      </c>
      <c r="E75" s="56" t="s">
        <v>1741</v>
      </c>
      <c r="F75" s="56" t="s">
        <v>1742</v>
      </c>
    </row>
    <row r="76">
      <c r="A76" s="56" t="s">
        <v>36</v>
      </c>
      <c r="B76" s="56" t="s">
        <v>1502</v>
      </c>
      <c r="C76" s="56" t="s">
        <v>1603</v>
      </c>
      <c r="D76" s="56" t="s">
        <v>1743</v>
      </c>
      <c r="E76" s="56" t="s">
        <v>1744</v>
      </c>
      <c r="F76" s="56" t="s">
        <v>1745</v>
      </c>
    </row>
    <row r="77">
      <c r="A77" s="56" t="s">
        <v>421</v>
      </c>
      <c r="B77" s="56" t="s">
        <v>1555</v>
      </c>
      <c r="C77" s="56" t="s">
        <v>1603</v>
      </c>
      <c r="D77" s="56" t="s">
        <v>1746</v>
      </c>
      <c r="E77" s="56" t="s">
        <v>1747</v>
      </c>
      <c r="F77" s="56" t="s">
        <v>1748</v>
      </c>
    </row>
    <row r="78">
      <c r="A78" s="56" t="s">
        <v>426</v>
      </c>
      <c r="B78" s="56" t="s">
        <v>1488</v>
      </c>
      <c r="C78" s="56" t="s">
        <v>608</v>
      </c>
      <c r="D78" s="56" t="s">
        <v>1749</v>
      </c>
      <c r="E78" s="56" t="s">
        <v>1750</v>
      </c>
      <c r="F78" s="56" t="s">
        <v>611</v>
      </c>
    </row>
    <row r="79">
      <c r="A79" s="56" t="s">
        <v>432</v>
      </c>
      <c r="B79" s="56" t="s">
        <v>1489</v>
      </c>
      <c r="C79" s="56" t="s">
        <v>608</v>
      </c>
      <c r="D79" s="56" t="s">
        <v>630</v>
      </c>
      <c r="E79" s="56" t="s">
        <v>631</v>
      </c>
      <c r="F79" s="56" t="s">
        <v>626</v>
      </c>
    </row>
    <row r="80">
      <c r="A80" s="56" t="s">
        <v>718</v>
      </c>
      <c r="B80" s="56" t="s">
        <v>1583</v>
      </c>
      <c r="C80" s="56" t="s">
        <v>608</v>
      </c>
      <c r="D80" s="56" t="s">
        <v>1751</v>
      </c>
      <c r="E80" s="56" t="s">
        <v>1752</v>
      </c>
      <c r="F80" s="56" t="s">
        <v>629</v>
      </c>
    </row>
    <row r="81">
      <c r="A81" s="56" t="s">
        <v>439</v>
      </c>
      <c r="B81" s="56" t="s">
        <v>1490</v>
      </c>
      <c r="C81" s="56" t="s">
        <v>1603</v>
      </c>
      <c r="D81" s="56" t="s">
        <v>1753</v>
      </c>
      <c r="E81" s="56" t="s">
        <v>1754</v>
      </c>
      <c r="F81" s="56" t="s">
        <v>1755</v>
      </c>
    </row>
    <row r="82">
      <c r="A82" s="56" t="s">
        <v>450</v>
      </c>
      <c r="B82" s="56" t="s">
        <v>1556</v>
      </c>
      <c r="C82" s="56" t="s">
        <v>608</v>
      </c>
      <c r="D82" s="56" t="s">
        <v>1756</v>
      </c>
      <c r="E82" s="56" t="s">
        <v>1757</v>
      </c>
      <c r="F82" s="56" t="s">
        <v>1621</v>
      </c>
    </row>
    <row r="83">
      <c r="A83" s="56" t="s">
        <v>445</v>
      </c>
      <c r="B83" s="56" t="s">
        <v>1491</v>
      </c>
      <c r="C83" s="56" t="s">
        <v>608</v>
      </c>
      <c r="D83" s="56" t="s">
        <v>1758</v>
      </c>
      <c r="E83" s="56" t="s">
        <v>1759</v>
      </c>
      <c r="F83" s="56" t="s">
        <v>1621</v>
      </c>
    </row>
    <row r="84">
      <c r="A84" s="56" t="s">
        <v>1365</v>
      </c>
      <c r="B84" s="56"/>
      <c r="C84" s="56" t="s">
        <v>608</v>
      </c>
      <c r="D84" s="56" t="s">
        <v>1760</v>
      </c>
      <c r="E84" s="56" t="s">
        <v>1761</v>
      </c>
      <c r="F84" s="56" t="s">
        <v>1600</v>
      </c>
    </row>
    <row r="85">
      <c r="A85" s="56" t="s">
        <v>456</v>
      </c>
      <c r="B85" s="56" t="s">
        <v>1492</v>
      </c>
      <c r="C85" s="56" t="s">
        <v>608</v>
      </c>
      <c r="D85" s="56" t="s">
        <v>1762</v>
      </c>
      <c r="E85" s="56" t="s">
        <v>1763</v>
      </c>
      <c r="F85" s="56" t="s">
        <v>611</v>
      </c>
    </row>
    <row r="86">
      <c r="A86" s="57" t="s">
        <v>1557</v>
      </c>
      <c r="B86" s="56" t="s">
        <v>1558</v>
      </c>
      <c r="C86" s="56" t="s">
        <v>608</v>
      </c>
      <c r="D86" s="56" t="s">
        <v>1764</v>
      </c>
      <c r="E86" s="56" t="s">
        <v>1765</v>
      </c>
      <c r="F86" s="56" t="s">
        <v>611</v>
      </c>
    </row>
    <row r="87">
      <c r="A87" s="56" t="s">
        <v>467</v>
      </c>
      <c r="B87" s="56"/>
      <c r="C87" s="56" t="s">
        <v>608</v>
      </c>
      <c r="D87" s="56" t="s">
        <v>1766</v>
      </c>
      <c r="E87" s="56" t="s">
        <v>1767</v>
      </c>
      <c r="F87" s="56" t="s">
        <v>611</v>
      </c>
    </row>
    <row r="88">
      <c r="A88" s="56" t="s">
        <v>88</v>
      </c>
      <c r="B88" s="56" t="s">
        <v>1509</v>
      </c>
      <c r="C88" s="56" t="s">
        <v>608</v>
      </c>
      <c r="D88" s="56" t="s">
        <v>1768</v>
      </c>
      <c r="E88" s="56" t="s">
        <v>1769</v>
      </c>
      <c r="F88" s="56" t="s">
        <v>1618</v>
      </c>
    </row>
    <row r="89">
      <c r="A89" s="56" t="s">
        <v>470</v>
      </c>
      <c r="B89" s="56" t="s">
        <v>1559</v>
      </c>
      <c r="C89" s="56" t="s">
        <v>1603</v>
      </c>
      <c r="D89" s="56" t="s">
        <v>1770</v>
      </c>
      <c r="E89" s="56" t="s">
        <v>1771</v>
      </c>
      <c r="F89" s="56" t="s">
        <v>1772</v>
      </c>
    </row>
    <row r="90">
      <c r="A90" s="56" t="s">
        <v>476</v>
      </c>
      <c r="B90" s="56" t="s">
        <v>1482</v>
      </c>
      <c r="C90" s="56" t="s">
        <v>593</v>
      </c>
      <c r="D90" s="56" t="s">
        <v>1773</v>
      </c>
      <c r="E90" s="56" t="s">
        <v>1774</v>
      </c>
      <c r="F90" s="56" t="s">
        <v>1775</v>
      </c>
    </row>
    <row r="91">
      <c r="A91" s="56" t="s">
        <v>481</v>
      </c>
      <c r="B91" s="56" t="s">
        <v>1560</v>
      </c>
      <c r="C91" s="56" t="s">
        <v>593</v>
      </c>
      <c r="D91" s="56" t="s">
        <v>1776</v>
      </c>
      <c r="E91" s="56" t="s">
        <v>1777</v>
      </c>
      <c r="F91" s="56" t="s">
        <v>1778</v>
      </c>
    </row>
    <row r="92">
      <c r="A92" s="57" t="s">
        <v>1561</v>
      </c>
      <c r="B92" s="56" t="s">
        <v>1562</v>
      </c>
      <c r="C92" s="56" t="s">
        <v>608</v>
      </c>
      <c r="D92" s="56" t="s">
        <v>1779</v>
      </c>
      <c r="E92" s="56" t="s">
        <v>1780</v>
      </c>
      <c r="F92" s="56" t="s">
        <v>611</v>
      </c>
    </row>
    <row r="93">
      <c r="A93" s="56" t="s">
        <v>490</v>
      </c>
      <c r="B93" s="56" t="s">
        <v>1563</v>
      </c>
      <c r="C93" s="56" t="s">
        <v>608</v>
      </c>
      <c r="D93" s="56" t="s">
        <v>1781</v>
      </c>
      <c r="E93" s="56" t="s">
        <v>1782</v>
      </c>
      <c r="F93" s="56" t="s">
        <v>1783</v>
      </c>
    </row>
    <row r="94">
      <c r="A94" s="57" t="s">
        <v>1564</v>
      </c>
      <c r="B94" s="56" t="s">
        <v>1565</v>
      </c>
      <c r="C94" s="56" t="s">
        <v>1603</v>
      </c>
      <c r="D94" s="56" t="s">
        <v>1784</v>
      </c>
      <c r="E94" s="56" t="s">
        <v>1785</v>
      </c>
      <c r="F94" s="56" t="s">
        <v>1786</v>
      </c>
    </row>
    <row r="95">
      <c r="A95" s="56" t="s">
        <v>501</v>
      </c>
      <c r="B95" s="56" t="s">
        <v>1566</v>
      </c>
      <c r="C95" s="56" t="s">
        <v>608</v>
      </c>
      <c r="D95" s="56" t="s">
        <v>1787</v>
      </c>
      <c r="E95" s="56" t="s">
        <v>1788</v>
      </c>
      <c r="F95" s="56" t="s">
        <v>1621</v>
      </c>
    </row>
    <row r="96">
      <c r="A96" s="56" t="s">
        <v>505</v>
      </c>
      <c r="B96" s="56"/>
      <c r="C96" s="56" t="s">
        <v>608</v>
      </c>
      <c r="D96" s="56" t="s">
        <v>1789</v>
      </c>
      <c r="E96" s="56" t="s">
        <v>1790</v>
      </c>
      <c r="F96" s="56" t="s">
        <v>1791</v>
      </c>
    </row>
    <row r="97">
      <c r="A97" s="56" t="s">
        <v>510</v>
      </c>
      <c r="B97" s="56" t="s">
        <v>1567</v>
      </c>
      <c r="C97" s="56" t="s">
        <v>608</v>
      </c>
      <c r="D97" s="56" t="s">
        <v>1792</v>
      </c>
      <c r="E97" s="56" t="s">
        <v>1793</v>
      </c>
      <c r="F97" s="56" t="s">
        <v>611</v>
      </c>
    </row>
    <row r="98">
      <c r="A98" s="56" t="s">
        <v>515</v>
      </c>
      <c r="B98" s="56"/>
      <c r="C98" s="56" t="s">
        <v>593</v>
      </c>
      <c r="D98" s="56" t="s">
        <v>1794</v>
      </c>
      <c r="E98" s="56" t="s">
        <v>1795</v>
      </c>
      <c r="F98" s="56" t="s">
        <v>1000</v>
      </c>
    </row>
    <row r="99">
      <c r="A99" s="56" t="s">
        <v>518</v>
      </c>
      <c r="B99" s="56"/>
      <c r="C99" s="56" t="s">
        <v>608</v>
      </c>
      <c r="D99" s="56" t="s">
        <v>1796</v>
      </c>
      <c r="E99" s="56" t="s">
        <v>1797</v>
      </c>
      <c r="F99" s="56" t="s">
        <v>626</v>
      </c>
    </row>
    <row r="100">
      <c r="A100" s="56" t="s">
        <v>554</v>
      </c>
      <c r="B100" s="56" t="s">
        <v>1590</v>
      </c>
      <c r="C100" s="56" t="s">
        <v>608</v>
      </c>
      <c r="D100" s="56" t="s">
        <v>1798</v>
      </c>
      <c r="E100" s="56" t="s">
        <v>1799</v>
      </c>
      <c r="F100" s="56" t="s">
        <v>1800</v>
      </c>
    </row>
    <row r="101">
      <c r="A101" s="56" t="s">
        <v>521</v>
      </c>
      <c r="B101" s="56" t="s">
        <v>1568</v>
      </c>
      <c r="C101" s="56" t="s">
        <v>608</v>
      </c>
      <c r="D101" s="56" t="s">
        <v>1801</v>
      </c>
      <c r="E101" s="56" t="s">
        <v>1802</v>
      </c>
      <c r="F101" s="56" t="s">
        <v>1803</v>
      </c>
    </row>
    <row r="102">
      <c r="A102" s="56" t="s">
        <v>528</v>
      </c>
      <c r="B102" s="56" t="s">
        <v>1482</v>
      </c>
      <c r="C102" s="56" t="s">
        <v>608</v>
      </c>
      <c r="D102" s="56" t="s">
        <v>1804</v>
      </c>
      <c r="E102" s="56" t="s">
        <v>1805</v>
      </c>
      <c r="F102" s="56" t="s">
        <v>1707</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70" width="8.0"/>
    <col customWidth="1" min="71" max="71" width="20.13"/>
    <col customWidth="1" min="72" max="82" width="16.38"/>
    <col customWidth="1" min="83" max="83" width="23.38"/>
    <col customWidth="1" min="84" max="86" width="13.75"/>
    <col customWidth="1" min="87" max="87" width="18.0"/>
    <col customWidth="1" min="88" max="89" width="13.75"/>
    <col customWidth="1" min="90" max="90" width="25.5"/>
    <col customWidth="1" min="91" max="91" width="29.25"/>
    <col customWidth="1" min="92" max="92" width="8.0"/>
  </cols>
  <sheetData>
    <row r="1" ht="12.75" customHeight="1">
      <c r="A1" s="58" t="s">
        <v>1806</v>
      </c>
      <c r="B1" s="58" t="s">
        <v>1807</v>
      </c>
      <c r="C1" s="58" t="s">
        <v>1808</v>
      </c>
      <c r="D1" s="58" t="s">
        <v>1809</v>
      </c>
      <c r="E1" s="58" t="s">
        <v>1810</v>
      </c>
      <c r="F1" s="58" t="s">
        <v>1811</v>
      </c>
      <c r="G1" s="58" t="s">
        <v>1812</v>
      </c>
      <c r="H1" s="58" t="s">
        <v>1813</v>
      </c>
      <c r="I1" s="58" t="s">
        <v>1814</v>
      </c>
      <c r="J1" s="58" t="s">
        <v>1815</v>
      </c>
      <c r="K1" s="58" t="s">
        <v>1816</v>
      </c>
      <c r="L1" s="58" t="s">
        <v>1817</v>
      </c>
      <c r="M1" s="58" t="s">
        <v>1818</v>
      </c>
      <c r="N1" s="58" t="s">
        <v>1819</v>
      </c>
      <c r="O1" s="58" t="s">
        <v>1820</v>
      </c>
      <c r="P1" s="58" t="s">
        <v>1821</v>
      </c>
      <c r="Q1" s="58" t="s">
        <v>1822</v>
      </c>
      <c r="R1" s="58" t="s">
        <v>1823</v>
      </c>
      <c r="S1" s="58" t="s">
        <v>1824</v>
      </c>
      <c r="T1" s="58" t="s">
        <v>1825</v>
      </c>
      <c r="U1" s="58" t="s">
        <v>1826</v>
      </c>
      <c r="V1" s="58" t="s">
        <v>1827</v>
      </c>
      <c r="W1" s="58" t="s">
        <v>1828</v>
      </c>
      <c r="X1" s="58" t="s">
        <v>1829</v>
      </c>
      <c r="Y1" s="58" t="s">
        <v>1830</v>
      </c>
      <c r="Z1" s="58" t="s">
        <v>1831</v>
      </c>
      <c r="AA1" s="58" t="s">
        <v>1832</v>
      </c>
      <c r="AB1" s="58" t="s">
        <v>1833</v>
      </c>
      <c r="AC1" s="58" t="s">
        <v>1834</v>
      </c>
      <c r="AD1" s="58" t="s">
        <v>1835</v>
      </c>
      <c r="AE1" s="58" t="s">
        <v>1836</v>
      </c>
      <c r="AF1" s="58" t="s">
        <v>1837</v>
      </c>
      <c r="AG1" s="58" t="s">
        <v>1838</v>
      </c>
      <c r="AH1" s="58" t="s">
        <v>1839</v>
      </c>
      <c r="AI1" s="58" t="s">
        <v>1840</v>
      </c>
      <c r="AJ1" s="58" t="s">
        <v>1841</v>
      </c>
      <c r="AK1" s="58" t="s">
        <v>1842</v>
      </c>
      <c r="AL1" s="58" t="s">
        <v>1843</v>
      </c>
      <c r="AM1" s="58" t="s">
        <v>1844</v>
      </c>
      <c r="AN1" s="58" t="s">
        <v>1845</v>
      </c>
      <c r="AO1" s="58" t="s">
        <v>1846</v>
      </c>
      <c r="AP1" s="58" t="s">
        <v>1847</v>
      </c>
      <c r="AQ1" s="58" t="s">
        <v>1848</v>
      </c>
      <c r="AR1" s="58" t="s">
        <v>1849</v>
      </c>
      <c r="AS1" s="58" t="s">
        <v>1850</v>
      </c>
      <c r="AT1" s="58" t="s">
        <v>1851</v>
      </c>
      <c r="AU1" s="58" t="s">
        <v>1852</v>
      </c>
      <c r="AV1" s="58" t="s">
        <v>1853</v>
      </c>
      <c r="AW1" s="58" t="s">
        <v>1854</v>
      </c>
      <c r="AX1" s="58" t="s">
        <v>1855</v>
      </c>
      <c r="AY1" s="58" t="s">
        <v>1856</v>
      </c>
      <c r="AZ1" s="58" t="s">
        <v>1857</v>
      </c>
      <c r="BA1" s="58" t="s">
        <v>1858</v>
      </c>
      <c r="BB1" s="58" t="s">
        <v>1859</v>
      </c>
      <c r="BC1" s="58" t="s">
        <v>1860</v>
      </c>
      <c r="BD1" s="58" t="s">
        <v>1861</v>
      </c>
      <c r="BE1" s="58" t="s">
        <v>21</v>
      </c>
      <c r="BF1" s="58" t="s">
        <v>1862</v>
      </c>
      <c r="BG1" s="58" t="s">
        <v>1863</v>
      </c>
      <c r="BH1" s="58" t="s">
        <v>1864</v>
      </c>
      <c r="BI1" s="58" t="s">
        <v>1865</v>
      </c>
      <c r="BJ1" s="58" t="s">
        <v>1866</v>
      </c>
      <c r="BK1" s="58" t="s">
        <v>1867</v>
      </c>
      <c r="BL1" s="58" t="s">
        <v>1868</v>
      </c>
      <c r="BM1" s="58" t="s">
        <v>1869</v>
      </c>
      <c r="BN1" s="58" t="s">
        <v>1870</v>
      </c>
      <c r="BO1" s="58" t="s">
        <v>1871</v>
      </c>
      <c r="BP1" s="58" t="s">
        <v>1872</v>
      </c>
      <c r="BQ1" s="58" t="s">
        <v>1873</v>
      </c>
      <c r="BR1" s="58" t="s">
        <v>1874</v>
      </c>
      <c r="BS1" s="58" t="s">
        <v>1875</v>
      </c>
      <c r="BT1" s="59" t="s">
        <v>1876</v>
      </c>
      <c r="BU1" s="59" t="s">
        <v>1877</v>
      </c>
      <c r="BV1" s="59" t="s">
        <v>1878</v>
      </c>
      <c r="BW1" s="59" t="s">
        <v>1879</v>
      </c>
      <c r="BX1" s="59" t="s">
        <v>1880</v>
      </c>
      <c r="BY1" s="59" t="s">
        <v>1881</v>
      </c>
      <c r="BZ1" s="59" t="s">
        <v>1882</v>
      </c>
      <c r="CA1" s="60" t="s">
        <v>1883</v>
      </c>
      <c r="CB1" s="61" t="s">
        <v>1884</v>
      </c>
      <c r="CC1" s="59" t="s">
        <v>1885</v>
      </c>
      <c r="CD1" s="62" t="s">
        <v>1886</v>
      </c>
      <c r="CE1" s="63" t="s">
        <v>1887</v>
      </c>
      <c r="CF1" s="63" t="s">
        <v>1888</v>
      </c>
      <c r="CG1" s="63" t="s">
        <v>1889</v>
      </c>
      <c r="CH1" s="63" t="s">
        <v>1890</v>
      </c>
      <c r="CI1" s="63" t="s">
        <v>1891</v>
      </c>
      <c r="CJ1" s="3" t="s">
        <v>1892</v>
      </c>
      <c r="CK1" s="63" t="s">
        <v>1893</v>
      </c>
      <c r="CL1" s="63" t="s">
        <v>1894</v>
      </c>
      <c r="CM1" s="63" t="s">
        <v>1879</v>
      </c>
      <c r="CN1" s="58" t="s">
        <v>1895</v>
      </c>
    </row>
    <row r="2" ht="12.75" customHeight="1">
      <c r="A2" s="58" t="s">
        <v>1896</v>
      </c>
      <c r="B2" s="58" t="s">
        <v>1897</v>
      </c>
      <c r="C2" s="58" t="s">
        <v>1482</v>
      </c>
      <c r="D2" s="58" t="s">
        <v>1482</v>
      </c>
      <c r="E2" s="58" t="s">
        <v>1482</v>
      </c>
      <c r="F2" s="58" t="s">
        <v>1898</v>
      </c>
      <c r="G2" s="58" t="s">
        <v>1482</v>
      </c>
      <c r="H2" s="58" t="s">
        <v>1482</v>
      </c>
      <c r="I2" s="58" t="s">
        <v>1899</v>
      </c>
      <c r="J2" s="58" t="s">
        <v>1900</v>
      </c>
      <c r="K2" s="58" t="s">
        <v>1482</v>
      </c>
      <c r="L2" s="58" t="s">
        <v>1482</v>
      </c>
      <c r="M2" s="58" t="s">
        <v>1901</v>
      </c>
      <c r="N2" s="58" t="s">
        <v>1902</v>
      </c>
      <c r="O2" s="58" t="s">
        <v>1482</v>
      </c>
      <c r="P2" s="58" t="s">
        <v>1482</v>
      </c>
      <c r="Q2" s="58" t="s">
        <v>1482</v>
      </c>
      <c r="R2" s="58" t="s">
        <v>1482</v>
      </c>
      <c r="S2" s="58" t="s">
        <v>1482</v>
      </c>
      <c r="T2" s="58" t="s">
        <v>1903</v>
      </c>
      <c r="U2" s="58" t="s">
        <v>1904</v>
      </c>
      <c r="V2" s="58" t="s">
        <v>1905</v>
      </c>
      <c r="W2" s="58" t="s">
        <v>1906</v>
      </c>
      <c r="X2" s="58" t="s">
        <v>1482</v>
      </c>
      <c r="Y2" s="58" t="s">
        <v>1907</v>
      </c>
      <c r="Z2" s="58" t="s">
        <v>1908</v>
      </c>
      <c r="AA2" s="58" t="s">
        <v>1909</v>
      </c>
      <c r="AB2" s="58" t="s">
        <v>1482</v>
      </c>
      <c r="AC2" s="58" t="s">
        <v>1910</v>
      </c>
      <c r="AD2" s="58" t="s">
        <v>1910</v>
      </c>
      <c r="AE2" s="58" t="s">
        <v>1911</v>
      </c>
      <c r="AF2" s="58" t="s">
        <v>1482</v>
      </c>
      <c r="AG2" s="58">
        <v>36.0</v>
      </c>
      <c r="AH2" s="58">
        <v>58.0</v>
      </c>
      <c r="AI2" s="58">
        <v>79.0</v>
      </c>
      <c r="AJ2" s="58">
        <v>1.0</v>
      </c>
      <c r="AK2" s="58">
        <v>88.0</v>
      </c>
      <c r="AL2" s="58" t="s">
        <v>1912</v>
      </c>
      <c r="AM2" s="58" t="s">
        <v>1913</v>
      </c>
      <c r="AN2" s="58" t="s">
        <v>1914</v>
      </c>
      <c r="AO2" s="58" t="s">
        <v>1915</v>
      </c>
      <c r="AP2" s="58" t="s">
        <v>1482</v>
      </c>
      <c r="AQ2" s="58" t="s">
        <v>1482</v>
      </c>
      <c r="AR2" s="58" t="s">
        <v>1916</v>
      </c>
      <c r="AS2" s="58" t="s">
        <v>1917</v>
      </c>
      <c r="AT2" s="58" t="s">
        <v>1918</v>
      </c>
      <c r="AU2" s="58">
        <v>2011.0</v>
      </c>
      <c r="AV2" s="58">
        <v>59.0</v>
      </c>
      <c r="AW2" s="58">
        <v>2.0</v>
      </c>
      <c r="AX2" s="58" t="s">
        <v>1482</v>
      </c>
      <c r="AY2" s="58" t="s">
        <v>1482</v>
      </c>
      <c r="AZ2" s="58" t="s">
        <v>1482</v>
      </c>
      <c r="BA2" s="58" t="s">
        <v>1482</v>
      </c>
      <c r="BB2" s="58">
        <v>311.0</v>
      </c>
      <c r="BC2" s="58">
        <v>318.0</v>
      </c>
      <c r="BD2" s="58" t="s">
        <v>1482</v>
      </c>
      <c r="BE2" s="58" t="s">
        <v>1482</v>
      </c>
      <c r="BF2" s="58" t="s">
        <v>1482</v>
      </c>
      <c r="BG2" s="58" t="s">
        <v>1482</v>
      </c>
      <c r="BH2" s="58" t="s">
        <v>1482</v>
      </c>
      <c r="BI2" s="58">
        <v>8.0</v>
      </c>
      <c r="BJ2" s="58" t="s">
        <v>1919</v>
      </c>
      <c r="BK2" s="58" t="s">
        <v>1920</v>
      </c>
      <c r="BL2" s="58" t="s">
        <v>1919</v>
      </c>
      <c r="BM2" s="58" t="s">
        <v>1921</v>
      </c>
      <c r="BN2" s="58" t="s">
        <v>1482</v>
      </c>
      <c r="BO2" s="58" t="s">
        <v>1482</v>
      </c>
      <c r="BP2" s="58" t="s">
        <v>1482</v>
      </c>
      <c r="BQ2" s="58" t="s">
        <v>1482</v>
      </c>
      <c r="BR2" s="58" t="s">
        <v>1922</v>
      </c>
      <c r="BS2" s="58" t="s">
        <v>1923</v>
      </c>
      <c r="BT2" s="58" t="s">
        <v>79</v>
      </c>
      <c r="BU2" s="58" t="s">
        <v>80</v>
      </c>
      <c r="BV2" s="58" t="s">
        <v>41</v>
      </c>
      <c r="BW2" s="58" t="s">
        <v>81</v>
      </c>
      <c r="BX2" s="58" t="s">
        <v>52</v>
      </c>
      <c r="BY2" s="58" t="s">
        <v>68</v>
      </c>
      <c r="BZ2" s="58" t="s">
        <v>60</v>
      </c>
      <c r="CA2" s="64" t="s">
        <v>1924</v>
      </c>
      <c r="CB2" s="64" t="s">
        <v>1925</v>
      </c>
      <c r="CC2" s="58" t="s">
        <v>601</v>
      </c>
      <c r="CD2" s="64" t="s">
        <v>820</v>
      </c>
      <c r="CE2" s="64" t="s">
        <v>1926</v>
      </c>
      <c r="CF2" s="3" t="s">
        <v>1927</v>
      </c>
      <c r="CG2" s="3" t="s">
        <v>1928</v>
      </c>
      <c r="CH2" s="3" t="s">
        <v>1929</v>
      </c>
      <c r="CI2" s="3" t="s">
        <v>1930</v>
      </c>
      <c r="CJ2" s="58" t="str">
        <f>VLOOKUP($BE2,'Enriched - 2'!$B$2:$F$102, 2, false)</f>
        <v>Birds</v>
      </c>
      <c r="CK2" s="3" t="s">
        <v>1931</v>
      </c>
      <c r="CL2" s="3" t="s">
        <v>1932</v>
      </c>
      <c r="CM2" s="3" t="s">
        <v>1933</v>
      </c>
      <c r="CN2" s="58" t="str">
        <f>HYPERLINK("https%3A%2F%2Fwww.webofscience.com%2Fwos%2Fwoscc%2Ffull-record%2FWOS:000301312200022","View Full Record in Web of Science")</f>
        <v>View Full Record in Web of Science</v>
      </c>
    </row>
    <row r="3" ht="12.75" customHeight="1">
      <c r="A3" s="58" t="s">
        <v>1896</v>
      </c>
      <c r="B3" s="58" t="s">
        <v>1934</v>
      </c>
      <c r="C3" s="58" t="s">
        <v>1482</v>
      </c>
      <c r="D3" s="58" t="s">
        <v>1482</v>
      </c>
      <c r="E3" s="58" t="s">
        <v>1482</v>
      </c>
      <c r="F3" s="58" t="s">
        <v>1935</v>
      </c>
      <c r="G3" s="58" t="s">
        <v>1482</v>
      </c>
      <c r="H3" s="58" t="s">
        <v>1482</v>
      </c>
      <c r="I3" s="58" t="s">
        <v>1936</v>
      </c>
      <c r="J3" s="58" t="s">
        <v>1937</v>
      </c>
      <c r="K3" s="58" t="s">
        <v>1482</v>
      </c>
      <c r="L3" s="58" t="s">
        <v>1482</v>
      </c>
      <c r="M3" s="58" t="s">
        <v>1901</v>
      </c>
      <c r="N3" s="58" t="s">
        <v>1902</v>
      </c>
      <c r="O3" s="58" t="s">
        <v>1482</v>
      </c>
      <c r="P3" s="58" t="s">
        <v>1482</v>
      </c>
      <c r="Q3" s="58" t="s">
        <v>1482</v>
      </c>
      <c r="R3" s="58" t="s">
        <v>1482</v>
      </c>
      <c r="S3" s="58" t="s">
        <v>1482</v>
      </c>
      <c r="T3" s="58" t="s">
        <v>1938</v>
      </c>
      <c r="U3" s="58" t="s">
        <v>1939</v>
      </c>
      <c r="V3" s="58" t="s">
        <v>1940</v>
      </c>
      <c r="W3" s="58" t="s">
        <v>1941</v>
      </c>
      <c r="X3" s="58" t="s">
        <v>1942</v>
      </c>
      <c r="Y3" s="58" t="s">
        <v>1943</v>
      </c>
      <c r="Z3" s="58" t="s">
        <v>1944</v>
      </c>
      <c r="AA3" s="58" t="s">
        <v>1945</v>
      </c>
      <c r="AB3" s="58" t="s">
        <v>1482</v>
      </c>
      <c r="AC3" s="58" t="s">
        <v>1946</v>
      </c>
      <c r="AD3" s="58" t="s">
        <v>1946</v>
      </c>
      <c r="AE3" s="58" t="s">
        <v>1947</v>
      </c>
      <c r="AF3" s="58" t="s">
        <v>1482</v>
      </c>
      <c r="AG3" s="58">
        <v>53.0</v>
      </c>
      <c r="AH3" s="58">
        <v>31.0</v>
      </c>
      <c r="AI3" s="58">
        <v>35.0</v>
      </c>
      <c r="AJ3" s="58">
        <v>1.0</v>
      </c>
      <c r="AK3" s="58">
        <v>50.0</v>
      </c>
      <c r="AL3" s="58" t="s">
        <v>1948</v>
      </c>
      <c r="AM3" s="58" t="s">
        <v>1949</v>
      </c>
      <c r="AN3" s="58" t="s">
        <v>1950</v>
      </c>
      <c r="AO3" s="58" t="s">
        <v>1951</v>
      </c>
      <c r="AP3" s="58" t="s">
        <v>1952</v>
      </c>
      <c r="AQ3" s="58" t="s">
        <v>1482</v>
      </c>
      <c r="AR3" s="58" t="s">
        <v>1953</v>
      </c>
      <c r="AS3" s="58" t="s">
        <v>1954</v>
      </c>
      <c r="AT3" s="58" t="s">
        <v>1955</v>
      </c>
      <c r="AU3" s="58">
        <v>2009.0</v>
      </c>
      <c r="AV3" s="58">
        <v>18.0</v>
      </c>
      <c r="AW3" s="58">
        <v>5.0</v>
      </c>
      <c r="AX3" s="58" t="s">
        <v>1482</v>
      </c>
      <c r="AY3" s="58" t="s">
        <v>1482</v>
      </c>
      <c r="AZ3" s="58" t="s">
        <v>1482</v>
      </c>
      <c r="BA3" s="58" t="s">
        <v>1482</v>
      </c>
      <c r="BB3" s="58">
        <v>1361.0</v>
      </c>
      <c r="BC3" s="58">
        <v>1373.0</v>
      </c>
      <c r="BD3" s="58" t="s">
        <v>1482</v>
      </c>
      <c r="BE3" s="58" t="s">
        <v>1544</v>
      </c>
      <c r="BF3" s="65" t="str">
        <f>HYPERLINK("http://dx.doi.org/10.1007/s10531-008-9481-6","http://dx.doi.org/10.1007/s10531-008-9481-6")</f>
        <v>http://dx.doi.org/10.1007/s10531-008-9481-6</v>
      </c>
      <c r="BG3" s="58" t="s">
        <v>1482</v>
      </c>
      <c r="BH3" s="58" t="s">
        <v>1482</v>
      </c>
      <c r="BI3" s="58">
        <v>13.0</v>
      </c>
      <c r="BJ3" s="58" t="s">
        <v>1956</v>
      </c>
      <c r="BK3" s="58" t="s">
        <v>1920</v>
      </c>
      <c r="BL3" s="58" t="s">
        <v>1957</v>
      </c>
      <c r="BM3" s="58" t="s">
        <v>1958</v>
      </c>
      <c r="BN3" s="58" t="s">
        <v>1482</v>
      </c>
      <c r="BO3" s="58" t="s">
        <v>1482</v>
      </c>
      <c r="BP3" s="58" t="s">
        <v>1482</v>
      </c>
      <c r="BQ3" s="58" t="s">
        <v>1482</v>
      </c>
      <c r="BR3" s="58" t="s">
        <v>1922</v>
      </c>
      <c r="BS3" s="58" t="s">
        <v>1959</v>
      </c>
      <c r="BT3" s="58" t="s">
        <v>355</v>
      </c>
      <c r="BU3" s="58" t="s">
        <v>356</v>
      </c>
      <c r="BV3" s="58" t="s">
        <v>126</v>
      </c>
      <c r="BW3" s="58" t="s">
        <v>357</v>
      </c>
      <c r="BX3" s="58" t="s">
        <v>52</v>
      </c>
      <c r="BY3" s="58" t="s">
        <v>44</v>
      </c>
      <c r="BZ3" s="58" t="s">
        <v>60</v>
      </c>
      <c r="CA3" s="64" t="s">
        <v>1960</v>
      </c>
      <c r="CB3" s="64" t="s">
        <v>1961</v>
      </c>
      <c r="CC3" s="58" t="s">
        <v>601</v>
      </c>
      <c r="CD3" s="64" t="s">
        <v>794</v>
      </c>
      <c r="CE3" s="64" t="s">
        <v>1962</v>
      </c>
      <c r="CF3" s="3" t="s">
        <v>1927</v>
      </c>
      <c r="CG3" s="3" t="s">
        <v>1928</v>
      </c>
      <c r="CH3" s="3" t="s">
        <v>1929</v>
      </c>
      <c r="CI3" s="3" t="s">
        <v>1930</v>
      </c>
      <c r="CJ3" s="58" t="str">
        <f>VLOOKUP($BE3,'Enriched - 2'!$B$2:$F$102, 2, false)</f>
        <v>Birds</v>
      </c>
      <c r="CK3" s="3" t="s">
        <v>1963</v>
      </c>
      <c r="CL3" s="3" t="s">
        <v>1964</v>
      </c>
      <c r="CM3" s="3" t="s">
        <v>1965</v>
      </c>
      <c r="CN3" s="58" t="str">
        <f>HYPERLINK("https%3A%2F%2Fwww.webofscience.com%2Fwos%2Fwoscc%2Ffull-record%2FWOS:000265939700017","View Full Record in Web of Science")</f>
        <v>View Full Record in Web of Science</v>
      </c>
    </row>
    <row r="4" ht="12.75" customHeight="1">
      <c r="A4" s="58" t="s">
        <v>1896</v>
      </c>
      <c r="B4" s="58" t="s">
        <v>1966</v>
      </c>
      <c r="C4" s="58" t="s">
        <v>1482</v>
      </c>
      <c r="D4" s="58" t="s">
        <v>1482</v>
      </c>
      <c r="E4" s="58" t="s">
        <v>1482</v>
      </c>
      <c r="F4" s="58" t="s">
        <v>1966</v>
      </c>
      <c r="G4" s="58" t="s">
        <v>1482</v>
      </c>
      <c r="H4" s="58" t="s">
        <v>1482</v>
      </c>
      <c r="I4" s="58" t="s">
        <v>1967</v>
      </c>
      <c r="J4" s="58" t="s">
        <v>1937</v>
      </c>
      <c r="K4" s="58" t="s">
        <v>1482</v>
      </c>
      <c r="L4" s="58" t="s">
        <v>1482</v>
      </c>
      <c r="M4" s="58" t="s">
        <v>1901</v>
      </c>
      <c r="N4" s="58" t="s">
        <v>1902</v>
      </c>
      <c r="O4" s="58" t="s">
        <v>1482</v>
      </c>
      <c r="P4" s="58" t="s">
        <v>1482</v>
      </c>
      <c r="Q4" s="58" t="s">
        <v>1482</v>
      </c>
      <c r="R4" s="58" t="s">
        <v>1482</v>
      </c>
      <c r="S4" s="58" t="s">
        <v>1482</v>
      </c>
      <c r="T4" s="58" t="s">
        <v>1968</v>
      </c>
      <c r="U4" s="58" t="s">
        <v>1969</v>
      </c>
      <c r="V4" s="58" t="s">
        <v>1970</v>
      </c>
      <c r="W4" s="58" t="s">
        <v>1971</v>
      </c>
      <c r="X4" s="58" t="s">
        <v>1972</v>
      </c>
      <c r="Y4" s="58" t="s">
        <v>1973</v>
      </c>
      <c r="Z4" s="58" t="s">
        <v>1974</v>
      </c>
      <c r="AA4" s="58" t="s">
        <v>1482</v>
      </c>
      <c r="AB4" s="58" t="s">
        <v>1482</v>
      </c>
      <c r="AC4" s="58" t="s">
        <v>1482</v>
      </c>
      <c r="AD4" s="58" t="s">
        <v>1482</v>
      </c>
      <c r="AE4" s="58" t="s">
        <v>1482</v>
      </c>
      <c r="AF4" s="58" t="s">
        <v>1482</v>
      </c>
      <c r="AG4" s="58">
        <v>37.0</v>
      </c>
      <c r="AH4" s="58">
        <v>35.0</v>
      </c>
      <c r="AI4" s="58">
        <v>38.0</v>
      </c>
      <c r="AJ4" s="58">
        <v>0.0</v>
      </c>
      <c r="AK4" s="58">
        <v>41.0</v>
      </c>
      <c r="AL4" s="58" t="s">
        <v>1948</v>
      </c>
      <c r="AM4" s="58" t="s">
        <v>1949</v>
      </c>
      <c r="AN4" s="58" t="s">
        <v>1950</v>
      </c>
      <c r="AO4" s="58" t="s">
        <v>1951</v>
      </c>
      <c r="AP4" s="58" t="s">
        <v>1952</v>
      </c>
      <c r="AQ4" s="58" t="s">
        <v>1482</v>
      </c>
      <c r="AR4" s="58" t="s">
        <v>1953</v>
      </c>
      <c r="AS4" s="58" t="s">
        <v>1954</v>
      </c>
      <c r="AT4" s="58" t="s">
        <v>1955</v>
      </c>
      <c r="AU4" s="58">
        <v>2005.0</v>
      </c>
      <c r="AV4" s="58">
        <v>14.0</v>
      </c>
      <c r="AW4" s="58">
        <v>5.0</v>
      </c>
      <c r="AX4" s="58" t="s">
        <v>1482</v>
      </c>
      <c r="AY4" s="58" t="s">
        <v>1482</v>
      </c>
      <c r="AZ4" s="58" t="s">
        <v>1482</v>
      </c>
      <c r="BA4" s="58" t="s">
        <v>1482</v>
      </c>
      <c r="BB4" s="58">
        <v>1121.0</v>
      </c>
      <c r="BC4" s="58">
        <v>1135.0</v>
      </c>
      <c r="BD4" s="58" t="s">
        <v>1482</v>
      </c>
      <c r="BE4" s="58" t="s">
        <v>1560</v>
      </c>
      <c r="BF4" s="65" t="str">
        <f>HYPERLINK("http://dx.doi.org/10.1007/s10531-004-8412-4","http://dx.doi.org/10.1007/s10531-004-8412-4")</f>
        <v>http://dx.doi.org/10.1007/s10531-004-8412-4</v>
      </c>
      <c r="BG4" s="58" t="s">
        <v>1482</v>
      </c>
      <c r="BH4" s="58" t="s">
        <v>1482</v>
      </c>
      <c r="BI4" s="58">
        <v>15.0</v>
      </c>
      <c r="BJ4" s="58" t="s">
        <v>1956</v>
      </c>
      <c r="BK4" s="58" t="s">
        <v>1920</v>
      </c>
      <c r="BL4" s="58" t="s">
        <v>1957</v>
      </c>
      <c r="BM4" s="58" t="s">
        <v>1975</v>
      </c>
      <c r="BN4" s="58" t="s">
        <v>1482</v>
      </c>
      <c r="BO4" s="58" t="s">
        <v>1482</v>
      </c>
      <c r="BP4" s="58" t="s">
        <v>1482</v>
      </c>
      <c r="BQ4" s="58" t="s">
        <v>1482</v>
      </c>
      <c r="BR4" s="58" t="s">
        <v>1922</v>
      </c>
      <c r="BS4" s="58" t="s">
        <v>1976</v>
      </c>
      <c r="BT4" s="58" t="s">
        <v>479</v>
      </c>
      <c r="BU4" s="58" t="s">
        <v>40</v>
      </c>
      <c r="BV4" s="58" t="s">
        <v>126</v>
      </c>
      <c r="BW4" s="58" t="s">
        <v>484</v>
      </c>
      <c r="BX4" s="58" t="s">
        <v>52</v>
      </c>
      <c r="BY4" s="58" t="s">
        <v>68</v>
      </c>
      <c r="BZ4" s="58" t="s">
        <v>45</v>
      </c>
      <c r="CA4" s="64" t="s">
        <v>1977</v>
      </c>
      <c r="CB4" s="64" t="s">
        <v>1978</v>
      </c>
      <c r="CC4" s="58" t="s">
        <v>641</v>
      </c>
      <c r="CD4" s="64" t="s">
        <v>820</v>
      </c>
      <c r="CE4" s="64" t="s">
        <v>1926</v>
      </c>
      <c r="CF4" s="3" t="s">
        <v>1927</v>
      </c>
      <c r="CG4" s="3" t="s">
        <v>1928</v>
      </c>
      <c r="CH4" s="3" t="s">
        <v>1929</v>
      </c>
      <c r="CI4" s="3" t="s">
        <v>1930</v>
      </c>
      <c r="CJ4" s="58" t="str">
        <f>VLOOKUP($BE4,'Enriched - 2'!$B$2:$F$102, 2, false)</f>
        <v>Birds</v>
      </c>
      <c r="CK4" s="3" t="s">
        <v>1979</v>
      </c>
      <c r="CL4" s="3" t="s">
        <v>1980</v>
      </c>
      <c r="CM4" s="3" t="s">
        <v>1981</v>
      </c>
      <c r="CN4" s="58" t="str">
        <f>HYPERLINK("https%3A%2F%2Fwww.webofscience.com%2Fwos%2Fwoscc%2Ffull-record%2FWOS:000228507100007","View Full Record in Web of Science")</f>
        <v>View Full Record in Web of Science</v>
      </c>
    </row>
    <row r="5" ht="12.75" customHeight="1">
      <c r="A5" s="58" t="s">
        <v>1896</v>
      </c>
      <c r="B5" s="58" t="s">
        <v>1982</v>
      </c>
      <c r="C5" s="58" t="s">
        <v>1482</v>
      </c>
      <c r="D5" s="58" t="s">
        <v>1482</v>
      </c>
      <c r="E5" s="58" t="s">
        <v>1482</v>
      </c>
      <c r="F5" s="58" t="s">
        <v>1983</v>
      </c>
      <c r="G5" s="58" t="s">
        <v>1482</v>
      </c>
      <c r="H5" s="58" t="s">
        <v>1482</v>
      </c>
      <c r="I5" s="58" t="s">
        <v>1984</v>
      </c>
      <c r="J5" s="58" t="s">
        <v>1985</v>
      </c>
      <c r="K5" s="58" t="s">
        <v>1482</v>
      </c>
      <c r="L5" s="58" t="s">
        <v>1482</v>
      </c>
      <c r="M5" s="58" t="s">
        <v>1901</v>
      </c>
      <c r="N5" s="58" t="s">
        <v>1902</v>
      </c>
      <c r="O5" s="58" t="s">
        <v>1482</v>
      </c>
      <c r="P5" s="58" t="s">
        <v>1482</v>
      </c>
      <c r="Q5" s="58" t="s">
        <v>1482</v>
      </c>
      <c r="R5" s="58" t="s">
        <v>1482</v>
      </c>
      <c r="S5" s="58" t="s">
        <v>1482</v>
      </c>
      <c r="T5" s="58" t="s">
        <v>1986</v>
      </c>
      <c r="U5" s="58" t="s">
        <v>1987</v>
      </c>
      <c r="V5" s="58" t="s">
        <v>1988</v>
      </c>
      <c r="W5" s="58" t="s">
        <v>1989</v>
      </c>
      <c r="X5" s="58" t="s">
        <v>1990</v>
      </c>
      <c r="Y5" s="58" t="s">
        <v>1991</v>
      </c>
      <c r="Z5" s="58" t="s">
        <v>1992</v>
      </c>
      <c r="AA5" s="58" t="s">
        <v>1993</v>
      </c>
      <c r="AB5" s="58" t="s">
        <v>1994</v>
      </c>
      <c r="AC5" s="58" t="s">
        <v>1995</v>
      </c>
      <c r="AD5" s="58" t="s">
        <v>1996</v>
      </c>
      <c r="AE5" s="58" t="s">
        <v>1997</v>
      </c>
      <c r="AF5" s="58" t="s">
        <v>1482</v>
      </c>
      <c r="AG5" s="58">
        <v>52.0</v>
      </c>
      <c r="AH5" s="58">
        <v>59.0</v>
      </c>
      <c r="AI5" s="58">
        <v>70.0</v>
      </c>
      <c r="AJ5" s="58">
        <v>0.0</v>
      </c>
      <c r="AK5" s="58">
        <v>91.0</v>
      </c>
      <c r="AL5" s="58" t="s">
        <v>1998</v>
      </c>
      <c r="AM5" s="58" t="s">
        <v>1999</v>
      </c>
      <c r="AN5" s="58" t="s">
        <v>2000</v>
      </c>
      <c r="AO5" s="58" t="s">
        <v>2001</v>
      </c>
      <c r="AP5" s="58" t="s">
        <v>2002</v>
      </c>
      <c r="AQ5" s="58" t="s">
        <v>1482</v>
      </c>
      <c r="AR5" s="58" t="s">
        <v>2003</v>
      </c>
      <c r="AS5" s="58" t="s">
        <v>2004</v>
      </c>
      <c r="AT5" s="58" t="s">
        <v>2005</v>
      </c>
      <c r="AU5" s="58">
        <v>2009.0</v>
      </c>
      <c r="AV5" s="58">
        <v>23.0</v>
      </c>
      <c r="AW5" s="58">
        <v>5.0</v>
      </c>
      <c r="AX5" s="58" t="s">
        <v>1482</v>
      </c>
      <c r="AY5" s="58" t="s">
        <v>1482</v>
      </c>
      <c r="AZ5" s="58" t="s">
        <v>1482</v>
      </c>
      <c r="BA5" s="58" t="s">
        <v>1482</v>
      </c>
      <c r="BB5" s="58">
        <v>1270.0</v>
      </c>
      <c r="BC5" s="58">
        <v>1280.0</v>
      </c>
      <c r="BD5" s="58" t="s">
        <v>1482</v>
      </c>
      <c r="BE5" s="58" t="s">
        <v>1554</v>
      </c>
      <c r="BF5" s="65" t="str">
        <f>HYPERLINK("http://dx.doi.org/10.1111/j.1523-1739.2009.01224.x","http://dx.doi.org/10.1111/j.1523-1739.2009.01224.x")</f>
        <v>http://dx.doi.org/10.1111/j.1523-1739.2009.01224.x</v>
      </c>
      <c r="BG5" s="58" t="s">
        <v>1482</v>
      </c>
      <c r="BH5" s="58" t="s">
        <v>1482</v>
      </c>
      <c r="BI5" s="58">
        <v>11.0</v>
      </c>
      <c r="BJ5" s="58" t="s">
        <v>1956</v>
      </c>
      <c r="BK5" s="58" t="s">
        <v>1920</v>
      </c>
      <c r="BL5" s="58" t="s">
        <v>1957</v>
      </c>
      <c r="BM5" s="58" t="s">
        <v>2006</v>
      </c>
      <c r="BN5" s="58">
        <v>1.9765039E7</v>
      </c>
      <c r="BO5" s="58" t="s">
        <v>1482</v>
      </c>
      <c r="BP5" s="58" t="s">
        <v>1482</v>
      </c>
      <c r="BQ5" s="58" t="s">
        <v>1482</v>
      </c>
      <c r="BR5" s="58" t="s">
        <v>1922</v>
      </c>
      <c r="BS5" s="58" t="s">
        <v>2007</v>
      </c>
      <c r="BT5" s="58" t="s">
        <v>414</v>
      </c>
      <c r="BU5" s="58" t="s">
        <v>415</v>
      </c>
      <c r="BV5" s="58" t="s">
        <v>73</v>
      </c>
      <c r="BW5" s="58" t="s">
        <v>416</v>
      </c>
      <c r="BX5" s="58" t="s">
        <v>52</v>
      </c>
      <c r="BY5" s="58" t="s">
        <v>44</v>
      </c>
      <c r="BZ5" s="58" t="s">
        <v>45</v>
      </c>
      <c r="CA5" s="64" t="s">
        <v>1977</v>
      </c>
      <c r="CB5" s="64" t="s">
        <v>2008</v>
      </c>
      <c r="CC5" s="58" t="s">
        <v>641</v>
      </c>
      <c r="CD5" s="64" t="s">
        <v>820</v>
      </c>
      <c r="CE5" s="64" t="s">
        <v>1926</v>
      </c>
      <c r="CF5" s="3" t="s">
        <v>1927</v>
      </c>
      <c r="CG5" s="3" t="s">
        <v>1928</v>
      </c>
      <c r="CH5" s="3" t="s">
        <v>1929</v>
      </c>
      <c r="CI5" s="3" t="s">
        <v>2009</v>
      </c>
      <c r="CJ5" s="58" t="str">
        <f>VLOOKUP($BE5,'Enriched - 2'!$B$2:$F$102, 2, false)</f>
        <v>Birds ; Mammals</v>
      </c>
      <c r="CK5" s="3" t="s">
        <v>2010</v>
      </c>
      <c r="CL5" s="3" t="s">
        <v>2011</v>
      </c>
      <c r="CM5" s="3" t="s">
        <v>2012</v>
      </c>
      <c r="CN5" s="58" t="str">
        <f>HYPERLINK("https%3A%2F%2Fwww.webofscience.com%2Fwos%2Fwoscc%2Ffull-record%2FWOS:000269802200030","View Full Record in Web of Science")</f>
        <v>View Full Record in Web of Science</v>
      </c>
    </row>
    <row r="6" ht="12.75" customHeight="1">
      <c r="A6" s="58" t="s">
        <v>1896</v>
      </c>
      <c r="B6" s="58" t="s">
        <v>2013</v>
      </c>
      <c r="C6" s="58" t="s">
        <v>1482</v>
      </c>
      <c r="D6" s="58" t="s">
        <v>1482</v>
      </c>
      <c r="E6" s="58" t="s">
        <v>1482</v>
      </c>
      <c r="F6" s="58" t="s">
        <v>2014</v>
      </c>
      <c r="G6" s="58" t="s">
        <v>1482</v>
      </c>
      <c r="H6" s="58" t="s">
        <v>1482</v>
      </c>
      <c r="I6" s="58" t="s">
        <v>2015</v>
      </c>
      <c r="J6" s="58" t="s">
        <v>2016</v>
      </c>
      <c r="K6" s="58" t="s">
        <v>1482</v>
      </c>
      <c r="L6" s="58" t="s">
        <v>1482</v>
      </c>
      <c r="M6" s="58" t="s">
        <v>1901</v>
      </c>
      <c r="N6" s="58" t="s">
        <v>1902</v>
      </c>
      <c r="O6" s="58" t="s">
        <v>1482</v>
      </c>
      <c r="P6" s="58" t="s">
        <v>1482</v>
      </c>
      <c r="Q6" s="58" t="s">
        <v>1482</v>
      </c>
      <c r="R6" s="58" t="s">
        <v>1482</v>
      </c>
      <c r="S6" s="58" t="s">
        <v>1482</v>
      </c>
      <c r="T6" s="58" t="s">
        <v>2017</v>
      </c>
      <c r="U6" s="58" t="s">
        <v>2018</v>
      </c>
      <c r="V6" s="58" t="s">
        <v>2019</v>
      </c>
      <c r="W6" s="58" t="s">
        <v>2020</v>
      </c>
      <c r="X6" s="58" t="s">
        <v>2021</v>
      </c>
      <c r="Y6" s="58" t="s">
        <v>2022</v>
      </c>
      <c r="Z6" s="58" t="s">
        <v>2023</v>
      </c>
      <c r="AA6" s="58" t="s">
        <v>2024</v>
      </c>
      <c r="AB6" s="58" t="s">
        <v>2025</v>
      </c>
      <c r="AC6" s="58" t="s">
        <v>2026</v>
      </c>
      <c r="AD6" s="58" t="s">
        <v>2027</v>
      </c>
      <c r="AE6" s="58" t="s">
        <v>2028</v>
      </c>
      <c r="AF6" s="58" t="s">
        <v>1482</v>
      </c>
      <c r="AG6" s="58">
        <v>74.0</v>
      </c>
      <c r="AH6" s="58">
        <v>41.0</v>
      </c>
      <c r="AI6" s="58">
        <v>45.0</v>
      </c>
      <c r="AJ6" s="58">
        <v>2.0</v>
      </c>
      <c r="AK6" s="58">
        <v>75.0</v>
      </c>
      <c r="AL6" s="58" t="s">
        <v>1998</v>
      </c>
      <c r="AM6" s="58" t="s">
        <v>1999</v>
      </c>
      <c r="AN6" s="58" t="s">
        <v>2000</v>
      </c>
      <c r="AO6" s="58" t="s">
        <v>2029</v>
      </c>
      <c r="AP6" s="58" t="s">
        <v>2030</v>
      </c>
      <c r="AQ6" s="58" t="s">
        <v>1482</v>
      </c>
      <c r="AR6" s="58" t="s">
        <v>2031</v>
      </c>
      <c r="AS6" s="58" t="s">
        <v>2032</v>
      </c>
      <c r="AT6" s="58" t="s">
        <v>2033</v>
      </c>
      <c r="AU6" s="58">
        <v>2011.0</v>
      </c>
      <c r="AV6" s="58">
        <v>14.0</v>
      </c>
      <c r="AW6" s="58">
        <v>3.0</v>
      </c>
      <c r="AX6" s="58" t="s">
        <v>1482</v>
      </c>
      <c r="AY6" s="58" t="s">
        <v>1482</v>
      </c>
      <c r="AZ6" s="58" t="s">
        <v>1482</v>
      </c>
      <c r="BA6" s="58" t="s">
        <v>1482</v>
      </c>
      <c r="BB6" s="58">
        <v>271.0</v>
      </c>
      <c r="BC6" s="58">
        <v>282.0</v>
      </c>
      <c r="BD6" s="58" t="s">
        <v>1482</v>
      </c>
      <c r="BE6" s="58" t="s">
        <v>1565</v>
      </c>
      <c r="BF6" s="65" t="str">
        <f>HYPERLINK("http://dx.doi.org/10.1111/j.1469-1795.2010.00426.x","http://dx.doi.org/10.1111/j.1469-1795.2010.00426.x")</f>
        <v>http://dx.doi.org/10.1111/j.1469-1795.2010.00426.x</v>
      </c>
      <c r="BG6" s="58" t="s">
        <v>1482</v>
      </c>
      <c r="BH6" s="58" t="s">
        <v>1482</v>
      </c>
      <c r="BI6" s="58">
        <v>12.0</v>
      </c>
      <c r="BJ6" s="58" t="s">
        <v>2034</v>
      </c>
      <c r="BK6" s="58" t="s">
        <v>2035</v>
      </c>
      <c r="BL6" s="58" t="s">
        <v>1957</v>
      </c>
      <c r="BM6" s="58" t="s">
        <v>2036</v>
      </c>
      <c r="BN6" s="58" t="s">
        <v>1482</v>
      </c>
      <c r="BO6" s="58" t="s">
        <v>2037</v>
      </c>
      <c r="BP6" s="58" t="s">
        <v>1482</v>
      </c>
      <c r="BQ6" s="58" t="s">
        <v>1482</v>
      </c>
      <c r="BR6" s="58" t="s">
        <v>1922</v>
      </c>
      <c r="BS6" s="58" t="s">
        <v>2038</v>
      </c>
      <c r="BT6" s="58" t="s">
        <v>498</v>
      </c>
      <c r="BU6" s="58" t="s">
        <v>102</v>
      </c>
      <c r="BV6" s="58" t="s">
        <v>229</v>
      </c>
      <c r="BW6" s="58" t="s">
        <v>499</v>
      </c>
      <c r="BX6" s="58" t="s">
        <v>52</v>
      </c>
      <c r="BY6" s="58" t="s">
        <v>44</v>
      </c>
      <c r="BZ6" s="58" t="s">
        <v>206</v>
      </c>
      <c r="CA6" s="64" t="s">
        <v>1977</v>
      </c>
      <c r="CB6" s="64" t="s">
        <v>2039</v>
      </c>
      <c r="CC6" s="58" t="s">
        <v>641</v>
      </c>
      <c r="CD6" s="64" t="s">
        <v>820</v>
      </c>
      <c r="CE6" s="64" t="s">
        <v>1926</v>
      </c>
      <c r="CF6" s="3" t="s">
        <v>1927</v>
      </c>
      <c r="CG6" s="3" t="s">
        <v>1928</v>
      </c>
      <c r="CH6" s="3" t="s">
        <v>1929</v>
      </c>
      <c r="CI6" s="3" t="s">
        <v>2009</v>
      </c>
      <c r="CJ6" s="58" t="str">
        <f>VLOOKUP($BE6,'Enriched - 2'!$B$2:$F$102, 2, false)</f>
        <v>Birds ; Mammals</v>
      </c>
      <c r="CK6" s="3" t="s">
        <v>2040</v>
      </c>
      <c r="CL6" s="3" t="s">
        <v>2041</v>
      </c>
      <c r="CM6" s="3" t="s">
        <v>2042</v>
      </c>
      <c r="CN6" s="58" t="str">
        <f>HYPERLINK("https%3A%2F%2Fwww.webofscience.com%2Fwos%2Fwoscc%2Ffull-record%2FWOS:000291040800011","View Full Record in Web of Science")</f>
        <v>View Full Record in Web of Science</v>
      </c>
    </row>
    <row r="7" ht="12.75" customHeight="1">
      <c r="A7" s="58" t="s">
        <v>1896</v>
      </c>
      <c r="B7" s="58" t="s">
        <v>2043</v>
      </c>
      <c r="C7" s="58" t="s">
        <v>1482</v>
      </c>
      <c r="D7" s="58" t="s">
        <v>1482</v>
      </c>
      <c r="E7" s="58" t="s">
        <v>1482</v>
      </c>
      <c r="F7" s="58" t="s">
        <v>2044</v>
      </c>
      <c r="G7" s="58" t="s">
        <v>1482</v>
      </c>
      <c r="H7" s="58" t="s">
        <v>1482</v>
      </c>
      <c r="I7" s="58" t="s">
        <v>2045</v>
      </c>
      <c r="J7" s="58" t="s">
        <v>2016</v>
      </c>
      <c r="K7" s="58" t="s">
        <v>1482</v>
      </c>
      <c r="L7" s="58" t="s">
        <v>1482</v>
      </c>
      <c r="M7" s="58" t="s">
        <v>1901</v>
      </c>
      <c r="N7" s="58" t="s">
        <v>1902</v>
      </c>
      <c r="O7" s="58" t="s">
        <v>1482</v>
      </c>
      <c r="P7" s="58" t="s">
        <v>1482</v>
      </c>
      <c r="Q7" s="58" t="s">
        <v>1482</v>
      </c>
      <c r="R7" s="58" t="s">
        <v>1482</v>
      </c>
      <c r="S7" s="58" t="s">
        <v>1482</v>
      </c>
      <c r="T7" s="58" t="s">
        <v>2046</v>
      </c>
      <c r="U7" s="58" t="s">
        <v>2047</v>
      </c>
      <c r="V7" s="58" t="s">
        <v>2048</v>
      </c>
      <c r="W7" s="58" t="s">
        <v>2049</v>
      </c>
      <c r="X7" s="58" t="s">
        <v>2050</v>
      </c>
      <c r="Y7" s="58" t="s">
        <v>2051</v>
      </c>
      <c r="Z7" s="58" t="s">
        <v>2052</v>
      </c>
      <c r="AA7" s="58" t="s">
        <v>2053</v>
      </c>
      <c r="AB7" s="58" t="s">
        <v>2054</v>
      </c>
      <c r="AC7" s="58" t="s">
        <v>2055</v>
      </c>
      <c r="AD7" s="58" t="s">
        <v>2056</v>
      </c>
      <c r="AE7" s="58" t="s">
        <v>2057</v>
      </c>
      <c r="AF7" s="58" t="s">
        <v>1482</v>
      </c>
      <c r="AG7" s="58">
        <v>63.0</v>
      </c>
      <c r="AH7" s="58">
        <v>32.0</v>
      </c>
      <c r="AI7" s="58">
        <v>40.0</v>
      </c>
      <c r="AJ7" s="58">
        <v>1.0</v>
      </c>
      <c r="AK7" s="58">
        <v>127.0</v>
      </c>
      <c r="AL7" s="58" t="s">
        <v>1998</v>
      </c>
      <c r="AM7" s="58" t="s">
        <v>1999</v>
      </c>
      <c r="AN7" s="58" t="s">
        <v>2000</v>
      </c>
      <c r="AO7" s="58" t="s">
        <v>2029</v>
      </c>
      <c r="AP7" s="58" t="s">
        <v>2030</v>
      </c>
      <c r="AQ7" s="58" t="s">
        <v>1482</v>
      </c>
      <c r="AR7" s="58" t="s">
        <v>2031</v>
      </c>
      <c r="AS7" s="58" t="s">
        <v>2032</v>
      </c>
      <c r="AT7" s="58" t="s">
        <v>2033</v>
      </c>
      <c r="AU7" s="58">
        <v>2013.0</v>
      </c>
      <c r="AV7" s="58">
        <v>16.0</v>
      </c>
      <c r="AW7" s="58">
        <v>3.0</v>
      </c>
      <c r="AX7" s="58" t="s">
        <v>1482</v>
      </c>
      <c r="AY7" s="58" t="s">
        <v>1482</v>
      </c>
      <c r="AZ7" s="58" t="s">
        <v>1482</v>
      </c>
      <c r="BA7" s="58" t="s">
        <v>1482</v>
      </c>
      <c r="BB7" s="58">
        <v>265.0</v>
      </c>
      <c r="BC7" s="58">
        <v>274.0</v>
      </c>
      <c r="BD7" s="58" t="s">
        <v>1482</v>
      </c>
      <c r="BE7" s="58" t="s">
        <v>1559</v>
      </c>
      <c r="BF7" s="65" t="str">
        <f>HYPERLINK("http://dx.doi.org/10.1111/j.1469-1795.2012.00592.x","http://dx.doi.org/10.1111/j.1469-1795.2012.00592.x")</f>
        <v>http://dx.doi.org/10.1111/j.1469-1795.2012.00592.x</v>
      </c>
      <c r="BG7" s="58" t="s">
        <v>1482</v>
      </c>
      <c r="BH7" s="58" t="s">
        <v>1482</v>
      </c>
      <c r="BI7" s="58">
        <v>10.0</v>
      </c>
      <c r="BJ7" s="58" t="s">
        <v>2034</v>
      </c>
      <c r="BK7" s="58" t="s">
        <v>1920</v>
      </c>
      <c r="BL7" s="58" t="s">
        <v>1957</v>
      </c>
      <c r="BM7" s="58" t="s">
        <v>2058</v>
      </c>
      <c r="BN7" s="58" t="s">
        <v>1482</v>
      </c>
      <c r="BO7" s="58" t="s">
        <v>1482</v>
      </c>
      <c r="BP7" s="58" t="s">
        <v>1482</v>
      </c>
      <c r="BQ7" s="58" t="s">
        <v>1482</v>
      </c>
      <c r="BR7" s="58" t="s">
        <v>1922</v>
      </c>
      <c r="BS7" s="58" t="s">
        <v>2059</v>
      </c>
      <c r="BT7" s="58" t="s">
        <v>473</v>
      </c>
      <c r="BU7" s="58" t="s">
        <v>474</v>
      </c>
      <c r="BV7" s="58" t="s">
        <v>73</v>
      </c>
      <c r="BW7" s="58" t="s">
        <v>475</v>
      </c>
      <c r="BX7" s="58" t="s">
        <v>67</v>
      </c>
      <c r="BY7" s="58" t="s">
        <v>68</v>
      </c>
      <c r="BZ7" s="58" t="s">
        <v>249</v>
      </c>
      <c r="CA7" s="64" t="s">
        <v>1977</v>
      </c>
      <c r="CB7" s="64" t="s">
        <v>2060</v>
      </c>
      <c r="CC7" s="58" t="s">
        <v>641</v>
      </c>
      <c r="CD7" s="64" t="s">
        <v>820</v>
      </c>
      <c r="CE7" s="64" t="s">
        <v>1926</v>
      </c>
      <c r="CF7" s="3" t="s">
        <v>1927</v>
      </c>
      <c r="CG7" s="3" t="s">
        <v>1928</v>
      </c>
      <c r="CH7" s="3" t="s">
        <v>1929</v>
      </c>
      <c r="CI7" s="3" t="s">
        <v>2009</v>
      </c>
      <c r="CJ7" s="58" t="str">
        <f>VLOOKUP($BE7,'Enriched - 2'!$B$2:$F$102, 2, false)</f>
        <v>Birds ; Mammals</v>
      </c>
      <c r="CK7" s="3" t="s">
        <v>2061</v>
      </c>
      <c r="CL7" s="3" t="s">
        <v>2062</v>
      </c>
      <c r="CM7" s="3" t="s">
        <v>2063</v>
      </c>
      <c r="CN7" s="58" t="str">
        <f>HYPERLINK("https%3A%2F%2Fwww.webofscience.com%2Fwos%2Fwoscc%2Ffull-record%2FWOS:000319703600005","View Full Record in Web of Science")</f>
        <v>View Full Record in Web of Science</v>
      </c>
    </row>
    <row r="8" ht="12.75" customHeight="1">
      <c r="A8" s="58" t="s">
        <v>1896</v>
      </c>
      <c r="B8" s="58" t="s">
        <v>2064</v>
      </c>
      <c r="C8" s="58" t="s">
        <v>1482</v>
      </c>
      <c r="D8" s="58" t="s">
        <v>1482</v>
      </c>
      <c r="E8" s="58" t="s">
        <v>1482</v>
      </c>
      <c r="F8" s="58" t="s">
        <v>2065</v>
      </c>
      <c r="G8" s="58" t="s">
        <v>1482</v>
      </c>
      <c r="H8" s="58" t="s">
        <v>1482</v>
      </c>
      <c r="I8" s="58" t="s">
        <v>2066</v>
      </c>
      <c r="J8" s="58" t="s">
        <v>1937</v>
      </c>
      <c r="K8" s="58" t="s">
        <v>1482</v>
      </c>
      <c r="L8" s="58" t="s">
        <v>1482</v>
      </c>
      <c r="M8" s="58" t="s">
        <v>1901</v>
      </c>
      <c r="N8" s="58" t="s">
        <v>1902</v>
      </c>
      <c r="O8" s="58" t="s">
        <v>1482</v>
      </c>
      <c r="P8" s="58" t="s">
        <v>1482</v>
      </c>
      <c r="Q8" s="58" t="s">
        <v>1482</v>
      </c>
      <c r="R8" s="58" t="s">
        <v>1482</v>
      </c>
      <c r="S8" s="58" t="s">
        <v>1482</v>
      </c>
      <c r="T8" s="58" t="s">
        <v>2067</v>
      </c>
      <c r="U8" s="58" t="s">
        <v>2068</v>
      </c>
      <c r="V8" s="58" t="s">
        <v>2069</v>
      </c>
      <c r="W8" s="58" t="s">
        <v>2070</v>
      </c>
      <c r="X8" s="58" t="s">
        <v>2021</v>
      </c>
      <c r="Y8" s="58" t="s">
        <v>2071</v>
      </c>
      <c r="Z8" s="58" t="s">
        <v>2072</v>
      </c>
      <c r="AA8" s="58" t="s">
        <v>2073</v>
      </c>
      <c r="AB8" s="58" t="s">
        <v>2074</v>
      </c>
      <c r="AC8" s="58" t="s">
        <v>1482</v>
      </c>
      <c r="AD8" s="58" t="s">
        <v>1482</v>
      </c>
      <c r="AE8" s="58" t="s">
        <v>1482</v>
      </c>
      <c r="AF8" s="58" t="s">
        <v>1482</v>
      </c>
      <c r="AG8" s="58">
        <v>51.0</v>
      </c>
      <c r="AH8" s="58">
        <v>109.0</v>
      </c>
      <c r="AI8" s="58">
        <v>134.0</v>
      </c>
      <c r="AJ8" s="58">
        <v>1.0</v>
      </c>
      <c r="AK8" s="58">
        <v>71.0</v>
      </c>
      <c r="AL8" s="58" t="s">
        <v>1948</v>
      </c>
      <c r="AM8" s="58" t="s">
        <v>1949</v>
      </c>
      <c r="AN8" s="58" t="s">
        <v>1950</v>
      </c>
      <c r="AO8" s="58" t="s">
        <v>1951</v>
      </c>
      <c r="AP8" s="58" t="s">
        <v>1952</v>
      </c>
      <c r="AQ8" s="58" t="s">
        <v>1482</v>
      </c>
      <c r="AR8" s="58" t="s">
        <v>1953</v>
      </c>
      <c r="AS8" s="58" t="s">
        <v>1954</v>
      </c>
      <c r="AT8" s="58" t="s">
        <v>2075</v>
      </c>
      <c r="AU8" s="58">
        <v>2006.0</v>
      </c>
      <c r="AV8" s="58">
        <v>15.0</v>
      </c>
      <c r="AW8" s="58">
        <v>8.0</v>
      </c>
      <c r="AX8" s="58" t="s">
        <v>1482</v>
      </c>
      <c r="AY8" s="58" t="s">
        <v>1482</v>
      </c>
      <c r="AZ8" s="58" t="s">
        <v>1482</v>
      </c>
      <c r="BA8" s="58" t="s">
        <v>1482</v>
      </c>
      <c r="BB8" s="58">
        <v>2627.0</v>
      </c>
      <c r="BC8" s="58">
        <v>2653.0</v>
      </c>
      <c r="BD8" s="58" t="s">
        <v>1482</v>
      </c>
      <c r="BE8" s="58" t="s">
        <v>1555</v>
      </c>
      <c r="BF8" s="65" t="str">
        <f>HYPERLINK("http://dx.doi.org/10.1007/s10531-005-5406-9","http://dx.doi.org/10.1007/s10531-005-5406-9")</f>
        <v>http://dx.doi.org/10.1007/s10531-005-5406-9</v>
      </c>
      <c r="BG8" s="58" t="s">
        <v>1482</v>
      </c>
      <c r="BH8" s="58" t="s">
        <v>1482</v>
      </c>
      <c r="BI8" s="58">
        <v>27.0</v>
      </c>
      <c r="BJ8" s="58" t="s">
        <v>1956</v>
      </c>
      <c r="BK8" s="58" t="s">
        <v>1920</v>
      </c>
      <c r="BL8" s="58" t="s">
        <v>1957</v>
      </c>
      <c r="BM8" s="58" t="s">
        <v>2076</v>
      </c>
      <c r="BN8" s="58" t="s">
        <v>1482</v>
      </c>
      <c r="BO8" s="58" t="s">
        <v>1482</v>
      </c>
      <c r="BP8" s="58" t="s">
        <v>1482</v>
      </c>
      <c r="BQ8" s="58" t="s">
        <v>1482</v>
      </c>
      <c r="BR8" s="58" t="s">
        <v>1922</v>
      </c>
      <c r="BS8" s="58" t="s">
        <v>2077</v>
      </c>
      <c r="BT8" s="58" t="s">
        <v>424</v>
      </c>
      <c r="BU8" s="58" t="s">
        <v>40</v>
      </c>
      <c r="BV8" s="58" t="s">
        <v>73</v>
      </c>
      <c r="BW8" s="58" t="s">
        <v>425</v>
      </c>
      <c r="BX8" s="58" t="s">
        <v>52</v>
      </c>
      <c r="BY8" s="58" t="s">
        <v>44</v>
      </c>
      <c r="BZ8" s="58" t="s">
        <v>45</v>
      </c>
      <c r="CA8" s="64" t="s">
        <v>1977</v>
      </c>
      <c r="CB8" s="64" t="s">
        <v>2008</v>
      </c>
      <c r="CC8" s="58" t="s">
        <v>601</v>
      </c>
      <c r="CD8" s="64" t="s">
        <v>820</v>
      </c>
      <c r="CE8" s="64" t="s">
        <v>1926</v>
      </c>
      <c r="CF8" s="3" t="s">
        <v>1927</v>
      </c>
      <c r="CG8" s="3" t="s">
        <v>1928</v>
      </c>
      <c r="CH8" s="3" t="s">
        <v>1929</v>
      </c>
      <c r="CI8" s="3" t="s">
        <v>2009</v>
      </c>
      <c r="CJ8" s="58" t="str">
        <f>VLOOKUP($BE8,'Enriched - 2'!$B$2:$F$102, 2, false)</f>
        <v>Birds ; Mammals</v>
      </c>
      <c r="CK8" s="3" t="s">
        <v>2078</v>
      </c>
      <c r="CL8" s="3" t="s">
        <v>2079</v>
      </c>
      <c r="CM8" s="3" t="s">
        <v>2080</v>
      </c>
      <c r="CN8" s="58" t="str">
        <f>HYPERLINK("https%3A%2F%2Fwww.webofscience.com%2Fwos%2Fwoscc%2Ffull-record%2FWOS:000241168900016","View Full Record in Web of Science")</f>
        <v>View Full Record in Web of Science</v>
      </c>
    </row>
    <row r="9" ht="12.75" customHeight="1">
      <c r="A9" s="58" t="s">
        <v>1896</v>
      </c>
      <c r="B9" s="58" t="s">
        <v>2081</v>
      </c>
      <c r="C9" s="58" t="s">
        <v>1482</v>
      </c>
      <c r="D9" s="58" t="s">
        <v>1482</v>
      </c>
      <c r="E9" s="58" t="s">
        <v>1482</v>
      </c>
      <c r="F9" s="58" t="s">
        <v>2082</v>
      </c>
      <c r="G9" s="58" t="s">
        <v>1482</v>
      </c>
      <c r="H9" s="58" t="s">
        <v>1482</v>
      </c>
      <c r="I9" s="58" t="s">
        <v>2083</v>
      </c>
      <c r="J9" s="58" t="s">
        <v>2084</v>
      </c>
      <c r="K9" s="58" t="s">
        <v>1482</v>
      </c>
      <c r="L9" s="58" t="s">
        <v>1482</v>
      </c>
      <c r="M9" s="58" t="s">
        <v>1901</v>
      </c>
      <c r="N9" s="58" t="s">
        <v>1902</v>
      </c>
      <c r="O9" s="58" t="s">
        <v>1482</v>
      </c>
      <c r="P9" s="58" t="s">
        <v>1482</v>
      </c>
      <c r="Q9" s="58" t="s">
        <v>1482</v>
      </c>
      <c r="R9" s="58" t="s">
        <v>1482</v>
      </c>
      <c r="S9" s="58" t="s">
        <v>1482</v>
      </c>
      <c r="T9" s="58" t="s">
        <v>2085</v>
      </c>
      <c r="U9" s="58" t="s">
        <v>2086</v>
      </c>
      <c r="V9" s="58" t="s">
        <v>2087</v>
      </c>
      <c r="W9" s="58" t="s">
        <v>2088</v>
      </c>
      <c r="X9" s="58" t="s">
        <v>2089</v>
      </c>
      <c r="Y9" s="58" t="s">
        <v>2090</v>
      </c>
      <c r="Z9" s="58" t="s">
        <v>2091</v>
      </c>
      <c r="AA9" s="58" t="s">
        <v>2092</v>
      </c>
      <c r="AB9" s="58" t="s">
        <v>2093</v>
      </c>
      <c r="AC9" s="58" t="s">
        <v>1482</v>
      </c>
      <c r="AD9" s="58" t="s">
        <v>1482</v>
      </c>
      <c r="AE9" s="58" t="s">
        <v>1482</v>
      </c>
      <c r="AF9" s="58" t="s">
        <v>1482</v>
      </c>
      <c r="AG9" s="58">
        <v>50.0</v>
      </c>
      <c r="AH9" s="58">
        <v>64.0</v>
      </c>
      <c r="AI9" s="58">
        <v>75.0</v>
      </c>
      <c r="AJ9" s="58">
        <v>2.0</v>
      </c>
      <c r="AK9" s="58">
        <v>99.0</v>
      </c>
      <c r="AL9" s="58" t="s">
        <v>1998</v>
      </c>
      <c r="AM9" s="58" t="s">
        <v>1999</v>
      </c>
      <c r="AN9" s="58" t="s">
        <v>2000</v>
      </c>
      <c r="AO9" s="58" t="s">
        <v>2094</v>
      </c>
      <c r="AP9" s="58" t="s">
        <v>2095</v>
      </c>
      <c r="AQ9" s="58" t="s">
        <v>1482</v>
      </c>
      <c r="AR9" s="58" t="s">
        <v>2096</v>
      </c>
      <c r="AS9" s="58" t="s">
        <v>2097</v>
      </c>
      <c r="AT9" s="58" t="s">
        <v>2033</v>
      </c>
      <c r="AU9" s="58">
        <v>2017.0</v>
      </c>
      <c r="AV9" s="58">
        <v>54.0</v>
      </c>
      <c r="AW9" s="58">
        <v>3.0</v>
      </c>
      <c r="AX9" s="58" t="s">
        <v>1482</v>
      </c>
      <c r="AY9" s="58" t="s">
        <v>1482</v>
      </c>
      <c r="AZ9" s="58" t="s">
        <v>1482</v>
      </c>
      <c r="BA9" s="58" t="s">
        <v>1482</v>
      </c>
      <c r="BB9" s="58">
        <v>805.0</v>
      </c>
      <c r="BC9" s="58">
        <v>814.0</v>
      </c>
      <c r="BD9" s="58" t="s">
        <v>1482</v>
      </c>
      <c r="BE9" s="58" t="s">
        <v>1535</v>
      </c>
      <c r="BF9" s="65" t="str">
        <f>HYPERLINK("http://dx.doi.org/10.1111/1365-2664.12798","http://dx.doi.org/10.1111/1365-2664.12798")</f>
        <v>http://dx.doi.org/10.1111/1365-2664.12798</v>
      </c>
      <c r="BG9" s="58" t="s">
        <v>1482</v>
      </c>
      <c r="BH9" s="58" t="s">
        <v>1482</v>
      </c>
      <c r="BI9" s="58">
        <v>10.0</v>
      </c>
      <c r="BJ9" s="58" t="s">
        <v>2034</v>
      </c>
      <c r="BK9" s="58" t="s">
        <v>1920</v>
      </c>
      <c r="BL9" s="58" t="s">
        <v>1957</v>
      </c>
      <c r="BM9" s="58" t="s">
        <v>2098</v>
      </c>
      <c r="BN9" s="58" t="s">
        <v>1482</v>
      </c>
      <c r="BO9" s="58" t="s">
        <v>2099</v>
      </c>
      <c r="BP9" s="58" t="s">
        <v>1482</v>
      </c>
      <c r="BQ9" s="58" t="s">
        <v>1482</v>
      </c>
      <c r="BR9" s="58" t="s">
        <v>1922</v>
      </c>
      <c r="BS9" s="58" t="s">
        <v>2100</v>
      </c>
      <c r="BT9" s="58" t="s">
        <v>310</v>
      </c>
      <c r="BU9" s="58" t="s">
        <v>102</v>
      </c>
      <c r="BV9" s="58" t="s">
        <v>73</v>
      </c>
      <c r="BW9" s="58" t="s">
        <v>311</v>
      </c>
      <c r="BX9" s="58" t="s">
        <v>52</v>
      </c>
      <c r="BY9" s="58" t="s">
        <v>44</v>
      </c>
      <c r="BZ9" s="58" t="s">
        <v>206</v>
      </c>
      <c r="CA9" s="64" t="s">
        <v>1960</v>
      </c>
      <c r="CB9" s="64" t="s">
        <v>2101</v>
      </c>
      <c r="CC9" s="58" t="s">
        <v>641</v>
      </c>
      <c r="CD9" s="64" t="s">
        <v>820</v>
      </c>
      <c r="CE9" s="64" t="s">
        <v>1926</v>
      </c>
      <c r="CF9" s="3" t="s">
        <v>1927</v>
      </c>
      <c r="CG9" s="3" t="s">
        <v>1928</v>
      </c>
      <c r="CH9" s="3" t="s">
        <v>1929</v>
      </c>
      <c r="CI9" s="3" t="s">
        <v>2009</v>
      </c>
      <c r="CJ9" s="58" t="str">
        <f>VLOOKUP($BE9,'Enriched - 2'!$B$2:$F$102, 2, false)</f>
        <v>Birds ; Mammals</v>
      </c>
      <c r="CK9" s="3" t="s">
        <v>2102</v>
      </c>
      <c r="CL9" s="3" t="s">
        <v>2103</v>
      </c>
      <c r="CM9" s="3" t="s">
        <v>2104</v>
      </c>
      <c r="CN9" s="58" t="str">
        <f>HYPERLINK("https%3A%2F%2Fwww.webofscience.com%2Fwos%2Fwoscc%2Ffull-record%2FWOS:000401239100014","View Full Record in Web of Science")</f>
        <v>View Full Record in Web of Science</v>
      </c>
    </row>
    <row r="10" ht="12.75" customHeight="1">
      <c r="A10" s="58" t="s">
        <v>1896</v>
      </c>
      <c r="B10" s="58" t="s">
        <v>2105</v>
      </c>
      <c r="C10" s="58" t="s">
        <v>1482</v>
      </c>
      <c r="D10" s="58" t="s">
        <v>1482</v>
      </c>
      <c r="E10" s="58" t="s">
        <v>1482</v>
      </c>
      <c r="F10" s="58" t="s">
        <v>2105</v>
      </c>
      <c r="G10" s="58" t="s">
        <v>1482</v>
      </c>
      <c r="H10" s="58" t="s">
        <v>1482</v>
      </c>
      <c r="I10" s="58" t="s">
        <v>2106</v>
      </c>
      <c r="J10" s="58" t="s">
        <v>1985</v>
      </c>
      <c r="K10" s="58" t="s">
        <v>1482</v>
      </c>
      <c r="L10" s="58" t="s">
        <v>1482</v>
      </c>
      <c r="M10" s="58" t="s">
        <v>1901</v>
      </c>
      <c r="N10" s="58" t="s">
        <v>1902</v>
      </c>
      <c r="O10" s="58" t="s">
        <v>1482</v>
      </c>
      <c r="P10" s="58" t="s">
        <v>1482</v>
      </c>
      <c r="Q10" s="58" t="s">
        <v>1482</v>
      </c>
      <c r="R10" s="58" t="s">
        <v>1482</v>
      </c>
      <c r="S10" s="58" t="s">
        <v>1482</v>
      </c>
      <c r="T10" s="58" t="s">
        <v>1482</v>
      </c>
      <c r="U10" s="58" t="s">
        <v>2107</v>
      </c>
      <c r="V10" s="58" t="s">
        <v>2108</v>
      </c>
      <c r="W10" s="58" t="s">
        <v>2109</v>
      </c>
      <c r="X10" s="58" t="s">
        <v>2021</v>
      </c>
      <c r="Y10" s="58" t="s">
        <v>2110</v>
      </c>
      <c r="Z10" s="58" t="s">
        <v>2111</v>
      </c>
      <c r="AA10" s="58" t="s">
        <v>2112</v>
      </c>
      <c r="AB10" s="58" t="s">
        <v>2113</v>
      </c>
      <c r="AC10" s="58" t="s">
        <v>1482</v>
      </c>
      <c r="AD10" s="58" t="s">
        <v>1482</v>
      </c>
      <c r="AE10" s="58" t="s">
        <v>1482</v>
      </c>
      <c r="AF10" s="58" t="s">
        <v>1482</v>
      </c>
      <c r="AG10" s="58">
        <v>51.0</v>
      </c>
      <c r="AH10" s="58">
        <v>193.0</v>
      </c>
      <c r="AI10" s="58">
        <v>229.0</v>
      </c>
      <c r="AJ10" s="58">
        <v>0.0</v>
      </c>
      <c r="AK10" s="58">
        <v>84.0</v>
      </c>
      <c r="AL10" s="58" t="s">
        <v>1998</v>
      </c>
      <c r="AM10" s="58" t="s">
        <v>1999</v>
      </c>
      <c r="AN10" s="58" t="s">
        <v>2000</v>
      </c>
      <c r="AO10" s="58" t="s">
        <v>2001</v>
      </c>
      <c r="AP10" s="58" t="s">
        <v>2002</v>
      </c>
      <c r="AQ10" s="58" t="s">
        <v>1482</v>
      </c>
      <c r="AR10" s="58" t="s">
        <v>2003</v>
      </c>
      <c r="AS10" s="58" t="s">
        <v>2004</v>
      </c>
      <c r="AT10" s="58" t="s">
        <v>2114</v>
      </c>
      <c r="AU10" s="58">
        <v>2003.0</v>
      </c>
      <c r="AV10" s="58">
        <v>17.0</v>
      </c>
      <c r="AW10" s="58">
        <v>2.0</v>
      </c>
      <c r="AX10" s="58" t="s">
        <v>1482</v>
      </c>
      <c r="AY10" s="58" t="s">
        <v>1482</v>
      </c>
      <c r="AZ10" s="58" t="s">
        <v>1482</v>
      </c>
      <c r="BA10" s="58" t="s">
        <v>1482</v>
      </c>
      <c r="BB10" s="58">
        <v>521.0</v>
      </c>
      <c r="BC10" s="58">
        <v>535.0</v>
      </c>
      <c r="BD10" s="58" t="s">
        <v>1482</v>
      </c>
      <c r="BE10" s="58" t="s">
        <v>1502</v>
      </c>
      <c r="BF10" s="65" t="str">
        <f>HYPERLINK("http://dx.doi.org/10.1046/j.1523-1739.2003.01413.x","http://dx.doi.org/10.1046/j.1523-1739.2003.01413.x")</f>
        <v>http://dx.doi.org/10.1046/j.1523-1739.2003.01413.x</v>
      </c>
      <c r="BG10" s="58" t="s">
        <v>1482</v>
      </c>
      <c r="BH10" s="58" t="s">
        <v>1482</v>
      </c>
      <c r="BI10" s="58">
        <v>15.0</v>
      </c>
      <c r="BJ10" s="58" t="s">
        <v>1956</v>
      </c>
      <c r="BK10" s="58" t="s">
        <v>1920</v>
      </c>
      <c r="BL10" s="58" t="s">
        <v>1957</v>
      </c>
      <c r="BM10" s="58" t="s">
        <v>2115</v>
      </c>
      <c r="BN10" s="58" t="s">
        <v>1482</v>
      </c>
      <c r="BO10" s="58" t="s">
        <v>1482</v>
      </c>
      <c r="BP10" s="58" t="s">
        <v>1482</v>
      </c>
      <c r="BQ10" s="58" t="s">
        <v>1482</v>
      </c>
      <c r="BR10" s="58" t="s">
        <v>1922</v>
      </c>
      <c r="BS10" s="58" t="s">
        <v>2116</v>
      </c>
      <c r="BT10" s="58" t="s">
        <v>39</v>
      </c>
      <c r="BU10" s="58" t="s">
        <v>40</v>
      </c>
      <c r="BV10" s="58" t="s">
        <v>41</v>
      </c>
      <c r="BW10" s="58" t="s">
        <v>42</v>
      </c>
      <c r="BX10" s="58" t="s">
        <v>43</v>
      </c>
      <c r="BY10" s="58" t="s">
        <v>44</v>
      </c>
      <c r="BZ10" s="58" t="s">
        <v>45</v>
      </c>
      <c r="CA10" s="64" t="s">
        <v>1977</v>
      </c>
      <c r="CB10" s="64" t="s">
        <v>2008</v>
      </c>
      <c r="CC10" s="58" t="s">
        <v>601</v>
      </c>
      <c r="CD10" s="64" t="s">
        <v>820</v>
      </c>
      <c r="CE10" s="64" t="s">
        <v>1926</v>
      </c>
      <c r="CF10" s="3" t="s">
        <v>1927</v>
      </c>
      <c r="CG10" s="3" t="s">
        <v>1928</v>
      </c>
      <c r="CH10" s="3" t="s">
        <v>1929</v>
      </c>
      <c r="CI10" s="3" t="s">
        <v>2009</v>
      </c>
      <c r="CJ10" s="58" t="str">
        <f>VLOOKUP($BE10,'Enriched - 2'!$B$2:$F$102, 2, false)</f>
        <v>Birds ; Mammals</v>
      </c>
      <c r="CK10" s="3" t="s">
        <v>2117</v>
      </c>
      <c r="CL10" s="3" t="s">
        <v>2118</v>
      </c>
      <c r="CM10" s="3" t="s">
        <v>2119</v>
      </c>
      <c r="CN10" s="58" t="str">
        <f>HYPERLINK("https%3A%2F%2Fwww.webofscience.com%2Fwos%2Fwoscc%2Ffull-record%2FWOS:000181736400021","View Full Record in Web of Science")</f>
        <v>View Full Record in Web of Science</v>
      </c>
    </row>
    <row r="11" ht="12.75" customHeight="1">
      <c r="A11" s="58" t="s">
        <v>1896</v>
      </c>
      <c r="B11" s="58" t="s">
        <v>2120</v>
      </c>
      <c r="C11" s="58" t="s">
        <v>1482</v>
      </c>
      <c r="D11" s="58" t="s">
        <v>1482</v>
      </c>
      <c r="E11" s="58" t="s">
        <v>1482</v>
      </c>
      <c r="F11" s="58" t="s">
        <v>2120</v>
      </c>
      <c r="G11" s="58" t="s">
        <v>1482</v>
      </c>
      <c r="H11" s="58" t="s">
        <v>1482</v>
      </c>
      <c r="I11" s="58" t="s">
        <v>2121</v>
      </c>
      <c r="J11" s="58" t="s">
        <v>1937</v>
      </c>
      <c r="K11" s="58" t="s">
        <v>1482</v>
      </c>
      <c r="L11" s="58" t="s">
        <v>1482</v>
      </c>
      <c r="M11" s="58" t="s">
        <v>1901</v>
      </c>
      <c r="N11" s="58" t="s">
        <v>1902</v>
      </c>
      <c r="O11" s="58" t="s">
        <v>1482</v>
      </c>
      <c r="P11" s="58" t="s">
        <v>1482</v>
      </c>
      <c r="Q11" s="58" t="s">
        <v>1482</v>
      </c>
      <c r="R11" s="58" t="s">
        <v>1482</v>
      </c>
      <c r="S11" s="58" t="s">
        <v>1482</v>
      </c>
      <c r="T11" s="58" t="s">
        <v>2122</v>
      </c>
      <c r="U11" s="58" t="s">
        <v>2123</v>
      </c>
      <c r="V11" s="58" t="s">
        <v>2124</v>
      </c>
      <c r="W11" s="58" t="s">
        <v>2125</v>
      </c>
      <c r="X11" s="58" t="s">
        <v>2126</v>
      </c>
      <c r="Y11" s="58" t="s">
        <v>2127</v>
      </c>
      <c r="Z11" s="58" t="s">
        <v>2128</v>
      </c>
      <c r="AA11" s="58" t="s">
        <v>1482</v>
      </c>
      <c r="AB11" s="58" t="s">
        <v>1482</v>
      </c>
      <c r="AC11" s="58" t="s">
        <v>1482</v>
      </c>
      <c r="AD11" s="58" t="s">
        <v>1482</v>
      </c>
      <c r="AE11" s="58" t="s">
        <v>1482</v>
      </c>
      <c r="AF11" s="58" t="s">
        <v>1482</v>
      </c>
      <c r="AG11" s="58">
        <v>44.0</v>
      </c>
      <c r="AH11" s="58">
        <v>18.0</v>
      </c>
      <c r="AI11" s="58">
        <v>21.0</v>
      </c>
      <c r="AJ11" s="58">
        <v>1.0</v>
      </c>
      <c r="AK11" s="58">
        <v>15.0</v>
      </c>
      <c r="AL11" s="58" t="s">
        <v>1948</v>
      </c>
      <c r="AM11" s="58" t="s">
        <v>1949</v>
      </c>
      <c r="AN11" s="58" t="s">
        <v>1950</v>
      </c>
      <c r="AO11" s="58" t="s">
        <v>1951</v>
      </c>
      <c r="AP11" s="58" t="s">
        <v>1952</v>
      </c>
      <c r="AQ11" s="58" t="s">
        <v>1482</v>
      </c>
      <c r="AR11" s="58" t="s">
        <v>1953</v>
      </c>
      <c r="AS11" s="58" t="s">
        <v>1954</v>
      </c>
      <c r="AT11" s="58" t="s">
        <v>1482</v>
      </c>
      <c r="AU11" s="58">
        <v>2002.0</v>
      </c>
      <c r="AV11" s="58">
        <v>11.0</v>
      </c>
      <c r="AW11" s="58">
        <v>10.0</v>
      </c>
      <c r="AX11" s="58" t="s">
        <v>1482</v>
      </c>
      <c r="AY11" s="58" t="s">
        <v>1482</v>
      </c>
      <c r="AZ11" s="58" t="s">
        <v>1482</v>
      </c>
      <c r="BA11" s="58" t="s">
        <v>1482</v>
      </c>
      <c r="BB11" s="58">
        <v>1845.0</v>
      </c>
      <c r="BC11" s="58">
        <v>1868.0</v>
      </c>
      <c r="BD11" s="58" t="s">
        <v>1482</v>
      </c>
      <c r="BE11" s="58" t="s">
        <v>1506</v>
      </c>
      <c r="BF11" s="65" t="str">
        <f>HYPERLINK("http://dx.doi.org/10.1023/A:1020305903156","http://dx.doi.org/10.1023/A:1020305903156")</f>
        <v>http://dx.doi.org/10.1023/A:1020305903156</v>
      </c>
      <c r="BG11" s="58" t="s">
        <v>1482</v>
      </c>
      <c r="BH11" s="58" t="s">
        <v>1482</v>
      </c>
      <c r="BI11" s="58">
        <v>24.0</v>
      </c>
      <c r="BJ11" s="58" t="s">
        <v>1956</v>
      </c>
      <c r="BK11" s="58" t="s">
        <v>2035</v>
      </c>
      <c r="BL11" s="58" t="s">
        <v>1957</v>
      </c>
      <c r="BM11" s="58" t="s">
        <v>2129</v>
      </c>
      <c r="BN11" s="58" t="s">
        <v>1482</v>
      </c>
      <c r="BO11" s="58" t="s">
        <v>1482</v>
      </c>
      <c r="BP11" s="58" t="s">
        <v>1482</v>
      </c>
      <c r="BQ11" s="58" t="s">
        <v>1482</v>
      </c>
      <c r="BR11" s="58" t="s">
        <v>1922</v>
      </c>
      <c r="BS11" s="58" t="s">
        <v>2130</v>
      </c>
      <c r="BT11" s="58" t="s">
        <v>72</v>
      </c>
      <c r="BU11" s="58" t="s">
        <v>40</v>
      </c>
      <c r="BV11" s="58" t="s">
        <v>73</v>
      </c>
      <c r="BW11" s="58" t="s">
        <v>74</v>
      </c>
      <c r="BX11" s="58" t="s">
        <v>52</v>
      </c>
      <c r="BY11" s="58" t="s">
        <v>44</v>
      </c>
      <c r="BZ11" s="58" t="s">
        <v>75</v>
      </c>
      <c r="CA11" s="64" t="s">
        <v>1977</v>
      </c>
      <c r="CB11" s="64" t="s">
        <v>2131</v>
      </c>
      <c r="CC11" s="58" t="s">
        <v>601</v>
      </c>
      <c r="CD11" s="64" t="s">
        <v>820</v>
      </c>
      <c r="CE11" s="64" t="s">
        <v>1926</v>
      </c>
      <c r="CF11" s="3" t="s">
        <v>1927</v>
      </c>
      <c r="CG11" s="3" t="s">
        <v>1928</v>
      </c>
      <c r="CH11" s="3" t="s">
        <v>1929</v>
      </c>
      <c r="CI11" s="3" t="s">
        <v>2009</v>
      </c>
      <c r="CJ11" s="58" t="str">
        <f>VLOOKUP($BE11,'Enriched - 2'!$B$2:$F$102, 2, false)</f>
        <v>Birds ; Mammals</v>
      </c>
      <c r="CK11" s="3" t="s">
        <v>2132</v>
      </c>
      <c r="CL11" s="3" t="s">
        <v>2133</v>
      </c>
      <c r="CM11" s="3" t="s">
        <v>2134</v>
      </c>
      <c r="CN11" s="58" t="str">
        <f>HYPERLINK("https%3A%2F%2Fwww.webofscience.com%2Fwos%2Fwoscc%2Ffull-record%2FWOS:000178204300010","View Full Record in Web of Science")</f>
        <v>View Full Record in Web of Science</v>
      </c>
    </row>
    <row r="12" ht="12.75" customHeight="1">
      <c r="A12" s="58" t="s">
        <v>1896</v>
      </c>
      <c r="B12" s="58" t="s">
        <v>2135</v>
      </c>
      <c r="C12" s="58" t="s">
        <v>1482</v>
      </c>
      <c r="D12" s="58" t="s">
        <v>1482</v>
      </c>
      <c r="E12" s="58" t="s">
        <v>1482</v>
      </c>
      <c r="F12" s="58" t="s">
        <v>2136</v>
      </c>
      <c r="G12" s="58" t="s">
        <v>1482</v>
      </c>
      <c r="H12" s="58" t="s">
        <v>1482</v>
      </c>
      <c r="I12" s="58" t="s">
        <v>2137</v>
      </c>
      <c r="J12" s="58" t="s">
        <v>2138</v>
      </c>
      <c r="K12" s="58" t="s">
        <v>1482</v>
      </c>
      <c r="L12" s="58" t="s">
        <v>1482</v>
      </c>
      <c r="M12" s="58" t="s">
        <v>1901</v>
      </c>
      <c r="N12" s="58" t="s">
        <v>2139</v>
      </c>
      <c r="O12" s="58" t="s">
        <v>2140</v>
      </c>
      <c r="P12" s="58">
        <v>2005.0</v>
      </c>
      <c r="Q12" s="58" t="s">
        <v>2141</v>
      </c>
      <c r="R12" s="58" t="s">
        <v>2142</v>
      </c>
      <c r="S12" s="58" t="s">
        <v>1482</v>
      </c>
      <c r="T12" s="58" t="s">
        <v>2143</v>
      </c>
      <c r="U12" s="58" t="s">
        <v>2144</v>
      </c>
      <c r="V12" s="58" t="s">
        <v>2145</v>
      </c>
      <c r="W12" s="58" t="s">
        <v>2146</v>
      </c>
      <c r="X12" s="58" t="s">
        <v>2147</v>
      </c>
      <c r="Y12" s="58" t="s">
        <v>2148</v>
      </c>
      <c r="Z12" s="58" t="s">
        <v>2149</v>
      </c>
      <c r="AA12" s="58" t="s">
        <v>2150</v>
      </c>
      <c r="AB12" s="58" t="s">
        <v>1482</v>
      </c>
      <c r="AC12" s="58" t="s">
        <v>1482</v>
      </c>
      <c r="AD12" s="58" t="s">
        <v>1482</v>
      </c>
      <c r="AE12" s="58" t="s">
        <v>1482</v>
      </c>
      <c r="AF12" s="58" t="s">
        <v>1482</v>
      </c>
      <c r="AG12" s="58">
        <v>56.0</v>
      </c>
      <c r="AH12" s="58">
        <v>122.0</v>
      </c>
      <c r="AI12" s="58">
        <v>144.0</v>
      </c>
      <c r="AJ12" s="58">
        <v>1.0</v>
      </c>
      <c r="AK12" s="58">
        <v>69.0</v>
      </c>
      <c r="AL12" s="58" t="s">
        <v>1998</v>
      </c>
      <c r="AM12" s="58" t="s">
        <v>1999</v>
      </c>
      <c r="AN12" s="58" t="s">
        <v>2000</v>
      </c>
      <c r="AO12" s="58" t="s">
        <v>2151</v>
      </c>
      <c r="AP12" s="58" t="s">
        <v>2152</v>
      </c>
      <c r="AQ12" s="58" t="s">
        <v>1482</v>
      </c>
      <c r="AR12" s="58" t="s">
        <v>2138</v>
      </c>
      <c r="AS12" s="58" t="s">
        <v>2153</v>
      </c>
      <c r="AT12" s="58" t="s">
        <v>1955</v>
      </c>
      <c r="AU12" s="58">
        <v>2007.0</v>
      </c>
      <c r="AV12" s="58">
        <v>39.0</v>
      </c>
      <c r="AW12" s="58">
        <v>3.0</v>
      </c>
      <c r="AX12" s="58" t="s">
        <v>1482</v>
      </c>
      <c r="AY12" s="58" t="s">
        <v>1482</v>
      </c>
      <c r="AZ12" s="58" t="s">
        <v>1482</v>
      </c>
      <c r="BA12" s="58" t="s">
        <v>1482</v>
      </c>
      <c r="BB12" s="58">
        <v>348.0</v>
      </c>
      <c r="BC12" s="58">
        <v>354.0</v>
      </c>
      <c r="BD12" s="58" t="s">
        <v>1482</v>
      </c>
      <c r="BE12" s="58" t="s">
        <v>1580</v>
      </c>
      <c r="BF12" s="65" t="str">
        <f>HYPERLINK("http://dx.doi.org/10.1111/j.1744-7429.2007.00276.x","http://dx.doi.org/10.1111/j.1744-7429.2007.00276.x")</f>
        <v>http://dx.doi.org/10.1111/j.1744-7429.2007.00276.x</v>
      </c>
      <c r="BG12" s="58" t="s">
        <v>1482</v>
      </c>
      <c r="BH12" s="58" t="s">
        <v>1482</v>
      </c>
      <c r="BI12" s="58">
        <v>7.0</v>
      </c>
      <c r="BJ12" s="58" t="s">
        <v>2154</v>
      </c>
      <c r="BK12" s="58" t="s">
        <v>2155</v>
      </c>
      <c r="BL12" s="58" t="s">
        <v>2156</v>
      </c>
      <c r="BM12" s="58" t="s">
        <v>2157</v>
      </c>
      <c r="BN12" s="58" t="s">
        <v>1482</v>
      </c>
      <c r="BO12" s="58" t="s">
        <v>1482</v>
      </c>
      <c r="BP12" s="58" t="s">
        <v>1482</v>
      </c>
      <c r="BQ12" s="58" t="s">
        <v>1482</v>
      </c>
      <c r="BR12" s="58" t="s">
        <v>1922</v>
      </c>
      <c r="BS12" s="58" t="s">
        <v>2158</v>
      </c>
      <c r="BT12" s="58" t="s">
        <v>539</v>
      </c>
      <c r="BU12" s="58" t="s">
        <v>540</v>
      </c>
      <c r="BV12" s="58" t="s">
        <v>41</v>
      </c>
      <c r="BW12" s="58" t="s">
        <v>541</v>
      </c>
      <c r="BX12" s="58" t="s">
        <v>52</v>
      </c>
      <c r="BY12" s="58" t="s">
        <v>68</v>
      </c>
      <c r="BZ12" s="58" t="s">
        <v>45</v>
      </c>
      <c r="CA12" s="64"/>
      <c r="CB12" s="64"/>
      <c r="CE12" s="64"/>
      <c r="CG12" s="3" t="s">
        <v>1928</v>
      </c>
      <c r="CH12" s="3" t="s">
        <v>1929</v>
      </c>
      <c r="CI12" s="3" t="s">
        <v>2009</v>
      </c>
      <c r="CJ12" s="58" t="str">
        <f>VLOOKUP($BE12,'Enriched - 2'!$B$2:$F$102, 2, false)</f>
        <v>Birds ; Mammals</v>
      </c>
      <c r="CK12" s="3" t="s">
        <v>2159</v>
      </c>
      <c r="CL12" s="3" t="s">
        <v>2160</v>
      </c>
      <c r="CM12" s="3" t="s">
        <v>2161</v>
      </c>
      <c r="CN12" s="58" t="str">
        <f>HYPERLINK("https%3A%2F%2Fwww.webofscience.com%2Fwos%2Fwoscc%2Ffull-record%2FWOS:000245939300007","View Full Record in Web of Science")</f>
        <v>View Full Record in Web of Science</v>
      </c>
    </row>
    <row r="13" ht="12.75" customHeight="1">
      <c r="A13" s="58" t="s">
        <v>1896</v>
      </c>
      <c r="B13" s="58" t="s">
        <v>2162</v>
      </c>
      <c r="C13" s="58" t="s">
        <v>1482</v>
      </c>
      <c r="D13" s="58" t="s">
        <v>1482</v>
      </c>
      <c r="E13" s="58" t="s">
        <v>1482</v>
      </c>
      <c r="F13" s="58" t="s">
        <v>2163</v>
      </c>
      <c r="G13" s="58" t="s">
        <v>1482</v>
      </c>
      <c r="H13" s="58" t="s">
        <v>1482</v>
      </c>
      <c r="I13" s="58" t="s">
        <v>2164</v>
      </c>
      <c r="J13" s="58" t="s">
        <v>2138</v>
      </c>
      <c r="K13" s="58" t="s">
        <v>1482</v>
      </c>
      <c r="L13" s="58" t="s">
        <v>1482</v>
      </c>
      <c r="M13" s="58" t="s">
        <v>1901</v>
      </c>
      <c r="N13" s="58" t="s">
        <v>1902</v>
      </c>
      <c r="O13" s="58" t="s">
        <v>1482</v>
      </c>
      <c r="P13" s="58" t="s">
        <v>1482</v>
      </c>
      <c r="Q13" s="58" t="s">
        <v>1482</v>
      </c>
      <c r="R13" s="58" t="s">
        <v>1482</v>
      </c>
      <c r="S13" s="58" t="s">
        <v>1482</v>
      </c>
      <c r="T13" s="58" t="s">
        <v>2165</v>
      </c>
      <c r="U13" s="58" t="s">
        <v>2166</v>
      </c>
      <c r="V13" s="58" t="s">
        <v>2167</v>
      </c>
      <c r="W13" s="58" t="s">
        <v>2168</v>
      </c>
      <c r="X13" s="58" t="s">
        <v>2169</v>
      </c>
      <c r="Y13" s="58" t="s">
        <v>2170</v>
      </c>
      <c r="Z13" s="58" t="s">
        <v>2171</v>
      </c>
      <c r="AA13" s="58" t="s">
        <v>2172</v>
      </c>
      <c r="AB13" s="58" t="s">
        <v>2173</v>
      </c>
      <c r="AC13" s="58" t="s">
        <v>2174</v>
      </c>
      <c r="AD13" s="58" t="s">
        <v>2175</v>
      </c>
      <c r="AE13" s="58" t="s">
        <v>2176</v>
      </c>
      <c r="AF13" s="58" t="s">
        <v>1482</v>
      </c>
      <c r="AG13" s="58">
        <v>66.0</v>
      </c>
      <c r="AH13" s="58">
        <v>68.0</v>
      </c>
      <c r="AI13" s="58">
        <v>84.0</v>
      </c>
      <c r="AJ13" s="58">
        <v>0.0</v>
      </c>
      <c r="AK13" s="58">
        <v>91.0</v>
      </c>
      <c r="AL13" s="58" t="s">
        <v>1998</v>
      </c>
      <c r="AM13" s="58" t="s">
        <v>1999</v>
      </c>
      <c r="AN13" s="58" t="s">
        <v>2000</v>
      </c>
      <c r="AO13" s="58" t="s">
        <v>2151</v>
      </c>
      <c r="AP13" s="58" t="s">
        <v>2152</v>
      </c>
      <c r="AQ13" s="58" t="s">
        <v>1482</v>
      </c>
      <c r="AR13" s="58" t="s">
        <v>2138</v>
      </c>
      <c r="AS13" s="58" t="s">
        <v>2153</v>
      </c>
      <c r="AT13" s="58" t="s">
        <v>2177</v>
      </c>
      <c r="AU13" s="58">
        <v>2010.0</v>
      </c>
      <c r="AV13" s="58">
        <v>42.0</v>
      </c>
      <c r="AW13" s="58">
        <v>2.0</v>
      </c>
      <c r="AX13" s="58" t="s">
        <v>1482</v>
      </c>
      <c r="AY13" s="58" t="s">
        <v>1482</v>
      </c>
      <c r="AZ13" s="58" t="s">
        <v>1482</v>
      </c>
      <c r="BA13" s="58" t="s">
        <v>1482</v>
      </c>
      <c r="BB13" s="58">
        <v>251.0</v>
      </c>
      <c r="BC13" s="58">
        <v>261.0</v>
      </c>
      <c r="BD13" s="58" t="s">
        <v>1482</v>
      </c>
      <c r="BE13" s="58" t="s">
        <v>1524</v>
      </c>
      <c r="BF13" s="65" t="str">
        <f>HYPERLINK("http://dx.doi.org/10.1111/j.1744-7429.2009.00546.x","http://dx.doi.org/10.1111/j.1744-7429.2009.00546.x")</f>
        <v>http://dx.doi.org/10.1111/j.1744-7429.2009.00546.x</v>
      </c>
      <c r="BG13" s="58" t="s">
        <v>1482</v>
      </c>
      <c r="BH13" s="58" t="s">
        <v>1482</v>
      </c>
      <c r="BI13" s="58">
        <v>11.0</v>
      </c>
      <c r="BJ13" s="58" t="s">
        <v>2154</v>
      </c>
      <c r="BK13" s="58" t="s">
        <v>1920</v>
      </c>
      <c r="BL13" s="58" t="s">
        <v>2156</v>
      </c>
      <c r="BM13" s="58" t="s">
        <v>2178</v>
      </c>
      <c r="BN13" s="58" t="s">
        <v>1482</v>
      </c>
      <c r="BO13" s="58" t="s">
        <v>2037</v>
      </c>
      <c r="BP13" s="58" t="s">
        <v>1482</v>
      </c>
      <c r="BQ13" s="58" t="s">
        <v>1482</v>
      </c>
      <c r="BR13" s="58" t="s">
        <v>1922</v>
      </c>
      <c r="BS13" s="58" t="s">
        <v>2179</v>
      </c>
      <c r="BT13" s="58" t="s">
        <v>223</v>
      </c>
      <c r="BU13" s="58" t="s">
        <v>102</v>
      </c>
      <c r="BV13" s="58" t="s">
        <v>73</v>
      </c>
      <c r="BW13" s="58" t="s">
        <v>224</v>
      </c>
      <c r="BX13" s="58" t="s">
        <v>52</v>
      </c>
      <c r="BY13" s="58" t="s">
        <v>44</v>
      </c>
      <c r="BZ13" s="58" t="s">
        <v>45</v>
      </c>
      <c r="CA13" s="64" t="s">
        <v>1977</v>
      </c>
      <c r="CB13" s="64" t="s">
        <v>2180</v>
      </c>
      <c r="CC13" s="58" t="s">
        <v>601</v>
      </c>
      <c r="CD13" s="64" t="s">
        <v>820</v>
      </c>
      <c r="CE13" s="64" t="s">
        <v>1926</v>
      </c>
      <c r="CF13" s="3" t="s">
        <v>1927</v>
      </c>
      <c r="CG13" s="3" t="s">
        <v>1928</v>
      </c>
      <c r="CH13" s="3" t="s">
        <v>1929</v>
      </c>
      <c r="CI13" s="3" t="s">
        <v>2009</v>
      </c>
      <c r="CJ13" s="58" t="str">
        <f>VLOOKUP($BE13,'Enriched - 2'!$B$2:$F$102, 2, false)</f>
        <v>Birds ; Mammals</v>
      </c>
      <c r="CK13" s="3" t="s">
        <v>2181</v>
      </c>
      <c r="CL13" s="3" t="s">
        <v>2182</v>
      </c>
      <c r="CM13" s="3" t="s">
        <v>2183</v>
      </c>
      <c r="CN13" s="58" t="str">
        <f>HYPERLINK("https%3A%2F%2Fwww.webofscience.com%2Fwos%2Fwoscc%2Ffull-record%2FWOS:000275215700017","View Full Record in Web of Science")</f>
        <v>View Full Record in Web of Science</v>
      </c>
    </row>
    <row r="14" ht="12.75" customHeight="1">
      <c r="A14" s="58" t="s">
        <v>1896</v>
      </c>
      <c r="B14" s="58" t="s">
        <v>2184</v>
      </c>
      <c r="C14" s="58" t="s">
        <v>1482</v>
      </c>
      <c r="D14" s="58" t="s">
        <v>1482</v>
      </c>
      <c r="E14" s="58" t="s">
        <v>1482</v>
      </c>
      <c r="F14" s="58" t="s">
        <v>2185</v>
      </c>
      <c r="G14" s="58" t="s">
        <v>1482</v>
      </c>
      <c r="H14" s="58" t="s">
        <v>1482</v>
      </c>
      <c r="I14" s="58" t="s">
        <v>2186</v>
      </c>
      <c r="J14" s="58" t="s">
        <v>2016</v>
      </c>
      <c r="K14" s="58" t="s">
        <v>1482</v>
      </c>
      <c r="L14" s="58" t="s">
        <v>1482</v>
      </c>
      <c r="M14" s="58" t="s">
        <v>1901</v>
      </c>
      <c r="N14" s="58" t="s">
        <v>1902</v>
      </c>
      <c r="O14" s="58" t="s">
        <v>1482</v>
      </c>
      <c r="P14" s="58" t="s">
        <v>1482</v>
      </c>
      <c r="Q14" s="58" t="s">
        <v>1482</v>
      </c>
      <c r="R14" s="58" t="s">
        <v>1482</v>
      </c>
      <c r="S14" s="58" t="s">
        <v>1482</v>
      </c>
      <c r="T14" s="58" t="s">
        <v>2187</v>
      </c>
      <c r="U14" s="58" t="s">
        <v>2188</v>
      </c>
      <c r="V14" s="58" t="s">
        <v>2189</v>
      </c>
      <c r="W14" s="58" t="s">
        <v>2190</v>
      </c>
      <c r="X14" s="58" t="s">
        <v>2191</v>
      </c>
      <c r="Y14" s="58" t="s">
        <v>2192</v>
      </c>
      <c r="Z14" s="58" t="s">
        <v>2193</v>
      </c>
      <c r="AA14" s="58" t="s">
        <v>2194</v>
      </c>
      <c r="AB14" s="58" t="s">
        <v>2195</v>
      </c>
      <c r="AC14" s="58" t="s">
        <v>2196</v>
      </c>
      <c r="AD14" s="58" t="s">
        <v>2196</v>
      </c>
      <c r="AE14" s="58" t="s">
        <v>2197</v>
      </c>
      <c r="AF14" s="58" t="s">
        <v>1482</v>
      </c>
      <c r="AG14" s="58">
        <v>49.0</v>
      </c>
      <c r="AH14" s="58">
        <v>18.0</v>
      </c>
      <c r="AI14" s="58">
        <v>24.0</v>
      </c>
      <c r="AJ14" s="58">
        <v>0.0</v>
      </c>
      <c r="AK14" s="58">
        <v>35.0</v>
      </c>
      <c r="AL14" s="58" t="s">
        <v>1998</v>
      </c>
      <c r="AM14" s="58" t="s">
        <v>1999</v>
      </c>
      <c r="AN14" s="58" t="s">
        <v>2000</v>
      </c>
      <c r="AO14" s="58" t="s">
        <v>2029</v>
      </c>
      <c r="AP14" s="58" t="s">
        <v>2030</v>
      </c>
      <c r="AQ14" s="58" t="s">
        <v>1482</v>
      </c>
      <c r="AR14" s="58" t="s">
        <v>2031</v>
      </c>
      <c r="AS14" s="58" t="s">
        <v>2032</v>
      </c>
      <c r="AT14" s="58" t="s">
        <v>2198</v>
      </c>
      <c r="AU14" s="58">
        <v>2011.0</v>
      </c>
      <c r="AV14" s="58">
        <v>14.0</v>
      </c>
      <c r="AW14" s="58">
        <v>4.0</v>
      </c>
      <c r="AX14" s="58" t="s">
        <v>1482</v>
      </c>
      <c r="AY14" s="58" t="s">
        <v>1482</v>
      </c>
      <c r="AZ14" s="58" t="s">
        <v>1482</v>
      </c>
      <c r="BA14" s="58" t="s">
        <v>1482</v>
      </c>
      <c r="BB14" s="58">
        <v>409.0</v>
      </c>
      <c r="BC14" s="58">
        <v>418.0</v>
      </c>
      <c r="BD14" s="58" t="s">
        <v>1482</v>
      </c>
      <c r="BE14" s="58" t="s">
        <v>1512</v>
      </c>
      <c r="BF14" s="65" t="str">
        <f>HYPERLINK("http://dx.doi.org/10.1111/j.1469-1795.2011.00437.x","http://dx.doi.org/10.1111/j.1469-1795.2011.00437.x")</f>
        <v>http://dx.doi.org/10.1111/j.1469-1795.2011.00437.x</v>
      </c>
      <c r="BG14" s="58" t="s">
        <v>1482</v>
      </c>
      <c r="BH14" s="58" t="s">
        <v>1482</v>
      </c>
      <c r="BI14" s="58">
        <v>10.0</v>
      </c>
      <c r="BJ14" s="58" t="s">
        <v>2034</v>
      </c>
      <c r="BK14" s="58" t="s">
        <v>1920</v>
      </c>
      <c r="BL14" s="58" t="s">
        <v>1957</v>
      </c>
      <c r="BM14" s="58" t="s">
        <v>2199</v>
      </c>
      <c r="BN14" s="58" t="s">
        <v>1482</v>
      </c>
      <c r="BO14" s="58" t="s">
        <v>2037</v>
      </c>
      <c r="BP14" s="58" t="s">
        <v>1482</v>
      </c>
      <c r="BQ14" s="58" t="s">
        <v>1482</v>
      </c>
      <c r="BR14" s="58" t="s">
        <v>1922</v>
      </c>
      <c r="BS14" s="58" t="s">
        <v>2200</v>
      </c>
      <c r="BT14" s="58" t="s">
        <v>109</v>
      </c>
      <c r="BU14" s="58" t="s">
        <v>110</v>
      </c>
      <c r="BV14" s="58" t="s">
        <v>41</v>
      </c>
      <c r="BW14" s="58" t="s">
        <v>111</v>
      </c>
      <c r="BX14" s="58" t="s">
        <v>52</v>
      </c>
      <c r="BY14" s="58" t="s">
        <v>59</v>
      </c>
      <c r="BZ14" s="58" t="s">
        <v>60</v>
      </c>
      <c r="CA14" s="64" t="s">
        <v>1960</v>
      </c>
      <c r="CB14" s="64" t="s">
        <v>2201</v>
      </c>
      <c r="CC14" s="58" t="s">
        <v>641</v>
      </c>
      <c r="CD14" s="64" t="s">
        <v>717</v>
      </c>
      <c r="CE14" s="64" t="s">
        <v>1962</v>
      </c>
      <c r="CF14" s="3" t="s">
        <v>1927</v>
      </c>
      <c r="CG14" s="3" t="s">
        <v>1928</v>
      </c>
      <c r="CH14" s="3" t="s">
        <v>1929</v>
      </c>
      <c r="CI14" s="3" t="s">
        <v>2202</v>
      </c>
      <c r="CJ14" s="58" t="str">
        <f>VLOOKUP($BE14,'Enriched - 2'!$B$2:$F$102, 2, false)</f>
        <v>Mammals</v>
      </c>
      <c r="CK14" s="3" t="s">
        <v>2203</v>
      </c>
      <c r="CL14" s="3" t="s">
        <v>2204</v>
      </c>
      <c r="CM14" s="3" t="s">
        <v>2205</v>
      </c>
      <c r="CN14" s="58" t="str">
        <f>HYPERLINK("https%3A%2F%2Fwww.webofscience.com%2Fwos%2Fwoscc%2Ffull-record%2FWOS:000293173900014","View Full Record in Web of Science")</f>
        <v>View Full Record in Web of Science</v>
      </c>
    </row>
    <row r="15" ht="12.75" customHeight="1">
      <c r="A15" s="58" t="s">
        <v>1896</v>
      </c>
      <c r="B15" s="58" t="s">
        <v>2206</v>
      </c>
      <c r="C15" s="58" t="s">
        <v>1482</v>
      </c>
      <c r="D15" s="58" t="s">
        <v>1482</v>
      </c>
      <c r="E15" s="58" t="s">
        <v>1482</v>
      </c>
      <c r="F15" s="58" t="s">
        <v>2207</v>
      </c>
      <c r="G15" s="58" t="s">
        <v>1482</v>
      </c>
      <c r="H15" s="58" t="s">
        <v>1482</v>
      </c>
      <c r="I15" s="58" t="s">
        <v>2208</v>
      </c>
      <c r="J15" s="58" t="s">
        <v>2209</v>
      </c>
      <c r="K15" s="58" t="s">
        <v>1482</v>
      </c>
      <c r="L15" s="58" t="s">
        <v>1482</v>
      </c>
      <c r="M15" s="58" t="s">
        <v>1901</v>
      </c>
      <c r="N15" s="58" t="s">
        <v>2139</v>
      </c>
      <c r="O15" s="58" t="s">
        <v>2210</v>
      </c>
      <c r="P15" s="58" t="s">
        <v>2211</v>
      </c>
      <c r="Q15" s="58" t="s">
        <v>2212</v>
      </c>
      <c r="R15" s="58" t="s">
        <v>2213</v>
      </c>
      <c r="S15" s="58" t="s">
        <v>1482</v>
      </c>
      <c r="T15" s="58" t="s">
        <v>2214</v>
      </c>
      <c r="U15" s="58" t="s">
        <v>2215</v>
      </c>
      <c r="V15" s="58" t="s">
        <v>2216</v>
      </c>
      <c r="W15" s="58" t="s">
        <v>2217</v>
      </c>
      <c r="X15" s="58" t="s">
        <v>2218</v>
      </c>
      <c r="Y15" s="58" t="s">
        <v>2219</v>
      </c>
      <c r="Z15" s="58" t="s">
        <v>2220</v>
      </c>
      <c r="AA15" s="58" t="s">
        <v>2221</v>
      </c>
      <c r="AB15" s="58" t="s">
        <v>2222</v>
      </c>
      <c r="AC15" s="58" t="s">
        <v>2223</v>
      </c>
      <c r="AD15" s="58" t="s">
        <v>2224</v>
      </c>
      <c r="AE15" s="58" t="s">
        <v>1482</v>
      </c>
      <c r="AF15" s="58" t="s">
        <v>1482</v>
      </c>
      <c r="AG15" s="58">
        <v>61.0</v>
      </c>
      <c r="AH15" s="58">
        <v>60.0</v>
      </c>
      <c r="AI15" s="58">
        <v>70.0</v>
      </c>
      <c r="AJ15" s="58">
        <v>2.0</v>
      </c>
      <c r="AK15" s="58">
        <v>30.0</v>
      </c>
      <c r="AL15" s="58" t="s">
        <v>1948</v>
      </c>
      <c r="AM15" s="58" t="s">
        <v>2225</v>
      </c>
      <c r="AN15" s="58" t="s">
        <v>2226</v>
      </c>
      <c r="AO15" s="58" t="s">
        <v>2227</v>
      </c>
      <c r="AP15" s="58" t="s">
        <v>2228</v>
      </c>
      <c r="AQ15" s="58" t="s">
        <v>1482</v>
      </c>
      <c r="AR15" s="58" t="s">
        <v>2229</v>
      </c>
      <c r="AS15" s="58" t="s">
        <v>2230</v>
      </c>
      <c r="AT15" s="58" t="s">
        <v>2198</v>
      </c>
      <c r="AU15" s="58">
        <v>2008.0</v>
      </c>
      <c r="AV15" s="58">
        <v>29.0</v>
      </c>
      <c r="AW15" s="58">
        <v>4.0</v>
      </c>
      <c r="AX15" s="58" t="s">
        <v>1482</v>
      </c>
      <c r="AY15" s="58" t="s">
        <v>1482</v>
      </c>
      <c r="AZ15" s="58" t="s">
        <v>1482</v>
      </c>
      <c r="BA15" s="58" t="s">
        <v>1482</v>
      </c>
      <c r="BB15" s="58">
        <v>1065.0</v>
      </c>
      <c r="BC15" s="58">
        <v>1082.0</v>
      </c>
      <c r="BD15" s="58" t="s">
        <v>1482</v>
      </c>
      <c r="BE15" s="58" t="s">
        <v>1537</v>
      </c>
      <c r="BF15" s="65" t="str">
        <f>HYPERLINK("http://dx.doi.org/10.1007/s10764-008-9254-9","http://dx.doi.org/10.1007/s10764-008-9254-9")</f>
        <v>http://dx.doi.org/10.1007/s10764-008-9254-9</v>
      </c>
      <c r="BG15" s="58" t="s">
        <v>1482</v>
      </c>
      <c r="BH15" s="58" t="s">
        <v>1482</v>
      </c>
      <c r="BI15" s="58">
        <v>18.0</v>
      </c>
      <c r="BJ15" s="58" t="s">
        <v>1919</v>
      </c>
      <c r="BK15" s="58" t="s">
        <v>2155</v>
      </c>
      <c r="BL15" s="58" t="s">
        <v>1919</v>
      </c>
      <c r="BM15" s="58" t="s">
        <v>2231</v>
      </c>
      <c r="BN15" s="58" t="s">
        <v>1482</v>
      </c>
      <c r="BO15" s="58" t="s">
        <v>1482</v>
      </c>
      <c r="BP15" s="58" t="s">
        <v>1482</v>
      </c>
      <c r="BQ15" s="58" t="s">
        <v>1482</v>
      </c>
      <c r="BR15" s="58" t="s">
        <v>1922</v>
      </c>
      <c r="BS15" s="58" t="s">
        <v>2232</v>
      </c>
      <c r="BT15" s="58" t="s">
        <v>321</v>
      </c>
      <c r="BU15" s="58" t="s">
        <v>322</v>
      </c>
      <c r="BV15" s="58" t="s">
        <v>41</v>
      </c>
      <c r="BW15" s="58" t="s">
        <v>323</v>
      </c>
      <c r="BX15" s="58" t="s">
        <v>52</v>
      </c>
      <c r="BY15" s="58" t="s">
        <v>59</v>
      </c>
      <c r="BZ15" s="58" t="s">
        <v>60</v>
      </c>
      <c r="CA15" s="64" t="s">
        <v>1960</v>
      </c>
      <c r="CB15" s="64" t="s">
        <v>2233</v>
      </c>
      <c r="CC15" s="58" t="s">
        <v>641</v>
      </c>
      <c r="CD15" s="64" t="s">
        <v>820</v>
      </c>
      <c r="CE15" s="64" t="s">
        <v>1926</v>
      </c>
      <c r="CF15" s="3" t="s">
        <v>1927</v>
      </c>
      <c r="CG15" s="3" t="s">
        <v>1928</v>
      </c>
      <c r="CH15" s="3" t="s">
        <v>1929</v>
      </c>
      <c r="CI15" s="3" t="s">
        <v>2202</v>
      </c>
      <c r="CJ15" s="58" t="str">
        <f>VLOOKUP($BE15,'Enriched - 2'!$B$2:$F$102, 2, false)</f>
        <v>Mammals</v>
      </c>
      <c r="CK15" s="3" t="s">
        <v>2234</v>
      </c>
      <c r="CL15" s="3" t="s">
        <v>2235</v>
      </c>
      <c r="CM15" s="3" t="s">
        <v>2236</v>
      </c>
      <c r="CN15" s="58" t="str">
        <f>HYPERLINK("https%3A%2F%2Fwww.webofscience.com%2Fwos%2Fwoscc%2Ffull-record%2FWOS:000258959800015","View Full Record in Web of Science")</f>
        <v>View Full Record in Web of Science</v>
      </c>
    </row>
    <row r="16" ht="12.75" customHeight="1">
      <c r="A16" s="58" t="s">
        <v>1896</v>
      </c>
      <c r="B16" s="58" t="s">
        <v>2237</v>
      </c>
      <c r="C16" s="58" t="s">
        <v>1482</v>
      </c>
      <c r="D16" s="58" t="s">
        <v>1482</v>
      </c>
      <c r="E16" s="58" t="s">
        <v>1482</v>
      </c>
      <c r="F16" s="58" t="s">
        <v>2238</v>
      </c>
      <c r="G16" s="58" t="s">
        <v>1482</v>
      </c>
      <c r="H16" s="58" t="s">
        <v>1482</v>
      </c>
      <c r="I16" s="58" t="s">
        <v>2239</v>
      </c>
      <c r="J16" s="58" t="s">
        <v>2240</v>
      </c>
      <c r="K16" s="58" t="s">
        <v>1482</v>
      </c>
      <c r="L16" s="58" t="s">
        <v>1482</v>
      </c>
      <c r="M16" s="58" t="s">
        <v>1901</v>
      </c>
      <c r="N16" s="58" t="s">
        <v>1902</v>
      </c>
      <c r="O16" s="58" t="s">
        <v>1482</v>
      </c>
      <c r="P16" s="58" t="s">
        <v>1482</v>
      </c>
      <c r="Q16" s="58" t="s">
        <v>1482</v>
      </c>
      <c r="R16" s="58" t="s">
        <v>1482</v>
      </c>
      <c r="S16" s="58" t="s">
        <v>1482</v>
      </c>
      <c r="T16" s="58" t="s">
        <v>2241</v>
      </c>
      <c r="U16" s="58" t="s">
        <v>2242</v>
      </c>
      <c r="V16" s="58" t="s">
        <v>2243</v>
      </c>
      <c r="W16" s="58" t="s">
        <v>2244</v>
      </c>
      <c r="X16" s="58" t="s">
        <v>2245</v>
      </c>
      <c r="Y16" s="58" t="s">
        <v>2246</v>
      </c>
      <c r="Z16" s="58" t="s">
        <v>2247</v>
      </c>
      <c r="AA16" s="58" t="s">
        <v>2248</v>
      </c>
      <c r="AB16" s="58" t="s">
        <v>2249</v>
      </c>
      <c r="AC16" s="58" t="s">
        <v>2250</v>
      </c>
      <c r="AD16" s="58" t="s">
        <v>2251</v>
      </c>
      <c r="AE16" s="58" t="s">
        <v>2252</v>
      </c>
      <c r="AF16" s="58" t="s">
        <v>1482</v>
      </c>
      <c r="AG16" s="58">
        <v>67.0</v>
      </c>
      <c r="AH16" s="58">
        <v>27.0</v>
      </c>
      <c r="AI16" s="58">
        <v>30.0</v>
      </c>
      <c r="AJ16" s="58">
        <v>0.0</v>
      </c>
      <c r="AK16" s="58">
        <v>97.0</v>
      </c>
      <c r="AL16" s="58" t="s">
        <v>1998</v>
      </c>
      <c r="AM16" s="58" t="s">
        <v>1999</v>
      </c>
      <c r="AN16" s="58" t="s">
        <v>2000</v>
      </c>
      <c r="AO16" s="58" t="s">
        <v>2253</v>
      </c>
      <c r="AP16" s="58" t="s">
        <v>2254</v>
      </c>
      <c r="AQ16" s="58" t="s">
        <v>1482</v>
      </c>
      <c r="AR16" s="58" t="s">
        <v>2255</v>
      </c>
      <c r="AS16" s="58" t="s">
        <v>2256</v>
      </c>
      <c r="AT16" s="58" t="s">
        <v>2033</v>
      </c>
      <c r="AU16" s="58">
        <v>2014.0</v>
      </c>
      <c r="AV16" s="58">
        <v>76.0</v>
      </c>
      <c r="AW16" s="58">
        <v>6.0</v>
      </c>
      <c r="AX16" s="58" t="s">
        <v>1482</v>
      </c>
      <c r="AY16" s="58" t="s">
        <v>1482</v>
      </c>
      <c r="AZ16" s="58" t="s">
        <v>1482</v>
      </c>
      <c r="BA16" s="58" t="s">
        <v>1482</v>
      </c>
      <c r="BB16" s="58">
        <v>515.0</v>
      </c>
      <c r="BC16" s="58">
        <v>528.0</v>
      </c>
      <c r="BD16" s="58" t="s">
        <v>1482</v>
      </c>
      <c r="BE16" s="58" t="s">
        <v>1538</v>
      </c>
      <c r="BF16" s="65" t="str">
        <f>HYPERLINK("http://dx.doi.org/10.1002/ajp.22243","http://dx.doi.org/10.1002/ajp.22243")</f>
        <v>http://dx.doi.org/10.1002/ajp.22243</v>
      </c>
      <c r="BG16" s="58" t="s">
        <v>1482</v>
      </c>
      <c r="BH16" s="58" t="s">
        <v>1482</v>
      </c>
      <c r="BI16" s="58">
        <v>14.0</v>
      </c>
      <c r="BJ16" s="58" t="s">
        <v>1919</v>
      </c>
      <c r="BK16" s="58" t="s">
        <v>1920</v>
      </c>
      <c r="BL16" s="58" t="s">
        <v>1919</v>
      </c>
      <c r="BM16" s="58" t="s">
        <v>2257</v>
      </c>
      <c r="BN16" s="58">
        <v>2.444325E7</v>
      </c>
      <c r="BO16" s="58" t="s">
        <v>2258</v>
      </c>
      <c r="BP16" s="58" t="s">
        <v>1482</v>
      </c>
      <c r="BQ16" s="58" t="s">
        <v>1482</v>
      </c>
      <c r="BR16" s="58" t="s">
        <v>1922</v>
      </c>
      <c r="BS16" s="58" t="s">
        <v>2259</v>
      </c>
      <c r="BT16" s="58" t="s">
        <v>327</v>
      </c>
      <c r="BU16" s="58" t="s">
        <v>328</v>
      </c>
      <c r="BV16" s="58" t="s">
        <v>41</v>
      </c>
      <c r="BW16" s="58" t="s">
        <v>329</v>
      </c>
      <c r="BX16" s="58" t="s">
        <v>58</v>
      </c>
      <c r="BY16" s="58" t="s">
        <v>44</v>
      </c>
      <c r="BZ16" s="58" t="s">
        <v>60</v>
      </c>
      <c r="CA16" s="64" t="s">
        <v>1960</v>
      </c>
      <c r="CB16" s="64" t="s">
        <v>2260</v>
      </c>
      <c r="CC16" s="58" t="s">
        <v>601</v>
      </c>
      <c r="CD16" s="64" t="s">
        <v>701</v>
      </c>
      <c r="CE16" s="64" t="s">
        <v>1926</v>
      </c>
      <c r="CF16" s="3" t="s">
        <v>1927</v>
      </c>
      <c r="CG16" s="3" t="s">
        <v>1928</v>
      </c>
      <c r="CH16" s="3" t="s">
        <v>1929</v>
      </c>
      <c r="CI16" s="3" t="s">
        <v>2202</v>
      </c>
      <c r="CJ16" s="58" t="str">
        <f>VLOOKUP($BE16,'Enriched - 2'!$B$2:$F$102, 2, false)</f>
        <v>Mammals</v>
      </c>
      <c r="CK16" s="3" t="s">
        <v>2261</v>
      </c>
      <c r="CL16" s="3" t="s">
        <v>2262</v>
      </c>
      <c r="CM16" s="3" t="s">
        <v>2236</v>
      </c>
      <c r="CN16" s="58" t="str">
        <f>HYPERLINK("https%3A%2F%2Fwww.webofscience.com%2Fwos%2Fwoscc%2Ffull-record%2FWOS:000335490200001","View Full Record in Web of Science")</f>
        <v>View Full Record in Web of Science</v>
      </c>
    </row>
    <row r="17" ht="12.75" customHeight="1">
      <c r="A17" s="58" t="s">
        <v>1896</v>
      </c>
      <c r="B17" s="58" t="s">
        <v>2263</v>
      </c>
      <c r="C17" s="58" t="s">
        <v>1482</v>
      </c>
      <c r="D17" s="58" t="s">
        <v>1482</v>
      </c>
      <c r="E17" s="58" t="s">
        <v>1482</v>
      </c>
      <c r="F17" s="58" t="s">
        <v>2264</v>
      </c>
      <c r="G17" s="58" t="s">
        <v>1482</v>
      </c>
      <c r="H17" s="58" t="s">
        <v>1482</v>
      </c>
      <c r="I17" s="58" t="s">
        <v>2265</v>
      </c>
      <c r="J17" s="58" t="s">
        <v>2266</v>
      </c>
      <c r="K17" s="58" t="s">
        <v>1482</v>
      </c>
      <c r="L17" s="58" t="s">
        <v>1482</v>
      </c>
      <c r="M17" s="58" t="s">
        <v>1901</v>
      </c>
      <c r="N17" s="58" t="s">
        <v>1902</v>
      </c>
      <c r="O17" s="58" t="s">
        <v>1482</v>
      </c>
      <c r="P17" s="58" t="s">
        <v>1482</v>
      </c>
      <c r="Q17" s="58" t="s">
        <v>1482</v>
      </c>
      <c r="R17" s="58" t="s">
        <v>1482</v>
      </c>
      <c r="S17" s="58" t="s">
        <v>1482</v>
      </c>
      <c r="T17" s="58" t="s">
        <v>2267</v>
      </c>
      <c r="U17" s="58" t="s">
        <v>2268</v>
      </c>
      <c r="V17" s="58" t="s">
        <v>2269</v>
      </c>
      <c r="W17" s="58" t="s">
        <v>2270</v>
      </c>
      <c r="X17" s="58" t="s">
        <v>2271</v>
      </c>
      <c r="Y17" s="58" t="s">
        <v>2272</v>
      </c>
      <c r="Z17" s="58" t="s">
        <v>2273</v>
      </c>
      <c r="AA17" s="58" t="s">
        <v>2274</v>
      </c>
      <c r="AB17" s="58" t="s">
        <v>2275</v>
      </c>
      <c r="AC17" s="58" t="s">
        <v>2276</v>
      </c>
      <c r="AD17" s="58" t="s">
        <v>2276</v>
      </c>
      <c r="AE17" s="58" t="s">
        <v>2277</v>
      </c>
      <c r="AF17" s="58" t="s">
        <v>1482</v>
      </c>
      <c r="AG17" s="58">
        <v>63.0</v>
      </c>
      <c r="AH17" s="58">
        <v>67.0</v>
      </c>
      <c r="AI17" s="58">
        <v>84.0</v>
      </c>
      <c r="AJ17" s="58">
        <v>1.0</v>
      </c>
      <c r="AK17" s="58">
        <v>89.0</v>
      </c>
      <c r="AL17" s="58" t="s">
        <v>2278</v>
      </c>
      <c r="AM17" s="58" t="s">
        <v>2279</v>
      </c>
      <c r="AN17" s="58" t="s">
        <v>2280</v>
      </c>
      <c r="AO17" s="58" t="s">
        <v>2281</v>
      </c>
      <c r="AP17" s="58" t="s">
        <v>2282</v>
      </c>
      <c r="AQ17" s="58" t="s">
        <v>1482</v>
      </c>
      <c r="AR17" s="58" t="s">
        <v>2283</v>
      </c>
      <c r="AS17" s="58" t="s">
        <v>2284</v>
      </c>
      <c r="AT17" s="58" t="s">
        <v>2285</v>
      </c>
      <c r="AU17" s="58">
        <v>2012.0</v>
      </c>
      <c r="AV17" s="58">
        <v>146.0</v>
      </c>
      <c r="AW17" s="58">
        <v>1.0</v>
      </c>
      <c r="AX17" s="58" t="s">
        <v>1482</v>
      </c>
      <c r="AY17" s="58" t="s">
        <v>1482</v>
      </c>
      <c r="AZ17" s="58" t="s">
        <v>1482</v>
      </c>
      <c r="BA17" s="58" t="s">
        <v>1482</v>
      </c>
      <c r="BB17" s="58">
        <v>89.0</v>
      </c>
      <c r="BC17" s="58">
        <v>96.0</v>
      </c>
      <c r="BD17" s="58" t="s">
        <v>1482</v>
      </c>
      <c r="BE17" s="58" t="s">
        <v>1558</v>
      </c>
      <c r="BF17" s="65" t="str">
        <f>HYPERLINK("http://dx.doi.org/10.1016/j.biocon.2011.09.017","http://dx.doi.org/10.1016/j.biocon.2011.09.017")</f>
        <v>http://dx.doi.org/10.1016/j.biocon.2011.09.017</v>
      </c>
      <c r="BG17" s="58" t="s">
        <v>1482</v>
      </c>
      <c r="BH17" s="58" t="s">
        <v>1482</v>
      </c>
      <c r="BI17" s="58">
        <v>8.0</v>
      </c>
      <c r="BJ17" s="58" t="s">
        <v>1956</v>
      </c>
      <c r="BK17" s="58" t="s">
        <v>1920</v>
      </c>
      <c r="BL17" s="58" t="s">
        <v>1957</v>
      </c>
      <c r="BM17" s="58" t="s">
        <v>2286</v>
      </c>
      <c r="BN17" s="58" t="s">
        <v>1482</v>
      </c>
      <c r="BO17" s="58" t="s">
        <v>1482</v>
      </c>
      <c r="BP17" s="58" t="s">
        <v>1482</v>
      </c>
      <c r="BQ17" s="58" t="s">
        <v>1482</v>
      </c>
      <c r="BR17" s="58" t="s">
        <v>1922</v>
      </c>
      <c r="BS17" s="58" t="s">
        <v>2287</v>
      </c>
      <c r="BT17" s="58" t="s">
        <v>464</v>
      </c>
      <c r="BU17" s="58" t="s">
        <v>465</v>
      </c>
      <c r="BV17" s="58" t="s">
        <v>41</v>
      </c>
      <c r="BW17" s="58" t="s">
        <v>466</v>
      </c>
      <c r="BX17" s="58" t="s">
        <v>52</v>
      </c>
      <c r="BY17" s="58" t="s">
        <v>68</v>
      </c>
      <c r="BZ17" s="58" t="s">
        <v>60</v>
      </c>
      <c r="CA17" s="64" t="s">
        <v>1960</v>
      </c>
      <c r="CB17" s="64" t="s">
        <v>1961</v>
      </c>
      <c r="CC17" s="58" t="s">
        <v>601</v>
      </c>
      <c r="CD17" s="64" t="s">
        <v>729</v>
      </c>
      <c r="CE17" s="64" t="s">
        <v>1926</v>
      </c>
      <c r="CF17" s="3" t="s">
        <v>1927</v>
      </c>
      <c r="CG17" s="3" t="s">
        <v>1928</v>
      </c>
      <c r="CH17" s="3" t="s">
        <v>1929</v>
      </c>
      <c r="CI17" s="3" t="s">
        <v>2202</v>
      </c>
      <c r="CJ17" s="58" t="str">
        <f>VLOOKUP($BE17,'Enriched - 2'!$B$2:$F$102, 2, false)</f>
        <v>Mammals</v>
      </c>
      <c r="CK17" s="3" t="s">
        <v>2288</v>
      </c>
      <c r="CL17" s="3" t="s">
        <v>2289</v>
      </c>
      <c r="CM17" s="3" t="s">
        <v>2236</v>
      </c>
      <c r="CN17" s="58" t="str">
        <f>HYPERLINK("https%3A%2F%2Fwww.webofscience.com%2Fwos%2Fwoscc%2Ffull-record%2FWOS:000301814300010","View Full Record in Web of Science")</f>
        <v>View Full Record in Web of Science</v>
      </c>
    </row>
    <row r="18" ht="12.75" customHeight="1">
      <c r="A18" s="58" t="s">
        <v>1896</v>
      </c>
      <c r="B18" s="58" t="s">
        <v>2290</v>
      </c>
      <c r="C18" s="58" t="s">
        <v>1482</v>
      </c>
      <c r="D18" s="58" t="s">
        <v>1482</v>
      </c>
      <c r="E18" s="58" t="s">
        <v>1482</v>
      </c>
      <c r="F18" s="58" t="s">
        <v>2291</v>
      </c>
      <c r="G18" s="58" t="s">
        <v>1482</v>
      </c>
      <c r="H18" s="58" t="s">
        <v>1482</v>
      </c>
      <c r="I18" s="58" t="s">
        <v>2292</v>
      </c>
      <c r="J18" s="58" t="s">
        <v>2293</v>
      </c>
      <c r="K18" s="58" t="s">
        <v>1482</v>
      </c>
      <c r="L18" s="58" t="s">
        <v>1482</v>
      </c>
      <c r="M18" s="58" t="s">
        <v>1901</v>
      </c>
      <c r="N18" s="58" t="s">
        <v>1902</v>
      </c>
      <c r="O18" s="58" t="s">
        <v>1482</v>
      </c>
      <c r="P18" s="58" t="s">
        <v>1482</v>
      </c>
      <c r="Q18" s="58" t="s">
        <v>1482</v>
      </c>
      <c r="R18" s="58" t="s">
        <v>1482</v>
      </c>
      <c r="S18" s="58" t="s">
        <v>1482</v>
      </c>
      <c r="T18" s="58" t="s">
        <v>1482</v>
      </c>
      <c r="U18" s="58" t="s">
        <v>2294</v>
      </c>
      <c r="V18" s="58" t="s">
        <v>2295</v>
      </c>
      <c r="W18" s="58" t="s">
        <v>2296</v>
      </c>
      <c r="X18" s="58" t="s">
        <v>2297</v>
      </c>
      <c r="Y18" s="58" t="s">
        <v>2298</v>
      </c>
      <c r="Z18" s="58" t="s">
        <v>2299</v>
      </c>
      <c r="AA18" s="58" t="s">
        <v>2300</v>
      </c>
      <c r="AB18" s="58" t="s">
        <v>2301</v>
      </c>
      <c r="AC18" s="58" t="s">
        <v>2302</v>
      </c>
      <c r="AD18" s="58" t="s">
        <v>2302</v>
      </c>
      <c r="AE18" s="58" t="s">
        <v>2303</v>
      </c>
      <c r="AF18" s="58" t="s">
        <v>1482</v>
      </c>
      <c r="AG18" s="58">
        <v>72.0</v>
      </c>
      <c r="AH18" s="58">
        <v>35.0</v>
      </c>
      <c r="AI18" s="58">
        <v>37.0</v>
      </c>
      <c r="AJ18" s="58">
        <v>0.0</v>
      </c>
      <c r="AK18" s="58">
        <v>48.0</v>
      </c>
      <c r="AL18" s="58" t="s">
        <v>2304</v>
      </c>
      <c r="AM18" s="58" t="s">
        <v>2305</v>
      </c>
      <c r="AN18" s="58" t="s">
        <v>2306</v>
      </c>
      <c r="AO18" s="58" t="s">
        <v>2307</v>
      </c>
      <c r="AP18" s="58" t="s">
        <v>1482</v>
      </c>
      <c r="AQ18" s="58" t="s">
        <v>1482</v>
      </c>
      <c r="AR18" s="58" t="s">
        <v>2308</v>
      </c>
      <c r="AS18" s="58" t="s">
        <v>2309</v>
      </c>
      <c r="AT18" s="58" t="s">
        <v>1482</v>
      </c>
      <c r="AU18" s="58">
        <v>2009.0</v>
      </c>
      <c r="AV18" s="58">
        <v>2.0</v>
      </c>
      <c r="AW18" s="58">
        <v>1.0</v>
      </c>
      <c r="AX18" s="58" t="s">
        <v>1482</v>
      </c>
      <c r="AY18" s="58" t="s">
        <v>1482</v>
      </c>
      <c r="AZ18" s="58" t="s">
        <v>1482</v>
      </c>
      <c r="BA18" s="58" t="s">
        <v>1482</v>
      </c>
      <c r="BB18" s="58">
        <v>70.0</v>
      </c>
      <c r="BC18" s="58">
        <v>87.0</v>
      </c>
      <c r="BD18" s="58" t="s">
        <v>1482</v>
      </c>
      <c r="BE18" s="58" t="s">
        <v>1563</v>
      </c>
      <c r="BF18" s="65" t="str">
        <f>HYPERLINK("http://dx.doi.org/10.1177/194008290900200108","http://dx.doi.org/10.1177/194008290900200108")</f>
        <v>http://dx.doi.org/10.1177/194008290900200108</v>
      </c>
      <c r="BG18" s="58" t="s">
        <v>1482</v>
      </c>
      <c r="BH18" s="58" t="s">
        <v>1482</v>
      </c>
      <c r="BI18" s="58">
        <v>18.0</v>
      </c>
      <c r="BJ18" s="58" t="s">
        <v>2310</v>
      </c>
      <c r="BK18" s="58" t="s">
        <v>1920</v>
      </c>
      <c r="BL18" s="58" t="s">
        <v>2311</v>
      </c>
      <c r="BM18" s="58" t="s">
        <v>2312</v>
      </c>
      <c r="BN18" s="58" t="s">
        <v>1482</v>
      </c>
      <c r="BO18" s="58" t="s">
        <v>1482</v>
      </c>
      <c r="BP18" s="58" t="s">
        <v>1482</v>
      </c>
      <c r="BQ18" s="58" t="s">
        <v>1482</v>
      </c>
      <c r="BR18" s="58" t="s">
        <v>1922</v>
      </c>
      <c r="BS18" s="58" t="s">
        <v>2313</v>
      </c>
      <c r="BT18" s="58" t="s">
        <v>493</v>
      </c>
      <c r="BU18" s="58" t="s">
        <v>362</v>
      </c>
      <c r="BV18" s="58" t="s">
        <v>41</v>
      </c>
      <c r="BW18" s="58" t="s">
        <v>494</v>
      </c>
      <c r="BX18" s="58" t="s">
        <v>52</v>
      </c>
      <c r="BY18" s="58" t="s">
        <v>44</v>
      </c>
      <c r="BZ18" s="58" t="s">
        <v>60</v>
      </c>
      <c r="CA18" s="64" t="s">
        <v>1960</v>
      </c>
      <c r="CB18" s="64" t="s">
        <v>1961</v>
      </c>
      <c r="CC18" s="58" t="s">
        <v>601</v>
      </c>
      <c r="CD18" s="64" t="s">
        <v>729</v>
      </c>
      <c r="CE18" s="64" t="s">
        <v>1926</v>
      </c>
      <c r="CF18" s="3" t="s">
        <v>1927</v>
      </c>
      <c r="CG18" s="3" t="s">
        <v>1928</v>
      </c>
      <c r="CH18" s="3" t="s">
        <v>1929</v>
      </c>
      <c r="CI18" s="3" t="s">
        <v>2202</v>
      </c>
      <c r="CJ18" s="58" t="str">
        <f>VLOOKUP($BE18,'Enriched - 2'!$B$2:$F$102, 2, false)</f>
        <v>Mammals</v>
      </c>
      <c r="CK18" s="3" t="s">
        <v>2314</v>
      </c>
      <c r="CL18" s="3" t="s">
        <v>2315</v>
      </c>
      <c r="CM18" s="3" t="s">
        <v>2316</v>
      </c>
      <c r="CN18" s="58" t="str">
        <f>HYPERLINK("https%3A%2F%2Fwww.webofscience.com%2Fwos%2Fwoscc%2Ffull-record%2FWOS:000208241500007","View Full Record in Web of Science")</f>
        <v>View Full Record in Web of Science</v>
      </c>
    </row>
    <row r="19" ht="12.75" customHeight="1">
      <c r="A19" s="58" t="s">
        <v>1896</v>
      </c>
      <c r="B19" s="58" t="s">
        <v>2317</v>
      </c>
      <c r="C19" s="58" t="s">
        <v>1482</v>
      </c>
      <c r="D19" s="58" t="s">
        <v>1482</v>
      </c>
      <c r="E19" s="58" t="s">
        <v>1482</v>
      </c>
      <c r="F19" s="58" t="s">
        <v>2317</v>
      </c>
      <c r="G19" s="58" t="s">
        <v>1482</v>
      </c>
      <c r="H19" s="58" t="s">
        <v>1482</v>
      </c>
      <c r="I19" s="58" t="s">
        <v>2318</v>
      </c>
      <c r="J19" s="58" t="s">
        <v>2209</v>
      </c>
      <c r="K19" s="58" t="s">
        <v>1482</v>
      </c>
      <c r="L19" s="58" t="s">
        <v>1482</v>
      </c>
      <c r="M19" s="58" t="s">
        <v>1901</v>
      </c>
      <c r="N19" s="58" t="s">
        <v>1902</v>
      </c>
      <c r="O19" s="58" t="s">
        <v>1482</v>
      </c>
      <c r="P19" s="58" t="s">
        <v>1482</v>
      </c>
      <c r="Q19" s="58" t="s">
        <v>1482</v>
      </c>
      <c r="R19" s="58" t="s">
        <v>1482</v>
      </c>
      <c r="S19" s="58" t="s">
        <v>1482</v>
      </c>
      <c r="T19" s="58" t="s">
        <v>2319</v>
      </c>
      <c r="U19" s="58" t="s">
        <v>2320</v>
      </c>
      <c r="V19" s="58" t="s">
        <v>2321</v>
      </c>
      <c r="W19" s="58" t="s">
        <v>2322</v>
      </c>
      <c r="X19" s="58" t="s">
        <v>2323</v>
      </c>
      <c r="Y19" s="58" t="s">
        <v>2324</v>
      </c>
      <c r="Z19" s="58" t="s">
        <v>2325</v>
      </c>
      <c r="AA19" s="58" t="s">
        <v>2326</v>
      </c>
      <c r="AB19" s="58" t="s">
        <v>2327</v>
      </c>
      <c r="AC19" s="58" t="s">
        <v>1482</v>
      </c>
      <c r="AD19" s="58" t="s">
        <v>1482</v>
      </c>
      <c r="AE19" s="58" t="s">
        <v>1482</v>
      </c>
      <c r="AF19" s="58" t="s">
        <v>1482</v>
      </c>
      <c r="AG19" s="58">
        <v>62.0</v>
      </c>
      <c r="AH19" s="58">
        <v>41.0</v>
      </c>
      <c r="AI19" s="58">
        <v>50.0</v>
      </c>
      <c r="AJ19" s="58">
        <v>1.0</v>
      </c>
      <c r="AK19" s="58">
        <v>13.0</v>
      </c>
      <c r="AL19" s="58" t="s">
        <v>1948</v>
      </c>
      <c r="AM19" s="58" t="s">
        <v>2225</v>
      </c>
      <c r="AN19" s="58" t="s">
        <v>2226</v>
      </c>
      <c r="AO19" s="58" t="s">
        <v>2227</v>
      </c>
      <c r="AP19" s="58" t="s">
        <v>2228</v>
      </c>
      <c r="AQ19" s="58" t="s">
        <v>1482</v>
      </c>
      <c r="AR19" s="58" t="s">
        <v>2229</v>
      </c>
      <c r="AS19" s="58" t="s">
        <v>2230</v>
      </c>
      <c r="AT19" s="58" t="s">
        <v>2285</v>
      </c>
      <c r="AU19" s="58">
        <v>2005.0</v>
      </c>
      <c r="AV19" s="58">
        <v>26.0</v>
      </c>
      <c r="AW19" s="58">
        <v>1.0</v>
      </c>
      <c r="AX19" s="58" t="s">
        <v>1482</v>
      </c>
      <c r="AY19" s="58" t="s">
        <v>1482</v>
      </c>
      <c r="AZ19" s="58" t="s">
        <v>1482</v>
      </c>
      <c r="BA19" s="58" t="s">
        <v>1482</v>
      </c>
      <c r="BB19" s="58">
        <v>127.0</v>
      </c>
      <c r="BC19" s="58">
        <v>145.0</v>
      </c>
      <c r="BD19" s="58" t="s">
        <v>1482</v>
      </c>
      <c r="BE19" s="58" t="s">
        <v>1545</v>
      </c>
      <c r="BF19" s="65" t="str">
        <f>HYPERLINK("http://dx.doi.org/10.1007/s10764-005-0011-z","http://dx.doi.org/10.1007/s10764-005-0011-z")</f>
        <v>http://dx.doi.org/10.1007/s10764-005-0011-z</v>
      </c>
      <c r="BG19" s="58" t="s">
        <v>1482</v>
      </c>
      <c r="BH19" s="58" t="s">
        <v>1482</v>
      </c>
      <c r="BI19" s="58">
        <v>19.0</v>
      </c>
      <c r="BJ19" s="58" t="s">
        <v>1919</v>
      </c>
      <c r="BK19" s="58" t="s">
        <v>1920</v>
      </c>
      <c r="BL19" s="58" t="s">
        <v>1919</v>
      </c>
      <c r="BM19" s="58" t="s">
        <v>2328</v>
      </c>
      <c r="BN19" s="58" t="s">
        <v>1482</v>
      </c>
      <c r="BO19" s="58" t="s">
        <v>1482</v>
      </c>
      <c r="BP19" s="58" t="s">
        <v>1482</v>
      </c>
      <c r="BQ19" s="58" t="s">
        <v>1482</v>
      </c>
      <c r="BR19" s="58" t="s">
        <v>1922</v>
      </c>
      <c r="BS19" s="58" t="s">
        <v>2329</v>
      </c>
      <c r="BT19" s="58" t="s">
        <v>361</v>
      </c>
      <c r="BU19" s="58" t="s">
        <v>362</v>
      </c>
      <c r="BV19" s="58" t="s">
        <v>41</v>
      </c>
      <c r="BW19" s="58" t="s">
        <v>363</v>
      </c>
      <c r="BX19" s="58" t="s">
        <v>52</v>
      </c>
      <c r="BY19" s="58" t="s">
        <v>44</v>
      </c>
      <c r="BZ19" s="58" t="s">
        <v>60</v>
      </c>
      <c r="CA19" s="64" t="s">
        <v>1960</v>
      </c>
      <c r="CB19" s="64" t="s">
        <v>1961</v>
      </c>
      <c r="CC19" s="58" t="s">
        <v>601</v>
      </c>
      <c r="CD19" s="64" t="s">
        <v>729</v>
      </c>
      <c r="CE19" s="64" t="s">
        <v>1926</v>
      </c>
      <c r="CF19" s="3" t="s">
        <v>1927</v>
      </c>
      <c r="CG19" s="3" t="s">
        <v>1928</v>
      </c>
      <c r="CH19" s="3" t="s">
        <v>1929</v>
      </c>
      <c r="CI19" s="3" t="s">
        <v>2202</v>
      </c>
      <c r="CJ19" s="58" t="str">
        <f>VLOOKUP($BE19,'Enriched - 2'!$B$2:$F$102, 2, false)</f>
        <v>Mammals</v>
      </c>
      <c r="CK19" s="3" t="s">
        <v>2330</v>
      </c>
      <c r="CL19" s="3" t="s">
        <v>2331</v>
      </c>
      <c r="CM19" s="3" t="s">
        <v>2236</v>
      </c>
      <c r="CN19" s="58" t="str">
        <f>HYPERLINK("https%3A%2F%2Fwww.webofscience.com%2Fwos%2Fwoscc%2Ffull-record%2FWOS:000227362900006","View Full Record in Web of Science")</f>
        <v>View Full Record in Web of Science</v>
      </c>
    </row>
    <row r="20" ht="12.75" customHeight="1">
      <c r="A20" s="58" t="s">
        <v>1896</v>
      </c>
      <c r="B20" s="58" t="s">
        <v>2332</v>
      </c>
      <c r="C20" s="58" t="s">
        <v>1482</v>
      </c>
      <c r="D20" s="58" t="s">
        <v>1482</v>
      </c>
      <c r="E20" s="58" t="s">
        <v>1482</v>
      </c>
      <c r="F20" s="58" t="s">
        <v>2332</v>
      </c>
      <c r="G20" s="58" t="s">
        <v>1482</v>
      </c>
      <c r="H20" s="58" t="s">
        <v>1482</v>
      </c>
      <c r="I20" s="58" t="s">
        <v>2333</v>
      </c>
      <c r="J20" s="58" t="s">
        <v>2334</v>
      </c>
      <c r="K20" s="58" t="s">
        <v>1482</v>
      </c>
      <c r="L20" s="58" t="s">
        <v>1482</v>
      </c>
      <c r="M20" s="58" t="s">
        <v>1901</v>
      </c>
      <c r="N20" s="58" t="s">
        <v>1902</v>
      </c>
      <c r="O20" s="58" t="s">
        <v>1482</v>
      </c>
      <c r="P20" s="58" t="s">
        <v>1482</v>
      </c>
      <c r="Q20" s="58" t="s">
        <v>1482</v>
      </c>
      <c r="R20" s="58" t="s">
        <v>1482</v>
      </c>
      <c r="S20" s="58" t="s">
        <v>1482</v>
      </c>
      <c r="T20" s="58" t="s">
        <v>2335</v>
      </c>
      <c r="U20" s="58" t="s">
        <v>2336</v>
      </c>
      <c r="V20" s="58" t="s">
        <v>2337</v>
      </c>
      <c r="W20" s="58" t="s">
        <v>2338</v>
      </c>
      <c r="X20" s="58" t="s">
        <v>2339</v>
      </c>
      <c r="Y20" s="58" t="s">
        <v>2340</v>
      </c>
      <c r="Z20" s="58" t="s">
        <v>2341</v>
      </c>
      <c r="AA20" s="58" t="s">
        <v>2342</v>
      </c>
      <c r="AB20" s="58" t="s">
        <v>2343</v>
      </c>
      <c r="AC20" s="58" t="s">
        <v>1482</v>
      </c>
      <c r="AD20" s="58" t="s">
        <v>1482</v>
      </c>
      <c r="AE20" s="58" t="s">
        <v>1482</v>
      </c>
      <c r="AF20" s="58" t="s">
        <v>1482</v>
      </c>
      <c r="AG20" s="58">
        <v>37.0</v>
      </c>
      <c r="AH20" s="58">
        <v>15.0</v>
      </c>
      <c r="AI20" s="58">
        <v>16.0</v>
      </c>
      <c r="AJ20" s="58">
        <v>0.0</v>
      </c>
      <c r="AK20" s="58">
        <v>20.0</v>
      </c>
      <c r="AL20" s="58" t="s">
        <v>2344</v>
      </c>
      <c r="AM20" s="58" t="s">
        <v>2345</v>
      </c>
      <c r="AN20" s="58" t="s">
        <v>2346</v>
      </c>
      <c r="AO20" s="58" t="s">
        <v>2347</v>
      </c>
      <c r="AP20" s="58" t="s">
        <v>2348</v>
      </c>
      <c r="AQ20" s="58" t="s">
        <v>1482</v>
      </c>
      <c r="AR20" s="58" t="s">
        <v>2349</v>
      </c>
      <c r="AS20" s="58" t="s">
        <v>2350</v>
      </c>
      <c r="AT20" s="58" t="s">
        <v>1482</v>
      </c>
      <c r="AU20" s="58">
        <v>2004.0</v>
      </c>
      <c r="AV20" s="58">
        <v>73.0</v>
      </c>
      <c r="AW20" s="58">
        <v>4.0</v>
      </c>
      <c r="AX20" s="58" t="s">
        <v>1482</v>
      </c>
      <c r="AY20" s="58" t="s">
        <v>1482</v>
      </c>
      <c r="AZ20" s="58" t="s">
        <v>1482</v>
      </c>
      <c r="BA20" s="58" t="s">
        <v>1482</v>
      </c>
      <c r="BB20" s="58">
        <v>283.0</v>
      </c>
      <c r="BC20" s="58">
        <v>291.0</v>
      </c>
      <c r="BD20" s="58" t="s">
        <v>1482</v>
      </c>
      <c r="BE20" s="58" t="s">
        <v>1553</v>
      </c>
      <c r="BF20" s="65" t="str">
        <f>HYPERLINK("http://dx.doi.org/10.1163/18759866-07304004","http://dx.doi.org/10.1163/18759866-07304004")</f>
        <v>http://dx.doi.org/10.1163/18759866-07304004</v>
      </c>
      <c r="BG20" s="58" t="s">
        <v>1482</v>
      </c>
      <c r="BH20" s="58" t="s">
        <v>1482</v>
      </c>
      <c r="BI20" s="58">
        <v>9.0</v>
      </c>
      <c r="BJ20" s="58" t="s">
        <v>1919</v>
      </c>
      <c r="BK20" s="58" t="s">
        <v>1920</v>
      </c>
      <c r="BL20" s="58" t="s">
        <v>1919</v>
      </c>
      <c r="BM20" s="58" t="s">
        <v>2351</v>
      </c>
      <c r="BN20" s="58" t="s">
        <v>1482</v>
      </c>
      <c r="BO20" s="58" t="s">
        <v>2037</v>
      </c>
      <c r="BP20" s="58" t="s">
        <v>1482</v>
      </c>
      <c r="BQ20" s="58" t="s">
        <v>1482</v>
      </c>
      <c r="BR20" s="58" t="s">
        <v>1922</v>
      </c>
      <c r="BS20" s="58" t="s">
        <v>2352</v>
      </c>
      <c r="BT20" s="58" t="s">
        <v>389</v>
      </c>
      <c r="BU20" s="58" t="s">
        <v>390</v>
      </c>
      <c r="BV20" s="58" t="s">
        <v>41</v>
      </c>
      <c r="BW20" s="58" t="s">
        <v>336</v>
      </c>
      <c r="BX20" s="58" t="s">
        <v>52</v>
      </c>
      <c r="BY20" s="58" t="s">
        <v>68</v>
      </c>
      <c r="BZ20" s="58" t="s">
        <v>60</v>
      </c>
      <c r="CA20" s="64" t="s">
        <v>1924</v>
      </c>
      <c r="CB20" s="64" t="s">
        <v>2353</v>
      </c>
      <c r="CC20" s="58" t="s">
        <v>641</v>
      </c>
      <c r="CD20" s="64" t="s">
        <v>820</v>
      </c>
      <c r="CE20" s="64" t="s">
        <v>1926</v>
      </c>
      <c r="CF20" s="3" t="s">
        <v>1927</v>
      </c>
      <c r="CG20" s="3" t="s">
        <v>1928</v>
      </c>
      <c r="CH20" s="3" t="s">
        <v>1929</v>
      </c>
      <c r="CI20" s="3" t="s">
        <v>2202</v>
      </c>
      <c r="CJ20" s="58" t="str">
        <f>VLOOKUP($BE20,'Enriched - 2'!$B$2:$F$102, 2, false)</f>
        <v>Mammals</v>
      </c>
      <c r="CK20" s="3" t="s">
        <v>2354</v>
      </c>
      <c r="CL20" s="3" t="s">
        <v>2355</v>
      </c>
      <c r="CM20" s="3" t="s">
        <v>2236</v>
      </c>
      <c r="CN20" s="58" t="str">
        <f>HYPERLINK("https%3A%2F%2Fwww.webofscience.com%2Fwos%2Fwoscc%2Ffull-record%2FWOS:000227928800004","View Full Record in Web of Science")</f>
        <v>View Full Record in Web of Science</v>
      </c>
    </row>
    <row r="21" ht="12.75" customHeight="1">
      <c r="A21" s="58" t="s">
        <v>1896</v>
      </c>
      <c r="B21" s="58" t="s">
        <v>2356</v>
      </c>
      <c r="C21" s="58" t="s">
        <v>1482</v>
      </c>
      <c r="D21" s="58" t="s">
        <v>1482</v>
      </c>
      <c r="E21" s="58" t="s">
        <v>1482</v>
      </c>
      <c r="F21" s="58" t="s">
        <v>2356</v>
      </c>
      <c r="G21" s="58" t="s">
        <v>1482</v>
      </c>
      <c r="H21" s="58" t="s">
        <v>1482</v>
      </c>
      <c r="I21" s="58" t="s">
        <v>2357</v>
      </c>
      <c r="J21" s="58" t="s">
        <v>2266</v>
      </c>
      <c r="K21" s="58" t="s">
        <v>1482</v>
      </c>
      <c r="L21" s="58" t="s">
        <v>1482</v>
      </c>
      <c r="M21" s="58" t="s">
        <v>1901</v>
      </c>
      <c r="N21" s="58" t="s">
        <v>1902</v>
      </c>
      <c r="O21" s="58" t="s">
        <v>1482</v>
      </c>
      <c r="P21" s="58" t="s">
        <v>1482</v>
      </c>
      <c r="Q21" s="58" t="s">
        <v>1482</v>
      </c>
      <c r="R21" s="58" t="s">
        <v>1482</v>
      </c>
      <c r="S21" s="58" t="s">
        <v>1482</v>
      </c>
      <c r="T21" s="58" t="s">
        <v>2358</v>
      </c>
      <c r="U21" s="58" t="s">
        <v>2359</v>
      </c>
      <c r="V21" s="58" t="s">
        <v>2360</v>
      </c>
      <c r="W21" s="58" t="s">
        <v>2361</v>
      </c>
      <c r="X21" s="58" t="s">
        <v>2362</v>
      </c>
      <c r="Y21" s="58" t="s">
        <v>2363</v>
      </c>
      <c r="Z21" s="58" t="s">
        <v>2364</v>
      </c>
      <c r="AA21" s="58" t="s">
        <v>2365</v>
      </c>
      <c r="AB21" s="58" t="s">
        <v>2366</v>
      </c>
      <c r="AC21" s="58" t="s">
        <v>1482</v>
      </c>
      <c r="AD21" s="58" t="s">
        <v>1482</v>
      </c>
      <c r="AE21" s="58" t="s">
        <v>1482</v>
      </c>
      <c r="AF21" s="58" t="s">
        <v>1482</v>
      </c>
      <c r="AG21" s="58">
        <v>45.0</v>
      </c>
      <c r="AH21" s="58">
        <v>75.0</v>
      </c>
      <c r="AI21" s="58">
        <v>87.0</v>
      </c>
      <c r="AJ21" s="58">
        <v>0.0</v>
      </c>
      <c r="AK21" s="58">
        <v>48.0</v>
      </c>
      <c r="AL21" s="58" t="s">
        <v>2278</v>
      </c>
      <c r="AM21" s="58" t="s">
        <v>2367</v>
      </c>
      <c r="AN21" s="58" t="s">
        <v>2368</v>
      </c>
      <c r="AO21" s="58" t="s">
        <v>2281</v>
      </c>
      <c r="AP21" s="58" t="s">
        <v>2282</v>
      </c>
      <c r="AQ21" s="58" t="s">
        <v>1482</v>
      </c>
      <c r="AR21" s="58" t="s">
        <v>2283</v>
      </c>
      <c r="AS21" s="58" t="s">
        <v>2284</v>
      </c>
      <c r="AT21" s="58" t="s">
        <v>2114</v>
      </c>
      <c r="AU21" s="58">
        <v>2006.0</v>
      </c>
      <c r="AV21" s="58">
        <v>128.0</v>
      </c>
      <c r="AW21" s="58">
        <v>4.0</v>
      </c>
      <c r="AX21" s="58" t="s">
        <v>1482</v>
      </c>
      <c r="AY21" s="58" t="s">
        <v>1482</v>
      </c>
      <c r="AZ21" s="58" t="s">
        <v>1482</v>
      </c>
      <c r="BA21" s="58" t="s">
        <v>1482</v>
      </c>
      <c r="BB21" s="58">
        <v>509.0</v>
      </c>
      <c r="BC21" s="58">
        <v>516.0</v>
      </c>
      <c r="BD21" s="58" t="s">
        <v>1482</v>
      </c>
      <c r="BE21" s="58" t="s">
        <v>1550</v>
      </c>
      <c r="BF21" s="65" t="str">
        <f>HYPERLINK("http://dx.doi.org/10.1016/j.biocon.2005.10.017","http://dx.doi.org/10.1016/j.biocon.2005.10.017")</f>
        <v>http://dx.doi.org/10.1016/j.biocon.2005.10.017</v>
      </c>
      <c r="BG21" s="58" t="s">
        <v>1482</v>
      </c>
      <c r="BH21" s="58" t="s">
        <v>1482</v>
      </c>
      <c r="BI21" s="58">
        <v>8.0</v>
      </c>
      <c r="BJ21" s="58" t="s">
        <v>1956</v>
      </c>
      <c r="BK21" s="58" t="s">
        <v>1920</v>
      </c>
      <c r="BL21" s="58" t="s">
        <v>1957</v>
      </c>
      <c r="BM21" s="58" t="s">
        <v>2369</v>
      </c>
      <c r="BN21" s="58" t="s">
        <v>1482</v>
      </c>
      <c r="BO21" s="58" t="s">
        <v>1482</v>
      </c>
      <c r="BP21" s="58" t="s">
        <v>1482</v>
      </c>
      <c r="BQ21" s="58" t="s">
        <v>1482</v>
      </c>
      <c r="BR21" s="58" t="s">
        <v>1922</v>
      </c>
      <c r="BS21" s="58" t="s">
        <v>2370</v>
      </c>
      <c r="BT21" s="58" t="s">
        <v>280</v>
      </c>
      <c r="BU21" s="58" t="s">
        <v>362</v>
      </c>
      <c r="BV21" s="58" t="s">
        <v>41</v>
      </c>
      <c r="BW21" s="58" t="s">
        <v>386</v>
      </c>
      <c r="BX21" s="58" t="s">
        <v>52</v>
      </c>
      <c r="BY21" s="58" t="s">
        <v>44</v>
      </c>
      <c r="BZ21" s="58" t="s">
        <v>60</v>
      </c>
      <c r="CA21" s="64" t="s">
        <v>1960</v>
      </c>
      <c r="CB21" s="64" t="s">
        <v>1961</v>
      </c>
      <c r="CC21" s="58" t="s">
        <v>601</v>
      </c>
      <c r="CD21" s="64" t="s">
        <v>729</v>
      </c>
      <c r="CE21" s="64" t="s">
        <v>1926</v>
      </c>
      <c r="CF21" s="3" t="s">
        <v>1927</v>
      </c>
      <c r="CG21" s="3" t="s">
        <v>1928</v>
      </c>
      <c r="CH21" s="3" t="s">
        <v>1929</v>
      </c>
      <c r="CI21" s="3" t="s">
        <v>2202</v>
      </c>
      <c r="CJ21" s="58" t="str">
        <f>VLOOKUP($BE21,'Enriched - 2'!$B$2:$F$102, 2, false)</f>
        <v>Mammals</v>
      </c>
      <c r="CK21" s="3" t="s">
        <v>2371</v>
      </c>
      <c r="CL21" s="3" t="s">
        <v>2372</v>
      </c>
      <c r="CM21" s="3" t="s">
        <v>2373</v>
      </c>
      <c r="CN21" s="58" t="str">
        <f>HYPERLINK("https%3A%2F%2Fwww.webofscience.com%2Fwos%2Fwoscc%2Ffull-record%2FWOS:000236100800009","View Full Record in Web of Science")</f>
        <v>View Full Record in Web of Science</v>
      </c>
    </row>
    <row r="22" ht="12.75" customHeight="1">
      <c r="A22" s="58" t="s">
        <v>1896</v>
      </c>
      <c r="B22" s="58" t="s">
        <v>2374</v>
      </c>
      <c r="C22" s="58" t="s">
        <v>1482</v>
      </c>
      <c r="D22" s="58" t="s">
        <v>1482</v>
      </c>
      <c r="E22" s="58" t="s">
        <v>1482</v>
      </c>
      <c r="F22" s="58" t="s">
        <v>2375</v>
      </c>
      <c r="G22" s="58" t="s">
        <v>1482</v>
      </c>
      <c r="H22" s="58" t="s">
        <v>1482</v>
      </c>
      <c r="I22" s="58" t="s">
        <v>2376</v>
      </c>
      <c r="J22" s="58" t="s">
        <v>2266</v>
      </c>
      <c r="K22" s="58" t="s">
        <v>1482</v>
      </c>
      <c r="L22" s="58" t="s">
        <v>1482</v>
      </c>
      <c r="M22" s="58" t="s">
        <v>1901</v>
      </c>
      <c r="N22" s="58" t="s">
        <v>1902</v>
      </c>
      <c r="O22" s="58" t="s">
        <v>1482</v>
      </c>
      <c r="P22" s="58" t="s">
        <v>1482</v>
      </c>
      <c r="Q22" s="58" t="s">
        <v>1482</v>
      </c>
      <c r="R22" s="58" t="s">
        <v>1482</v>
      </c>
      <c r="S22" s="58" t="s">
        <v>1482</v>
      </c>
      <c r="T22" s="58" t="s">
        <v>2377</v>
      </c>
      <c r="U22" s="58" t="s">
        <v>2378</v>
      </c>
      <c r="V22" s="58" t="s">
        <v>2379</v>
      </c>
      <c r="W22" s="58" t="s">
        <v>2380</v>
      </c>
      <c r="X22" s="58" t="s">
        <v>2381</v>
      </c>
      <c r="Y22" s="58" t="s">
        <v>2382</v>
      </c>
      <c r="Z22" s="58" t="s">
        <v>2383</v>
      </c>
      <c r="AA22" s="58" t="s">
        <v>1482</v>
      </c>
      <c r="AB22" s="58" t="s">
        <v>1482</v>
      </c>
      <c r="AC22" s="58" t="s">
        <v>2384</v>
      </c>
      <c r="AD22" s="58" t="s">
        <v>2385</v>
      </c>
      <c r="AE22" s="58" t="s">
        <v>2386</v>
      </c>
      <c r="AF22" s="58" t="s">
        <v>1482</v>
      </c>
      <c r="AG22" s="58">
        <v>38.0</v>
      </c>
      <c r="AH22" s="58">
        <v>36.0</v>
      </c>
      <c r="AI22" s="58">
        <v>39.0</v>
      </c>
      <c r="AJ22" s="58">
        <v>0.0</v>
      </c>
      <c r="AK22" s="58">
        <v>29.0</v>
      </c>
      <c r="AL22" s="58" t="s">
        <v>2278</v>
      </c>
      <c r="AM22" s="58" t="s">
        <v>2279</v>
      </c>
      <c r="AN22" s="58" t="s">
        <v>2280</v>
      </c>
      <c r="AO22" s="58" t="s">
        <v>2281</v>
      </c>
      <c r="AP22" s="58" t="s">
        <v>2282</v>
      </c>
      <c r="AQ22" s="58" t="s">
        <v>1482</v>
      </c>
      <c r="AR22" s="58" t="s">
        <v>2283</v>
      </c>
      <c r="AS22" s="58" t="s">
        <v>2284</v>
      </c>
      <c r="AT22" s="58" t="s">
        <v>2075</v>
      </c>
      <c r="AU22" s="58">
        <v>2009.0</v>
      </c>
      <c r="AV22" s="58">
        <v>142.0</v>
      </c>
      <c r="AW22" s="58">
        <v>7.0</v>
      </c>
      <c r="AX22" s="58" t="s">
        <v>1482</v>
      </c>
      <c r="AY22" s="58" t="s">
        <v>1482</v>
      </c>
      <c r="AZ22" s="58" t="s">
        <v>1482</v>
      </c>
      <c r="BA22" s="58" t="s">
        <v>1482</v>
      </c>
      <c r="BB22" s="58">
        <v>1500.0</v>
      </c>
      <c r="BC22" s="58">
        <v>1506.0</v>
      </c>
      <c r="BD22" s="58" t="s">
        <v>1482</v>
      </c>
      <c r="BE22" s="58" t="s">
        <v>1508</v>
      </c>
      <c r="BF22" s="65" t="str">
        <f>HYPERLINK("http://dx.doi.org/10.1016/j.biocon.2009.02.032","http://dx.doi.org/10.1016/j.biocon.2009.02.032")</f>
        <v>http://dx.doi.org/10.1016/j.biocon.2009.02.032</v>
      </c>
      <c r="BG22" s="58" t="s">
        <v>1482</v>
      </c>
      <c r="BH22" s="58" t="s">
        <v>1482</v>
      </c>
      <c r="BI22" s="58">
        <v>7.0</v>
      </c>
      <c r="BJ22" s="58" t="s">
        <v>1956</v>
      </c>
      <c r="BK22" s="58" t="s">
        <v>1920</v>
      </c>
      <c r="BL22" s="58" t="s">
        <v>1957</v>
      </c>
      <c r="BM22" s="58" t="s">
        <v>2387</v>
      </c>
      <c r="BN22" s="58" t="s">
        <v>1482</v>
      </c>
      <c r="BO22" s="58" t="s">
        <v>1482</v>
      </c>
      <c r="BP22" s="58" t="s">
        <v>1482</v>
      </c>
      <c r="BQ22" s="58" t="s">
        <v>1482</v>
      </c>
      <c r="BR22" s="58" t="s">
        <v>1922</v>
      </c>
      <c r="BS22" s="58" t="s">
        <v>2388</v>
      </c>
      <c r="BT22" s="58" t="s">
        <v>85</v>
      </c>
      <c r="BU22" s="58" t="s">
        <v>86</v>
      </c>
      <c r="BV22" s="58" t="s">
        <v>41</v>
      </c>
      <c r="BW22" s="58" t="s">
        <v>87</v>
      </c>
      <c r="BX22" s="58" t="s">
        <v>67</v>
      </c>
      <c r="BY22" s="58" t="s">
        <v>68</v>
      </c>
      <c r="BZ22" s="58" t="s">
        <v>60</v>
      </c>
      <c r="CA22" s="64" t="s">
        <v>1960</v>
      </c>
      <c r="CB22" s="64" t="s">
        <v>2101</v>
      </c>
      <c r="CC22" s="58" t="s">
        <v>601</v>
      </c>
      <c r="CD22" s="64" t="s">
        <v>820</v>
      </c>
      <c r="CE22" s="64" t="s">
        <v>1926</v>
      </c>
      <c r="CF22" s="3" t="s">
        <v>1927</v>
      </c>
      <c r="CG22" s="3" t="s">
        <v>1928</v>
      </c>
      <c r="CH22" s="3" t="s">
        <v>1929</v>
      </c>
      <c r="CI22" s="3" t="s">
        <v>2202</v>
      </c>
      <c r="CJ22" s="58" t="str">
        <f>VLOOKUP($BE22,'Enriched - 2'!$B$2:$F$102, 2, false)</f>
        <v>Mammals</v>
      </c>
      <c r="CK22" s="3" t="s">
        <v>2389</v>
      </c>
      <c r="CL22" s="3" t="s">
        <v>2390</v>
      </c>
      <c r="CM22" s="3" t="s">
        <v>2236</v>
      </c>
      <c r="CN22" s="58" t="str">
        <f>HYPERLINK("https%3A%2F%2Fwww.webofscience.com%2Fwos%2Fwoscc%2Ffull-record%2FWOS:000266752500026","View Full Record in Web of Science")</f>
        <v>View Full Record in Web of Science</v>
      </c>
    </row>
    <row r="23" ht="12.75" customHeight="1">
      <c r="A23" s="58" t="s">
        <v>1896</v>
      </c>
      <c r="B23" s="58" t="s">
        <v>2391</v>
      </c>
      <c r="C23" s="58" t="s">
        <v>1482</v>
      </c>
      <c r="D23" s="58" t="s">
        <v>1482</v>
      </c>
      <c r="E23" s="58" t="s">
        <v>1482</v>
      </c>
      <c r="F23" s="58" t="s">
        <v>2391</v>
      </c>
      <c r="G23" s="58" t="s">
        <v>1482</v>
      </c>
      <c r="H23" s="58" t="s">
        <v>1482</v>
      </c>
      <c r="I23" s="58" t="s">
        <v>2392</v>
      </c>
      <c r="J23" s="58" t="s">
        <v>2266</v>
      </c>
      <c r="K23" s="58" t="s">
        <v>1482</v>
      </c>
      <c r="L23" s="58" t="s">
        <v>1482</v>
      </c>
      <c r="M23" s="58" t="s">
        <v>1901</v>
      </c>
      <c r="N23" s="58" t="s">
        <v>1902</v>
      </c>
      <c r="O23" s="58" t="s">
        <v>1482</v>
      </c>
      <c r="P23" s="58" t="s">
        <v>1482</v>
      </c>
      <c r="Q23" s="58" t="s">
        <v>1482</v>
      </c>
      <c r="R23" s="58" t="s">
        <v>1482</v>
      </c>
      <c r="S23" s="58" t="s">
        <v>1482</v>
      </c>
      <c r="T23" s="58" t="s">
        <v>2393</v>
      </c>
      <c r="U23" s="58" t="s">
        <v>2394</v>
      </c>
      <c r="V23" s="58" t="s">
        <v>2395</v>
      </c>
      <c r="W23" s="58" t="s">
        <v>2396</v>
      </c>
      <c r="X23" s="58" t="s">
        <v>2397</v>
      </c>
      <c r="Y23" s="58" t="s">
        <v>2398</v>
      </c>
      <c r="Z23" s="58" t="s">
        <v>2399</v>
      </c>
      <c r="AA23" s="58" t="s">
        <v>1482</v>
      </c>
      <c r="AB23" s="58" t="s">
        <v>1482</v>
      </c>
      <c r="AC23" s="58" t="s">
        <v>1482</v>
      </c>
      <c r="AD23" s="58" t="s">
        <v>1482</v>
      </c>
      <c r="AE23" s="58" t="s">
        <v>1482</v>
      </c>
      <c r="AF23" s="58" t="s">
        <v>1482</v>
      </c>
      <c r="AG23" s="58">
        <v>65.0</v>
      </c>
      <c r="AH23" s="58">
        <v>50.0</v>
      </c>
      <c r="AI23" s="58">
        <v>62.0</v>
      </c>
      <c r="AJ23" s="58">
        <v>0.0</v>
      </c>
      <c r="AK23" s="58">
        <v>32.0</v>
      </c>
      <c r="AL23" s="58" t="s">
        <v>2278</v>
      </c>
      <c r="AM23" s="58" t="s">
        <v>2367</v>
      </c>
      <c r="AN23" s="58" t="s">
        <v>2368</v>
      </c>
      <c r="AO23" s="58" t="s">
        <v>2281</v>
      </c>
      <c r="AP23" s="58" t="s">
        <v>2282</v>
      </c>
      <c r="AQ23" s="58" t="s">
        <v>1482</v>
      </c>
      <c r="AR23" s="58" t="s">
        <v>2283</v>
      </c>
      <c r="AS23" s="58" t="s">
        <v>2284</v>
      </c>
      <c r="AT23" s="58" t="s">
        <v>2400</v>
      </c>
      <c r="AU23" s="58">
        <v>2005.0</v>
      </c>
      <c r="AV23" s="58">
        <v>126.0</v>
      </c>
      <c r="AW23" s="58">
        <v>3.0</v>
      </c>
      <c r="AX23" s="58" t="s">
        <v>1482</v>
      </c>
      <c r="AY23" s="58" t="s">
        <v>1482</v>
      </c>
      <c r="AZ23" s="58" t="s">
        <v>1482</v>
      </c>
      <c r="BA23" s="58" t="s">
        <v>1482</v>
      </c>
      <c r="BB23" s="58">
        <v>351.0</v>
      </c>
      <c r="BC23" s="58">
        <v>362.0</v>
      </c>
      <c r="BD23" s="58" t="s">
        <v>1482</v>
      </c>
      <c r="BE23" s="58" t="s">
        <v>1511</v>
      </c>
      <c r="BF23" s="65" t="str">
        <f>HYPERLINK("http://dx.doi.org/10.1016/j.biocon.2005.06.024","http://dx.doi.org/10.1016/j.biocon.2005.06.024")</f>
        <v>http://dx.doi.org/10.1016/j.biocon.2005.06.024</v>
      </c>
      <c r="BG23" s="58" t="s">
        <v>1482</v>
      </c>
      <c r="BH23" s="58" t="s">
        <v>1482</v>
      </c>
      <c r="BI23" s="58">
        <v>12.0</v>
      </c>
      <c r="BJ23" s="58" t="s">
        <v>1956</v>
      </c>
      <c r="BK23" s="58" t="s">
        <v>1920</v>
      </c>
      <c r="BL23" s="58" t="s">
        <v>1957</v>
      </c>
      <c r="BM23" s="58" t="s">
        <v>2401</v>
      </c>
      <c r="BN23" s="58" t="s">
        <v>1482</v>
      </c>
      <c r="BO23" s="58" t="s">
        <v>1482</v>
      </c>
      <c r="BP23" s="58" t="s">
        <v>1482</v>
      </c>
      <c r="BQ23" s="58" t="s">
        <v>1482</v>
      </c>
      <c r="BR23" s="58" t="s">
        <v>1922</v>
      </c>
      <c r="BS23" s="58" t="s">
        <v>2402</v>
      </c>
      <c r="BT23" s="58" t="s">
        <v>96</v>
      </c>
      <c r="BU23" s="58" t="s">
        <v>97</v>
      </c>
      <c r="BV23" s="58" t="s">
        <v>41</v>
      </c>
      <c r="BW23" s="58" t="s">
        <v>66</v>
      </c>
      <c r="BX23" s="58" t="s">
        <v>52</v>
      </c>
      <c r="BY23" s="58" t="s">
        <v>44</v>
      </c>
      <c r="BZ23" s="58" t="s">
        <v>45</v>
      </c>
      <c r="CA23" s="64" t="s">
        <v>1977</v>
      </c>
      <c r="CB23" s="64" t="s">
        <v>2403</v>
      </c>
      <c r="CC23" s="58" t="s">
        <v>641</v>
      </c>
      <c r="CD23" s="64" t="s">
        <v>1455</v>
      </c>
      <c r="CE23" s="64" t="s">
        <v>2404</v>
      </c>
      <c r="CF23" s="3" t="s">
        <v>1927</v>
      </c>
      <c r="CG23" s="3" t="s">
        <v>1928</v>
      </c>
      <c r="CH23" s="3" t="s">
        <v>1929</v>
      </c>
      <c r="CI23" s="3" t="s">
        <v>2202</v>
      </c>
      <c r="CJ23" s="58" t="str">
        <f>VLOOKUP($BE23,'Enriched - 2'!$B$2:$F$102, 2, false)</f>
        <v>Mammals</v>
      </c>
      <c r="CK23" s="3" t="s">
        <v>2405</v>
      </c>
      <c r="CL23" s="3" t="s">
        <v>2406</v>
      </c>
      <c r="CM23" s="3" t="s">
        <v>2205</v>
      </c>
      <c r="CN23" s="58" t="str">
        <f>HYPERLINK("https%3A%2F%2Fwww.webofscience.com%2Fwos%2Fwoscc%2Ffull-record%2FWOS:000232993900006","View Full Record in Web of Science")</f>
        <v>View Full Record in Web of Science</v>
      </c>
    </row>
    <row r="24" ht="12.75" customHeight="1">
      <c r="A24" s="58" t="s">
        <v>1896</v>
      </c>
      <c r="B24" s="58" t="s">
        <v>2407</v>
      </c>
      <c r="C24" s="58" t="s">
        <v>1482</v>
      </c>
      <c r="D24" s="58" t="s">
        <v>1482</v>
      </c>
      <c r="E24" s="58" t="s">
        <v>1482</v>
      </c>
      <c r="F24" s="58" t="s">
        <v>2407</v>
      </c>
      <c r="G24" s="58" t="s">
        <v>1482</v>
      </c>
      <c r="H24" s="58" t="s">
        <v>1482</v>
      </c>
      <c r="I24" s="58" t="s">
        <v>2408</v>
      </c>
      <c r="J24" s="58" t="s">
        <v>2409</v>
      </c>
      <c r="K24" s="58" t="s">
        <v>1482</v>
      </c>
      <c r="L24" s="58" t="s">
        <v>1482</v>
      </c>
      <c r="M24" s="58" t="s">
        <v>1901</v>
      </c>
      <c r="N24" s="58" t="s">
        <v>1902</v>
      </c>
      <c r="O24" s="58" t="s">
        <v>1482</v>
      </c>
      <c r="P24" s="58" t="s">
        <v>1482</v>
      </c>
      <c r="Q24" s="58" t="s">
        <v>1482</v>
      </c>
      <c r="R24" s="58" t="s">
        <v>1482</v>
      </c>
      <c r="S24" s="58" t="s">
        <v>1482</v>
      </c>
      <c r="T24" s="58" t="s">
        <v>2410</v>
      </c>
      <c r="U24" s="58" t="s">
        <v>2411</v>
      </c>
      <c r="V24" s="58" t="s">
        <v>2412</v>
      </c>
      <c r="W24" s="58" t="s">
        <v>2413</v>
      </c>
      <c r="X24" s="58" t="s">
        <v>1482</v>
      </c>
      <c r="Y24" s="58" t="s">
        <v>2414</v>
      </c>
      <c r="Z24" s="58" t="s">
        <v>2415</v>
      </c>
      <c r="AA24" s="58" t="s">
        <v>1482</v>
      </c>
      <c r="AB24" s="58" t="s">
        <v>1482</v>
      </c>
      <c r="AC24" s="58" t="s">
        <v>1482</v>
      </c>
      <c r="AD24" s="58" t="s">
        <v>1482</v>
      </c>
      <c r="AE24" s="58" t="s">
        <v>1482</v>
      </c>
      <c r="AF24" s="58" t="s">
        <v>1482</v>
      </c>
      <c r="AG24" s="58">
        <v>50.0</v>
      </c>
      <c r="AH24" s="58">
        <v>56.0</v>
      </c>
      <c r="AI24" s="58">
        <v>66.0</v>
      </c>
      <c r="AJ24" s="58">
        <v>0.0</v>
      </c>
      <c r="AK24" s="58">
        <v>41.0</v>
      </c>
      <c r="AL24" s="58" t="s">
        <v>2416</v>
      </c>
      <c r="AM24" s="58" t="s">
        <v>2417</v>
      </c>
      <c r="AN24" s="58" t="s">
        <v>2418</v>
      </c>
      <c r="AO24" s="58" t="s">
        <v>2419</v>
      </c>
      <c r="AP24" s="58" t="s">
        <v>2420</v>
      </c>
      <c r="AQ24" s="58" t="s">
        <v>1482</v>
      </c>
      <c r="AR24" s="58" t="s">
        <v>2409</v>
      </c>
      <c r="AS24" s="58" t="s">
        <v>2421</v>
      </c>
      <c r="AT24" s="58" t="s">
        <v>2114</v>
      </c>
      <c r="AU24" s="58">
        <v>2005.0</v>
      </c>
      <c r="AV24" s="58">
        <v>39.0</v>
      </c>
      <c r="AW24" s="58">
        <v>2.0</v>
      </c>
      <c r="AX24" s="58" t="s">
        <v>1482</v>
      </c>
      <c r="AY24" s="58" t="s">
        <v>1482</v>
      </c>
      <c r="AZ24" s="58" t="s">
        <v>1482</v>
      </c>
      <c r="BA24" s="58" t="s">
        <v>1482</v>
      </c>
      <c r="BB24" s="58">
        <v>149.0</v>
      </c>
      <c r="BC24" s="58">
        <v>157.0</v>
      </c>
      <c r="BD24" s="58" t="s">
        <v>1482</v>
      </c>
      <c r="BE24" s="58" t="s">
        <v>1562</v>
      </c>
      <c r="BF24" s="65" t="str">
        <f>HYPERLINK("http://dx.doi.org/10.1017/S0030605305000384","http://dx.doi.org/10.1017/S0030605305000384")</f>
        <v>http://dx.doi.org/10.1017/S0030605305000384</v>
      </c>
      <c r="BG24" s="58" t="s">
        <v>1482</v>
      </c>
      <c r="BH24" s="58" t="s">
        <v>1482</v>
      </c>
      <c r="BI24" s="58">
        <v>9.0</v>
      </c>
      <c r="BJ24" s="58" t="s">
        <v>2034</v>
      </c>
      <c r="BK24" s="58" t="s">
        <v>1920</v>
      </c>
      <c r="BL24" s="58" t="s">
        <v>1957</v>
      </c>
      <c r="BM24" s="58" t="s">
        <v>2422</v>
      </c>
      <c r="BN24" s="58" t="s">
        <v>1482</v>
      </c>
      <c r="BO24" s="58" t="s">
        <v>2037</v>
      </c>
      <c r="BP24" s="58" t="s">
        <v>1482</v>
      </c>
      <c r="BQ24" s="58" t="s">
        <v>1482</v>
      </c>
      <c r="BR24" s="58" t="s">
        <v>1922</v>
      </c>
      <c r="BS24" s="58" t="s">
        <v>2423</v>
      </c>
      <c r="BT24" s="58" t="s">
        <v>488</v>
      </c>
      <c r="BU24" s="58" t="s">
        <v>40</v>
      </c>
      <c r="BV24" s="58" t="s">
        <v>41</v>
      </c>
      <c r="BW24" s="58" t="s">
        <v>489</v>
      </c>
      <c r="BX24" s="58" t="s">
        <v>52</v>
      </c>
      <c r="BY24" s="58" t="s">
        <v>68</v>
      </c>
      <c r="BZ24" s="58" t="s">
        <v>60</v>
      </c>
      <c r="CA24" s="64" t="s">
        <v>1977</v>
      </c>
      <c r="CB24" s="64" t="s">
        <v>1978</v>
      </c>
      <c r="CC24" s="58" t="s">
        <v>641</v>
      </c>
      <c r="CD24" s="64" t="s">
        <v>820</v>
      </c>
      <c r="CE24" s="64" t="s">
        <v>1926</v>
      </c>
      <c r="CF24" s="3" t="s">
        <v>1927</v>
      </c>
      <c r="CG24" s="3" t="s">
        <v>1928</v>
      </c>
      <c r="CH24" s="3" t="s">
        <v>1929</v>
      </c>
      <c r="CI24" s="3" t="s">
        <v>2202</v>
      </c>
      <c r="CJ24" s="58" t="str">
        <f>VLOOKUP($BE24,'Enriched - 2'!$B$2:$F$102, 2, false)</f>
        <v>Mammals</v>
      </c>
      <c r="CK24" s="3" t="s">
        <v>2424</v>
      </c>
      <c r="CL24" s="3" t="s">
        <v>2425</v>
      </c>
      <c r="CM24" s="3" t="s">
        <v>2236</v>
      </c>
      <c r="CN24" s="58" t="str">
        <f>HYPERLINK("https%3A%2F%2Fwww.webofscience.com%2Fwos%2Fwoscc%2Ffull-record%2FWOS:000228944800017","View Full Record in Web of Science")</f>
        <v>View Full Record in Web of Science</v>
      </c>
    </row>
    <row r="25" ht="12.75" customHeight="1">
      <c r="A25" s="58" t="s">
        <v>1896</v>
      </c>
      <c r="B25" s="58" t="s">
        <v>2426</v>
      </c>
      <c r="C25" s="58" t="s">
        <v>1482</v>
      </c>
      <c r="D25" s="58" t="s">
        <v>1482</v>
      </c>
      <c r="E25" s="58" t="s">
        <v>1482</v>
      </c>
      <c r="F25" s="58" t="s">
        <v>2427</v>
      </c>
      <c r="G25" s="58" t="s">
        <v>1482</v>
      </c>
      <c r="H25" s="58" t="s">
        <v>1482</v>
      </c>
      <c r="I25" s="58" t="s">
        <v>2428</v>
      </c>
      <c r="J25" s="58" t="s">
        <v>1985</v>
      </c>
      <c r="K25" s="58" t="s">
        <v>1482</v>
      </c>
      <c r="L25" s="58" t="s">
        <v>1482</v>
      </c>
      <c r="M25" s="58" t="s">
        <v>1901</v>
      </c>
      <c r="N25" s="58" t="s">
        <v>1902</v>
      </c>
      <c r="O25" s="58" t="s">
        <v>1482</v>
      </c>
      <c r="P25" s="58" t="s">
        <v>1482</v>
      </c>
      <c r="Q25" s="58" t="s">
        <v>1482</v>
      </c>
      <c r="R25" s="58" t="s">
        <v>1482</v>
      </c>
      <c r="S25" s="58" t="s">
        <v>1482</v>
      </c>
      <c r="T25" s="58" t="s">
        <v>2429</v>
      </c>
      <c r="U25" s="58" t="s">
        <v>2430</v>
      </c>
      <c r="V25" s="58" t="s">
        <v>2431</v>
      </c>
      <c r="W25" s="58" t="s">
        <v>2432</v>
      </c>
      <c r="X25" s="58" t="s">
        <v>2433</v>
      </c>
      <c r="Y25" s="58" t="s">
        <v>2434</v>
      </c>
      <c r="Z25" s="58" t="s">
        <v>2435</v>
      </c>
      <c r="AA25" s="58" t="s">
        <v>2436</v>
      </c>
      <c r="AB25" s="58" t="s">
        <v>2437</v>
      </c>
      <c r="AC25" s="58" t="s">
        <v>1482</v>
      </c>
      <c r="AD25" s="58" t="s">
        <v>1482</v>
      </c>
      <c r="AE25" s="58" t="s">
        <v>1482</v>
      </c>
      <c r="AF25" s="58" t="s">
        <v>1482</v>
      </c>
      <c r="AG25" s="58">
        <v>59.0</v>
      </c>
      <c r="AH25" s="58">
        <v>286.0</v>
      </c>
      <c r="AI25" s="58">
        <v>343.0</v>
      </c>
      <c r="AJ25" s="58">
        <v>1.0</v>
      </c>
      <c r="AK25" s="58">
        <v>251.0</v>
      </c>
      <c r="AL25" s="58" t="s">
        <v>1998</v>
      </c>
      <c r="AM25" s="58" t="s">
        <v>1999</v>
      </c>
      <c r="AN25" s="58" t="s">
        <v>2000</v>
      </c>
      <c r="AO25" s="58" t="s">
        <v>2001</v>
      </c>
      <c r="AP25" s="58" t="s">
        <v>2002</v>
      </c>
      <c r="AQ25" s="58" t="s">
        <v>1482</v>
      </c>
      <c r="AR25" s="58" t="s">
        <v>2003</v>
      </c>
      <c r="AS25" s="58" t="s">
        <v>2004</v>
      </c>
      <c r="AT25" s="58" t="s">
        <v>2198</v>
      </c>
      <c r="AU25" s="58">
        <v>2006.0</v>
      </c>
      <c r="AV25" s="58">
        <v>20.0</v>
      </c>
      <c r="AW25" s="58">
        <v>4.0</v>
      </c>
      <c r="AX25" s="58" t="s">
        <v>1482</v>
      </c>
      <c r="AY25" s="58" t="s">
        <v>1482</v>
      </c>
      <c r="AZ25" s="58" t="s">
        <v>1482</v>
      </c>
      <c r="BA25" s="58" t="s">
        <v>1482</v>
      </c>
      <c r="BB25" s="58">
        <v>1251.0</v>
      </c>
      <c r="BC25" s="58">
        <v>1261.0</v>
      </c>
      <c r="BD25" s="58" t="s">
        <v>1482</v>
      </c>
      <c r="BE25" s="58" t="s">
        <v>1540</v>
      </c>
      <c r="BF25" s="65" t="str">
        <f>HYPERLINK("http://dx.doi.org/10.1111/j.1523-1739.2006.00420.x","http://dx.doi.org/10.1111/j.1523-1739.2006.00420.x")</f>
        <v>http://dx.doi.org/10.1111/j.1523-1739.2006.00420.x</v>
      </c>
      <c r="BG25" s="58" t="s">
        <v>1482</v>
      </c>
      <c r="BH25" s="58" t="s">
        <v>1482</v>
      </c>
      <c r="BI25" s="58">
        <v>11.0</v>
      </c>
      <c r="BJ25" s="58" t="s">
        <v>1956</v>
      </c>
      <c r="BK25" s="58" t="s">
        <v>1920</v>
      </c>
      <c r="BL25" s="58" t="s">
        <v>1957</v>
      </c>
      <c r="BM25" s="58" t="s">
        <v>2438</v>
      </c>
      <c r="BN25" s="58">
        <v>1.6922241E7</v>
      </c>
      <c r="BO25" s="58" t="s">
        <v>1482</v>
      </c>
      <c r="BP25" s="58" t="s">
        <v>1482</v>
      </c>
      <c r="BQ25" s="58" t="s">
        <v>1482</v>
      </c>
      <c r="BR25" s="58" t="s">
        <v>1922</v>
      </c>
      <c r="BS25" s="58" t="s">
        <v>2439</v>
      </c>
      <c r="BT25" s="58" t="s">
        <v>340</v>
      </c>
      <c r="BU25" s="58" t="s">
        <v>40</v>
      </c>
      <c r="BV25" s="58" t="s">
        <v>41</v>
      </c>
      <c r="BW25" s="58" t="s">
        <v>341</v>
      </c>
      <c r="BX25" s="58" t="s">
        <v>58</v>
      </c>
      <c r="BY25" s="58" t="s">
        <v>59</v>
      </c>
      <c r="BZ25" s="58" t="s">
        <v>45</v>
      </c>
      <c r="CA25" s="64" t="s">
        <v>1960</v>
      </c>
      <c r="CB25" s="64" t="s">
        <v>2101</v>
      </c>
      <c r="CC25" s="58" t="s">
        <v>641</v>
      </c>
      <c r="CD25" s="64" t="s">
        <v>820</v>
      </c>
      <c r="CE25" s="64" t="s">
        <v>1926</v>
      </c>
      <c r="CF25" s="3" t="s">
        <v>1927</v>
      </c>
      <c r="CG25" s="3" t="s">
        <v>1928</v>
      </c>
      <c r="CH25" s="3" t="s">
        <v>1929</v>
      </c>
      <c r="CI25" s="3" t="s">
        <v>2202</v>
      </c>
      <c r="CJ25" s="58" t="str">
        <f>VLOOKUP($BE25,'Enriched - 2'!$B$2:$F$102, 2, false)</f>
        <v>Mammals</v>
      </c>
      <c r="CK25" s="3" t="s">
        <v>2440</v>
      </c>
      <c r="CL25" s="3" t="s">
        <v>2441</v>
      </c>
      <c r="CM25" s="3" t="s">
        <v>2442</v>
      </c>
      <c r="CN25" s="58" t="str">
        <f>HYPERLINK("https%3A%2F%2Fwww.webofscience.com%2Fwos%2Fwoscc%2Ffull-record%2FWOS:000239545500036","View Full Record in Web of Science")</f>
        <v>View Full Record in Web of Science</v>
      </c>
    </row>
    <row r="26" ht="12.75" customHeight="1">
      <c r="A26" s="58" t="s">
        <v>1896</v>
      </c>
      <c r="B26" s="58" t="s">
        <v>2443</v>
      </c>
      <c r="C26" s="58" t="s">
        <v>1482</v>
      </c>
      <c r="D26" s="58" t="s">
        <v>1482</v>
      </c>
      <c r="E26" s="58" t="s">
        <v>1482</v>
      </c>
      <c r="F26" s="58" t="s">
        <v>2443</v>
      </c>
      <c r="G26" s="58" t="s">
        <v>1482</v>
      </c>
      <c r="H26" s="58" t="s">
        <v>1482</v>
      </c>
      <c r="I26" s="58" t="s">
        <v>2444</v>
      </c>
      <c r="J26" s="58" t="s">
        <v>1985</v>
      </c>
      <c r="K26" s="58" t="s">
        <v>1482</v>
      </c>
      <c r="L26" s="58" t="s">
        <v>1482</v>
      </c>
      <c r="M26" s="58" t="s">
        <v>1901</v>
      </c>
      <c r="N26" s="58" t="s">
        <v>1902</v>
      </c>
      <c r="O26" s="58" t="s">
        <v>1482</v>
      </c>
      <c r="P26" s="58" t="s">
        <v>1482</v>
      </c>
      <c r="Q26" s="58" t="s">
        <v>1482</v>
      </c>
      <c r="R26" s="58" t="s">
        <v>1482</v>
      </c>
      <c r="S26" s="58" t="s">
        <v>1482</v>
      </c>
      <c r="T26" s="58" t="s">
        <v>1482</v>
      </c>
      <c r="U26" s="58" t="s">
        <v>2445</v>
      </c>
      <c r="V26" s="58" t="s">
        <v>2446</v>
      </c>
      <c r="W26" s="58" t="s">
        <v>2447</v>
      </c>
      <c r="X26" s="58" t="s">
        <v>1482</v>
      </c>
      <c r="Y26" s="58" t="s">
        <v>2448</v>
      </c>
      <c r="Z26" s="58" t="s">
        <v>1482</v>
      </c>
      <c r="AA26" s="58" t="s">
        <v>1482</v>
      </c>
      <c r="AB26" s="58" t="s">
        <v>1482</v>
      </c>
      <c r="AC26" s="58" t="s">
        <v>1482</v>
      </c>
      <c r="AD26" s="58" t="s">
        <v>1482</v>
      </c>
      <c r="AE26" s="58" t="s">
        <v>1482</v>
      </c>
      <c r="AF26" s="58" t="s">
        <v>1482</v>
      </c>
      <c r="AG26" s="58">
        <v>21.0</v>
      </c>
      <c r="AH26" s="58">
        <v>120.0</v>
      </c>
      <c r="AI26" s="58">
        <v>148.0</v>
      </c>
      <c r="AJ26" s="58">
        <v>0.0</v>
      </c>
      <c r="AK26" s="58">
        <v>33.0</v>
      </c>
      <c r="AL26" s="58" t="s">
        <v>2449</v>
      </c>
      <c r="AM26" s="58" t="s">
        <v>2450</v>
      </c>
      <c r="AN26" s="58" t="s">
        <v>2451</v>
      </c>
      <c r="AO26" s="58" t="s">
        <v>2001</v>
      </c>
      <c r="AP26" s="58" t="s">
        <v>1482</v>
      </c>
      <c r="AQ26" s="58" t="s">
        <v>1482</v>
      </c>
      <c r="AR26" s="58" t="s">
        <v>2003</v>
      </c>
      <c r="AS26" s="58" t="s">
        <v>2004</v>
      </c>
      <c r="AT26" s="58" t="s">
        <v>2114</v>
      </c>
      <c r="AU26" s="58">
        <v>1999.0</v>
      </c>
      <c r="AV26" s="58">
        <v>13.0</v>
      </c>
      <c r="AW26" s="58">
        <v>2.0</v>
      </c>
      <c r="AX26" s="58" t="s">
        <v>1482</v>
      </c>
      <c r="AY26" s="58" t="s">
        <v>1482</v>
      </c>
      <c r="AZ26" s="58" t="s">
        <v>1482</v>
      </c>
      <c r="BA26" s="58" t="s">
        <v>1482</v>
      </c>
      <c r="BB26" s="58">
        <v>385.0</v>
      </c>
      <c r="BC26" s="58">
        <v>396.0</v>
      </c>
      <c r="BD26" s="58" t="s">
        <v>1482</v>
      </c>
      <c r="BE26" s="58" t="s">
        <v>1549</v>
      </c>
      <c r="BF26" s="65" t="str">
        <f>HYPERLINK("http://dx.doi.org/10.1046/j.1523-1739.1999.013002385.x","http://dx.doi.org/10.1046/j.1523-1739.1999.013002385.x")</f>
        <v>http://dx.doi.org/10.1046/j.1523-1739.1999.013002385.x</v>
      </c>
      <c r="BG26" s="58" t="s">
        <v>1482</v>
      </c>
      <c r="BH26" s="58" t="s">
        <v>1482</v>
      </c>
      <c r="BI26" s="58">
        <v>12.0</v>
      </c>
      <c r="BJ26" s="58" t="s">
        <v>1956</v>
      </c>
      <c r="BK26" s="58" t="s">
        <v>1920</v>
      </c>
      <c r="BL26" s="58" t="s">
        <v>1957</v>
      </c>
      <c r="BM26" s="58" t="s">
        <v>2452</v>
      </c>
      <c r="BN26" s="58" t="s">
        <v>1482</v>
      </c>
      <c r="BO26" s="58" t="s">
        <v>1482</v>
      </c>
      <c r="BP26" s="58" t="s">
        <v>1482</v>
      </c>
      <c r="BQ26" s="58" t="s">
        <v>1482</v>
      </c>
      <c r="BR26" s="58" t="s">
        <v>1922</v>
      </c>
      <c r="BS26" s="58" t="s">
        <v>2453</v>
      </c>
      <c r="BT26" s="58" t="s">
        <v>381</v>
      </c>
      <c r="BU26" s="58" t="s">
        <v>40</v>
      </c>
      <c r="BV26" s="58" t="s">
        <v>41</v>
      </c>
      <c r="BW26" s="58" t="s">
        <v>382</v>
      </c>
      <c r="BX26" s="58" t="s">
        <v>52</v>
      </c>
      <c r="BY26" s="58" t="s">
        <v>68</v>
      </c>
      <c r="BZ26" s="58" t="s">
        <v>249</v>
      </c>
      <c r="CA26" s="64" t="s">
        <v>1960</v>
      </c>
      <c r="CB26" s="64" t="s">
        <v>2454</v>
      </c>
      <c r="CC26" s="58" t="s">
        <v>601</v>
      </c>
      <c r="CD26" s="64" t="s">
        <v>820</v>
      </c>
      <c r="CE26" s="64" t="s">
        <v>1926</v>
      </c>
      <c r="CF26" s="3" t="s">
        <v>1927</v>
      </c>
      <c r="CG26" s="3" t="s">
        <v>1928</v>
      </c>
      <c r="CH26" s="3" t="s">
        <v>1929</v>
      </c>
      <c r="CI26" s="3" t="s">
        <v>2202</v>
      </c>
      <c r="CJ26" s="58" t="str">
        <f>VLOOKUP($BE26,'Enriched - 2'!$B$2:$F$102, 2, false)</f>
        <v>Mammals</v>
      </c>
      <c r="CK26" s="3" t="s">
        <v>2455</v>
      </c>
      <c r="CL26" s="3" t="s">
        <v>2456</v>
      </c>
      <c r="CM26" s="3" t="s">
        <v>2457</v>
      </c>
      <c r="CN26" s="58" t="str">
        <f>HYPERLINK("https%3A%2F%2Fwww.webofscience.com%2Fwos%2Fwoscc%2Ffull-record%2FWOS:000079472000022","View Full Record in Web of Science")</f>
        <v>View Full Record in Web of Science</v>
      </c>
    </row>
    <row r="27" ht="12.75" customHeight="1">
      <c r="A27" s="58" t="s">
        <v>1896</v>
      </c>
      <c r="B27" s="58" t="s">
        <v>2458</v>
      </c>
      <c r="C27" s="58" t="s">
        <v>1482</v>
      </c>
      <c r="D27" s="58" t="s">
        <v>1482</v>
      </c>
      <c r="E27" s="58" t="s">
        <v>1482</v>
      </c>
      <c r="F27" s="58" t="s">
        <v>2459</v>
      </c>
      <c r="G27" s="58" t="s">
        <v>1482</v>
      </c>
      <c r="H27" s="58" t="s">
        <v>1482</v>
      </c>
      <c r="I27" s="58" t="s">
        <v>2460</v>
      </c>
      <c r="J27" s="58" t="s">
        <v>2461</v>
      </c>
      <c r="K27" s="58" t="s">
        <v>1482</v>
      </c>
      <c r="L27" s="58" t="s">
        <v>1482</v>
      </c>
      <c r="M27" s="58" t="s">
        <v>1901</v>
      </c>
      <c r="N27" s="58" t="s">
        <v>1902</v>
      </c>
      <c r="O27" s="58" t="s">
        <v>1482</v>
      </c>
      <c r="P27" s="58" t="s">
        <v>1482</v>
      </c>
      <c r="Q27" s="58" t="s">
        <v>1482</v>
      </c>
      <c r="R27" s="58" t="s">
        <v>1482</v>
      </c>
      <c r="S27" s="58" t="s">
        <v>1482</v>
      </c>
      <c r="T27" s="58" t="s">
        <v>2462</v>
      </c>
      <c r="U27" s="58" t="s">
        <v>2463</v>
      </c>
      <c r="V27" s="58" t="s">
        <v>2464</v>
      </c>
      <c r="W27" s="58" t="s">
        <v>2465</v>
      </c>
      <c r="X27" s="58" t="s">
        <v>2466</v>
      </c>
      <c r="Y27" s="58" t="s">
        <v>2467</v>
      </c>
      <c r="Z27" s="58" t="s">
        <v>2468</v>
      </c>
      <c r="AA27" s="58" t="s">
        <v>2469</v>
      </c>
      <c r="AB27" s="58" t="s">
        <v>2470</v>
      </c>
      <c r="AC27" s="58" t="s">
        <v>2471</v>
      </c>
      <c r="AD27" s="58" t="s">
        <v>2471</v>
      </c>
      <c r="AE27" s="58" t="s">
        <v>2472</v>
      </c>
      <c r="AF27" s="58" t="s">
        <v>1482</v>
      </c>
      <c r="AG27" s="58">
        <v>25.0</v>
      </c>
      <c r="AH27" s="58">
        <v>35.0</v>
      </c>
      <c r="AI27" s="58">
        <v>38.0</v>
      </c>
      <c r="AJ27" s="58">
        <v>1.0</v>
      </c>
      <c r="AK27" s="58">
        <v>63.0</v>
      </c>
      <c r="AL27" s="58" t="s">
        <v>2473</v>
      </c>
      <c r="AM27" s="58" t="s">
        <v>2474</v>
      </c>
      <c r="AN27" s="58" t="s">
        <v>2475</v>
      </c>
      <c r="AO27" s="58" t="s">
        <v>2476</v>
      </c>
      <c r="AP27" s="58" t="s">
        <v>2477</v>
      </c>
      <c r="AQ27" s="58" t="s">
        <v>1482</v>
      </c>
      <c r="AR27" s="58" t="s">
        <v>2478</v>
      </c>
      <c r="AS27" s="58" t="s">
        <v>2479</v>
      </c>
      <c r="AT27" s="58" t="s">
        <v>2114</v>
      </c>
      <c r="AU27" s="58">
        <v>2009.0</v>
      </c>
      <c r="AV27" s="58">
        <v>39.0</v>
      </c>
      <c r="AW27" s="58">
        <v>1.0</v>
      </c>
      <c r="AX27" s="58" t="s">
        <v>1482</v>
      </c>
      <c r="AY27" s="58" t="s">
        <v>1482</v>
      </c>
      <c r="AZ27" s="58" t="s">
        <v>1482</v>
      </c>
      <c r="BA27" s="58" t="s">
        <v>1482</v>
      </c>
      <c r="BB27" s="58">
        <v>70.0</v>
      </c>
      <c r="BC27" s="58">
        <v>84.0</v>
      </c>
      <c r="BD27" s="58" t="s">
        <v>1482</v>
      </c>
      <c r="BE27" s="58" t="s">
        <v>1529</v>
      </c>
      <c r="BF27" s="65" t="str">
        <f>HYPERLINK("http://dx.doi.org/10.3957/056.039.0108","http://dx.doi.org/10.3957/056.039.0108")</f>
        <v>http://dx.doi.org/10.3957/056.039.0108</v>
      </c>
      <c r="BG27" s="58" t="s">
        <v>1482</v>
      </c>
      <c r="BH27" s="58" t="s">
        <v>1482</v>
      </c>
      <c r="BI27" s="58">
        <v>15.0</v>
      </c>
      <c r="BJ27" s="58" t="s">
        <v>2480</v>
      </c>
      <c r="BK27" s="58" t="s">
        <v>1920</v>
      </c>
      <c r="BL27" s="58" t="s">
        <v>2481</v>
      </c>
      <c r="BM27" s="58" t="s">
        <v>2482</v>
      </c>
      <c r="BN27" s="58" t="s">
        <v>1482</v>
      </c>
      <c r="BO27" s="58" t="s">
        <v>1482</v>
      </c>
      <c r="BP27" s="58" t="s">
        <v>1482</v>
      </c>
      <c r="BQ27" s="58" t="s">
        <v>1482</v>
      </c>
      <c r="BR27" s="58" t="s">
        <v>1922</v>
      </c>
      <c r="BS27" s="58" t="s">
        <v>2483</v>
      </c>
      <c r="BT27" s="58" t="s">
        <v>273</v>
      </c>
      <c r="BU27" s="58" t="s">
        <v>274</v>
      </c>
      <c r="BV27" s="58" t="s">
        <v>41</v>
      </c>
      <c r="BW27" s="58" t="s">
        <v>275</v>
      </c>
      <c r="BX27" s="58" t="s">
        <v>58</v>
      </c>
      <c r="BY27" s="58" t="s">
        <v>68</v>
      </c>
      <c r="BZ27" s="58" t="s">
        <v>60</v>
      </c>
      <c r="CA27" s="64" t="s">
        <v>1960</v>
      </c>
      <c r="CB27" s="64" t="s">
        <v>2484</v>
      </c>
      <c r="CC27" s="58" t="s">
        <v>601</v>
      </c>
      <c r="CD27" s="64" t="s">
        <v>800</v>
      </c>
      <c r="CE27" s="64" t="s">
        <v>1926</v>
      </c>
      <c r="CF27" s="3" t="s">
        <v>1927</v>
      </c>
      <c r="CG27" s="3" t="s">
        <v>1928</v>
      </c>
      <c r="CH27" s="3" t="s">
        <v>1929</v>
      </c>
      <c r="CI27" s="3" t="s">
        <v>2202</v>
      </c>
      <c r="CJ27" s="58" t="str">
        <f>VLOOKUP($BE27,'Enriched - 2'!$B$2:$F$102, 2, false)</f>
        <v>Mammals</v>
      </c>
      <c r="CK27" s="3" t="s">
        <v>2485</v>
      </c>
      <c r="CL27" s="3" t="s">
        <v>2486</v>
      </c>
      <c r="CM27" s="3" t="s">
        <v>2487</v>
      </c>
      <c r="CN27" s="58" t="str">
        <f>HYPERLINK("https%3A%2F%2Fwww.webofscience.com%2Fwos%2Fwoscc%2Ffull-record%2FWOS:000269692700008","View Full Record in Web of Science")</f>
        <v>View Full Record in Web of Science</v>
      </c>
    </row>
    <row r="28" ht="12.75" customHeight="1">
      <c r="A28" s="58" t="s">
        <v>1896</v>
      </c>
      <c r="B28" s="58" t="s">
        <v>2488</v>
      </c>
      <c r="C28" s="58" t="s">
        <v>1482</v>
      </c>
      <c r="D28" s="58" t="s">
        <v>1482</v>
      </c>
      <c r="E28" s="58" t="s">
        <v>1482</v>
      </c>
      <c r="F28" s="58" t="s">
        <v>2489</v>
      </c>
      <c r="G28" s="58" t="s">
        <v>1482</v>
      </c>
      <c r="H28" s="58" t="s">
        <v>1482</v>
      </c>
      <c r="I28" s="58" t="s">
        <v>2490</v>
      </c>
      <c r="J28" s="58" t="s">
        <v>2266</v>
      </c>
      <c r="K28" s="58" t="s">
        <v>1482</v>
      </c>
      <c r="L28" s="58" t="s">
        <v>1482</v>
      </c>
      <c r="M28" s="58" t="s">
        <v>1901</v>
      </c>
      <c r="N28" s="58" t="s">
        <v>1902</v>
      </c>
      <c r="O28" s="58" t="s">
        <v>1482</v>
      </c>
      <c r="P28" s="58" t="s">
        <v>1482</v>
      </c>
      <c r="Q28" s="58" t="s">
        <v>1482</v>
      </c>
      <c r="R28" s="58" t="s">
        <v>1482</v>
      </c>
      <c r="S28" s="58" t="s">
        <v>1482</v>
      </c>
      <c r="T28" s="58" t="s">
        <v>2491</v>
      </c>
      <c r="U28" s="58" t="s">
        <v>2492</v>
      </c>
      <c r="V28" s="58" t="s">
        <v>2493</v>
      </c>
      <c r="W28" s="58" t="s">
        <v>2494</v>
      </c>
      <c r="X28" s="58" t="s">
        <v>2495</v>
      </c>
      <c r="Y28" s="58" t="s">
        <v>2496</v>
      </c>
      <c r="Z28" s="58" t="s">
        <v>2497</v>
      </c>
      <c r="AA28" s="58" t="s">
        <v>1482</v>
      </c>
      <c r="AB28" s="58" t="s">
        <v>1482</v>
      </c>
      <c r="AC28" s="58" t="s">
        <v>2498</v>
      </c>
      <c r="AD28" s="58" t="s">
        <v>2498</v>
      </c>
      <c r="AE28" s="58" t="s">
        <v>2499</v>
      </c>
      <c r="AF28" s="58" t="s">
        <v>1482</v>
      </c>
      <c r="AG28" s="58">
        <v>68.0</v>
      </c>
      <c r="AH28" s="58">
        <v>73.0</v>
      </c>
      <c r="AI28" s="58">
        <v>92.0</v>
      </c>
      <c r="AJ28" s="58">
        <v>0.0</v>
      </c>
      <c r="AK28" s="58">
        <v>92.0</v>
      </c>
      <c r="AL28" s="58" t="s">
        <v>2278</v>
      </c>
      <c r="AM28" s="58" t="s">
        <v>2279</v>
      </c>
      <c r="AN28" s="58" t="s">
        <v>2280</v>
      </c>
      <c r="AO28" s="58" t="s">
        <v>2281</v>
      </c>
      <c r="AP28" s="58" t="s">
        <v>2282</v>
      </c>
      <c r="AQ28" s="58" t="s">
        <v>1482</v>
      </c>
      <c r="AR28" s="58" t="s">
        <v>2283</v>
      </c>
      <c r="AS28" s="58" t="s">
        <v>2284</v>
      </c>
      <c r="AT28" s="58" t="s">
        <v>2285</v>
      </c>
      <c r="AU28" s="58">
        <v>2011.0</v>
      </c>
      <c r="AV28" s="58">
        <v>144.0</v>
      </c>
      <c r="AW28" s="58">
        <v>2.0</v>
      </c>
      <c r="AX28" s="58" t="s">
        <v>1482</v>
      </c>
      <c r="AY28" s="58" t="s">
        <v>1482</v>
      </c>
      <c r="AZ28" s="58" t="s">
        <v>1482</v>
      </c>
      <c r="BA28" s="58" t="s">
        <v>1482</v>
      </c>
      <c r="BB28" s="58">
        <v>738.0</v>
      </c>
      <c r="BC28" s="58">
        <v>745.0</v>
      </c>
      <c r="BD28" s="58" t="s">
        <v>1482</v>
      </c>
      <c r="BE28" s="58" t="s">
        <v>1572</v>
      </c>
      <c r="BF28" s="65" t="str">
        <f>HYPERLINK("http://dx.doi.org/10.1016/j.biocon.2010.10.023","http://dx.doi.org/10.1016/j.biocon.2010.10.023")</f>
        <v>http://dx.doi.org/10.1016/j.biocon.2010.10.023</v>
      </c>
      <c r="BG28" s="58" t="s">
        <v>1482</v>
      </c>
      <c r="BH28" s="58" t="s">
        <v>1482</v>
      </c>
      <c r="BI28" s="58">
        <v>8.0</v>
      </c>
      <c r="BJ28" s="58" t="s">
        <v>1956</v>
      </c>
      <c r="BK28" s="58" t="s">
        <v>1920</v>
      </c>
      <c r="BL28" s="58" t="s">
        <v>1957</v>
      </c>
      <c r="BM28" s="58" t="s">
        <v>2500</v>
      </c>
      <c r="BN28" s="58" t="s">
        <v>1482</v>
      </c>
      <c r="BO28" s="58" t="s">
        <v>1482</v>
      </c>
      <c r="BP28" s="58" t="s">
        <v>1482</v>
      </c>
      <c r="BQ28" s="58" t="s">
        <v>1482</v>
      </c>
      <c r="BR28" s="58" t="s">
        <v>1922</v>
      </c>
      <c r="BS28" s="58" t="s">
        <v>2501</v>
      </c>
      <c r="BT28" s="58" t="s">
        <v>535</v>
      </c>
      <c r="BU28" s="58" t="s">
        <v>102</v>
      </c>
      <c r="BV28" s="58" t="s">
        <v>41</v>
      </c>
      <c r="BW28" s="58" t="s">
        <v>51</v>
      </c>
      <c r="BX28" s="58" t="s">
        <v>289</v>
      </c>
      <c r="BY28" s="58" t="s">
        <v>68</v>
      </c>
      <c r="BZ28" s="58" t="s">
        <v>60</v>
      </c>
      <c r="CA28" s="64"/>
      <c r="CB28" s="64"/>
      <c r="CE28" s="64"/>
      <c r="CG28" s="3" t="s">
        <v>1928</v>
      </c>
      <c r="CH28" s="3" t="s">
        <v>1929</v>
      </c>
      <c r="CI28" s="3" t="s">
        <v>2202</v>
      </c>
      <c r="CJ28" s="58" t="str">
        <f>VLOOKUP($BE28,'Enriched - 2'!$B$2:$F$102, 2, false)</f>
        <v>Mammals</v>
      </c>
      <c r="CK28" s="3" t="s">
        <v>2502</v>
      </c>
      <c r="CL28" s="3" t="s">
        <v>2503</v>
      </c>
      <c r="CM28" s="3" t="s">
        <v>2236</v>
      </c>
      <c r="CN28" s="58" t="str">
        <f>HYPERLINK("https%3A%2F%2Fwww.webofscience.com%2Fwos%2Fwoscc%2Ffull-record%2FWOS:000287897100013","View Full Record in Web of Science")</f>
        <v>View Full Record in Web of Science</v>
      </c>
    </row>
    <row r="29" ht="12.75" customHeight="1">
      <c r="A29" s="58" t="s">
        <v>1896</v>
      </c>
      <c r="B29" s="58" t="s">
        <v>2504</v>
      </c>
      <c r="C29" s="58" t="s">
        <v>1482</v>
      </c>
      <c r="D29" s="58" t="s">
        <v>1482</v>
      </c>
      <c r="E29" s="58" t="s">
        <v>1482</v>
      </c>
      <c r="F29" s="58" t="s">
        <v>2504</v>
      </c>
      <c r="G29" s="58" t="s">
        <v>1482</v>
      </c>
      <c r="H29" s="58" t="s">
        <v>1482</v>
      </c>
      <c r="I29" s="58" t="s">
        <v>2505</v>
      </c>
      <c r="J29" s="58" t="s">
        <v>2409</v>
      </c>
      <c r="K29" s="58" t="s">
        <v>1482</v>
      </c>
      <c r="L29" s="58" t="s">
        <v>1482</v>
      </c>
      <c r="M29" s="58" t="s">
        <v>1901</v>
      </c>
      <c r="N29" s="58" t="s">
        <v>1902</v>
      </c>
      <c r="O29" s="58" t="s">
        <v>1482</v>
      </c>
      <c r="P29" s="58" t="s">
        <v>1482</v>
      </c>
      <c r="Q29" s="58" t="s">
        <v>1482</v>
      </c>
      <c r="R29" s="58" t="s">
        <v>1482</v>
      </c>
      <c r="S29" s="58" t="s">
        <v>1482</v>
      </c>
      <c r="T29" s="58" t="s">
        <v>2506</v>
      </c>
      <c r="U29" s="58" t="s">
        <v>2507</v>
      </c>
      <c r="V29" s="58" t="s">
        <v>2508</v>
      </c>
      <c r="W29" s="58" t="s">
        <v>2509</v>
      </c>
      <c r="X29" s="58" t="s">
        <v>2510</v>
      </c>
      <c r="Y29" s="58" t="s">
        <v>2511</v>
      </c>
      <c r="Z29" s="58" t="s">
        <v>2512</v>
      </c>
      <c r="AA29" s="58" t="s">
        <v>1482</v>
      </c>
      <c r="AB29" s="58" t="s">
        <v>2513</v>
      </c>
      <c r="AC29" s="58" t="s">
        <v>1482</v>
      </c>
      <c r="AD29" s="58" t="s">
        <v>1482</v>
      </c>
      <c r="AE29" s="58" t="s">
        <v>1482</v>
      </c>
      <c r="AF29" s="58" t="s">
        <v>1482</v>
      </c>
      <c r="AG29" s="58">
        <v>37.0</v>
      </c>
      <c r="AH29" s="58">
        <v>54.0</v>
      </c>
      <c r="AI29" s="58">
        <v>63.0</v>
      </c>
      <c r="AJ29" s="58">
        <v>0.0</v>
      </c>
      <c r="AK29" s="58">
        <v>43.0</v>
      </c>
      <c r="AL29" s="58" t="s">
        <v>2416</v>
      </c>
      <c r="AM29" s="58" t="s">
        <v>2225</v>
      </c>
      <c r="AN29" s="58" t="s">
        <v>2514</v>
      </c>
      <c r="AO29" s="58" t="s">
        <v>2419</v>
      </c>
      <c r="AP29" s="58" t="s">
        <v>1482</v>
      </c>
      <c r="AQ29" s="58" t="s">
        <v>1482</v>
      </c>
      <c r="AR29" s="58" t="s">
        <v>2409</v>
      </c>
      <c r="AS29" s="58" t="s">
        <v>2421</v>
      </c>
      <c r="AT29" s="58" t="s">
        <v>2005</v>
      </c>
      <c r="AU29" s="58">
        <v>2005.0</v>
      </c>
      <c r="AV29" s="58">
        <v>39.0</v>
      </c>
      <c r="AW29" s="58">
        <v>4.0</v>
      </c>
      <c r="AX29" s="58" t="s">
        <v>1482</v>
      </c>
      <c r="AY29" s="58" t="s">
        <v>1482</v>
      </c>
      <c r="AZ29" s="58" t="s">
        <v>1482</v>
      </c>
      <c r="BA29" s="58" t="s">
        <v>1482</v>
      </c>
      <c r="BB29" s="58">
        <v>381.0</v>
      </c>
      <c r="BC29" s="58">
        <v>388.0</v>
      </c>
      <c r="BD29" s="58" t="s">
        <v>1482</v>
      </c>
      <c r="BE29" s="58" t="s">
        <v>1516</v>
      </c>
      <c r="BF29" s="65" t="str">
        <f>HYPERLINK("http://dx.doi.org/10.1017/S0030605305001080","http://dx.doi.org/10.1017/S0030605305001080")</f>
        <v>http://dx.doi.org/10.1017/S0030605305001080</v>
      </c>
      <c r="BG29" s="58" t="s">
        <v>1482</v>
      </c>
      <c r="BH29" s="58" t="s">
        <v>1482</v>
      </c>
      <c r="BI29" s="58">
        <v>8.0</v>
      </c>
      <c r="BJ29" s="58" t="s">
        <v>2034</v>
      </c>
      <c r="BK29" s="58" t="s">
        <v>1920</v>
      </c>
      <c r="BL29" s="58" t="s">
        <v>1957</v>
      </c>
      <c r="BM29" s="58" t="s">
        <v>2515</v>
      </c>
      <c r="BN29" s="58" t="s">
        <v>1482</v>
      </c>
      <c r="BO29" s="58" t="s">
        <v>2037</v>
      </c>
      <c r="BP29" s="58" t="s">
        <v>1482</v>
      </c>
      <c r="BQ29" s="58" t="s">
        <v>1482</v>
      </c>
      <c r="BR29" s="58" t="s">
        <v>1922</v>
      </c>
      <c r="BS29" s="58" t="s">
        <v>2516</v>
      </c>
      <c r="BT29" s="58" t="s">
        <v>142</v>
      </c>
      <c r="BU29" s="58" t="s">
        <v>40</v>
      </c>
      <c r="BV29" s="58" t="s">
        <v>41</v>
      </c>
      <c r="BW29" s="58" t="s">
        <v>148</v>
      </c>
      <c r="BX29" s="58" t="s">
        <v>144</v>
      </c>
      <c r="BY29" s="58" t="s">
        <v>44</v>
      </c>
      <c r="BZ29" s="58" t="s">
        <v>75</v>
      </c>
      <c r="CA29" s="64" t="s">
        <v>1960</v>
      </c>
      <c r="CB29" s="64" t="s">
        <v>2517</v>
      </c>
      <c r="CC29" s="58" t="s">
        <v>641</v>
      </c>
      <c r="CD29" s="64" t="s">
        <v>820</v>
      </c>
      <c r="CE29" s="64" t="s">
        <v>1926</v>
      </c>
      <c r="CF29" s="3" t="s">
        <v>1927</v>
      </c>
      <c r="CG29" s="3" t="s">
        <v>1928</v>
      </c>
      <c r="CH29" s="3" t="s">
        <v>1929</v>
      </c>
      <c r="CI29" s="3" t="s">
        <v>2202</v>
      </c>
      <c r="CJ29" s="58" t="str">
        <f>VLOOKUP($BE29,'Enriched - 2'!$B$2:$F$102, 2, false)</f>
        <v>Mammals</v>
      </c>
      <c r="CK29" s="3" t="s">
        <v>2518</v>
      </c>
      <c r="CL29" s="3" t="s">
        <v>2519</v>
      </c>
      <c r="CM29" s="3" t="s">
        <v>2520</v>
      </c>
      <c r="CN29" s="58" t="str">
        <f>HYPERLINK("https%3A%2F%2Fwww.webofscience.com%2Fwos%2Fwoscc%2Ffull-record%2FWOS:000234153500009","View Full Record in Web of Science")</f>
        <v>View Full Record in Web of Science</v>
      </c>
    </row>
    <row r="30" ht="12.75" customHeight="1">
      <c r="A30" s="58" t="s">
        <v>1896</v>
      </c>
      <c r="B30" s="58" t="s">
        <v>2521</v>
      </c>
      <c r="C30" s="58" t="s">
        <v>1482</v>
      </c>
      <c r="D30" s="58" t="s">
        <v>1482</v>
      </c>
      <c r="E30" s="58" t="s">
        <v>1482</v>
      </c>
      <c r="F30" s="58" t="s">
        <v>2521</v>
      </c>
      <c r="G30" s="58" t="s">
        <v>1482</v>
      </c>
      <c r="H30" s="58" t="s">
        <v>1482</v>
      </c>
      <c r="I30" s="58" t="s">
        <v>2522</v>
      </c>
      <c r="J30" s="58" t="s">
        <v>1985</v>
      </c>
      <c r="K30" s="58" t="s">
        <v>1482</v>
      </c>
      <c r="L30" s="58" t="s">
        <v>1482</v>
      </c>
      <c r="M30" s="58" t="s">
        <v>1901</v>
      </c>
      <c r="N30" s="58" t="s">
        <v>1902</v>
      </c>
      <c r="O30" s="58" t="s">
        <v>1482</v>
      </c>
      <c r="P30" s="58" t="s">
        <v>1482</v>
      </c>
      <c r="Q30" s="58" t="s">
        <v>1482</v>
      </c>
      <c r="R30" s="58" t="s">
        <v>1482</v>
      </c>
      <c r="S30" s="58" t="s">
        <v>1482</v>
      </c>
      <c r="T30" s="58" t="s">
        <v>1482</v>
      </c>
      <c r="U30" s="58" t="s">
        <v>2523</v>
      </c>
      <c r="V30" s="58" t="s">
        <v>2524</v>
      </c>
      <c r="W30" s="58" t="s">
        <v>2525</v>
      </c>
      <c r="X30" s="58" t="s">
        <v>2526</v>
      </c>
      <c r="Y30" s="58" t="s">
        <v>1482</v>
      </c>
      <c r="Z30" s="58" t="s">
        <v>2527</v>
      </c>
      <c r="AA30" s="58" t="s">
        <v>1482</v>
      </c>
      <c r="AB30" s="58" t="s">
        <v>2528</v>
      </c>
      <c r="AC30" s="58" t="s">
        <v>1482</v>
      </c>
      <c r="AD30" s="58" t="s">
        <v>1482</v>
      </c>
      <c r="AE30" s="58" t="s">
        <v>1482</v>
      </c>
      <c r="AF30" s="58" t="s">
        <v>1482</v>
      </c>
      <c r="AG30" s="58">
        <v>53.0</v>
      </c>
      <c r="AH30" s="58">
        <v>100.0</v>
      </c>
      <c r="AI30" s="58">
        <v>118.0</v>
      </c>
      <c r="AJ30" s="58">
        <v>1.0</v>
      </c>
      <c r="AK30" s="58">
        <v>74.0</v>
      </c>
      <c r="AL30" s="58" t="s">
        <v>1998</v>
      </c>
      <c r="AM30" s="58" t="s">
        <v>1999</v>
      </c>
      <c r="AN30" s="58" t="s">
        <v>2000</v>
      </c>
      <c r="AO30" s="58" t="s">
        <v>2001</v>
      </c>
      <c r="AP30" s="58" t="s">
        <v>2002</v>
      </c>
      <c r="AQ30" s="58" t="s">
        <v>1482</v>
      </c>
      <c r="AR30" s="58" t="s">
        <v>2003</v>
      </c>
      <c r="AS30" s="58" t="s">
        <v>2004</v>
      </c>
      <c r="AT30" s="58" t="s">
        <v>2400</v>
      </c>
      <c r="AU30" s="58">
        <v>2000.0</v>
      </c>
      <c r="AV30" s="58">
        <v>14.0</v>
      </c>
      <c r="AW30" s="58">
        <v>6.0</v>
      </c>
      <c r="AX30" s="58" t="s">
        <v>1482</v>
      </c>
      <c r="AY30" s="58" t="s">
        <v>1482</v>
      </c>
      <c r="AZ30" s="58" t="s">
        <v>1482</v>
      </c>
      <c r="BA30" s="58" t="s">
        <v>1482</v>
      </c>
      <c r="BB30" s="58">
        <v>1580.0</v>
      </c>
      <c r="BC30" s="58">
        <v>1591.0</v>
      </c>
      <c r="BD30" s="58" t="s">
        <v>1482</v>
      </c>
      <c r="BE30" s="58" t="s">
        <v>1518</v>
      </c>
      <c r="BF30" s="65" t="str">
        <f>HYPERLINK("http://dx.doi.org/10.1046/j.1523-1739.2000.99103.x","http://dx.doi.org/10.1046/j.1523-1739.2000.99103.x")</f>
        <v>http://dx.doi.org/10.1046/j.1523-1739.2000.99103.x</v>
      </c>
      <c r="BG30" s="58" t="s">
        <v>1482</v>
      </c>
      <c r="BH30" s="58" t="s">
        <v>1482</v>
      </c>
      <c r="BI30" s="58">
        <v>12.0</v>
      </c>
      <c r="BJ30" s="58" t="s">
        <v>1956</v>
      </c>
      <c r="BK30" s="58" t="s">
        <v>1920</v>
      </c>
      <c r="BL30" s="58" t="s">
        <v>1957</v>
      </c>
      <c r="BM30" s="58" t="s">
        <v>2529</v>
      </c>
      <c r="BN30" s="58" t="s">
        <v>1482</v>
      </c>
      <c r="BO30" s="58" t="s">
        <v>1482</v>
      </c>
      <c r="BP30" s="58" t="s">
        <v>1482</v>
      </c>
      <c r="BQ30" s="58" t="s">
        <v>1482</v>
      </c>
      <c r="BR30" s="58" t="s">
        <v>1922</v>
      </c>
      <c r="BS30" s="58" t="s">
        <v>2530</v>
      </c>
      <c r="BT30" s="58" t="s">
        <v>161</v>
      </c>
      <c r="BU30" s="58" t="s">
        <v>102</v>
      </c>
      <c r="BV30" s="58" t="s">
        <v>41</v>
      </c>
      <c r="BW30" s="58" t="s">
        <v>162</v>
      </c>
      <c r="BX30" s="58" t="s">
        <v>163</v>
      </c>
      <c r="BY30" s="58" t="s">
        <v>68</v>
      </c>
      <c r="BZ30" s="58" t="s">
        <v>164</v>
      </c>
      <c r="CA30" s="64" t="s">
        <v>1977</v>
      </c>
      <c r="CB30" s="64" t="s">
        <v>2531</v>
      </c>
      <c r="CC30" s="58" t="s">
        <v>601</v>
      </c>
      <c r="CD30" s="64" t="s">
        <v>820</v>
      </c>
      <c r="CE30" s="64" t="s">
        <v>1926</v>
      </c>
      <c r="CF30" s="3" t="s">
        <v>1927</v>
      </c>
      <c r="CG30" s="3" t="s">
        <v>1928</v>
      </c>
      <c r="CH30" s="3" t="s">
        <v>1929</v>
      </c>
      <c r="CI30" s="3" t="s">
        <v>2202</v>
      </c>
      <c r="CJ30" s="58" t="str">
        <f>VLOOKUP($BE30,'Enriched - 2'!$B$2:$F$102, 2, false)</f>
        <v>Mammals</v>
      </c>
      <c r="CK30" s="3" t="s">
        <v>2532</v>
      </c>
      <c r="CL30" s="3" t="s">
        <v>2533</v>
      </c>
      <c r="CM30" s="3" t="s">
        <v>2534</v>
      </c>
      <c r="CN30" s="58" t="str">
        <f>HYPERLINK("https%3A%2F%2Fwww.webofscience.com%2Fwos%2Fwoscc%2Ffull-record%2FWOS:000166035800007","View Full Record in Web of Science")</f>
        <v>View Full Record in Web of Science</v>
      </c>
    </row>
    <row r="31" ht="12.75" customHeight="1">
      <c r="A31" s="58" t="s">
        <v>1896</v>
      </c>
      <c r="B31" s="58" t="s">
        <v>2535</v>
      </c>
      <c r="C31" s="58" t="s">
        <v>1482</v>
      </c>
      <c r="D31" s="58" t="s">
        <v>1482</v>
      </c>
      <c r="E31" s="58" t="s">
        <v>1482</v>
      </c>
      <c r="F31" s="58" t="s">
        <v>2535</v>
      </c>
      <c r="G31" s="58" t="s">
        <v>1482</v>
      </c>
      <c r="H31" s="58" t="s">
        <v>1482</v>
      </c>
      <c r="I31" s="58" t="s">
        <v>2536</v>
      </c>
      <c r="J31" s="58" t="s">
        <v>1985</v>
      </c>
      <c r="K31" s="58" t="s">
        <v>1482</v>
      </c>
      <c r="L31" s="58" t="s">
        <v>1482</v>
      </c>
      <c r="M31" s="58" t="s">
        <v>1901</v>
      </c>
      <c r="N31" s="58" t="s">
        <v>1902</v>
      </c>
      <c r="O31" s="58" t="s">
        <v>1482</v>
      </c>
      <c r="P31" s="58" t="s">
        <v>1482</v>
      </c>
      <c r="Q31" s="58" t="s">
        <v>1482</v>
      </c>
      <c r="R31" s="58" t="s">
        <v>1482</v>
      </c>
      <c r="S31" s="58" t="s">
        <v>1482</v>
      </c>
      <c r="T31" s="58" t="s">
        <v>1482</v>
      </c>
      <c r="U31" s="58" t="s">
        <v>1482</v>
      </c>
      <c r="V31" s="58" t="s">
        <v>2537</v>
      </c>
      <c r="W31" s="58" t="s">
        <v>2538</v>
      </c>
      <c r="X31" s="58" t="s">
        <v>1482</v>
      </c>
      <c r="Y31" s="58" t="s">
        <v>2539</v>
      </c>
      <c r="Z31" s="58" t="s">
        <v>1482</v>
      </c>
      <c r="AA31" s="58" t="s">
        <v>2540</v>
      </c>
      <c r="AB31" s="58" t="s">
        <v>2541</v>
      </c>
      <c r="AC31" s="58" t="s">
        <v>1482</v>
      </c>
      <c r="AD31" s="58" t="s">
        <v>1482</v>
      </c>
      <c r="AE31" s="58" t="s">
        <v>1482</v>
      </c>
      <c r="AF31" s="58" t="s">
        <v>1482</v>
      </c>
      <c r="AG31" s="58">
        <v>43.0</v>
      </c>
      <c r="AH31" s="58">
        <v>107.0</v>
      </c>
      <c r="AI31" s="58">
        <v>123.0</v>
      </c>
      <c r="AJ31" s="58">
        <v>0.0</v>
      </c>
      <c r="AK31" s="58">
        <v>23.0</v>
      </c>
      <c r="AL31" s="58" t="s">
        <v>2542</v>
      </c>
      <c r="AM31" s="58" t="s">
        <v>2450</v>
      </c>
      <c r="AN31" s="58" t="s">
        <v>2543</v>
      </c>
      <c r="AO31" s="58" t="s">
        <v>2001</v>
      </c>
      <c r="AP31" s="58" t="s">
        <v>1482</v>
      </c>
      <c r="AQ31" s="58" t="s">
        <v>1482</v>
      </c>
      <c r="AR31" s="58" t="s">
        <v>2003</v>
      </c>
      <c r="AS31" s="58" t="s">
        <v>2004</v>
      </c>
      <c r="AT31" s="58" t="s">
        <v>2400</v>
      </c>
      <c r="AU31" s="58">
        <v>1997.0</v>
      </c>
      <c r="AV31" s="58">
        <v>11.0</v>
      </c>
      <c r="AW31" s="58">
        <v>6.0</v>
      </c>
      <c r="AX31" s="58" t="s">
        <v>1482</v>
      </c>
      <c r="AY31" s="58" t="s">
        <v>1482</v>
      </c>
      <c r="AZ31" s="58" t="s">
        <v>1482</v>
      </c>
      <c r="BA31" s="58" t="s">
        <v>1482</v>
      </c>
      <c r="BB31" s="58">
        <v>1339.0</v>
      </c>
      <c r="BC31" s="58">
        <v>1353.0</v>
      </c>
      <c r="BD31" s="58" t="s">
        <v>1482</v>
      </c>
      <c r="BE31" s="58" t="s">
        <v>1533</v>
      </c>
      <c r="BF31" s="65" t="str">
        <f>HYPERLINK("http://dx.doi.org/10.1046/j.1523-1739.1997.96048.x","http://dx.doi.org/10.1046/j.1523-1739.1997.96048.x")</f>
        <v>http://dx.doi.org/10.1046/j.1523-1739.1997.96048.x</v>
      </c>
      <c r="BG31" s="58" t="s">
        <v>1482</v>
      </c>
      <c r="BH31" s="58" t="s">
        <v>1482</v>
      </c>
      <c r="BI31" s="58">
        <v>15.0</v>
      </c>
      <c r="BJ31" s="58" t="s">
        <v>1956</v>
      </c>
      <c r="BK31" s="58" t="s">
        <v>1920</v>
      </c>
      <c r="BL31" s="58" t="s">
        <v>1957</v>
      </c>
      <c r="BM31" s="58" t="s">
        <v>2544</v>
      </c>
      <c r="BN31" s="58" t="s">
        <v>1482</v>
      </c>
      <c r="BO31" s="58" t="s">
        <v>1482</v>
      </c>
      <c r="BP31" s="58" t="s">
        <v>1482</v>
      </c>
      <c r="BQ31" s="58" t="s">
        <v>1482</v>
      </c>
      <c r="BR31" s="58" t="s">
        <v>1922</v>
      </c>
      <c r="BS31" s="58" t="s">
        <v>2545</v>
      </c>
      <c r="BT31" s="58" t="s">
        <v>294</v>
      </c>
      <c r="BU31" s="58" t="s">
        <v>40</v>
      </c>
      <c r="BV31" s="58" t="s">
        <v>41</v>
      </c>
      <c r="BW31" s="58" t="s">
        <v>295</v>
      </c>
      <c r="BX31" s="58" t="s">
        <v>296</v>
      </c>
      <c r="BY31" s="58" t="s">
        <v>44</v>
      </c>
      <c r="BZ31" s="58" t="s">
        <v>297</v>
      </c>
      <c r="CA31" s="64" t="s">
        <v>1977</v>
      </c>
      <c r="CB31" s="64" t="s">
        <v>2546</v>
      </c>
      <c r="CC31" s="58" t="s">
        <v>601</v>
      </c>
      <c r="CD31" s="64" t="s">
        <v>820</v>
      </c>
      <c r="CE31" s="64" t="s">
        <v>1926</v>
      </c>
      <c r="CF31" s="3" t="s">
        <v>1927</v>
      </c>
      <c r="CG31" s="3" t="s">
        <v>1928</v>
      </c>
      <c r="CH31" s="3" t="s">
        <v>1929</v>
      </c>
      <c r="CI31" s="3" t="s">
        <v>2202</v>
      </c>
      <c r="CJ31" s="58" t="str">
        <f>VLOOKUP($BE31,'Enriched - 2'!$B$2:$F$102, 2, false)</f>
        <v>Mammals</v>
      </c>
      <c r="CK31" s="3" t="s">
        <v>2547</v>
      </c>
      <c r="CL31" s="3" t="s">
        <v>2548</v>
      </c>
      <c r="CM31" s="3" t="s">
        <v>2549</v>
      </c>
      <c r="CN31" s="58" t="str">
        <f>HYPERLINK("https%3A%2F%2Fwww.webofscience.com%2Fwos%2Fwoscc%2Ffull-record%2FWOS:A1997YK80600014","View Full Record in Web of Science")</f>
        <v>View Full Record in Web of Science</v>
      </c>
    </row>
    <row r="32" ht="12.75" customHeight="1">
      <c r="A32" s="58" t="s">
        <v>1896</v>
      </c>
      <c r="B32" s="58" t="s">
        <v>2550</v>
      </c>
      <c r="C32" s="58" t="s">
        <v>1482</v>
      </c>
      <c r="D32" s="58" t="s">
        <v>1482</v>
      </c>
      <c r="E32" s="58" t="s">
        <v>1482</v>
      </c>
      <c r="F32" s="58" t="s">
        <v>2551</v>
      </c>
      <c r="G32" s="58" t="s">
        <v>1482</v>
      </c>
      <c r="H32" s="58" t="s">
        <v>1482</v>
      </c>
      <c r="I32" s="58" t="s">
        <v>2552</v>
      </c>
      <c r="J32" s="58" t="s">
        <v>2553</v>
      </c>
      <c r="K32" s="58" t="s">
        <v>1482</v>
      </c>
      <c r="L32" s="58" t="s">
        <v>1482</v>
      </c>
      <c r="M32" s="58" t="s">
        <v>1901</v>
      </c>
      <c r="N32" s="58" t="s">
        <v>1902</v>
      </c>
      <c r="O32" s="58" t="s">
        <v>1482</v>
      </c>
      <c r="P32" s="58" t="s">
        <v>1482</v>
      </c>
      <c r="Q32" s="58" t="s">
        <v>1482</v>
      </c>
      <c r="R32" s="58" t="s">
        <v>1482</v>
      </c>
      <c r="S32" s="58" t="s">
        <v>1482</v>
      </c>
      <c r="T32" s="58" t="s">
        <v>1482</v>
      </c>
      <c r="U32" s="58" t="s">
        <v>2554</v>
      </c>
      <c r="V32" s="58" t="s">
        <v>2555</v>
      </c>
      <c r="W32" s="58" t="s">
        <v>2556</v>
      </c>
      <c r="X32" s="58" t="s">
        <v>2557</v>
      </c>
      <c r="Y32" s="58" t="s">
        <v>2558</v>
      </c>
      <c r="Z32" s="58" t="s">
        <v>2559</v>
      </c>
      <c r="AA32" s="58" t="s">
        <v>2560</v>
      </c>
      <c r="AB32" s="58" t="s">
        <v>1482</v>
      </c>
      <c r="AC32" s="58" t="s">
        <v>2561</v>
      </c>
      <c r="AD32" s="58" t="s">
        <v>2562</v>
      </c>
      <c r="AE32" s="58" t="s">
        <v>2563</v>
      </c>
      <c r="AF32" s="58" t="s">
        <v>1482</v>
      </c>
      <c r="AG32" s="58">
        <v>73.0</v>
      </c>
      <c r="AH32" s="58">
        <v>23.0</v>
      </c>
      <c r="AI32" s="58">
        <v>28.0</v>
      </c>
      <c r="AJ32" s="58">
        <v>0.0</v>
      </c>
      <c r="AK32" s="58">
        <v>50.0</v>
      </c>
      <c r="AL32" s="58" t="s">
        <v>1998</v>
      </c>
      <c r="AM32" s="58" t="s">
        <v>1999</v>
      </c>
      <c r="AN32" s="58" t="s">
        <v>2000</v>
      </c>
      <c r="AO32" s="58" t="s">
        <v>2564</v>
      </c>
      <c r="AP32" s="58" t="s">
        <v>2565</v>
      </c>
      <c r="AQ32" s="58" t="s">
        <v>1482</v>
      </c>
      <c r="AR32" s="58" t="s">
        <v>2566</v>
      </c>
      <c r="AS32" s="58" t="s">
        <v>2567</v>
      </c>
      <c r="AT32" s="58" t="s">
        <v>2568</v>
      </c>
      <c r="AU32" s="58">
        <v>2015.0</v>
      </c>
      <c r="AV32" s="58">
        <v>21.0</v>
      </c>
      <c r="AW32" s="58">
        <v>5.0</v>
      </c>
      <c r="AX32" s="58" t="s">
        <v>1482</v>
      </c>
      <c r="AY32" s="58" t="s">
        <v>1482</v>
      </c>
      <c r="AZ32" s="58" t="s">
        <v>1482</v>
      </c>
      <c r="BA32" s="58" t="s">
        <v>1482</v>
      </c>
      <c r="BB32" s="58">
        <v>234.0</v>
      </c>
      <c r="BC32" s="58">
        <v>245.0</v>
      </c>
      <c r="BD32" s="58" t="s">
        <v>1482</v>
      </c>
      <c r="BE32" s="58" t="s">
        <v>1519</v>
      </c>
      <c r="BF32" s="65" t="str">
        <f>HYPERLINK("http://dx.doi.org/10.2981/wlb.00095","http://dx.doi.org/10.2981/wlb.00095")</f>
        <v>http://dx.doi.org/10.2981/wlb.00095</v>
      </c>
      <c r="BG32" s="58" t="s">
        <v>1482</v>
      </c>
      <c r="BH32" s="58" t="s">
        <v>1482</v>
      </c>
      <c r="BI32" s="58">
        <v>12.0</v>
      </c>
      <c r="BJ32" s="58" t="s">
        <v>2480</v>
      </c>
      <c r="BK32" s="58" t="s">
        <v>1920</v>
      </c>
      <c r="BL32" s="58" t="s">
        <v>2481</v>
      </c>
      <c r="BM32" s="58" t="s">
        <v>2569</v>
      </c>
      <c r="BN32" s="58" t="s">
        <v>1482</v>
      </c>
      <c r="BO32" s="58" t="s">
        <v>2570</v>
      </c>
      <c r="BP32" s="58" t="s">
        <v>1482</v>
      </c>
      <c r="BQ32" s="58" t="s">
        <v>1482</v>
      </c>
      <c r="BR32" s="58" t="s">
        <v>1922</v>
      </c>
      <c r="BS32" s="58" t="s">
        <v>2571</v>
      </c>
      <c r="BT32" s="58" t="s">
        <v>192</v>
      </c>
      <c r="BU32" s="58" t="s">
        <v>193</v>
      </c>
      <c r="BV32" s="58" t="s">
        <v>41</v>
      </c>
      <c r="BW32" s="58" t="s">
        <v>194</v>
      </c>
      <c r="BX32" s="58" t="s">
        <v>52</v>
      </c>
      <c r="BY32" s="58" t="s">
        <v>44</v>
      </c>
      <c r="BZ32" s="58" t="s">
        <v>45</v>
      </c>
      <c r="CA32" s="64" t="s">
        <v>1977</v>
      </c>
      <c r="CB32" s="64" t="s">
        <v>2008</v>
      </c>
      <c r="CC32" s="58" t="s">
        <v>641</v>
      </c>
      <c r="CD32" s="64" t="s">
        <v>666</v>
      </c>
      <c r="CE32" s="64" t="s">
        <v>1926</v>
      </c>
      <c r="CF32" s="3" t="s">
        <v>1927</v>
      </c>
      <c r="CG32" s="3" t="s">
        <v>1928</v>
      </c>
      <c r="CH32" s="3" t="s">
        <v>1929</v>
      </c>
      <c r="CI32" s="3" t="s">
        <v>2202</v>
      </c>
      <c r="CJ32" s="58" t="str">
        <f>VLOOKUP($BE32,'Enriched - 2'!$B$2:$F$102, 2, false)</f>
        <v>Mammals</v>
      </c>
      <c r="CK32" s="3" t="s">
        <v>2572</v>
      </c>
      <c r="CL32" s="3" t="s">
        <v>2573</v>
      </c>
      <c r="CM32" s="3" t="s">
        <v>2574</v>
      </c>
      <c r="CN32" s="58" t="str">
        <f>HYPERLINK("https%3A%2F%2Fwww.webofscience.com%2Fwos%2Fwoscc%2Ffull-record%2FWOS:000363668300001","View Full Record in Web of Science")</f>
        <v>View Full Record in Web of Science</v>
      </c>
    </row>
    <row r="33" ht="12.75" customHeight="1">
      <c r="A33" s="58" t="s">
        <v>1896</v>
      </c>
      <c r="B33" s="58" t="s">
        <v>2575</v>
      </c>
      <c r="C33" s="58" t="s">
        <v>1482</v>
      </c>
      <c r="D33" s="58" t="s">
        <v>1482</v>
      </c>
      <c r="E33" s="58" t="s">
        <v>1482</v>
      </c>
      <c r="F33" s="58" t="s">
        <v>2576</v>
      </c>
      <c r="G33" s="58" t="s">
        <v>1482</v>
      </c>
      <c r="H33" s="58" t="s">
        <v>1482</v>
      </c>
      <c r="I33" s="58" t="s">
        <v>2577</v>
      </c>
      <c r="J33" s="58" t="s">
        <v>2578</v>
      </c>
      <c r="K33" s="58" t="s">
        <v>1482</v>
      </c>
      <c r="L33" s="58" t="s">
        <v>1482</v>
      </c>
      <c r="M33" s="58" t="s">
        <v>1901</v>
      </c>
      <c r="N33" s="58" t="s">
        <v>1902</v>
      </c>
      <c r="O33" s="58" t="s">
        <v>1482</v>
      </c>
      <c r="P33" s="58" t="s">
        <v>1482</v>
      </c>
      <c r="Q33" s="58" t="s">
        <v>1482</v>
      </c>
      <c r="R33" s="58" t="s">
        <v>1482</v>
      </c>
      <c r="S33" s="58" t="s">
        <v>1482</v>
      </c>
      <c r="T33" s="58" t="s">
        <v>1482</v>
      </c>
      <c r="U33" s="58" t="s">
        <v>2579</v>
      </c>
      <c r="V33" s="58" t="s">
        <v>2580</v>
      </c>
      <c r="W33" s="58" t="s">
        <v>2581</v>
      </c>
      <c r="X33" s="58" t="s">
        <v>2582</v>
      </c>
      <c r="Y33" s="58" t="s">
        <v>2583</v>
      </c>
      <c r="Z33" s="58" t="s">
        <v>2584</v>
      </c>
      <c r="AA33" s="58" t="s">
        <v>2585</v>
      </c>
      <c r="AB33" s="58" t="s">
        <v>2586</v>
      </c>
      <c r="AC33" s="58" t="s">
        <v>2587</v>
      </c>
      <c r="AD33" s="58" t="s">
        <v>2588</v>
      </c>
      <c r="AE33" s="58" t="s">
        <v>2589</v>
      </c>
      <c r="AF33" s="58" t="s">
        <v>1482</v>
      </c>
      <c r="AG33" s="58">
        <v>53.0</v>
      </c>
      <c r="AH33" s="58">
        <v>28.0</v>
      </c>
      <c r="AI33" s="58">
        <v>33.0</v>
      </c>
      <c r="AJ33" s="58">
        <v>0.0</v>
      </c>
      <c r="AK33" s="58">
        <v>116.0</v>
      </c>
      <c r="AL33" s="58" t="s">
        <v>1998</v>
      </c>
      <c r="AM33" s="58" t="s">
        <v>1999</v>
      </c>
      <c r="AN33" s="58" t="s">
        <v>2000</v>
      </c>
      <c r="AO33" s="58" t="s">
        <v>2590</v>
      </c>
      <c r="AP33" s="58" t="s">
        <v>2591</v>
      </c>
      <c r="AQ33" s="58" t="s">
        <v>1482</v>
      </c>
      <c r="AR33" s="58" t="s">
        <v>2578</v>
      </c>
      <c r="AS33" s="58" t="s">
        <v>2592</v>
      </c>
      <c r="AT33" s="58" t="s">
        <v>2114</v>
      </c>
      <c r="AU33" s="58">
        <v>2014.0</v>
      </c>
      <c r="AV33" s="58">
        <v>37.0</v>
      </c>
      <c r="AW33" s="58">
        <v>4.0</v>
      </c>
      <c r="AX33" s="58" t="s">
        <v>1482</v>
      </c>
      <c r="AY33" s="58" t="s">
        <v>1482</v>
      </c>
      <c r="AZ33" s="58" t="s">
        <v>1482</v>
      </c>
      <c r="BA33" s="58" t="s">
        <v>1482</v>
      </c>
      <c r="BB33" s="58">
        <v>367.0</v>
      </c>
      <c r="BC33" s="58">
        <v>377.0</v>
      </c>
      <c r="BD33" s="58" t="s">
        <v>1482</v>
      </c>
      <c r="BE33" s="58" t="s">
        <v>1521</v>
      </c>
      <c r="BF33" s="65" t="str">
        <f>HYPERLINK("http://dx.doi.org/10.1111/j.1600-0587.2013.00359.x","http://dx.doi.org/10.1111/j.1600-0587.2013.00359.x")</f>
        <v>http://dx.doi.org/10.1111/j.1600-0587.2013.00359.x</v>
      </c>
      <c r="BG33" s="58" t="s">
        <v>1482</v>
      </c>
      <c r="BH33" s="58" t="s">
        <v>1482</v>
      </c>
      <c r="BI33" s="58">
        <v>11.0</v>
      </c>
      <c r="BJ33" s="58" t="s">
        <v>2034</v>
      </c>
      <c r="BK33" s="58" t="s">
        <v>1920</v>
      </c>
      <c r="BL33" s="58" t="s">
        <v>1957</v>
      </c>
      <c r="BM33" s="58" t="s">
        <v>2593</v>
      </c>
      <c r="BN33" s="58" t="s">
        <v>1482</v>
      </c>
      <c r="BO33" s="58" t="s">
        <v>1482</v>
      </c>
      <c r="BP33" s="58" t="s">
        <v>1482</v>
      </c>
      <c r="BQ33" s="58" t="s">
        <v>1482</v>
      </c>
      <c r="BR33" s="58" t="s">
        <v>1922</v>
      </c>
      <c r="BS33" s="58" t="s">
        <v>2594</v>
      </c>
      <c r="BT33" s="58" t="s">
        <v>209</v>
      </c>
      <c r="BU33" s="58" t="s">
        <v>102</v>
      </c>
      <c r="BV33" s="58" t="s">
        <v>41</v>
      </c>
      <c r="BW33" s="58" t="s">
        <v>214</v>
      </c>
      <c r="BX33" s="58" t="s">
        <v>52</v>
      </c>
      <c r="BY33" s="58" t="s">
        <v>68</v>
      </c>
      <c r="BZ33" s="58" t="s">
        <v>206</v>
      </c>
      <c r="CA33" s="64" t="s">
        <v>1960</v>
      </c>
      <c r="CB33" s="64" t="s">
        <v>2595</v>
      </c>
      <c r="CC33" s="58" t="s">
        <v>601</v>
      </c>
      <c r="CD33" s="64" t="s">
        <v>820</v>
      </c>
      <c r="CE33" s="64" t="s">
        <v>1926</v>
      </c>
      <c r="CF33" s="3" t="s">
        <v>1927</v>
      </c>
      <c r="CG33" s="3" t="s">
        <v>1928</v>
      </c>
      <c r="CH33" s="3" t="s">
        <v>1929</v>
      </c>
      <c r="CI33" s="3" t="s">
        <v>2202</v>
      </c>
      <c r="CJ33" s="58" t="str">
        <f>VLOOKUP($BE33,'Enriched - 2'!$B$2:$F$102, 2, false)</f>
        <v>Mammals</v>
      </c>
      <c r="CK33" s="3" t="s">
        <v>2596</v>
      </c>
      <c r="CL33" s="3" t="s">
        <v>2597</v>
      </c>
      <c r="CM33" s="3" t="s">
        <v>2598</v>
      </c>
      <c r="CN33" s="58" t="str">
        <f>HYPERLINK("https%3A%2F%2Fwww.webofscience.com%2Fwos%2Fwoscc%2Ffull-record%2FWOS:000333608400007","View Full Record in Web of Science")</f>
        <v>View Full Record in Web of Science</v>
      </c>
    </row>
    <row r="34" ht="12.75" customHeight="1">
      <c r="A34" s="58" t="s">
        <v>1896</v>
      </c>
      <c r="B34" s="58" t="s">
        <v>2599</v>
      </c>
      <c r="C34" s="58" t="s">
        <v>1482</v>
      </c>
      <c r="D34" s="58" t="s">
        <v>1482</v>
      </c>
      <c r="E34" s="58" t="s">
        <v>1482</v>
      </c>
      <c r="F34" s="58" t="s">
        <v>2600</v>
      </c>
      <c r="G34" s="58" t="s">
        <v>1482</v>
      </c>
      <c r="H34" s="58" t="s">
        <v>1482</v>
      </c>
      <c r="I34" s="58" t="s">
        <v>2601</v>
      </c>
      <c r="J34" s="58" t="s">
        <v>2266</v>
      </c>
      <c r="K34" s="58" t="s">
        <v>1482</v>
      </c>
      <c r="L34" s="58" t="s">
        <v>1482</v>
      </c>
      <c r="M34" s="58" t="s">
        <v>1901</v>
      </c>
      <c r="N34" s="58" t="s">
        <v>1902</v>
      </c>
      <c r="O34" s="58" t="s">
        <v>1482</v>
      </c>
      <c r="P34" s="58" t="s">
        <v>1482</v>
      </c>
      <c r="Q34" s="58" t="s">
        <v>1482</v>
      </c>
      <c r="R34" s="58" t="s">
        <v>1482</v>
      </c>
      <c r="S34" s="58" t="s">
        <v>1482</v>
      </c>
      <c r="T34" s="58" t="s">
        <v>2602</v>
      </c>
      <c r="U34" s="58" t="s">
        <v>2603</v>
      </c>
      <c r="V34" s="58" t="s">
        <v>2604</v>
      </c>
      <c r="W34" s="58" t="s">
        <v>2605</v>
      </c>
      <c r="X34" s="58" t="s">
        <v>2606</v>
      </c>
      <c r="Y34" s="58" t="s">
        <v>2607</v>
      </c>
      <c r="Z34" s="58" t="s">
        <v>2608</v>
      </c>
      <c r="AA34" s="58" t="s">
        <v>2609</v>
      </c>
      <c r="AB34" s="58" t="s">
        <v>2610</v>
      </c>
      <c r="AC34" s="58" t="s">
        <v>1482</v>
      </c>
      <c r="AD34" s="58" t="s">
        <v>1482</v>
      </c>
      <c r="AE34" s="58" t="s">
        <v>1482</v>
      </c>
      <c r="AF34" s="58" t="s">
        <v>1482</v>
      </c>
      <c r="AG34" s="58">
        <v>48.0</v>
      </c>
      <c r="AH34" s="58">
        <v>88.0</v>
      </c>
      <c r="AI34" s="58">
        <v>99.0</v>
      </c>
      <c r="AJ34" s="58">
        <v>2.0</v>
      </c>
      <c r="AK34" s="58">
        <v>77.0</v>
      </c>
      <c r="AL34" s="58" t="s">
        <v>2278</v>
      </c>
      <c r="AM34" s="58" t="s">
        <v>2279</v>
      </c>
      <c r="AN34" s="58" t="s">
        <v>2280</v>
      </c>
      <c r="AO34" s="58" t="s">
        <v>2281</v>
      </c>
      <c r="AP34" s="58" t="s">
        <v>2282</v>
      </c>
      <c r="AQ34" s="58" t="s">
        <v>1482</v>
      </c>
      <c r="AR34" s="58" t="s">
        <v>2283</v>
      </c>
      <c r="AS34" s="58" t="s">
        <v>2284</v>
      </c>
      <c r="AT34" s="58" t="s">
        <v>1955</v>
      </c>
      <c r="AU34" s="58">
        <v>2006.0</v>
      </c>
      <c r="AV34" s="58">
        <v>129.0</v>
      </c>
      <c r="AW34" s="58">
        <v>4.0</v>
      </c>
      <c r="AX34" s="58" t="s">
        <v>1482</v>
      </c>
      <c r="AY34" s="58" t="s">
        <v>1482</v>
      </c>
      <c r="AZ34" s="58" t="s">
        <v>1482</v>
      </c>
      <c r="BA34" s="58" t="s">
        <v>1482</v>
      </c>
      <c r="BB34" s="58">
        <v>566.0</v>
      </c>
      <c r="BC34" s="58">
        <v>578.0</v>
      </c>
      <c r="BD34" s="58" t="s">
        <v>1482</v>
      </c>
      <c r="BE34" s="58" t="s">
        <v>1546</v>
      </c>
      <c r="BF34" s="65" t="str">
        <f>HYPERLINK("http://dx.doi.org/10.1016/j.biocon.2005.11.025","http://dx.doi.org/10.1016/j.biocon.2005.11.025")</f>
        <v>http://dx.doi.org/10.1016/j.biocon.2005.11.025</v>
      </c>
      <c r="BG34" s="58" t="s">
        <v>1482</v>
      </c>
      <c r="BH34" s="58" t="s">
        <v>1482</v>
      </c>
      <c r="BI34" s="58">
        <v>13.0</v>
      </c>
      <c r="BJ34" s="58" t="s">
        <v>1956</v>
      </c>
      <c r="BK34" s="58" t="s">
        <v>1920</v>
      </c>
      <c r="BL34" s="58" t="s">
        <v>1957</v>
      </c>
      <c r="BM34" s="58" t="s">
        <v>2611</v>
      </c>
      <c r="BN34" s="58" t="s">
        <v>1482</v>
      </c>
      <c r="BO34" s="58" t="s">
        <v>1482</v>
      </c>
      <c r="BP34" s="58" t="s">
        <v>1482</v>
      </c>
      <c r="BQ34" s="58" t="s">
        <v>1482</v>
      </c>
      <c r="BR34" s="58" t="s">
        <v>1922</v>
      </c>
      <c r="BS34" s="58" t="s">
        <v>2612</v>
      </c>
      <c r="BT34" s="58" t="s">
        <v>367</v>
      </c>
      <c r="BU34" s="58" t="s">
        <v>40</v>
      </c>
      <c r="BV34" s="58" t="s">
        <v>41</v>
      </c>
      <c r="BW34" s="58" t="s">
        <v>336</v>
      </c>
      <c r="BX34" s="58" t="s">
        <v>52</v>
      </c>
      <c r="BY34" s="58" t="s">
        <v>44</v>
      </c>
      <c r="BZ34" s="58" t="s">
        <v>60</v>
      </c>
      <c r="CA34" s="64" t="s">
        <v>1924</v>
      </c>
      <c r="CB34" s="64" t="s">
        <v>2353</v>
      </c>
      <c r="CC34" s="58" t="s">
        <v>641</v>
      </c>
      <c r="CD34" s="64" t="s">
        <v>820</v>
      </c>
      <c r="CE34" s="64" t="s">
        <v>1926</v>
      </c>
      <c r="CF34" s="3" t="s">
        <v>1927</v>
      </c>
      <c r="CG34" s="3" t="s">
        <v>1928</v>
      </c>
      <c r="CH34" s="3" t="s">
        <v>1929</v>
      </c>
      <c r="CI34" s="3" t="s">
        <v>2202</v>
      </c>
      <c r="CJ34" s="58" t="str">
        <f>VLOOKUP($BE34,'Enriched - 2'!$B$2:$F$102, 2, false)</f>
        <v>Mammals</v>
      </c>
      <c r="CK34" s="3" t="s">
        <v>2613</v>
      </c>
      <c r="CL34" s="3" t="s">
        <v>2614</v>
      </c>
      <c r="CM34" s="3" t="s">
        <v>2236</v>
      </c>
      <c r="CN34" s="58" t="str">
        <f>HYPERLINK("https%3A%2F%2Fwww.webofscience.com%2Fwos%2Fwoscc%2Ffull-record%2FWOS:000237878900014","View Full Record in Web of Science")</f>
        <v>View Full Record in Web of Science</v>
      </c>
    </row>
    <row r="35" ht="12.75" customHeight="1">
      <c r="A35" s="58" t="s">
        <v>1896</v>
      </c>
      <c r="B35" s="58" t="s">
        <v>2615</v>
      </c>
      <c r="C35" s="58" t="s">
        <v>1482</v>
      </c>
      <c r="D35" s="58" t="s">
        <v>1482</v>
      </c>
      <c r="E35" s="58" t="s">
        <v>1482</v>
      </c>
      <c r="F35" s="58" t="s">
        <v>2616</v>
      </c>
      <c r="G35" s="58" t="s">
        <v>1482</v>
      </c>
      <c r="H35" s="58" t="s">
        <v>1482</v>
      </c>
      <c r="I35" s="58" t="s">
        <v>2617</v>
      </c>
      <c r="J35" s="58" t="s">
        <v>2618</v>
      </c>
      <c r="K35" s="58" t="s">
        <v>1482</v>
      </c>
      <c r="L35" s="58" t="s">
        <v>1482</v>
      </c>
      <c r="M35" s="58" t="s">
        <v>1901</v>
      </c>
      <c r="N35" s="58" t="s">
        <v>1902</v>
      </c>
      <c r="O35" s="58" t="s">
        <v>1482</v>
      </c>
      <c r="P35" s="58" t="s">
        <v>1482</v>
      </c>
      <c r="Q35" s="58" t="s">
        <v>1482</v>
      </c>
      <c r="R35" s="58" t="s">
        <v>1482</v>
      </c>
      <c r="S35" s="58" t="s">
        <v>1482</v>
      </c>
      <c r="T35" s="58" t="s">
        <v>1482</v>
      </c>
      <c r="U35" s="58" t="s">
        <v>2619</v>
      </c>
      <c r="V35" s="58" t="s">
        <v>2620</v>
      </c>
      <c r="W35" s="58" t="s">
        <v>2621</v>
      </c>
      <c r="X35" s="58" t="s">
        <v>2622</v>
      </c>
      <c r="Y35" s="58" t="s">
        <v>2623</v>
      </c>
      <c r="Z35" s="58" t="s">
        <v>2624</v>
      </c>
      <c r="AA35" s="58" t="s">
        <v>2625</v>
      </c>
      <c r="AB35" s="58" t="s">
        <v>1482</v>
      </c>
      <c r="AC35" s="58" t="s">
        <v>2626</v>
      </c>
      <c r="AD35" s="58" t="s">
        <v>2627</v>
      </c>
      <c r="AE35" s="58" t="s">
        <v>2628</v>
      </c>
      <c r="AF35" s="58" t="s">
        <v>1482</v>
      </c>
      <c r="AG35" s="58">
        <v>86.0</v>
      </c>
      <c r="AH35" s="58">
        <v>132.0</v>
      </c>
      <c r="AI35" s="58">
        <v>149.0</v>
      </c>
      <c r="AJ35" s="58">
        <v>2.0</v>
      </c>
      <c r="AK35" s="58">
        <v>102.0</v>
      </c>
      <c r="AL35" s="58" t="s">
        <v>2629</v>
      </c>
      <c r="AM35" s="58" t="s">
        <v>2630</v>
      </c>
      <c r="AN35" s="58" t="s">
        <v>2631</v>
      </c>
      <c r="AO35" s="58" t="s">
        <v>2632</v>
      </c>
      <c r="AP35" s="58" t="s">
        <v>1482</v>
      </c>
      <c r="AQ35" s="58" t="s">
        <v>1482</v>
      </c>
      <c r="AR35" s="58" t="s">
        <v>2618</v>
      </c>
      <c r="AS35" s="58" t="s">
        <v>2633</v>
      </c>
      <c r="AT35" s="58" t="s">
        <v>2634</v>
      </c>
      <c r="AU35" s="58">
        <v>2010.0</v>
      </c>
      <c r="AV35" s="58">
        <v>5.0</v>
      </c>
      <c r="AW35" s="58">
        <v>4.0</v>
      </c>
      <c r="AX35" s="58" t="s">
        <v>1482</v>
      </c>
      <c r="AY35" s="58" t="s">
        <v>1482</v>
      </c>
      <c r="AZ35" s="58" t="s">
        <v>1482</v>
      </c>
      <c r="BA35" s="58" t="s">
        <v>1482</v>
      </c>
      <c r="BB35" s="58" t="s">
        <v>1482</v>
      </c>
      <c r="BC35" s="58" t="s">
        <v>1482</v>
      </c>
      <c r="BD35" s="58" t="s">
        <v>2635</v>
      </c>
      <c r="BE35" s="58" t="s">
        <v>1509</v>
      </c>
      <c r="BF35" s="65" t="str">
        <f>HYPERLINK("http://dx.doi.org/10.1371/journal.pone.0010294","http://dx.doi.org/10.1371/journal.pone.0010294")</f>
        <v>http://dx.doi.org/10.1371/journal.pone.0010294</v>
      </c>
      <c r="BG35" s="58" t="s">
        <v>1482</v>
      </c>
      <c r="BH35" s="58" t="s">
        <v>1482</v>
      </c>
      <c r="BI35" s="58">
        <v>18.0</v>
      </c>
      <c r="BJ35" s="58" t="s">
        <v>2636</v>
      </c>
      <c r="BK35" s="58" t="s">
        <v>1920</v>
      </c>
      <c r="BL35" s="58" t="s">
        <v>2637</v>
      </c>
      <c r="BM35" s="58" t="s">
        <v>2638</v>
      </c>
      <c r="BN35" s="58">
        <v>2.0428233E7</v>
      </c>
      <c r="BO35" s="58" t="s">
        <v>2639</v>
      </c>
      <c r="BP35" s="58" t="s">
        <v>1482</v>
      </c>
      <c r="BQ35" s="58" t="s">
        <v>1482</v>
      </c>
      <c r="BR35" s="58" t="s">
        <v>1922</v>
      </c>
      <c r="BS35" s="58" t="s">
        <v>2640</v>
      </c>
      <c r="BT35" s="58" t="s">
        <v>91</v>
      </c>
      <c r="BU35" s="58" t="s">
        <v>40</v>
      </c>
      <c r="BV35" s="58" t="s">
        <v>41</v>
      </c>
      <c r="BW35" s="58" t="s">
        <v>92</v>
      </c>
      <c r="BX35" s="58" t="s">
        <v>67</v>
      </c>
      <c r="BY35" s="58" t="s">
        <v>59</v>
      </c>
      <c r="BZ35" s="58" t="s">
        <v>60</v>
      </c>
      <c r="CA35" s="64" t="s">
        <v>1960</v>
      </c>
      <c r="CB35" s="64" t="s">
        <v>2641</v>
      </c>
      <c r="CC35" s="58" t="s">
        <v>601</v>
      </c>
      <c r="CD35" s="64" t="s">
        <v>820</v>
      </c>
      <c r="CE35" s="64" t="s">
        <v>1926</v>
      </c>
      <c r="CF35" s="3" t="s">
        <v>1927</v>
      </c>
      <c r="CG35" s="3" t="s">
        <v>1928</v>
      </c>
      <c r="CH35" s="3" t="s">
        <v>1929</v>
      </c>
      <c r="CI35" s="3" t="s">
        <v>2202</v>
      </c>
      <c r="CJ35" s="58" t="str">
        <f>VLOOKUP($BE35,'Enriched - 2'!$B$2:$F$102, 2, false)</f>
        <v>Mammals</v>
      </c>
      <c r="CK35" s="3" t="s">
        <v>2642</v>
      </c>
      <c r="CL35" s="3" t="s">
        <v>2643</v>
      </c>
      <c r="CM35" s="3" t="s">
        <v>2644</v>
      </c>
      <c r="CN35" s="58" t="str">
        <f>HYPERLINK("https%3A%2F%2Fwww.webofscience.com%2Fwos%2Fwoscc%2Ffull-record%2FWOS:000277079300006","View Full Record in Web of Science")</f>
        <v>View Full Record in Web of Science</v>
      </c>
    </row>
    <row r="36" ht="12.75" customHeight="1">
      <c r="A36" s="58" t="s">
        <v>1896</v>
      </c>
      <c r="B36" s="58" t="s">
        <v>2645</v>
      </c>
      <c r="C36" s="58" t="s">
        <v>1482</v>
      </c>
      <c r="D36" s="58" t="s">
        <v>1482</v>
      </c>
      <c r="E36" s="58" t="s">
        <v>1482</v>
      </c>
      <c r="F36" s="58" t="s">
        <v>2646</v>
      </c>
      <c r="G36" s="58" t="s">
        <v>1482</v>
      </c>
      <c r="H36" s="58" t="s">
        <v>1482</v>
      </c>
      <c r="I36" s="58" t="s">
        <v>2647</v>
      </c>
      <c r="J36" s="58" t="s">
        <v>2138</v>
      </c>
      <c r="K36" s="58" t="s">
        <v>1482</v>
      </c>
      <c r="L36" s="58" t="s">
        <v>1482</v>
      </c>
      <c r="M36" s="58" t="s">
        <v>1901</v>
      </c>
      <c r="N36" s="58" t="s">
        <v>2139</v>
      </c>
      <c r="O36" s="58" t="s">
        <v>2140</v>
      </c>
      <c r="P36" s="58">
        <v>2005.0</v>
      </c>
      <c r="Q36" s="58" t="s">
        <v>2141</v>
      </c>
      <c r="R36" s="58" t="s">
        <v>2142</v>
      </c>
      <c r="S36" s="58" t="s">
        <v>1482</v>
      </c>
      <c r="T36" s="58" t="s">
        <v>2648</v>
      </c>
      <c r="U36" s="58" t="s">
        <v>2649</v>
      </c>
      <c r="V36" s="58" t="s">
        <v>2650</v>
      </c>
      <c r="W36" s="58" t="s">
        <v>2651</v>
      </c>
      <c r="X36" s="58" t="s">
        <v>2652</v>
      </c>
      <c r="Y36" s="58" t="s">
        <v>2653</v>
      </c>
      <c r="Z36" s="58" t="s">
        <v>2654</v>
      </c>
      <c r="AA36" s="58" t="s">
        <v>2655</v>
      </c>
      <c r="AB36" s="58" t="s">
        <v>1482</v>
      </c>
      <c r="AC36" s="58" t="s">
        <v>1482</v>
      </c>
      <c r="AD36" s="58" t="s">
        <v>1482</v>
      </c>
      <c r="AE36" s="58" t="s">
        <v>1482</v>
      </c>
      <c r="AF36" s="58" t="s">
        <v>1482</v>
      </c>
      <c r="AG36" s="58">
        <v>62.0</v>
      </c>
      <c r="AH36" s="58">
        <v>83.0</v>
      </c>
      <c r="AI36" s="58">
        <v>100.0</v>
      </c>
      <c r="AJ36" s="58">
        <v>1.0</v>
      </c>
      <c r="AK36" s="58">
        <v>45.0</v>
      </c>
      <c r="AL36" s="58" t="s">
        <v>1998</v>
      </c>
      <c r="AM36" s="58" t="s">
        <v>1999</v>
      </c>
      <c r="AN36" s="58" t="s">
        <v>2000</v>
      </c>
      <c r="AO36" s="58" t="s">
        <v>2151</v>
      </c>
      <c r="AP36" s="58" t="s">
        <v>2152</v>
      </c>
      <c r="AQ36" s="58" t="s">
        <v>1482</v>
      </c>
      <c r="AR36" s="58" t="s">
        <v>2138</v>
      </c>
      <c r="AS36" s="58" t="s">
        <v>2153</v>
      </c>
      <c r="AT36" s="58" t="s">
        <v>1955</v>
      </c>
      <c r="AU36" s="58">
        <v>2007.0</v>
      </c>
      <c r="AV36" s="58">
        <v>39.0</v>
      </c>
      <c r="AW36" s="58">
        <v>3.0</v>
      </c>
      <c r="AX36" s="58" t="s">
        <v>1482</v>
      </c>
      <c r="AY36" s="58" t="s">
        <v>1482</v>
      </c>
      <c r="AZ36" s="58" t="s">
        <v>1482</v>
      </c>
      <c r="BA36" s="58" t="s">
        <v>1482</v>
      </c>
      <c r="BB36" s="58">
        <v>340.0</v>
      </c>
      <c r="BC36" s="58">
        <v>347.0</v>
      </c>
      <c r="BD36" s="58" t="s">
        <v>1482</v>
      </c>
      <c r="BE36" s="58" t="s">
        <v>1567</v>
      </c>
      <c r="BF36" s="65" t="str">
        <f>HYPERLINK("http://dx.doi.org/10.1111/j.1744-7429.2007.00275.x","http://dx.doi.org/10.1111/j.1744-7429.2007.00275.x")</f>
        <v>http://dx.doi.org/10.1111/j.1744-7429.2007.00275.x</v>
      </c>
      <c r="BG36" s="58" t="s">
        <v>1482</v>
      </c>
      <c r="BH36" s="58" t="s">
        <v>1482</v>
      </c>
      <c r="BI36" s="58">
        <v>8.0</v>
      </c>
      <c r="BJ36" s="58" t="s">
        <v>2154</v>
      </c>
      <c r="BK36" s="58" t="s">
        <v>2155</v>
      </c>
      <c r="BL36" s="58" t="s">
        <v>2156</v>
      </c>
      <c r="BM36" s="58" t="s">
        <v>2157</v>
      </c>
      <c r="BN36" s="58" t="s">
        <v>1482</v>
      </c>
      <c r="BO36" s="58" t="s">
        <v>1482</v>
      </c>
      <c r="BP36" s="58" t="s">
        <v>1482</v>
      </c>
      <c r="BQ36" s="58" t="s">
        <v>1482</v>
      </c>
      <c r="BR36" s="58" t="s">
        <v>1922</v>
      </c>
      <c r="BS36" s="58" t="s">
        <v>2656</v>
      </c>
      <c r="BT36" s="58" t="s">
        <v>513</v>
      </c>
      <c r="BU36" s="58" t="s">
        <v>514</v>
      </c>
      <c r="BV36" s="58" t="s">
        <v>41</v>
      </c>
      <c r="BW36" s="58" t="s">
        <v>466</v>
      </c>
      <c r="BX36" s="58" t="s">
        <v>52</v>
      </c>
      <c r="BY36" s="58" t="s">
        <v>68</v>
      </c>
      <c r="BZ36" s="58" t="s">
        <v>45</v>
      </c>
      <c r="CA36" s="64" t="s">
        <v>1960</v>
      </c>
      <c r="CB36" s="64" t="s">
        <v>2454</v>
      </c>
      <c r="CC36" s="58" t="s">
        <v>641</v>
      </c>
      <c r="CD36" s="64" t="s">
        <v>820</v>
      </c>
      <c r="CE36" s="64" t="s">
        <v>1926</v>
      </c>
      <c r="CF36" s="3" t="s">
        <v>1927</v>
      </c>
      <c r="CG36" s="3" t="s">
        <v>1928</v>
      </c>
      <c r="CH36" s="3" t="s">
        <v>1929</v>
      </c>
      <c r="CI36" s="3" t="s">
        <v>2202</v>
      </c>
      <c r="CJ36" s="58" t="str">
        <f>VLOOKUP($BE36,'Enriched - 2'!$B$2:$F$102, 2, false)</f>
        <v>Mammals</v>
      </c>
      <c r="CK36" s="3" t="s">
        <v>2657</v>
      </c>
      <c r="CL36" s="3" t="s">
        <v>2658</v>
      </c>
      <c r="CM36" s="3" t="s">
        <v>2236</v>
      </c>
      <c r="CN36" s="58" t="str">
        <f>HYPERLINK("https%3A%2F%2Fwww.webofscience.com%2Fwos%2Fwoscc%2Ffull-record%2FWOS:000245939300006","View Full Record in Web of Science")</f>
        <v>View Full Record in Web of Science</v>
      </c>
    </row>
    <row r="37" ht="12.75" customHeight="1">
      <c r="A37" s="58" t="s">
        <v>1896</v>
      </c>
      <c r="B37" s="58" t="s">
        <v>2659</v>
      </c>
      <c r="C37" s="58" t="s">
        <v>1482</v>
      </c>
      <c r="D37" s="58" t="s">
        <v>1482</v>
      </c>
      <c r="E37" s="58" t="s">
        <v>1482</v>
      </c>
      <c r="F37" s="58" t="s">
        <v>2660</v>
      </c>
      <c r="G37" s="58" t="s">
        <v>1482</v>
      </c>
      <c r="H37" s="58" t="s">
        <v>1482</v>
      </c>
      <c r="I37" s="58" t="s">
        <v>2661</v>
      </c>
      <c r="J37" s="58" t="s">
        <v>2662</v>
      </c>
      <c r="K37" s="58" t="s">
        <v>1482</v>
      </c>
      <c r="L37" s="58" t="s">
        <v>1482</v>
      </c>
      <c r="M37" s="58" t="s">
        <v>1901</v>
      </c>
      <c r="N37" s="58" t="s">
        <v>1902</v>
      </c>
      <c r="O37" s="58" t="s">
        <v>1482</v>
      </c>
      <c r="P37" s="58" t="s">
        <v>1482</v>
      </c>
      <c r="Q37" s="58" t="s">
        <v>1482</v>
      </c>
      <c r="R37" s="58" t="s">
        <v>1482</v>
      </c>
      <c r="S37" s="58" t="s">
        <v>1482</v>
      </c>
      <c r="T37" s="58" t="s">
        <v>2663</v>
      </c>
      <c r="U37" s="58" t="s">
        <v>2664</v>
      </c>
      <c r="V37" s="58" t="s">
        <v>2665</v>
      </c>
      <c r="W37" s="58" t="s">
        <v>2666</v>
      </c>
      <c r="X37" s="58" t="s">
        <v>2667</v>
      </c>
      <c r="Y37" s="58" t="s">
        <v>2668</v>
      </c>
      <c r="Z37" s="58" t="s">
        <v>2669</v>
      </c>
      <c r="AA37" s="58" t="s">
        <v>2670</v>
      </c>
      <c r="AB37" s="58" t="s">
        <v>2671</v>
      </c>
      <c r="AC37" s="58" t="s">
        <v>2672</v>
      </c>
      <c r="AD37" s="58" t="s">
        <v>2673</v>
      </c>
      <c r="AE37" s="58" t="s">
        <v>2674</v>
      </c>
      <c r="AF37" s="58" t="s">
        <v>1482</v>
      </c>
      <c r="AG37" s="58">
        <v>47.0</v>
      </c>
      <c r="AH37" s="58">
        <v>25.0</v>
      </c>
      <c r="AI37" s="58">
        <v>33.0</v>
      </c>
      <c r="AJ37" s="58">
        <v>1.0</v>
      </c>
      <c r="AK37" s="58">
        <v>62.0</v>
      </c>
      <c r="AL37" s="58" t="s">
        <v>2675</v>
      </c>
      <c r="AM37" s="58" t="s">
        <v>2676</v>
      </c>
      <c r="AN37" s="58" t="s">
        <v>2677</v>
      </c>
      <c r="AO37" s="58" t="s">
        <v>2678</v>
      </c>
      <c r="AP37" s="58" t="s">
        <v>2679</v>
      </c>
      <c r="AQ37" s="58" t="s">
        <v>1482</v>
      </c>
      <c r="AR37" s="58" t="s">
        <v>2680</v>
      </c>
      <c r="AS37" s="58" t="s">
        <v>2681</v>
      </c>
      <c r="AT37" s="58" t="s">
        <v>2005</v>
      </c>
      <c r="AU37" s="58">
        <v>2008.0</v>
      </c>
      <c r="AV37" s="58">
        <v>53.0</v>
      </c>
      <c r="AW37" s="58">
        <v>4.0</v>
      </c>
      <c r="AX37" s="58" t="s">
        <v>1482</v>
      </c>
      <c r="AY37" s="58" t="s">
        <v>1482</v>
      </c>
      <c r="AZ37" s="58" t="s">
        <v>1482</v>
      </c>
      <c r="BA37" s="58" t="s">
        <v>1482</v>
      </c>
      <c r="BB37" s="58">
        <v>365.0</v>
      </c>
      <c r="BC37" s="58">
        <v>374.0</v>
      </c>
      <c r="BD37" s="58" t="s">
        <v>1482</v>
      </c>
      <c r="BE37" s="58" t="s">
        <v>1541</v>
      </c>
      <c r="BF37" s="65" t="str">
        <f>HYPERLINK("http://dx.doi.org/10.1007/BF03195197","http://dx.doi.org/10.1007/BF03195197")</f>
        <v>http://dx.doi.org/10.1007/BF03195197</v>
      </c>
      <c r="BG37" s="58" t="s">
        <v>1482</v>
      </c>
      <c r="BH37" s="58" t="s">
        <v>1482</v>
      </c>
      <c r="BI37" s="58">
        <v>10.0</v>
      </c>
      <c r="BJ37" s="58" t="s">
        <v>1919</v>
      </c>
      <c r="BK37" s="58" t="s">
        <v>1920</v>
      </c>
      <c r="BL37" s="58" t="s">
        <v>1919</v>
      </c>
      <c r="BM37" s="58" t="s">
        <v>2682</v>
      </c>
      <c r="BN37" s="58" t="s">
        <v>1482</v>
      </c>
      <c r="BO37" s="58" t="s">
        <v>1482</v>
      </c>
      <c r="BP37" s="58" t="s">
        <v>1482</v>
      </c>
      <c r="BQ37" s="58" t="s">
        <v>1482</v>
      </c>
      <c r="BR37" s="58" t="s">
        <v>1922</v>
      </c>
      <c r="BS37" s="58" t="s">
        <v>2683</v>
      </c>
      <c r="BT37" s="58" t="s">
        <v>345</v>
      </c>
      <c r="BU37" s="58" t="s">
        <v>346</v>
      </c>
      <c r="BV37" s="58" t="s">
        <v>41</v>
      </c>
      <c r="BW37" s="58" t="s">
        <v>288</v>
      </c>
      <c r="BX37" s="58" t="s">
        <v>248</v>
      </c>
      <c r="BY37" s="58" t="s">
        <v>59</v>
      </c>
      <c r="BZ37" s="58" t="s">
        <v>60</v>
      </c>
      <c r="CA37" s="64" t="s">
        <v>1924</v>
      </c>
      <c r="CB37" s="64" t="s">
        <v>2684</v>
      </c>
      <c r="CC37" s="58" t="s">
        <v>601</v>
      </c>
      <c r="CD37" s="64" t="s">
        <v>820</v>
      </c>
      <c r="CE37" s="64" t="s">
        <v>1926</v>
      </c>
      <c r="CF37" s="3" t="s">
        <v>1927</v>
      </c>
      <c r="CG37" s="3" t="s">
        <v>1928</v>
      </c>
      <c r="CH37" s="3" t="s">
        <v>1929</v>
      </c>
      <c r="CI37" s="3" t="s">
        <v>2202</v>
      </c>
      <c r="CJ37" s="58" t="str">
        <f>VLOOKUP($BE37,'Enriched - 2'!$B$2:$F$102, 2, false)</f>
        <v>Mammals</v>
      </c>
      <c r="CK37" s="3" t="s">
        <v>2685</v>
      </c>
      <c r="CL37" s="3" t="s">
        <v>2686</v>
      </c>
      <c r="CM37" s="3" t="s">
        <v>2687</v>
      </c>
      <c r="CN37" s="58" t="str">
        <f>HYPERLINK("https%3A%2F%2Fwww.webofscience.com%2Fwos%2Fwoscc%2Ffull-record%2FWOS:000260556500005","View Full Record in Web of Science")</f>
        <v>View Full Record in Web of Science</v>
      </c>
    </row>
    <row r="38" ht="12.75" customHeight="1">
      <c r="A38" s="58" t="s">
        <v>1896</v>
      </c>
      <c r="B38" s="58" t="s">
        <v>2688</v>
      </c>
      <c r="C38" s="58" t="s">
        <v>1482</v>
      </c>
      <c r="D38" s="58" t="s">
        <v>1482</v>
      </c>
      <c r="E38" s="58" t="s">
        <v>1482</v>
      </c>
      <c r="F38" s="58" t="s">
        <v>2689</v>
      </c>
      <c r="G38" s="58" t="s">
        <v>1482</v>
      </c>
      <c r="H38" s="58" t="s">
        <v>1482</v>
      </c>
      <c r="I38" s="58" t="s">
        <v>2690</v>
      </c>
      <c r="J38" s="58" t="s">
        <v>2691</v>
      </c>
      <c r="K38" s="58" t="s">
        <v>1482</v>
      </c>
      <c r="L38" s="58" t="s">
        <v>1482</v>
      </c>
      <c r="M38" s="58" t="s">
        <v>1901</v>
      </c>
      <c r="N38" s="58" t="s">
        <v>1902</v>
      </c>
      <c r="O38" s="58" t="s">
        <v>1482</v>
      </c>
      <c r="P38" s="58" t="s">
        <v>1482</v>
      </c>
      <c r="Q38" s="58" t="s">
        <v>1482</v>
      </c>
      <c r="R38" s="58" t="s">
        <v>1482</v>
      </c>
      <c r="S38" s="58" t="s">
        <v>1482</v>
      </c>
      <c r="T38" s="58" t="s">
        <v>2692</v>
      </c>
      <c r="U38" s="58" t="s">
        <v>2693</v>
      </c>
      <c r="V38" s="58" t="s">
        <v>2694</v>
      </c>
      <c r="W38" s="58" t="s">
        <v>2695</v>
      </c>
      <c r="X38" s="58" t="s">
        <v>2696</v>
      </c>
      <c r="Y38" s="58" t="s">
        <v>2697</v>
      </c>
      <c r="Z38" s="58" t="s">
        <v>2698</v>
      </c>
      <c r="AA38" s="58" t="s">
        <v>1482</v>
      </c>
      <c r="AB38" s="58" t="s">
        <v>1482</v>
      </c>
      <c r="AC38" s="58" t="s">
        <v>2699</v>
      </c>
      <c r="AD38" s="58" t="s">
        <v>2700</v>
      </c>
      <c r="AE38" s="58" t="s">
        <v>2701</v>
      </c>
      <c r="AF38" s="58" t="s">
        <v>1482</v>
      </c>
      <c r="AG38" s="58">
        <v>61.0</v>
      </c>
      <c r="AH38" s="58">
        <v>32.0</v>
      </c>
      <c r="AI38" s="58">
        <v>36.0</v>
      </c>
      <c r="AJ38" s="58">
        <v>0.0</v>
      </c>
      <c r="AK38" s="58">
        <v>49.0</v>
      </c>
      <c r="AL38" s="58" t="s">
        <v>1998</v>
      </c>
      <c r="AM38" s="58" t="s">
        <v>1999</v>
      </c>
      <c r="AN38" s="58" t="s">
        <v>2000</v>
      </c>
      <c r="AO38" s="58" t="s">
        <v>2702</v>
      </c>
      <c r="AP38" s="58" t="s">
        <v>2703</v>
      </c>
      <c r="AQ38" s="58" t="s">
        <v>1482</v>
      </c>
      <c r="AR38" s="58" t="s">
        <v>2704</v>
      </c>
      <c r="AS38" s="58" t="s">
        <v>2705</v>
      </c>
      <c r="AT38" s="58" t="s">
        <v>2177</v>
      </c>
      <c r="AU38" s="58">
        <v>2011.0</v>
      </c>
      <c r="AV38" s="58">
        <v>49.0</v>
      </c>
      <c r="AW38" s="58">
        <v>1.0</v>
      </c>
      <c r="AX38" s="58" t="s">
        <v>1482</v>
      </c>
      <c r="AY38" s="58" t="s">
        <v>1482</v>
      </c>
      <c r="AZ38" s="58" t="s">
        <v>1482</v>
      </c>
      <c r="BA38" s="58" t="s">
        <v>1482</v>
      </c>
      <c r="BB38" s="58">
        <v>70.0</v>
      </c>
      <c r="BC38" s="58">
        <v>80.0</v>
      </c>
      <c r="BD38" s="58" t="s">
        <v>1482</v>
      </c>
      <c r="BE38" s="58" t="s">
        <v>1556</v>
      </c>
      <c r="BF38" s="65" t="str">
        <f>HYPERLINK("http://dx.doi.org/10.1111/j.1365-2028.2010.01229.x","http://dx.doi.org/10.1111/j.1365-2028.2010.01229.x")</f>
        <v>http://dx.doi.org/10.1111/j.1365-2028.2010.01229.x</v>
      </c>
      <c r="BG38" s="58" t="s">
        <v>1482</v>
      </c>
      <c r="BH38" s="58" t="s">
        <v>1482</v>
      </c>
      <c r="BI38" s="58">
        <v>11.0</v>
      </c>
      <c r="BJ38" s="58" t="s">
        <v>2154</v>
      </c>
      <c r="BK38" s="58" t="s">
        <v>1920</v>
      </c>
      <c r="BL38" s="58" t="s">
        <v>2156</v>
      </c>
      <c r="BM38" s="58" t="s">
        <v>2706</v>
      </c>
      <c r="BN38" s="58" t="s">
        <v>1482</v>
      </c>
      <c r="BO38" s="58" t="s">
        <v>1482</v>
      </c>
      <c r="BP38" s="58" t="s">
        <v>1482</v>
      </c>
      <c r="BQ38" s="58" t="s">
        <v>1482</v>
      </c>
      <c r="BR38" s="58" t="s">
        <v>1922</v>
      </c>
      <c r="BS38" s="58" t="s">
        <v>2707</v>
      </c>
      <c r="BT38" s="58" t="s">
        <v>453</v>
      </c>
      <c r="BU38" s="58" t="s">
        <v>40</v>
      </c>
      <c r="BV38" s="58" t="s">
        <v>41</v>
      </c>
      <c r="BW38" s="58" t="s">
        <v>454</v>
      </c>
      <c r="BX38" s="58" t="s">
        <v>67</v>
      </c>
      <c r="BY38" s="58" t="s">
        <v>68</v>
      </c>
      <c r="BZ38" s="58" t="s">
        <v>455</v>
      </c>
      <c r="CA38" s="64" t="s">
        <v>1960</v>
      </c>
      <c r="CB38" s="64" t="s">
        <v>2708</v>
      </c>
      <c r="CC38" s="58" t="s">
        <v>601</v>
      </c>
      <c r="CD38" s="64" t="s">
        <v>820</v>
      </c>
      <c r="CE38" s="64" t="s">
        <v>1926</v>
      </c>
      <c r="CF38" s="3" t="s">
        <v>1927</v>
      </c>
      <c r="CG38" s="3" t="s">
        <v>1928</v>
      </c>
      <c r="CH38" s="3" t="s">
        <v>1929</v>
      </c>
      <c r="CI38" s="3" t="s">
        <v>2202</v>
      </c>
      <c r="CJ38" s="58" t="str">
        <f>VLOOKUP($BE38,'Enriched - 2'!$B$2:$F$102, 2, false)</f>
        <v>Mammals</v>
      </c>
      <c r="CK38" s="3" t="s">
        <v>2709</v>
      </c>
      <c r="CL38" s="3" t="s">
        <v>2710</v>
      </c>
      <c r="CM38" s="3" t="s">
        <v>2520</v>
      </c>
      <c r="CN38" s="58" t="str">
        <f>HYPERLINK("https%3A%2F%2Fwww.webofscience.com%2Fwos%2Fwoscc%2Ffull-record%2FWOS:000287094000009","View Full Record in Web of Science")</f>
        <v>View Full Record in Web of Science</v>
      </c>
    </row>
    <row r="39" ht="12.75" customHeight="1">
      <c r="A39" s="58" t="s">
        <v>1896</v>
      </c>
      <c r="B39" s="58" t="s">
        <v>2711</v>
      </c>
      <c r="C39" s="58" t="s">
        <v>1482</v>
      </c>
      <c r="D39" s="58" t="s">
        <v>1482</v>
      </c>
      <c r="E39" s="58" t="s">
        <v>1482</v>
      </c>
      <c r="F39" s="58" t="s">
        <v>2712</v>
      </c>
      <c r="G39" s="58" t="s">
        <v>1482</v>
      </c>
      <c r="H39" s="58" t="s">
        <v>1482</v>
      </c>
      <c r="I39" s="58" t="s">
        <v>2713</v>
      </c>
      <c r="J39" s="58" t="s">
        <v>2714</v>
      </c>
      <c r="K39" s="58" t="s">
        <v>1482</v>
      </c>
      <c r="L39" s="58" t="s">
        <v>1482</v>
      </c>
      <c r="M39" s="58" t="s">
        <v>1901</v>
      </c>
      <c r="N39" s="58" t="s">
        <v>1902</v>
      </c>
      <c r="O39" s="58" t="s">
        <v>1482</v>
      </c>
      <c r="P39" s="58" t="s">
        <v>1482</v>
      </c>
      <c r="Q39" s="58" t="s">
        <v>1482</v>
      </c>
      <c r="R39" s="58" t="s">
        <v>1482</v>
      </c>
      <c r="S39" s="58" t="s">
        <v>1482</v>
      </c>
      <c r="T39" s="58" t="s">
        <v>2715</v>
      </c>
      <c r="U39" s="58" t="s">
        <v>2716</v>
      </c>
      <c r="V39" s="58" t="s">
        <v>2717</v>
      </c>
      <c r="W39" s="58" t="s">
        <v>2718</v>
      </c>
      <c r="X39" s="58" t="s">
        <v>2719</v>
      </c>
      <c r="Y39" s="58" t="s">
        <v>2720</v>
      </c>
      <c r="Z39" s="58" t="s">
        <v>2721</v>
      </c>
      <c r="AA39" s="58" t="s">
        <v>2722</v>
      </c>
      <c r="AB39" s="58" t="s">
        <v>2723</v>
      </c>
      <c r="AC39" s="58" t="s">
        <v>2724</v>
      </c>
      <c r="AD39" s="58" t="s">
        <v>2725</v>
      </c>
      <c r="AE39" s="58" t="s">
        <v>2726</v>
      </c>
      <c r="AF39" s="58" t="s">
        <v>1482</v>
      </c>
      <c r="AG39" s="58">
        <v>54.0</v>
      </c>
      <c r="AH39" s="58">
        <v>112.0</v>
      </c>
      <c r="AI39" s="58">
        <v>127.0</v>
      </c>
      <c r="AJ39" s="58">
        <v>7.0</v>
      </c>
      <c r="AK39" s="58">
        <v>128.0</v>
      </c>
      <c r="AL39" s="58" t="s">
        <v>2542</v>
      </c>
      <c r="AM39" s="58" t="s">
        <v>1999</v>
      </c>
      <c r="AN39" s="58" t="s">
        <v>2000</v>
      </c>
      <c r="AO39" s="58" t="s">
        <v>2727</v>
      </c>
      <c r="AP39" s="58" t="s">
        <v>2728</v>
      </c>
      <c r="AQ39" s="58" t="s">
        <v>1482</v>
      </c>
      <c r="AR39" s="58" t="s">
        <v>2729</v>
      </c>
      <c r="AS39" s="58" t="s">
        <v>2730</v>
      </c>
      <c r="AT39" s="58" t="s">
        <v>2568</v>
      </c>
      <c r="AU39" s="58">
        <v>2011.0</v>
      </c>
      <c r="AV39" s="58">
        <v>285.0</v>
      </c>
      <c r="AW39" s="58">
        <v>1.0</v>
      </c>
      <c r="AX39" s="58" t="s">
        <v>1482</v>
      </c>
      <c r="AY39" s="58" t="s">
        <v>1482</v>
      </c>
      <c r="AZ39" s="58" t="s">
        <v>1482</v>
      </c>
      <c r="BA39" s="58" t="s">
        <v>1482</v>
      </c>
      <c r="BB39" s="58">
        <v>11.0</v>
      </c>
      <c r="BC39" s="58">
        <v>20.0</v>
      </c>
      <c r="BD39" s="58" t="s">
        <v>1482</v>
      </c>
      <c r="BE39" s="58" t="s">
        <v>1594</v>
      </c>
      <c r="BF39" s="65" t="str">
        <f>HYPERLINK("http://dx.doi.org/10.1111/j.1469-7998.2011.00826.x","http://dx.doi.org/10.1111/j.1469-7998.2011.00826.x")</f>
        <v>http://dx.doi.org/10.1111/j.1469-7998.2011.00826.x</v>
      </c>
      <c r="BG39" s="58" t="s">
        <v>1482</v>
      </c>
      <c r="BH39" s="58" t="s">
        <v>1482</v>
      </c>
      <c r="BI39" s="58">
        <v>10.0</v>
      </c>
      <c r="BJ39" s="58" t="s">
        <v>1919</v>
      </c>
      <c r="BK39" s="58" t="s">
        <v>1920</v>
      </c>
      <c r="BL39" s="58" t="s">
        <v>1919</v>
      </c>
      <c r="BM39" s="58" t="s">
        <v>2731</v>
      </c>
      <c r="BN39" s="58" t="s">
        <v>1482</v>
      </c>
      <c r="BO39" s="58" t="s">
        <v>1482</v>
      </c>
      <c r="BP39" s="58" t="s">
        <v>1482</v>
      </c>
      <c r="BQ39" s="58" t="s">
        <v>1482</v>
      </c>
      <c r="BR39" s="58" t="s">
        <v>1922</v>
      </c>
      <c r="BS39" s="58" t="s">
        <v>2732</v>
      </c>
      <c r="BT39" s="58" t="s">
        <v>569</v>
      </c>
      <c r="BU39" s="58" t="s">
        <v>40</v>
      </c>
      <c r="BV39" s="58" t="s">
        <v>41</v>
      </c>
      <c r="BW39" s="58" t="s">
        <v>570</v>
      </c>
      <c r="BX39" s="58" t="s">
        <v>67</v>
      </c>
      <c r="BY39" s="58" t="s">
        <v>59</v>
      </c>
      <c r="BZ39" s="58" t="s">
        <v>60</v>
      </c>
      <c r="CA39" s="64" t="s">
        <v>1960</v>
      </c>
      <c r="CB39" s="64" t="s">
        <v>2101</v>
      </c>
      <c r="CC39" s="58" t="s">
        <v>601</v>
      </c>
      <c r="CD39" s="64" t="s">
        <v>820</v>
      </c>
      <c r="CE39" s="64" t="s">
        <v>1926</v>
      </c>
      <c r="CF39" s="3" t="s">
        <v>1927</v>
      </c>
      <c r="CG39" s="3" t="s">
        <v>1928</v>
      </c>
      <c r="CH39" s="3" t="s">
        <v>1929</v>
      </c>
      <c r="CI39" s="3" t="s">
        <v>2202</v>
      </c>
      <c r="CJ39" s="58" t="str">
        <f>VLOOKUP($BE39,'Enriched - 2'!$B$2:$F$102, 2, false)</f>
        <v>Mammals</v>
      </c>
      <c r="CK39" s="3" t="s">
        <v>2733</v>
      </c>
      <c r="CL39" s="3" t="s">
        <v>2734</v>
      </c>
      <c r="CM39" s="3" t="s">
        <v>2735</v>
      </c>
      <c r="CN39" s="58" t="str">
        <f>HYPERLINK("https%3A%2F%2Fwww.webofscience.com%2Fwos%2Fwoscc%2Ffull-record%2FWOS:000294170500002","View Full Record in Web of Science")</f>
        <v>View Full Record in Web of Science</v>
      </c>
    </row>
    <row r="40" ht="12.75" customHeight="1">
      <c r="A40" s="58" t="s">
        <v>1896</v>
      </c>
      <c r="B40" s="58" t="s">
        <v>2736</v>
      </c>
      <c r="C40" s="58" t="s">
        <v>1482</v>
      </c>
      <c r="D40" s="58" t="s">
        <v>1482</v>
      </c>
      <c r="E40" s="58" t="s">
        <v>1482</v>
      </c>
      <c r="F40" s="58" t="s">
        <v>2737</v>
      </c>
      <c r="G40" s="58" t="s">
        <v>1482</v>
      </c>
      <c r="H40" s="58" t="s">
        <v>1482</v>
      </c>
      <c r="I40" s="58" t="s">
        <v>2738</v>
      </c>
      <c r="J40" s="58" t="s">
        <v>2739</v>
      </c>
      <c r="K40" s="58" t="s">
        <v>1482</v>
      </c>
      <c r="L40" s="58" t="s">
        <v>1482</v>
      </c>
      <c r="M40" s="58" t="s">
        <v>1901</v>
      </c>
      <c r="N40" s="58" t="s">
        <v>1902</v>
      </c>
      <c r="O40" s="58" t="s">
        <v>1482</v>
      </c>
      <c r="P40" s="58" t="s">
        <v>1482</v>
      </c>
      <c r="Q40" s="58" t="s">
        <v>1482</v>
      </c>
      <c r="R40" s="58" t="s">
        <v>1482</v>
      </c>
      <c r="S40" s="58" t="s">
        <v>1482</v>
      </c>
      <c r="T40" s="58" t="s">
        <v>2740</v>
      </c>
      <c r="U40" s="58" t="s">
        <v>2741</v>
      </c>
      <c r="V40" s="58" t="s">
        <v>2742</v>
      </c>
      <c r="W40" s="58" t="s">
        <v>2743</v>
      </c>
      <c r="X40" s="58" t="s">
        <v>2744</v>
      </c>
      <c r="Y40" s="58" t="s">
        <v>2745</v>
      </c>
      <c r="Z40" s="58" t="s">
        <v>2584</v>
      </c>
      <c r="AA40" s="58" t="s">
        <v>1482</v>
      </c>
      <c r="AB40" s="58" t="s">
        <v>2746</v>
      </c>
      <c r="AC40" s="58" t="s">
        <v>2587</v>
      </c>
      <c r="AD40" s="58" t="s">
        <v>2588</v>
      </c>
      <c r="AE40" s="58" t="s">
        <v>2747</v>
      </c>
      <c r="AF40" s="58" t="s">
        <v>1482</v>
      </c>
      <c r="AG40" s="58">
        <v>68.0</v>
      </c>
      <c r="AH40" s="58">
        <v>131.0</v>
      </c>
      <c r="AI40" s="58">
        <v>155.0</v>
      </c>
      <c r="AJ40" s="58">
        <v>0.0</v>
      </c>
      <c r="AK40" s="58">
        <v>154.0</v>
      </c>
      <c r="AL40" s="58" t="s">
        <v>2748</v>
      </c>
      <c r="AM40" s="58" t="s">
        <v>2749</v>
      </c>
      <c r="AN40" s="58" t="s">
        <v>2750</v>
      </c>
      <c r="AO40" s="58" t="s">
        <v>2751</v>
      </c>
      <c r="AP40" s="58" t="s">
        <v>2752</v>
      </c>
      <c r="AQ40" s="58" t="s">
        <v>1482</v>
      </c>
      <c r="AR40" s="58" t="s">
        <v>2753</v>
      </c>
      <c r="AS40" s="58" t="s">
        <v>2754</v>
      </c>
      <c r="AT40" s="58" t="s">
        <v>2755</v>
      </c>
      <c r="AU40" s="58">
        <v>2013.0</v>
      </c>
      <c r="AV40" s="58">
        <v>280.0</v>
      </c>
      <c r="AW40" s="58">
        <v>1759.0</v>
      </c>
      <c r="AX40" s="58" t="s">
        <v>1482</v>
      </c>
      <c r="AY40" s="58" t="s">
        <v>1482</v>
      </c>
      <c r="AZ40" s="58" t="s">
        <v>1482</v>
      </c>
      <c r="BA40" s="58" t="s">
        <v>1482</v>
      </c>
      <c r="BB40" s="58" t="s">
        <v>1482</v>
      </c>
      <c r="BC40" s="58" t="s">
        <v>1482</v>
      </c>
      <c r="BD40" s="58">
        <v>2.0130246E7</v>
      </c>
      <c r="BE40" s="58" t="s">
        <v>1520</v>
      </c>
      <c r="BF40" s="65" t="str">
        <f>HYPERLINK("http://dx.doi.org/10.1098/rspb.2013.0246","http://dx.doi.org/10.1098/rspb.2013.0246")</f>
        <v>http://dx.doi.org/10.1098/rspb.2013.0246</v>
      </c>
      <c r="BG40" s="58" t="s">
        <v>1482</v>
      </c>
      <c r="BH40" s="58" t="s">
        <v>1482</v>
      </c>
      <c r="BI40" s="58">
        <v>8.0</v>
      </c>
      <c r="BJ40" s="58" t="s">
        <v>2756</v>
      </c>
      <c r="BK40" s="58" t="s">
        <v>1920</v>
      </c>
      <c r="BL40" s="58" t="s">
        <v>2757</v>
      </c>
      <c r="BM40" s="58" t="s">
        <v>2758</v>
      </c>
      <c r="BN40" s="58">
        <v>2.3516245E7</v>
      </c>
      <c r="BO40" s="58" t="s">
        <v>2099</v>
      </c>
      <c r="BP40" s="58" t="s">
        <v>1482</v>
      </c>
      <c r="BQ40" s="58" t="s">
        <v>1482</v>
      </c>
      <c r="BR40" s="58" t="s">
        <v>1922</v>
      </c>
      <c r="BS40" s="58" t="s">
        <v>2759</v>
      </c>
      <c r="BT40" s="58" t="s">
        <v>200</v>
      </c>
      <c r="BU40" s="58" t="s">
        <v>40</v>
      </c>
      <c r="BV40" s="58" t="s">
        <v>41</v>
      </c>
      <c r="BW40" s="58" t="s">
        <v>201</v>
      </c>
      <c r="BX40" s="58" t="s">
        <v>52</v>
      </c>
      <c r="BY40" s="58" t="s">
        <v>59</v>
      </c>
      <c r="BZ40" s="58" t="s">
        <v>45</v>
      </c>
      <c r="CA40" s="64" t="s">
        <v>1960</v>
      </c>
      <c r="CB40" s="64" t="s">
        <v>2454</v>
      </c>
      <c r="CC40" s="58" t="s">
        <v>601</v>
      </c>
      <c r="CD40" s="64" t="s">
        <v>820</v>
      </c>
      <c r="CE40" s="64" t="s">
        <v>1926</v>
      </c>
      <c r="CF40" s="3" t="s">
        <v>1927</v>
      </c>
      <c r="CG40" s="3" t="s">
        <v>1928</v>
      </c>
      <c r="CH40" s="3" t="s">
        <v>1929</v>
      </c>
      <c r="CI40" s="3" t="s">
        <v>2202</v>
      </c>
      <c r="CJ40" s="58" t="str">
        <f>VLOOKUP($BE40,'Enriched - 2'!$B$2:$F$102, 2, false)</f>
        <v>Mammals</v>
      </c>
      <c r="CK40" s="3" t="s">
        <v>2760</v>
      </c>
      <c r="CL40" s="3" t="s">
        <v>2761</v>
      </c>
      <c r="CM40" s="3" t="s">
        <v>2205</v>
      </c>
      <c r="CN40" s="58" t="str">
        <f>HYPERLINK("https%3A%2F%2Fwww.webofscience.com%2Fwos%2Fwoscc%2Ffull-record%2FWOS:000317482100017","View Full Record in Web of Science")</f>
        <v>View Full Record in Web of Science</v>
      </c>
    </row>
    <row r="41" ht="12.75" customHeight="1">
      <c r="A41" s="58" t="s">
        <v>1896</v>
      </c>
      <c r="B41" s="58" t="s">
        <v>2762</v>
      </c>
      <c r="C41" s="58" t="s">
        <v>1482</v>
      </c>
      <c r="D41" s="58" t="s">
        <v>1482</v>
      </c>
      <c r="E41" s="58" t="s">
        <v>1482</v>
      </c>
      <c r="F41" s="58" t="s">
        <v>2763</v>
      </c>
      <c r="G41" s="58" t="s">
        <v>1482</v>
      </c>
      <c r="H41" s="58" t="s">
        <v>1482</v>
      </c>
      <c r="I41" s="58" t="s">
        <v>2764</v>
      </c>
      <c r="J41" s="58" t="s">
        <v>1937</v>
      </c>
      <c r="K41" s="58" t="s">
        <v>1482</v>
      </c>
      <c r="L41" s="58" t="s">
        <v>1482</v>
      </c>
      <c r="M41" s="58" t="s">
        <v>1901</v>
      </c>
      <c r="N41" s="58" t="s">
        <v>1902</v>
      </c>
      <c r="O41" s="58" t="s">
        <v>1482</v>
      </c>
      <c r="P41" s="58" t="s">
        <v>1482</v>
      </c>
      <c r="Q41" s="58" t="s">
        <v>1482</v>
      </c>
      <c r="R41" s="58" t="s">
        <v>1482</v>
      </c>
      <c r="S41" s="58" t="s">
        <v>1482</v>
      </c>
      <c r="T41" s="58" t="s">
        <v>2765</v>
      </c>
      <c r="U41" s="58" t="s">
        <v>2766</v>
      </c>
      <c r="V41" s="58" t="s">
        <v>2767</v>
      </c>
      <c r="W41" s="58" t="s">
        <v>2768</v>
      </c>
      <c r="X41" s="58" t="s">
        <v>2769</v>
      </c>
      <c r="Y41" s="58" t="s">
        <v>2770</v>
      </c>
      <c r="Z41" s="58" t="s">
        <v>2771</v>
      </c>
      <c r="AA41" s="58" t="s">
        <v>2772</v>
      </c>
      <c r="AB41" s="58" t="s">
        <v>2773</v>
      </c>
      <c r="AC41" s="58" t="s">
        <v>1482</v>
      </c>
      <c r="AD41" s="58" t="s">
        <v>1482</v>
      </c>
      <c r="AE41" s="58" t="s">
        <v>1482</v>
      </c>
      <c r="AF41" s="58" t="s">
        <v>1482</v>
      </c>
      <c r="AG41" s="58">
        <v>14.0</v>
      </c>
      <c r="AH41" s="58">
        <v>32.0</v>
      </c>
      <c r="AI41" s="58">
        <v>35.0</v>
      </c>
      <c r="AJ41" s="58">
        <v>0.0</v>
      </c>
      <c r="AK41" s="58">
        <v>35.0</v>
      </c>
      <c r="AL41" s="58" t="s">
        <v>1948</v>
      </c>
      <c r="AM41" s="58" t="s">
        <v>1949</v>
      </c>
      <c r="AN41" s="58" t="s">
        <v>1950</v>
      </c>
      <c r="AO41" s="58" t="s">
        <v>1951</v>
      </c>
      <c r="AP41" s="58" t="s">
        <v>1482</v>
      </c>
      <c r="AQ41" s="58" t="s">
        <v>1482</v>
      </c>
      <c r="AR41" s="58" t="s">
        <v>1953</v>
      </c>
      <c r="AS41" s="58" t="s">
        <v>1954</v>
      </c>
      <c r="AT41" s="58" t="s">
        <v>1955</v>
      </c>
      <c r="AU41" s="58">
        <v>2008.0</v>
      </c>
      <c r="AV41" s="58">
        <v>17.0</v>
      </c>
      <c r="AW41" s="58">
        <v>5.0</v>
      </c>
      <c r="AX41" s="58" t="s">
        <v>1482</v>
      </c>
      <c r="AY41" s="58" t="s">
        <v>1482</v>
      </c>
      <c r="AZ41" s="58" t="s">
        <v>1482</v>
      </c>
      <c r="BA41" s="58" t="s">
        <v>1482</v>
      </c>
      <c r="BB41" s="58">
        <v>1241.0</v>
      </c>
      <c r="BC41" s="58">
        <v>1249.0</v>
      </c>
      <c r="BD41" s="58" t="s">
        <v>1482</v>
      </c>
      <c r="BE41" s="58" t="s">
        <v>1566</v>
      </c>
      <c r="BF41" s="65" t="str">
        <f>HYPERLINK("http://dx.doi.org/10.1007/s10531-007-9300-5","http://dx.doi.org/10.1007/s10531-007-9300-5")</f>
        <v>http://dx.doi.org/10.1007/s10531-007-9300-5</v>
      </c>
      <c r="BG41" s="58" t="s">
        <v>1482</v>
      </c>
      <c r="BH41" s="58" t="s">
        <v>1482</v>
      </c>
      <c r="BI41" s="58">
        <v>9.0</v>
      </c>
      <c r="BJ41" s="58" t="s">
        <v>1956</v>
      </c>
      <c r="BK41" s="58" t="s">
        <v>1920</v>
      </c>
      <c r="BL41" s="58" t="s">
        <v>1957</v>
      </c>
      <c r="BM41" s="58" t="s">
        <v>2774</v>
      </c>
      <c r="BN41" s="58" t="s">
        <v>1482</v>
      </c>
      <c r="BO41" s="58" t="s">
        <v>1482</v>
      </c>
      <c r="BP41" s="58" t="s">
        <v>1482</v>
      </c>
      <c r="BQ41" s="58" t="s">
        <v>1482</v>
      </c>
      <c r="BR41" s="58" t="s">
        <v>1922</v>
      </c>
      <c r="BS41" s="58" t="s">
        <v>2775</v>
      </c>
      <c r="BT41" s="58" t="s">
        <v>340</v>
      </c>
      <c r="BU41" s="58" t="s">
        <v>40</v>
      </c>
      <c r="BV41" s="58" t="s">
        <v>41</v>
      </c>
      <c r="BW41" s="58" t="s">
        <v>504</v>
      </c>
      <c r="BX41" s="58" t="s">
        <v>58</v>
      </c>
      <c r="BY41" s="58" t="s">
        <v>44</v>
      </c>
      <c r="BZ41" s="58" t="s">
        <v>45</v>
      </c>
      <c r="CA41" s="64" t="s">
        <v>1960</v>
      </c>
      <c r="CB41" s="64" t="s">
        <v>2101</v>
      </c>
      <c r="CC41" s="58" t="s">
        <v>641</v>
      </c>
      <c r="CD41" s="64" t="s">
        <v>820</v>
      </c>
      <c r="CE41" s="64" t="s">
        <v>1926</v>
      </c>
      <c r="CF41" s="3" t="s">
        <v>1927</v>
      </c>
      <c r="CG41" s="3" t="s">
        <v>1928</v>
      </c>
      <c r="CH41" s="3" t="s">
        <v>1929</v>
      </c>
      <c r="CI41" s="3" t="s">
        <v>2202</v>
      </c>
      <c r="CJ41" s="58" t="str">
        <f>VLOOKUP($BE41,'Enriched - 2'!$B$2:$F$102, 2, false)</f>
        <v>Mammals</v>
      </c>
      <c r="CK41" s="3" t="s">
        <v>2776</v>
      </c>
      <c r="CL41" s="3" t="s">
        <v>2777</v>
      </c>
      <c r="CM41" s="3" t="s">
        <v>2520</v>
      </c>
      <c r="CN41" s="58" t="str">
        <f>HYPERLINK("https%3A%2F%2Fwww.webofscience.com%2Fwos%2Fwoscc%2Ffull-record%2FWOS:000255998100017","View Full Record in Web of Science")</f>
        <v>View Full Record in Web of Science</v>
      </c>
    </row>
    <row r="42" ht="12.75" customHeight="1">
      <c r="A42" s="58" t="s">
        <v>1896</v>
      </c>
      <c r="B42" s="58" t="s">
        <v>2778</v>
      </c>
      <c r="C42" s="58" t="s">
        <v>1482</v>
      </c>
      <c r="D42" s="58" t="s">
        <v>1482</v>
      </c>
      <c r="E42" s="58" t="s">
        <v>1482</v>
      </c>
      <c r="F42" s="58" t="s">
        <v>2779</v>
      </c>
      <c r="G42" s="58" t="s">
        <v>1482</v>
      </c>
      <c r="H42" s="58" t="s">
        <v>1482</v>
      </c>
      <c r="I42" s="58" t="s">
        <v>2780</v>
      </c>
      <c r="J42" s="58" t="s">
        <v>2691</v>
      </c>
      <c r="K42" s="58" t="s">
        <v>1482</v>
      </c>
      <c r="L42" s="58" t="s">
        <v>1482</v>
      </c>
      <c r="M42" s="58" t="s">
        <v>1901</v>
      </c>
      <c r="N42" s="58" t="s">
        <v>1902</v>
      </c>
      <c r="O42" s="58" t="s">
        <v>1482</v>
      </c>
      <c r="P42" s="58" t="s">
        <v>1482</v>
      </c>
      <c r="Q42" s="58" t="s">
        <v>1482</v>
      </c>
      <c r="R42" s="58" t="s">
        <v>1482</v>
      </c>
      <c r="S42" s="58" t="s">
        <v>1482</v>
      </c>
      <c r="T42" s="58" t="s">
        <v>2781</v>
      </c>
      <c r="U42" s="58" t="s">
        <v>2782</v>
      </c>
      <c r="V42" s="58" t="s">
        <v>2783</v>
      </c>
      <c r="W42" s="58" t="s">
        <v>2784</v>
      </c>
      <c r="X42" s="58" t="s">
        <v>2785</v>
      </c>
      <c r="Y42" s="58" t="s">
        <v>2786</v>
      </c>
      <c r="Z42" s="58" t="s">
        <v>2787</v>
      </c>
      <c r="AA42" s="58" t="s">
        <v>1482</v>
      </c>
      <c r="AB42" s="58" t="s">
        <v>1482</v>
      </c>
      <c r="AC42" s="58" t="s">
        <v>1482</v>
      </c>
      <c r="AD42" s="58" t="s">
        <v>1482</v>
      </c>
      <c r="AE42" s="58" t="s">
        <v>1482</v>
      </c>
      <c r="AF42" s="58" t="s">
        <v>1482</v>
      </c>
      <c r="AG42" s="58">
        <v>37.0</v>
      </c>
      <c r="AH42" s="58">
        <v>26.0</v>
      </c>
      <c r="AI42" s="58">
        <v>35.0</v>
      </c>
      <c r="AJ42" s="58">
        <v>0.0</v>
      </c>
      <c r="AK42" s="58">
        <v>20.0</v>
      </c>
      <c r="AL42" s="58" t="s">
        <v>1998</v>
      </c>
      <c r="AM42" s="58" t="s">
        <v>1999</v>
      </c>
      <c r="AN42" s="58" t="s">
        <v>2000</v>
      </c>
      <c r="AO42" s="58" t="s">
        <v>2702</v>
      </c>
      <c r="AP42" s="58" t="s">
        <v>2703</v>
      </c>
      <c r="AQ42" s="58" t="s">
        <v>1482</v>
      </c>
      <c r="AR42" s="58" t="s">
        <v>2704</v>
      </c>
      <c r="AS42" s="58" t="s">
        <v>2705</v>
      </c>
      <c r="AT42" s="58" t="s">
        <v>2033</v>
      </c>
      <c r="AU42" s="58">
        <v>2006.0</v>
      </c>
      <c r="AV42" s="58">
        <v>44.0</v>
      </c>
      <c r="AW42" s="58">
        <v>2.0</v>
      </c>
      <c r="AX42" s="58" t="s">
        <v>1482</v>
      </c>
      <c r="AY42" s="58" t="s">
        <v>1482</v>
      </c>
      <c r="AZ42" s="58" t="s">
        <v>1482</v>
      </c>
      <c r="BA42" s="58" t="s">
        <v>1482</v>
      </c>
      <c r="BB42" s="58">
        <v>209.0</v>
      </c>
      <c r="BC42" s="58">
        <v>218.0</v>
      </c>
      <c r="BD42" s="58" t="s">
        <v>1482</v>
      </c>
      <c r="BE42" s="58" t="s">
        <v>1542</v>
      </c>
      <c r="BF42" s="65" t="str">
        <f>HYPERLINK("http://dx.doi.org/10.1111/j.1365-2028.2006.00629.x","http://dx.doi.org/10.1111/j.1365-2028.2006.00629.x")</f>
        <v>http://dx.doi.org/10.1111/j.1365-2028.2006.00629.x</v>
      </c>
      <c r="BG42" s="58" t="s">
        <v>1482</v>
      </c>
      <c r="BH42" s="58" t="s">
        <v>1482</v>
      </c>
      <c r="BI42" s="58">
        <v>10.0</v>
      </c>
      <c r="BJ42" s="58" t="s">
        <v>2154</v>
      </c>
      <c r="BK42" s="58" t="s">
        <v>1920</v>
      </c>
      <c r="BL42" s="58" t="s">
        <v>2156</v>
      </c>
      <c r="BM42" s="58" t="s">
        <v>2788</v>
      </c>
      <c r="BN42" s="58" t="s">
        <v>1482</v>
      </c>
      <c r="BO42" s="58" t="s">
        <v>1482</v>
      </c>
      <c r="BP42" s="58" t="s">
        <v>1482</v>
      </c>
      <c r="BQ42" s="58" t="s">
        <v>1482</v>
      </c>
      <c r="BR42" s="58" t="s">
        <v>1922</v>
      </c>
      <c r="BS42" s="58" t="s">
        <v>2789</v>
      </c>
      <c r="BT42" s="58" t="s">
        <v>350</v>
      </c>
      <c r="BU42" s="58" t="s">
        <v>351</v>
      </c>
      <c r="BV42" s="58" t="s">
        <v>41</v>
      </c>
      <c r="BW42" s="58" t="s">
        <v>302</v>
      </c>
      <c r="BX42" s="58" t="s">
        <v>52</v>
      </c>
      <c r="BY42" s="58" t="s">
        <v>68</v>
      </c>
      <c r="BZ42" s="58" t="s">
        <v>60</v>
      </c>
      <c r="CA42" s="64" t="s">
        <v>1960</v>
      </c>
      <c r="CB42" s="64" t="s">
        <v>2790</v>
      </c>
      <c r="CC42" s="58" t="s">
        <v>601</v>
      </c>
      <c r="CD42" s="58" t="s">
        <v>820</v>
      </c>
      <c r="CE42" s="64" t="s">
        <v>1926</v>
      </c>
      <c r="CF42" s="3" t="s">
        <v>1927</v>
      </c>
      <c r="CG42" s="3" t="s">
        <v>1928</v>
      </c>
      <c r="CH42" s="3" t="s">
        <v>1929</v>
      </c>
      <c r="CI42" s="3" t="s">
        <v>2202</v>
      </c>
      <c r="CJ42" s="58" t="str">
        <f>VLOOKUP($BE42,'Enriched - 2'!$B$2:$F$102, 2, false)</f>
        <v>Mammals</v>
      </c>
      <c r="CK42" s="3" t="s">
        <v>2791</v>
      </c>
      <c r="CL42" s="3" t="s">
        <v>2792</v>
      </c>
      <c r="CM42" s="3" t="s">
        <v>2205</v>
      </c>
      <c r="CN42" s="58" t="str">
        <f>HYPERLINK("https%3A%2F%2Fwww.webofscience.com%2Fwos%2Fwoscc%2Ffull-record%2FWOS:000237691500011","View Full Record in Web of Science")</f>
        <v>View Full Record in Web of Science</v>
      </c>
    </row>
    <row r="43" ht="12.75" customHeight="1">
      <c r="A43" s="58" t="s">
        <v>1896</v>
      </c>
      <c r="B43" s="58" t="s">
        <v>2793</v>
      </c>
      <c r="C43" s="58" t="s">
        <v>1482</v>
      </c>
      <c r="D43" s="58" t="s">
        <v>1482</v>
      </c>
      <c r="E43" s="58" t="s">
        <v>1482</v>
      </c>
      <c r="F43" s="58" t="s">
        <v>2794</v>
      </c>
      <c r="G43" s="58" t="s">
        <v>1482</v>
      </c>
      <c r="H43" s="58" t="s">
        <v>1482</v>
      </c>
      <c r="I43" s="58" t="s">
        <v>2795</v>
      </c>
      <c r="J43" s="58" t="s">
        <v>2691</v>
      </c>
      <c r="K43" s="58" t="s">
        <v>1482</v>
      </c>
      <c r="L43" s="58" t="s">
        <v>1482</v>
      </c>
      <c r="M43" s="58" t="s">
        <v>1901</v>
      </c>
      <c r="N43" s="58" t="s">
        <v>1902</v>
      </c>
      <c r="O43" s="58" t="s">
        <v>1482</v>
      </c>
      <c r="P43" s="58" t="s">
        <v>1482</v>
      </c>
      <c r="Q43" s="58" t="s">
        <v>1482</v>
      </c>
      <c r="R43" s="58" t="s">
        <v>1482</v>
      </c>
      <c r="S43" s="58" t="s">
        <v>1482</v>
      </c>
      <c r="T43" s="58" t="s">
        <v>2796</v>
      </c>
      <c r="U43" s="58" t="s">
        <v>2797</v>
      </c>
      <c r="V43" s="58" t="s">
        <v>2798</v>
      </c>
      <c r="W43" s="58" t="s">
        <v>2799</v>
      </c>
      <c r="X43" s="58" t="s">
        <v>2800</v>
      </c>
      <c r="Y43" s="58" t="s">
        <v>2801</v>
      </c>
      <c r="Z43" s="58" t="s">
        <v>2802</v>
      </c>
      <c r="AA43" s="58" t="s">
        <v>2803</v>
      </c>
      <c r="AB43" s="58" t="s">
        <v>1482</v>
      </c>
      <c r="AC43" s="58" t="s">
        <v>2804</v>
      </c>
      <c r="AD43" s="58" t="s">
        <v>2804</v>
      </c>
      <c r="AE43" s="58" t="s">
        <v>2805</v>
      </c>
      <c r="AF43" s="58" t="s">
        <v>1482</v>
      </c>
      <c r="AG43" s="58">
        <v>41.0</v>
      </c>
      <c r="AH43" s="58">
        <v>20.0</v>
      </c>
      <c r="AI43" s="58">
        <v>22.0</v>
      </c>
      <c r="AJ43" s="58">
        <v>0.0</v>
      </c>
      <c r="AK43" s="58">
        <v>35.0</v>
      </c>
      <c r="AL43" s="58" t="s">
        <v>1998</v>
      </c>
      <c r="AM43" s="58" t="s">
        <v>1999</v>
      </c>
      <c r="AN43" s="58" t="s">
        <v>2000</v>
      </c>
      <c r="AO43" s="58" t="s">
        <v>2702</v>
      </c>
      <c r="AP43" s="58" t="s">
        <v>2703</v>
      </c>
      <c r="AQ43" s="58" t="s">
        <v>1482</v>
      </c>
      <c r="AR43" s="58" t="s">
        <v>2704</v>
      </c>
      <c r="AS43" s="58" t="s">
        <v>2705</v>
      </c>
      <c r="AT43" s="58" t="s">
        <v>2033</v>
      </c>
      <c r="AU43" s="58">
        <v>2011.0</v>
      </c>
      <c r="AV43" s="58">
        <v>49.0</v>
      </c>
      <c r="AW43" s="58">
        <v>2.0</v>
      </c>
      <c r="AX43" s="58" t="s">
        <v>1482</v>
      </c>
      <c r="AY43" s="58" t="s">
        <v>1482</v>
      </c>
      <c r="AZ43" s="58" t="s">
        <v>1482</v>
      </c>
      <c r="BA43" s="58" t="s">
        <v>1482</v>
      </c>
      <c r="BB43" s="58">
        <v>141.0</v>
      </c>
      <c r="BC43" s="58">
        <v>149.0</v>
      </c>
      <c r="BD43" s="58" t="s">
        <v>1482</v>
      </c>
      <c r="BE43" s="58" t="s">
        <v>1532</v>
      </c>
      <c r="BF43" s="65" t="str">
        <f>HYPERLINK("http://dx.doi.org/10.1111/j.1365-2028.2010.01239.x","http://dx.doi.org/10.1111/j.1365-2028.2010.01239.x")</f>
        <v>http://dx.doi.org/10.1111/j.1365-2028.2010.01239.x</v>
      </c>
      <c r="BG43" s="58" t="s">
        <v>1482</v>
      </c>
      <c r="BH43" s="58" t="s">
        <v>1482</v>
      </c>
      <c r="BI43" s="58">
        <v>9.0</v>
      </c>
      <c r="BJ43" s="58" t="s">
        <v>2154</v>
      </c>
      <c r="BK43" s="58" t="s">
        <v>1920</v>
      </c>
      <c r="BL43" s="58" t="s">
        <v>2156</v>
      </c>
      <c r="BM43" s="58" t="s">
        <v>2806</v>
      </c>
      <c r="BN43" s="58" t="s">
        <v>1482</v>
      </c>
      <c r="BO43" s="58" t="s">
        <v>2037</v>
      </c>
      <c r="BP43" s="58" t="s">
        <v>1482</v>
      </c>
      <c r="BQ43" s="58" t="s">
        <v>1482</v>
      </c>
      <c r="BR43" s="58" t="s">
        <v>1922</v>
      </c>
      <c r="BS43" s="58" t="s">
        <v>2807</v>
      </c>
      <c r="BT43" s="58" t="s">
        <v>286</v>
      </c>
      <c r="BU43" s="58" t="s">
        <v>287</v>
      </c>
      <c r="BV43" s="58" t="s">
        <v>41</v>
      </c>
      <c r="BW43" s="58" t="s">
        <v>288</v>
      </c>
      <c r="BX43" s="58" t="s">
        <v>289</v>
      </c>
      <c r="BY43" s="58" t="s">
        <v>59</v>
      </c>
      <c r="BZ43" s="58" t="s">
        <v>60</v>
      </c>
      <c r="CA43" s="64" t="s">
        <v>1960</v>
      </c>
      <c r="CB43" s="64" t="s">
        <v>2808</v>
      </c>
      <c r="CC43" s="58" t="s">
        <v>601</v>
      </c>
      <c r="CD43" s="64" t="s">
        <v>794</v>
      </c>
      <c r="CE43" s="64" t="s">
        <v>1962</v>
      </c>
      <c r="CF43" s="3" t="s">
        <v>1927</v>
      </c>
      <c r="CG43" s="3" t="s">
        <v>1928</v>
      </c>
      <c r="CH43" s="3" t="s">
        <v>1929</v>
      </c>
      <c r="CI43" s="3" t="s">
        <v>2202</v>
      </c>
      <c r="CJ43" s="58" t="str">
        <f>VLOOKUP($BE43,'Enriched - 2'!$B$2:$F$102, 2, false)</f>
        <v>Mammals</v>
      </c>
      <c r="CK43" s="3" t="s">
        <v>2809</v>
      </c>
      <c r="CL43" s="3" t="s">
        <v>2810</v>
      </c>
      <c r="CM43" s="3" t="s">
        <v>2687</v>
      </c>
      <c r="CN43" s="58" t="str">
        <f>HYPERLINK("https%3A%2F%2Fwww.webofscience.com%2Fwos%2Fwoscc%2Ffull-record%2FWOS:000290171900002","View Full Record in Web of Science")</f>
        <v>View Full Record in Web of Science</v>
      </c>
    </row>
    <row r="44" ht="12.75" customHeight="1">
      <c r="A44" s="58" t="s">
        <v>1896</v>
      </c>
      <c r="B44" s="58" t="s">
        <v>2811</v>
      </c>
      <c r="C44" s="58" t="s">
        <v>1482</v>
      </c>
      <c r="D44" s="58" t="s">
        <v>1482</v>
      </c>
      <c r="E44" s="58" t="s">
        <v>1482</v>
      </c>
      <c r="F44" s="58" t="s">
        <v>2811</v>
      </c>
      <c r="G44" s="58" t="s">
        <v>1482</v>
      </c>
      <c r="H44" s="58" t="s">
        <v>1482</v>
      </c>
      <c r="I44" s="58" t="s">
        <v>2812</v>
      </c>
      <c r="J44" s="58" t="s">
        <v>2691</v>
      </c>
      <c r="K44" s="58" t="s">
        <v>1482</v>
      </c>
      <c r="L44" s="58" t="s">
        <v>1482</v>
      </c>
      <c r="M44" s="58" t="s">
        <v>1901</v>
      </c>
      <c r="N44" s="58" t="s">
        <v>1902</v>
      </c>
      <c r="O44" s="58" t="s">
        <v>1482</v>
      </c>
      <c r="P44" s="58" t="s">
        <v>1482</v>
      </c>
      <c r="Q44" s="58" t="s">
        <v>1482</v>
      </c>
      <c r="R44" s="58" t="s">
        <v>1482</v>
      </c>
      <c r="S44" s="58" t="s">
        <v>1482</v>
      </c>
      <c r="T44" s="58" t="s">
        <v>2813</v>
      </c>
      <c r="U44" s="58" t="s">
        <v>2814</v>
      </c>
      <c r="V44" s="58" t="s">
        <v>2815</v>
      </c>
      <c r="W44" s="58" t="s">
        <v>2816</v>
      </c>
      <c r="X44" s="58" t="s">
        <v>2817</v>
      </c>
      <c r="Y44" s="58" t="s">
        <v>2818</v>
      </c>
      <c r="Z44" s="58" t="s">
        <v>1482</v>
      </c>
      <c r="AA44" s="58" t="s">
        <v>2819</v>
      </c>
      <c r="AB44" s="58" t="s">
        <v>2820</v>
      </c>
      <c r="AC44" s="58" t="s">
        <v>1482</v>
      </c>
      <c r="AD44" s="58" t="s">
        <v>1482</v>
      </c>
      <c r="AE44" s="58" t="s">
        <v>1482</v>
      </c>
      <c r="AF44" s="58" t="s">
        <v>1482</v>
      </c>
      <c r="AG44" s="58">
        <v>25.0</v>
      </c>
      <c r="AH44" s="58">
        <v>32.0</v>
      </c>
      <c r="AI44" s="58">
        <v>35.0</v>
      </c>
      <c r="AJ44" s="58">
        <v>0.0</v>
      </c>
      <c r="AK44" s="58">
        <v>14.0</v>
      </c>
      <c r="AL44" s="58" t="s">
        <v>1998</v>
      </c>
      <c r="AM44" s="58" t="s">
        <v>1999</v>
      </c>
      <c r="AN44" s="58" t="s">
        <v>2000</v>
      </c>
      <c r="AO44" s="58" t="s">
        <v>2702</v>
      </c>
      <c r="AP44" s="58" t="s">
        <v>2703</v>
      </c>
      <c r="AQ44" s="58" t="s">
        <v>1482</v>
      </c>
      <c r="AR44" s="58" t="s">
        <v>2704</v>
      </c>
      <c r="AS44" s="58" t="s">
        <v>2705</v>
      </c>
      <c r="AT44" s="58" t="s">
        <v>2568</v>
      </c>
      <c r="AU44" s="58">
        <v>1997.0</v>
      </c>
      <c r="AV44" s="58">
        <v>35.0</v>
      </c>
      <c r="AW44" s="58">
        <v>3.0</v>
      </c>
      <c r="AX44" s="58" t="s">
        <v>1482</v>
      </c>
      <c r="AY44" s="58" t="s">
        <v>1482</v>
      </c>
      <c r="AZ44" s="58" t="s">
        <v>1482</v>
      </c>
      <c r="BA44" s="58" t="s">
        <v>1482</v>
      </c>
      <c r="BB44" s="58">
        <v>213.0</v>
      </c>
      <c r="BC44" s="58">
        <v>223.0</v>
      </c>
      <c r="BD44" s="58" t="s">
        <v>1482</v>
      </c>
      <c r="BE44" s="58" t="s">
        <v>1527</v>
      </c>
      <c r="BF44" s="65" t="str">
        <f>HYPERLINK("http://dx.doi.org/10.1111/j.1365-2028.1997.088-89088.x","http://dx.doi.org/10.1111/j.1365-2028.1997.088-89088.x")</f>
        <v>http://dx.doi.org/10.1111/j.1365-2028.1997.088-89088.x</v>
      </c>
      <c r="BG44" s="58" t="s">
        <v>1482</v>
      </c>
      <c r="BH44" s="58" t="s">
        <v>1482</v>
      </c>
      <c r="BI44" s="58">
        <v>11.0</v>
      </c>
      <c r="BJ44" s="58" t="s">
        <v>2154</v>
      </c>
      <c r="BK44" s="58" t="s">
        <v>1920</v>
      </c>
      <c r="BL44" s="58" t="s">
        <v>2156</v>
      </c>
      <c r="BM44" s="58" t="s">
        <v>2821</v>
      </c>
      <c r="BN44" s="58" t="s">
        <v>1482</v>
      </c>
      <c r="BO44" s="58" t="s">
        <v>1482</v>
      </c>
      <c r="BP44" s="58" t="s">
        <v>1482</v>
      </c>
      <c r="BQ44" s="58" t="s">
        <v>1482</v>
      </c>
      <c r="BR44" s="58" t="s">
        <v>1922</v>
      </c>
      <c r="BS44" s="58" t="s">
        <v>2822</v>
      </c>
      <c r="BT44" s="58" t="s">
        <v>261</v>
      </c>
      <c r="BU44" s="58" t="s">
        <v>40</v>
      </c>
      <c r="BV44" s="58" t="s">
        <v>41</v>
      </c>
      <c r="BW44" s="58" t="s">
        <v>57</v>
      </c>
      <c r="BX44" s="58" t="s">
        <v>67</v>
      </c>
      <c r="BY44" s="58" t="s">
        <v>59</v>
      </c>
      <c r="BZ44" s="58" t="s">
        <v>60</v>
      </c>
      <c r="CA44" s="64" t="s">
        <v>1960</v>
      </c>
      <c r="CB44" s="64" t="s">
        <v>2823</v>
      </c>
      <c r="CC44" s="58" t="s">
        <v>601</v>
      </c>
      <c r="CD44" s="64" t="s">
        <v>820</v>
      </c>
      <c r="CE44" s="64" t="s">
        <v>1926</v>
      </c>
      <c r="CF44" s="3" t="s">
        <v>1927</v>
      </c>
      <c r="CG44" s="3" t="s">
        <v>1928</v>
      </c>
      <c r="CH44" s="3" t="s">
        <v>1929</v>
      </c>
      <c r="CI44" s="3" t="s">
        <v>2202</v>
      </c>
      <c r="CJ44" s="58" t="str">
        <f>VLOOKUP($BE44,'Enriched - 2'!$B$2:$F$102, 2, false)</f>
        <v>Mammals</v>
      </c>
      <c r="CK44" s="3" t="s">
        <v>2809</v>
      </c>
      <c r="CL44" s="3" t="s">
        <v>2810</v>
      </c>
      <c r="CM44" s="3" t="s">
        <v>2687</v>
      </c>
      <c r="CN44" s="58" t="str">
        <f>HYPERLINK("https%3A%2F%2Fwww.webofscience.com%2Fwos%2Fwoscc%2Ffull-record%2FWOS:000072183400004","View Full Record in Web of Science")</f>
        <v>View Full Record in Web of Science</v>
      </c>
    </row>
    <row r="45" ht="12.75" customHeight="1">
      <c r="A45" s="58" t="s">
        <v>1896</v>
      </c>
      <c r="B45" s="58" t="s">
        <v>2824</v>
      </c>
      <c r="C45" s="58" t="s">
        <v>1482</v>
      </c>
      <c r="D45" s="58" t="s">
        <v>1482</v>
      </c>
      <c r="E45" s="58" t="s">
        <v>1482</v>
      </c>
      <c r="F45" s="58" t="s">
        <v>2824</v>
      </c>
      <c r="G45" s="58" t="s">
        <v>1482</v>
      </c>
      <c r="H45" s="58" t="s">
        <v>1482</v>
      </c>
      <c r="I45" s="58" t="s">
        <v>2825</v>
      </c>
      <c r="J45" s="58" t="s">
        <v>2691</v>
      </c>
      <c r="K45" s="58" t="s">
        <v>1482</v>
      </c>
      <c r="L45" s="58" t="s">
        <v>1482</v>
      </c>
      <c r="M45" s="58" t="s">
        <v>1901</v>
      </c>
      <c r="N45" s="58" t="s">
        <v>1902</v>
      </c>
      <c r="O45" s="58" t="s">
        <v>1482</v>
      </c>
      <c r="P45" s="58" t="s">
        <v>1482</v>
      </c>
      <c r="Q45" s="58" t="s">
        <v>1482</v>
      </c>
      <c r="R45" s="58" t="s">
        <v>1482</v>
      </c>
      <c r="S45" s="58" t="s">
        <v>1482</v>
      </c>
      <c r="T45" s="58" t="s">
        <v>2826</v>
      </c>
      <c r="U45" s="58" t="s">
        <v>1482</v>
      </c>
      <c r="V45" s="58" t="s">
        <v>2827</v>
      </c>
      <c r="W45" s="58" t="s">
        <v>2828</v>
      </c>
      <c r="X45" s="58" t="s">
        <v>1482</v>
      </c>
      <c r="Y45" s="58" t="s">
        <v>2829</v>
      </c>
      <c r="Z45" s="58" t="s">
        <v>1482</v>
      </c>
      <c r="AA45" s="58" t="s">
        <v>1482</v>
      </c>
      <c r="AB45" s="58" t="s">
        <v>1482</v>
      </c>
      <c r="AC45" s="58" t="s">
        <v>1482</v>
      </c>
      <c r="AD45" s="58" t="s">
        <v>1482</v>
      </c>
      <c r="AE45" s="58" t="s">
        <v>1482</v>
      </c>
      <c r="AF45" s="58" t="s">
        <v>1482</v>
      </c>
      <c r="AG45" s="58">
        <v>14.0</v>
      </c>
      <c r="AH45" s="58">
        <v>31.0</v>
      </c>
      <c r="AI45" s="58">
        <v>34.0</v>
      </c>
      <c r="AJ45" s="58">
        <v>0.0</v>
      </c>
      <c r="AK45" s="58">
        <v>25.0</v>
      </c>
      <c r="AL45" s="58" t="s">
        <v>1998</v>
      </c>
      <c r="AM45" s="58" t="s">
        <v>1999</v>
      </c>
      <c r="AN45" s="58" t="s">
        <v>2000</v>
      </c>
      <c r="AO45" s="58" t="s">
        <v>2702</v>
      </c>
      <c r="AP45" s="58" t="s">
        <v>2703</v>
      </c>
      <c r="AQ45" s="58" t="s">
        <v>1482</v>
      </c>
      <c r="AR45" s="58" t="s">
        <v>2704</v>
      </c>
      <c r="AS45" s="58" t="s">
        <v>2705</v>
      </c>
      <c r="AT45" s="58" t="s">
        <v>2568</v>
      </c>
      <c r="AU45" s="58">
        <v>1991.0</v>
      </c>
      <c r="AV45" s="58">
        <v>29.0</v>
      </c>
      <c r="AW45" s="58">
        <v>3.0</v>
      </c>
      <c r="AX45" s="58" t="s">
        <v>1482</v>
      </c>
      <c r="AY45" s="58" t="s">
        <v>1482</v>
      </c>
      <c r="AZ45" s="58" t="s">
        <v>1482</v>
      </c>
      <c r="BA45" s="58" t="s">
        <v>1482</v>
      </c>
      <c r="BB45" s="58">
        <v>177.0</v>
      </c>
      <c r="BC45" s="58">
        <v>187.0</v>
      </c>
      <c r="BD45" s="58" t="s">
        <v>1482</v>
      </c>
      <c r="BE45" s="58" t="s">
        <v>1525</v>
      </c>
      <c r="BF45" s="65" t="str">
        <f>HYPERLINK("http://dx.doi.org/10.1111/j.1365-2028.1991.tb01000.x","http://dx.doi.org/10.1111/j.1365-2028.1991.tb01000.x")</f>
        <v>http://dx.doi.org/10.1111/j.1365-2028.1991.tb01000.x</v>
      </c>
      <c r="BG45" s="58" t="s">
        <v>1482</v>
      </c>
      <c r="BH45" s="58" t="s">
        <v>1482</v>
      </c>
      <c r="BI45" s="58">
        <v>11.0</v>
      </c>
      <c r="BJ45" s="58" t="s">
        <v>2154</v>
      </c>
      <c r="BK45" s="58" t="s">
        <v>1920</v>
      </c>
      <c r="BL45" s="58" t="s">
        <v>2156</v>
      </c>
      <c r="BM45" s="58" t="s">
        <v>2830</v>
      </c>
      <c r="BN45" s="58" t="s">
        <v>1482</v>
      </c>
      <c r="BO45" s="58" t="s">
        <v>1482</v>
      </c>
      <c r="BP45" s="58" t="s">
        <v>1482</v>
      </c>
      <c r="BQ45" s="58" t="s">
        <v>1482</v>
      </c>
      <c r="BR45" s="58" t="s">
        <v>1922</v>
      </c>
      <c r="BS45" s="58" t="s">
        <v>2831</v>
      </c>
      <c r="BT45" s="58" t="s">
        <v>91</v>
      </c>
      <c r="BU45" s="58" t="s">
        <v>40</v>
      </c>
      <c r="BV45" s="58" t="s">
        <v>41</v>
      </c>
      <c r="BW45" s="58" t="s">
        <v>239</v>
      </c>
      <c r="BX45" s="58" t="s">
        <v>52</v>
      </c>
      <c r="BY45" s="58" t="s">
        <v>59</v>
      </c>
      <c r="BZ45" s="58" t="s">
        <v>60</v>
      </c>
      <c r="CA45" s="64" t="s">
        <v>1960</v>
      </c>
      <c r="CB45" s="64" t="s">
        <v>2641</v>
      </c>
      <c r="CC45" s="58" t="s">
        <v>641</v>
      </c>
      <c r="CD45" s="64" t="s">
        <v>820</v>
      </c>
      <c r="CE45" s="64" t="s">
        <v>1926</v>
      </c>
      <c r="CF45" s="3" t="s">
        <v>1927</v>
      </c>
      <c r="CG45" s="3" t="s">
        <v>1928</v>
      </c>
      <c r="CH45" s="3" t="s">
        <v>1929</v>
      </c>
      <c r="CI45" s="3" t="s">
        <v>2202</v>
      </c>
      <c r="CJ45" s="58" t="str">
        <f>VLOOKUP($BE45,'Enriched - 2'!$B$2:$F$102, 2, false)</f>
        <v>Mammals</v>
      </c>
      <c r="CK45" s="3" t="s">
        <v>2809</v>
      </c>
      <c r="CL45" s="3" t="s">
        <v>2810</v>
      </c>
      <c r="CM45" s="3" t="s">
        <v>2687</v>
      </c>
      <c r="CN45" s="58" t="str">
        <f>HYPERLINK("https%3A%2F%2Fwww.webofscience.com%2Fwos%2Fwoscc%2Ffull-record%2FWOS:A1991HC73800001","View Full Record in Web of Science")</f>
        <v>View Full Record in Web of Science</v>
      </c>
    </row>
    <row r="46" ht="12.75" customHeight="1">
      <c r="A46" s="58" t="s">
        <v>1896</v>
      </c>
      <c r="B46" s="58" t="s">
        <v>2832</v>
      </c>
      <c r="C46" s="58" t="s">
        <v>1482</v>
      </c>
      <c r="D46" s="58" t="s">
        <v>1482</v>
      </c>
      <c r="E46" s="58" t="s">
        <v>1482</v>
      </c>
      <c r="F46" s="58" t="s">
        <v>2832</v>
      </c>
      <c r="G46" s="58" t="s">
        <v>1482</v>
      </c>
      <c r="H46" s="58" t="s">
        <v>1482</v>
      </c>
      <c r="I46" s="58" t="s">
        <v>2833</v>
      </c>
      <c r="J46" s="58" t="s">
        <v>2138</v>
      </c>
      <c r="K46" s="58" t="s">
        <v>1482</v>
      </c>
      <c r="L46" s="58" t="s">
        <v>1482</v>
      </c>
      <c r="M46" s="58" t="s">
        <v>1901</v>
      </c>
      <c r="N46" s="58" t="s">
        <v>1902</v>
      </c>
      <c r="O46" s="58" t="s">
        <v>1482</v>
      </c>
      <c r="P46" s="58" t="s">
        <v>1482</v>
      </c>
      <c r="Q46" s="58" t="s">
        <v>1482</v>
      </c>
      <c r="R46" s="58" t="s">
        <v>1482</v>
      </c>
      <c r="S46" s="58" t="s">
        <v>1482</v>
      </c>
      <c r="T46" s="58" t="s">
        <v>1482</v>
      </c>
      <c r="U46" s="58" t="s">
        <v>1482</v>
      </c>
      <c r="V46" s="58" t="s">
        <v>2834</v>
      </c>
      <c r="W46" s="58" t="s">
        <v>1482</v>
      </c>
      <c r="X46" s="58" t="s">
        <v>1482</v>
      </c>
      <c r="Y46" s="58" t="s">
        <v>2835</v>
      </c>
      <c r="Z46" s="58" t="s">
        <v>1482</v>
      </c>
      <c r="AA46" s="58" t="s">
        <v>1482</v>
      </c>
      <c r="AB46" s="58" t="s">
        <v>1482</v>
      </c>
      <c r="AC46" s="58" t="s">
        <v>1482</v>
      </c>
      <c r="AD46" s="58" t="s">
        <v>1482</v>
      </c>
      <c r="AE46" s="58" t="s">
        <v>1482</v>
      </c>
      <c r="AF46" s="58" t="s">
        <v>1482</v>
      </c>
      <c r="AG46" s="58">
        <v>0.0</v>
      </c>
      <c r="AH46" s="58">
        <v>194.0</v>
      </c>
      <c r="AI46" s="58">
        <v>231.0</v>
      </c>
      <c r="AJ46" s="58">
        <v>0.0</v>
      </c>
      <c r="AK46" s="58">
        <v>21.0</v>
      </c>
      <c r="AL46" s="58" t="s">
        <v>1998</v>
      </c>
      <c r="AM46" s="58" t="s">
        <v>1999</v>
      </c>
      <c r="AN46" s="58" t="s">
        <v>2000</v>
      </c>
      <c r="AO46" s="58" t="s">
        <v>2151</v>
      </c>
      <c r="AP46" s="58" t="s">
        <v>2152</v>
      </c>
      <c r="AQ46" s="58" t="s">
        <v>1482</v>
      </c>
      <c r="AR46" s="58" t="s">
        <v>2138</v>
      </c>
      <c r="AS46" s="58" t="s">
        <v>2153</v>
      </c>
      <c r="AT46" s="58" t="s">
        <v>1482</v>
      </c>
      <c r="AU46" s="58">
        <v>1984.0</v>
      </c>
      <c r="AV46" s="58">
        <v>16.0</v>
      </c>
      <c r="AW46" s="58">
        <v>3.0</v>
      </c>
      <c r="AX46" s="58" t="s">
        <v>1482</v>
      </c>
      <c r="AY46" s="58" t="s">
        <v>1482</v>
      </c>
      <c r="AZ46" s="58" t="s">
        <v>1482</v>
      </c>
      <c r="BA46" s="58" t="s">
        <v>1482</v>
      </c>
      <c r="BB46" s="58">
        <v>210.0</v>
      </c>
      <c r="BC46" s="58">
        <v>222.0</v>
      </c>
      <c r="BD46" s="58" t="s">
        <v>1482</v>
      </c>
      <c r="BE46" s="58" t="s">
        <v>1522</v>
      </c>
      <c r="BF46" s="65" t="str">
        <f>HYPERLINK("http://dx.doi.org/10.2307/2388054","http://dx.doi.org/10.2307/2388054")</f>
        <v>http://dx.doi.org/10.2307/2388054</v>
      </c>
      <c r="BG46" s="58" t="s">
        <v>1482</v>
      </c>
      <c r="BH46" s="58" t="s">
        <v>1482</v>
      </c>
      <c r="BI46" s="58">
        <v>13.0</v>
      </c>
      <c r="BJ46" s="58" t="s">
        <v>2154</v>
      </c>
      <c r="BK46" s="58" t="s">
        <v>1920</v>
      </c>
      <c r="BL46" s="58" t="s">
        <v>2156</v>
      </c>
      <c r="BM46" s="58" t="s">
        <v>2836</v>
      </c>
      <c r="BN46" s="58" t="s">
        <v>1482</v>
      </c>
      <c r="BO46" s="58" t="s">
        <v>1482</v>
      </c>
      <c r="BP46" s="58" t="s">
        <v>1482</v>
      </c>
      <c r="BQ46" s="58" t="s">
        <v>1482</v>
      </c>
      <c r="BR46" s="58" t="s">
        <v>1922</v>
      </c>
      <c r="BS46" s="58" t="s">
        <v>2837</v>
      </c>
      <c r="BT46" s="58" t="s">
        <v>218</v>
      </c>
      <c r="BU46" s="58" t="s">
        <v>102</v>
      </c>
      <c r="BV46" s="58" t="s">
        <v>41</v>
      </c>
      <c r="BW46" s="58" t="s">
        <v>219</v>
      </c>
      <c r="BX46" s="58" t="s">
        <v>67</v>
      </c>
      <c r="BY46" s="58" t="s">
        <v>44</v>
      </c>
      <c r="BZ46" s="58" t="s">
        <v>45</v>
      </c>
      <c r="CA46" s="64" t="s">
        <v>1977</v>
      </c>
      <c r="CB46" s="64" t="s">
        <v>2180</v>
      </c>
      <c r="CC46" s="58" t="s">
        <v>641</v>
      </c>
      <c r="CD46" s="64" t="s">
        <v>820</v>
      </c>
      <c r="CE46" s="64" t="s">
        <v>1926</v>
      </c>
      <c r="CF46" s="3" t="s">
        <v>1927</v>
      </c>
      <c r="CG46" s="3" t="s">
        <v>1928</v>
      </c>
      <c r="CH46" s="3" t="s">
        <v>1929</v>
      </c>
      <c r="CI46" s="3" t="s">
        <v>2202</v>
      </c>
      <c r="CJ46" s="58" t="str">
        <f>VLOOKUP($BE46,'Enriched - 2'!$B$2:$F$102, 2, false)</f>
        <v>Mammals</v>
      </c>
      <c r="CK46" s="3" t="s">
        <v>2838</v>
      </c>
      <c r="CL46" s="3" t="s">
        <v>2839</v>
      </c>
      <c r="CM46" s="3" t="s">
        <v>2840</v>
      </c>
      <c r="CN46" s="58" t="str">
        <f>HYPERLINK("https%3A%2F%2Fwww.webofscience.com%2Fwos%2Fwoscc%2Ffull-record%2FWOS:A1984TR49200005","View Full Record in Web of Science")</f>
        <v>View Full Record in Web of Science</v>
      </c>
    </row>
    <row r="47" ht="12.75" customHeight="1">
      <c r="A47" s="58" t="s">
        <v>1896</v>
      </c>
      <c r="B47" s="58" t="s">
        <v>2841</v>
      </c>
      <c r="C47" s="58" t="s">
        <v>1482</v>
      </c>
      <c r="D47" s="58" t="s">
        <v>1482</v>
      </c>
      <c r="E47" s="58" t="s">
        <v>1482</v>
      </c>
      <c r="F47" s="58" t="s">
        <v>2842</v>
      </c>
      <c r="G47" s="58" t="s">
        <v>1482</v>
      </c>
      <c r="H47" s="58" t="s">
        <v>1482</v>
      </c>
      <c r="I47" s="58" t="s">
        <v>2843</v>
      </c>
      <c r="J47" s="58" t="s">
        <v>2691</v>
      </c>
      <c r="K47" s="58" t="s">
        <v>1482</v>
      </c>
      <c r="L47" s="58" t="s">
        <v>1482</v>
      </c>
      <c r="M47" s="58" t="s">
        <v>1901</v>
      </c>
      <c r="N47" s="58" t="s">
        <v>1902</v>
      </c>
      <c r="O47" s="58" t="s">
        <v>1482</v>
      </c>
      <c r="P47" s="58" t="s">
        <v>1482</v>
      </c>
      <c r="Q47" s="58" t="s">
        <v>1482</v>
      </c>
      <c r="R47" s="58" t="s">
        <v>1482</v>
      </c>
      <c r="S47" s="58" t="s">
        <v>1482</v>
      </c>
      <c r="T47" s="58" t="s">
        <v>2844</v>
      </c>
      <c r="U47" s="58" t="s">
        <v>2845</v>
      </c>
      <c r="V47" s="58" t="s">
        <v>2846</v>
      </c>
      <c r="W47" s="58" t="s">
        <v>2847</v>
      </c>
      <c r="X47" s="58" t="s">
        <v>2323</v>
      </c>
      <c r="Y47" s="58" t="s">
        <v>2848</v>
      </c>
      <c r="Z47" s="58" t="s">
        <v>2849</v>
      </c>
      <c r="AA47" s="58" t="s">
        <v>2850</v>
      </c>
      <c r="AB47" s="58" t="s">
        <v>2851</v>
      </c>
      <c r="AC47" s="58" t="s">
        <v>2852</v>
      </c>
      <c r="AD47" s="58" t="s">
        <v>2853</v>
      </c>
      <c r="AE47" s="58" t="s">
        <v>2854</v>
      </c>
      <c r="AF47" s="58" t="s">
        <v>1482</v>
      </c>
      <c r="AG47" s="58">
        <v>52.0</v>
      </c>
      <c r="AH47" s="58">
        <v>93.0</v>
      </c>
      <c r="AI47" s="58">
        <v>127.0</v>
      </c>
      <c r="AJ47" s="58">
        <v>1.0</v>
      </c>
      <c r="AK47" s="58">
        <v>59.0</v>
      </c>
      <c r="AL47" s="58" t="s">
        <v>1998</v>
      </c>
      <c r="AM47" s="58" t="s">
        <v>1999</v>
      </c>
      <c r="AN47" s="58" t="s">
        <v>2000</v>
      </c>
      <c r="AO47" s="58" t="s">
        <v>2702</v>
      </c>
      <c r="AP47" s="58" t="s">
        <v>2703</v>
      </c>
      <c r="AQ47" s="58" t="s">
        <v>1482</v>
      </c>
      <c r="AR47" s="58" t="s">
        <v>2704</v>
      </c>
      <c r="AS47" s="58" t="s">
        <v>2705</v>
      </c>
      <c r="AT47" s="58" t="s">
        <v>2400</v>
      </c>
      <c r="AU47" s="58">
        <v>2008.0</v>
      </c>
      <c r="AV47" s="58">
        <v>46.0</v>
      </c>
      <c r="AW47" s="58">
        <v>4.0</v>
      </c>
      <c r="AX47" s="58" t="s">
        <v>1482</v>
      </c>
      <c r="AY47" s="58" t="s">
        <v>1482</v>
      </c>
      <c r="AZ47" s="58" t="s">
        <v>1482</v>
      </c>
      <c r="BA47" s="58" t="s">
        <v>1482</v>
      </c>
      <c r="BB47" s="58">
        <v>479.0</v>
      </c>
      <c r="BC47" s="58">
        <v>487.0</v>
      </c>
      <c r="BD47" s="58" t="s">
        <v>1482</v>
      </c>
      <c r="BE47" s="58" t="s">
        <v>1505</v>
      </c>
      <c r="BF47" s="65" t="str">
        <f>HYPERLINK("http://dx.doi.org/10.1111/j.1365-2028.2007.00881.x","http://dx.doi.org/10.1111/j.1365-2028.2007.00881.x")</f>
        <v>http://dx.doi.org/10.1111/j.1365-2028.2007.00881.x</v>
      </c>
      <c r="BG47" s="58" t="s">
        <v>1482</v>
      </c>
      <c r="BH47" s="58" t="s">
        <v>1482</v>
      </c>
      <c r="BI47" s="58">
        <v>9.0</v>
      </c>
      <c r="BJ47" s="58" t="s">
        <v>2154</v>
      </c>
      <c r="BK47" s="58" t="s">
        <v>1920</v>
      </c>
      <c r="BL47" s="58" t="s">
        <v>2156</v>
      </c>
      <c r="BM47" s="58" t="s">
        <v>2855</v>
      </c>
      <c r="BN47" s="58" t="s">
        <v>1482</v>
      </c>
      <c r="BO47" s="58" t="s">
        <v>1482</v>
      </c>
      <c r="BP47" s="58" t="s">
        <v>1482</v>
      </c>
      <c r="BQ47" s="58" t="s">
        <v>1482</v>
      </c>
      <c r="BR47" s="58" t="s">
        <v>1922</v>
      </c>
      <c r="BS47" s="58" t="s">
        <v>2856</v>
      </c>
      <c r="BT47" s="58" t="s">
        <v>64</v>
      </c>
      <c r="BU47" s="58" t="s">
        <v>65</v>
      </c>
      <c r="BV47" s="58" t="s">
        <v>41</v>
      </c>
      <c r="BW47" s="58" t="s">
        <v>66</v>
      </c>
      <c r="BX47" s="58" t="s">
        <v>67</v>
      </c>
      <c r="BY47" s="58" t="s">
        <v>68</v>
      </c>
      <c r="BZ47" s="58" t="s">
        <v>60</v>
      </c>
      <c r="CA47" s="64" t="s">
        <v>1960</v>
      </c>
      <c r="CB47" s="64" t="s">
        <v>1961</v>
      </c>
      <c r="CC47" s="58" t="s">
        <v>601</v>
      </c>
      <c r="CD47" s="64" t="s">
        <v>729</v>
      </c>
      <c r="CE47" s="64" t="s">
        <v>1926</v>
      </c>
      <c r="CF47" s="3" t="s">
        <v>1927</v>
      </c>
      <c r="CG47" s="3" t="s">
        <v>1928</v>
      </c>
      <c r="CH47" s="3" t="s">
        <v>1929</v>
      </c>
      <c r="CI47" s="3" t="s">
        <v>2202</v>
      </c>
      <c r="CJ47" s="58" t="str">
        <f>VLOOKUP($BE47,'Enriched - 2'!$B$2:$F$102, 2, false)</f>
        <v>Mammals</v>
      </c>
      <c r="CK47" s="3" t="s">
        <v>2857</v>
      </c>
      <c r="CL47" s="3" t="s">
        <v>2858</v>
      </c>
      <c r="CM47" s="3" t="s">
        <v>2205</v>
      </c>
      <c r="CN47" s="58" t="str">
        <f>HYPERLINK("https%3A%2F%2Fwww.webofscience.com%2Fwos%2Fwoscc%2Ffull-record%2FWOS:000261243500004","View Full Record in Web of Science")</f>
        <v>View Full Record in Web of Science</v>
      </c>
    </row>
    <row r="48" ht="12.75" customHeight="1">
      <c r="A48" s="58" t="s">
        <v>1896</v>
      </c>
      <c r="B48" s="58" t="s">
        <v>2859</v>
      </c>
      <c r="C48" s="58" t="s">
        <v>1482</v>
      </c>
      <c r="D48" s="58" t="s">
        <v>1482</v>
      </c>
      <c r="E48" s="58" t="s">
        <v>1482</v>
      </c>
      <c r="F48" s="58" t="s">
        <v>2859</v>
      </c>
      <c r="G48" s="58" t="s">
        <v>1482</v>
      </c>
      <c r="H48" s="58" t="s">
        <v>1482</v>
      </c>
      <c r="I48" s="58" t="s">
        <v>2860</v>
      </c>
      <c r="J48" s="58" t="s">
        <v>2691</v>
      </c>
      <c r="K48" s="58" t="s">
        <v>1482</v>
      </c>
      <c r="L48" s="58" t="s">
        <v>1482</v>
      </c>
      <c r="M48" s="58" t="s">
        <v>1901</v>
      </c>
      <c r="N48" s="58" t="s">
        <v>1902</v>
      </c>
      <c r="O48" s="58" t="s">
        <v>1482</v>
      </c>
      <c r="P48" s="58" t="s">
        <v>1482</v>
      </c>
      <c r="Q48" s="58" t="s">
        <v>1482</v>
      </c>
      <c r="R48" s="58" t="s">
        <v>1482</v>
      </c>
      <c r="S48" s="58" t="s">
        <v>1482</v>
      </c>
      <c r="T48" s="58" t="s">
        <v>2861</v>
      </c>
      <c r="U48" s="58" t="s">
        <v>2862</v>
      </c>
      <c r="V48" s="58" t="s">
        <v>2863</v>
      </c>
      <c r="W48" s="58" t="s">
        <v>2864</v>
      </c>
      <c r="X48" s="58" t="s">
        <v>2865</v>
      </c>
      <c r="Y48" s="58" t="s">
        <v>2866</v>
      </c>
      <c r="Z48" s="58" t="s">
        <v>2867</v>
      </c>
      <c r="AA48" s="58" t="s">
        <v>1482</v>
      </c>
      <c r="AB48" s="58" t="s">
        <v>2868</v>
      </c>
      <c r="AC48" s="58" t="s">
        <v>1482</v>
      </c>
      <c r="AD48" s="58" t="s">
        <v>1482</v>
      </c>
      <c r="AE48" s="58" t="s">
        <v>1482</v>
      </c>
      <c r="AF48" s="58" t="s">
        <v>1482</v>
      </c>
      <c r="AG48" s="58">
        <v>42.0</v>
      </c>
      <c r="AH48" s="58">
        <v>54.0</v>
      </c>
      <c r="AI48" s="58">
        <v>70.0</v>
      </c>
      <c r="AJ48" s="58">
        <v>1.0</v>
      </c>
      <c r="AK48" s="58">
        <v>43.0</v>
      </c>
      <c r="AL48" s="58" t="s">
        <v>2869</v>
      </c>
      <c r="AM48" s="58" t="s">
        <v>2279</v>
      </c>
      <c r="AN48" s="58" t="s">
        <v>2870</v>
      </c>
      <c r="AO48" s="58" t="s">
        <v>2702</v>
      </c>
      <c r="AP48" s="58" t="s">
        <v>1482</v>
      </c>
      <c r="AQ48" s="58" t="s">
        <v>1482</v>
      </c>
      <c r="AR48" s="58" t="s">
        <v>2704</v>
      </c>
      <c r="AS48" s="58" t="s">
        <v>2705</v>
      </c>
      <c r="AT48" s="58" t="s">
        <v>2177</v>
      </c>
      <c r="AU48" s="58">
        <v>2004.0</v>
      </c>
      <c r="AV48" s="58">
        <v>42.0</v>
      </c>
      <c r="AW48" s="58">
        <v>1.0</v>
      </c>
      <c r="AX48" s="58" t="s">
        <v>1482</v>
      </c>
      <c r="AY48" s="58" t="s">
        <v>1482</v>
      </c>
      <c r="AZ48" s="58" t="s">
        <v>1482</v>
      </c>
      <c r="BA48" s="58" t="s">
        <v>1482</v>
      </c>
      <c r="BB48" s="58">
        <v>23.0</v>
      </c>
      <c r="BC48" s="58">
        <v>31.0</v>
      </c>
      <c r="BD48" s="58" t="s">
        <v>1482</v>
      </c>
      <c r="BE48" s="58" t="s">
        <v>1515</v>
      </c>
      <c r="BF48" s="65" t="str">
        <f>HYPERLINK("http://dx.doi.org/10.1111/j.0141-6707.2004.00441.x","http://dx.doi.org/10.1111/j.0141-6707.2004.00441.x")</f>
        <v>http://dx.doi.org/10.1111/j.0141-6707.2004.00441.x</v>
      </c>
      <c r="BG48" s="58" t="s">
        <v>1482</v>
      </c>
      <c r="BH48" s="58" t="s">
        <v>1482</v>
      </c>
      <c r="BI48" s="58">
        <v>9.0</v>
      </c>
      <c r="BJ48" s="58" t="s">
        <v>2154</v>
      </c>
      <c r="BK48" s="58" t="s">
        <v>1920</v>
      </c>
      <c r="BL48" s="58" t="s">
        <v>2156</v>
      </c>
      <c r="BM48" s="58" t="s">
        <v>2871</v>
      </c>
      <c r="BN48" s="58" t="s">
        <v>1482</v>
      </c>
      <c r="BO48" s="58" t="s">
        <v>1482</v>
      </c>
      <c r="BP48" s="58" t="s">
        <v>1482</v>
      </c>
      <c r="BQ48" s="58" t="s">
        <v>1482</v>
      </c>
      <c r="BR48" s="58" t="s">
        <v>1922</v>
      </c>
      <c r="BS48" s="58" t="s">
        <v>2872</v>
      </c>
      <c r="BT48" s="58" t="s">
        <v>142</v>
      </c>
      <c r="BU48" s="58" t="s">
        <v>40</v>
      </c>
      <c r="BV48" s="58" t="s">
        <v>41</v>
      </c>
      <c r="BW48" s="58" t="s">
        <v>143</v>
      </c>
      <c r="BX48" s="58" t="s">
        <v>144</v>
      </c>
      <c r="BY48" s="58" t="s">
        <v>59</v>
      </c>
      <c r="BZ48" s="58" t="s">
        <v>60</v>
      </c>
      <c r="CA48" s="64" t="s">
        <v>1960</v>
      </c>
      <c r="CB48" s="64" t="s">
        <v>2517</v>
      </c>
      <c r="CC48" s="58" t="s">
        <v>641</v>
      </c>
      <c r="CD48" s="64" t="s">
        <v>820</v>
      </c>
      <c r="CE48" s="64" t="s">
        <v>1926</v>
      </c>
      <c r="CF48" s="3" t="s">
        <v>1927</v>
      </c>
      <c r="CG48" s="3" t="s">
        <v>1928</v>
      </c>
      <c r="CH48" s="3" t="s">
        <v>1929</v>
      </c>
      <c r="CI48" s="3" t="s">
        <v>2202</v>
      </c>
      <c r="CJ48" s="58" t="str">
        <f>VLOOKUP($BE48,'Enriched - 2'!$B$2:$F$102, 2, false)</f>
        <v>Mammals</v>
      </c>
      <c r="CK48" s="3" t="s">
        <v>2873</v>
      </c>
      <c r="CL48" s="3" t="s">
        <v>2874</v>
      </c>
      <c r="CM48" s="3" t="s">
        <v>2644</v>
      </c>
      <c r="CN48" s="58" t="str">
        <f>HYPERLINK("https%3A%2F%2Fwww.webofscience.com%2Fwos%2Fwoscc%2Ffull-record%2FWOS:000220627900003","View Full Record in Web of Science")</f>
        <v>View Full Record in Web of Science</v>
      </c>
    </row>
    <row r="49" ht="12.75" customHeight="1">
      <c r="A49" s="58" t="s">
        <v>1896</v>
      </c>
      <c r="B49" s="58" t="s">
        <v>2875</v>
      </c>
      <c r="C49" s="58" t="s">
        <v>1482</v>
      </c>
      <c r="D49" s="58" t="s">
        <v>1482</v>
      </c>
      <c r="E49" s="58" t="s">
        <v>1482</v>
      </c>
      <c r="F49" s="58" t="s">
        <v>2875</v>
      </c>
      <c r="G49" s="58" t="s">
        <v>1482</v>
      </c>
      <c r="H49" s="58" t="s">
        <v>1482</v>
      </c>
      <c r="I49" s="58" t="s">
        <v>2876</v>
      </c>
      <c r="J49" s="58" t="s">
        <v>2877</v>
      </c>
      <c r="K49" s="58" t="s">
        <v>1482</v>
      </c>
      <c r="L49" s="58" t="s">
        <v>1482</v>
      </c>
      <c r="M49" s="58" t="s">
        <v>1901</v>
      </c>
      <c r="N49" s="58" t="s">
        <v>1902</v>
      </c>
      <c r="O49" s="58" t="s">
        <v>1482</v>
      </c>
      <c r="P49" s="58" t="s">
        <v>1482</v>
      </c>
      <c r="Q49" s="58" t="s">
        <v>1482</v>
      </c>
      <c r="R49" s="58" t="s">
        <v>1482</v>
      </c>
      <c r="S49" s="58" t="s">
        <v>1482</v>
      </c>
      <c r="T49" s="58" t="s">
        <v>2878</v>
      </c>
      <c r="U49" s="58" t="s">
        <v>2879</v>
      </c>
      <c r="V49" s="58" t="s">
        <v>2880</v>
      </c>
      <c r="W49" s="58" t="s">
        <v>2881</v>
      </c>
      <c r="X49" s="58" t="s">
        <v>2882</v>
      </c>
      <c r="Y49" s="58" t="s">
        <v>2883</v>
      </c>
      <c r="Z49" s="58" t="s">
        <v>2884</v>
      </c>
      <c r="AA49" s="58" t="s">
        <v>1482</v>
      </c>
      <c r="AB49" s="58" t="s">
        <v>1482</v>
      </c>
      <c r="AC49" s="58" t="s">
        <v>1482</v>
      </c>
      <c r="AD49" s="58" t="s">
        <v>1482</v>
      </c>
      <c r="AE49" s="58" t="s">
        <v>1482</v>
      </c>
      <c r="AF49" s="58" t="s">
        <v>1482</v>
      </c>
      <c r="AG49" s="58">
        <v>46.0</v>
      </c>
      <c r="AH49" s="58">
        <v>17.0</v>
      </c>
      <c r="AI49" s="58">
        <v>22.0</v>
      </c>
      <c r="AJ49" s="58">
        <v>0.0</v>
      </c>
      <c r="AK49" s="58">
        <v>6.0</v>
      </c>
      <c r="AL49" s="58" t="s">
        <v>2416</v>
      </c>
      <c r="AM49" s="58" t="s">
        <v>2225</v>
      </c>
      <c r="AN49" s="58" t="s">
        <v>2885</v>
      </c>
      <c r="AO49" s="58" t="s">
        <v>2886</v>
      </c>
      <c r="AP49" s="58" t="s">
        <v>1482</v>
      </c>
      <c r="AQ49" s="58" t="s">
        <v>1482</v>
      </c>
      <c r="AR49" s="58" t="s">
        <v>2887</v>
      </c>
      <c r="AS49" s="58" t="s">
        <v>2888</v>
      </c>
      <c r="AT49" s="58" t="s">
        <v>2568</v>
      </c>
      <c r="AU49" s="58">
        <v>1998.0</v>
      </c>
      <c r="AV49" s="58">
        <v>14.0</v>
      </c>
      <c r="AW49" s="58" t="s">
        <v>1482</v>
      </c>
      <c r="AX49" s="58">
        <v>5.0</v>
      </c>
      <c r="AY49" s="58" t="s">
        <v>1482</v>
      </c>
      <c r="AZ49" s="58" t="s">
        <v>1482</v>
      </c>
      <c r="BA49" s="58" t="s">
        <v>1482</v>
      </c>
      <c r="BB49" s="58">
        <v>629.0</v>
      </c>
      <c r="BC49" s="58">
        <v>643.0</v>
      </c>
      <c r="BD49" s="58" t="s">
        <v>1482</v>
      </c>
      <c r="BE49" s="58" t="s">
        <v>1539</v>
      </c>
      <c r="BF49" s="65" t="str">
        <f>HYPERLINK("http://dx.doi.org/10.1017/S0266467498000443","http://dx.doi.org/10.1017/S0266467498000443")</f>
        <v>http://dx.doi.org/10.1017/S0266467498000443</v>
      </c>
      <c r="BG49" s="58" t="s">
        <v>1482</v>
      </c>
      <c r="BH49" s="58" t="s">
        <v>1482</v>
      </c>
      <c r="BI49" s="58">
        <v>15.0</v>
      </c>
      <c r="BJ49" s="58" t="s">
        <v>2154</v>
      </c>
      <c r="BK49" s="58" t="s">
        <v>1920</v>
      </c>
      <c r="BL49" s="58" t="s">
        <v>2156</v>
      </c>
      <c r="BM49" s="58" t="s">
        <v>2889</v>
      </c>
      <c r="BN49" s="58" t="s">
        <v>1482</v>
      </c>
      <c r="BO49" s="58" t="s">
        <v>1482</v>
      </c>
      <c r="BP49" s="58" t="s">
        <v>1482</v>
      </c>
      <c r="BQ49" s="58" t="s">
        <v>1482</v>
      </c>
      <c r="BR49" s="58" t="s">
        <v>1922</v>
      </c>
      <c r="BS49" s="58" t="s">
        <v>2890</v>
      </c>
      <c r="BT49" s="58" t="s">
        <v>115</v>
      </c>
      <c r="BU49" s="58" t="s">
        <v>40</v>
      </c>
      <c r="BV49" s="58" t="s">
        <v>41</v>
      </c>
      <c r="BW49" s="58" t="s">
        <v>336</v>
      </c>
      <c r="BX49" s="58" t="s">
        <v>144</v>
      </c>
      <c r="BY49" s="58" t="s">
        <v>44</v>
      </c>
      <c r="BZ49" s="58" t="s">
        <v>45</v>
      </c>
      <c r="CA49" s="64" t="s">
        <v>1960</v>
      </c>
      <c r="CB49" s="64" t="s">
        <v>2101</v>
      </c>
      <c r="CC49" s="58" t="s">
        <v>641</v>
      </c>
      <c r="CD49" s="64" t="s">
        <v>820</v>
      </c>
      <c r="CE49" s="64" t="s">
        <v>1926</v>
      </c>
      <c r="CF49" s="3" t="s">
        <v>1927</v>
      </c>
      <c r="CG49" s="3" t="s">
        <v>1928</v>
      </c>
      <c r="CH49" s="3" t="s">
        <v>1929</v>
      </c>
      <c r="CI49" s="3" t="s">
        <v>2202</v>
      </c>
      <c r="CJ49" s="58" t="str">
        <f>VLOOKUP($BE49,'Enriched - 2'!$B$2:$F$102, 2, false)</f>
        <v>Mammals</v>
      </c>
      <c r="CK49" s="3" t="s">
        <v>2891</v>
      </c>
      <c r="CL49" s="3" t="s">
        <v>2892</v>
      </c>
      <c r="CM49" s="3" t="s">
        <v>2236</v>
      </c>
      <c r="CN49" s="58" t="str">
        <f>HYPERLINK("https%3A%2F%2Fwww.webofscience.com%2Fwos%2Fwoscc%2Ffull-record%2FWOS:000077020100005","View Full Record in Web of Science")</f>
        <v>View Full Record in Web of Science</v>
      </c>
    </row>
    <row r="50" ht="12.75" customHeight="1">
      <c r="A50" s="58" t="s">
        <v>1896</v>
      </c>
      <c r="B50" s="58" t="s">
        <v>2893</v>
      </c>
      <c r="C50" s="58" t="s">
        <v>1482</v>
      </c>
      <c r="D50" s="58" t="s">
        <v>1482</v>
      </c>
      <c r="E50" s="58" t="s">
        <v>1482</v>
      </c>
      <c r="F50" s="58" t="s">
        <v>2894</v>
      </c>
      <c r="G50" s="58" t="s">
        <v>1482</v>
      </c>
      <c r="H50" s="58" t="s">
        <v>1482</v>
      </c>
      <c r="I50" s="58" t="s">
        <v>2895</v>
      </c>
      <c r="J50" s="58" t="s">
        <v>2016</v>
      </c>
      <c r="K50" s="58" t="s">
        <v>1482</v>
      </c>
      <c r="L50" s="58" t="s">
        <v>1482</v>
      </c>
      <c r="M50" s="58" t="s">
        <v>1901</v>
      </c>
      <c r="N50" s="58" t="s">
        <v>1902</v>
      </c>
      <c r="O50" s="58" t="s">
        <v>1482</v>
      </c>
      <c r="P50" s="58" t="s">
        <v>1482</v>
      </c>
      <c r="Q50" s="58" t="s">
        <v>1482</v>
      </c>
      <c r="R50" s="58" t="s">
        <v>1482</v>
      </c>
      <c r="S50" s="58" t="s">
        <v>1482</v>
      </c>
      <c r="T50" s="58" t="s">
        <v>2896</v>
      </c>
      <c r="U50" s="58" t="s">
        <v>2897</v>
      </c>
      <c r="V50" s="58" t="s">
        <v>2898</v>
      </c>
      <c r="W50" s="58" t="s">
        <v>2899</v>
      </c>
      <c r="X50" s="58" t="s">
        <v>2900</v>
      </c>
      <c r="Y50" s="58" t="s">
        <v>2901</v>
      </c>
      <c r="Z50" s="58" t="s">
        <v>2902</v>
      </c>
      <c r="AA50" s="58" t="s">
        <v>1482</v>
      </c>
      <c r="AB50" s="58" t="s">
        <v>1482</v>
      </c>
      <c r="AC50" s="58" t="s">
        <v>2903</v>
      </c>
      <c r="AD50" s="58" t="s">
        <v>2904</v>
      </c>
      <c r="AE50" s="58" t="s">
        <v>2905</v>
      </c>
      <c r="AF50" s="58" t="s">
        <v>1482</v>
      </c>
      <c r="AG50" s="58">
        <v>52.0</v>
      </c>
      <c r="AH50" s="58">
        <v>27.0</v>
      </c>
      <c r="AI50" s="58">
        <v>36.0</v>
      </c>
      <c r="AJ50" s="58">
        <v>0.0</v>
      </c>
      <c r="AK50" s="58">
        <v>76.0</v>
      </c>
      <c r="AL50" s="58" t="s">
        <v>1998</v>
      </c>
      <c r="AM50" s="58" t="s">
        <v>1999</v>
      </c>
      <c r="AN50" s="58" t="s">
        <v>2000</v>
      </c>
      <c r="AO50" s="58" t="s">
        <v>2029</v>
      </c>
      <c r="AP50" s="58" t="s">
        <v>2030</v>
      </c>
      <c r="AQ50" s="58" t="s">
        <v>1482</v>
      </c>
      <c r="AR50" s="58" t="s">
        <v>2031</v>
      </c>
      <c r="AS50" s="58" t="s">
        <v>2032</v>
      </c>
      <c r="AT50" s="58" t="s">
        <v>2198</v>
      </c>
      <c r="AU50" s="58">
        <v>2013.0</v>
      </c>
      <c r="AV50" s="58">
        <v>16.0</v>
      </c>
      <c r="AW50" s="58">
        <v>4.0</v>
      </c>
      <c r="AX50" s="58" t="s">
        <v>1482</v>
      </c>
      <c r="AY50" s="58" t="s">
        <v>1482</v>
      </c>
      <c r="AZ50" s="58" t="s">
        <v>1482</v>
      </c>
      <c r="BA50" s="58" t="s">
        <v>1482</v>
      </c>
      <c r="BB50" s="58">
        <v>430.0</v>
      </c>
      <c r="BC50" s="58">
        <v>437.0</v>
      </c>
      <c r="BD50" s="58" t="s">
        <v>1482</v>
      </c>
      <c r="BE50" s="58" t="s">
        <v>1514</v>
      </c>
      <c r="BF50" s="65" t="str">
        <f>HYPERLINK("http://dx.doi.org/10.1111/acv.12012","http://dx.doi.org/10.1111/acv.12012")</f>
        <v>http://dx.doi.org/10.1111/acv.12012</v>
      </c>
      <c r="BG50" s="58" t="s">
        <v>1482</v>
      </c>
      <c r="BH50" s="58" t="s">
        <v>1482</v>
      </c>
      <c r="BI50" s="58">
        <v>8.0</v>
      </c>
      <c r="BJ50" s="58" t="s">
        <v>2034</v>
      </c>
      <c r="BK50" s="58" t="s">
        <v>1920</v>
      </c>
      <c r="BL50" s="58" t="s">
        <v>1957</v>
      </c>
      <c r="BM50" s="58" t="s">
        <v>2906</v>
      </c>
      <c r="BN50" s="58" t="s">
        <v>1482</v>
      </c>
      <c r="BO50" s="58" t="s">
        <v>1482</v>
      </c>
      <c r="BP50" s="58" t="s">
        <v>1482</v>
      </c>
      <c r="BQ50" s="58" t="s">
        <v>1482</v>
      </c>
      <c r="BR50" s="58" t="s">
        <v>1922</v>
      </c>
      <c r="BS50" s="58" t="s">
        <v>2907</v>
      </c>
      <c r="BT50" s="58" t="s">
        <v>137</v>
      </c>
      <c r="BU50" s="58" t="s">
        <v>40</v>
      </c>
      <c r="BV50" s="58" t="s">
        <v>73</v>
      </c>
      <c r="BW50" s="58" t="s">
        <v>138</v>
      </c>
      <c r="BX50" s="58" t="s">
        <v>58</v>
      </c>
      <c r="BY50" s="58" t="s">
        <v>68</v>
      </c>
      <c r="BZ50" s="58" t="s">
        <v>45</v>
      </c>
      <c r="CA50" s="64" t="s">
        <v>1960</v>
      </c>
      <c r="CB50" s="64" t="s">
        <v>2823</v>
      </c>
      <c r="CC50" s="58" t="s">
        <v>601</v>
      </c>
      <c r="CD50" s="64" t="s">
        <v>820</v>
      </c>
      <c r="CE50" s="64" t="s">
        <v>1926</v>
      </c>
      <c r="CF50" s="3" t="s">
        <v>1927</v>
      </c>
      <c r="CG50" s="3" t="s">
        <v>1928</v>
      </c>
      <c r="CH50" s="3" t="s">
        <v>1929</v>
      </c>
      <c r="CI50" s="3" t="s">
        <v>2009</v>
      </c>
      <c r="CJ50" s="58" t="str">
        <f>VLOOKUP($BE50,'Enriched - 2'!$B$2:$F$102, 2, false)</f>
        <v>Mammals ; Birds</v>
      </c>
      <c r="CK50" s="3" t="s">
        <v>2908</v>
      </c>
      <c r="CL50" s="3" t="s">
        <v>2909</v>
      </c>
      <c r="CM50" s="3" t="s">
        <v>2910</v>
      </c>
      <c r="CN50" s="58" t="str">
        <f>HYPERLINK("https%3A%2F%2Fwww.webofscience.com%2Fwos%2Fwoscc%2Ffull-record%2FWOS:000323101700011","View Full Record in Web of Science")</f>
        <v>View Full Record in Web of Science</v>
      </c>
    </row>
    <row r="51" ht="12.75" customHeight="1">
      <c r="A51" s="58" t="s">
        <v>1896</v>
      </c>
      <c r="B51" s="58" t="s">
        <v>2911</v>
      </c>
      <c r="C51" s="58" t="s">
        <v>1482</v>
      </c>
      <c r="D51" s="58" t="s">
        <v>1482</v>
      </c>
      <c r="E51" s="58" t="s">
        <v>1482</v>
      </c>
      <c r="F51" s="58" t="s">
        <v>2912</v>
      </c>
      <c r="G51" s="58" t="s">
        <v>1482</v>
      </c>
      <c r="H51" s="58" t="s">
        <v>1482</v>
      </c>
      <c r="I51" s="58" t="s">
        <v>2913</v>
      </c>
      <c r="J51" s="58" t="s">
        <v>2409</v>
      </c>
      <c r="K51" s="58" t="s">
        <v>1482</v>
      </c>
      <c r="L51" s="58" t="s">
        <v>1482</v>
      </c>
      <c r="M51" s="58" t="s">
        <v>1901</v>
      </c>
      <c r="N51" s="58" t="s">
        <v>1902</v>
      </c>
      <c r="O51" s="58" t="s">
        <v>1482</v>
      </c>
      <c r="P51" s="58" t="s">
        <v>1482</v>
      </c>
      <c r="Q51" s="58" t="s">
        <v>1482</v>
      </c>
      <c r="R51" s="58" t="s">
        <v>1482</v>
      </c>
      <c r="S51" s="58" t="s">
        <v>1482</v>
      </c>
      <c r="T51" s="58" t="s">
        <v>2914</v>
      </c>
      <c r="U51" s="58" t="s">
        <v>2915</v>
      </c>
      <c r="V51" s="58" t="s">
        <v>2916</v>
      </c>
      <c r="W51" s="58" t="s">
        <v>2917</v>
      </c>
      <c r="X51" s="58" t="s">
        <v>2918</v>
      </c>
      <c r="Y51" s="58" t="s">
        <v>2919</v>
      </c>
      <c r="Z51" s="58" t="s">
        <v>2920</v>
      </c>
      <c r="AA51" s="58" t="s">
        <v>2921</v>
      </c>
      <c r="AB51" s="58" t="s">
        <v>2922</v>
      </c>
      <c r="AC51" s="58" t="s">
        <v>2923</v>
      </c>
      <c r="AD51" s="58" t="s">
        <v>2924</v>
      </c>
      <c r="AE51" s="58" t="s">
        <v>2925</v>
      </c>
      <c r="AF51" s="58" t="s">
        <v>1482</v>
      </c>
      <c r="AG51" s="58">
        <v>86.0</v>
      </c>
      <c r="AH51" s="58">
        <v>39.0</v>
      </c>
      <c r="AI51" s="58">
        <v>49.0</v>
      </c>
      <c r="AJ51" s="58">
        <v>1.0</v>
      </c>
      <c r="AK51" s="58">
        <v>72.0</v>
      </c>
      <c r="AL51" s="58" t="s">
        <v>2416</v>
      </c>
      <c r="AM51" s="58" t="s">
        <v>2225</v>
      </c>
      <c r="AN51" s="58" t="s">
        <v>2885</v>
      </c>
      <c r="AO51" s="58" t="s">
        <v>2419</v>
      </c>
      <c r="AP51" s="58" t="s">
        <v>2420</v>
      </c>
      <c r="AQ51" s="58" t="s">
        <v>1482</v>
      </c>
      <c r="AR51" s="58" t="s">
        <v>2409</v>
      </c>
      <c r="AS51" s="58" t="s">
        <v>2421</v>
      </c>
      <c r="AT51" s="58" t="s">
        <v>2926</v>
      </c>
      <c r="AU51" s="58">
        <v>2017.0</v>
      </c>
      <c r="AV51" s="58">
        <v>51.0</v>
      </c>
      <c r="AW51" s="58">
        <v>1.0</v>
      </c>
      <c r="AX51" s="58" t="s">
        <v>1482</v>
      </c>
      <c r="AY51" s="58" t="s">
        <v>1482</v>
      </c>
      <c r="AZ51" s="58" t="s">
        <v>1482</v>
      </c>
      <c r="BA51" s="58" t="s">
        <v>1482</v>
      </c>
      <c r="BB51" s="58">
        <v>87.0</v>
      </c>
      <c r="BC51" s="58">
        <v>97.0</v>
      </c>
      <c r="BD51" s="58" t="s">
        <v>1482</v>
      </c>
      <c r="BE51" s="58" t="s">
        <v>1531</v>
      </c>
      <c r="BF51" s="65" t="str">
        <f>HYPERLINK("http://dx.doi.org/10.1017/S0030605315000836","http://dx.doi.org/10.1017/S0030605315000836")</f>
        <v>http://dx.doi.org/10.1017/S0030605315000836</v>
      </c>
      <c r="BG51" s="58" t="s">
        <v>1482</v>
      </c>
      <c r="BH51" s="58" t="s">
        <v>1482</v>
      </c>
      <c r="BI51" s="58">
        <v>11.0</v>
      </c>
      <c r="BJ51" s="58" t="s">
        <v>2034</v>
      </c>
      <c r="BK51" s="58" t="s">
        <v>1920</v>
      </c>
      <c r="BL51" s="58" t="s">
        <v>1957</v>
      </c>
      <c r="BM51" s="58" t="s">
        <v>2927</v>
      </c>
      <c r="BN51" s="58" t="s">
        <v>1482</v>
      </c>
      <c r="BO51" s="58" t="s">
        <v>2099</v>
      </c>
      <c r="BP51" s="58" t="s">
        <v>1482</v>
      </c>
      <c r="BQ51" s="58" t="s">
        <v>1482</v>
      </c>
      <c r="BR51" s="58" t="s">
        <v>1922</v>
      </c>
      <c r="BS51" s="58" t="s">
        <v>2928</v>
      </c>
      <c r="BT51" s="58" t="s">
        <v>280</v>
      </c>
      <c r="BU51" s="58" t="s">
        <v>281</v>
      </c>
      <c r="BV51" s="58" t="s">
        <v>41</v>
      </c>
      <c r="BW51" s="58" t="s">
        <v>282</v>
      </c>
      <c r="BX51" s="58" t="s">
        <v>52</v>
      </c>
      <c r="BY51" s="58" t="s">
        <v>68</v>
      </c>
      <c r="BZ51" s="58" t="s">
        <v>60</v>
      </c>
      <c r="CA51" s="64" t="s">
        <v>1960</v>
      </c>
      <c r="CB51" s="64" t="s">
        <v>1961</v>
      </c>
      <c r="CC51" s="58" t="s">
        <v>601</v>
      </c>
      <c r="CD51" s="64" t="s">
        <v>729</v>
      </c>
      <c r="CE51" s="64" t="s">
        <v>1926</v>
      </c>
      <c r="CF51" s="3" t="s">
        <v>1927</v>
      </c>
      <c r="CN51" s="58" t="str">
        <f>HYPERLINK("https%3A%2F%2Fwww.webofscience.com%2Fwos%2Fwoscc%2Ffull-record%2FWOS:000392222700020","View Full Record in Web of Science")</f>
        <v>View Full Record in Web of Science</v>
      </c>
    </row>
    <row r="52" ht="12.75" customHeight="1">
      <c r="A52" s="58" t="s">
        <v>1896</v>
      </c>
      <c r="B52" s="58" t="s">
        <v>2929</v>
      </c>
      <c r="C52" s="58" t="s">
        <v>1482</v>
      </c>
      <c r="D52" s="58" t="s">
        <v>1482</v>
      </c>
      <c r="E52" s="58" t="s">
        <v>1482</v>
      </c>
      <c r="F52" s="58" t="s">
        <v>2930</v>
      </c>
      <c r="G52" s="58" t="s">
        <v>1482</v>
      </c>
      <c r="H52" s="58" t="s">
        <v>1482</v>
      </c>
      <c r="I52" s="58" t="s">
        <v>2931</v>
      </c>
      <c r="J52" s="58" t="s">
        <v>2266</v>
      </c>
      <c r="K52" s="58" t="s">
        <v>1482</v>
      </c>
      <c r="L52" s="58" t="s">
        <v>1482</v>
      </c>
      <c r="M52" s="58" t="s">
        <v>1901</v>
      </c>
      <c r="N52" s="58" t="s">
        <v>1902</v>
      </c>
      <c r="O52" s="58" t="s">
        <v>1482</v>
      </c>
      <c r="P52" s="58" t="s">
        <v>1482</v>
      </c>
      <c r="Q52" s="58" t="s">
        <v>1482</v>
      </c>
      <c r="R52" s="58" t="s">
        <v>1482</v>
      </c>
      <c r="S52" s="58" t="s">
        <v>1482</v>
      </c>
      <c r="T52" s="58" t="s">
        <v>2932</v>
      </c>
      <c r="U52" s="58" t="s">
        <v>2933</v>
      </c>
      <c r="V52" s="58" t="s">
        <v>2934</v>
      </c>
      <c r="W52" s="58" t="s">
        <v>2935</v>
      </c>
      <c r="X52" s="58" t="s">
        <v>2936</v>
      </c>
      <c r="Y52" s="58" t="s">
        <v>2937</v>
      </c>
      <c r="Z52" s="58" t="s">
        <v>2938</v>
      </c>
      <c r="AA52" s="58" t="s">
        <v>2150</v>
      </c>
      <c r="AB52" s="58" t="s">
        <v>2939</v>
      </c>
      <c r="AC52" s="58" t="s">
        <v>1482</v>
      </c>
      <c r="AD52" s="58" t="s">
        <v>1482</v>
      </c>
      <c r="AE52" s="58" t="s">
        <v>1482</v>
      </c>
      <c r="AF52" s="58" t="s">
        <v>1482</v>
      </c>
      <c r="AG52" s="58">
        <v>77.0</v>
      </c>
      <c r="AH52" s="58">
        <v>103.0</v>
      </c>
      <c r="AI52" s="58">
        <v>120.0</v>
      </c>
      <c r="AJ52" s="58">
        <v>0.0</v>
      </c>
      <c r="AK52" s="58">
        <v>66.0</v>
      </c>
      <c r="AL52" s="58" t="s">
        <v>2278</v>
      </c>
      <c r="AM52" s="58" t="s">
        <v>2279</v>
      </c>
      <c r="AN52" s="58" t="s">
        <v>2280</v>
      </c>
      <c r="AO52" s="58" t="s">
        <v>2281</v>
      </c>
      <c r="AP52" s="58" t="s">
        <v>2282</v>
      </c>
      <c r="AQ52" s="58" t="s">
        <v>1482</v>
      </c>
      <c r="AR52" s="58" t="s">
        <v>2283</v>
      </c>
      <c r="AS52" s="58" t="s">
        <v>2284</v>
      </c>
      <c r="AT52" s="58" t="s">
        <v>2033</v>
      </c>
      <c r="AU52" s="58">
        <v>2008.0</v>
      </c>
      <c r="AV52" s="58">
        <v>141.0</v>
      </c>
      <c r="AW52" s="58">
        <v>6.0</v>
      </c>
      <c r="AX52" s="58" t="s">
        <v>1482</v>
      </c>
      <c r="AY52" s="58" t="s">
        <v>1482</v>
      </c>
      <c r="AZ52" s="58" t="s">
        <v>1482</v>
      </c>
      <c r="BA52" s="58" t="s">
        <v>1482</v>
      </c>
      <c r="BB52" s="58">
        <v>1536.0</v>
      </c>
      <c r="BC52" s="58">
        <v>1546.0</v>
      </c>
      <c r="BD52" s="58" t="s">
        <v>1482</v>
      </c>
      <c r="BE52" s="58" t="s">
        <v>1576</v>
      </c>
      <c r="BF52" s="65" t="str">
        <f>HYPERLINK("http://dx.doi.org/10.1016/j.biocon.2008.03.020","http://dx.doi.org/10.1016/j.biocon.2008.03.020")</f>
        <v>http://dx.doi.org/10.1016/j.biocon.2008.03.020</v>
      </c>
      <c r="BG52" s="58" t="s">
        <v>1482</v>
      </c>
      <c r="BH52" s="58" t="s">
        <v>1482</v>
      </c>
      <c r="BI52" s="58">
        <v>11.0</v>
      </c>
      <c r="BJ52" s="58" t="s">
        <v>1956</v>
      </c>
      <c r="BK52" s="58" t="s">
        <v>1920</v>
      </c>
      <c r="BL52" s="58" t="s">
        <v>1957</v>
      </c>
      <c r="BM52" s="58" t="s">
        <v>2940</v>
      </c>
      <c r="BN52" s="58" t="s">
        <v>1482</v>
      </c>
      <c r="BO52" s="58" t="s">
        <v>1482</v>
      </c>
      <c r="BP52" s="58" t="s">
        <v>1482</v>
      </c>
      <c r="BQ52" s="58" t="s">
        <v>1482</v>
      </c>
      <c r="BR52" s="58" t="s">
        <v>1922</v>
      </c>
      <c r="BS52" s="58" t="s">
        <v>2941</v>
      </c>
      <c r="BT52" s="58" t="s">
        <v>539</v>
      </c>
      <c r="BU52" s="58" t="s">
        <v>540</v>
      </c>
      <c r="BV52" s="58" t="s">
        <v>41</v>
      </c>
      <c r="BW52" s="58" t="s">
        <v>541</v>
      </c>
      <c r="BX52" s="58" t="s">
        <v>52</v>
      </c>
      <c r="BY52" s="58" t="s">
        <v>68</v>
      </c>
      <c r="BZ52" s="58" t="s">
        <v>45</v>
      </c>
      <c r="CN52" s="58" t="str">
        <f>HYPERLINK("https%3A%2F%2Fwww.webofscience.com%2Fwos%2Fwoscc%2Ffull-record%2FWOS:000257536100009","View Full Record in Web of Science")</f>
        <v>View Full Record in Web of Science</v>
      </c>
    </row>
    <row r="53" ht="12.75" customHeight="1">
      <c r="A53" s="58" t="s">
        <v>1896</v>
      </c>
      <c r="B53" s="58" t="s">
        <v>2942</v>
      </c>
      <c r="C53" s="58" t="s">
        <v>1482</v>
      </c>
      <c r="D53" s="58" t="s">
        <v>1482</v>
      </c>
      <c r="E53" s="58" t="s">
        <v>1482</v>
      </c>
      <c r="F53" s="58" t="s">
        <v>2943</v>
      </c>
      <c r="G53" s="58" t="s">
        <v>1482</v>
      </c>
      <c r="H53" s="58" t="s">
        <v>1482</v>
      </c>
      <c r="I53" s="58" t="s">
        <v>2944</v>
      </c>
      <c r="J53" s="58" t="s">
        <v>1937</v>
      </c>
      <c r="K53" s="58" t="s">
        <v>1482</v>
      </c>
      <c r="L53" s="58" t="s">
        <v>1482</v>
      </c>
      <c r="M53" s="58" t="s">
        <v>1901</v>
      </c>
      <c r="N53" s="58" t="s">
        <v>1902</v>
      </c>
      <c r="O53" s="58" t="s">
        <v>1482</v>
      </c>
      <c r="P53" s="58" t="s">
        <v>1482</v>
      </c>
      <c r="Q53" s="58" t="s">
        <v>1482</v>
      </c>
      <c r="R53" s="58" t="s">
        <v>1482</v>
      </c>
      <c r="S53" s="58" t="s">
        <v>1482</v>
      </c>
      <c r="T53" s="58" t="s">
        <v>2945</v>
      </c>
      <c r="U53" s="58" t="s">
        <v>2946</v>
      </c>
      <c r="V53" s="58" t="s">
        <v>2947</v>
      </c>
      <c r="W53" s="58" t="s">
        <v>2948</v>
      </c>
      <c r="X53" s="58" t="s">
        <v>2949</v>
      </c>
      <c r="Y53" s="58" t="s">
        <v>2950</v>
      </c>
      <c r="Z53" s="58" t="s">
        <v>2951</v>
      </c>
      <c r="AA53" s="58" t="s">
        <v>2952</v>
      </c>
      <c r="AB53" s="58" t="s">
        <v>2953</v>
      </c>
      <c r="AC53" s="58" t="s">
        <v>1482</v>
      </c>
      <c r="AD53" s="58" t="s">
        <v>1482</v>
      </c>
      <c r="AE53" s="58" t="s">
        <v>1482</v>
      </c>
      <c r="AF53" s="58" t="s">
        <v>1482</v>
      </c>
      <c r="AG53" s="58">
        <v>45.0</v>
      </c>
      <c r="AH53" s="58">
        <v>69.0</v>
      </c>
      <c r="AI53" s="58">
        <v>114.0</v>
      </c>
      <c r="AJ53" s="58">
        <v>0.0</v>
      </c>
      <c r="AK53" s="58">
        <v>35.0</v>
      </c>
      <c r="AL53" s="58" t="s">
        <v>1948</v>
      </c>
      <c r="AM53" s="58" t="s">
        <v>1949</v>
      </c>
      <c r="AN53" s="58" t="s">
        <v>1950</v>
      </c>
      <c r="AO53" s="58" t="s">
        <v>1951</v>
      </c>
      <c r="AP53" s="58" t="s">
        <v>1952</v>
      </c>
      <c r="AQ53" s="58" t="s">
        <v>1482</v>
      </c>
      <c r="AR53" s="58" t="s">
        <v>1953</v>
      </c>
      <c r="AS53" s="58" t="s">
        <v>1954</v>
      </c>
      <c r="AT53" s="58" t="s">
        <v>2177</v>
      </c>
      <c r="AU53" s="58">
        <v>2007.0</v>
      </c>
      <c r="AV53" s="58">
        <v>16.0</v>
      </c>
      <c r="AW53" s="58">
        <v>3.0</v>
      </c>
      <c r="AX53" s="58" t="s">
        <v>1482</v>
      </c>
      <c r="AY53" s="58" t="s">
        <v>1482</v>
      </c>
      <c r="AZ53" s="58" t="s">
        <v>1482</v>
      </c>
      <c r="BA53" s="58" t="s">
        <v>1482</v>
      </c>
      <c r="BB53" s="58">
        <v>743.0</v>
      </c>
      <c r="BC53" s="58">
        <v>756.0</v>
      </c>
      <c r="BD53" s="58" t="s">
        <v>1482</v>
      </c>
      <c r="BE53" s="58" t="s">
        <v>1587</v>
      </c>
      <c r="BF53" s="65" t="str">
        <f>HYPERLINK("http://dx.doi.org/10.1007/s10531-005-6198-7","http://dx.doi.org/10.1007/s10531-005-6198-7")</f>
        <v>http://dx.doi.org/10.1007/s10531-005-6198-7</v>
      </c>
      <c r="BG53" s="58" t="s">
        <v>1482</v>
      </c>
      <c r="BH53" s="58" t="s">
        <v>1482</v>
      </c>
      <c r="BI53" s="58">
        <v>14.0</v>
      </c>
      <c r="BJ53" s="58" t="s">
        <v>1956</v>
      </c>
      <c r="BK53" s="58" t="s">
        <v>1920</v>
      </c>
      <c r="BL53" s="58" t="s">
        <v>1957</v>
      </c>
      <c r="BM53" s="58" t="s">
        <v>2954</v>
      </c>
      <c r="BN53" s="58" t="s">
        <v>1482</v>
      </c>
      <c r="BO53" s="58" t="s">
        <v>1482</v>
      </c>
      <c r="BP53" s="58" t="s">
        <v>1482</v>
      </c>
      <c r="BQ53" s="58" t="s">
        <v>1482</v>
      </c>
      <c r="BR53" s="58" t="s">
        <v>1922</v>
      </c>
      <c r="BS53" s="58" t="s">
        <v>2955</v>
      </c>
      <c r="BT53" s="58" t="s">
        <v>552</v>
      </c>
      <c r="BU53" s="58" t="s">
        <v>40</v>
      </c>
      <c r="BV53" s="58" t="s">
        <v>41</v>
      </c>
      <c r="BW53" s="58" t="s">
        <v>553</v>
      </c>
      <c r="BX53" s="58" t="s">
        <v>52</v>
      </c>
      <c r="BY53" s="58" t="s">
        <v>44</v>
      </c>
      <c r="BZ53" s="58" t="s">
        <v>45</v>
      </c>
      <c r="CN53" s="58" t="str">
        <f>HYPERLINK("https%3A%2F%2Fwww.webofscience.com%2Fwos%2Fwoscc%2Ffull-record%2FWOS:000244684700011","View Full Record in Web of Science")</f>
        <v>View Full Record in Web of Science</v>
      </c>
    </row>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autoFilter ref="$A$1:$CN$1000">
    <sortState ref="A1:CN1000">
      <sortCondition ref="CJ1:CJ1000"/>
    </sortState>
  </autoFilter>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8.0"/>
    <col customWidth="1" min="4" max="5" width="20.13"/>
    <col customWidth="1" min="6" max="6" width="32.63"/>
    <col customWidth="1" min="7" max="7" width="35.63"/>
    <col customWidth="1" min="8" max="8" width="13.75"/>
    <col customWidth="1" min="9" max="9" width="23.38"/>
    <col customWidth="1" min="10" max="10" width="21.88"/>
    <col customWidth="1" min="11" max="11" width="13.75"/>
    <col customWidth="1" min="12" max="12" width="36.63"/>
    <col customWidth="1" min="13" max="13" width="52.63"/>
    <col customWidth="1" min="14" max="14" width="25.5"/>
  </cols>
  <sheetData>
    <row r="1" ht="12.75" customHeight="1">
      <c r="A1" s="58" t="s">
        <v>1814</v>
      </c>
      <c r="B1" s="58" t="s">
        <v>1827</v>
      </c>
      <c r="C1" s="58" t="s">
        <v>21</v>
      </c>
      <c r="D1" s="3" t="s">
        <v>2956</v>
      </c>
      <c r="E1" s="58" t="s">
        <v>1875</v>
      </c>
      <c r="F1" s="60" t="s">
        <v>1883</v>
      </c>
      <c r="G1" s="61" t="s">
        <v>1884</v>
      </c>
      <c r="H1" s="63" t="s">
        <v>1888</v>
      </c>
      <c r="I1" s="63" t="s">
        <v>1887</v>
      </c>
      <c r="J1" s="63" t="s">
        <v>1889</v>
      </c>
      <c r="K1" s="63" t="s">
        <v>1890</v>
      </c>
      <c r="L1" s="63" t="s">
        <v>1891</v>
      </c>
      <c r="M1" s="63" t="s">
        <v>1879</v>
      </c>
      <c r="N1" s="63" t="s">
        <v>1894</v>
      </c>
    </row>
    <row r="2" ht="12.75" customHeight="1">
      <c r="A2" s="58" t="s">
        <v>2713</v>
      </c>
      <c r="B2" s="58" t="s">
        <v>2717</v>
      </c>
      <c r="C2" s="58" t="s">
        <v>1594</v>
      </c>
      <c r="D2" s="3" t="s">
        <v>2957</v>
      </c>
      <c r="E2" s="58" t="s">
        <v>2732</v>
      </c>
      <c r="F2" s="64" t="s">
        <v>1960</v>
      </c>
      <c r="G2" s="64" t="s">
        <v>2101</v>
      </c>
      <c r="H2" s="3" t="s">
        <v>1927</v>
      </c>
      <c r="I2" s="64" t="s">
        <v>1926</v>
      </c>
      <c r="J2" s="3" t="s">
        <v>1928</v>
      </c>
      <c r="K2" s="3" t="s">
        <v>1929</v>
      </c>
      <c r="L2" s="3" t="s">
        <v>2202</v>
      </c>
      <c r="M2" s="3" t="s">
        <v>2735</v>
      </c>
      <c r="N2" s="3" t="s">
        <v>2734</v>
      </c>
    </row>
    <row r="3" ht="12.75" customHeight="1">
      <c r="A3" s="58" t="s">
        <v>2460</v>
      </c>
      <c r="B3" s="58" t="s">
        <v>2464</v>
      </c>
      <c r="C3" s="58" t="s">
        <v>1529</v>
      </c>
      <c r="D3" s="3" t="s">
        <v>2957</v>
      </c>
      <c r="E3" s="58" t="s">
        <v>2483</v>
      </c>
      <c r="F3" s="64" t="s">
        <v>1960</v>
      </c>
      <c r="G3" s="64" t="s">
        <v>2484</v>
      </c>
      <c r="H3" s="3" t="s">
        <v>1927</v>
      </c>
      <c r="I3" s="64" t="s">
        <v>1926</v>
      </c>
      <c r="J3" s="3" t="s">
        <v>1928</v>
      </c>
      <c r="K3" s="3" t="s">
        <v>1929</v>
      </c>
      <c r="L3" s="3" t="s">
        <v>2202</v>
      </c>
      <c r="M3" s="3" t="s">
        <v>2487</v>
      </c>
      <c r="N3" s="3" t="s">
        <v>2486</v>
      </c>
    </row>
    <row r="4" ht="12.75" customHeight="1">
      <c r="A4" s="58" t="s">
        <v>2505</v>
      </c>
      <c r="B4" s="58" t="s">
        <v>2508</v>
      </c>
      <c r="C4" s="58" t="s">
        <v>1516</v>
      </c>
      <c r="D4" s="3" t="s">
        <v>2957</v>
      </c>
      <c r="E4" s="58" t="s">
        <v>2516</v>
      </c>
      <c r="F4" s="64" t="s">
        <v>1960</v>
      </c>
      <c r="G4" s="66" t="s">
        <v>2958</v>
      </c>
      <c r="H4" s="3" t="s">
        <v>1927</v>
      </c>
      <c r="I4" s="64" t="s">
        <v>1926</v>
      </c>
      <c r="J4" s="3" t="s">
        <v>1928</v>
      </c>
      <c r="K4" s="3" t="s">
        <v>1929</v>
      </c>
      <c r="L4" s="3" t="s">
        <v>2202</v>
      </c>
      <c r="M4" s="3" t="s">
        <v>2520</v>
      </c>
      <c r="N4" s="3" t="s">
        <v>2519</v>
      </c>
    </row>
    <row r="5" ht="12.75" customHeight="1">
      <c r="A5" s="58" t="s">
        <v>2690</v>
      </c>
      <c r="B5" s="58" t="s">
        <v>2694</v>
      </c>
      <c r="C5" s="58" t="s">
        <v>1556</v>
      </c>
      <c r="D5" s="3" t="s">
        <v>2957</v>
      </c>
      <c r="E5" s="58" t="s">
        <v>2707</v>
      </c>
      <c r="F5" s="64" t="s">
        <v>1960</v>
      </c>
      <c r="G5" s="66" t="s">
        <v>2958</v>
      </c>
      <c r="H5" s="3" t="s">
        <v>1927</v>
      </c>
      <c r="I5" s="64" t="s">
        <v>1926</v>
      </c>
      <c r="J5" s="3" t="s">
        <v>1928</v>
      </c>
      <c r="K5" s="3" t="s">
        <v>1929</v>
      </c>
      <c r="L5" s="3" t="s">
        <v>2202</v>
      </c>
      <c r="M5" s="3" t="s">
        <v>2520</v>
      </c>
      <c r="N5" s="3" t="s">
        <v>2710</v>
      </c>
    </row>
    <row r="6" ht="12.75" customHeight="1">
      <c r="A6" s="58" t="s">
        <v>2764</v>
      </c>
      <c r="B6" s="58" t="s">
        <v>2767</v>
      </c>
      <c r="C6" s="58" t="s">
        <v>1566</v>
      </c>
      <c r="D6" s="3" t="s">
        <v>2957</v>
      </c>
      <c r="E6" s="58" t="s">
        <v>2775</v>
      </c>
      <c r="F6" s="64" t="s">
        <v>1960</v>
      </c>
      <c r="G6" s="64" t="s">
        <v>2101</v>
      </c>
      <c r="H6" s="3" t="s">
        <v>1927</v>
      </c>
      <c r="I6" s="64" t="s">
        <v>1926</v>
      </c>
      <c r="J6" s="3" t="s">
        <v>1928</v>
      </c>
      <c r="K6" s="3" t="s">
        <v>1929</v>
      </c>
      <c r="L6" s="3" t="s">
        <v>2202</v>
      </c>
      <c r="M6" s="3" t="s">
        <v>2520</v>
      </c>
      <c r="N6" s="3" t="s">
        <v>2777</v>
      </c>
    </row>
    <row r="7" ht="12.75" customHeight="1">
      <c r="A7" s="58" t="s">
        <v>2292</v>
      </c>
      <c r="B7" s="58" t="s">
        <v>2295</v>
      </c>
      <c r="C7" s="58" t="s">
        <v>1563</v>
      </c>
      <c r="D7" s="3" t="s">
        <v>2957</v>
      </c>
      <c r="E7" s="58" t="s">
        <v>2313</v>
      </c>
      <c r="F7" s="64" t="s">
        <v>1960</v>
      </c>
      <c r="G7" s="66" t="s">
        <v>2959</v>
      </c>
      <c r="H7" s="3" t="s">
        <v>1927</v>
      </c>
      <c r="I7" s="64" t="s">
        <v>1926</v>
      </c>
      <c r="J7" s="3" t="s">
        <v>1928</v>
      </c>
      <c r="K7" s="3" t="s">
        <v>1929</v>
      </c>
      <c r="L7" s="3" t="s">
        <v>2202</v>
      </c>
      <c r="M7" s="3" t="s">
        <v>2316</v>
      </c>
      <c r="N7" s="3" t="s">
        <v>2315</v>
      </c>
    </row>
    <row r="8" ht="12.75" customHeight="1">
      <c r="A8" s="58" t="s">
        <v>2428</v>
      </c>
      <c r="B8" s="58" t="s">
        <v>2431</v>
      </c>
      <c r="C8" s="58" t="s">
        <v>1540</v>
      </c>
      <c r="D8" s="3" t="s">
        <v>2957</v>
      </c>
      <c r="E8" s="58" t="s">
        <v>2439</v>
      </c>
      <c r="F8" s="64" t="s">
        <v>1960</v>
      </c>
      <c r="G8" s="64" t="s">
        <v>2101</v>
      </c>
      <c r="H8" s="3" t="s">
        <v>1927</v>
      </c>
      <c r="I8" s="64" t="s">
        <v>1926</v>
      </c>
      <c r="J8" s="3" t="s">
        <v>1928</v>
      </c>
      <c r="K8" s="3" t="s">
        <v>1929</v>
      </c>
      <c r="L8" s="3" t="s">
        <v>2202</v>
      </c>
      <c r="M8" s="3" t="s">
        <v>2442</v>
      </c>
      <c r="N8" s="3" t="s">
        <v>2441</v>
      </c>
    </row>
    <row r="9" ht="12.75" customHeight="1">
      <c r="A9" s="58" t="s">
        <v>2357</v>
      </c>
      <c r="B9" s="58" t="s">
        <v>2360</v>
      </c>
      <c r="C9" s="58" t="s">
        <v>1550</v>
      </c>
      <c r="D9" s="3" t="s">
        <v>2957</v>
      </c>
      <c r="E9" s="58" t="s">
        <v>2370</v>
      </c>
      <c r="F9" s="64" t="s">
        <v>1960</v>
      </c>
      <c r="G9" s="66" t="s">
        <v>2959</v>
      </c>
      <c r="H9" s="3" t="s">
        <v>1927</v>
      </c>
      <c r="I9" s="64" t="s">
        <v>1926</v>
      </c>
      <c r="J9" s="3" t="s">
        <v>1928</v>
      </c>
      <c r="K9" s="3" t="s">
        <v>1929</v>
      </c>
      <c r="L9" s="3" t="s">
        <v>2202</v>
      </c>
      <c r="M9" s="3" t="s">
        <v>2373</v>
      </c>
      <c r="N9" s="3" t="s">
        <v>2372</v>
      </c>
    </row>
    <row r="10" ht="12.75" customHeight="1">
      <c r="A10" s="58" t="s">
        <v>2392</v>
      </c>
      <c r="B10" s="58" t="s">
        <v>2395</v>
      </c>
      <c r="C10" s="58" t="s">
        <v>1511</v>
      </c>
      <c r="D10" s="3" t="s">
        <v>2957</v>
      </c>
      <c r="E10" s="58" t="s">
        <v>2402</v>
      </c>
      <c r="F10" s="64" t="s">
        <v>1977</v>
      </c>
      <c r="G10" s="64" t="s">
        <v>2403</v>
      </c>
      <c r="H10" s="3" t="s">
        <v>1927</v>
      </c>
      <c r="I10" s="64" t="s">
        <v>2404</v>
      </c>
      <c r="J10" s="3" t="s">
        <v>1928</v>
      </c>
      <c r="K10" s="3" t="s">
        <v>1929</v>
      </c>
      <c r="L10" s="3" t="s">
        <v>2202</v>
      </c>
      <c r="M10" s="3" t="s">
        <v>2205</v>
      </c>
      <c r="N10" s="3" t="s">
        <v>2406</v>
      </c>
    </row>
    <row r="11" ht="12.75" customHeight="1">
      <c r="A11" s="58" t="s">
        <v>2186</v>
      </c>
      <c r="B11" s="58" t="s">
        <v>2189</v>
      </c>
      <c r="C11" s="58" t="s">
        <v>1512</v>
      </c>
      <c r="D11" s="3" t="s">
        <v>2957</v>
      </c>
      <c r="E11" s="58" t="s">
        <v>2200</v>
      </c>
      <c r="F11" s="64" t="s">
        <v>1960</v>
      </c>
      <c r="G11" s="64" t="s">
        <v>2201</v>
      </c>
      <c r="H11" s="3" t="s">
        <v>1927</v>
      </c>
      <c r="I11" s="64" t="s">
        <v>1962</v>
      </c>
      <c r="J11" s="3" t="s">
        <v>1928</v>
      </c>
      <c r="K11" s="3" t="s">
        <v>1929</v>
      </c>
      <c r="L11" s="3" t="s">
        <v>2202</v>
      </c>
      <c r="M11" s="3" t="s">
        <v>2205</v>
      </c>
      <c r="N11" s="3" t="s">
        <v>2204</v>
      </c>
    </row>
    <row r="12" ht="12.75" customHeight="1">
      <c r="A12" s="58" t="s">
        <v>2738</v>
      </c>
      <c r="B12" s="58" t="s">
        <v>2742</v>
      </c>
      <c r="C12" s="58" t="s">
        <v>1520</v>
      </c>
      <c r="D12" s="3" t="s">
        <v>2957</v>
      </c>
      <c r="E12" s="58" t="s">
        <v>2759</v>
      </c>
      <c r="F12" s="64" t="s">
        <v>1960</v>
      </c>
      <c r="G12" s="64" t="s">
        <v>2454</v>
      </c>
      <c r="H12" s="3" t="s">
        <v>1927</v>
      </c>
      <c r="I12" s="64" t="s">
        <v>1926</v>
      </c>
      <c r="J12" s="3" t="s">
        <v>1928</v>
      </c>
      <c r="K12" s="3" t="s">
        <v>1929</v>
      </c>
      <c r="L12" s="3" t="s">
        <v>2202</v>
      </c>
      <c r="M12" s="3" t="s">
        <v>2205</v>
      </c>
      <c r="N12" s="3" t="s">
        <v>2761</v>
      </c>
    </row>
    <row r="13" ht="12.75" customHeight="1">
      <c r="A13" s="58" t="s">
        <v>2843</v>
      </c>
      <c r="B13" s="58" t="s">
        <v>2846</v>
      </c>
      <c r="C13" s="58" t="s">
        <v>1505</v>
      </c>
      <c r="D13" s="3" t="s">
        <v>2957</v>
      </c>
      <c r="E13" s="58" t="s">
        <v>2856</v>
      </c>
      <c r="F13" s="64" t="s">
        <v>1960</v>
      </c>
      <c r="G13" s="66" t="s">
        <v>2959</v>
      </c>
      <c r="H13" s="3" t="s">
        <v>1927</v>
      </c>
      <c r="I13" s="64" t="s">
        <v>1926</v>
      </c>
      <c r="J13" s="3" t="s">
        <v>1928</v>
      </c>
      <c r="K13" s="3" t="s">
        <v>1929</v>
      </c>
      <c r="L13" s="3" t="s">
        <v>2202</v>
      </c>
      <c r="M13" s="3" t="s">
        <v>2205</v>
      </c>
      <c r="N13" s="3" t="s">
        <v>2858</v>
      </c>
    </row>
    <row r="14" ht="12.75" customHeight="1">
      <c r="A14" s="58" t="s">
        <v>2780</v>
      </c>
      <c r="B14" s="58" t="s">
        <v>2783</v>
      </c>
      <c r="C14" s="58" t="s">
        <v>1542</v>
      </c>
      <c r="D14" s="3" t="s">
        <v>2957</v>
      </c>
      <c r="E14" s="58" t="s">
        <v>2789</v>
      </c>
      <c r="F14" s="64" t="s">
        <v>1960</v>
      </c>
      <c r="G14" s="64" t="s">
        <v>2790</v>
      </c>
      <c r="H14" s="3" t="s">
        <v>1927</v>
      </c>
      <c r="I14" s="64" t="s">
        <v>1926</v>
      </c>
      <c r="J14" s="3" t="s">
        <v>1928</v>
      </c>
      <c r="K14" s="3" t="s">
        <v>1929</v>
      </c>
      <c r="L14" s="3" t="s">
        <v>2202</v>
      </c>
      <c r="M14" s="3" t="s">
        <v>2205</v>
      </c>
      <c r="N14" s="3" t="s">
        <v>2792</v>
      </c>
    </row>
    <row r="15" ht="12.75" customHeight="1">
      <c r="A15" s="58" t="s">
        <v>2536</v>
      </c>
      <c r="B15" s="58" t="s">
        <v>2537</v>
      </c>
      <c r="C15" s="58" t="s">
        <v>1533</v>
      </c>
      <c r="D15" s="3" t="s">
        <v>2957</v>
      </c>
      <c r="E15" s="58" t="s">
        <v>2545</v>
      </c>
      <c r="F15" s="64" t="s">
        <v>1977</v>
      </c>
      <c r="G15" s="64" t="s">
        <v>2546</v>
      </c>
      <c r="H15" s="3" t="s">
        <v>1927</v>
      </c>
      <c r="I15" s="64" t="s">
        <v>1926</v>
      </c>
      <c r="J15" s="3" t="s">
        <v>1928</v>
      </c>
      <c r="K15" s="3" t="s">
        <v>1929</v>
      </c>
      <c r="L15" s="3" t="s">
        <v>2202</v>
      </c>
      <c r="M15" s="3" t="s">
        <v>2549</v>
      </c>
      <c r="N15" s="3" t="s">
        <v>2548</v>
      </c>
    </row>
    <row r="16" ht="12.75" customHeight="1">
      <c r="A16" s="58" t="s">
        <v>1899</v>
      </c>
      <c r="B16" s="58" t="s">
        <v>1905</v>
      </c>
      <c r="C16" s="58" t="s">
        <v>1482</v>
      </c>
      <c r="D16" s="3" t="s">
        <v>2957</v>
      </c>
      <c r="E16" s="58" t="s">
        <v>1923</v>
      </c>
      <c r="F16" s="64" t="s">
        <v>1924</v>
      </c>
      <c r="G16" s="64" t="s">
        <v>1925</v>
      </c>
      <c r="H16" s="3" t="s">
        <v>1927</v>
      </c>
      <c r="I16" s="64" t="s">
        <v>1926</v>
      </c>
      <c r="J16" s="3" t="s">
        <v>1928</v>
      </c>
      <c r="K16" s="3" t="s">
        <v>1929</v>
      </c>
      <c r="L16" s="3" t="s">
        <v>1930</v>
      </c>
      <c r="M16" s="3" t="s">
        <v>1933</v>
      </c>
      <c r="N16" s="3" t="s">
        <v>1932</v>
      </c>
    </row>
    <row r="17" ht="12.75" customHeight="1">
      <c r="A17" s="58" t="s">
        <v>2083</v>
      </c>
      <c r="B17" s="58" t="s">
        <v>2087</v>
      </c>
      <c r="C17" s="58" t="s">
        <v>1535</v>
      </c>
      <c r="D17" s="3" t="s">
        <v>2957</v>
      </c>
      <c r="E17" s="58" t="s">
        <v>2100</v>
      </c>
      <c r="F17" s="64" t="s">
        <v>1960</v>
      </c>
      <c r="G17" s="64" t="s">
        <v>2101</v>
      </c>
      <c r="H17" s="3" t="s">
        <v>1927</v>
      </c>
      <c r="I17" s="64" t="s">
        <v>1926</v>
      </c>
      <c r="J17" s="3" t="s">
        <v>1928</v>
      </c>
      <c r="K17" s="3" t="s">
        <v>1929</v>
      </c>
      <c r="L17" s="3" t="s">
        <v>2009</v>
      </c>
      <c r="M17" s="3" t="s">
        <v>2104</v>
      </c>
      <c r="N17" s="3" t="s">
        <v>2103</v>
      </c>
    </row>
    <row r="18" ht="12.75" customHeight="1">
      <c r="A18" s="58" t="s">
        <v>2045</v>
      </c>
      <c r="B18" s="58" t="s">
        <v>2048</v>
      </c>
      <c r="C18" s="58" t="s">
        <v>1559</v>
      </c>
      <c r="D18" s="3" t="s">
        <v>2957</v>
      </c>
      <c r="E18" s="58" t="s">
        <v>2059</v>
      </c>
      <c r="F18" s="64" t="s">
        <v>1977</v>
      </c>
      <c r="G18" s="64" t="s">
        <v>2060</v>
      </c>
      <c r="H18" s="3" t="s">
        <v>1927</v>
      </c>
      <c r="I18" s="64" t="s">
        <v>1926</v>
      </c>
      <c r="J18" s="3" t="s">
        <v>1928</v>
      </c>
      <c r="K18" s="3" t="s">
        <v>1929</v>
      </c>
      <c r="L18" s="3" t="s">
        <v>2009</v>
      </c>
      <c r="M18" s="3" t="s">
        <v>2063</v>
      </c>
      <c r="N18" s="3" t="s">
        <v>2062</v>
      </c>
    </row>
    <row r="19" ht="12.75" customHeight="1">
      <c r="A19" s="58" t="s">
        <v>2137</v>
      </c>
      <c r="B19" s="58" t="s">
        <v>2145</v>
      </c>
      <c r="C19" s="58" t="s">
        <v>1580</v>
      </c>
      <c r="D19" s="3" t="s">
        <v>2957</v>
      </c>
      <c r="E19" s="58" t="s">
        <v>2158</v>
      </c>
      <c r="F19" s="64"/>
      <c r="G19" s="64"/>
      <c r="I19" s="64"/>
      <c r="J19" s="3" t="s">
        <v>1928</v>
      </c>
      <c r="K19" s="3" t="s">
        <v>1929</v>
      </c>
      <c r="L19" s="3" t="s">
        <v>2009</v>
      </c>
      <c r="M19" s="3" t="s">
        <v>2161</v>
      </c>
      <c r="N19" s="3" t="s">
        <v>2160</v>
      </c>
    </row>
    <row r="20" ht="12.75" customHeight="1">
      <c r="A20" s="58" t="s">
        <v>2106</v>
      </c>
      <c r="B20" s="58" t="s">
        <v>2108</v>
      </c>
      <c r="C20" s="58" t="s">
        <v>1502</v>
      </c>
      <c r="D20" s="3" t="s">
        <v>2957</v>
      </c>
      <c r="E20" s="58" t="s">
        <v>2116</v>
      </c>
      <c r="F20" s="64" t="s">
        <v>1977</v>
      </c>
      <c r="G20" s="64" t="s">
        <v>2008</v>
      </c>
      <c r="H20" s="3" t="s">
        <v>1927</v>
      </c>
      <c r="I20" s="64" t="s">
        <v>1926</v>
      </c>
      <c r="J20" s="3" t="s">
        <v>1928</v>
      </c>
      <c r="K20" s="3" t="s">
        <v>1929</v>
      </c>
      <c r="L20" s="3" t="s">
        <v>2009</v>
      </c>
      <c r="M20" s="3" t="s">
        <v>2119</v>
      </c>
      <c r="N20" s="3" t="s">
        <v>2118</v>
      </c>
    </row>
    <row r="21" ht="12.75" customHeight="1">
      <c r="A21" s="58" t="s">
        <v>2066</v>
      </c>
      <c r="B21" s="58" t="s">
        <v>2069</v>
      </c>
      <c r="C21" s="58" t="s">
        <v>1555</v>
      </c>
      <c r="D21" s="3" t="s">
        <v>2957</v>
      </c>
      <c r="E21" s="58" t="s">
        <v>2077</v>
      </c>
      <c r="F21" s="64" t="s">
        <v>1977</v>
      </c>
      <c r="G21" s="64" t="s">
        <v>2008</v>
      </c>
      <c r="H21" s="3" t="s">
        <v>1927</v>
      </c>
      <c r="I21" s="64" t="s">
        <v>1926</v>
      </c>
      <c r="J21" s="3" t="s">
        <v>1928</v>
      </c>
      <c r="K21" s="3" t="s">
        <v>1929</v>
      </c>
      <c r="L21" s="3" t="s">
        <v>2009</v>
      </c>
      <c r="M21" s="3" t="s">
        <v>2080</v>
      </c>
      <c r="N21" s="3" t="s">
        <v>2079</v>
      </c>
    </row>
    <row r="22" ht="12.75" customHeight="1">
      <c r="A22" s="58" t="s">
        <v>1984</v>
      </c>
      <c r="B22" s="58" t="s">
        <v>1988</v>
      </c>
      <c r="C22" s="58" t="s">
        <v>1554</v>
      </c>
      <c r="D22" s="3" t="s">
        <v>2957</v>
      </c>
      <c r="E22" s="58" t="s">
        <v>2007</v>
      </c>
      <c r="F22" s="64" t="s">
        <v>1977</v>
      </c>
      <c r="G22" s="64" t="s">
        <v>2008</v>
      </c>
      <c r="H22" s="3" t="s">
        <v>1927</v>
      </c>
      <c r="I22" s="64" t="s">
        <v>1926</v>
      </c>
      <c r="J22" s="3" t="s">
        <v>1928</v>
      </c>
      <c r="K22" s="3" t="s">
        <v>1929</v>
      </c>
      <c r="L22" s="3" t="s">
        <v>2009</v>
      </c>
      <c r="M22" s="3" t="s">
        <v>2012</v>
      </c>
      <c r="N22" s="3" t="s">
        <v>2011</v>
      </c>
    </row>
    <row r="23" ht="12.75" customHeight="1">
      <c r="A23" s="58" t="s">
        <v>2015</v>
      </c>
      <c r="B23" s="58" t="s">
        <v>2019</v>
      </c>
      <c r="C23" s="58" t="s">
        <v>1565</v>
      </c>
      <c r="D23" s="3" t="s">
        <v>2957</v>
      </c>
      <c r="E23" s="58" t="s">
        <v>2038</v>
      </c>
      <c r="F23" s="64" t="s">
        <v>1977</v>
      </c>
      <c r="G23" s="64" t="s">
        <v>2039</v>
      </c>
      <c r="H23" s="3" t="s">
        <v>1927</v>
      </c>
      <c r="I23" s="64" t="s">
        <v>1926</v>
      </c>
      <c r="J23" s="3" t="s">
        <v>1928</v>
      </c>
      <c r="K23" s="3" t="s">
        <v>1929</v>
      </c>
      <c r="L23" s="3" t="s">
        <v>2009</v>
      </c>
      <c r="M23" s="3" t="s">
        <v>2042</v>
      </c>
      <c r="N23" s="3" t="s">
        <v>2041</v>
      </c>
    </row>
    <row r="24" ht="12.75" customHeight="1">
      <c r="A24" s="58" t="s">
        <v>2833</v>
      </c>
      <c r="B24" s="58" t="s">
        <v>2834</v>
      </c>
      <c r="C24" s="58" t="s">
        <v>1522</v>
      </c>
      <c r="D24" s="3" t="s">
        <v>2957</v>
      </c>
      <c r="E24" s="58" t="s">
        <v>2837</v>
      </c>
      <c r="F24" s="64" t="s">
        <v>1977</v>
      </c>
      <c r="G24" s="64" t="s">
        <v>2180</v>
      </c>
      <c r="H24" s="3" t="s">
        <v>1927</v>
      </c>
      <c r="I24" s="64" t="s">
        <v>1926</v>
      </c>
      <c r="J24" s="3" t="s">
        <v>1928</v>
      </c>
      <c r="K24" s="3" t="s">
        <v>1929</v>
      </c>
      <c r="L24" s="3" t="s">
        <v>2202</v>
      </c>
      <c r="M24" s="3" t="s">
        <v>2840</v>
      </c>
      <c r="N24" s="3" t="s">
        <v>2839</v>
      </c>
    </row>
    <row r="25" ht="12.75" customHeight="1">
      <c r="A25" s="58" t="s">
        <v>2552</v>
      </c>
      <c r="B25" s="58" t="s">
        <v>2555</v>
      </c>
      <c r="C25" s="58" t="s">
        <v>1519</v>
      </c>
      <c r="D25" s="3" t="s">
        <v>2957</v>
      </c>
      <c r="E25" s="58" t="s">
        <v>2571</v>
      </c>
      <c r="F25" s="64" t="s">
        <v>1977</v>
      </c>
      <c r="G25" s="64" t="s">
        <v>2008</v>
      </c>
      <c r="H25" s="3" t="s">
        <v>1927</v>
      </c>
      <c r="I25" s="64" t="s">
        <v>1926</v>
      </c>
      <c r="J25" s="3" t="s">
        <v>1928</v>
      </c>
      <c r="K25" s="3" t="s">
        <v>1929</v>
      </c>
      <c r="L25" s="3" t="s">
        <v>2202</v>
      </c>
      <c r="M25" s="3" t="s">
        <v>2574</v>
      </c>
      <c r="N25" s="3" t="s">
        <v>2573</v>
      </c>
    </row>
    <row r="26" ht="12.75" customHeight="1">
      <c r="A26" s="58" t="s">
        <v>2860</v>
      </c>
      <c r="B26" s="58" t="s">
        <v>2863</v>
      </c>
      <c r="C26" s="58" t="s">
        <v>1515</v>
      </c>
      <c r="D26" s="3" t="s">
        <v>2957</v>
      </c>
      <c r="E26" s="58" t="s">
        <v>2872</v>
      </c>
      <c r="F26" s="64" t="s">
        <v>1960</v>
      </c>
      <c r="G26" s="66" t="s">
        <v>2958</v>
      </c>
      <c r="H26" s="3" t="s">
        <v>1927</v>
      </c>
      <c r="I26" s="64" t="s">
        <v>1926</v>
      </c>
      <c r="J26" s="3" t="s">
        <v>1928</v>
      </c>
      <c r="K26" s="3" t="s">
        <v>1929</v>
      </c>
      <c r="L26" s="3" t="s">
        <v>2202</v>
      </c>
      <c r="M26" s="3" t="s">
        <v>2644</v>
      </c>
      <c r="N26" s="3" t="s">
        <v>2874</v>
      </c>
    </row>
    <row r="27" ht="12.75" customHeight="1">
      <c r="A27" s="58" t="s">
        <v>2617</v>
      </c>
      <c r="B27" s="58" t="s">
        <v>2620</v>
      </c>
      <c r="C27" s="58" t="s">
        <v>1509</v>
      </c>
      <c r="D27" s="3" t="s">
        <v>2957</v>
      </c>
      <c r="E27" s="58" t="s">
        <v>2640</v>
      </c>
      <c r="F27" s="64" t="s">
        <v>1960</v>
      </c>
      <c r="G27" s="66" t="s">
        <v>2960</v>
      </c>
      <c r="H27" s="3" t="s">
        <v>1927</v>
      </c>
      <c r="I27" s="64" t="s">
        <v>1926</v>
      </c>
      <c r="J27" s="3" t="s">
        <v>1928</v>
      </c>
      <c r="K27" s="3" t="s">
        <v>1929</v>
      </c>
      <c r="L27" s="3" t="s">
        <v>2202</v>
      </c>
      <c r="M27" s="3" t="s">
        <v>2644</v>
      </c>
      <c r="N27" s="3" t="s">
        <v>2643</v>
      </c>
    </row>
    <row r="28" ht="12.75" customHeight="1">
      <c r="A28" s="58" t="s">
        <v>2522</v>
      </c>
      <c r="B28" s="58" t="s">
        <v>2524</v>
      </c>
      <c r="C28" s="58" t="s">
        <v>1518</v>
      </c>
      <c r="D28" s="3" t="s">
        <v>2957</v>
      </c>
      <c r="E28" s="58" t="s">
        <v>2530</v>
      </c>
      <c r="F28" s="64" t="s">
        <v>1977</v>
      </c>
      <c r="G28" s="64" t="s">
        <v>2531</v>
      </c>
      <c r="H28" s="3" t="s">
        <v>1927</v>
      </c>
      <c r="I28" s="64" t="s">
        <v>1926</v>
      </c>
      <c r="J28" s="3" t="s">
        <v>1928</v>
      </c>
      <c r="K28" s="3" t="s">
        <v>1929</v>
      </c>
      <c r="L28" s="3" t="s">
        <v>2202</v>
      </c>
      <c r="M28" s="3" t="s">
        <v>2534</v>
      </c>
      <c r="N28" s="3" t="s">
        <v>2533</v>
      </c>
    </row>
    <row r="29" ht="12.75" customHeight="1">
      <c r="A29" s="58" t="s">
        <v>2647</v>
      </c>
      <c r="B29" s="58" t="s">
        <v>2650</v>
      </c>
      <c r="C29" s="58" t="s">
        <v>1567</v>
      </c>
      <c r="D29" s="3" t="s">
        <v>2957</v>
      </c>
      <c r="E29" s="58" t="s">
        <v>2656</v>
      </c>
      <c r="F29" s="64" t="s">
        <v>1960</v>
      </c>
      <c r="G29" s="64" t="s">
        <v>2454</v>
      </c>
      <c r="H29" s="3" t="s">
        <v>1927</v>
      </c>
      <c r="I29" s="64" t="s">
        <v>1926</v>
      </c>
      <c r="J29" s="3" t="s">
        <v>1928</v>
      </c>
      <c r="K29" s="3" t="s">
        <v>1929</v>
      </c>
      <c r="L29" s="3" t="s">
        <v>2202</v>
      </c>
      <c r="M29" s="3" t="s">
        <v>2236</v>
      </c>
      <c r="N29" s="3" t="s">
        <v>2658</v>
      </c>
    </row>
    <row r="30" ht="12.75" customHeight="1">
      <c r="A30" s="58" t="s">
        <v>2208</v>
      </c>
      <c r="B30" s="58" t="s">
        <v>2216</v>
      </c>
      <c r="C30" s="58" t="s">
        <v>1537</v>
      </c>
      <c r="D30" s="3" t="s">
        <v>2957</v>
      </c>
      <c r="E30" s="58" t="s">
        <v>2232</v>
      </c>
      <c r="F30" s="64" t="s">
        <v>1960</v>
      </c>
      <c r="G30" s="64" t="s">
        <v>2233</v>
      </c>
      <c r="H30" s="3" t="s">
        <v>1927</v>
      </c>
      <c r="I30" s="64" t="s">
        <v>1926</v>
      </c>
      <c r="J30" s="3" t="s">
        <v>1928</v>
      </c>
      <c r="K30" s="3" t="s">
        <v>1929</v>
      </c>
      <c r="L30" s="3" t="s">
        <v>2202</v>
      </c>
      <c r="M30" s="3" t="s">
        <v>2236</v>
      </c>
      <c r="N30" s="3" t="s">
        <v>2235</v>
      </c>
    </row>
    <row r="31" ht="12.75" customHeight="1">
      <c r="A31" s="58" t="s">
        <v>2408</v>
      </c>
      <c r="B31" s="58" t="s">
        <v>2412</v>
      </c>
      <c r="C31" s="58" t="s">
        <v>1562</v>
      </c>
      <c r="D31" s="3" t="s">
        <v>2957</v>
      </c>
      <c r="E31" s="58" t="s">
        <v>2423</v>
      </c>
      <c r="F31" s="64" t="s">
        <v>1977</v>
      </c>
      <c r="G31" s="64" t="s">
        <v>1978</v>
      </c>
      <c r="H31" s="3" t="s">
        <v>1927</v>
      </c>
      <c r="I31" s="64" t="s">
        <v>1926</v>
      </c>
      <c r="J31" s="3" t="s">
        <v>1928</v>
      </c>
      <c r="K31" s="3" t="s">
        <v>1929</v>
      </c>
      <c r="L31" s="3" t="s">
        <v>2202</v>
      </c>
      <c r="M31" s="3" t="s">
        <v>2236</v>
      </c>
      <c r="N31" s="3" t="s">
        <v>2425</v>
      </c>
    </row>
    <row r="32" ht="12.75" customHeight="1">
      <c r="A32" s="58" t="s">
        <v>2376</v>
      </c>
      <c r="B32" s="58" t="s">
        <v>2379</v>
      </c>
      <c r="C32" s="58" t="s">
        <v>1508</v>
      </c>
      <c r="D32" s="3" t="s">
        <v>2957</v>
      </c>
      <c r="E32" s="58" t="s">
        <v>2388</v>
      </c>
      <c r="F32" s="64" t="s">
        <v>1960</v>
      </c>
      <c r="G32" s="64" t="s">
        <v>2101</v>
      </c>
      <c r="H32" s="3" t="s">
        <v>1927</v>
      </c>
      <c r="I32" s="64" t="s">
        <v>1926</v>
      </c>
      <c r="J32" s="3" t="s">
        <v>1928</v>
      </c>
      <c r="K32" s="3" t="s">
        <v>1929</v>
      </c>
      <c r="L32" s="3" t="s">
        <v>2202</v>
      </c>
      <c r="M32" s="3" t="s">
        <v>2236</v>
      </c>
      <c r="N32" s="3" t="s">
        <v>2390</v>
      </c>
    </row>
    <row r="33" ht="12.75" customHeight="1">
      <c r="A33" s="58" t="s">
        <v>2876</v>
      </c>
      <c r="B33" s="58" t="s">
        <v>2880</v>
      </c>
      <c r="C33" s="58" t="s">
        <v>1539</v>
      </c>
      <c r="D33" s="3" t="s">
        <v>2957</v>
      </c>
      <c r="E33" s="58" t="s">
        <v>2890</v>
      </c>
      <c r="F33" s="64" t="s">
        <v>1960</v>
      </c>
      <c r="G33" s="64" t="s">
        <v>2101</v>
      </c>
      <c r="H33" s="3" t="s">
        <v>1927</v>
      </c>
      <c r="I33" s="64" t="s">
        <v>1926</v>
      </c>
      <c r="J33" s="3" t="s">
        <v>1928</v>
      </c>
      <c r="K33" s="3" t="s">
        <v>1929</v>
      </c>
      <c r="L33" s="3" t="s">
        <v>2202</v>
      </c>
      <c r="M33" s="3" t="s">
        <v>2236</v>
      </c>
      <c r="N33" s="3" t="s">
        <v>2892</v>
      </c>
    </row>
    <row r="34" ht="12.75" customHeight="1">
      <c r="A34" s="58" t="s">
        <v>2333</v>
      </c>
      <c r="B34" s="58" t="s">
        <v>2337</v>
      </c>
      <c r="C34" s="58" t="s">
        <v>1553</v>
      </c>
      <c r="D34" s="3" t="s">
        <v>2957</v>
      </c>
      <c r="E34" s="58" t="s">
        <v>2352</v>
      </c>
      <c r="F34" s="64" t="s">
        <v>1924</v>
      </c>
      <c r="G34" s="64" t="s">
        <v>2353</v>
      </c>
      <c r="H34" s="3" t="s">
        <v>1927</v>
      </c>
      <c r="I34" s="64" t="s">
        <v>1926</v>
      </c>
      <c r="J34" s="3" t="s">
        <v>1928</v>
      </c>
      <c r="K34" s="3" t="s">
        <v>1929</v>
      </c>
      <c r="L34" s="3" t="s">
        <v>2202</v>
      </c>
      <c r="M34" s="3" t="s">
        <v>2236</v>
      </c>
      <c r="N34" s="3" t="s">
        <v>2355</v>
      </c>
    </row>
    <row r="35" ht="12.75" customHeight="1">
      <c r="A35" s="58" t="s">
        <v>2601</v>
      </c>
      <c r="B35" s="58" t="s">
        <v>2604</v>
      </c>
      <c r="C35" s="58" t="s">
        <v>1546</v>
      </c>
      <c r="D35" s="3" t="s">
        <v>2957</v>
      </c>
      <c r="E35" s="58" t="s">
        <v>2612</v>
      </c>
      <c r="F35" s="64" t="s">
        <v>1924</v>
      </c>
      <c r="G35" s="64" t="s">
        <v>2353</v>
      </c>
      <c r="H35" s="3" t="s">
        <v>1927</v>
      </c>
      <c r="I35" s="64" t="s">
        <v>1926</v>
      </c>
      <c r="J35" s="3" t="s">
        <v>1928</v>
      </c>
      <c r="K35" s="3" t="s">
        <v>1929</v>
      </c>
      <c r="L35" s="3" t="s">
        <v>2202</v>
      </c>
      <c r="M35" s="3" t="s">
        <v>2236</v>
      </c>
      <c r="N35" s="3" t="s">
        <v>2614</v>
      </c>
    </row>
    <row r="36" ht="12.75" customHeight="1">
      <c r="A36" s="58" t="s">
        <v>2239</v>
      </c>
      <c r="B36" s="58" t="s">
        <v>2243</v>
      </c>
      <c r="C36" s="58" t="s">
        <v>1538</v>
      </c>
      <c r="D36" s="3" t="s">
        <v>2957</v>
      </c>
      <c r="E36" s="58" t="s">
        <v>2259</v>
      </c>
      <c r="F36" s="64" t="s">
        <v>1960</v>
      </c>
      <c r="G36" s="64" t="s">
        <v>2260</v>
      </c>
      <c r="H36" s="3" t="s">
        <v>1927</v>
      </c>
      <c r="I36" s="64" t="s">
        <v>1926</v>
      </c>
      <c r="J36" s="3" t="s">
        <v>1928</v>
      </c>
      <c r="K36" s="3" t="s">
        <v>1929</v>
      </c>
      <c r="L36" s="3" t="s">
        <v>2202</v>
      </c>
      <c r="M36" s="3" t="s">
        <v>2236</v>
      </c>
      <c r="N36" s="3" t="s">
        <v>2262</v>
      </c>
    </row>
    <row r="37" ht="12.75" customHeight="1">
      <c r="A37" s="58" t="s">
        <v>2265</v>
      </c>
      <c r="B37" s="58" t="s">
        <v>2269</v>
      </c>
      <c r="C37" s="58" t="s">
        <v>1558</v>
      </c>
      <c r="D37" s="3" t="s">
        <v>2957</v>
      </c>
      <c r="E37" s="58" t="s">
        <v>2287</v>
      </c>
      <c r="F37" s="64" t="s">
        <v>1960</v>
      </c>
      <c r="G37" s="66" t="s">
        <v>2959</v>
      </c>
      <c r="H37" s="3" t="s">
        <v>1927</v>
      </c>
      <c r="I37" s="64" t="s">
        <v>1926</v>
      </c>
      <c r="J37" s="3" t="s">
        <v>1928</v>
      </c>
      <c r="K37" s="3" t="s">
        <v>1929</v>
      </c>
      <c r="L37" s="3" t="s">
        <v>2202</v>
      </c>
      <c r="M37" s="3" t="s">
        <v>2236</v>
      </c>
      <c r="N37" s="3" t="s">
        <v>2289</v>
      </c>
    </row>
    <row r="38" ht="12.75" customHeight="1">
      <c r="A38" s="58" t="s">
        <v>2318</v>
      </c>
      <c r="B38" s="58" t="s">
        <v>2321</v>
      </c>
      <c r="C38" s="58" t="s">
        <v>1545</v>
      </c>
      <c r="D38" s="3" t="s">
        <v>2957</v>
      </c>
      <c r="E38" s="58" t="s">
        <v>2329</v>
      </c>
      <c r="F38" s="64" t="s">
        <v>1960</v>
      </c>
      <c r="G38" s="66" t="s">
        <v>2959</v>
      </c>
      <c r="H38" s="3" t="s">
        <v>1927</v>
      </c>
      <c r="I38" s="64" t="s">
        <v>1926</v>
      </c>
      <c r="J38" s="3" t="s">
        <v>1928</v>
      </c>
      <c r="K38" s="3" t="s">
        <v>1929</v>
      </c>
      <c r="L38" s="3" t="s">
        <v>2202</v>
      </c>
      <c r="M38" s="3" t="s">
        <v>2236</v>
      </c>
      <c r="N38" s="3" t="s">
        <v>2331</v>
      </c>
    </row>
    <row r="39" ht="12.75" customHeight="1">
      <c r="A39" s="58" t="s">
        <v>2490</v>
      </c>
      <c r="B39" s="58" t="s">
        <v>2493</v>
      </c>
      <c r="C39" s="58" t="s">
        <v>1572</v>
      </c>
      <c r="D39" s="3" t="s">
        <v>2957</v>
      </c>
      <c r="E39" s="58" t="s">
        <v>2501</v>
      </c>
      <c r="F39" s="64"/>
      <c r="G39" s="64"/>
      <c r="I39" s="64"/>
      <c r="J39" s="3" t="s">
        <v>1928</v>
      </c>
      <c r="K39" s="3" t="s">
        <v>1929</v>
      </c>
      <c r="L39" s="3" t="s">
        <v>2202</v>
      </c>
      <c r="M39" s="3" t="s">
        <v>2236</v>
      </c>
      <c r="N39" s="3" t="s">
        <v>2503</v>
      </c>
    </row>
    <row r="40" ht="12.75" customHeight="1">
      <c r="A40" s="58" t="s">
        <v>2895</v>
      </c>
      <c r="B40" s="58" t="s">
        <v>2898</v>
      </c>
      <c r="C40" s="58" t="s">
        <v>1514</v>
      </c>
      <c r="D40" s="3" t="s">
        <v>2957</v>
      </c>
      <c r="E40" s="58" t="s">
        <v>2907</v>
      </c>
      <c r="F40" s="64" t="s">
        <v>1960</v>
      </c>
      <c r="G40" s="66" t="s">
        <v>2960</v>
      </c>
      <c r="H40" s="3" t="s">
        <v>1927</v>
      </c>
      <c r="I40" s="64" t="s">
        <v>1926</v>
      </c>
      <c r="J40" s="3" t="s">
        <v>1928</v>
      </c>
      <c r="K40" s="3" t="s">
        <v>1929</v>
      </c>
      <c r="L40" s="3" t="s">
        <v>2009</v>
      </c>
      <c r="M40" s="3" t="s">
        <v>2910</v>
      </c>
      <c r="N40" s="3" t="s">
        <v>2909</v>
      </c>
    </row>
    <row r="41" ht="12.75" customHeight="1">
      <c r="A41" s="58" t="s">
        <v>2795</v>
      </c>
      <c r="B41" s="58" t="s">
        <v>2798</v>
      </c>
      <c r="C41" s="58" t="s">
        <v>1532</v>
      </c>
      <c r="D41" s="3" t="s">
        <v>2957</v>
      </c>
      <c r="E41" s="58" t="s">
        <v>2807</v>
      </c>
      <c r="F41" s="64" t="s">
        <v>1960</v>
      </c>
      <c r="G41" s="64" t="s">
        <v>2808</v>
      </c>
      <c r="H41" s="3" t="s">
        <v>1927</v>
      </c>
      <c r="I41" s="64" t="s">
        <v>1962</v>
      </c>
      <c r="J41" s="3" t="s">
        <v>1928</v>
      </c>
      <c r="K41" s="3" t="s">
        <v>1929</v>
      </c>
      <c r="L41" s="3" t="s">
        <v>2202</v>
      </c>
      <c r="M41" s="3" t="s">
        <v>2687</v>
      </c>
      <c r="N41" s="3" t="s">
        <v>2810</v>
      </c>
    </row>
    <row r="42" ht="12.75" customHeight="1">
      <c r="A42" s="58" t="s">
        <v>2661</v>
      </c>
      <c r="B42" s="58" t="s">
        <v>2665</v>
      </c>
      <c r="C42" s="58" t="s">
        <v>1541</v>
      </c>
      <c r="D42" s="3" t="s">
        <v>2957</v>
      </c>
      <c r="E42" s="58" t="s">
        <v>2683</v>
      </c>
      <c r="F42" s="64" t="s">
        <v>1924</v>
      </c>
      <c r="G42" s="64" t="s">
        <v>2684</v>
      </c>
      <c r="H42" s="3" t="s">
        <v>1927</v>
      </c>
      <c r="I42" s="64" t="s">
        <v>1926</v>
      </c>
      <c r="J42" s="3" t="s">
        <v>1928</v>
      </c>
      <c r="K42" s="3" t="s">
        <v>1929</v>
      </c>
      <c r="L42" s="3" t="s">
        <v>2202</v>
      </c>
      <c r="M42" s="3" t="s">
        <v>2687</v>
      </c>
      <c r="N42" s="3" t="s">
        <v>2686</v>
      </c>
    </row>
    <row r="43" ht="12.75" customHeight="1">
      <c r="A43" s="58" t="s">
        <v>2812</v>
      </c>
      <c r="B43" s="58" t="s">
        <v>2815</v>
      </c>
      <c r="C43" s="58" t="s">
        <v>1527</v>
      </c>
      <c r="D43" s="3" t="s">
        <v>2957</v>
      </c>
      <c r="E43" s="58" t="s">
        <v>2822</v>
      </c>
      <c r="F43" s="64" t="s">
        <v>1960</v>
      </c>
      <c r="G43" s="66" t="s">
        <v>2960</v>
      </c>
      <c r="H43" s="3" t="s">
        <v>1927</v>
      </c>
      <c r="I43" s="64" t="s">
        <v>1926</v>
      </c>
      <c r="J43" s="3" t="s">
        <v>1928</v>
      </c>
      <c r="K43" s="3" t="s">
        <v>1929</v>
      </c>
      <c r="L43" s="3" t="s">
        <v>2202</v>
      </c>
      <c r="M43" s="3" t="s">
        <v>2687</v>
      </c>
      <c r="N43" s="3" t="s">
        <v>2810</v>
      </c>
    </row>
    <row r="44" ht="12.75" customHeight="1">
      <c r="A44" s="58" t="s">
        <v>2825</v>
      </c>
      <c r="B44" s="58" t="s">
        <v>2827</v>
      </c>
      <c r="C44" s="58" t="s">
        <v>1525</v>
      </c>
      <c r="D44" s="3" t="s">
        <v>2957</v>
      </c>
      <c r="E44" s="58" t="s">
        <v>2831</v>
      </c>
      <c r="F44" s="64" t="s">
        <v>1960</v>
      </c>
      <c r="G44" s="66" t="s">
        <v>2960</v>
      </c>
      <c r="H44" s="3" t="s">
        <v>1927</v>
      </c>
      <c r="I44" s="64" t="s">
        <v>1926</v>
      </c>
      <c r="J44" s="3" t="s">
        <v>1928</v>
      </c>
      <c r="K44" s="3" t="s">
        <v>1929</v>
      </c>
      <c r="L44" s="3" t="s">
        <v>2202</v>
      </c>
      <c r="M44" s="3" t="s">
        <v>2687</v>
      </c>
      <c r="N44" s="3" t="s">
        <v>2810</v>
      </c>
    </row>
    <row r="45" ht="12.75" customHeight="1">
      <c r="A45" s="58" t="s">
        <v>2121</v>
      </c>
      <c r="B45" s="58" t="s">
        <v>2124</v>
      </c>
      <c r="C45" s="58" t="s">
        <v>1506</v>
      </c>
      <c r="D45" s="3" t="s">
        <v>2957</v>
      </c>
      <c r="E45" s="58" t="s">
        <v>2130</v>
      </c>
      <c r="F45" s="64" t="s">
        <v>1977</v>
      </c>
      <c r="G45" s="64" t="s">
        <v>2131</v>
      </c>
      <c r="H45" s="3" t="s">
        <v>1927</v>
      </c>
      <c r="I45" s="64" t="s">
        <v>1926</v>
      </c>
      <c r="J45" s="3" t="s">
        <v>1928</v>
      </c>
      <c r="K45" s="3" t="s">
        <v>1929</v>
      </c>
      <c r="L45" s="3" t="s">
        <v>2009</v>
      </c>
      <c r="M45" s="3" t="s">
        <v>2134</v>
      </c>
      <c r="N45" s="3" t="s">
        <v>2133</v>
      </c>
    </row>
    <row r="46" ht="12.75" customHeight="1">
      <c r="A46" s="58" t="s">
        <v>1967</v>
      </c>
      <c r="B46" s="58" t="s">
        <v>1970</v>
      </c>
      <c r="C46" s="58" t="s">
        <v>1560</v>
      </c>
      <c r="D46" s="3" t="s">
        <v>2957</v>
      </c>
      <c r="E46" s="58" t="s">
        <v>1976</v>
      </c>
      <c r="F46" s="64" t="s">
        <v>1977</v>
      </c>
      <c r="G46" s="64" t="s">
        <v>1978</v>
      </c>
      <c r="H46" s="3" t="s">
        <v>1927</v>
      </c>
      <c r="I46" s="64" t="s">
        <v>1926</v>
      </c>
      <c r="J46" s="3" t="s">
        <v>1928</v>
      </c>
      <c r="K46" s="3" t="s">
        <v>1929</v>
      </c>
      <c r="L46" s="3" t="s">
        <v>1930</v>
      </c>
      <c r="M46" s="3" t="s">
        <v>1981</v>
      </c>
      <c r="N46" s="3" t="s">
        <v>1980</v>
      </c>
    </row>
    <row r="47" ht="12.75" customHeight="1">
      <c r="A47" s="58" t="s">
        <v>2444</v>
      </c>
      <c r="B47" s="58" t="s">
        <v>2446</v>
      </c>
      <c r="C47" s="58" t="s">
        <v>1549</v>
      </c>
      <c r="D47" s="3" t="s">
        <v>2957</v>
      </c>
      <c r="E47" s="58" t="s">
        <v>2453</v>
      </c>
      <c r="F47" s="64" t="s">
        <v>1960</v>
      </c>
      <c r="G47" s="64" t="s">
        <v>2454</v>
      </c>
      <c r="H47" s="3" t="s">
        <v>1927</v>
      </c>
      <c r="I47" s="64" t="s">
        <v>1926</v>
      </c>
      <c r="J47" s="3" t="s">
        <v>1928</v>
      </c>
      <c r="K47" s="3" t="s">
        <v>1929</v>
      </c>
      <c r="L47" s="3" t="s">
        <v>2202</v>
      </c>
      <c r="M47" s="3" t="s">
        <v>2457</v>
      </c>
      <c r="N47" s="3" t="s">
        <v>2456</v>
      </c>
    </row>
    <row r="48" ht="12.75" customHeight="1">
      <c r="A48" s="58" t="s">
        <v>2577</v>
      </c>
      <c r="B48" s="58" t="s">
        <v>2580</v>
      </c>
      <c r="C48" s="58" t="s">
        <v>1521</v>
      </c>
      <c r="D48" s="3" t="s">
        <v>2957</v>
      </c>
      <c r="E48" s="58" t="s">
        <v>2594</v>
      </c>
      <c r="F48" s="64" t="s">
        <v>1960</v>
      </c>
      <c r="G48" s="64" t="s">
        <v>2595</v>
      </c>
      <c r="H48" s="3" t="s">
        <v>1927</v>
      </c>
      <c r="I48" s="64" t="s">
        <v>1926</v>
      </c>
      <c r="J48" s="3" t="s">
        <v>1928</v>
      </c>
      <c r="K48" s="3" t="s">
        <v>1929</v>
      </c>
      <c r="L48" s="3" t="s">
        <v>2202</v>
      </c>
      <c r="M48" s="3" t="s">
        <v>2598</v>
      </c>
      <c r="N48" s="3" t="s">
        <v>2597</v>
      </c>
    </row>
    <row r="49" ht="12.75" customHeight="1">
      <c r="A49" s="58" t="s">
        <v>1936</v>
      </c>
      <c r="B49" s="58" t="s">
        <v>1940</v>
      </c>
      <c r="C49" s="58" t="s">
        <v>1544</v>
      </c>
      <c r="D49" s="3" t="s">
        <v>2957</v>
      </c>
      <c r="E49" s="58" t="s">
        <v>1959</v>
      </c>
      <c r="F49" s="64" t="s">
        <v>1960</v>
      </c>
      <c r="G49" s="66" t="s">
        <v>2959</v>
      </c>
      <c r="H49" s="3" t="s">
        <v>1927</v>
      </c>
      <c r="I49" s="64" t="s">
        <v>1962</v>
      </c>
      <c r="J49" s="3" t="s">
        <v>1928</v>
      </c>
      <c r="K49" s="3" t="s">
        <v>1929</v>
      </c>
      <c r="L49" s="3" t="s">
        <v>1930</v>
      </c>
      <c r="M49" s="3" t="s">
        <v>1965</v>
      </c>
      <c r="N49" s="3" t="s">
        <v>1964</v>
      </c>
    </row>
    <row r="50" ht="12.75" customHeight="1">
      <c r="A50" s="58" t="s">
        <v>2164</v>
      </c>
      <c r="B50" s="58" t="s">
        <v>2167</v>
      </c>
      <c r="C50" s="58" t="s">
        <v>1524</v>
      </c>
      <c r="D50" s="3" t="s">
        <v>2957</v>
      </c>
      <c r="E50" s="58" t="s">
        <v>2179</v>
      </c>
      <c r="F50" s="64" t="s">
        <v>1977</v>
      </c>
      <c r="G50" s="64" t="s">
        <v>2180</v>
      </c>
      <c r="H50" s="3" t="s">
        <v>1927</v>
      </c>
      <c r="I50" s="64" t="s">
        <v>1926</v>
      </c>
      <c r="J50" s="3" t="s">
        <v>1928</v>
      </c>
      <c r="K50" s="3" t="s">
        <v>1929</v>
      </c>
      <c r="L50" s="3" t="s">
        <v>2009</v>
      </c>
      <c r="M50" s="3" t="s">
        <v>2183</v>
      </c>
      <c r="N50" s="3" t="s">
        <v>2182</v>
      </c>
    </row>
    <row r="51" ht="12.75" customHeight="1">
      <c r="A51" s="58" t="s">
        <v>2913</v>
      </c>
      <c r="B51" s="58" t="s">
        <v>2916</v>
      </c>
      <c r="C51" s="58" t="s">
        <v>1531</v>
      </c>
      <c r="D51" s="3" t="s">
        <v>2957</v>
      </c>
      <c r="E51" s="58" t="s">
        <v>2928</v>
      </c>
      <c r="F51" s="64" t="s">
        <v>1960</v>
      </c>
      <c r="G51" s="66" t="s">
        <v>2959</v>
      </c>
      <c r="H51" s="3" t="s">
        <v>1927</v>
      </c>
      <c r="I51" s="64" t="s">
        <v>1926</v>
      </c>
    </row>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autoFilter ref="$A$1:$N$1000">
    <sortState ref="A1:N1000">
      <sortCondition ref="M1:M1000"/>
      <sortCondition ref="L1:L1000"/>
      <sortCondition ref="J1:J1000"/>
      <sortCondition ref="I1:I1000"/>
      <sortCondition ref="H1:H1000"/>
      <sortCondition ref="G1:G1000"/>
      <sortCondition ref="F1:F1000"/>
    </sortState>
  </autoFilter>
  <printOptions/>
  <pageMargins bottom="0.75" footer="0.0" header="0.0" left="0.7" right="0.7" top="0.75"/>
  <pageSetup orientation="landscape"/>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8" width="8.0"/>
    <col customWidth="1" min="9" max="9" width="43.38"/>
    <col customWidth="1" min="10" max="57" width="8.0"/>
    <col customWidth="1" min="58" max="58" width="42.5"/>
    <col customWidth="1" min="59" max="73" width="8.0"/>
  </cols>
  <sheetData>
    <row r="1" ht="12.75" customHeight="1">
      <c r="A1" s="13" t="s">
        <v>1806</v>
      </c>
      <c r="B1" s="13" t="s">
        <v>1807</v>
      </c>
      <c r="C1" s="13" t="s">
        <v>1808</v>
      </c>
      <c r="D1" s="13" t="s">
        <v>1809</v>
      </c>
      <c r="E1" s="13" t="s">
        <v>1810</v>
      </c>
      <c r="F1" s="13" t="s">
        <v>1811</v>
      </c>
      <c r="G1" s="13" t="s">
        <v>1812</v>
      </c>
      <c r="H1" s="13" t="s">
        <v>1813</v>
      </c>
      <c r="I1" s="13" t="s">
        <v>1814</v>
      </c>
      <c r="J1" s="13" t="s">
        <v>1815</v>
      </c>
      <c r="K1" s="13" t="s">
        <v>1816</v>
      </c>
      <c r="L1" s="13" t="s">
        <v>1817</v>
      </c>
      <c r="M1" s="13" t="s">
        <v>1818</v>
      </c>
      <c r="N1" s="13" t="s">
        <v>1819</v>
      </c>
      <c r="O1" s="13" t="s">
        <v>1820</v>
      </c>
      <c r="P1" s="13" t="s">
        <v>1821</v>
      </c>
      <c r="Q1" s="13" t="s">
        <v>1822</v>
      </c>
      <c r="R1" s="13" t="s">
        <v>1823</v>
      </c>
      <c r="S1" s="13" t="s">
        <v>1824</v>
      </c>
      <c r="T1" s="13" t="s">
        <v>1825</v>
      </c>
      <c r="U1" s="13" t="s">
        <v>1826</v>
      </c>
      <c r="V1" s="13" t="s">
        <v>1827</v>
      </c>
      <c r="W1" s="13" t="s">
        <v>1828</v>
      </c>
      <c r="X1" s="13" t="s">
        <v>1829</v>
      </c>
      <c r="Y1" s="13" t="s">
        <v>1830</v>
      </c>
      <c r="Z1" s="13" t="s">
        <v>1831</v>
      </c>
      <c r="AA1" s="13" t="s">
        <v>1832</v>
      </c>
      <c r="AB1" s="13" t="s">
        <v>1833</v>
      </c>
      <c r="AC1" s="13" t="s">
        <v>1834</v>
      </c>
      <c r="AD1" s="13" t="s">
        <v>1835</v>
      </c>
      <c r="AE1" s="13" t="s">
        <v>1836</v>
      </c>
      <c r="AF1" s="13" t="s">
        <v>1837</v>
      </c>
      <c r="AG1" s="13" t="s">
        <v>1838</v>
      </c>
      <c r="AH1" s="13" t="s">
        <v>1839</v>
      </c>
      <c r="AI1" s="13" t="s">
        <v>1840</v>
      </c>
      <c r="AJ1" s="13" t="s">
        <v>1841</v>
      </c>
      <c r="AK1" s="13" t="s">
        <v>1842</v>
      </c>
      <c r="AL1" s="13" t="s">
        <v>1843</v>
      </c>
      <c r="AM1" s="13" t="s">
        <v>1844</v>
      </c>
      <c r="AN1" s="13" t="s">
        <v>1845</v>
      </c>
      <c r="AO1" s="13" t="s">
        <v>1846</v>
      </c>
      <c r="AP1" s="13" t="s">
        <v>1847</v>
      </c>
      <c r="AQ1" s="13" t="s">
        <v>1848</v>
      </c>
      <c r="AR1" s="13" t="s">
        <v>1849</v>
      </c>
      <c r="AS1" s="13" t="s">
        <v>1850</v>
      </c>
      <c r="AT1" s="13" t="s">
        <v>1851</v>
      </c>
      <c r="AU1" s="13" t="s">
        <v>1852</v>
      </c>
      <c r="AV1" s="13" t="s">
        <v>1853</v>
      </c>
      <c r="AW1" s="13" t="s">
        <v>1854</v>
      </c>
      <c r="AX1" s="13" t="s">
        <v>1855</v>
      </c>
      <c r="AY1" s="13" t="s">
        <v>1856</v>
      </c>
      <c r="AZ1" s="13" t="s">
        <v>1857</v>
      </c>
      <c r="BA1" s="13" t="s">
        <v>1858</v>
      </c>
      <c r="BB1" s="13" t="s">
        <v>1859</v>
      </c>
      <c r="BC1" s="13" t="s">
        <v>1860</v>
      </c>
      <c r="BD1" s="13" t="s">
        <v>1861</v>
      </c>
      <c r="BE1" s="13" t="s">
        <v>21</v>
      </c>
      <c r="BF1" s="13" t="s">
        <v>1862</v>
      </c>
      <c r="BG1" s="13"/>
      <c r="BH1" s="13" t="s">
        <v>1863</v>
      </c>
      <c r="BI1" s="13" t="s">
        <v>1864</v>
      </c>
      <c r="BJ1" s="13" t="s">
        <v>1865</v>
      </c>
      <c r="BK1" s="13" t="s">
        <v>1866</v>
      </c>
      <c r="BL1" s="13" t="s">
        <v>1867</v>
      </c>
      <c r="BM1" s="13" t="s">
        <v>1868</v>
      </c>
      <c r="BN1" s="13" t="s">
        <v>1869</v>
      </c>
      <c r="BO1" s="13" t="s">
        <v>1870</v>
      </c>
      <c r="BP1" s="13" t="s">
        <v>1871</v>
      </c>
      <c r="BQ1" s="13" t="s">
        <v>1872</v>
      </c>
      <c r="BR1" s="13" t="s">
        <v>1873</v>
      </c>
      <c r="BS1" s="13" t="s">
        <v>1874</v>
      </c>
      <c r="BT1" s="13" t="s">
        <v>1875</v>
      </c>
      <c r="BU1" s="13" t="s">
        <v>1895</v>
      </c>
    </row>
    <row r="2" ht="12.75" customHeight="1">
      <c r="A2" s="13" t="s">
        <v>1896</v>
      </c>
      <c r="B2" s="13" t="s">
        <v>2875</v>
      </c>
      <c r="C2" s="13" t="s">
        <v>1482</v>
      </c>
      <c r="D2" s="13" t="s">
        <v>1482</v>
      </c>
      <c r="E2" s="13" t="s">
        <v>1482</v>
      </c>
      <c r="F2" s="13" t="s">
        <v>2875</v>
      </c>
      <c r="G2" s="13" t="s">
        <v>1482</v>
      </c>
      <c r="H2" s="13" t="s">
        <v>1482</v>
      </c>
      <c r="I2" s="13" t="s">
        <v>2876</v>
      </c>
      <c r="J2" s="13" t="s">
        <v>2877</v>
      </c>
      <c r="K2" s="13" t="s">
        <v>1482</v>
      </c>
      <c r="L2" s="13" t="s">
        <v>1482</v>
      </c>
      <c r="M2" s="13" t="s">
        <v>1901</v>
      </c>
      <c r="N2" s="13" t="s">
        <v>1902</v>
      </c>
      <c r="O2" s="13" t="s">
        <v>1482</v>
      </c>
      <c r="P2" s="13" t="s">
        <v>1482</v>
      </c>
      <c r="Q2" s="13" t="s">
        <v>1482</v>
      </c>
      <c r="R2" s="13" t="s">
        <v>1482</v>
      </c>
      <c r="S2" s="13" t="s">
        <v>1482</v>
      </c>
      <c r="T2" s="13" t="s">
        <v>2878</v>
      </c>
      <c r="U2" s="13" t="s">
        <v>2879</v>
      </c>
      <c r="V2" s="13" t="s">
        <v>2880</v>
      </c>
      <c r="W2" s="13" t="s">
        <v>2881</v>
      </c>
      <c r="X2" s="13" t="s">
        <v>2882</v>
      </c>
      <c r="Y2" s="13" t="s">
        <v>2883</v>
      </c>
      <c r="Z2" s="13" t="s">
        <v>2884</v>
      </c>
      <c r="AA2" s="13" t="s">
        <v>1482</v>
      </c>
      <c r="AB2" s="13" t="s">
        <v>1482</v>
      </c>
      <c r="AC2" s="13" t="s">
        <v>1482</v>
      </c>
      <c r="AD2" s="13" t="s">
        <v>1482</v>
      </c>
      <c r="AE2" s="13" t="s">
        <v>1482</v>
      </c>
      <c r="AF2" s="13" t="s">
        <v>1482</v>
      </c>
      <c r="AG2" s="13">
        <v>46.0</v>
      </c>
      <c r="AH2" s="13">
        <v>17.0</v>
      </c>
      <c r="AI2" s="13">
        <v>22.0</v>
      </c>
      <c r="AJ2" s="13">
        <v>0.0</v>
      </c>
      <c r="AK2" s="13">
        <v>6.0</v>
      </c>
      <c r="AL2" s="13" t="s">
        <v>2416</v>
      </c>
      <c r="AM2" s="13" t="s">
        <v>2225</v>
      </c>
      <c r="AN2" s="13" t="s">
        <v>2885</v>
      </c>
      <c r="AO2" s="13" t="s">
        <v>2886</v>
      </c>
      <c r="AP2" s="13" t="s">
        <v>1482</v>
      </c>
      <c r="AQ2" s="13" t="s">
        <v>1482</v>
      </c>
      <c r="AR2" s="13" t="s">
        <v>2887</v>
      </c>
      <c r="AS2" s="13" t="s">
        <v>2888</v>
      </c>
      <c r="AT2" s="13" t="s">
        <v>2568</v>
      </c>
      <c r="AU2" s="13">
        <v>1998.0</v>
      </c>
      <c r="AV2" s="13">
        <v>14.0</v>
      </c>
      <c r="AW2" s="13" t="s">
        <v>1482</v>
      </c>
      <c r="AX2" s="13">
        <v>5.0</v>
      </c>
      <c r="AY2" s="13" t="s">
        <v>1482</v>
      </c>
      <c r="AZ2" s="13" t="s">
        <v>1482</v>
      </c>
      <c r="BA2" s="13" t="s">
        <v>1482</v>
      </c>
      <c r="BB2" s="13">
        <v>629.0</v>
      </c>
      <c r="BC2" s="13">
        <v>643.0</v>
      </c>
      <c r="BD2" s="13" t="s">
        <v>1482</v>
      </c>
      <c r="BE2" s="13" t="s">
        <v>1539</v>
      </c>
      <c r="BF2" s="15" t="str">
        <f>HYPERLINK("http://dx.doi.org/10.1017/S0266467498000443","http://dx.doi.org/10.1017/S0266467498000443")</f>
        <v>http://dx.doi.org/10.1017/S0266467498000443</v>
      </c>
      <c r="BG2" s="13"/>
      <c r="BH2" s="13" t="s">
        <v>1482</v>
      </c>
      <c r="BI2" s="13" t="s">
        <v>1482</v>
      </c>
      <c r="BJ2" s="13">
        <v>15.0</v>
      </c>
      <c r="BK2" s="13" t="s">
        <v>2154</v>
      </c>
      <c r="BL2" s="13" t="s">
        <v>1920</v>
      </c>
      <c r="BM2" s="13" t="s">
        <v>2156</v>
      </c>
      <c r="BN2" s="13" t="s">
        <v>2889</v>
      </c>
      <c r="BO2" s="13" t="s">
        <v>1482</v>
      </c>
      <c r="BP2" s="13" t="s">
        <v>1482</v>
      </c>
      <c r="BQ2" s="13" t="s">
        <v>1482</v>
      </c>
      <c r="BR2" s="13" t="s">
        <v>1482</v>
      </c>
      <c r="BS2" s="13" t="s">
        <v>2961</v>
      </c>
      <c r="BT2" s="13" t="s">
        <v>2890</v>
      </c>
      <c r="BU2" s="13" t="str">
        <f>HYPERLINK("https%3A%2F%2Fwww.webofscience.com%2Fwos%2Fwoscc%2Ffull-record%2FWOS:000077020100005","View Full Record in Web of Science")</f>
        <v>View Full Record in Web of Science</v>
      </c>
    </row>
    <row r="3" ht="12.75" customHeight="1">
      <c r="A3" s="13" t="s">
        <v>1896</v>
      </c>
      <c r="B3" s="13" t="s">
        <v>2824</v>
      </c>
      <c r="C3" s="13" t="s">
        <v>1482</v>
      </c>
      <c r="D3" s="13" t="s">
        <v>1482</v>
      </c>
      <c r="E3" s="13" t="s">
        <v>1482</v>
      </c>
      <c r="F3" s="13" t="s">
        <v>2824</v>
      </c>
      <c r="G3" s="13" t="s">
        <v>1482</v>
      </c>
      <c r="H3" s="13" t="s">
        <v>1482</v>
      </c>
      <c r="I3" s="13" t="s">
        <v>2825</v>
      </c>
      <c r="J3" s="13" t="s">
        <v>2691</v>
      </c>
      <c r="K3" s="13" t="s">
        <v>1482</v>
      </c>
      <c r="L3" s="13" t="s">
        <v>1482</v>
      </c>
      <c r="M3" s="13" t="s">
        <v>1901</v>
      </c>
      <c r="N3" s="13" t="s">
        <v>1902</v>
      </c>
      <c r="O3" s="13" t="s">
        <v>1482</v>
      </c>
      <c r="P3" s="13" t="s">
        <v>1482</v>
      </c>
      <c r="Q3" s="13" t="s">
        <v>1482</v>
      </c>
      <c r="R3" s="13" t="s">
        <v>1482</v>
      </c>
      <c r="S3" s="13" t="s">
        <v>1482</v>
      </c>
      <c r="T3" s="13" t="s">
        <v>2826</v>
      </c>
      <c r="U3" s="13" t="s">
        <v>1482</v>
      </c>
      <c r="V3" s="13" t="s">
        <v>2827</v>
      </c>
      <c r="W3" s="13" t="s">
        <v>2828</v>
      </c>
      <c r="X3" s="13" t="s">
        <v>1482</v>
      </c>
      <c r="Y3" s="13" t="s">
        <v>2829</v>
      </c>
      <c r="Z3" s="13" t="s">
        <v>1482</v>
      </c>
      <c r="AA3" s="13" t="s">
        <v>1482</v>
      </c>
      <c r="AB3" s="13" t="s">
        <v>1482</v>
      </c>
      <c r="AC3" s="13" t="s">
        <v>1482</v>
      </c>
      <c r="AD3" s="13" t="s">
        <v>1482</v>
      </c>
      <c r="AE3" s="13" t="s">
        <v>1482</v>
      </c>
      <c r="AF3" s="13" t="s">
        <v>1482</v>
      </c>
      <c r="AG3" s="13">
        <v>14.0</v>
      </c>
      <c r="AH3" s="13">
        <v>31.0</v>
      </c>
      <c r="AI3" s="13">
        <v>34.0</v>
      </c>
      <c r="AJ3" s="13">
        <v>0.0</v>
      </c>
      <c r="AK3" s="13">
        <v>25.0</v>
      </c>
      <c r="AL3" s="13" t="s">
        <v>1998</v>
      </c>
      <c r="AM3" s="13" t="s">
        <v>1999</v>
      </c>
      <c r="AN3" s="13" t="s">
        <v>2000</v>
      </c>
      <c r="AO3" s="13" t="s">
        <v>2702</v>
      </c>
      <c r="AP3" s="13" t="s">
        <v>2703</v>
      </c>
      <c r="AQ3" s="13" t="s">
        <v>1482</v>
      </c>
      <c r="AR3" s="13" t="s">
        <v>2704</v>
      </c>
      <c r="AS3" s="13" t="s">
        <v>2705</v>
      </c>
      <c r="AT3" s="13" t="s">
        <v>2568</v>
      </c>
      <c r="AU3" s="13">
        <v>1991.0</v>
      </c>
      <c r="AV3" s="13">
        <v>29.0</v>
      </c>
      <c r="AW3" s="13">
        <v>3.0</v>
      </c>
      <c r="AX3" s="13" t="s">
        <v>1482</v>
      </c>
      <c r="AY3" s="13" t="s">
        <v>1482</v>
      </c>
      <c r="AZ3" s="13" t="s">
        <v>1482</v>
      </c>
      <c r="BA3" s="13" t="s">
        <v>1482</v>
      </c>
      <c r="BB3" s="13">
        <v>177.0</v>
      </c>
      <c r="BC3" s="13">
        <v>187.0</v>
      </c>
      <c r="BD3" s="13" t="s">
        <v>1482</v>
      </c>
      <c r="BE3" s="13" t="s">
        <v>1525</v>
      </c>
      <c r="BF3" s="15" t="str">
        <f>HYPERLINK("http://dx.doi.org/10.1111/j.1365-2028.1991.tb01000.x","http://dx.doi.org/10.1111/j.1365-2028.1991.tb01000.x")</f>
        <v>http://dx.doi.org/10.1111/j.1365-2028.1991.tb01000.x</v>
      </c>
      <c r="BG3" s="13"/>
      <c r="BH3" s="13" t="s">
        <v>1482</v>
      </c>
      <c r="BI3" s="13" t="s">
        <v>1482</v>
      </c>
      <c r="BJ3" s="13">
        <v>11.0</v>
      </c>
      <c r="BK3" s="13" t="s">
        <v>2154</v>
      </c>
      <c r="BL3" s="13" t="s">
        <v>1920</v>
      </c>
      <c r="BM3" s="13" t="s">
        <v>2156</v>
      </c>
      <c r="BN3" s="13" t="s">
        <v>2830</v>
      </c>
      <c r="BO3" s="13" t="s">
        <v>1482</v>
      </c>
      <c r="BP3" s="13" t="s">
        <v>1482</v>
      </c>
      <c r="BQ3" s="13" t="s">
        <v>1482</v>
      </c>
      <c r="BR3" s="13" t="s">
        <v>1482</v>
      </c>
      <c r="BS3" s="13" t="s">
        <v>2961</v>
      </c>
      <c r="BT3" s="13" t="s">
        <v>2831</v>
      </c>
      <c r="BU3" s="13" t="str">
        <f>HYPERLINK("https%3A%2F%2Fwww.webofscience.com%2Fwos%2Fwoscc%2Ffull-record%2FWOS:A1991HC73800001","View Full Record in Web of Science")</f>
        <v>View Full Record in Web of Science</v>
      </c>
    </row>
    <row r="4" ht="12.75" customHeight="1">
      <c r="A4" s="13" t="s">
        <v>1896</v>
      </c>
      <c r="B4" s="13" t="s">
        <v>2811</v>
      </c>
      <c r="C4" s="13" t="s">
        <v>1482</v>
      </c>
      <c r="D4" s="13" t="s">
        <v>1482</v>
      </c>
      <c r="E4" s="13" t="s">
        <v>1482</v>
      </c>
      <c r="F4" s="13" t="s">
        <v>2811</v>
      </c>
      <c r="G4" s="13" t="s">
        <v>1482</v>
      </c>
      <c r="H4" s="13" t="s">
        <v>1482</v>
      </c>
      <c r="I4" s="13" t="s">
        <v>2812</v>
      </c>
      <c r="J4" s="13" t="s">
        <v>2691</v>
      </c>
      <c r="K4" s="13" t="s">
        <v>1482</v>
      </c>
      <c r="L4" s="13" t="s">
        <v>1482</v>
      </c>
      <c r="M4" s="13" t="s">
        <v>1901</v>
      </c>
      <c r="N4" s="13" t="s">
        <v>1902</v>
      </c>
      <c r="O4" s="13" t="s">
        <v>1482</v>
      </c>
      <c r="P4" s="13" t="s">
        <v>1482</v>
      </c>
      <c r="Q4" s="13" t="s">
        <v>1482</v>
      </c>
      <c r="R4" s="13" t="s">
        <v>1482</v>
      </c>
      <c r="S4" s="13" t="s">
        <v>1482</v>
      </c>
      <c r="T4" s="13" t="s">
        <v>2813</v>
      </c>
      <c r="U4" s="13" t="s">
        <v>2814</v>
      </c>
      <c r="V4" s="13" t="s">
        <v>2815</v>
      </c>
      <c r="W4" s="13" t="s">
        <v>2816</v>
      </c>
      <c r="X4" s="13" t="s">
        <v>2817</v>
      </c>
      <c r="Y4" s="13" t="s">
        <v>2818</v>
      </c>
      <c r="Z4" s="13" t="s">
        <v>1482</v>
      </c>
      <c r="AA4" s="13" t="s">
        <v>2962</v>
      </c>
      <c r="AB4" s="13" t="s">
        <v>2963</v>
      </c>
      <c r="AC4" s="13" t="s">
        <v>1482</v>
      </c>
      <c r="AD4" s="13" t="s">
        <v>1482</v>
      </c>
      <c r="AE4" s="13" t="s">
        <v>1482</v>
      </c>
      <c r="AF4" s="13" t="s">
        <v>1482</v>
      </c>
      <c r="AG4" s="13">
        <v>25.0</v>
      </c>
      <c r="AH4" s="13">
        <v>32.0</v>
      </c>
      <c r="AI4" s="13">
        <v>35.0</v>
      </c>
      <c r="AJ4" s="13">
        <v>0.0</v>
      </c>
      <c r="AK4" s="13">
        <v>14.0</v>
      </c>
      <c r="AL4" s="13" t="s">
        <v>1998</v>
      </c>
      <c r="AM4" s="13" t="s">
        <v>1999</v>
      </c>
      <c r="AN4" s="13" t="s">
        <v>2000</v>
      </c>
      <c r="AO4" s="13" t="s">
        <v>2702</v>
      </c>
      <c r="AP4" s="13" t="s">
        <v>2703</v>
      </c>
      <c r="AQ4" s="13" t="s">
        <v>1482</v>
      </c>
      <c r="AR4" s="13" t="s">
        <v>2704</v>
      </c>
      <c r="AS4" s="13" t="s">
        <v>2705</v>
      </c>
      <c r="AT4" s="13" t="s">
        <v>2568</v>
      </c>
      <c r="AU4" s="13">
        <v>1997.0</v>
      </c>
      <c r="AV4" s="13">
        <v>35.0</v>
      </c>
      <c r="AW4" s="13">
        <v>3.0</v>
      </c>
      <c r="AX4" s="13" t="s">
        <v>1482</v>
      </c>
      <c r="AY4" s="13" t="s">
        <v>1482</v>
      </c>
      <c r="AZ4" s="13" t="s">
        <v>1482</v>
      </c>
      <c r="BA4" s="13" t="s">
        <v>1482</v>
      </c>
      <c r="BB4" s="13">
        <v>213.0</v>
      </c>
      <c r="BC4" s="13">
        <v>223.0</v>
      </c>
      <c r="BD4" s="13" t="s">
        <v>1482</v>
      </c>
      <c r="BE4" s="13" t="s">
        <v>1527</v>
      </c>
      <c r="BF4" s="15" t="str">
        <f>HYPERLINK("http://dx.doi.org/10.1111/j.1365-2028.1997.088-89088.x","http://dx.doi.org/10.1111/j.1365-2028.1997.088-89088.x")</f>
        <v>http://dx.doi.org/10.1111/j.1365-2028.1997.088-89088.x</v>
      </c>
      <c r="BG4" s="13"/>
      <c r="BH4" s="13" t="s">
        <v>1482</v>
      </c>
      <c r="BI4" s="13" t="s">
        <v>1482</v>
      </c>
      <c r="BJ4" s="13">
        <v>11.0</v>
      </c>
      <c r="BK4" s="13" t="s">
        <v>2154</v>
      </c>
      <c r="BL4" s="13" t="s">
        <v>1920</v>
      </c>
      <c r="BM4" s="13" t="s">
        <v>2156</v>
      </c>
      <c r="BN4" s="13" t="s">
        <v>2821</v>
      </c>
      <c r="BO4" s="13" t="s">
        <v>1482</v>
      </c>
      <c r="BP4" s="13" t="s">
        <v>1482</v>
      </c>
      <c r="BQ4" s="13" t="s">
        <v>1482</v>
      </c>
      <c r="BR4" s="13" t="s">
        <v>1482</v>
      </c>
      <c r="BS4" s="13" t="s">
        <v>2961</v>
      </c>
      <c r="BT4" s="13" t="s">
        <v>2822</v>
      </c>
      <c r="BU4" s="13" t="str">
        <f>HYPERLINK("https%3A%2F%2Fwww.webofscience.com%2Fwos%2Fwoscc%2Ffull-record%2FWOS:000072183400004","View Full Record in Web of Science")</f>
        <v>View Full Record in Web of Science</v>
      </c>
    </row>
    <row r="5" ht="12.75" customHeight="1">
      <c r="A5" s="13" t="s">
        <v>1896</v>
      </c>
      <c r="B5" s="13" t="s">
        <v>2964</v>
      </c>
      <c r="C5" s="13" t="s">
        <v>1482</v>
      </c>
      <c r="D5" s="13" t="s">
        <v>1482</v>
      </c>
      <c r="E5" s="13" t="s">
        <v>1482</v>
      </c>
      <c r="F5" s="13" t="s">
        <v>2964</v>
      </c>
      <c r="G5" s="13" t="s">
        <v>1482</v>
      </c>
      <c r="H5" s="13" t="s">
        <v>1482</v>
      </c>
      <c r="I5" s="13" t="s">
        <v>2965</v>
      </c>
      <c r="J5" s="13" t="s">
        <v>2877</v>
      </c>
      <c r="K5" s="13" t="s">
        <v>1482</v>
      </c>
      <c r="L5" s="13" t="s">
        <v>1482</v>
      </c>
      <c r="M5" s="13" t="s">
        <v>1901</v>
      </c>
      <c r="N5" s="13" t="s">
        <v>1902</v>
      </c>
      <c r="O5" s="13" t="s">
        <v>1482</v>
      </c>
      <c r="P5" s="13" t="s">
        <v>1482</v>
      </c>
      <c r="Q5" s="13" t="s">
        <v>1482</v>
      </c>
      <c r="R5" s="13" t="s">
        <v>1482</v>
      </c>
      <c r="S5" s="13" t="s">
        <v>1482</v>
      </c>
      <c r="T5" s="13" t="s">
        <v>2966</v>
      </c>
      <c r="U5" s="13" t="s">
        <v>1482</v>
      </c>
      <c r="V5" s="13" t="s">
        <v>2967</v>
      </c>
      <c r="W5" s="13" t="s">
        <v>1482</v>
      </c>
      <c r="X5" s="13" t="s">
        <v>1482</v>
      </c>
      <c r="Y5" s="13" t="s">
        <v>2968</v>
      </c>
      <c r="Z5" s="13" t="s">
        <v>1482</v>
      </c>
      <c r="AA5" s="13" t="s">
        <v>1482</v>
      </c>
      <c r="AB5" s="13" t="s">
        <v>1482</v>
      </c>
      <c r="AC5" s="13" t="s">
        <v>1482</v>
      </c>
      <c r="AD5" s="13" t="s">
        <v>1482</v>
      </c>
      <c r="AE5" s="13" t="s">
        <v>1482</v>
      </c>
      <c r="AF5" s="13" t="s">
        <v>1482</v>
      </c>
      <c r="AG5" s="13">
        <v>0.0</v>
      </c>
      <c r="AH5" s="13">
        <v>33.0</v>
      </c>
      <c r="AI5" s="13">
        <v>37.0</v>
      </c>
      <c r="AJ5" s="13">
        <v>0.0</v>
      </c>
      <c r="AK5" s="13">
        <v>10.0</v>
      </c>
      <c r="AL5" s="13" t="s">
        <v>2416</v>
      </c>
      <c r="AM5" s="13" t="s">
        <v>2225</v>
      </c>
      <c r="AN5" s="13" t="s">
        <v>2969</v>
      </c>
      <c r="AO5" s="13" t="s">
        <v>2886</v>
      </c>
      <c r="AP5" s="13" t="s">
        <v>1482</v>
      </c>
      <c r="AQ5" s="13" t="s">
        <v>1482</v>
      </c>
      <c r="AR5" s="13" t="s">
        <v>2887</v>
      </c>
      <c r="AS5" s="13" t="s">
        <v>2888</v>
      </c>
      <c r="AT5" s="13" t="s">
        <v>2285</v>
      </c>
      <c r="AU5" s="13">
        <v>1991.0</v>
      </c>
      <c r="AV5" s="13">
        <v>7.0</v>
      </c>
      <c r="AW5" s="13" t="s">
        <v>1482</v>
      </c>
      <c r="AX5" s="13">
        <v>1.0</v>
      </c>
      <c r="AY5" s="13" t="s">
        <v>1482</v>
      </c>
      <c r="AZ5" s="13" t="s">
        <v>1482</v>
      </c>
      <c r="BA5" s="13" t="s">
        <v>1482</v>
      </c>
      <c r="BB5" s="13">
        <v>25.0</v>
      </c>
      <c r="BC5" s="13">
        <v>36.0</v>
      </c>
      <c r="BD5" s="13" t="s">
        <v>1482</v>
      </c>
      <c r="BE5" s="13" t="s">
        <v>1526</v>
      </c>
      <c r="BF5" s="15" t="str">
        <f>HYPERLINK("http://dx.doi.org/10.1017/S0266467400005022","http://dx.doi.org/10.1017/S0266467400005022")</f>
        <v>http://dx.doi.org/10.1017/S0266467400005022</v>
      </c>
      <c r="BG5" s="13"/>
      <c r="BH5" s="13" t="s">
        <v>1482</v>
      </c>
      <c r="BI5" s="13" t="s">
        <v>1482</v>
      </c>
      <c r="BJ5" s="13">
        <v>12.0</v>
      </c>
      <c r="BK5" s="13" t="s">
        <v>2154</v>
      </c>
      <c r="BL5" s="13" t="s">
        <v>1920</v>
      </c>
      <c r="BM5" s="13" t="s">
        <v>2156</v>
      </c>
      <c r="BN5" s="13" t="s">
        <v>2970</v>
      </c>
      <c r="BO5" s="13" t="s">
        <v>1482</v>
      </c>
      <c r="BP5" s="13" t="s">
        <v>1482</v>
      </c>
      <c r="BQ5" s="13" t="s">
        <v>1482</v>
      </c>
      <c r="BR5" s="13" t="s">
        <v>1482</v>
      </c>
      <c r="BS5" s="13" t="s">
        <v>2961</v>
      </c>
      <c r="BT5" s="13" t="s">
        <v>2971</v>
      </c>
      <c r="BU5" s="13" t="str">
        <f>HYPERLINK("https%3A%2F%2Fwww.webofscience.com%2Fwos%2Fwoscc%2Ffull-record%2FWOS:A1991FE80700002","View Full Record in Web of Science")</f>
        <v>View Full Record in Web of Science</v>
      </c>
    </row>
    <row r="6" ht="12.75" customHeight="1">
      <c r="A6" s="13" t="s">
        <v>1896</v>
      </c>
      <c r="B6" s="13" t="s">
        <v>2135</v>
      </c>
      <c r="C6" s="13" t="s">
        <v>1482</v>
      </c>
      <c r="D6" s="13" t="s">
        <v>1482</v>
      </c>
      <c r="E6" s="13" t="s">
        <v>1482</v>
      </c>
      <c r="F6" s="13" t="s">
        <v>2136</v>
      </c>
      <c r="G6" s="13" t="s">
        <v>1482</v>
      </c>
      <c r="H6" s="13" t="s">
        <v>1482</v>
      </c>
      <c r="I6" s="13" t="s">
        <v>2137</v>
      </c>
      <c r="J6" s="13" t="s">
        <v>2138</v>
      </c>
      <c r="K6" s="13" t="s">
        <v>1482</v>
      </c>
      <c r="L6" s="13" t="s">
        <v>1482</v>
      </c>
      <c r="M6" s="13" t="s">
        <v>1901</v>
      </c>
      <c r="N6" s="13" t="s">
        <v>2139</v>
      </c>
      <c r="O6" s="13" t="s">
        <v>2140</v>
      </c>
      <c r="P6" s="13">
        <v>2005.0</v>
      </c>
      <c r="Q6" s="13" t="s">
        <v>2141</v>
      </c>
      <c r="R6" s="13" t="s">
        <v>2142</v>
      </c>
      <c r="S6" s="13" t="s">
        <v>1482</v>
      </c>
      <c r="T6" s="13" t="s">
        <v>2143</v>
      </c>
      <c r="U6" s="13" t="s">
        <v>2144</v>
      </c>
      <c r="V6" s="13" t="s">
        <v>2145</v>
      </c>
      <c r="W6" s="13" t="s">
        <v>2146</v>
      </c>
      <c r="X6" s="13" t="s">
        <v>2147</v>
      </c>
      <c r="Y6" s="13" t="s">
        <v>2972</v>
      </c>
      <c r="Z6" s="13" t="s">
        <v>2149</v>
      </c>
      <c r="AA6" s="13" t="s">
        <v>2150</v>
      </c>
      <c r="AB6" s="13" t="s">
        <v>1482</v>
      </c>
      <c r="AC6" s="13" t="s">
        <v>1482</v>
      </c>
      <c r="AD6" s="13" t="s">
        <v>1482</v>
      </c>
      <c r="AE6" s="13" t="s">
        <v>1482</v>
      </c>
      <c r="AF6" s="13" t="s">
        <v>1482</v>
      </c>
      <c r="AG6" s="13">
        <v>56.0</v>
      </c>
      <c r="AH6" s="13">
        <v>122.0</v>
      </c>
      <c r="AI6" s="13">
        <v>144.0</v>
      </c>
      <c r="AJ6" s="13">
        <v>1.0</v>
      </c>
      <c r="AK6" s="13">
        <v>69.0</v>
      </c>
      <c r="AL6" s="13" t="s">
        <v>1998</v>
      </c>
      <c r="AM6" s="13" t="s">
        <v>1999</v>
      </c>
      <c r="AN6" s="13" t="s">
        <v>2000</v>
      </c>
      <c r="AO6" s="13" t="s">
        <v>2151</v>
      </c>
      <c r="AP6" s="13" t="s">
        <v>2152</v>
      </c>
      <c r="AQ6" s="13" t="s">
        <v>1482</v>
      </c>
      <c r="AR6" s="13" t="s">
        <v>2138</v>
      </c>
      <c r="AS6" s="13" t="s">
        <v>2153</v>
      </c>
      <c r="AT6" s="13" t="s">
        <v>1955</v>
      </c>
      <c r="AU6" s="13">
        <v>2007.0</v>
      </c>
      <c r="AV6" s="13">
        <v>39.0</v>
      </c>
      <c r="AW6" s="13">
        <v>3.0</v>
      </c>
      <c r="AX6" s="13" t="s">
        <v>1482</v>
      </c>
      <c r="AY6" s="13" t="s">
        <v>1482</v>
      </c>
      <c r="AZ6" s="13" t="s">
        <v>1482</v>
      </c>
      <c r="BA6" s="13" t="s">
        <v>1482</v>
      </c>
      <c r="BB6" s="13">
        <v>348.0</v>
      </c>
      <c r="BC6" s="13">
        <v>354.0</v>
      </c>
      <c r="BD6" s="13" t="s">
        <v>1482</v>
      </c>
      <c r="BE6" s="13" t="s">
        <v>1580</v>
      </c>
      <c r="BF6" s="15" t="str">
        <f>HYPERLINK("http://dx.doi.org/10.1111/j.1744-7429.2007.00276.x","http://dx.doi.org/10.1111/j.1744-7429.2007.00276.x")</f>
        <v>http://dx.doi.org/10.1111/j.1744-7429.2007.00276.x</v>
      </c>
      <c r="BG6" s="13"/>
      <c r="BH6" s="13" t="s">
        <v>1482</v>
      </c>
      <c r="BI6" s="13" t="s">
        <v>1482</v>
      </c>
      <c r="BJ6" s="13">
        <v>7.0</v>
      </c>
      <c r="BK6" s="13" t="s">
        <v>2154</v>
      </c>
      <c r="BL6" s="13" t="s">
        <v>2155</v>
      </c>
      <c r="BM6" s="13" t="s">
        <v>2156</v>
      </c>
      <c r="BN6" s="13" t="s">
        <v>2157</v>
      </c>
      <c r="BO6" s="13" t="s">
        <v>1482</v>
      </c>
      <c r="BP6" s="13" t="s">
        <v>1482</v>
      </c>
      <c r="BQ6" s="13" t="s">
        <v>1482</v>
      </c>
      <c r="BR6" s="13" t="s">
        <v>1482</v>
      </c>
      <c r="BS6" s="13" t="s">
        <v>2961</v>
      </c>
      <c r="BT6" s="13" t="s">
        <v>2158</v>
      </c>
      <c r="BU6" s="13" t="str">
        <f>HYPERLINK("https%3A%2F%2Fwww.webofscience.com%2Fwos%2Fwoscc%2Ffull-record%2FWOS:000245939300007","View Full Record in Web of Science")</f>
        <v>View Full Record in Web of Science</v>
      </c>
    </row>
    <row r="7" ht="12.75" customHeight="1">
      <c r="A7" s="13" t="s">
        <v>1896</v>
      </c>
      <c r="B7" s="13" t="s">
        <v>2736</v>
      </c>
      <c r="C7" s="13" t="s">
        <v>1482</v>
      </c>
      <c r="D7" s="13" t="s">
        <v>1482</v>
      </c>
      <c r="E7" s="13" t="s">
        <v>1482</v>
      </c>
      <c r="F7" s="13" t="s">
        <v>2737</v>
      </c>
      <c r="G7" s="13" t="s">
        <v>1482</v>
      </c>
      <c r="H7" s="13" t="s">
        <v>1482</v>
      </c>
      <c r="I7" s="13" t="s">
        <v>2738</v>
      </c>
      <c r="J7" s="13" t="s">
        <v>2739</v>
      </c>
      <c r="K7" s="13" t="s">
        <v>1482</v>
      </c>
      <c r="L7" s="13" t="s">
        <v>1482</v>
      </c>
      <c r="M7" s="13" t="s">
        <v>1901</v>
      </c>
      <c r="N7" s="13" t="s">
        <v>1902</v>
      </c>
      <c r="O7" s="13" t="s">
        <v>1482</v>
      </c>
      <c r="P7" s="13" t="s">
        <v>1482</v>
      </c>
      <c r="Q7" s="13" t="s">
        <v>1482</v>
      </c>
      <c r="R7" s="13" t="s">
        <v>1482</v>
      </c>
      <c r="S7" s="13" t="s">
        <v>1482</v>
      </c>
      <c r="T7" s="13" t="s">
        <v>2740</v>
      </c>
      <c r="U7" s="13" t="s">
        <v>2741</v>
      </c>
      <c r="V7" s="13" t="s">
        <v>2742</v>
      </c>
      <c r="W7" s="13" t="s">
        <v>2743</v>
      </c>
      <c r="X7" s="13" t="s">
        <v>2744</v>
      </c>
      <c r="Y7" s="13" t="s">
        <v>2745</v>
      </c>
      <c r="Z7" s="13" t="s">
        <v>2584</v>
      </c>
      <c r="AA7" s="13" t="s">
        <v>1482</v>
      </c>
      <c r="AB7" s="13" t="s">
        <v>2746</v>
      </c>
      <c r="AC7" s="13" t="s">
        <v>2587</v>
      </c>
      <c r="AD7" s="13" t="s">
        <v>2588</v>
      </c>
      <c r="AE7" s="13" t="s">
        <v>2747</v>
      </c>
      <c r="AF7" s="13" t="s">
        <v>1482</v>
      </c>
      <c r="AG7" s="13">
        <v>68.0</v>
      </c>
      <c r="AH7" s="13">
        <v>130.0</v>
      </c>
      <c r="AI7" s="13">
        <v>154.0</v>
      </c>
      <c r="AJ7" s="13">
        <v>0.0</v>
      </c>
      <c r="AK7" s="13">
        <v>154.0</v>
      </c>
      <c r="AL7" s="13" t="s">
        <v>2748</v>
      </c>
      <c r="AM7" s="13" t="s">
        <v>2749</v>
      </c>
      <c r="AN7" s="13" t="s">
        <v>2750</v>
      </c>
      <c r="AO7" s="13" t="s">
        <v>2751</v>
      </c>
      <c r="AP7" s="13" t="s">
        <v>2752</v>
      </c>
      <c r="AQ7" s="13" t="s">
        <v>1482</v>
      </c>
      <c r="AR7" s="13" t="s">
        <v>2753</v>
      </c>
      <c r="AS7" s="13" t="s">
        <v>2754</v>
      </c>
      <c r="AT7" s="13" t="s">
        <v>2755</v>
      </c>
      <c r="AU7" s="13">
        <v>2013.0</v>
      </c>
      <c r="AV7" s="13">
        <v>280.0</v>
      </c>
      <c r="AW7" s="13">
        <v>1759.0</v>
      </c>
      <c r="AX7" s="13" t="s">
        <v>1482</v>
      </c>
      <c r="AY7" s="13" t="s">
        <v>1482</v>
      </c>
      <c r="AZ7" s="13" t="s">
        <v>1482</v>
      </c>
      <c r="BA7" s="13" t="s">
        <v>1482</v>
      </c>
      <c r="BB7" s="13" t="s">
        <v>1482</v>
      </c>
      <c r="BC7" s="13" t="s">
        <v>1482</v>
      </c>
      <c r="BD7" s="13">
        <v>2.0130246E7</v>
      </c>
      <c r="BE7" s="13" t="s">
        <v>1520</v>
      </c>
      <c r="BF7" s="15" t="str">
        <f>HYPERLINK("http://dx.doi.org/10.1098/rspb.2013.0246","http://dx.doi.org/10.1098/rspb.2013.0246")</f>
        <v>http://dx.doi.org/10.1098/rspb.2013.0246</v>
      </c>
      <c r="BG7" s="13"/>
      <c r="BH7" s="13" t="s">
        <v>1482</v>
      </c>
      <c r="BI7" s="13" t="s">
        <v>1482</v>
      </c>
      <c r="BJ7" s="13">
        <v>8.0</v>
      </c>
      <c r="BK7" s="13" t="s">
        <v>2756</v>
      </c>
      <c r="BL7" s="13" t="s">
        <v>1920</v>
      </c>
      <c r="BM7" s="13" t="s">
        <v>2757</v>
      </c>
      <c r="BN7" s="13" t="s">
        <v>2758</v>
      </c>
      <c r="BO7" s="13">
        <v>2.3516245E7</v>
      </c>
      <c r="BP7" s="13" t="s">
        <v>2099</v>
      </c>
      <c r="BQ7" s="13" t="s">
        <v>1482</v>
      </c>
      <c r="BR7" s="13" t="s">
        <v>1482</v>
      </c>
      <c r="BS7" s="13" t="s">
        <v>2961</v>
      </c>
      <c r="BT7" s="13" t="s">
        <v>2759</v>
      </c>
      <c r="BU7" s="13" t="str">
        <f>HYPERLINK("https%3A%2F%2Fwww.webofscience.com%2Fwos%2Fwoscc%2Ffull-record%2FWOS:000317482100017","View Full Record in Web of Science")</f>
        <v>View Full Record in Web of Science</v>
      </c>
    </row>
    <row r="8" ht="12.75" customHeight="1">
      <c r="A8" s="13" t="s">
        <v>1896</v>
      </c>
      <c r="B8" s="13" t="s">
        <v>2458</v>
      </c>
      <c r="C8" s="13" t="s">
        <v>1482</v>
      </c>
      <c r="D8" s="13" t="s">
        <v>1482</v>
      </c>
      <c r="E8" s="13" t="s">
        <v>1482</v>
      </c>
      <c r="F8" s="13" t="s">
        <v>2459</v>
      </c>
      <c r="G8" s="13" t="s">
        <v>1482</v>
      </c>
      <c r="H8" s="13" t="s">
        <v>1482</v>
      </c>
      <c r="I8" s="13" t="s">
        <v>2460</v>
      </c>
      <c r="J8" s="13" t="s">
        <v>2461</v>
      </c>
      <c r="K8" s="13" t="s">
        <v>1482</v>
      </c>
      <c r="L8" s="13" t="s">
        <v>1482</v>
      </c>
      <c r="M8" s="13" t="s">
        <v>1901</v>
      </c>
      <c r="N8" s="13" t="s">
        <v>1902</v>
      </c>
      <c r="O8" s="13" t="s">
        <v>1482</v>
      </c>
      <c r="P8" s="13" t="s">
        <v>1482</v>
      </c>
      <c r="Q8" s="13" t="s">
        <v>1482</v>
      </c>
      <c r="R8" s="13" t="s">
        <v>1482</v>
      </c>
      <c r="S8" s="13" t="s">
        <v>1482</v>
      </c>
      <c r="T8" s="13" t="s">
        <v>2462</v>
      </c>
      <c r="U8" s="13" t="s">
        <v>2463</v>
      </c>
      <c r="V8" s="13" t="s">
        <v>2464</v>
      </c>
      <c r="W8" s="13" t="s">
        <v>2465</v>
      </c>
      <c r="X8" s="13" t="s">
        <v>2466</v>
      </c>
      <c r="Y8" s="13" t="s">
        <v>2467</v>
      </c>
      <c r="Z8" s="13" t="s">
        <v>2468</v>
      </c>
      <c r="AA8" s="13" t="s">
        <v>2973</v>
      </c>
      <c r="AB8" s="13" t="s">
        <v>2470</v>
      </c>
      <c r="AC8" s="13" t="s">
        <v>2471</v>
      </c>
      <c r="AD8" s="13" t="s">
        <v>2471</v>
      </c>
      <c r="AE8" s="13" t="s">
        <v>2472</v>
      </c>
      <c r="AF8" s="13" t="s">
        <v>1482</v>
      </c>
      <c r="AG8" s="13">
        <v>25.0</v>
      </c>
      <c r="AH8" s="13">
        <v>35.0</v>
      </c>
      <c r="AI8" s="13">
        <v>38.0</v>
      </c>
      <c r="AJ8" s="13">
        <v>1.0</v>
      </c>
      <c r="AK8" s="13">
        <v>63.0</v>
      </c>
      <c r="AL8" s="13" t="s">
        <v>2473</v>
      </c>
      <c r="AM8" s="13" t="s">
        <v>2474</v>
      </c>
      <c r="AN8" s="13" t="s">
        <v>2475</v>
      </c>
      <c r="AO8" s="13" t="s">
        <v>2476</v>
      </c>
      <c r="AP8" s="13" t="s">
        <v>2477</v>
      </c>
      <c r="AQ8" s="13" t="s">
        <v>1482</v>
      </c>
      <c r="AR8" s="13" t="s">
        <v>2478</v>
      </c>
      <c r="AS8" s="13" t="s">
        <v>2479</v>
      </c>
      <c r="AT8" s="13" t="s">
        <v>2114</v>
      </c>
      <c r="AU8" s="13">
        <v>2009.0</v>
      </c>
      <c r="AV8" s="13">
        <v>39.0</v>
      </c>
      <c r="AW8" s="13">
        <v>1.0</v>
      </c>
      <c r="AX8" s="13" t="s">
        <v>1482</v>
      </c>
      <c r="AY8" s="13" t="s">
        <v>1482</v>
      </c>
      <c r="AZ8" s="13" t="s">
        <v>1482</v>
      </c>
      <c r="BA8" s="13" t="s">
        <v>1482</v>
      </c>
      <c r="BB8" s="13">
        <v>70.0</v>
      </c>
      <c r="BC8" s="13">
        <v>84.0</v>
      </c>
      <c r="BD8" s="13" t="s">
        <v>1482</v>
      </c>
      <c r="BE8" s="13" t="s">
        <v>1529</v>
      </c>
      <c r="BF8" s="15" t="str">
        <f>HYPERLINK("http://dx.doi.org/10.3957/056.039.0108","http://dx.doi.org/10.3957/056.039.0108")</f>
        <v>http://dx.doi.org/10.3957/056.039.0108</v>
      </c>
      <c r="BG8" s="13"/>
      <c r="BH8" s="13" t="s">
        <v>1482</v>
      </c>
      <c r="BI8" s="13" t="s">
        <v>1482</v>
      </c>
      <c r="BJ8" s="13">
        <v>15.0</v>
      </c>
      <c r="BK8" s="13" t="s">
        <v>2480</v>
      </c>
      <c r="BL8" s="13" t="s">
        <v>1920</v>
      </c>
      <c r="BM8" s="13" t="s">
        <v>2481</v>
      </c>
      <c r="BN8" s="13" t="s">
        <v>2482</v>
      </c>
      <c r="BO8" s="13" t="s">
        <v>1482</v>
      </c>
      <c r="BP8" s="13" t="s">
        <v>1482</v>
      </c>
      <c r="BQ8" s="13" t="s">
        <v>1482</v>
      </c>
      <c r="BR8" s="13" t="s">
        <v>1482</v>
      </c>
      <c r="BS8" s="13" t="s">
        <v>2961</v>
      </c>
      <c r="BT8" s="13" t="s">
        <v>2483</v>
      </c>
      <c r="BU8" s="13" t="str">
        <f>HYPERLINK("https%3A%2F%2Fwww.webofscience.com%2Fwos%2Fwoscc%2Ffull-record%2FWOS:000269692700008","View Full Record in Web of Science")</f>
        <v>View Full Record in Web of Science</v>
      </c>
    </row>
    <row r="9" ht="12.75" customHeight="1">
      <c r="A9" s="13" t="s">
        <v>1896</v>
      </c>
      <c r="B9" s="13" t="s">
        <v>2575</v>
      </c>
      <c r="C9" s="13" t="s">
        <v>1482</v>
      </c>
      <c r="D9" s="13" t="s">
        <v>1482</v>
      </c>
      <c r="E9" s="13" t="s">
        <v>1482</v>
      </c>
      <c r="F9" s="13" t="s">
        <v>2576</v>
      </c>
      <c r="G9" s="13" t="s">
        <v>1482</v>
      </c>
      <c r="H9" s="13" t="s">
        <v>1482</v>
      </c>
      <c r="I9" s="13" t="s">
        <v>2577</v>
      </c>
      <c r="J9" s="13" t="s">
        <v>2578</v>
      </c>
      <c r="K9" s="13" t="s">
        <v>1482</v>
      </c>
      <c r="L9" s="13" t="s">
        <v>1482</v>
      </c>
      <c r="M9" s="13" t="s">
        <v>1901</v>
      </c>
      <c r="N9" s="13" t="s">
        <v>1902</v>
      </c>
      <c r="O9" s="13" t="s">
        <v>1482</v>
      </c>
      <c r="P9" s="13" t="s">
        <v>1482</v>
      </c>
      <c r="Q9" s="13" t="s">
        <v>1482</v>
      </c>
      <c r="R9" s="13" t="s">
        <v>1482</v>
      </c>
      <c r="S9" s="13" t="s">
        <v>1482</v>
      </c>
      <c r="T9" s="13" t="s">
        <v>1482</v>
      </c>
      <c r="U9" s="13" t="s">
        <v>2579</v>
      </c>
      <c r="V9" s="13" t="s">
        <v>2580</v>
      </c>
      <c r="W9" s="13" t="s">
        <v>2581</v>
      </c>
      <c r="X9" s="13" t="s">
        <v>2582</v>
      </c>
      <c r="Y9" s="13" t="s">
        <v>2583</v>
      </c>
      <c r="Z9" s="13" t="s">
        <v>2584</v>
      </c>
      <c r="AA9" s="13" t="s">
        <v>2974</v>
      </c>
      <c r="AB9" s="13" t="s">
        <v>2975</v>
      </c>
      <c r="AC9" s="13" t="s">
        <v>2587</v>
      </c>
      <c r="AD9" s="13" t="s">
        <v>2588</v>
      </c>
      <c r="AE9" s="13" t="s">
        <v>2589</v>
      </c>
      <c r="AF9" s="13" t="s">
        <v>1482</v>
      </c>
      <c r="AG9" s="13">
        <v>53.0</v>
      </c>
      <c r="AH9" s="13">
        <v>28.0</v>
      </c>
      <c r="AI9" s="13">
        <v>33.0</v>
      </c>
      <c r="AJ9" s="13">
        <v>0.0</v>
      </c>
      <c r="AK9" s="13">
        <v>116.0</v>
      </c>
      <c r="AL9" s="13" t="s">
        <v>1998</v>
      </c>
      <c r="AM9" s="13" t="s">
        <v>1999</v>
      </c>
      <c r="AN9" s="13" t="s">
        <v>2000</v>
      </c>
      <c r="AO9" s="13" t="s">
        <v>2590</v>
      </c>
      <c r="AP9" s="13" t="s">
        <v>2591</v>
      </c>
      <c r="AQ9" s="13" t="s">
        <v>1482</v>
      </c>
      <c r="AR9" s="13" t="s">
        <v>2578</v>
      </c>
      <c r="AS9" s="13" t="s">
        <v>2592</v>
      </c>
      <c r="AT9" s="13" t="s">
        <v>2114</v>
      </c>
      <c r="AU9" s="13">
        <v>2014.0</v>
      </c>
      <c r="AV9" s="13">
        <v>37.0</v>
      </c>
      <c r="AW9" s="13">
        <v>4.0</v>
      </c>
      <c r="AX9" s="13" t="s">
        <v>1482</v>
      </c>
      <c r="AY9" s="13" t="s">
        <v>1482</v>
      </c>
      <c r="AZ9" s="13" t="s">
        <v>1482</v>
      </c>
      <c r="BA9" s="13" t="s">
        <v>1482</v>
      </c>
      <c r="BB9" s="13">
        <v>367.0</v>
      </c>
      <c r="BC9" s="13">
        <v>377.0</v>
      </c>
      <c r="BD9" s="13" t="s">
        <v>1482</v>
      </c>
      <c r="BE9" s="13" t="s">
        <v>1521</v>
      </c>
      <c r="BF9" s="15" t="str">
        <f>HYPERLINK("http://dx.doi.org/10.1111/j.1600-0587.2013.00359.x","http://dx.doi.org/10.1111/j.1600-0587.2013.00359.x")</f>
        <v>http://dx.doi.org/10.1111/j.1600-0587.2013.00359.x</v>
      </c>
      <c r="BG9" s="13"/>
      <c r="BH9" s="13" t="s">
        <v>1482</v>
      </c>
      <c r="BI9" s="13" t="s">
        <v>1482</v>
      </c>
      <c r="BJ9" s="13">
        <v>11.0</v>
      </c>
      <c r="BK9" s="13" t="s">
        <v>2034</v>
      </c>
      <c r="BL9" s="13" t="s">
        <v>1920</v>
      </c>
      <c r="BM9" s="13" t="s">
        <v>1957</v>
      </c>
      <c r="BN9" s="13" t="s">
        <v>2593</v>
      </c>
      <c r="BO9" s="13" t="s">
        <v>1482</v>
      </c>
      <c r="BP9" s="13" t="s">
        <v>1482</v>
      </c>
      <c r="BQ9" s="13" t="s">
        <v>1482</v>
      </c>
      <c r="BR9" s="13" t="s">
        <v>1482</v>
      </c>
      <c r="BS9" s="13" t="s">
        <v>2961</v>
      </c>
      <c r="BT9" s="13" t="s">
        <v>2594</v>
      </c>
      <c r="BU9" s="13" t="str">
        <f>HYPERLINK("https%3A%2F%2Fwww.webofscience.com%2Fwos%2Fwoscc%2Ffull-record%2FWOS:000333608400007","View Full Record in Web of Science")</f>
        <v>View Full Record in Web of Science</v>
      </c>
    </row>
    <row r="10" ht="12.75" customHeight="1">
      <c r="A10" s="13" t="s">
        <v>1896</v>
      </c>
      <c r="B10" s="13" t="s">
        <v>2976</v>
      </c>
      <c r="C10" s="13" t="s">
        <v>1482</v>
      </c>
      <c r="D10" s="13" t="s">
        <v>1482</v>
      </c>
      <c r="E10" s="13" t="s">
        <v>1482</v>
      </c>
      <c r="F10" s="13" t="s">
        <v>2976</v>
      </c>
      <c r="G10" s="13" t="s">
        <v>1482</v>
      </c>
      <c r="H10" s="13" t="s">
        <v>1482</v>
      </c>
      <c r="I10" s="13" t="s">
        <v>2977</v>
      </c>
      <c r="J10" s="13" t="s">
        <v>2978</v>
      </c>
      <c r="K10" s="13" t="s">
        <v>1482</v>
      </c>
      <c r="L10" s="13" t="s">
        <v>1482</v>
      </c>
      <c r="M10" s="13" t="s">
        <v>1901</v>
      </c>
      <c r="N10" s="13" t="s">
        <v>1902</v>
      </c>
      <c r="O10" s="13" t="s">
        <v>1482</v>
      </c>
      <c r="P10" s="13" t="s">
        <v>1482</v>
      </c>
      <c r="Q10" s="13" t="s">
        <v>1482</v>
      </c>
      <c r="R10" s="13" t="s">
        <v>1482</v>
      </c>
      <c r="S10" s="13" t="s">
        <v>1482</v>
      </c>
      <c r="T10" s="13" t="s">
        <v>2979</v>
      </c>
      <c r="U10" s="13" t="s">
        <v>2980</v>
      </c>
      <c r="V10" s="13" t="s">
        <v>2981</v>
      </c>
      <c r="W10" s="13" t="s">
        <v>2982</v>
      </c>
      <c r="X10" s="13" t="s">
        <v>2983</v>
      </c>
      <c r="Y10" s="13" t="s">
        <v>2984</v>
      </c>
      <c r="Z10" s="13" t="s">
        <v>1482</v>
      </c>
      <c r="AA10" s="13" t="s">
        <v>1482</v>
      </c>
      <c r="AB10" s="13" t="s">
        <v>1482</v>
      </c>
      <c r="AC10" s="13" t="s">
        <v>1482</v>
      </c>
      <c r="AD10" s="13" t="s">
        <v>1482</v>
      </c>
      <c r="AE10" s="13" t="s">
        <v>1482</v>
      </c>
      <c r="AF10" s="13" t="s">
        <v>1482</v>
      </c>
      <c r="AG10" s="13">
        <v>19.0</v>
      </c>
      <c r="AH10" s="13">
        <v>32.0</v>
      </c>
      <c r="AI10" s="13">
        <v>38.0</v>
      </c>
      <c r="AJ10" s="13">
        <v>0.0</v>
      </c>
      <c r="AK10" s="13">
        <v>8.0</v>
      </c>
      <c r="AL10" s="13" t="s">
        <v>2985</v>
      </c>
      <c r="AM10" s="13" t="s">
        <v>2986</v>
      </c>
      <c r="AN10" s="13" t="s">
        <v>2987</v>
      </c>
      <c r="AO10" s="13" t="s">
        <v>2988</v>
      </c>
      <c r="AP10" s="13" t="s">
        <v>1482</v>
      </c>
      <c r="AQ10" s="13" t="s">
        <v>1482</v>
      </c>
      <c r="AR10" s="13" t="s">
        <v>2978</v>
      </c>
      <c r="AS10" s="13" t="s">
        <v>2989</v>
      </c>
      <c r="AT10" s="13" t="s">
        <v>2285</v>
      </c>
      <c r="AU10" s="13">
        <v>1999.0</v>
      </c>
      <c r="AV10" s="13">
        <v>101.0</v>
      </c>
      <c r="AW10" s="13">
        <v>1.0</v>
      </c>
      <c r="AX10" s="13" t="s">
        <v>1482</v>
      </c>
      <c r="AY10" s="13" t="s">
        <v>1482</v>
      </c>
      <c r="AZ10" s="13" t="s">
        <v>1482</v>
      </c>
      <c r="BA10" s="13" t="s">
        <v>1482</v>
      </c>
      <c r="BB10" s="13">
        <v>14.0</v>
      </c>
      <c r="BC10" s="13">
        <v>20.0</v>
      </c>
      <c r="BD10" s="13" t="s">
        <v>1482</v>
      </c>
      <c r="BE10" s="13" t="s">
        <v>1548</v>
      </c>
      <c r="BF10" s="15" t="str">
        <f>HYPERLINK("http://dx.doi.org/10.2307/1370441","http://dx.doi.org/10.2307/1370441")</f>
        <v>http://dx.doi.org/10.2307/1370441</v>
      </c>
      <c r="BG10" s="13"/>
      <c r="BH10" s="13" t="s">
        <v>1482</v>
      </c>
      <c r="BI10" s="13" t="s">
        <v>1482</v>
      </c>
      <c r="BJ10" s="13">
        <v>7.0</v>
      </c>
      <c r="BK10" s="13" t="s">
        <v>2990</v>
      </c>
      <c r="BL10" s="13" t="s">
        <v>1920</v>
      </c>
      <c r="BM10" s="13" t="s">
        <v>1919</v>
      </c>
      <c r="BN10" s="13" t="s">
        <v>2991</v>
      </c>
      <c r="BO10" s="13" t="s">
        <v>1482</v>
      </c>
      <c r="BP10" s="13" t="s">
        <v>2037</v>
      </c>
      <c r="BQ10" s="13" t="s">
        <v>1482</v>
      </c>
      <c r="BR10" s="13" t="s">
        <v>1482</v>
      </c>
      <c r="BS10" s="13" t="s">
        <v>2961</v>
      </c>
      <c r="BT10" s="13" t="s">
        <v>2992</v>
      </c>
      <c r="BU10" s="13" t="str">
        <f>HYPERLINK("https%3A%2F%2Fwww.webofscience.com%2Fwos%2Fwoscc%2Ffull-record%2FWOS:000078730200002","View Full Record in Web of Science")</f>
        <v>View Full Record in Web of Science</v>
      </c>
    </row>
    <row r="11" ht="12.75" customHeight="1">
      <c r="A11" s="13" t="s">
        <v>1896</v>
      </c>
      <c r="B11" s="13" t="s">
        <v>2043</v>
      </c>
      <c r="C11" s="13" t="s">
        <v>1482</v>
      </c>
      <c r="D11" s="13" t="s">
        <v>1482</v>
      </c>
      <c r="E11" s="13" t="s">
        <v>1482</v>
      </c>
      <c r="F11" s="13" t="s">
        <v>2044</v>
      </c>
      <c r="G11" s="13" t="s">
        <v>1482</v>
      </c>
      <c r="H11" s="13" t="s">
        <v>1482</v>
      </c>
      <c r="I11" s="13" t="s">
        <v>2045</v>
      </c>
      <c r="J11" s="13" t="s">
        <v>2016</v>
      </c>
      <c r="K11" s="13" t="s">
        <v>1482</v>
      </c>
      <c r="L11" s="13" t="s">
        <v>1482</v>
      </c>
      <c r="M11" s="13" t="s">
        <v>1901</v>
      </c>
      <c r="N11" s="13" t="s">
        <v>1902</v>
      </c>
      <c r="O11" s="13" t="s">
        <v>1482</v>
      </c>
      <c r="P11" s="13" t="s">
        <v>1482</v>
      </c>
      <c r="Q11" s="13" t="s">
        <v>1482</v>
      </c>
      <c r="R11" s="13" t="s">
        <v>1482</v>
      </c>
      <c r="S11" s="13" t="s">
        <v>1482</v>
      </c>
      <c r="T11" s="13" t="s">
        <v>2046</v>
      </c>
      <c r="U11" s="13" t="s">
        <v>2047</v>
      </c>
      <c r="V11" s="13" t="s">
        <v>2048</v>
      </c>
      <c r="W11" s="13" t="s">
        <v>2049</v>
      </c>
      <c r="X11" s="13" t="s">
        <v>2050</v>
      </c>
      <c r="Y11" s="13" t="s">
        <v>2051</v>
      </c>
      <c r="Z11" s="13" t="s">
        <v>2052</v>
      </c>
      <c r="AA11" s="13" t="s">
        <v>2053</v>
      </c>
      <c r="AB11" s="13" t="s">
        <v>2993</v>
      </c>
      <c r="AC11" s="13" t="s">
        <v>2055</v>
      </c>
      <c r="AD11" s="13" t="s">
        <v>2056</v>
      </c>
      <c r="AE11" s="13" t="s">
        <v>2057</v>
      </c>
      <c r="AF11" s="13" t="s">
        <v>1482</v>
      </c>
      <c r="AG11" s="13">
        <v>63.0</v>
      </c>
      <c r="AH11" s="13">
        <v>32.0</v>
      </c>
      <c r="AI11" s="13">
        <v>40.0</v>
      </c>
      <c r="AJ11" s="13">
        <v>1.0</v>
      </c>
      <c r="AK11" s="13">
        <v>127.0</v>
      </c>
      <c r="AL11" s="13" t="s">
        <v>1998</v>
      </c>
      <c r="AM11" s="13" t="s">
        <v>1999</v>
      </c>
      <c r="AN11" s="13" t="s">
        <v>2000</v>
      </c>
      <c r="AO11" s="13" t="s">
        <v>2029</v>
      </c>
      <c r="AP11" s="13" t="s">
        <v>2030</v>
      </c>
      <c r="AQ11" s="13" t="s">
        <v>1482</v>
      </c>
      <c r="AR11" s="13" t="s">
        <v>2031</v>
      </c>
      <c r="AS11" s="13" t="s">
        <v>2032</v>
      </c>
      <c r="AT11" s="13" t="s">
        <v>2033</v>
      </c>
      <c r="AU11" s="13">
        <v>2013.0</v>
      </c>
      <c r="AV11" s="13">
        <v>16.0</v>
      </c>
      <c r="AW11" s="13">
        <v>3.0</v>
      </c>
      <c r="AX11" s="13" t="s">
        <v>1482</v>
      </c>
      <c r="AY11" s="13" t="s">
        <v>1482</v>
      </c>
      <c r="AZ11" s="13" t="s">
        <v>1482</v>
      </c>
      <c r="BA11" s="13" t="s">
        <v>1482</v>
      </c>
      <c r="BB11" s="13">
        <v>265.0</v>
      </c>
      <c r="BC11" s="13">
        <v>274.0</v>
      </c>
      <c r="BD11" s="13" t="s">
        <v>1482</v>
      </c>
      <c r="BE11" s="13" t="s">
        <v>1559</v>
      </c>
      <c r="BF11" s="15" t="str">
        <f>HYPERLINK("http://dx.doi.org/10.1111/j.1469-1795.2012.00592.x","http://dx.doi.org/10.1111/j.1469-1795.2012.00592.x")</f>
        <v>http://dx.doi.org/10.1111/j.1469-1795.2012.00592.x</v>
      </c>
      <c r="BG11" s="13"/>
      <c r="BH11" s="13" t="s">
        <v>1482</v>
      </c>
      <c r="BI11" s="13" t="s">
        <v>1482</v>
      </c>
      <c r="BJ11" s="13">
        <v>10.0</v>
      </c>
      <c r="BK11" s="13" t="s">
        <v>2034</v>
      </c>
      <c r="BL11" s="13" t="s">
        <v>1920</v>
      </c>
      <c r="BM11" s="13" t="s">
        <v>1957</v>
      </c>
      <c r="BN11" s="13" t="s">
        <v>2058</v>
      </c>
      <c r="BO11" s="13" t="s">
        <v>1482</v>
      </c>
      <c r="BP11" s="13" t="s">
        <v>1482</v>
      </c>
      <c r="BQ11" s="13" t="s">
        <v>1482</v>
      </c>
      <c r="BR11" s="13" t="s">
        <v>1482</v>
      </c>
      <c r="BS11" s="13" t="s">
        <v>2961</v>
      </c>
      <c r="BT11" s="13" t="s">
        <v>2059</v>
      </c>
      <c r="BU11" s="13" t="str">
        <f>HYPERLINK("https%3A%2F%2Fwww.webofscience.com%2Fwos%2Fwoscc%2Ffull-record%2FWOS:000319703600005","View Full Record in Web of Science")</f>
        <v>View Full Record in Web of Science</v>
      </c>
    </row>
    <row r="12" ht="12.75" customHeight="1">
      <c r="A12" s="13" t="s">
        <v>1896</v>
      </c>
      <c r="B12" s="13" t="s">
        <v>2488</v>
      </c>
      <c r="C12" s="13" t="s">
        <v>1482</v>
      </c>
      <c r="D12" s="13" t="s">
        <v>1482</v>
      </c>
      <c r="E12" s="13" t="s">
        <v>1482</v>
      </c>
      <c r="F12" s="13" t="s">
        <v>2489</v>
      </c>
      <c r="G12" s="13" t="s">
        <v>1482</v>
      </c>
      <c r="H12" s="13" t="s">
        <v>1482</v>
      </c>
      <c r="I12" s="13" t="s">
        <v>2490</v>
      </c>
      <c r="J12" s="13" t="s">
        <v>2266</v>
      </c>
      <c r="K12" s="13" t="s">
        <v>1482</v>
      </c>
      <c r="L12" s="13" t="s">
        <v>1482</v>
      </c>
      <c r="M12" s="13" t="s">
        <v>1901</v>
      </c>
      <c r="N12" s="13" t="s">
        <v>1902</v>
      </c>
      <c r="O12" s="13" t="s">
        <v>1482</v>
      </c>
      <c r="P12" s="13" t="s">
        <v>1482</v>
      </c>
      <c r="Q12" s="13" t="s">
        <v>1482</v>
      </c>
      <c r="R12" s="13" t="s">
        <v>1482</v>
      </c>
      <c r="S12" s="13" t="s">
        <v>1482</v>
      </c>
      <c r="T12" s="13" t="s">
        <v>2491</v>
      </c>
      <c r="U12" s="13" t="s">
        <v>2492</v>
      </c>
      <c r="V12" s="13" t="s">
        <v>2493</v>
      </c>
      <c r="W12" s="13" t="s">
        <v>2494</v>
      </c>
      <c r="X12" s="13" t="s">
        <v>2495</v>
      </c>
      <c r="Y12" s="13" t="s">
        <v>2496</v>
      </c>
      <c r="Z12" s="13" t="s">
        <v>2497</v>
      </c>
      <c r="AA12" s="13" t="s">
        <v>1482</v>
      </c>
      <c r="AB12" s="13" t="s">
        <v>1482</v>
      </c>
      <c r="AC12" s="13" t="s">
        <v>2498</v>
      </c>
      <c r="AD12" s="13" t="s">
        <v>2498</v>
      </c>
      <c r="AE12" s="13" t="s">
        <v>2499</v>
      </c>
      <c r="AF12" s="13" t="s">
        <v>1482</v>
      </c>
      <c r="AG12" s="13">
        <v>68.0</v>
      </c>
      <c r="AH12" s="13">
        <v>73.0</v>
      </c>
      <c r="AI12" s="13">
        <v>92.0</v>
      </c>
      <c r="AJ12" s="13">
        <v>0.0</v>
      </c>
      <c r="AK12" s="13">
        <v>92.0</v>
      </c>
      <c r="AL12" s="13" t="s">
        <v>2278</v>
      </c>
      <c r="AM12" s="13" t="s">
        <v>2279</v>
      </c>
      <c r="AN12" s="13" t="s">
        <v>2280</v>
      </c>
      <c r="AO12" s="13" t="s">
        <v>2281</v>
      </c>
      <c r="AP12" s="13" t="s">
        <v>2282</v>
      </c>
      <c r="AQ12" s="13" t="s">
        <v>1482</v>
      </c>
      <c r="AR12" s="13" t="s">
        <v>2283</v>
      </c>
      <c r="AS12" s="13" t="s">
        <v>2284</v>
      </c>
      <c r="AT12" s="13" t="s">
        <v>2285</v>
      </c>
      <c r="AU12" s="13">
        <v>2011.0</v>
      </c>
      <c r="AV12" s="13">
        <v>144.0</v>
      </c>
      <c r="AW12" s="13">
        <v>2.0</v>
      </c>
      <c r="AX12" s="13" t="s">
        <v>1482</v>
      </c>
      <c r="AY12" s="13" t="s">
        <v>1482</v>
      </c>
      <c r="AZ12" s="13" t="s">
        <v>1482</v>
      </c>
      <c r="BA12" s="13" t="s">
        <v>1482</v>
      </c>
      <c r="BB12" s="13">
        <v>738.0</v>
      </c>
      <c r="BC12" s="13">
        <v>745.0</v>
      </c>
      <c r="BD12" s="13" t="s">
        <v>1482</v>
      </c>
      <c r="BE12" s="13" t="s">
        <v>1572</v>
      </c>
      <c r="BF12" s="15" t="str">
        <f>HYPERLINK("http://dx.doi.org/10.1016/j.biocon.2010.10.023","http://dx.doi.org/10.1016/j.biocon.2010.10.023")</f>
        <v>http://dx.doi.org/10.1016/j.biocon.2010.10.023</v>
      </c>
      <c r="BG12" s="13"/>
      <c r="BH12" s="13" t="s">
        <v>1482</v>
      </c>
      <c r="BI12" s="13" t="s">
        <v>1482</v>
      </c>
      <c r="BJ12" s="13">
        <v>8.0</v>
      </c>
      <c r="BK12" s="13" t="s">
        <v>1956</v>
      </c>
      <c r="BL12" s="13" t="s">
        <v>1920</v>
      </c>
      <c r="BM12" s="13" t="s">
        <v>1957</v>
      </c>
      <c r="BN12" s="13" t="s">
        <v>2500</v>
      </c>
      <c r="BO12" s="13" t="s">
        <v>1482</v>
      </c>
      <c r="BP12" s="13" t="s">
        <v>1482</v>
      </c>
      <c r="BQ12" s="13" t="s">
        <v>1482</v>
      </c>
      <c r="BR12" s="13" t="s">
        <v>1482</v>
      </c>
      <c r="BS12" s="13" t="s">
        <v>2961</v>
      </c>
      <c r="BT12" s="13" t="s">
        <v>2501</v>
      </c>
      <c r="BU12" s="13" t="str">
        <f>HYPERLINK("https%3A%2F%2Fwww.webofscience.com%2Fwos%2Fwoscc%2Ffull-record%2FWOS:000287897100013","View Full Record in Web of Science")</f>
        <v>View Full Record in Web of Science</v>
      </c>
    </row>
    <row r="13" ht="12.75" customHeight="1">
      <c r="A13" s="13" t="s">
        <v>1896</v>
      </c>
      <c r="B13" s="13" t="s">
        <v>2374</v>
      </c>
      <c r="C13" s="13" t="s">
        <v>1482</v>
      </c>
      <c r="D13" s="13" t="s">
        <v>1482</v>
      </c>
      <c r="E13" s="13" t="s">
        <v>1482</v>
      </c>
      <c r="F13" s="13" t="s">
        <v>2375</v>
      </c>
      <c r="G13" s="13" t="s">
        <v>1482</v>
      </c>
      <c r="H13" s="13" t="s">
        <v>1482</v>
      </c>
      <c r="I13" s="13" t="s">
        <v>2376</v>
      </c>
      <c r="J13" s="13" t="s">
        <v>2266</v>
      </c>
      <c r="K13" s="13" t="s">
        <v>1482</v>
      </c>
      <c r="L13" s="13" t="s">
        <v>1482</v>
      </c>
      <c r="M13" s="13" t="s">
        <v>1901</v>
      </c>
      <c r="N13" s="13" t="s">
        <v>1902</v>
      </c>
      <c r="O13" s="13" t="s">
        <v>1482</v>
      </c>
      <c r="P13" s="13" t="s">
        <v>1482</v>
      </c>
      <c r="Q13" s="13" t="s">
        <v>1482</v>
      </c>
      <c r="R13" s="13" t="s">
        <v>1482</v>
      </c>
      <c r="S13" s="13" t="s">
        <v>1482</v>
      </c>
      <c r="T13" s="13" t="s">
        <v>2377</v>
      </c>
      <c r="U13" s="13" t="s">
        <v>2378</v>
      </c>
      <c r="V13" s="13" t="s">
        <v>2379</v>
      </c>
      <c r="W13" s="13" t="s">
        <v>2380</v>
      </c>
      <c r="X13" s="13" t="s">
        <v>2381</v>
      </c>
      <c r="Y13" s="13" t="s">
        <v>2382</v>
      </c>
      <c r="Z13" s="13" t="s">
        <v>2383</v>
      </c>
      <c r="AA13" s="13" t="s">
        <v>2994</v>
      </c>
      <c r="AB13" s="13" t="s">
        <v>1482</v>
      </c>
      <c r="AC13" s="13" t="s">
        <v>2384</v>
      </c>
      <c r="AD13" s="13" t="s">
        <v>2385</v>
      </c>
      <c r="AE13" s="13" t="s">
        <v>2386</v>
      </c>
      <c r="AF13" s="13" t="s">
        <v>1482</v>
      </c>
      <c r="AG13" s="13">
        <v>38.0</v>
      </c>
      <c r="AH13" s="13">
        <v>36.0</v>
      </c>
      <c r="AI13" s="13">
        <v>39.0</v>
      </c>
      <c r="AJ13" s="13">
        <v>0.0</v>
      </c>
      <c r="AK13" s="13">
        <v>29.0</v>
      </c>
      <c r="AL13" s="13" t="s">
        <v>2278</v>
      </c>
      <c r="AM13" s="13" t="s">
        <v>2279</v>
      </c>
      <c r="AN13" s="13" t="s">
        <v>2280</v>
      </c>
      <c r="AO13" s="13" t="s">
        <v>2281</v>
      </c>
      <c r="AP13" s="13" t="s">
        <v>2282</v>
      </c>
      <c r="AQ13" s="13" t="s">
        <v>1482</v>
      </c>
      <c r="AR13" s="13" t="s">
        <v>2283</v>
      </c>
      <c r="AS13" s="13" t="s">
        <v>2284</v>
      </c>
      <c r="AT13" s="13" t="s">
        <v>2075</v>
      </c>
      <c r="AU13" s="13">
        <v>2009.0</v>
      </c>
      <c r="AV13" s="13">
        <v>142.0</v>
      </c>
      <c r="AW13" s="13">
        <v>7.0</v>
      </c>
      <c r="AX13" s="13" t="s">
        <v>1482</v>
      </c>
      <c r="AY13" s="13" t="s">
        <v>1482</v>
      </c>
      <c r="AZ13" s="13" t="s">
        <v>1482</v>
      </c>
      <c r="BA13" s="13" t="s">
        <v>1482</v>
      </c>
      <c r="BB13" s="13">
        <v>1500.0</v>
      </c>
      <c r="BC13" s="13">
        <v>1506.0</v>
      </c>
      <c r="BD13" s="13" t="s">
        <v>1482</v>
      </c>
      <c r="BE13" s="13" t="s">
        <v>1508</v>
      </c>
      <c r="BF13" s="15" t="str">
        <f>HYPERLINK("http://dx.doi.org/10.1016/j.biocon.2009.02.032","http://dx.doi.org/10.1016/j.biocon.2009.02.032")</f>
        <v>http://dx.doi.org/10.1016/j.biocon.2009.02.032</v>
      </c>
      <c r="BG13" s="13"/>
      <c r="BH13" s="13" t="s">
        <v>1482</v>
      </c>
      <c r="BI13" s="13" t="s">
        <v>1482</v>
      </c>
      <c r="BJ13" s="13">
        <v>7.0</v>
      </c>
      <c r="BK13" s="13" t="s">
        <v>1956</v>
      </c>
      <c r="BL13" s="13" t="s">
        <v>1920</v>
      </c>
      <c r="BM13" s="13" t="s">
        <v>1957</v>
      </c>
      <c r="BN13" s="13" t="s">
        <v>2387</v>
      </c>
      <c r="BO13" s="13" t="s">
        <v>1482</v>
      </c>
      <c r="BP13" s="13" t="s">
        <v>1482</v>
      </c>
      <c r="BQ13" s="13" t="s">
        <v>1482</v>
      </c>
      <c r="BR13" s="13" t="s">
        <v>1482</v>
      </c>
      <c r="BS13" s="13" t="s">
        <v>2961</v>
      </c>
      <c r="BT13" s="13" t="s">
        <v>2388</v>
      </c>
      <c r="BU13" s="13" t="str">
        <f>HYPERLINK("https%3A%2F%2Fwww.webofscience.com%2Fwos%2Fwoscc%2Ffull-record%2FWOS:000266752500026","View Full Record in Web of Science")</f>
        <v>View Full Record in Web of Science</v>
      </c>
    </row>
    <row r="14" ht="12.75" customHeight="1">
      <c r="A14" s="13" t="s">
        <v>1896</v>
      </c>
      <c r="B14" s="13" t="s">
        <v>2793</v>
      </c>
      <c r="C14" s="13" t="s">
        <v>1482</v>
      </c>
      <c r="D14" s="13" t="s">
        <v>1482</v>
      </c>
      <c r="E14" s="13" t="s">
        <v>1482</v>
      </c>
      <c r="F14" s="13" t="s">
        <v>2794</v>
      </c>
      <c r="G14" s="13" t="s">
        <v>1482</v>
      </c>
      <c r="H14" s="13" t="s">
        <v>1482</v>
      </c>
      <c r="I14" s="13" t="s">
        <v>2795</v>
      </c>
      <c r="J14" s="13" t="s">
        <v>2691</v>
      </c>
      <c r="K14" s="13" t="s">
        <v>1482</v>
      </c>
      <c r="L14" s="13" t="s">
        <v>1482</v>
      </c>
      <c r="M14" s="13" t="s">
        <v>1901</v>
      </c>
      <c r="N14" s="13" t="s">
        <v>1902</v>
      </c>
      <c r="O14" s="13" t="s">
        <v>1482</v>
      </c>
      <c r="P14" s="13" t="s">
        <v>1482</v>
      </c>
      <c r="Q14" s="13" t="s">
        <v>1482</v>
      </c>
      <c r="R14" s="13" t="s">
        <v>1482</v>
      </c>
      <c r="S14" s="13" t="s">
        <v>1482</v>
      </c>
      <c r="T14" s="13" t="s">
        <v>2796</v>
      </c>
      <c r="U14" s="13" t="s">
        <v>2797</v>
      </c>
      <c r="V14" s="13" t="s">
        <v>2798</v>
      </c>
      <c r="W14" s="13" t="s">
        <v>2799</v>
      </c>
      <c r="X14" s="13" t="s">
        <v>2800</v>
      </c>
      <c r="Y14" s="13" t="s">
        <v>2801</v>
      </c>
      <c r="Z14" s="13" t="s">
        <v>2802</v>
      </c>
      <c r="AA14" s="13" t="s">
        <v>2803</v>
      </c>
      <c r="AB14" s="13" t="s">
        <v>1482</v>
      </c>
      <c r="AC14" s="13" t="s">
        <v>2804</v>
      </c>
      <c r="AD14" s="13" t="s">
        <v>2804</v>
      </c>
      <c r="AE14" s="13" t="s">
        <v>2805</v>
      </c>
      <c r="AF14" s="13" t="s">
        <v>1482</v>
      </c>
      <c r="AG14" s="13">
        <v>41.0</v>
      </c>
      <c r="AH14" s="13">
        <v>20.0</v>
      </c>
      <c r="AI14" s="13">
        <v>22.0</v>
      </c>
      <c r="AJ14" s="13">
        <v>0.0</v>
      </c>
      <c r="AK14" s="13">
        <v>35.0</v>
      </c>
      <c r="AL14" s="13" t="s">
        <v>1998</v>
      </c>
      <c r="AM14" s="13" t="s">
        <v>1999</v>
      </c>
      <c r="AN14" s="13" t="s">
        <v>2000</v>
      </c>
      <c r="AO14" s="13" t="s">
        <v>2702</v>
      </c>
      <c r="AP14" s="13" t="s">
        <v>2703</v>
      </c>
      <c r="AQ14" s="13" t="s">
        <v>1482</v>
      </c>
      <c r="AR14" s="13" t="s">
        <v>2704</v>
      </c>
      <c r="AS14" s="13" t="s">
        <v>2705</v>
      </c>
      <c r="AT14" s="13" t="s">
        <v>2033</v>
      </c>
      <c r="AU14" s="13">
        <v>2011.0</v>
      </c>
      <c r="AV14" s="13">
        <v>49.0</v>
      </c>
      <c r="AW14" s="13">
        <v>2.0</v>
      </c>
      <c r="AX14" s="13" t="s">
        <v>1482</v>
      </c>
      <c r="AY14" s="13" t="s">
        <v>1482</v>
      </c>
      <c r="AZ14" s="13" t="s">
        <v>1482</v>
      </c>
      <c r="BA14" s="13" t="s">
        <v>1482</v>
      </c>
      <c r="BB14" s="13">
        <v>141.0</v>
      </c>
      <c r="BC14" s="13">
        <v>149.0</v>
      </c>
      <c r="BD14" s="13" t="s">
        <v>1482</v>
      </c>
      <c r="BE14" s="13" t="s">
        <v>1532</v>
      </c>
      <c r="BF14" s="15" t="str">
        <f>HYPERLINK("http://dx.doi.org/10.1111/j.1365-2028.2010.01239.x","http://dx.doi.org/10.1111/j.1365-2028.2010.01239.x")</f>
        <v>http://dx.doi.org/10.1111/j.1365-2028.2010.01239.x</v>
      </c>
      <c r="BG14" s="13"/>
      <c r="BH14" s="13" t="s">
        <v>1482</v>
      </c>
      <c r="BI14" s="13" t="s">
        <v>1482</v>
      </c>
      <c r="BJ14" s="13">
        <v>9.0</v>
      </c>
      <c r="BK14" s="13" t="s">
        <v>2154</v>
      </c>
      <c r="BL14" s="13" t="s">
        <v>1920</v>
      </c>
      <c r="BM14" s="13" t="s">
        <v>2156</v>
      </c>
      <c r="BN14" s="13" t="s">
        <v>2806</v>
      </c>
      <c r="BO14" s="13" t="s">
        <v>1482</v>
      </c>
      <c r="BP14" s="13" t="s">
        <v>2037</v>
      </c>
      <c r="BQ14" s="13" t="s">
        <v>1482</v>
      </c>
      <c r="BR14" s="13" t="s">
        <v>1482</v>
      </c>
      <c r="BS14" s="13" t="s">
        <v>2961</v>
      </c>
      <c r="BT14" s="13" t="s">
        <v>2807</v>
      </c>
      <c r="BU14" s="13" t="str">
        <f>HYPERLINK("https%3A%2F%2Fwww.webofscience.com%2Fwos%2Fwoscc%2Ffull-record%2FWOS:000290171900002","View Full Record in Web of Science")</f>
        <v>View Full Record in Web of Science</v>
      </c>
    </row>
    <row r="15" ht="12.75" customHeight="1">
      <c r="A15" s="13" t="s">
        <v>1896</v>
      </c>
      <c r="B15" s="13" t="s">
        <v>2550</v>
      </c>
      <c r="C15" s="13" t="s">
        <v>1482</v>
      </c>
      <c r="D15" s="13" t="s">
        <v>1482</v>
      </c>
      <c r="E15" s="13" t="s">
        <v>1482</v>
      </c>
      <c r="F15" s="13" t="s">
        <v>2551</v>
      </c>
      <c r="G15" s="13" t="s">
        <v>1482</v>
      </c>
      <c r="H15" s="13" t="s">
        <v>1482</v>
      </c>
      <c r="I15" s="13" t="s">
        <v>2552</v>
      </c>
      <c r="J15" s="13" t="s">
        <v>2553</v>
      </c>
      <c r="K15" s="13" t="s">
        <v>1482</v>
      </c>
      <c r="L15" s="13" t="s">
        <v>1482</v>
      </c>
      <c r="M15" s="13" t="s">
        <v>1901</v>
      </c>
      <c r="N15" s="13" t="s">
        <v>1902</v>
      </c>
      <c r="O15" s="13" t="s">
        <v>1482</v>
      </c>
      <c r="P15" s="13" t="s">
        <v>1482</v>
      </c>
      <c r="Q15" s="13" t="s">
        <v>1482</v>
      </c>
      <c r="R15" s="13" t="s">
        <v>1482</v>
      </c>
      <c r="S15" s="13" t="s">
        <v>1482</v>
      </c>
      <c r="T15" s="13" t="s">
        <v>1482</v>
      </c>
      <c r="U15" s="13" t="s">
        <v>2554</v>
      </c>
      <c r="V15" s="13" t="s">
        <v>2555</v>
      </c>
      <c r="W15" s="13" t="s">
        <v>2556</v>
      </c>
      <c r="X15" s="13" t="s">
        <v>2557</v>
      </c>
      <c r="Y15" s="13" t="s">
        <v>2558</v>
      </c>
      <c r="Z15" s="13" t="s">
        <v>2559</v>
      </c>
      <c r="AA15" s="13" t="s">
        <v>2995</v>
      </c>
      <c r="AB15" s="13" t="s">
        <v>1482</v>
      </c>
      <c r="AC15" s="13" t="s">
        <v>2561</v>
      </c>
      <c r="AD15" s="13" t="s">
        <v>2562</v>
      </c>
      <c r="AE15" s="13" t="s">
        <v>2563</v>
      </c>
      <c r="AF15" s="13" t="s">
        <v>1482</v>
      </c>
      <c r="AG15" s="13">
        <v>73.0</v>
      </c>
      <c r="AH15" s="13">
        <v>22.0</v>
      </c>
      <c r="AI15" s="13">
        <v>27.0</v>
      </c>
      <c r="AJ15" s="13">
        <v>0.0</v>
      </c>
      <c r="AK15" s="13">
        <v>50.0</v>
      </c>
      <c r="AL15" s="13" t="s">
        <v>1998</v>
      </c>
      <c r="AM15" s="13" t="s">
        <v>1999</v>
      </c>
      <c r="AN15" s="13" t="s">
        <v>2000</v>
      </c>
      <c r="AO15" s="13" t="s">
        <v>2564</v>
      </c>
      <c r="AP15" s="13" t="s">
        <v>2565</v>
      </c>
      <c r="AQ15" s="13" t="s">
        <v>1482</v>
      </c>
      <c r="AR15" s="13" t="s">
        <v>2566</v>
      </c>
      <c r="AS15" s="13" t="s">
        <v>2567</v>
      </c>
      <c r="AT15" s="13" t="s">
        <v>2568</v>
      </c>
      <c r="AU15" s="13">
        <v>2015.0</v>
      </c>
      <c r="AV15" s="13">
        <v>21.0</v>
      </c>
      <c r="AW15" s="13">
        <v>5.0</v>
      </c>
      <c r="AX15" s="13" t="s">
        <v>1482</v>
      </c>
      <c r="AY15" s="13" t="s">
        <v>1482</v>
      </c>
      <c r="AZ15" s="13" t="s">
        <v>1482</v>
      </c>
      <c r="BA15" s="13" t="s">
        <v>1482</v>
      </c>
      <c r="BB15" s="13">
        <v>234.0</v>
      </c>
      <c r="BC15" s="13">
        <v>245.0</v>
      </c>
      <c r="BD15" s="13" t="s">
        <v>1482</v>
      </c>
      <c r="BE15" s="13" t="s">
        <v>1519</v>
      </c>
      <c r="BF15" s="15" t="str">
        <f>HYPERLINK("http://dx.doi.org/10.2981/wlb.00095","http://dx.doi.org/10.2981/wlb.00095")</f>
        <v>http://dx.doi.org/10.2981/wlb.00095</v>
      </c>
      <c r="BG15" s="13"/>
      <c r="BH15" s="13" t="s">
        <v>1482</v>
      </c>
      <c r="BI15" s="13" t="s">
        <v>1482</v>
      </c>
      <c r="BJ15" s="13">
        <v>12.0</v>
      </c>
      <c r="BK15" s="13" t="s">
        <v>2480</v>
      </c>
      <c r="BL15" s="13" t="s">
        <v>1920</v>
      </c>
      <c r="BM15" s="13" t="s">
        <v>2481</v>
      </c>
      <c r="BN15" s="13" t="s">
        <v>2569</v>
      </c>
      <c r="BO15" s="13" t="s">
        <v>1482</v>
      </c>
      <c r="BP15" s="13" t="s">
        <v>2570</v>
      </c>
      <c r="BQ15" s="13" t="s">
        <v>1482</v>
      </c>
      <c r="BR15" s="13" t="s">
        <v>1482</v>
      </c>
      <c r="BS15" s="13" t="s">
        <v>2961</v>
      </c>
      <c r="BT15" s="13" t="s">
        <v>2571</v>
      </c>
      <c r="BU15" s="13" t="str">
        <f>HYPERLINK("https%3A%2F%2Fwww.webofscience.com%2Fwos%2Fwoscc%2Ffull-record%2FWOS:000363668300001","View Full Record in Web of Science")</f>
        <v>View Full Record in Web of Science</v>
      </c>
    </row>
    <row r="16" ht="12.75" customHeight="1">
      <c r="A16" s="13" t="s">
        <v>1896</v>
      </c>
      <c r="B16" s="13" t="s">
        <v>2120</v>
      </c>
      <c r="C16" s="13" t="s">
        <v>1482</v>
      </c>
      <c r="D16" s="13" t="s">
        <v>1482</v>
      </c>
      <c r="E16" s="13" t="s">
        <v>1482</v>
      </c>
      <c r="F16" s="13" t="s">
        <v>2120</v>
      </c>
      <c r="G16" s="13" t="s">
        <v>1482</v>
      </c>
      <c r="H16" s="13" t="s">
        <v>1482</v>
      </c>
      <c r="I16" s="13" t="s">
        <v>2121</v>
      </c>
      <c r="J16" s="13" t="s">
        <v>1937</v>
      </c>
      <c r="K16" s="13" t="s">
        <v>1482</v>
      </c>
      <c r="L16" s="13" t="s">
        <v>1482</v>
      </c>
      <c r="M16" s="13" t="s">
        <v>1901</v>
      </c>
      <c r="N16" s="13" t="s">
        <v>1902</v>
      </c>
      <c r="O16" s="13" t="s">
        <v>1482</v>
      </c>
      <c r="P16" s="13" t="s">
        <v>1482</v>
      </c>
      <c r="Q16" s="13" t="s">
        <v>1482</v>
      </c>
      <c r="R16" s="13" t="s">
        <v>1482</v>
      </c>
      <c r="S16" s="13" t="s">
        <v>1482</v>
      </c>
      <c r="T16" s="13" t="s">
        <v>2122</v>
      </c>
      <c r="U16" s="13" t="s">
        <v>2123</v>
      </c>
      <c r="V16" s="13" t="s">
        <v>2124</v>
      </c>
      <c r="W16" s="13" t="s">
        <v>2125</v>
      </c>
      <c r="X16" s="13" t="s">
        <v>2126</v>
      </c>
      <c r="Y16" s="13" t="s">
        <v>2127</v>
      </c>
      <c r="Z16" s="13" t="s">
        <v>2128</v>
      </c>
      <c r="AA16" s="13" t="s">
        <v>1482</v>
      </c>
      <c r="AB16" s="13" t="s">
        <v>1482</v>
      </c>
      <c r="AC16" s="13" t="s">
        <v>1482</v>
      </c>
      <c r="AD16" s="13" t="s">
        <v>1482</v>
      </c>
      <c r="AE16" s="13" t="s">
        <v>1482</v>
      </c>
      <c r="AF16" s="13" t="s">
        <v>1482</v>
      </c>
      <c r="AG16" s="13">
        <v>44.0</v>
      </c>
      <c r="AH16" s="13">
        <v>18.0</v>
      </c>
      <c r="AI16" s="13">
        <v>21.0</v>
      </c>
      <c r="AJ16" s="13">
        <v>1.0</v>
      </c>
      <c r="AK16" s="13">
        <v>15.0</v>
      </c>
      <c r="AL16" s="13" t="s">
        <v>1948</v>
      </c>
      <c r="AM16" s="13" t="s">
        <v>1949</v>
      </c>
      <c r="AN16" s="13" t="s">
        <v>1950</v>
      </c>
      <c r="AO16" s="13" t="s">
        <v>1951</v>
      </c>
      <c r="AP16" s="13" t="s">
        <v>1952</v>
      </c>
      <c r="AQ16" s="13" t="s">
        <v>1482</v>
      </c>
      <c r="AR16" s="13" t="s">
        <v>1953</v>
      </c>
      <c r="AS16" s="13" t="s">
        <v>1954</v>
      </c>
      <c r="AT16" s="13" t="s">
        <v>1482</v>
      </c>
      <c r="AU16" s="13">
        <v>2002.0</v>
      </c>
      <c r="AV16" s="13">
        <v>11.0</v>
      </c>
      <c r="AW16" s="13">
        <v>10.0</v>
      </c>
      <c r="AX16" s="13" t="s">
        <v>1482</v>
      </c>
      <c r="AY16" s="13" t="s">
        <v>1482</v>
      </c>
      <c r="AZ16" s="13" t="s">
        <v>1482</v>
      </c>
      <c r="BA16" s="13" t="s">
        <v>1482</v>
      </c>
      <c r="BB16" s="13">
        <v>1845.0</v>
      </c>
      <c r="BC16" s="13">
        <v>1868.0</v>
      </c>
      <c r="BD16" s="13" t="s">
        <v>1482</v>
      </c>
      <c r="BE16" s="13" t="s">
        <v>1506</v>
      </c>
      <c r="BF16" s="15" t="str">
        <f>HYPERLINK("http://dx.doi.org/10.1023/A:1020305903156","http://dx.doi.org/10.1023/A:1020305903156")</f>
        <v>http://dx.doi.org/10.1023/A:1020305903156</v>
      </c>
      <c r="BG16" s="13"/>
      <c r="BH16" s="13" t="s">
        <v>1482</v>
      </c>
      <c r="BI16" s="13" t="s">
        <v>1482</v>
      </c>
      <c r="BJ16" s="13">
        <v>24.0</v>
      </c>
      <c r="BK16" s="13" t="s">
        <v>1956</v>
      </c>
      <c r="BL16" s="13" t="s">
        <v>2035</v>
      </c>
      <c r="BM16" s="13" t="s">
        <v>1957</v>
      </c>
      <c r="BN16" s="13" t="s">
        <v>2129</v>
      </c>
      <c r="BO16" s="13" t="s">
        <v>1482</v>
      </c>
      <c r="BP16" s="13" t="s">
        <v>1482</v>
      </c>
      <c r="BQ16" s="13" t="s">
        <v>1482</v>
      </c>
      <c r="BR16" s="13" t="s">
        <v>1482</v>
      </c>
      <c r="BS16" s="13" t="s">
        <v>2961</v>
      </c>
      <c r="BT16" s="13" t="s">
        <v>2130</v>
      </c>
      <c r="BU16" s="13" t="str">
        <f>HYPERLINK("https%3A%2F%2Fwww.webofscience.com%2Fwos%2Fwoscc%2Ffull-record%2FWOS:000178204300010","View Full Record in Web of Science")</f>
        <v>View Full Record in Web of Science</v>
      </c>
    </row>
    <row r="17" ht="12.75" customHeight="1">
      <c r="A17" s="13" t="s">
        <v>1896</v>
      </c>
      <c r="B17" s="13" t="s">
        <v>1934</v>
      </c>
      <c r="C17" s="13" t="s">
        <v>1482</v>
      </c>
      <c r="D17" s="13" t="s">
        <v>1482</v>
      </c>
      <c r="E17" s="13" t="s">
        <v>1482</v>
      </c>
      <c r="F17" s="13" t="s">
        <v>1935</v>
      </c>
      <c r="G17" s="13" t="s">
        <v>1482</v>
      </c>
      <c r="H17" s="13" t="s">
        <v>1482</v>
      </c>
      <c r="I17" s="13" t="s">
        <v>1936</v>
      </c>
      <c r="J17" s="13" t="s">
        <v>1937</v>
      </c>
      <c r="K17" s="13" t="s">
        <v>1482</v>
      </c>
      <c r="L17" s="13" t="s">
        <v>1482</v>
      </c>
      <c r="M17" s="13" t="s">
        <v>1901</v>
      </c>
      <c r="N17" s="13" t="s">
        <v>1902</v>
      </c>
      <c r="O17" s="13" t="s">
        <v>1482</v>
      </c>
      <c r="P17" s="13" t="s">
        <v>1482</v>
      </c>
      <c r="Q17" s="13" t="s">
        <v>1482</v>
      </c>
      <c r="R17" s="13" t="s">
        <v>1482</v>
      </c>
      <c r="S17" s="13" t="s">
        <v>1482</v>
      </c>
      <c r="T17" s="13" t="s">
        <v>1938</v>
      </c>
      <c r="U17" s="13" t="s">
        <v>1939</v>
      </c>
      <c r="V17" s="13" t="s">
        <v>1940</v>
      </c>
      <c r="W17" s="13" t="s">
        <v>1941</v>
      </c>
      <c r="X17" s="13" t="s">
        <v>1942</v>
      </c>
      <c r="Y17" s="13" t="s">
        <v>1943</v>
      </c>
      <c r="Z17" s="13" t="s">
        <v>1944</v>
      </c>
      <c r="AA17" s="13" t="s">
        <v>2996</v>
      </c>
      <c r="AB17" s="13" t="s">
        <v>1482</v>
      </c>
      <c r="AC17" s="13" t="s">
        <v>1946</v>
      </c>
      <c r="AD17" s="13" t="s">
        <v>1946</v>
      </c>
      <c r="AE17" s="13" t="s">
        <v>1947</v>
      </c>
      <c r="AF17" s="13" t="s">
        <v>1482</v>
      </c>
      <c r="AG17" s="13">
        <v>53.0</v>
      </c>
      <c r="AH17" s="13">
        <v>31.0</v>
      </c>
      <c r="AI17" s="13">
        <v>35.0</v>
      </c>
      <c r="AJ17" s="13">
        <v>1.0</v>
      </c>
      <c r="AK17" s="13">
        <v>50.0</v>
      </c>
      <c r="AL17" s="13" t="s">
        <v>1948</v>
      </c>
      <c r="AM17" s="13" t="s">
        <v>1949</v>
      </c>
      <c r="AN17" s="13" t="s">
        <v>1950</v>
      </c>
      <c r="AO17" s="13" t="s">
        <v>1951</v>
      </c>
      <c r="AP17" s="13" t="s">
        <v>1952</v>
      </c>
      <c r="AQ17" s="13" t="s">
        <v>1482</v>
      </c>
      <c r="AR17" s="13" t="s">
        <v>1953</v>
      </c>
      <c r="AS17" s="13" t="s">
        <v>1954</v>
      </c>
      <c r="AT17" s="13" t="s">
        <v>1955</v>
      </c>
      <c r="AU17" s="13">
        <v>2009.0</v>
      </c>
      <c r="AV17" s="13">
        <v>18.0</v>
      </c>
      <c r="AW17" s="13">
        <v>5.0</v>
      </c>
      <c r="AX17" s="13" t="s">
        <v>1482</v>
      </c>
      <c r="AY17" s="13" t="s">
        <v>1482</v>
      </c>
      <c r="AZ17" s="13" t="s">
        <v>1482</v>
      </c>
      <c r="BA17" s="13" t="s">
        <v>1482</v>
      </c>
      <c r="BB17" s="13">
        <v>1361.0</v>
      </c>
      <c r="BC17" s="13">
        <v>1373.0</v>
      </c>
      <c r="BD17" s="13" t="s">
        <v>1482</v>
      </c>
      <c r="BE17" s="13" t="s">
        <v>1544</v>
      </c>
      <c r="BF17" s="15" t="str">
        <f>HYPERLINK("http://dx.doi.org/10.1007/s10531-008-9481-6","http://dx.doi.org/10.1007/s10531-008-9481-6")</f>
        <v>http://dx.doi.org/10.1007/s10531-008-9481-6</v>
      </c>
      <c r="BG17" s="13"/>
      <c r="BH17" s="13" t="s">
        <v>1482</v>
      </c>
      <c r="BI17" s="13" t="s">
        <v>1482</v>
      </c>
      <c r="BJ17" s="13">
        <v>13.0</v>
      </c>
      <c r="BK17" s="13" t="s">
        <v>1956</v>
      </c>
      <c r="BL17" s="13" t="s">
        <v>1920</v>
      </c>
      <c r="BM17" s="13" t="s">
        <v>1957</v>
      </c>
      <c r="BN17" s="13" t="s">
        <v>1958</v>
      </c>
      <c r="BO17" s="13" t="s">
        <v>1482</v>
      </c>
      <c r="BP17" s="13" t="s">
        <v>1482</v>
      </c>
      <c r="BQ17" s="13" t="s">
        <v>1482</v>
      </c>
      <c r="BR17" s="13" t="s">
        <v>1482</v>
      </c>
      <c r="BS17" s="13" t="s">
        <v>2961</v>
      </c>
      <c r="BT17" s="13" t="s">
        <v>1959</v>
      </c>
      <c r="BU17" s="13" t="str">
        <f>HYPERLINK("https%3A%2F%2Fwww.webofscience.com%2Fwos%2Fwoscc%2Ffull-record%2FWOS:000265939700017","View Full Record in Web of Science")</f>
        <v>View Full Record in Web of Science</v>
      </c>
    </row>
    <row r="18" ht="12.75" customHeight="1">
      <c r="A18" s="13" t="s">
        <v>1896</v>
      </c>
      <c r="B18" s="13" t="s">
        <v>2332</v>
      </c>
      <c r="C18" s="13" t="s">
        <v>1482</v>
      </c>
      <c r="D18" s="13" t="s">
        <v>1482</v>
      </c>
      <c r="E18" s="13" t="s">
        <v>1482</v>
      </c>
      <c r="F18" s="13" t="s">
        <v>2332</v>
      </c>
      <c r="G18" s="13" t="s">
        <v>1482</v>
      </c>
      <c r="H18" s="13" t="s">
        <v>1482</v>
      </c>
      <c r="I18" s="13" t="s">
        <v>2333</v>
      </c>
      <c r="J18" s="13" t="s">
        <v>2334</v>
      </c>
      <c r="K18" s="13" t="s">
        <v>1482</v>
      </c>
      <c r="L18" s="13" t="s">
        <v>1482</v>
      </c>
      <c r="M18" s="13" t="s">
        <v>1901</v>
      </c>
      <c r="N18" s="13" t="s">
        <v>1902</v>
      </c>
      <c r="O18" s="13" t="s">
        <v>1482</v>
      </c>
      <c r="P18" s="13" t="s">
        <v>1482</v>
      </c>
      <c r="Q18" s="13" t="s">
        <v>1482</v>
      </c>
      <c r="R18" s="13" t="s">
        <v>1482</v>
      </c>
      <c r="S18" s="13" t="s">
        <v>1482</v>
      </c>
      <c r="T18" s="13" t="s">
        <v>2335</v>
      </c>
      <c r="U18" s="13" t="s">
        <v>2336</v>
      </c>
      <c r="V18" s="13" t="s">
        <v>2337</v>
      </c>
      <c r="W18" s="13" t="s">
        <v>2338</v>
      </c>
      <c r="X18" s="13" t="s">
        <v>2339</v>
      </c>
      <c r="Y18" s="13" t="s">
        <v>2340</v>
      </c>
      <c r="Z18" s="13" t="s">
        <v>2341</v>
      </c>
      <c r="AA18" s="13" t="s">
        <v>2997</v>
      </c>
      <c r="AB18" s="13" t="s">
        <v>2998</v>
      </c>
      <c r="AC18" s="13" t="s">
        <v>1482</v>
      </c>
      <c r="AD18" s="13" t="s">
        <v>1482</v>
      </c>
      <c r="AE18" s="13" t="s">
        <v>1482</v>
      </c>
      <c r="AF18" s="13" t="s">
        <v>1482</v>
      </c>
      <c r="AG18" s="13">
        <v>37.0</v>
      </c>
      <c r="AH18" s="13">
        <v>15.0</v>
      </c>
      <c r="AI18" s="13">
        <v>16.0</v>
      </c>
      <c r="AJ18" s="13">
        <v>0.0</v>
      </c>
      <c r="AK18" s="13">
        <v>20.0</v>
      </c>
      <c r="AL18" s="13" t="s">
        <v>2344</v>
      </c>
      <c r="AM18" s="13" t="s">
        <v>2345</v>
      </c>
      <c r="AN18" s="13" t="s">
        <v>2346</v>
      </c>
      <c r="AO18" s="13" t="s">
        <v>2347</v>
      </c>
      <c r="AP18" s="13" t="s">
        <v>2348</v>
      </c>
      <c r="AQ18" s="13" t="s">
        <v>1482</v>
      </c>
      <c r="AR18" s="13" t="s">
        <v>2349</v>
      </c>
      <c r="AS18" s="13" t="s">
        <v>2350</v>
      </c>
      <c r="AT18" s="13" t="s">
        <v>1482</v>
      </c>
      <c r="AU18" s="13">
        <v>2004.0</v>
      </c>
      <c r="AV18" s="13">
        <v>73.0</v>
      </c>
      <c r="AW18" s="13">
        <v>4.0</v>
      </c>
      <c r="AX18" s="13" t="s">
        <v>1482</v>
      </c>
      <c r="AY18" s="13" t="s">
        <v>1482</v>
      </c>
      <c r="AZ18" s="13" t="s">
        <v>1482</v>
      </c>
      <c r="BA18" s="13" t="s">
        <v>1482</v>
      </c>
      <c r="BB18" s="13">
        <v>283.0</v>
      </c>
      <c r="BC18" s="13">
        <v>291.0</v>
      </c>
      <c r="BD18" s="13" t="s">
        <v>1482</v>
      </c>
      <c r="BE18" s="13" t="s">
        <v>1553</v>
      </c>
      <c r="BF18" s="15" t="str">
        <f>HYPERLINK("http://dx.doi.org/10.1163/18759866-07304004","http://dx.doi.org/10.1163/18759866-07304004")</f>
        <v>http://dx.doi.org/10.1163/18759866-07304004</v>
      </c>
      <c r="BG18" s="13"/>
      <c r="BH18" s="13" t="s">
        <v>1482</v>
      </c>
      <c r="BI18" s="13" t="s">
        <v>1482</v>
      </c>
      <c r="BJ18" s="13">
        <v>9.0</v>
      </c>
      <c r="BK18" s="13" t="s">
        <v>1919</v>
      </c>
      <c r="BL18" s="13" t="s">
        <v>1920</v>
      </c>
      <c r="BM18" s="13" t="s">
        <v>1919</v>
      </c>
      <c r="BN18" s="13" t="s">
        <v>2351</v>
      </c>
      <c r="BO18" s="13" t="s">
        <v>1482</v>
      </c>
      <c r="BP18" s="13" t="s">
        <v>2037</v>
      </c>
      <c r="BQ18" s="13" t="s">
        <v>1482</v>
      </c>
      <c r="BR18" s="13" t="s">
        <v>1482</v>
      </c>
      <c r="BS18" s="13" t="s">
        <v>2961</v>
      </c>
      <c r="BT18" s="13" t="s">
        <v>2352</v>
      </c>
      <c r="BU18" s="13" t="str">
        <f>HYPERLINK("https%3A%2F%2Fwww.webofscience.com%2Fwos%2Fwoscc%2Ffull-record%2FWOS:000227928800004","View Full Record in Web of Science")</f>
        <v>View Full Record in Web of Science</v>
      </c>
    </row>
    <row r="19" ht="12.75" customHeight="1">
      <c r="A19" s="13" t="s">
        <v>1896</v>
      </c>
      <c r="B19" s="13" t="s">
        <v>1966</v>
      </c>
      <c r="C19" s="13" t="s">
        <v>1482</v>
      </c>
      <c r="D19" s="13" t="s">
        <v>1482</v>
      </c>
      <c r="E19" s="13" t="s">
        <v>1482</v>
      </c>
      <c r="F19" s="13" t="s">
        <v>1966</v>
      </c>
      <c r="G19" s="13" t="s">
        <v>1482</v>
      </c>
      <c r="H19" s="13" t="s">
        <v>1482</v>
      </c>
      <c r="I19" s="13" t="s">
        <v>1967</v>
      </c>
      <c r="J19" s="13" t="s">
        <v>1937</v>
      </c>
      <c r="K19" s="13" t="s">
        <v>1482</v>
      </c>
      <c r="L19" s="13" t="s">
        <v>1482</v>
      </c>
      <c r="M19" s="13" t="s">
        <v>1901</v>
      </c>
      <c r="N19" s="13" t="s">
        <v>1902</v>
      </c>
      <c r="O19" s="13" t="s">
        <v>1482</v>
      </c>
      <c r="P19" s="13" t="s">
        <v>1482</v>
      </c>
      <c r="Q19" s="13" t="s">
        <v>1482</v>
      </c>
      <c r="R19" s="13" t="s">
        <v>1482</v>
      </c>
      <c r="S19" s="13" t="s">
        <v>1482</v>
      </c>
      <c r="T19" s="13" t="s">
        <v>1968</v>
      </c>
      <c r="U19" s="13" t="s">
        <v>1969</v>
      </c>
      <c r="V19" s="13" t="s">
        <v>1970</v>
      </c>
      <c r="W19" s="13" t="s">
        <v>1971</v>
      </c>
      <c r="X19" s="13" t="s">
        <v>1972</v>
      </c>
      <c r="Y19" s="13" t="s">
        <v>1973</v>
      </c>
      <c r="Z19" s="13" t="s">
        <v>1974</v>
      </c>
      <c r="AA19" s="13" t="s">
        <v>1482</v>
      </c>
      <c r="AB19" s="13" t="s">
        <v>1482</v>
      </c>
      <c r="AC19" s="13" t="s">
        <v>1482</v>
      </c>
      <c r="AD19" s="13" t="s">
        <v>1482</v>
      </c>
      <c r="AE19" s="13" t="s">
        <v>1482</v>
      </c>
      <c r="AF19" s="13" t="s">
        <v>1482</v>
      </c>
      <c r="AG19" s="13">
        <v>37.0</v>
      </c>
      <c r="AH19" s="13">
        <v>35.0</v>
      </c>
      <c r="AI19" s="13">
        <v>38.0</v>
      </c>
      <c r="AJ19" s="13">
        <v>0.0</v>
      </c>
      <c r="AK19" s="13">
        <v>41.0</v>
      </c>
      <c r="AL19" s="13" t="s">
        <v>1948</v>
      </c>
      <c r="AM19" s="13" t="s">
        <v>1949</v>
      </c>
      <c r="AN19" s="13" t="s">
        <v>1950</v>
      </c>
      <c r="AO19" s="13" t="s">
        <v>1951</v>
      </c>
      <c r="AP19" s="13" t="s">
        <v>1952</v>
      </c>
      <c r="AQ19" s="13" t="s">
        <v>1482</v>
      </c>
      <c r="AR19" s="13" t="s">
        <v>1953</v>
      </c>
      <c r="AS19" s="13" t="s">
        <v>1954</v>
      </c>
      <c r="AT19" s="13" t="s">
        <v>1955</v>
      </c>
      <c r="AU19" s="13">
        <v>2005.0</v>
      </c>
      <c r="AV19" s="13">
        <v>14.0</v>
      </c>
      <c r="AW19" s="13">
        <v>5.0</v>
      </c>
      <c r="AX19" s="13" t="s">
        <v>1482</v>
      </c>
      <c r="AY19" s="13" t="s">
        <v>1482</v>
      </c>
      <c r="AZ19" s="13" t="s">
        <v>1482</v>
      </c>
      <c r="BA19" s="13" t="s">
        <v>1482</v>
      </c>
      <c r="BB19" s="13">
        <v>1121.0</v>
      </c>
      <c r="BC19" s="13">
        <v>1135.0</v>
      </c>
      <c r="BD19" s="13" t="s">
        <v>1482</v>
      </c>
      <c r="BE19" s="13" t="s">
        <v>1560</v>
      </c>
      <c r="BF19" s="15" t="str">
        <f>HYPERLINK("http://dx.doi.org/10.1007/s10531-004-8412-4","http://dx.doi.org/10.1007/s10531-004-8412-4")</f>
        <v>http://dx.doi.org/10.1007/s10531-004-8412-4</v>
      </c>
      <c r="BG19" s="13"/>
      <c r="BH19" s="13" t="s">
        <v>1482</v>
      </c>
      <c r="BI19" s="13" t="s">
        <v>1482</v>
      </c>
      <c r="BJ19" s="13">
        <v>15.0</v>
      </c>
      <c r="BK19" s="13" t="s">
        <v>1956</v>
      </c>
      <c r="BL19" s="13" t="s">
        <v>1920</v>
      </c>
      <c r="BM19" s="13" t="s">
        <v>1957</v>
      </c>
      <c r="BN19" s="13" t="s">
        <v>1975</v>
      </c>
      <c r="BO19" s="13" t="s">
        <v>1482</v>
      </c>
      <c r="BP19" s="13" t="s">
        <v>1482</v>
      </c>
      <c r="BQ19" s="13" t="s">
        <v>1482</v>
      </c>
      <c r="BR19" s="13" t="s">
        <v>1482</v>
      </c>
      <c r="BS19" s="13" t="s">
        <v>2961</v>
      </c>
      <c r="BT19" s="13" t="s">
        <v>1976</v>
      </c>
      <c r="BU19" s="13" t="str">
        <f>HYPERLINK("https%3A%2F%2Fwww.webofscience.com%2Fwos%2Fwoscc%2Ffull-record%2FWOS:000228507100007","View Full Record in Web of Science")</f>
        <v>View Full Record in Web of Science</v>
      </c>
    </row>
    <row r="20" ht="12.75" customHeight="1">
      <c r="A20" s="13" t="s">
        <v>1896</v>
      </c>
      <c r="B20" s="13" t="s">
        <v>2184</v>
      </c>
      <c r="C20" s="13" t="s">
        <v>1482</v>
      </c>
      <c r="D20" s="13" t="s">
        <v>1482</v>
      </c>
      <c r="E20" s="13" t="s">
        <v>1482</v>
      </c>
      <c r="F20" s="13" t="s">
        <v>2185</v>
      </c>
      <c r="G20" s="13" t="s">
        <v>1482</v>
      </c>
      <c r="H20" s="13" t="s">
        <v>1482</v>
      </c>
      <c r="I20" s="13" t="s">
        <v>2186</v>
      </c>
      <c r="J20" s="13" t="s">
        <v>2016</v>
      </c>
      <c r="K20" s="13" t="s">
        <v>1482</v>
      </c>
      <c r="L20" s="13" t="s">
        <v>1482</v>
      </c>
      <c r="M20" s="13" t="s">
        <v>1901</v>
      </c>
      <c r="N20" s="13" t="s">
        <v>1902</v>
      </c>
      <c r="O20" s="13" t="s">
        <v>1482</v>
      </c>
      <c r="P20" s="13" t="s">
        <v>1482</v>
      </c>
      <c r="Q20" s="13" t="s">
        <v>1482</v>
      </c>
      <c r="R20" s="13" t="s">
        <v>1482</v>
      </c>
      <c r="S20" s="13" t="s">
        <v>1482</v>
      </c>
      <c r="T20" s="13" t="s">
        <v>2187</v>
      </c>
      <c r="U20" s="13" t="s">
        <v>2188</v>
      </c>
      <c r="V20" s="13" t="s">
        <v>2189</v>
      </c>
      <c r="W20" s="13" t="s">
        <v>2190</v>
      </c>
      <c r="X20" s="13" t="s">
        <v>2191</v>
      </c>
      <c r="Y20" s="13" t="s">
        <v>2192</v>
      </c>
      <c r="Z20" s="13" t="s">
        <v>2193</v>
      </c>
      <c r="AA20" s="13" t="s">
        <v>2999</v>
      </c>
      <c r="AB20" s="13" t="s">
        <v>3000</v>
      </c>
      <c r="AC20" s="13" t="s">
        <v>2196</v>
      </c>
      <c r="AD20" s="13" t="s">
        <v>2196</v>
      </c>
      <c r="AE20" s="13" t="s">
        <v>2197</v>
      </c>
      <c r="AF20" s="13" t="s">
        <v>1482</v>
      </c>
      <c r="AG20" s="13">
        <v>49.0</v>
      </c>
      <c r="AH20" s="13">
        <v>18.0</v>
      </c>
      <c r="AI20" s="13">
        <v>24.0</v>
      </c>
      <c r="AJ20" s="13">
        <v>0.0</v>
      </c>
      <c r="AK20" s="13">
        <v>35.0</v>
      </c>
      <c r="AL20" s="13" t="s">
        <v>1998</v>
      </c>
      <c r="AM20" s="13" t="s">
        <v>1999</v>
      </c>
      <c r="AN20" s="13" t="s">
        <v>2000</v>
      </c>
      <c r="AO20" s="13" t="s">
        <v>2029</v>
      </c>
      <c r="AP20" s="13" t="s">
        <v>2030</v>
      </c>
      <c r="AQ20" s="13" t="s">
        <v>1482</v>
      </c>
      <c r="AR20" s="13" t="s">
        <v>2031</v>
      </c>
      <c r="AS20" s="13" t="s">
        <v>2032</v>
      </c>
      <c r="AT20" s="13" t="s">
        <v>2198</v>
      </c>
      <c r="AU20" s="13">
        <v>2011.0</v>
      </c>
      <c r="AV20" s="13">
        <v>14.0</v>
      </c>
      <c r="AW20" s="13">
        <v>4.0</v>
      </c>
      <c r="AX20" s="13" t="s">
        <v>1482</v>
      </c>
      <c r="AY20" s="13" t="s">
        <v>1482</v>
      </c>
      <c r="AZ20" s="13" t="s">
        <v>1482</v>
      </c>
      <c r="BA20" s="13" t="s">
        <v>1482</v>
      </c>
      <c r="BB20" s="13">
        <v>409.0</v>
      </c>
      <c r="BC20" s="13">
        <v>418.0</v>
      </c>
      <c r="BD20" s="13" t="s">
        <v>1482</v>
      </c>
      <c r="BE20" s="13" t="s">
        <v>1512</v>
      </c>
      <c r="BF20" s="15" t="str">
        <f>HYPERLINK("http://dx.doi.org/10.1111/j.1469-1795.2011.00437.x","http://dx.doi.org/10.1111/j.1469-1795.2011.00437.x")</f>
        <v>http://dx.doi.org/10.1111/j.1469-1795.2011.00437.x</v>
      </c>
      <c r="BG20" s="13"/>
      <c r="BH20" s="13" t="s">
        <v>1482</v>
      </c>
      <c r="BI20" s="13" t="s">
        <v>1482</v>
      </c>
      <c r="BJ20" s="13">
        <v>10.0</v>
      </c>
      <c r="BK20" s="13" t="s">
        <v>2034</v>
      </c>
      <c r="BL20" s="13" t="s">
        <v>1920</v>
      </c>
      <c r="BM20" s="13" t="s">
        <v>1957</v>
      </c>
      <c r="BN20" s="13" t="s">
        <v>2199</v>
      </c>
      <c r="BO20" s="13" t="s">
        <v>1482</v>
      </c>
      <c r="BP20" s="13" t="s">
        <v>2037</v>
      </c>
      <c r="BQ20" s="13" t="s">
        <v>1482</v>
      </c>
      <c r="BR20" s="13" t="s">
        <v>1482</v>
      </c>
      <c r="BS20" s="13" t="s">
        <v>2961</v>
      </c>
      <c r="BT20" s="13" t="s">
        <v>2200</v>
      </c>
      <c r="BU20" s="13" t="str">
        <f>HYPERLINK("https%3A%2F%2Fwww.webofscience.com%2Fwos%2Fwoscc%2Ffull-record%2FWOS:000293173900014","View Full Record in Web of Science")</f>
        <v>View Full Record in Web of Science</v>
      </c>
    </row>
    <row r="21" ht="12.75" customHeight="1">
      <c r="A21" s="13" t="s">
        <v>1896</v>
      </c>
      <c r="B21" s="13" t="s">
        <v>2105</v>
      </c>
      <c r="C21" s="13" t="s">
        <v>1482</v>
      </c>
      <c r="D21" s="13" t="s">
        <v>1482</v>
      </c>
      <c r="E21" s="13" t="s">
        <v>1482</v>
      </c>
      <c r="F21" s="13" t="s">
        <v>2105</v>
      </c>
      <c r="G21" s="13" t="s">
        <v>1482</v>
      </c>
      <c r="H21" s="13" t="s">
        <v>1482</v>
      </c>
      <c r="I21" s="13" t="s">
        <v>2106</v>
      </c>
      <c r="J21" s="13" t="s">
        <v>1985</v>
      </c>
      <c r="K21" s="13" t="s">
        <v>1482</v>
      </c>
      <c r="L21" s="13" t="s">
        <v>1482</v>
      </c>
      <c r="M21" s="13" t="s">
        <v>1901</v>
      </c>
      <c r="N21" s="13" t="s">
        <v>1902</v>
      </c>
      <c r="O21" s="13" t="s">
        <v>1482</v>
      </c>
      <c r="P21" s="13" t="s">
        <v>1482</v>
      </c>
      <c r="Q21" s="13" t="s">
        <v>1482</v>
      </c>
      <c r="R21" s="13" t="s">
        <v>1482</v>
      </c>
      <c r="S21" s="13" t="s">
        <v>1482</v>
      </c>
      <c r="T21" s="13" t="s">
        <v>1482</v>
      </c>
      <c r="U21" s="13" t="s">
        <v>2107</v>
      </c>
      <c r="V21" s="13" t="s">
        <v>2108</v>
      </c>
      <c r="W21" s="13" t="s">
        <v>2109</v>
      </c>
      <c r="X21" s="13" t="s">
        <v>2021</v>
      </c>
      <c r="Y21" s="13" t="s">
        <v>2110</v>
      </c>
      <c r="Z21" s="13" t="s">
        <v>2111</v>
      </c>
      <c r="AA21" s="13" t="s">
        <v>3001</v>
      </c>
      <c r="AB21" s="13" t="s">
        <v>3002</v>
      </c>
      <c r="AC21" s="13" t="s">
        <v>1482</v>
      </c>
      <c r="AD21" s="13" t="s">
        <v>1482</v>
      </c>
      <c r="AE21" s="13" t="s">
        <v>1482</v>
      </c>
      <c r="AF21" s="13" t="s">
        <v>1482</v>
      </c>
      <c r="AG21" s="13">
        <v>51.0</v>
      </c>
      <c r="AH21" s="13">
        <v>193.0</v>
      </c>
      <c r="AI21" s="13">
        <v>229.0</v>
      </c>
      <c r="AJ21" s="13">
        <v>0.0</v>
      </c>
      <c r="AK21" s="13">
        <v>84.0</v>
      </c>
      <c r="AL21" s="13" t="s">
        <v>1998</v>
      </c>
      <c r="AM21" s="13" t="s">
        <v>1999</v>
      </c>
      <c r="AN21" s="13" t="s">
        <v>2000</v>
      </c>
      <c r="AO21" s="13" t="s">
        <v>2001</v>
      </c>
      <c r="AP21" s="13" t="s">
        <v>2002</v>
      </c>
      <c r="AQ21" s="13" t="s">
        <v>1482</v>
      </c>
      <c r="AR21" s="13" t="s">
        <v>2003</v>
      </c>
      <c r="AS21" s="13" t="s">
        <v>2004</v>
      </c>
      <c r="AT21" s="13" t="s">
        <v>2114</v>
      </c>
      <c r="AU21" s="13">
        <v>2003.0</v>
      </c>
      <c r="AV21" s="13">
        <v>17.0</v>
      </c>
      <c r="AW21" s="13">
        <v>2.0</v>
      </c>
      <c r="AX21" s="13" t="s">
        <v>1482</v>
      </c>
      <c r="AY21" s="13" t="s">
        <v>1482</v>
      </c>
      <c r="AZ21" s="13" t="s">
        <v>1482</v>
      </c>
      <c r="BA21" s="13" t="s">
        <v>1482</v>
      </c>
      <c r="BB21" s="13">
        <v>521.0</v>
      </c>
      <c r="BC21" s="13">
        <v>535.0</v>
      </c>
      <c r="BD21" s="13" t="s">
        <v>1482</v>
      </c>
      <c r="BE21" s="13" t="s">
        <v>1502</v>
      </c>
      <c r="BF21" s="15" t="str">
        <f>HYPERLINK("http://dx.doi.org/10.1046/j.1523-1739.2003.01413.x","http://dx.doi.org/10.1046/j.1523-1739.2003.01413.x")</f>
        <v>http://dx.doi.org/10.1046/j.1523-1739.2003.01413.x</v>
      </c>
      <c r="BG21" s="13"/>
      <c r="BH21" s="13" t="s">
        <v>1482</v>
      </c>
      <c r="BI21" s="13" t="s">
        <v>1482</v>
      </c>
      <c r="BJ21" s="13">
        <v>15.0</v>
      </c>
      <c r="BK21" s="13" t="s">
        <v>1956</v>
      </c>
      <c r="BL21" s="13" t="s">
        <v>1920</v>
      </c>
      <c r="BM21" s="13" t="s">
        <v>1957</v>
      </c>
      <c r="BN21" s="13" t="s">
        <v>2115</v>
      </c>
      <c r="BO21" s="13" t="s">
        <v>1482</v>
      </c>
      <c r="BP21" s="13" t="s">
        <v>1482</v>
      </c>
      <c r="BQ21" s="13" t="s">
        <v>1482</v>
      </c>
      <c r="BR21" s="13" t="s">
        <v>1482</v>
      </c>
      <c r="BS21" s="13" t="s">
        <v>2961</v>
      </c>
      <c r="BT21" s="13" t="s">
        <v>2116</v>
      </c>
      <c r="BU21" s="13" t="str">
        <f>HYPERLINK("https%3A%2F%2Fwww.webofscience.com%2Fwos%2Fwoscc%2Ffull-record%2FWOS:000181736400021","View Full Record in Web of Science")</f>
        <v>View Full Record in Web of Science</v>
      </c>
    </row>
    <row r="22" ht="12.75" customHeight="1">
      <c r="A22" s="13" t="s">
        <v>1896</v>
      </c>
      <c r="B22" s="13" t="s">
        <v>2504</v>
      </c>
      <c r="C22" s="13" t="s">
        <v>1482</v>
      </c>
      <c r="D22" s="13" t="s">
        <v>1482</v>
      </c>
      <c r="E22" s="13" t="s">
        <v>1482</v>
      </c>
      <c r="F22" s="13" t="s">
        <v>2504</v>
      </c>
      <c r="G22" s="13" t="s">
        <v>1482</v>
      </c>
      <c r="H22" s="13" t="s">
        <v>1482</v>
      </c>
      <c r="I22" s="13" t="s">
        <v>2505</v>
      </c>
      <c r="J22" s="13" t="s">
        <v>2409</v>
      </c>
      <c r="K22" s="13" t="s">
        <v>1482</v>
      </c>
      <c r="L22" s="13" t="s">
        <v>1482</v>
      </c>
      <c r="M22" s="13" t="s">
        <v>1901</v>
      </c>
      <c r="N22" s="13" t="s">
        <v>1902</v>
      </c>
      <c r="O22" s="13" t="s">
        <v>1482</v>
      </c>
      <c r="P22" s="13" t="s">
        <v>1482</v>
      </c>
      <c r="Q22" s="13" t="s">
        <v>1482</v>
      </c>
      <c r="R22" s="13" t="s">
        <v>1482</v>
      </c>
      <c r="S22" s="13" t="s">
        <v>1482</v>
      </c>
      <c r="T22" s="13" t="s">
        <v>2506</v>
      </c>
      <c r="U22" s="13" t="s">
        <v>2507</v>
      </c>
      <c r="V22" s="13" t="s">
        <v>2508</v>
      </c>
      <c r="W22" s="13" t="s">
        <v>2509</v>
      </c>
      <c r="X22" s="13" t="s">
        <v>2510</v>
      </c>
      <c r="Y22" s="13" t="s">
        <v>2511</v>
      </c>
      <c r="Z22" s="13" t="s">
        <v>2512</v>
      </c>
      <c r="AA22" s="13" t="s">
        <v>1482</v>
      </c>
      <c r="AB22" s="13" t="s">
        <v>2513</v>
      </c>
      <c r="AC22" s="13" t="s">
        <v>1482</v>
      </c>
      <c r="AD22" s="13" t="s">
        <v>1482</v>
      </c>
      <c r="AE22" s="13" t="s">
        <v>1482</v>
      </c>
      <c r="AF22" s="13" t="s">
        <v>1482</v>
      </c>
      <c r="AG22" s="13">
        <v>37.0</v>
      </c>
      <c r="AH22" s="13">
        <v>53.0</v>
      </c>
      <c r="AI22" s="13">
        <v>62.0</v>
      </c>
      <c r="AJ22" s="13">
        <v>0.0</v>
      </c>
      <c r="AK22" s="13">
        <v>43.0</v>
      </c>
      <c r="AL22" s="13" t="s">
        <v>2416</v>
      </c>
      <c r="AM22" s="13" t="s">
        <v>2225</v>
      </c>
      <c r="AN22" s="13" t="s">
        <v>2514</v>
      </c>
      <c r="AO22" s="13" t="s">
        <v>2419</v>
      </c>
      <c r="AP22" s="13" t="s">
        <v>1482</v>
      </c>
      <c r="AQ22" s="13" t="s">
        <v>1482</v>
      </c>
      <c r="AR22" s="13" t="s">
        <v>2409</v>
      </c>
      <c r="AS22" s="13" t="s">
        <v>2421</v>
      </c>
      <c r="AT22" s="13" t="s">
        <v>2005</v>
      </c>
      <c r="AU22" s="13">
        <v>2005.0</v>
      </c>
      <c r="AV22" s="13">
        <v>39.0</v>
      </c>
      <c r="AW22" s="13">
        <v>4.0</v>
      </c>
      <c r="AX22" s="13" t="s">
        <v>1482</v>
      </c>
      <c r="AY22" s="13" t="s">
        <v>1482</v>
      </c>
      <c r="AZ22" s="13" t="s">
        <v>1482</v>
      </c>
      <c r="BA22" s="13" t="s">
        <v>1482</v>
      </c>
      <c r="BB22" s="13">
        <v>381.0</v>
      </c>
      <c r="BC22" s="13">
        <v>388.0</v>
      </c>
      <c r="BD22" s="13" t="s">
        <v>1482</v>
      </c>
      <c r="BE22" s="13" t="s">
        <v>1516</v>
      </c>
      <c r="BF22" s="15" t="str">
        <f>HYPERLINK("http://dx.doi.org/10.1017/S0030605305001080","http://dx.doi.org/10.1017/S0030605305001080")</f>
        <v>http://dx.doi.org/10.1017/S0030605305001080</v>
      </c>
      <c r="BG22" s="13"/>
      <c r="BH22" s="13" t="s">
        <v>1482</v>
      </c>
      <c r="BI22" s="13" t="s">
        <v>1482</v>
      </c>
      <c r="BJ22" s="13">
        <v>8.0</v>
      </c>
      <c r="BK22" s="13" t="s">
        <v>2034</v>
      </c>
      <c r="BL22" s="13" t="s">
        <v>1920</v>
      </c>
      <c r="BM22" s="13" t="s">
        <v>1957</v>
      </c>
      <c r="BN22" s="13" t="s">
        <v>2515</v>
      </c>
      <c r="BO22" s="13" t="s">
        <v>1482</v>
      </c>
      <c r="BP22" s="13" t="s">
        <v>2037</v>
      </c>
      <c r="BQ22" s="13" t="s">
        <v>1482</v>
      </c>
      <c r="BR22" s="13" t="s">
        <v>1482</v>
      </c>
      <c r="BS22" s="13" t="s">
        <v>2961</v>
      </c>
      <c r="BT22" s="13" t="s">
        <v>2516</v>
      </c>
      <c r="BU22" s="13" t="str">
        <f>HYPERLINK("https%3A%2F%2Fwww.webofscience.com%2Fwos%2Fwoscc%2Ffull-record%2FWOS:000234153500009","View Full Record in Web of Science")</f>
        <v>View Full Record in Web of Science</v>
      </c>
    </row>
    <row r="23" ht="12.75" customHeight="1">
      <c r="A23" s="13" t="s">
        <v>1896</v>
      </c>
      <c r="B23" s="13" t="s">
        <v>3003</v>
      </c>
      <c r="C23" s="13" t="s">
        <v>1482</v>
      </c>
      <c r="D23" s="13" t="s">
        <v>1482</v>
      </c>
      <c r="E23" s="13" t="s">
        <v>1482</v>
      </c>
      <c r="F23" s="13" t="s">
        <v>3004</v>
      </c>
      <c r="G23" s="13" t="s">
        <v>1482</v>
      </c>
      <c r="H23" s="13" t="s">
        <v>1482</v>
      </c>
      <c r="I23" s="13" t="s">
        <v>3005</v>
      </c>
      <c r="J23" s="13" t="s">
        <v>3006</v>
      </c>
      <c r="K23" s="13" t="s">
        <v>1482</v>
      </c>
      <c r="L23" s="13" t="s">
        <v>1482</v>
      </c>
      <c r="M23" s="13" t="s">
        <v>1901</v>
      </c>
      <c r="N23" s="13" t="s">
        <v>1902</v>
      </c>
      <c r="O23" s="13" t="s">
        <v>1482</v>
      </c>
      <c r="P23" s="13" t="s">
        <v>1482</v>
      </c>
      <c r="Q23" s="13" t="s">
        <v>1482</v>
      </c>
      <c r="R23" s="13" t="s">
        <v>1482</v>
      </c>
      <c r="S23" s="13" t="s">
        <v>1482</v>
      </c>
      <c r="T23" s="13" t="s">
        <v>1482</v>
      </c>
      <c r="U23" s="13" t="s">
        <v>3007</v>
      </c>
      <c r="V23" s="13" t="s">
        <v>3008</v>
      </c>
      <c r="W23" s="13" t="s">
        <v>3009</v>
      </c>
      <c r="X23" s="13" t="s">
        <v>3010</v>
      </c>
      <c r="Y23" s="13" t="s">
        <v>3011</v>
      </c>
      <c r="Z23" s="13" t="s">
        <v>3012</v>
      </c>
      <c r="AA23" s="13" t="s">
        <v>3013</v>
      </c>
      <c r="AB23" s="13" t="s">
        <v>3014</v>
      </c>
      <c r="AC23" s="13" t="s">
        <v>1482</v>
      </c>
      <c r="AD23" s="13" t="s">
        <v>1482</v>
      </c>
      <c r="AE23" s="13" t="s">
        <v>1482</v>
      </c>
      <c r="AF23" s="13" t="s">
        <v>1482</v>
      </c>
      <c r="AG23" s="13">
        <v>45.0</v>
      </c>
      <c r="AH23" s="13">
        <v>134.0</v>
      </c>
      <c r="AI23" s="13">
        <v>157.0</v>
      </c>
      <c r="AJ23" s="13">
        <v>0.0</v>
      </c>
      <c r="AK23" s="13">
        <v>97.0</v>
      </c>
      <c r="AL23" s="13" t="s">
        <v>2629</v>
      </c>
      <c r="AM23" s="13" t="s">
        <v>2630</v>
      </c>
      <c r="AN23" s="13" t="s">
        <v>2631</v>
      </c>
      <c r="AO23" s="13" t="s">
        <v>3015</v>
      </c>
      <c r="AP23" s="13" t="s">
        <v>3016</v>
      </c>
      <c r="AQ23" s="13" t="s">
        <v>1482</v>
      </c>
      <c r="AR23" s="13" t="s">
        <v>3017</v>
      </c>
      <c r="AS23" s="13" t="s">
        <v>3018</v>
      </c>
      <c r="AT23" s="13" t="s">
        <v>2114</v>
      </c>
      <c r="AU23" s="13">
        <v>2007.0</v>
      </c>
      <c r="AV23" s="13">
        <v>5.0</v>
      </c>
      <c r="AW23" s="13">
        <v>4.0</v>
      </c>
      <c r="AX23" s="13" t="s">
        <v>1482</v>
      </c>
      <c r="AY23" s="13" t="s">
        <v>1482</v>
      </c>
      <c r="AZ23" s="13" t="s">
        <v>1482</v>
      </c>
      <c r="BA23" s="13" t="s">
        <v>1482</v>
      </c>
      <c r="BB23" s="13">
        <v>945.0</v>
      </c>
      <c r="BC23" s="13">
        <v>953.0</v>
      </c>
      <c r="BD23" s="13" t="s">
        <v>3019</v>
      </c>
      <c r="BE23" s="13" t="s">
        <v>1504</v>
      </c>
      <c r="BF23" s="15" t="str">
        <f>HYPERLINK("http://dx.doi.org/10.1371/journal.pbio.0050111","http://dx.doi.org/10.1371/journal.pbio.0050111")</f>
        <v>http://dx.doi.org/10.1371/journal.pbio.0050111</v>
      </c>
      <c r="BG23" s="13"/>
      <c r="BH23" s="13" t="s">
        <v>1482</v>
      </c>
      <c r="BI23" s="13" t="s">
        <v>1482</v>
      </c>
      <c r="BJ23" s="13">
        <v>9.0</v>
      </c>
      <c r="BK23" s="13" t="s">
        <v>3020</v>
      </c>
      <c r="BL23" s="13" t="s">
        <v>1920</v>
      </c>
      <c r="BM23" s="13" t="s">
        <v>3021</v>
      </c>
      <c r="BN23" s="13" t="s">
        <v>3022</v>
      </c>
      <c r="BO23" s="13">
        <v>1.7407383E7</v>
      </c>
      <c r="BP23" s="13" t="s">
        <v>3023</v>
      </c>
      <c r="BQ23" s="13" t="s">
        <v>1482</v>
      </c>
      <c r="BR23" s="13" t="s">
        <v>1482</v>
      </c>
      <c r="BS23" s="13" t="s">
        <v>2961</v>
      </c>
      <c r="BT23" s="13" t="s">
        <v>3024</v>
      </c>
      <c r="BU23" s="13" t="str">
        <f>HYPERLINK("https%3A%2F%2Fwww.webofscience.com%2Fwos%2Fwoscc%2Ffull-record%2FWOS:000245901500025","View Full Record in Web of Science")</f>
        <v>View Full Record in Web of Science</v>
      </c>
    </row>
    <row r="24" ht="12.75" customHeight="1">
      <c r="A24" s="13" t="s">
        <v>1896</v>
      </c>
      <c r="B24" s="13" t="s">
        <v>2162</v>
      </c>
      <c r="C24" s="13" t="s">
        <v>1482</v>
      </c>
      <c r="D24" s="13" t="s">
        <v>1482</v>
      </c>
      <c r="E24" s="13" t="s">
        <v>1482</v>
      </c>
      <c r="F24" s="13" t="s">
        <v>2163</v>
      </c>
      <c r="G24" s="13" t="s">
        <v>1482</v>
      </c>
      <c r="H24" s="13" t="s">
        <v>1482</v>
      </c>
      <c r="I24" s="13" t="s">
        <v>2164</v>
      </c>
      <c r="J24" s="13" t="s">
        <v>2138</v>
      </c>
      <c r="K24" s="13" t="s">
        <v>1482</v>
      </c>
      <c r="L24" s="13" t="s">
        <v>1482</v>
      </c>
      <c r="M24" s="13" t="s">
        <v>1901</v>
      </c>
      <c r="N24" s="13" t="s">
        <v>1902</v>
      </c>
      <c r="O24" s="13" t="s">
        <v>1482</v>
      </c>
      <c r="P24" s="13" t="s">
        <v>1482</v>
      </c>
      <c r="Q24" s="13" t="s">
        <v>1482</v>
      </c>
      <c r="R24" s="13" t="s">
        <v>1482</v>
      </c>
      <c r="S24" s="13" t="s">
        <v>1482</v>
      </c>
      <c r="T24" s="13" t="s">
        <v>2165</v>
      </c>
      <c r="U24" s="13" t="s">
        <v>2166</v>
      </c>
      <c r="V24" s="13" t="s">
        <v>2167</v>
      </c>
      <c r="W24" s="13" t="s">
        <v>2168</v>
      </c>
      <c r="X24" s="13" t="s">
        <v>2169</v>
      </c>
      <c r="Y24" s="13" t="s">
        <v>2170</v>
      </c>
      <c r="Z24" s="13" t="s">
        <v>2171</v>
      </c>
      <c r="AA24" s="13" t="s">
        <v>3025</v>
      </c>
      <c r="AB24" s="13" t="s">
        <v>3026</v>
      </c>
      <c r="AC24" s="13" t="s">
        <v>2174</v>
      </c>
      <c r="AD24" s="13" t="s">
        <v>2175</v>
      </c>
      <c r="AE24" s="13" t="s">
        <v>2176</v>
      </c>
      <c r="AF24" s="13" t="s">
        <v>1482</v>
      </c>
      <c r="AG24" s="13">
        <v>66.0</v>
      </c>
      <c r="AH24" s="13">
        <v>68.0</v>
      </c>
      <c r="AI24" s="13">
        <v>84.0</v>
      </c>
      <c r="AJ24" s="13">
        <v>0.0</v>
      </c>
      <c r="AK24" s="13">
        <v>91.0</v>
      </c>
      <c r="AL24" s="13" t="s">
        <v>1998</v>
      </c>
      <c r="AM24" s="13" t="s">
        <v>1999</v>
      </c>
      <c r="AN24" s="13" t="s">
        <v>2000</v>
      </c>
      <c r="AO24" s="13" t="s">
        <v>2151</v>
      </c>
      <c r="AP24" s="13" t="s">
        <v>2152</v>
      </c>
      <c r="AQ24" s="13" t="s">
        <v>1482</v>
      </c>
      <c r="AR24" s="13" t="s">
        <v>2138</v>
      </c>
      <c r="AS24" s="13" t="s">
        <v>2153</v>
      </c>
      <c r="AT24" s="13" t="s">
        <v>2177</v>
      </c>
      <c r="AU24" s="13">
        <v>2010.0</v>
      </c>
      <c r="AV24" s="13">
        <v>42.0</v>
      </c>
      <c r="AW24" s="13">
        <v>2.0</v>
      </c>
      <c r="AX24" s="13" t="s">
        <v>1482</v>
      </c>
      <c r="AY24" s="13" t="s">
        <v>1482</v>
      </c>
      <c r="AZ24" s="13" t="s">
        <v>1482</v>
      </c>
      <c r="BA24" s="13" t="s">
        <v>1482</v>
      </c>
      <c r="BB24" s="13">
        <v>251.0</v>
      </c>
      <c r="BC24" s="13">
        <v>261.0</v>
      </c>
      <c r="BD24" s="13" t="s">
        <v>1482</v>
      </c>
      <c r="BE24" s="13" t="s">
        <v>1524</v>
      </c>
      <c r="BF24" s="15" t="str">
        <f>HYPERLINK("http://dx.doi.org/10.1111/j.1744-7429.2009.00546.x","http://dx.doi.org/10.1111/j.1744-7429.2009.00546.x")</f>
        <v>http://dx.doi.org/10.1111/j.1744-7429.2009.00546.x</v>
      </c>
      <c r="BG24" s="13"/>
      <c r="BH24" s="13" t="s">
        <v>1482</v>
      </c>
      <c r="BI24" s="13" t="s">
        <v>1482</v>
      </c>
      <c r="BJ24" s="13">
        <v>11.0</v>
      </c>
      <c r="BK24" s="13" t="s">
        <v>2154</v>
      </c>
      <c r="BL24" s="13" t="s">
        <v>1920</v>
      </c>
      <c r="BM24" s="13" t="s">
        <v>2156</v>
      </c>
      <c r="BN24" s="13" t="s">
        <v>2178</v>
      </c>
      <c r="BO24" s="13" t="s">
        <v>1482</v>
      </c>
      <c r="BP24" s="13" t="s">
        <v>2037</v>
      </c>
      <c r="BQ24" s="13" t="s">
        <v>1482</v>
      </c>
      <c r="BR24" s="13" t="s">
        <v>1482</v>
      </c>
      <c r="BS24" s="13" t="s">
        <v>2961</v>
      </c>
      <c r="BT24" s="13" t="s">
        <v>2179</v>
      </c>
      <c r="BU24" s="13" t="str">
        <f>HYPERLINK("https%3A%2F%2Fwww.webofscience.com%2Fwos%2Fwoscc%2Ffull-record%2FWOS:000275215700017","View Full Record in Web of Science")</f>
        <v>View Full Record in Web of Science</v>
      </c>
    </row>
    <row r="25" ht="12.75" customHeight="1">
      <c r="A25" s="13" t="s">
        <v>1896</v>
      </c>
      <c r="B25" s="13" t="s">
        <v>2832</v>
      </c>
      <c r="C25" s="13" t="s">
        <v>1482</v>
      </c>
      <c r="D25" s="13" t="s">
        <v>1482</v>
      </c>
      <c r="E25" s="13" t="s">
        <v>1482</v>
      </c>
      <c r="F25" s="13" t="s">
        <v>2832</v>
      </c>
      <c r="G25" s="13" t="s">
        <v>1482</v>
      </c>
      <c r="H25" s="13" t="s">
        <v>1482</v>
      </c>
      <c r="I25" s="13" t="s">
        <v>2833</v>
      </c>
      <c r="J25" s="13" t="s">
        <v>2138</v>
      </c>
      <c r="K25" s="13" t="s">
        <v>1482</v>
      </c>
      <c r="L25" s="13" t="s">
        <v>1482</v>
      </c>
      <c r="M25" s="13" t="s">
        <v>1901</v>
      </c>
      <c r="N25" s="13" t="s">
        <v>1902</v>
      </c>
      <c r="O25" s="13" t="s">
        <v>1482</v>
      </c>
      <c r="P25" s="13" t="s">
        <v>1482</v>
      </c>
      <c r="Q25" s="13" t="s">
        <v>1482</v>
      </c>
      <c r="R25" s="13" t="s">
        <v>1482</v>
      </c>
      <c r="S25" s="13" t="s">
        <v>1482</v>
      </c>
      <c r="T25" s="13" t="s">
        <v>1482</v>
      </c>
      <c r="U25" s="13" t="s">
        <v>1482</v>
      </c>
      <c r="V25" s="13" t="s">
        <v>2834</v>
      </c>
      <c r="W25" s="13" t="s">
        <v>1482</v>
      </c>
      <c r="X25" s="13" t="s">
        <v>1482</v>
      </c>
      <c r="Y25" s="13" t="s">
        <v>2835</v>
      </c>
      <c r="Z25" s="13" t="s">
        <v>1482</v>
      </c>
      <c r="AA25" s="13" t="s">
        <v>1482</v>
      </c>
      <c r="AB25" s="13" t="s">
        <v>1482</v>
      </c>
      <c r="AC25" s="13" t="s">
        <v>1482</v>
      </c>
      <c r="AD25" s="13" t="s">
        <v>1482</v>
      </c>
      <c r="AE25" s="13" t="s">
        <v>1482</v>
      </c>
      <c r="AF25" s="13" t="s">
        <v>1482</v>
      </c>
      <c r="AG25" s="13">
        <v>0.0</v>
      </c>
      <c r="AH25" s="13">
        <v>194.0</v>
      </c>
      <c r="AI25" s="13">
        <v>231.0</v>
      </c>
      <c r="AJ25" s="13">
        <v>0.0</v>
      </c>
      <c r="AK25" s="13">
        <v>21.0</v>
      </c>
      <c r="AL25" s="13" t="s">
        <v>1998</v>
      </c>
      <c r="AM25" s="13" t="s">
        <v>1999</v>
      </c>
      <c r="AN25" s="13" t="s">
        <v>2000</v>
      </c>
      <c r="AO25" s="13" t="s">
        <v>2151</v>
      </c>
      <c r="AP25" s="13" t="s">
        <v>2152</v>
      </c>
      <c r="AQ25" s="13" t="s">
        <v>1482</v>
      </c>
      <c r="AR25" s="13" t="s">
        <v>2138</v>
      </c>
      <c r="AS25" s="13" t="s">
        <v>2153</v>
      </c>
      <c r="AT25" s="13" t="s">
        <v>1482</v>
      </c>
      <c r="AU25" s="13">
        <v>1984.0</v>
      </c>
      <c r="AV25" s="13">
        <v>16.0</v>
      </c>
      <c r="AW25" s="13">
        <v>3.0</v>
      </c>
      <c r="AX25" s="13" t="s">
        <v>1482</v>
      </c>
      <c r="AY25" s="13" t="s">
        <v>1482</v>
      </c>
      <c r="AZ25" s="13" t="s">
        <v>1482</v>
      </c>
      <c r="BA25" s="13" t="s">
        <v>1482</v>
      </c>
      <c r="BB25" s="13">
        <v>210.0</v>
      </c>
      <c r="BC25" s="13">
        <v>222.0</v>
      </c>
      <c r="BD25" s="13" t="s">
        <v>1482</v>
      </c>
      <c r="BE25" s="13" t="s">
        <v>1522</v>
      </c>
      <c r="BF25" s="15" t="str">
        <f>HYPERLINK("http://dx.doi.org/10.2307/2388054","http://dx.doi.org/10.2307/2388054")</f>
        <v>http://dx.doi.org/10.2307/2388054</v>
      </c>
      <c r="BG25" s="13"/>
      <c r="BH25" s="13" t="s">
        <v>1482</v>
      </c>
      <c r="BI25" s="13" t="s">
        <v>1482</v>
      </c>
      <c r="BJ25" s="13">
        <v>13.0</v>
      </c>
      <c r="BK25" s="13" t="s">
        <v>2154</v>
      </c>
      <c r="BL25" s="13" t="s">
        <v>1920</v>
      </c>
      <c r="BM25" s="13" t="s">
        <v>2156</v>
      </c>
      <c r="BN25" s="13" t="s">
        <v>2836</v>
      </c>
      <c r="BO25" s="13" t="s">
        <v>1482</v>
      </c>
      <c r="BP25" s="13" t="s">
        <v>1482</v>
      </c>
      <c r="BQ25" s="13" t="s">
        <v>1482</v>
      </c>
      <c r="BR25" s="13" t="s">
        <v>1482</v>
      </c>
      <c r="BS25" s="13" t="s">
        <v>2961</v>
      </c>
      <c r="BT25" s="13" t="s">
        <v>2837</v>
      </c>
      <c r="BU25" s="13" t="str">
        <f>HYPERLINK("https%3A%2F%2Fwww.webofscience.com%2Fwos%2Fwoscc%2Ffull-record%2FWOS:A1984TR49200005","View Full Record in Web of Science")</f>
        <v>View Full Record in Web of Science</v>
      </c>
    </row>
    <row r="26" ht="12.75" customHeight="1">
      <c r="A26" s="13" t="s">
        <v>1896</v>
      </c>
      <c r="B26" s="13" t="s">
        <v>1897</v>
      </c>
      <c r="C26" s="13" t="s">
        <v>1482</v>
      </c>
      <c r="D26" s="13" t="s">
        <v>1482</v>
      </c>
      <c r="E26" s="13" t="s">
        <v>1482</v>
      </c>
      <c r="F26" s="13" t="s">
        <v>1898</v>
      </c>
      <c r="G26" s="13" t="s">
        <v>1482</v>
      </c>
      <c r="H26" s="13" t="s">
        <v>1482</v>
      </c>
      <c r="I26" s="13" t="s">
        <v>1899</v>
      </c>
      <c r="J26" s="13" t="s">
        <v>1900</v>
      </c>
      <c r="K26" s="13" t="s">
        <v>1482</v>
      </c>
      <c r="L26" s="13" t="s">
        <v>1482</v>
      </c>
      <c r="M26" s="13" t="s">
        <v>1901</v>
      </c>
      <c r="N26" s="13" t="s">
        <v>1902</v>
      </c>
      <c r="O26" s="13" t="s">
        <v>1482</v>
      </c>
      <c r="P26" s="13" t="s">
        <v>1482</v>
      </c>
      <c r="Q26" s="13" t="s">
        <v>1482</v>
      </c>
      <c r="R26" s="13" t="s">
        <v>1482</v>
      </c>
      <c r="S26" s="13" t="s">
        <v>1482</v>
      </c>
      <c r="T26" s="13" t="s">
        <v>1903</v>
      </c>
      <c r="U26" s="13" t="s">
        <v>1904</v>
      </c>
      <c r="V26" s="13" t="s">
        <v>1905</v>
      </c>
      <c r="W26" s="13" t="s">
        <v>1906</v>
      </c>
      <c r="X26" s="13" t="s">
        <v>1482</v>
      </c>
      <c r="Y26" s="13" t="s">
        <v>1907</v>
      </c>
      <c r="Z26" s="13" t="s">
        <v>1908</v>
      </c>
      <c r="AA26" s="13" t="s">
        <v>1909</v>
      </c>
      <c r="AB26" s="13" t="s">
        <v>1482</v>
      </c>
      <c r="AC26" s="13" t="s">
        <v>1910</v>
      </c>
      <c r="AD26" s="13" t="s">
        <v>1910</v>
      </c>
      <c r="AE26" s="13" t="s">
        <v>1911</v>
      </c>
      <c r="AF26" s="13" t="s">
        <v>1482</v>
      </c>
      <c r="AG26" s="13">
        <v>36.0</v>
      </c>
      <c r="AH26" s="13">
        <v>58.0</v>
      </c>
      <c r="AI26" s="13">
        <v>79.0</v>
      </c>
      <c r="AJ26" s="13">
        <v>1.0</v>
      </c>
      <c r="AK26" s="13">
        <v>88.0</v>
      </c>
      <c r="AL26" s="13" t="s">
        <v>1912</v>
      </c>
      <c r="AM26" s="13" t="s">
        <v>1913</v>
      </c>
      <c r="AN26" s="13" t="s">
        <v>1914</v>
      </c>
      <c r="AO26" s="13" t="s">
        <v>1915</v>
      </c>
      <c r="AP26" s="13" t="s">
        <v>1482</v>
      </c>
      <c r="AQ26" s="13" t="s">
        <v>1482</v>
      </c>
      <c r="AR26" s="13" t="s">
        <v>1916</v>
      </c>
      <c r="AS26" s="13" t="s">
        <v>1917</v>
      </c>
      <c r="AT26" s="13" t="s">
        <v>1918</v>
      </c>
      <c r="AU26" s="13">
        <v>2011.0</v>
      </c>
      <c r="AV26" s="13">
        <v>59.0</v>
      </c>
      <c r="AW26" s="13">
        <v>2.0</v>
      </c>
      <c r="AX26" s="13" t="s">
        <v>1482</v>
      </c>
      <c r="AY26" s="13" t="s">
        <v>1482</v>
      </c>
      <c r="AZ26" s="13" t="s">
        <v>1482</v>
      </c>
      <c r="BA26" s="13" t="s">
        <v>1482</v>
      </c>
      <c r="BB26" s="13">
        <v>311.0</v>
      </c>
      <c r="BC26" s="13">
        <v>318.0</v>
      </c>
      <c r="BD26" s="13" t="s">
        <v>1482</v>
      </c>
      <c r="BE26" s="13" t="s">
        <v>1482</v>
      </c>
      <c r="BF26" s="13" t="s">
        <v>1482</v>
      </c>
      <c r="BG26" s="13"/>
      <c r="BH26" s="13" t="s">
        <v>1482</v>
      </c>
      <c r="BI26" s="13" t="s">
        <v>1482</v>
      </c>
      <c r="BJ26" s="13">
        <v>8.0</v>
      </c>
      <c r="BK26" s="13" t="s">
        <v>1919</v>
      </c>
      <c r="BL26" s="13" t="s">
        <v>1920</v>
      </c>
      <c r="BM26" s="13" t="s">
        <v>1919</v>
      </c>
      <c r="BN26" s="13" t="s">
        <v>1921</v>
      </c>
      <c r="BO26" s="13" t="s">
        <v>1482</v>
      </c>
      <c r="BP26" s="13" t="s">
        <v>1482</v>
      </c>
      <c r="BQ26" s="13" t="s">
        <v>1482</v>
      </c>
      <c r="BR26" s="13" t="s">
        <v>1482</v>
      </c>
      <c r="BS26" s="13" t="s">
        <v>2961</v>
      </c>
      <c r="BT26" s="13" t="s">
        <v>1923</v>
      </c>
      <c r="BU26" s="13" t="str">
        <f>HYPERLINK("https%3A%2F%2Fwww.webofscience.com%2Fwos%2Fwoscc%2Ffull-record%2FWOS:000301312200022","View Full Record in Web of Science")</f>
        <v>View Full Record in Web of Science</v>
      </c>
    </row>
    <row r="27" ht="12.75" customHeight="1">
      <c r="A27" s="13" t="s">
        <v>1896</v>
      </c>
      <c r="B27" s="13" t="s">
        <v>2659</v>
      </c>
      <c r="C27" s="13" t="s">
        <v>1482</v>
      </c>
      <c r="D27" s="13" t="s">
        <v>1482</v>
      </c>
      <c r="E27" s="13" t="s">
        <v>1482</v>
      </c>
      <c r="F27" s="13" t="s">
        <v>2660</v>
      </c>
      <c r="G27" s="13" t="s">
        <v>1482</v>
      </c>
      <c r="H27" s="13" t="s">
        <v>1482</v>
      </c>
      <c r="I27" s="13" t="s">
        <v>2661</v>
      </c>
      <c r="J27" s="13" t="s">
        <v>2662</v>
      </c>
      <c r="K27" s="13" t="s">
        <v>1482</v>
      </c>
      <c r="L27" s="13" t="s">
        <v>1482</v>
      </c>
      <c r="M27" s="13" t="s">
        <v>1901</v>
      </c>
      <c r="N27" s="13" t="s">
        <v>1902</v>
      </c>
      <c r="O27" s="13" t="s">
        <v>1482</v>
      </c>
      <c r="P27" s="13" t="s">
        <v>1482</v>
      </c>
      <c r="Q27" s="13" t="s">
        <v>1482</v>
      </c>
      <c r="R27" s="13" t="s">
        <v>1482</v>
      </c>
      <c r="S27" s="13" t="s">
        <v>1482</v>
      </c>
      <c r="T27" s="13" t="s">
        <v>2663</v>
      </c>
      <c r="U27" s="13" t="s">
        <v>2664</v>
      </c>
      <c r="V27" s="13" t="s">
        <v>2665</v>
      </c>
      <c r="W27" s="13" t="s">
        <v>2666</v>
      </c>
      <c r="X27" s="13" t="s">
        <v>2667</v>
      </c>
      <c r="Y27" s="13" t="s">
        <v>2668</v>
      </c>
      <c r="Z27" s="13" t="s">
        <v>2669</v>
      </c>
      <c r="AA27" s="13" t="s">
        <v>3027</v>
      </c>
      <c r="AB27" s="13" t="s">
        <v>2671</v>
      </c>
      <c r="AC27" s="13" t="s">
        <v>2672</v>
      </c>
      <c r="AD27" s="13" t="s">
        <v>2673</v>
      </c>
      <c r="AE27" s="13" t="s">
        <v>2674</v>
      </c>
      <c r="AF27" s="13" t="s">
        <v>1482</v>
      </c>
      <c r="AG27" s="13">
        <v>47.0</v>
      </c>
      <c r="AH27" s="13">
        <v>24.0</v>
      </c>
      <c r="AI27" s="13">
        <v>32.0</v>
      </c>
      <c r="AJ27" s="13">
        <v>1.0</v>
      </c>
      <c r="AK27" s="13">
        <v>62.0</v>
      </c>
      <c r="AL27" s="13" t="s">
        <v>2675</v>
      </c>
      <c r="AM27" s="13" t="s">
        <v>2676</v>
      </c>
      <c r="AN27" s="13" t="s">
        <v>2677</v>
      </c>
      <c r="AO27" s="13" t="s">
        <v>2678</v>
      </c>
      <c r="AP27" s="13" t="s">
        <v>2679</v>
      </c>
      <c r="AQ27" s="13" t="s">
        <v>1482</v>
      </c>
      <c r="AR27" s="13" t="s">
        <v>2680</v>
      </c>
      <c r="AS27" s="13" t="s">
        <v>2681</v>
      </c>
      <c r="AT27" s="13" t="s">
        <v>2005</v>
      </c>
      <c r="AU27" s="13">
        <v>2008.0</v>
      </c>
      <c r="AV27" s="13">
        <v>53.0</v>
      </c>
      <c r="AW27" s="13">
        <v>4.0</v>
      </c>
      <c r="AX27" s="13" t="s">
        <v>1482</v>
      </c>
      <c r="AY27" s="13" t="s">
        <v>1482</v>
      </c>
      <c r="AZ27" s="13" t="s">
        <v>1482</v>
      </c>
      <c r="BA27" s="13" t="s">
        <v>1482</v>
      </c>
      <c r="BB27" s="13">
        <v>365.0</v>
      </c>
      <c r="BC27" s="13">
        <v>374.0</v>
      </c>
      <c r="BD27" s="13" t="s">
        <v>1482</v>
      </c>
      <c r="BE27" s="13" t="s">
        <v>1541</v>
      </c>
      <c r="BF27" s="15" t="str">
        <f>HYPERLINK("http://dx.doi.org/10.1007/BF03195197","http://dx.doi.org/10.1007/BF03195197")</f>
        <v>http://dx.doi.org/10.1007/BF03195197</v>
      </c>
      <c r="BG27" s="13"/>
      <c r="BH27" s="13" t="s">
        <v>1482</v>
      </c>
      <c r="BI27" s="13" t="s">
        <v>1482</v>
      </c>
      <c r="BJ27" s="13">
        <v>10.0</v>
      </c>
      <c r="BK27" s="13" t="s">
        <v>1919</v>
      </c>
      <c r="BL27" s="13" t="s">
        <v>1920</v>
      </c>
      <c r="BM27" s="13" t="s">
        <v>1919</v>
      </c>
      <c r="BN27" s="13" t="s">
        <v>2682</v>
      </c>
      <c r="BO27" s="13" t="s">
        <v>1482</v>
      </c>
      <c r="BP27" s="13" t="s">
        <v>1482</v>
      </c>
      <c r="BQ27" s="13" t="s">
        <v>1482</v>
      </c>
      <c r="BR27" s="13" t="s">
        <v>1482</v>
      </c>
      <c r="BS27" s="13" t="s">
        <v>2961</v>
      </c>
      <c r="BT27" s="13" t="s">
        <v>2683</v>
      </c>
      <c r="BU27" s="13" t="str">
        <f>HYPERLINK("https%3A%2F%2Fwww.webofscience.com%2Fwos%2Fwoscc%2Ffull-record%2FWOS:000260556500005","View Full Record in Web of Science")</f>
        <v>View Full Record in Web of Science</v>
      </c>
    </row>
    <row r="28" ht="12.75" customHeight="1">
      <c r="A28" s="13" t="s">
        <v>1896</v>
      </c>
      <c r="B28" s="13" t="s">
        <v>2859</v>
      </c>
      <c r="C28" s="13" t="s">
        <v>1482</v>
      </c>
      <c r="D28" s="13" t="s">
        <v>1482</v>
      </c>
      <c r="E28" s="13" t="s">
        <v>1482</v>
      </c>
      <c r="F28" s="13" t="s">
        <v>2859</v>
      </c>
      <c r="G28" s="13" t="s">
        <v>1482</v>
      </c>
      <c r="H28" s="13" t="s">
        <v>1482</v>
      </c>
      <c r="I28" s="13" t="s">
        <v>2860</v>
      </c>
      <c r="J28" s="13" t="s">
        <v>2691</v>
      </c>
      <c r="K28" s="13" t="s">
        <v>1482</v>
      </c>
      <c r="L28" s="13" t="s">
        <v>1482</v>
      </c>
      <c r="M28" s="13" t="s">
        <v>1901</v>
      </c>
      <c r="N28" s="13" t="s">
        <v>1902</v>
      </c>
      <c r="O28" s="13" t="s">
        <v>1482</v>
      </c>
      <c r="P28" s="13" t="s">
        <v>1482</v>
      </c>
      <c r="Q28" s="13" t="s">
        <v>1482</v>
      </c>
      <c r="R28" s="13" t="s">
        <v>1482</v>
      </c>
      <c r="S28" s="13" t="s">
        <v>1482</v>
      </c>
      <c r="T28" s="13" t="s">
        <v>2861</v>
      </c>
      <c r="U28" s="13" t="s">
        <v>2862</v>
      </c>
      <c r="V28" s="13" t="s">
        <v>2863</v>
      </c>
      <c r="W28" s="13" t="s">
        <v>2864</v>
      </c>
      <c r="X28" s="13" t="s">
        <v>2865</v>
      </c>
      <c r="Y28" s="13" t="s">
        <v>2866</v>
      </c>
      <c r="Z28" s="13" t="s">
        <v>2867</v>
      </c>
      <c r="AA28" s="13" t="s">
        <v>1482</v>
      </c>
      <c r="AB28" s="13" t="s">
        <v>2513</v>
      </c>
      <c r="AC28" s="13" t="s">
        <v>1482</v>
      </c>
      <c r="AD28" s="13" t="s">
        <v>1482</v>
      </c>
      <c r="AE28" s="13" t="s">
        <v>1482</v>
      </c>
      <c r="AF28" s="13" t="s">
        <v>1482</v>
      </c>
      <c r="AG28" s="13">
        <v>42.0</v>
      </c>
      <c r="AH28" s="13">
        <v>54.0</v>
      </c>
      <c r="AI28" s="13">
        <v>70.0</v>
      </c>
      <c r="AJ28" s="13">
        <v>1.0</v>
      </c>
      <c r="AK28" s="13">
        <v>43.0</v>
      </c>
      <c r="AL28" s="13" t="s">
        <v>2869</v>
      </c>
      <c r="AM28" s="13" t="s">
        <v>2279</v>
      </c>
      <c r="AN28" s="13" t="s">
        <v>2870</v>
      </c>
      <c r="AO28" s="13" t="s">
        <v>2702</v>
      </c>
      <c r="AP28" s="13" t="s">
        <v>1482</v>
      </c>
      <c r="AQ28" s="13" t="s">
        <v>1482</v>
      </c>
      <c r="AR28" s="13" t="s">
        <v>2704</v>
      </c>
      <c r="AS28" s="13" t="s">
        <v>2705</v>
      </c>
      <c r="AT28" s="13" t="s">
        <v>2177</v>
      </c>
      <c r="AU28" s="13">
        <v>2004.0</v>
      </c>
      <c r="AV28" s="13">
        <v>42.0</v>
      </c>
      <c r="AW28" s="13">
        <v>1.0</v>
      </c>
      <c r="AX28" s="13" t="s">
        <v>1482</v>
      </c>
      <c r="AY28" s="13" t="s">
        <v>1482</v>
      </c>
      <c r="AZ28" s="13" t="s">
        <v>1482</v>
      </c>
      <c r="BA28" s="13" t="s">
        <v>1482</v>
      </c>
      <c r="BB28" s="13">
        <v>23.0</v>
      </c>
      <c r="BC28" s="13">
        <v>31.0</v>
      </c>
      <c r="BD28" s="13" t="s">
        <v>1482</v>
      </c>
      <c r="BE28" s="13" t="s">
        <v>1515</v>
      </c>
      <c r="BF28" s="15" t="str">
        <f>HYPERLINK("http://dx.doi.org/10.1111/j.0141-6707.2004.00441.x","http://dx.doi.org/10.1111/j.0141-6707.2004.00441.x")</f>
        <v>http://dx.doi.org/10.1111/j.0141-6707.2004.00441.x</v>
      </c>
      <c r="BG28" s="13"/>
      <c r="BH28" s="13" t="s">
        <v>1482</v>
      </c>
      <c r="BI28" s="13" t="s">
        <v>1482</v>
      </c>
      <c r="BJ28" s="13">
        <v>9.0</v>
      </c>
      <c r="BK28" s="13" t="s">
        <v>2154</v>
      </c>
      <c r="BL28" s="13" t="s">
        <v>1920</v>
      </c>
      <c r="BM28" s="13" t="s">
        <v>2156</v>
      </c>
      <c r="BN28" s="13" t="s">
        <v>2871</v>
      </c>
      <c r="BO28" s="13" t="s">
        <v>1482</v>
      </c>
      <c r="BP28" s="13" t="s">
        <v>1482</v>
      </c>
      <c r="BQ28" s="13" t="s">
        <v>1482</v>
      </c>
      <c r="BR28" s="13" t="s">
        <v>1482</v>
      </c>
      <c r="BS28" s="13" t="s">
        <v>2961</v>
      </c>
      <c r="BT28" s="13" t="s">
        <v>2872</v>
      </c>
      <c r="BU28" s="13" t="str">
        <f>HYPERLINK("https%3A%2F%2Fwww.webofscience.com%2Fwos%2Fwoscc%2Ffull-record%2FWOS:000220627900003","View Full Record in Web of Science")</f>
        <v>View Full Record in Web of Science</v>
      </c>
    </row>
    <row r="29" ht="12.75" customHeight="1">
      <c r="A29" s="13" t="s">
        <v>1896</v>
      </c>
      <c r="B29" s="13" t="s">
        <v>1982</v>
      </c>
      <c r="C29" s="13" t="s">
        <v>1482</v>
      </c>
      <c r="D29" s="13" t="s">
        <v>1482</v>
      </c>
      <c r="E29" s="13" t="s">
        <v>1482</v>
      </c>
      <c r="F29" s="13" t="s">
        <v>1983</v>
      </c>
      <c r="G29" s="13" t="s">
        <v>1482</v>
      </c>
      <c r="H29" s="13" t="s">
        <v>1482</v>
      </c>
      <c r="I29" s="13" t="s">
        <v>1984</v>
      </c>
      <c r="J29" s="13" t="s">
        <v>1985</v>
      </c>
      <c r="K29" s="13" t="s">
        <v>1482</v>
      </c>
      <c r="L29" s="13" t="s">
        <v>1482</v>
      </c>
      <c r="M29" s="13" t="s">
        <v>1901</v>
      </c>
      <c r="N29" s="13" t="s">
        <v>1902</v>
      </c>
      <c r="O29" s="13" t="s">
        <v>1482</v>
      </c>
      <c r="P29" s="13" t="s">
        <v>1482</v>
      </c>
      <c r="Q29" s="13" t="s">
        <v>1482</v>
      </c>
      <c r="R29" s="13" t="s">
        <v>1482</v>
      </c>
      <c r="S29" s="13" t="s">
        <v>1482</v>
      </c>
      <c r="T29" s="13" t="s">
        <v>1986</v>
      </c>
      <c r="U29" s="13" t="s">
        <v>1987</v>
      </c>
      <c r="V29" s="13" t="s">
        <v>1988</v>
      </c>
      <c r="W29" s="13" t="s">
        <v>1989</v>
      </c>
      <c r="X29" s="13" t="s">
        <v>3028</v>
      </c>
      <c r="Y29" s="13" t="s">
        <v>1991</v>
      </c>
      <c r="Z29" s="13" t="s">
        <v>1992</v>
      </c>
      <c r="AA29" s="13" t="s">
        <v>3029</v>
      </c>
      <c r="AB29" s="13" t="s">
        <v>3030</v>
      </c>
      <c r="AC29" s="13" t="s">
        <v>1995</v>
      </c>
      <c r="AD29" s="13" t="s">
        <v>1996</v>
      </c>
      <c r="AE29" s="13" t="s">
        <v>1997</v>
      </c>
      <c r="AF29" s="13" t="s">
        <v>1482</v>
      </c>
      <c r="AG29" s="13">
        <v>52.0</v>
      </c>
      <c r="AH29" s="13">
        <v>59.0</v>
      </c>
      <c r="AI29" s="13">
        <v>70.0</v>
      </c>
      <c r="AJ29" s="13">
        <v>0.0</v>
      </c>
      <c r="AK29" s="13">
        <v>91.0</v>
      </c>
      <c r="AL29" s="13" t="s">
        <v>1998</v>
      </c>
      <c r="AM29" s="13" t="s">
        <v>1999</v>
      </c>
      <c r="AN29" s="13" t="s">
        <v>2000</v>
      </c>
      <c r="AO29" s="13" t="s">
        <v>2001</v>
      </c>
      <c r="AP29" s="13" t="s">
        <v>2002</v>
      </c>
      <c r="AQ29" s="13" t="s">
        <v>1482</v>
      </c>
      <c r="AR29" s="13" t="s">
        <v>2003</v>
      </c>
      <c r="AS29" s="13" t="s">
        <v>2004</v>
      </c>
      <c r="AT29" s="13" t="s">
        <v>2005</v>
      </c>
      <c r="AU29" s="13">
        <v>2009.0</v>
      </c>
      <c r="AV29" s="13">
        <v>23.0</v>
      </c>
      <c r="AW29" s="13">
        <v>5.0</v>
      </c>
      <c r="AX29" s="13" t="s">
        <v>1482</v>
      </c>
      <c r="AY29" s="13" t="s">
        <v>1482</v>
      </c>
      <c r="AZ29" s="13" t="s">
        <v>1482</v>
      </c>
      <c r="BA29" s="13" t="s">
        <v>1482</v>
      </c>
      <c r="BB29" s="13">
        <v>1270.0</v>
      </c>
      <c r="BC29" s="13">
        <v>1280.0</v>
      </c>
      <c r="BD29" s="13" t="s">
        <v>1482</v>
      </c>
      <c r="BE29" s="13" t="s">
        <v>1554</v>
      </c>
      <c r="BF29" s="15" t="str">
        <f>HYPERLINK("http://dx.doi.org/10.1111/j.1523-1739.2009.01224.x","http://dx.doi.org/10.1111/j.1523-1739.2009.01224.x")</f>
        <v>http://dx.doi.org/10.1111/j.1523-1739.2009.01224.x</v>
      </c>
      <c r="BG29" s="13"/>
      <c r="BH29" s="13" t="s">
        <v>1482</v>
      </c>
      <c r="BI29" s="13" t="s">
        <v>1482</v>
      </c>
      <c r="BJ29" s="13">
        <v>11.0</v>
      </c>
      <c r="BK29" s="13" t="s">
        <v>1956</v>
      </c>
      <c r="BL29" s="13" t="s">
        <v>1920</v>
      </c>
      <c r="BM29" s="13" t="s">
        <v>1957</v>
      </c>
      <c r="BN29" s="13" t="s">
        <v>2006</v>
      </c>
      <c r="BO29" s="13">
        <v>1.9765039E7</v>
      </c>
      <c r="BP29" s="13" t="s">
        <v>1482</v>
      </c>
      <c r="BQ29" s="13" t="s">
        <v>1482</v>
      </c>
      <c r="BR29" s="13" t="s">
        <v>1482</v>
      </c>
      <c r="BS29" s="13" t="s">
        <v>2961</v>
      </c>
      <c r="BT29" s="13" t="s">
        <v>2007</v>
      </c>
      <c r="BU29" s="13" t="str">
        <f>HYPERLINK("https%3A%2F%2Fwww.webofscience.com%2Fwos%2Fwoscc%2Ffull-record%2FWOS:000269802200030","View Full Record in Web of Science")</f>
        <v>View Full Record in Web of Science</v>
      </c>
    </row>
    <row r="30" ht="12.75" customHeight="1">
      <c r="A30" s="13" t="s">
        <v>1896</v>
      </c>
      <c r="B30" s="13" t="s">
        <v>2407</v>
      </c>
      <c r="C30" s="13" t="s">
        <v>1482</v>
      </c>
      <c r="D30" s="13" t="s">
        <v>1482</v>
      </c>
      <c r="E30" s="13" t="s">
        <v>1482</v>
      </c>
      <c r="F30" s="13" t="s">
        <v>2407</v>
      </c>
      <c r="G30" s="13" t="s">
        <v>1482</v>
      </c>
      <c r="H30" s="13" t="s">
        <v>1482</v>
      </c>
      <c r="I30" s="13" t="s">
        <v>2408</v>
      </c>
      <c r="J30" s="13" t="s">
        <v>2409</v>
      </c>
      <c r="K30" s="13" t="s">
        <v>1482</v>
      </c>
      <c r="L30" s="13" t="s">
        <v>1482</v>
      </c>
      <c r="M30" s="13" t="s">
        <v>1901</v>
      </c>
      <c r="N30" s="13" t="s">
        <v>1902</v>
      </c>
      <c r="O30" s="13" t="s">
        <v>1482</v>
      </c>
      <c r="P30" s="13" t="s">
        <v>1482</v>
      </c>
      <c r="Q30" s="13" t="s">
        <v>1482</v>
      </c>
      <c r="R30" s="13" t="s">
        <v>1482</v>
      </c>
      <c r="S30" s="13" t="s">
        <v>1482</v>
      </c>
      <c r="T30" s="13" t="s">
        <v>2410</v>
      </c>
      <c r="U30" s="13" t="s">
        <v>2411</v>
      </c>
      <c r="V30" s="13" t="s">
        <v>2412</v>
      </c>
      <c r="W30" s="13" t="s">
        <v>2413</v>
      </c>
      <c r="X30" s="13" t="s">
        <v>1482</v>
      </c>
      <c r="Y30" s="13" t="s">
        <v>2414</v>
      </c>
      <c r="Z30" s="13" t="s">
        <v>2415</v>
      </c>
      <c r="AA30" s="13" t="s">
        <v>1482</v>
      </c>
      <c r="AB30" s="13" t="s">
        <v>1482</v>
      </c>
      <c r="AC30" s="13" t="s">
        <v>1482</v>
      </c>
      <c r="AD30" s="13" t="s">
        <v>1482</v>
      </c>
      <c r="AE30" s="13" t="s">
        <v>1482</v>
      </c>
      <c r="AF30" s="13" t="s">
        <v>1482</v>
      </c>
      <c r="AG30" s="13">
        <v>50.0</v>
      </c>
      <c r="AH30" s="13">
        <v>56.0</v>
      </c>
      <c r="AI30" s="13">
        <v>66.0</v>
      </c>
      <c r="AJ30" s="13">
        <v>0.0</v>
      </c>
      <c r="AK30" s="13">
        <v>41.0</v>
      </c>
      <c r="AL30" s="13" t="s">
        <v>2416</v>
      </c>
      <c r="AM30" s="13" t="s">
        <v>2417</v>
      </c>
      <c r="AN30" s="13" t="s">
        <v>2418</v>
      </c>
      <c r="AO30" s="13" t="s">
        <v>2419</v>
      </c>
      <c r="AP30" s="13" t="s">
        <v>2420</v>
      </c>
      <c r="AQ30" s="13" t="s">
        <v>1482</v>
      </c>
      <c r="AR30" s="13" t="s">
        <v>2409</v>
      </c>
      <c r="AS30" s="13" t="s">
        <v>2421</v>
      </c>
      <c r="AT30" s="13" t="s">
        <v>2114</v>
      </c>
      <c r="AU30" s="13">
        <v>2005.0</v>
      </c>
      <c r="AV30" s="13">
        <v>39.0</v>
      </c>
      <c r="AW30" s="13">
        <v>2.0</v>
      </c>
      <c r="AX30" s="13" t="s">
        <v>1482</v>
      </c>
      <c r="AY30" s="13" t="s">
        <v>1482</v>
      </c>
      <c r="AZ30" s="13" t="s">
        <v>1482</v>
      </c>
      <c r="BA30" s="13" t="s">
        <v>1482</v>
      </c>
      <c r="BB30" s="13">
        <v>149.0</v>
      </c>
      <c r="BC30" s="13">
        <v>157.0</v>
      </c>
      <c r="BD30" s="13" t="s">
        <v>1482</v>
      </c>
      <c r="BE30" s="13" t="s">
        <v>1562</v>
      </c>
      <c r="BF30" s="15" t="str">
        <f>HYPERLINK("http://dx.doi.org/10.1017/S0030605305000384","http://dx.doi.org/10.1017/S0030605305000384")</f>
        <v>http://dx.doi.org/10.1017/S0030605305000384</v>
      </c>
      <c r="BG30" s="13"/>
      <c r="BH30" s="13" t="s">
        <v>1482</v>
      </c>
      <c r="BI30" s="13" t="s">
        <v>1482</v>
      </c>
      <c r="BJ30" s="13">
        <v>9.0</v>
      </c>
      <c r="BK30" s="13" t="s">
        <v>2034</v>
      </c>
      <c r="BL30" s="13" t="s">
        <v>1920</v>
      </c>
      <c r="BM30" s="13" t="s">
        <v>1957</v>
      </c>
      <c r="BN30" s="13" t="s">
        <v>2422</v>
      </c>
      <c r="BO30" s="13" t="s">
        <v>1482</v>
      </c>
      <c r="BP30" s="13" t="s">
        <v>2037</v>
      </c>
      <c r="BQ30" s="13" t="s">
        <v>1482</v>
      </c>
      <c r="BR30" s="13" t="s">
        <v>1482</v>
      </c>
      <c r="BS30" s="13" t="s">
        <v>2961</v>
      </c>
      <c r="BT30" s="13" t="s">
        <v>2423</v>
      </c>
      <c r="BU30" s="13" t="str">
        <f>HYPERLINK("https%3A%2F%2Fwww.webofscience.com%2Fwos%2Fwoscc%2Ffull-record%2FWOS:000228944800017","View Full Record in Web of Science")</f>
        <v>View Full Record in Web of Science</v>
      </c>
    </row>
    <row r="31" ht="12.75" customHeight="1">
      <c r="A31" s="13" t="s">
        <v>1896</v>
      </c>
      <c r="B31" s="13" t="s">
        <v>2645</v>
      </c>
      <c r="C31" s="13" t="s">
        <v>1482</v>
      </c>
      <c r="D31" s="13" t="s">
        <v>1482</v>
      </c>
      <c r="E31" s="13" t="s">
        <v>1482</v>
      </c>
      <c r="F31" s="13" t="s">
        <v>2646</v>
      </c>
      <c r="G31" s="13" t="s">
        <v>1482</v>
      </c>
      <c r="H31" s="13" t="s">
        <v>1482</v>
      </c>
      <c r="I31" s="13" t="s">
        <v>2647</v>
      </c>
      <c r="J31" s="13" t="s">
        <v>2138</v>
      </c>
      <c r="K31" s="13" t="s">
        <v>1482</v>
      </c>
      <c r="L31" s="13" t="s">
        <v>1482</v>
      </c>
      <c r="M31" s="13" t="s">
        <v>1901</v>
      </c>
      <c r="N31" s="13" t="s">
        <v>2139</v>
      </c>
      <c r="O31" s="13" t="s">
        <v>2140</v>
      </c>
      <c r="P31" s="13">
        <v>2005.0</v>
      </c>
      <c r="Q31" s="13" t="s">
        <v>2141</v>
      </c>
      <c r="R31" s="13" t="s">
        <v>2142</v>
      </c>
      <c r="S31" s="13" t="s">
        <v>1482</v>
      </c>
      <c r="T31" s="13" t="s">
        <v>2648</v>
      </c>
      <c r="U31" s="13" t="s">
        <v>2649</v>
      </c>
      <c r="V31" s="13" t="s">
        <v>2650</v>
      </c>
      <c r="W31" s="13" t="s">
        <v>2651</v>
      </c>
      <c r="X31" s="13" t="s">
        <v>2652</v>
      </c>
      <c r="Y31" s="13" t="s">
        <v>2653</v>
      </c>
      <c r="Z31" s="13" t="s">
        <v>2654</v>
      </c>
      <c r="AA31" s="13" t="s">
        <v>3031</v>
      </c>
      <c r="AB31" s="13" t="s">
        <v>1482</v>
      </c>
      <c r="AC31" s="13" t="s">
        <v>1482</v>
      </c>
      <c r="AD31" s="13" t="s">
        <v>1482</v>
      </c>
      <c r="AE31" s="13" t="s">
        <v>1482</v>
      </c>
      <c r="AF31" s="13" t="s">
        <v>1482</v>
      </c>
      <c r="AG31" s="13">
        <v>62.0</v>
      </c>
      <c r="AH31" s="13">
        <v>83.0</v>
      </c>
      <c r="AI31" s="13">
        <v>100.0</v>
      </c>
      <c r="AJ31" s="13">
        <v>1.0</v>
      </c>
      <c r="AK31" s="13">
        <v>45.0</v>
      </c>
      <c r="AL31" s="13" t="s">
        <v>1998</v>
      </c>
      <c r="AM31" s="13" t="s">
        <v>1999</v>
      </c>
      <c r="AN31" s="13" t="s">
        <v>2000</v>
      </c>
      <c r="AO31" s="13" t="s">
        <v>2151</v>
      </c>
      <c r="AP31" s="13" t="s">
        <v>2152</v>
      </c>
      <c r="AQ31" s="13" t="s">
        <v>1482</v>
      </c>
      <c r="AR31" s="13" t="s">
        <v>2138</v>
      </c>
      <c r="AS31" s="13" t="s">
        <v>2153</v>
      </c>
      <c r="AT31" s="13" t="s">
        <v>1955</v>
      </c>
      <c r="AU31" s="13">
        <v>2007.0</v>
      </c>
      <c r="AV31" s="13">
        <v>39.0</v>
      </c>
      <c r="AW31" s="13">
        <v>3.0</v>
      </c>
      <c r="AX31" s="13" t="s">
        <v>1482</v>
      </c>
      <c r="AY31" s="13" t="s">
        <v>1482</v>
      </c>
      <c r="AZ31" s="13" t="s">
        <v>1482</v>
      </c>
      <c r="BA31" s="13" t="s">
        <v>1482</v>
      </c>
      <c r="BB31" s="13">
        <v>340.0</v>
      </c>
      <c r="BC31" s="13">
        <v>347.0</v>
      </c>
      <c r="BD31" s="13" t="s">
        <v>1482</v>
      </c>
      <c r="BE31" s="13" t="s">
        <v>1567</v>
      </c>
      <c r="BF31" s="15" t="str">
        <f>HYPERLINK("http://dx.doi.org/10.1111/j.1744-7429.2007.00275.x","http://dx.doi.org/10.1111/j.1744-7429.2007.00275.x")</f>
        <v>http://dx.doi.org/10.1111/j.1744-7429.2007.00275.x</v>
      </c>
      <c r="BG31" s="13"/>
      <c r="BH31" s="13" t="s">
        <v>1482</v>
      </c>
      <c r="BI31" s="13" t="s">
        <v>1482</v>
      </c>
      <c r="BJ31" s="13">
        <v>8.0</v>
      </c>
      <c r="BK31" s="13" t="s">
        <v>2154</v>
      </c>
      <c r="BL31" s="13" t="s">
        <v>2155</v>
      </c>
      <c r="BM31" s="13" t="s">
        <v>2156</v>
      </c>
      <c r="BN31" s="13" t="s">
        <v>2157</v>
      </c>
      <c r="BO31" s="13" t="s">
        <v>1482</v>
      </c>
      <c r="BP31" s="13" t="s">
        <v>1482</v>
      </c>
      <c r="BQ31" s="13" t="s">
        <v>1482</v>
      </c>
      <c r="BR31" s="13" t="s">
        <v>1482</v>
      </c>
      <c r="BS31" s="13" t="s">
        <v>2961</v>
      </c>
      <c r="BT31" s="13" t="s">
        <v>2656</v>
      </c>
      <c r="BU31" s="13" t="str">
        <f>HYPERLINK("https%3A%2F%2Fwww.webofscience.com%2Fwos%2Fwoscc%2Ffull-record%2FWOS:000245939300006","View Full Record in Web of Science")</f>
        <v>View Full Record in Web of Science</v>
      </c>
    </row>
    <row r="32" ht="12.75" customHeight="1">
      <c r="A32" s="13" t="s">
        <v>1896</v>
      </c>
      <c r="B32" s="13" t="s">
        <v>2263</v>
      </c>
      <c r="C32" s="13" t="s">
        <v>1482</v>
      </c>
      <c r="D32" s="13" t="s">
        <v>1482</v>
      </c>
      <c r="E32" s="13" t="s">
        <v>1482</v>
      </c>
      <c r="F32" s="13" t="s">
        <v>2264</v>
      </c>
      <c r="G32" s="13" t="s">
        <v>1482</v>
      </c>
      <c r="H32" s="13" t="s">
        <v>1482</v>
      </c>
      <c r="I32" s="13" t="s">
        <v>2265</v>
      </c>
      <c r="J32" s="13" t="s">
        <v>2266</v>
      </c>
      <c r="K32" s="13" t="s">
        <v>1482</v>
      </c>
      <c r="L32" s="13" t="s">
        <v>1482</v>
      </c>
      <c r="M32" s="13" t="s">
        <v>1901</v>
      </c>
      <c r="N32" s="13" t="s">
        <v>1902</v>
      </c>
      <c r="O32" s="13" t="s">
        <v>1482</v>
      </c>
      <c r="P32" s="13" t="s">
        <v>1482</v>
      </c>
      <c r="Q32" s="13" t="s">
        <v>1482</v>
      </c>
      <c r="R32" s="13" t="s">
        <v>1482</v>
      </c>
      <c r="S32" s="13" t="s">
        <v>1482</v>
      </c>
      <c r="T32" s="13" t="s">
        <v>2267</v>
      </c>
      <c r="U32" s="13" t="s">
        <v>2268</v>
      </c>
      <c r="V32" s="13" t="s">
        <v>2269</v>
      </c>
      <c r="W32" s="13" t="s">
        <v>2270</v>
      </c>
      <c r="X32" s="13" t="s">
        <v>2271</v>
      </c>
      <c r="Y32" s="13" t="s">
        <v>2272</v>
      </c>
      <c r="Z32" s="13" t="s">
        <v>2273</v>
      </c>
      <c r="AA32" s="13" t="s">
        <v>3032</v>
      </c>
      <c r="AB32" s="13" t="s">
        <v>3033</v>
      </c>
      <c r="AC32" s="13" t="s">
        <v>2276</v>
      </c>
      <c r="AD32" s="13" t="s">
        <v>2276</v>
      </c>
      <c r="AE32" s="13" t="s">
        <v>2277</v>
      </c>
      <c r="AF32" s="13" t="s">
        <v>1482</v>
      </c>
      <c r="AG32" s="13">
        <v>63.0</v>
      </c>
      <c r="AH32" s="13">
        <v>67.0</v>
      </c>
      <c r="AI32" s="13">
        <v>84.0</v>
      </c>
      <c r="AJ32" s="13">
        <v>1.0</v>
      </c>
      <c r="AK32" s="13">
        <v>89.0</v>
      </c>
      <c r="AL32" s="13" t="s">
        <v>2278</v>
      </c>
      <c r="AM32" s="13" t="s">
        <v>2279</v>
      </c>
      <c r="AN32" s="13" t="s">
        <v>2280</v>
      </c>
      <c r="AO32" s="13" t="s">
        <v>2281</v>
      </c>
      <c r="AP32" s="13" t="s">
        <v>2282</v>
      </c>
      <c r="AQ32" s="13" t="s">
        <v>1482</v>
      </c>
      <c r="AR32" s="13" t="s">
        <v>2283</v>
      </c>
      <c r="AS32" s="13" t="s">
        <v>2284</v>
      </c>
      <c r="AT32" s="13" t="s">
        <v>2285</v>
      </c>
      <c r="AU32" s="13">
        <v>2012.0</v>
      </c>
      <c r="AV32" s="13">
        <v>146.0</v>
      </c>
      <c r="AW32" s="13">
        <v>1.0</v>
      </c>
      <c r="AX32" s="13" t="s">
        <v>1482</v>
      </c>
      <c r="AY32" s="13" t="s">
        <v>1482</v>
      </c>
      <c r="AZ32" s="13" t="s">
        <v>1482</v>
      </c>
      <c r="BA32" s="13" t="s">
        <v>1482</v>
      </c>
      <c r="BB32" s="13">
        <v>89.0</v>
      </c>
      <c r="BC32" s="13">
        <v>96.0</v>
      </c>
      <c r="BD32" s="13" t="s">
        <v>1482</v>
      </c>
      <c r="BE32" s="13" t="s">
        <v>1558</v>
      </c>
      <c r="BF32" s="15" t="str">
        <f>HYPERLINK("http://dx.doi.org/10.1016/j.biocon.2011.09.017","http://dx.doi.org/10.1016/j.biocon.2011.09.017")</f>
        <v>http://dx.doi.org/10.1016/j.biocon.2011.09.017</v>
      </c>
      <c r="BG32" s="13"/>
      <c r="BH32" s="13" t="s">
        <v>1482</v>
      </c>
      <c r="BI32" s="13" t="s">
        <v>1482</v>
      </c>
      <c r="BJ32" s="13">
        <v>8.0</v>
      </c>
      <c r="BK32" s="13" t="s">
        <v>1956</v>
      </c>
      <c r="BL32" s="13" t="s">
        <v>1920</v>
      </c>
      <c r="BM32" s="13" t="s">
        <v>1957</v>
      </c>
      <c r="BN32" s="13" t="s">
        <v>2286</v>
      </c>
      <c r="BO32" s="13" t="s">
        <v>1482</v>
      </c>
      <c r="BP32" s="13" t="s">
        <v>1482</v>
      </c>
      <c r="BQ32" s="13" t="s">
        <v>1482</v>
      </c>
      <c r="BR32" s="13" t="s">
        <v>1482</v>
      </c>
      <c r="BS32" s="13" t="s">
        <v>2961</v>
      </c>
      <c r="BT32" s="13" t="s">
        <v>2287</v>
      </c>
      <c r="BU32" s="13" t="str">
        <f>HYPERLINK("https%3A%2F%2Fwww.webofscience.com%2Fwos%2Fwoscc%2Ffull-record%2FWOS:000301814300010","View Full Record in Web of Science")</f>
        <v>View Full Record in Web of Science</v>
      </c>
    </row>
    <row r="33" ht="12.75" customHeight="1">
      <c r="A33" s="13" t="s">
        <v>1896</v>
      </c>
      <c r="B33" s="13" t="s">
        <v>2929</v>
      </c>
      <c r="C33" s="13" t="s">
        <v>1482</v>
      </c>
      <c r="D33" s="13" t="s">
        <v>1482</v>
      </c>
      <c r="E33" s="13" t="s">
        <v>1482</v>
      </c>
      <c r="F33" s="13" t="s">
        <v>2930</v>
      </c>
      <c r="G33" s="13" t="s">
        <v>1482</v>
      </c>
      <c r="H33" s="13" t="s">
        <v>1482</v>
      </c>
      <c r="I33" s="13" t="s">
        <v>2931</v>
      </c>
      <c r="J33" s="13" t="s">
        <v>2266</v>
      </c>
      <c r="K33" s="13" t="s">
        <v>1482</v>
      </c>
      <c r="L33" s="13" t="s">
        <v>1482</v>
      </c>
      <c r="M33" s="13" t="s">
        <v>1901</v>
      </c>
      <c r="N33" s="13" t="s">
        <v>1902</v>
      </c>
      <c r="O33" s="13" t="s">
        <v>1482</v>
      </c>
      <c r="P33" s="13" t="s">
        <v>1482</v>
      </c>
      <c r="Q33" s="13" t="s">
        <v>1482</v>
      </c>
      <c r="R33" s="13" t="s">
        <v>1482</v>
      </c>
      <c r="S33" s="13" t="s">
        <v>1482</v>
      </c>
      <c r="T33" s="13" t="s">
        <v>2932</v>
      </c>
      <c r="U33" s="13" t="s">
        <v>2933</v>
      </c>
      <c r="V33" s="13" t="s">
        <v>2934</v>
      </c>
      <c r="W33" s="13" t="s">
        <v>2935</v>
      </c>
      <c r="X33" s="13" t="s">
        <v>2936</v>
      </c>
      <c r="Y33" s="13" t="s">
        <v>2937</v>
      </c>
      <c r="Z33" s="13" t="s">
        <v>2938</v>
      </c>
      <c r="AA33" s="13" t="s">
        <v>2150</v>
      </c>
      <c r="AB33" s="13" t="s">
        <v>2939</v>
      </c>
      <c r="AC33" s="13" t="s">
        <v>1482</v>
      </c>
      <c r="AD33" s="13" t="s">
        <v>1482</v>
      </c>
      <c r="AE33" s="13" t="s">
        <v>1482</v>
      </c>
      <c r="AF33" s="13" t="s">
        <v>1482</v>
      </c>
      <c r="AG33" s="13">
        <v>77.0</v>
      </c>
      <c r="AH33" s="13">
        <v>103.0</v>
      </c>
      <c r="AI33" s="13">
        <v>120.0</v>
      </c>
      <c r="AJ33" s="13">
        <v>0.0</v>
      </c>
      <c r="AK33" s="13">
        <v>66.0</v>
      </c>
      <c r="AL33" s="13" t="s">
        <v>2278</v>
      </c>
      <c r="AM33" s="13" t="s">
        <v>2279</v>
      </c>
      <c r="AN33" s="13" t="s">
        <v>2280</v>
      </c>
      <c r="AO33" s="13" t="s">
        <v>2281</v>
      </c>
      <c r="AP33" s="13" t="s">
        <v>2282</v>
      </c>
      <c r="AQ33" s="13" t="s">
        <v>1482</v>
      </c>
      <c r="AR33" s="13" t="s">
        <v>2283</v>
      </c>
      <c r="AS33" s="13" t="s">
        <v>2284</v>
      </c>
      <c r="AT33" s="13" t="s">
        <v>2033</v>
      </c>
      <c r="AU33" s="13">
        <v>2008.0</v>
      </c>
      <c r="AV33" s="13">
        <v>141.0</v>
      </c>
      <c r="AW33" s="13">
        <v>6.0</v>
      </c>
      <c r="AX33" s="13" t="s">
        <v>1482</v>
      </c>
      <c r="AY33" s="13" t="s">
        <v>1482</v>
      </c>
      <c r="AZ33" s="13" t="s">
        <v>1482</v>
      </c>
      <c r="BA33" s="13" t="s">
        <v>1482</v>
      </c>
      <c r="BB33" s="13">
        <v>1536.0</v>
      </c>
      <c r="BC33" s="13">
        <v>1546.0</v>
      </c>
      <c r="BD33" s="13" t="s">
        <v>1482</v>
      </c>
      <c r="BE33" s="13" t="s">
        <v>1576</v>
      </c>
      <c r="BF33" s="15" t="str">
        <f>HYPERLINK("http://dx.doi.org/10.1016/j.biocon.2008.03.020","http://dx.doi.org/10.1016/j.biocon.2008.03.020")</f>
        <v>http://dx.doi.org/10.1016/j.biocon.2008.03.020</v>
      </c>
      <c r="BG33" s="13"/>
      <c r="BH33" s="13" t="s">
        <v>1482</v>
      </c>
      <c r="BI33" s="13" t="s">
        <v>1482</v>
      </c>
      <c r="BJ33" s="13">
        <v>11.0</v>
      </c>
      <c r="BK33" s="13" t="s">
        <v>1956</v>
      </c>
      <c r="BL33" s="13" t="s">
        <v>1920</v>
      </c>
      <c r="BM33" s="13" t="s">
        <v>1957</v>
      </c>
      <c r="BN33" s="13" t="s">
        <v>2940</v>
      </c>
      <c r="BO33" s="13" t="s">
        <v>1482</v>
      </c>
      <c r="BP33" s="13" t="s">
        <v>1482</v>
      </c>
      <c r="BQ33" s="13" t="s">
        <v>1482</v>
      </c>
      <c r="BR33" s="13" t="s">
        <v>1482</v>
      </c>
      <c r="BS33" s="13" t="s">
        <v>2961</v>
      </c>
      <c r="BT33" s="13" t="s">
        <v>2941</v>
      </c>
      <c r="BU33" s="13" t="str">
        <f>HYPERLINK("https%3A%2F%2Fwww.webofscience.com%2Fwos%2Fwoscc%2Ffull-record%2FWOS:000257536100009","View Full Record in Web of Science")</f>
        <v>View Full Record in Web of Science</v>
      </c>
    </row>
    <row r="34" ht="12.75" customHeight="1">
      <c r="A34" s="13" t="s">
        <v>1896</v>
      </c>
      <c r="B34" s="13" t="s">
        <v>2064</v>
      </c>
      <c r="C34" s="13" t="s">
        <v>1482</v>
      </c>
      <c r="D34" s="13" t="s">
        <v>1482</v>
      </c>
      <c r="E34" s="13" t="s">
        <v>1482</v>
      </c>
      <c r="F34" s="13" t="s">
        <v>2065</v>
      </c>
      <c r="G34" s="13" t="s">
        <v>1482</v>
      </c>
      <c r="H34" s="13" t="s">
        <v>1482</v>
      </c>
      <c r="I34" s="13" t="s">
        <v>2066</v>
      </c>
      <c r="J34" s="13" t="s">
        <v>1937</v>
      </c>
      <c r="K34" s="13" t="s">
        <v>1482</v>
      </c>
      <c r="L34" s="13" t="s">
        <v>1482</v>
      </c>
      <c r="M34" s="13" t="s">
        <v>1901</v>
      </c>
      <c r="N34" s="13" t="s">
        <v>1902</v>
      </c>
      <c r="O34" s="13" t="s">
        <v>1482</v>
      </c>
      <c r="P34" s="13" t="s">
        <v>1482</v>
      </c>
      <c r="Q34" s="13" t="s">
        <v>1482</v>
      </c>
      <c r="R34" s="13" t="s">
        <v>1482</v>
      </c>
      <c r="S34" s="13" t="s">
        <v>1482</v>
      </c>
      <c r="T34" s="13" t="s">
        <v>2067</v>
      </c>
      <c r="U34" s="13" t="s">
        <v>2068</v>
      </c>
      <c r="V34" s="13" t="s">
        <v>2069</v>
      </c>
      <c r="W34" s="13" t="s">
        <v>2070</v>
      </c>
      <c r="X34" s="13" t="s">
        <v>2021</v>
      </c>
      <c r="Y34" s="13" t="s">
        <v>2071</v>
      </c>
      <c r="Z34" s="13" t="s">
        <v>2072</v>
      </c>
      <c r="AA34" s="13" t="s">
        <v>2073</v>
      </c>
      <c r="AB34" s="13" t="s">
        <v>3034</v>
      </c>
      <c r="AC34" s="13" t="s">
        <v>1482</v>
      </c>
      <c r="AD34" s="13" t="s">
        <v>1482</v>
      </c>
      <c r="AE34" s="13" t="s">
        <v>1482</v>
      </c>
      <c r="AF34" s="13" t="s">
        <v>1482</v>
      </c>
      <c r="AG34" s="13">
        <v>51.0</v>
      </c>
      <c r="AH34" s="13">
        <v>109.0</v>
      </c>
      <c r="AI34" s="13">
        <v>134.0</v>
      </c>
      <c r="AJ34" s="13">
        <v>1.0</v>
      </c>
      <c r="AK34" s="13">
        <v>71.0</v>
      </c>
      <c r="AL34" s="13" t="s">
        <v>1948</v>
      </c>
      <c r="AM34" s="13" t="s">
        <v>1949</v>
      </c>
      <c r="AN34" s="13" t="s">
        <v>1950</v>
      </c>
      <c r="AO34" s="13" t="s">
        <v>1951</v>
      </c>
      <c r="AP34" s="13" t="s">
        <v>1952</v>
      </c>
      <c r="AQ34" s="13" t="s">
        <v>1482</v>
      </c>
      <c r="AR34" s="13" t="s">
        <v>1953</v>
      </c>
      <c r="AS34" s="13" t="s">
        <v>1954</v>
      </c>
      <c r="AT34" s="13" t="s">
        <v>2075</v>
      </c>
      <c r="AU34" s="13">
        <v>2006.0</v>
      </c>
      <c r="AV34" s="13">
        <v>15.0</v>
      </c>
      <c r="AW34" s="13">
        <v>8.0</v>
      </c>
      <c r="AX34" s="13" t="s">
        <v>1482</v>
      </c>
      <c r="AY34" s="13" t="s">
        <v>1482</v>
      </c>
      <c r="AZ34" s="13" t="s">
        <v>1482</v>
      </c>
      <c r="BA34" s="13" t="s">
        <v>1482</v>
      </c>
      <c r="BB34" s="13">
        <v>2627.0</v>
      </c>
      <c r="BC34" s="13">
        <v>2653.0</v>
      </c>
      <c r="BD34" s="13" t="s">
        <v>1482</v>
      </c>
      <c r="BE34" s="13" t="s">
        <v>1555</v>
      </c>
      <c r="BF34" s="15" t="str">
        <f>HYPERLINK("http://dx.doi.org/10.1007/s10531-005-5406-9","http://dx.doi.org/10.1007/s10531-005-5406-9")</f>
        <v>http://dx.doi.org/10.1007/s10531-005-5406-9</v>
      </c>
      <c r="BG34" s="13"/>
      <c r="BH34" s="13" t="s">
        <v>1482</v>
      </c>
      <c r="BI34" s="13" t="s">
        <v>1482</v>
      </c>
      <c r="BJ34" s="13">
        <v>27.0</v>
      </c>
      <c r="BK34" s="13" t="s">
        <v>1956</v>
      </c>
      <c r="BL34" s="13" t="s">
        <v>1920</v>
      </c>
      <c r="BM34" s="13" t="s">
        <v>1957</v>
      </c>
      <c r="BN34" s="13" t="s">
        <v>2076</v>
      </c>
      <c r="BO34" s="13" t="s">
        <v>1482</v>
      </c>
      <c r="BP34" s="13" t="s">
        <v>1482</v>
      </c>
      <c r="BQ34" s="13" t="s">
        <v>1482</v>
      </c>
      <c r="BR34" s="13" t="s">
        <v>1482</v>
      </c>
      <c r="BS34" s="13" t="s">
        <v>2961</v>
      </c>
      <c r="BT34" s="13" t="s">
        <v>2077</v>
      </c>
      <c r="BU34" s="13" t="str">
        <f>HYPERLINK("https%3A%2F%2Fwww.webofscience.com%2Fwos%2Fwoscc%2Ffull-record%2FWOS:000241168900016","View Full Record in Web of Science")</f>
        <v>View Full Record in Web of Science</v>
      </c>
    </row>
    <row r="35" ht="12.75" customHeight="1">
      <c r="A35" s="13" t="s">
        <v>1896</v>
      </c>
      <c r="B35" s="13" t="s">
        <v>2206</v>
      </c>
      <c r="C35" s="13" t="s">
        <v>1482</v>
      </c>
      <c r="D35" s="13" t="s">
        <v>1482</v>
      </c>
      <c r="E35" s="13" t="s">
        <v>1482</v>
      </c>
      <c r="F35" s="13" t="s">
        <v>2207</v>
      </c>
      <c r="G35" s="13" t="s">
        <v>1482</v>
      </c>
      <c r="H35" s="13" t="s">
        <v>1482</v>
      </c>
      <c r="I35" s="13" t="s">
        <v>2208</v>
      </c>
      <c r="J35" s="13" t="s">
        <v>2209</v>
      </c>
      <c r="K35" s="13" t="s">
        <v>1482</v>
      </c>
      <c r="L35" s="13" t="s">
        <v>1482</v>
      </c>
      <c r="M35" s="13" t="s">
        <v>1901</v>
      </c>
      <c r="N35" s="13" t="s">
        <v>2139</v>
      </c>
      <c r="O35" s="13" t="s">
        <v>2210</v>
      </c>
      <c r="P35" s="13" t="s">
        <v>2211</v>
      </c>
      <c r="Q35" s="13" t="s">
        <v>2212</v>
      </c>
      <c r="R35" s="13" t="s">
        <v>2213</v>
      </c>
      <c r="S35" s="13" t="s">
        <v>1482</v>
      </c>
      <c r="T35" s="13" t="s">
        <v>2214</v>
      </c>
      <c r="U35" s="13" t="s">
        <v>2215</v>
      </c>
      <c r="V35" s="13" t="s">
        <v>2216</v>
      </c>
      <c r="W35" s="13" t="s">
        <v>2217</v>
      </c>
      <c r="X35" s="13" t="s">
        <v>2218</v>
      </c>
      <c r="Y35" s="13" t="s">
        <v>2219</v>
      </c>
      <c r="Z35" s="13" t="s">
        <v>2220</v>
      </c>
      <c r="AA35" s="13" t="s">
        <v>3035</v>
      </c>
      <c r="AB35" s="13" t="s">
        <v>3036</v>
      </c>
      <c r="AC35" s="13" t="s">
        <v>3037</v>
      </c>
      <c r="AD35" s="13" t="s">
        <v>3038</v>
      </c>
      <c r="AE35" s="13" t="s">
        <v>1482</v>
      </c>
      <c r="AF35" s="13" t="s">
        <v>1482</v>
      </c>
      <c r="AG35" s="13">
        <v>61.0</v>
      </c>
      <c r="AH35" s="13">
        <v>60.0</v>
      </c>
      <c r="AI35" s="13">
        <v>70.0</v>
      </c>
      <c r="AJ35" s="13">
        <v>2.0</v>
      </c>
      <c r="AK35" s="13">
        <v>30.0</v>
      </c>
      <c r="AL35" s="13" t="s">
        <v>1948</v>
      </c>
      <c r="AM35" s="13" t="s">
        <v>2225</v>
      </c>
      <c r="AN35" s="13" t="s">
        <v>2226</v>
      </c>
      <c r="AO35" s="13" t="s">
        <v>2227</v>
      </c>
      <c r="AP35" s="13" t="s">
        <v>2228</v>
      </c>
      <c r="AQ35" s="13" t="s">
        <v>1482</v>
      </c>
      <c r="AR35" s="13" t="s">
        <v>2229</v>
      </c>
      <c r="AS35" s="13" t="s">
        <v>2230</v>
      </c>
      <c r="AT35" s="13" t="s">
        <v>2198</v>
      </c>
      <c r="AU35" s="13">
        <v>2008.0</v>
      </c>
      <c r="AV35" s="13">
        <v>29.0</v>
      </c>
      <c r="AW35" s="13">
        <v>4.0</v>
      </c>
      <c r="AX35" s="13" t="s">
        <v>1482</v>
      </c>
      <c r="AY35" s="13" t="s">
        <v>1482</v>
      </c>
      <c r="AZ35" s="13" t="s">
        <v>1482</v>
      </c>
      <c r="BA35" s="13" t="s">
        <v>1482</v>
      </c>
      <c r="BB35" s="13">
        <v>1065.0</v>
      </c>
      <c r="BC35" s="13">
        <v>1082.0</v>
      </c>
      <c r="BD35" s="13" t="s">
        <v>1482</v>
      </c>
      <c r="BE35" s="13" t="s">
        <v>1537</v>
      </c>
      <c r="BF35" s="15" t="str">
        <f>HYPERLINK("http://dx.doi.org/10.1007/s10764-008-9254-9","http://dx.doi.org/10.1007/s10764-008-9254-9")</f>
        <v>http://dx.doi.org/10.1007/s10764-008-9254-9</v>
      </c>
      <c r="BG35" s="13"/>
      <c r="BH35" s="13" t="s">
        <v>1482</v>
      </c>
      <c r="BI35" s="13" t="s">
        <v>1482</v>
      </c>
      <c r="BJ35" s="13">
        <v>18.0</v>
      </c>
      <c r="BK35" s="13" t="s">
        <v>1919</v>
      </c>
      <c r="BL35" s="13" t="s">
        <v>2155</v>
      </c>
      <c r="BM35" s="13" t="s">
        <v>1919</v>
      </c>
      <c r="BN35" s="13" t="s">
        <v>2231</v>
      </c>
      <c r="BO35" s="13" t="s">
        <v>1482</v>
      </c>
      <c r="BP35" s="13" t="s">
        <v>1482</v>
      </c>
      <c r="BQ35" s="13" t="s">
        <v>1482</v>
      </c>
      <c r="BR35" s="13" t="s">
        <v>1482</v>
      </c>
      <c r="BS35" s="13" t="s">
        <v>2961</v>
      </c>
      <c r="BT35" s="13" t="s">
        <v>2232</v>
      </c>
      <c r="BU35" s="13" t="str">
        <f>HYPERLINK("https%3A%2F%2Fwww.webofscience.com%2Fwos%2Fwoscc%2Ffull-record%2FWOS:000258959800015","View Full Record in Web of Science")</f>
        <v>View Full Record in Web of Science</v>
      </c>
    </row>
    <row r="36" ht="12.75" customHeight="1">
      <c r="A36" s="13" t="s">
        <v>1896</v>
      </c>
      <c r="B36" s="13" t="s">
        <v>2535</v>
      </c>
      <c r="C36" s="13" t="s">
        <v>1482</v>
      </c>
      <c r="D36" s="13" t="s">
        <v>1482</v>
      </c>
      <c r="E36" s="13" t="s">
        <v>1482</v>
      </c>
      <c r="F36" s="13" t="s">
        <v>2535</v>
      </c>
      <c r="G36" s="13" t="s">
        <v>1482</v>
      </c>
      <c r="H36" s="13" t="s">
        <v>1482</v>
      </c>
      <c r="I36" s="13" t="s">
        <v>2536</v>
      </c>
      <c r="J36" s="13" t="s">
        <v>1985</v>
      </c>
      <c r="K36" s="13" t="s">
        <v>1482</v>
      </c>
      <c r="L36" s="13" t="s">
        <v>1482</v>
      </c>
      <c r="M36" s="13" t="s">
        <v>1901</v>
      </c>
      <c r="N36" s="13" t="s">
        <v>1902</v>
      </c>
      <c r="O36" s="13" t="s">
        <v>1482</v>
      </c>
      <c r="P36" s="13" t="s">
        <v>1482</v>
      </c>
      <c r="Q36" s="13" t="s">
        <v>1482</v>
      </c>
      <c r="R36" s="13" t="s">
        <v>1482</v>
      </c>
      <c r="S36" s="13" t="s">
        <v>1482</v>
      </c>
      <c r="T36" s="13" t="s">
        <v>1482</v>
      </c>
      <c r="U36" s="13" t="s">
        <v>1482</v>
      </c>
      <c r="V36" s="13" t="s">
        <v>2537</v>
      </c>
      <c r="W36" s="13" t="s">
        <v>2538</v>
      </c>
      <c r="X36" s="13" t="s">
        <v>1482</v>
      </c>
      <c r="Y36" s="13" t="s">
        <v>2539</v>
      </c>
      <c r="Z36" s="13" t="s">
        <v>1482</v>
      </c>
      <c r="AA36" s="13" t="s">
        <v>2540</v>
      </c>
      <c r="AB36" s="13" t="s">
        <v>2541</v>
      </c>
      <c r="AC36" s="13" t="s">
        <v>1482</v>
      </c>
      <c r="AD36" s="13" t="s">
        <v>1482</v>
      </c>
      <c r="AE36" s="13" t="s">
        <v>1482</v>
      </c>
      <c r="AF36" s="13" t="s">
        <v>1482</v>
      </c>
      <c r="AG36" s="13">
        <v>43.0</v>
      </c>
      <c r="AH36" s="13">
        <v>107.0</v>
      </c>
      <c r="AI36" s="13">
        <v>123.0</v>
      </c>
      <c r="AJ36" s="13">
        <v>0.0</v>
      </c>
      <c r="AK36" s="13">
        <v>23.0</v>
      </c>
      <c r="AL36" s="13" t="s">
        <v>2542</v>
      </c>
      <c r="AM36" s="13" t="s">
        <v>2450</v>
      </c>
      <c r="AN36" s="13" t="s">
        <v>2543</v>
      </c>
      <c r="AO36" s="13" t="s">
        <v>2001</v>
      </c>
      <c r="AP36" s="13" t="s">
        <v>1482</v>
      </c>
      <c r="AQ36" s="13" t="s">
        <v>1482</v>
      </c>
      <c r="AR36" s="13" t="s">
        <v>2003</v>
      </c>
      <c r="AS36" s="13" t="s">
        <v>2004</v>
      </c>
      <c r="AT36" s="13" t="s">
        <v>2400</v>
      </c>
      <c r="AU36" s="13">
        <v>1997.0</v>
      </c>
      <c r="AV36" s="13">
        <v>11.0</v>
      </c>
      <c r="AW36" s="13">
        <v>6.0</v>
      </c>
      <c r="AX36" s="13" t="s">
        <v>1482</v>
      </c>
      <c r="AY36" s="13" t="s">
        <v>1482</v>
      </c>
      <c r="AZ36" s="13" t="s">
        <v>1482</v>
      </c>
      <c r="BA36" s="13" t="s">
        <v>1482</v>
      </c>
      <c r="BB36" s="13">
        <v>1339.0</v>
      </c>
      <c r="BC36" s="13">
        <v>1353.0</v>
      </c>
      <c r="BD36" s="13" t="s">
        <v>1482</v>
      </c>
      <c r="BE36" s="13" t="s">
        <v>1533</v>
      </c>
      <c r="BF36" s="15" t="str">
        <f>HYPERLINK("http://dx.doi.org/10.1046/j.1523-1739.1997.96048.x","http://dx.doi.org/10.1046/j.1523-1739.1997.96048.x")</f>
        <v>http://dx.doi.org/10.1046/j.1523-1739.1997.96048.x</v>
      </c>
      <c r="BG36" s="13"/>
      <c r="BH36" s="13" t="s">
        <v>1482</v>
      </c>
      <c r="BI36" s="13" t="s">
        <v>1482</v>
      </c>
      <c r="BJ36" s="13">
        <v>15.0</v>
      </c>
      <c r="BK36" s="13" t="s">
        <v>1956</v>
      </c>
      <c r="BL36" s="13" t="s">
        <v>1920</v>
      </c>
      <c r="BM36" s="13" t="s">
        <v>1957</v>
      </c>
      <c r="BN36" s="13" t="s">
        <v>2544</v>
      </c>
      <c r="BO36" s="13" t="s">
        <v>1482</v>
      </c>
      <c r="BP36" s="13" t="s">
        <v>1482</v>
      </c>
      <c r="BQ36" s="13" t="s">
        <v>1482</v>
      </c>
      <c r="BR36" s="13" t="s">
        <v>1482</v>
      </c>
      <c r="BS36" s="13" t="s">
        <v>2961</v>
      </c>
      <c r="BT36" s="13" t="s">
        <v>2545</v>
      </c>
      <c r="BU36" s="13" t="str">
        <f>HYPERLINK("https%3A%2F%2Fwww.webofscience.com%2Fwos%2Fwoscc%2Ffull-record%2FWOS:A1997YK80600014","View Full Record in Web of Science")</f>
        <v>View Full Record in Web of Science</v>
      </c>
    </row>
    <row r="37" ht="12.75" customHeight="1">
      <c r="A37" s="13" t="s">
        <v>1896</v>
      </c>
      <c r="B37" s="13" t="s">
        <v>2443</v>
      </c>
      <c r="C37" s="13" t="s">
        <v>1482</v>
      </c>
      <c r="D37" s="13" t="s">
        <v>1482</v>
      </c>
      <c r="E37" s="13" t="s">
        <v>1482</v>
      </c>
      <c r="F37" s="13" t="s">
        <v>2443</v>
      </c>
      <c r="G37" s="13" t="s">
        <v>1482</v>
      </c>
      <c r="H37" s="13" t="s">
        <v>1482</v>
      </c>
      <c r="I37" s="13" t="s">
        <v>2444</v>
      </c>
      <c r="J37" s="13" t="s">
        <v>1985</v>
      </c>
      <c r="K37" s="13" t="s">
        <v>1482</v>
      </c>
      <c r="L37" s="13" t="s">
        <v>1482</v>
      </c>
      <c r="M37" s="13" t="s">
        <v>1901</v>
      </c>
      <c r="N37" s="13" t="s">
        <v>1902</v>
      </c>
      <c r="O37" s="13" t="s">
        <v>1482</v>
      </c>
      <c r="P37" s="13" t="s">
        <v>1482</v>
      </c>
      <c r="Q37" s="13" t="s">
        <v>1482</v>
      </c>
      <c r="R37" s="13" t="s">
        <v>1482</v>
      </c>
      <c r="S37" s="13" t="s">
        <v>1482</v>
      </c>
      <c r="T37" s="13" t="s">
        <v>1482</v>
      </c>
      <c r="U37" s="13" t="s">
        <v>2445</v>
      </c>
      <c r="V37" s="13" t="s">
        <v>2446</v>
      </c>
      <c r="W37" s="13" t="s">
        <v>2447</v>
      </c>
      <c r="X37" s="13" t="s">
        <v>1482</v>
      </c>
      <c r="Y37" s="13" t="s">
        <v>2448</v>
      </c>
      <c r="Z37" s="13" t="s">
        <v>1482</v>
      </c>
      <c r="AA37" s="13" t="s">
        <v>1482</v>
      </c>
      <c r="AB37" s="13" t="s">
        <v>1482</v>
      </c>
      <c r="AC37" s="13" t="s">
        <v>1482</v>
      </c>
      <c r="AD37" s="13" t="s">
        <v>1482</v>
      </c>
      <c r="AE37" s="13" t="s">
        <v>1482</v>
      </c>
      <c r="AF37" s="13" t="s">
        <v>1482</v>
      </c>
      <c r="AG37" s="13">
        <v>21.0</v>
      </c>
      <c r="AH37" s="13">
        <v>120.0</v>
      </c>
      <c r="AI37" s="13">
        <v>148.0</v>
      </c>
      <c r="AJ37" s="13">
        <v>0.0</v>
      </c>
      <c r="AK37" s="13">
        <v>33.0</v>
      </c>
      <c r="AL37" s="13" t="s">
        <v>2449</v>
      </c>
      <c r="AM37" s="13" t="s">
        <v>2450</v>
      </c>
      <c r="AN37" s="13" t="s">
        <v>2451</v>
      </c>
      <c r="AO37" s="13" t="s">
        <v>2001</v>
      </c>
      <c r="AP37" s="13" t="s">
        <v>1482</v>
      </c>
      <c r="AQ37" s="13" t="s">
        <v>1482</v>
      </c>
      <c r="AR37" s="13" t="s">
        <v>2003</v>
      </c>
      <c r="AS37" s="13" t="s">
        <v>2004</v>
      </c>
      <c r="AT37" s="13" t="s">
        <v>2114</v>
      </c>
      <c r="AU37" s="13">
        <v>1999.0</v>
      </c>
      <c r="AV37" s="13">
        <v>13.0</v>
      </c>
      <c r="AW37" s="13">
        <v>2.0</v>
      </c>
      <c r="AX37" s="13" t="s">
        <v>1482</v>
      </c>
      <c r="AY37" s="13" t="s">
        <v>1482</v>
      </c>
      <c r="AZ37" s="13" t="s">
        <v>1482</v>
      </c>
      <c r="BA37" s="13" t="s">
        <v>1482</v>
      </c>
      <c r="BB37" s="13">
        <v>385.0</v>
      </c>
      <c r="BC37" s="13">
        <v>396.0</v>
      </c>
      <c r="BD37" s="13" t="s">
        <v>1482</v>
      </c>
      <c r="BE37" s="13" t="s">
        <v>1549</v>
      </c>
      <c r="BF37" s="15" t="str">
        <f>HYPERLINK("http://dx.doi.org/10.1046/j.1523-1739.1999.013002385.x","http://dx.doi.org/10.1046/j.1523-1739.1999.013002385.x")</f>
        <v>http://dx.doi.org/10.1046/j.1523-1739.1999.013002385.x</v>
      </c>
      <c r="BG37" s="13"/>
      <c r="BH37" s="13" t="s">
        <v>1482</v>
      </c>
      <c r="BI37" s="13" t="s">
        <v>1482</v>
      </c>
      <c r="BJ37" s="13">
        <v>12.0</v>
      </c>
      <c r="BK37" s="13" t="s">
        <v>1956</v>
      </c>
      <c r="BL37" s="13" t="s">
        <v>1920</v>
      </c>
      <c r="BM37" s="13" t="s">
        <v>1957</v>
      </c>
      <c r="BN37" s="13" t="s">
        <v>2452</v>
      </c>
      <c r="BO37" s="13" t="s">
        <v>1482</v>
      </c>
      <c r="BP37" s="13" t="s">
        <v>1482</v>
      </c>
      <c r="BQ37" s="13" t="s">
        <v>1482</v>
      </c>
      <c r="BR37" s="13" t="s">
        <v>1482</v>
      </c>
      <c r="BS37" s="13" t="s">
        <v>2961</v>
      </c>
      <c r="BT37" s="13" t="s">
        <v>2453</v>
      </c>
      <c r="BU37" s="13" t="str">
        <f>HYPERLINK("https%3A%2F%2Fwww.webofscience.com%2Fwos%2Fwoscc%2Ffull-record%2FWOS:000079472000022","View Full Record in Web of Science")</f>
        <v>View Full Record in Web of Science</v>
      </c>
    </row>
    <row r="38" ht="12.75" customHeight="1">
      <c r="A38" s="13" t="s">
        <v>1896</v>
      </c>
      <c r="B38" s="13" t="s">
        <v>2426</v>
      </c>
      <c r="C38" s="13" t="s">
        <v>1482</v>
      </c>
      <c r="D38" s="13" t="s">
        <v>1482</v>
      </c>
      <c r="E38" s="13" t="s">
        <v>1482</v>
      </c>
      <c r="F38" s="13" t="s">
        <v>2427</v>
      </c>
      <c r="G38" s="13" t="s">
        <v>1482</v>
      </c>
      <c r="H38" s="13" t="s">
        <v>1482</v>
      </c>
      <c r="I38" s="13" t="s">
        <v>2428</v>
      </c>
      <c r="J38" s="13" t="s">
        <v>1985</v>
      </c>
      <c r="K38" s="13" t="s">
        <v>1482</v>
      </c>
      <c r="L38" s="13" t="s">
        <v>1482</v>
      </c>
      <c r="M38" s="13" t="s">
        <v>1901</v>
      </c>
      <c r="N38" s="13" t="s">
        <v>1902</v>
      </c>
      <c r="O38" s="13" t="s">
        <v>1482</v>
      </c>
      <c r="P38" s="13" t="s">
        <v>1482</v>
      </c>
      <c r="Q38" s="13" t="s">
        <v>1482</v>
      </c>
      <c r="R38" s="13" t="s">
        <v>1482</v>
      </c>
      <c r="S38" s="13" t="s">
        <v>1482</v>
      </c>
      <c r="T38" s="13" t="s">
        <v>2429</v>
      </c>
      <c r="U38" s="13" t="s">
        <v>2430</v>
      </c>
      <c r="V38" s="13" t="s">
        <v>2431</v>
      </c>
      <c r="W38" s="13" t="s">
        <v>2432</v>
      </c>
      <c r="X38" s="13" t="s">
        <v>2433</v>
      </c>
      <c r="Y38" s="13" t="s">
        <v>2434</v>
      </c>
      <c r="Z38" s="13" t="s">
        <v>2435</v>
      </c>
      <c r="AA38" s="13" t="s">
        <v>3039</v>
      </c>
      <c r="AB38" s="13" t="s">
        <v>3040</v>
      </c>
      <c r="AC38" s="13" t="s">
        <v>1482</v>
      </c>
      <c r="AD38" s="13" t="s">
        <v>1482</v>
      </c>
      <c r="AE38" s="13" t="s">
        <v>1482</v>
      </c>
      <c r="AF38" s="13" t="s">
        <v>1482</v>
      </c>
      <c r="AG38" s="13">
        <v>59.0</v>
      </c>
      <c r="AH38" s="13">
        <v>284.0</v>
      </c>
      <c r="AI38" s="13">
        <v>340.0</v>
      </c>
      <c r="AJ38" s="13">
        <v>1.0</v>
      </c>
      <c r="AK38" s="13">
        <v>251.0</v>
      </c>
      <c r="AL38" s="13" t="s">
        <v>1998</v>
      </c>
      <c r="AM38" s="13" t="s">
        <v>1999</v>
      </c>
      <c r="AN38" s="13" t="s">
        <v>2000</v>
      </c>
      <c r="AO38" s="13" t="s">
        <v>2001</v>
      </c>
      <c r="AP38" s="13" t="s">
        <v>2002</v>
      </c>
      <c r="AQ38" s="13" t="s">
        <v>1482</v>
      </c>
      <c r="AR38" s="13" t="s">
        <v>2003</v>
      </c>
      <c r="AS38" s="13" t="s">
        <v>2004</v>
      </c>
      <c r="AT38" s="13" t="s">
        <v>2198</v>
      </c>
      <c r="AU38" s="13">
        <v>2006.0</v>
      </c>
      <c r="AV38" s="13">
        <v>20.0</v>
      </c>
      <c r="AW38" s="13">
        <v>4.0</v>
      </c>
      <c r="AX38" s="13" t="s">
        <v>1482</v>
      </c>
      <c r="AY38" s="13" t="s">
        <v>1482</v>
      </c>
      <c r="AZ38" s="13" t="s">
        <v>1482</v>
      </c>
      <c r="BA38" s="13" t="s">
        <v>1482</v>
      </c>
      <c r="BB38" s="13">
        <v>1251.0</v>
      </c>
      <c r="BC38" s="13">
        <v>1261.0</v>
      </c>
      <c r="BD38" s="13" t="s">
        <v>1482</v>
      </c>
      <c r="BE38" s="13" t="s">
        <v>1540</v>
      </c>
      <c r="BF38" s="15" t="str">
        <f>HYPERLINK("http://dx.doi.org/10.1111/j.1523-1739.2006.00420.x","http://dx.doi.org/10.1111/j.1523-1739.2006.00420.x")</f>
        <v>http://dx.doi.org/10.1111/j.1523-1739.2006.00420.x</v>
      </c>
      <c r="BG38" s="13"/>
      <c r="BH38" s="13" t="s">
        <v>1482</v>
      </c>
      <c r="BI38" s="13" t="s">
        <v>1482</v>
      </c>
      <c r="BJ38" s="13">
        <v>11.0</v>
      </c>
      <c r="BK38" s="13" t="s">
        <v>1956</v>
      </c>
      <c r="BL38" s="13" t="s">
        <v>1920</v>
      </c>
      <c r="BM38" s="13" t="s">
        <v>1957</v>
      </c>
      <c r="BN38" s="13" t="s">
        <v>2438</v>
      </c>
      <c r="BO38" s="13">
        <v>1.6922241E7</v>
      </c>
      <c r="BP38" s="13" t="s">
        <v>1482</v>
      </c>
      <c r="BQ38" s="13" t="s">
        <v>1482</v>
      </c>
      <c r="BR38" s="13" t="s">
        <v>1482</v>
      </c>
      <c r="BS38" s="13" t="s">
        <v>2961</v>
      </c>
      <c r="BT38" s="13" t="s">
        <v>2439</v>
      </c>
      <c r="BU38" s="13" t="str">
        <f>HYPERLINK("https%3A%2F%2Fwww.webofscience.com%2Fwos%2Fwoscc%2Ffull-record%2FWOS:000239545500036","View Full Record in Web of Science")</f>
        <v>View Full Record in Web of Science</v>
      </c>
    </row>
    <row r="39" ht="12.75" customHeight="1">
      <c r="A39" s="13" t="s">
        <v>1896</v>
      </c>
      <c r="B39" s="13" t="s">
        <v>2356</v>
      </c>
      <c r="C39" s="13" t="s">
        <v>1482</v>
      </c>
      <c r="D39" s="13" t="s">
        <v>1482</v>
      </c>
      <c r="E39" s="13" t="s">
        <v>1482</v>
      </c>
      <c r="F39" s="13" t="s">
        <v>2356</v>
      </c>
      <c r="G39" s="13" t="s">
        <v>1482</v>
      </c>
      <c r="H39" s="13" t="s">
        <v>1482</v>
      </c>
      <c r="I39" s="13" t="s">
        <v>2357</v>
      </c>
      <c r="J39" s="13" t="s">
        <v>2266</v>
      </c>
      <c r="K39" s="13" t="s">
        <v>1482</v>
      </c>
      <c r="L39" s="13" t="s">
        <v>1482</v>
      </c>
      <c r="M39" s="13" t="s">
        <v>1901</v>
      </c>
      <c r="N39" s="13" t="s">
        <v>1902</v>
      </c>
      <c r="O39" s="13" t="s">
        <v>1482</v>
      </c>
      <c r="P39" s="13" t="s">
        <v>1482</v>
      </c>
      <c r="Q39" s="13" t="s">
        <v>1482</v>
      </c>
      <c r="R39" s="13" t="s">
        <v>1482</v>
      </c>
      <c r="S39" s="13" t="s">
        <v>1482</v>
      </c>
      <c r="T39" s="13" t="s">
        <v>2358</v>
      </c>
      <c r="U39" s="13" t="s">
        <v>2359</v>
      </c>
      <c r="V39" s="13" t="s">
        <v>2360</v>
      </c>
      <c r="W39" s="13" t="s">
        <v>2361</v>
      </c>
      <c r="X39" s="13" t="s">
        <v>2362</v>
      </c>
      <c r="Y39" s="13" t="s">
        <v>2363</v>
      </c>
      <c r="Z39" s="13" t="s">
        <v>2364</v>
      </c>
      <c r="AA39" s="13" t="s">
        <v>3041</v>
      </c>
      <c r="AB39" s="13" t="s">
        <v>2366</v>
      </c>
      <c r="AC39" s="13" t="s">
        <v>1482</v>
      </c>
      <c r="AD39" s="13" t="s">
        <v>1482</v>
      </c>
      <c r="AE39" s="13" t="s">
        <v>1482</v>
      </c>
      <c r="AF39" s="13" t="s">
        <v>1482</v>
      </c>
      <c r="AG39" s="13">
        <v>45.0</v>
      </c>
      <c r="AH39" s="13">
        <v>75.0</v>
      </c>
      <c r="AI39" s="13">
        <v>87.0</v>
      </c>
      <c r="AJ39" s="13">
        <v>0.0</v>
      </c>
      <c r="AK39" s="13">
        <v>48.0</v>
      </c>
      <c r="AL39" s="13" t="s">
        <v>2278</v>
      </c>
      <c r="AM39" s="13" t="s">
        <v>2367</v>
      </c>
      <c r="AN39" s="13" t="s">
        <v>2368</v>
      </c>
      <c r="AO39" s="13" t="s">
        <v>2281</v>
      </c>
      <c r="AP39" s="13" t="s">
        <v>2282</v>
      </c>
      <c r="AQ39" s="13" t="s">
        <v>1482</v>
      </c>
      <c r="AR39" s="13" t="s">
        <v>2283</v>
      </c>
      <c r="AS39" s="13" t="s">
        <v>2284</v>
      </c>
      <c r="AT39" s="13" t="s">
        <v>2114</v>
      </c>
      <c r="AU39" s="13">
        <v>2006.0</v>
      </c>
      <c r="AV39" s="13">
        <v>128.0</v>
      </c>
      <c r="AW39" s="13">
        <v>4.0</v>
      </c>
      <c r="AX39" s="13" t="s">
        <v>1482</v>
      </c>
      <c r="AY39" s="13" t="s">
        <v>1482</v>
      </c>
      <c r="AZ39" s="13" t="s">
        <v>1482</v>
      </c>
      <c r="BA39" s="13" t="s">
        <v>1482</v>
      </c>
      <c r="BB39" s="13">
        <v>509.0</v>
      </c>
      <c r="BC39" s="13">
        <v>516.0</v>
      </c>
      <c r="BD39" s="13" t="s">
        <v>1482</v>
      </c>
      <c r="BE39" s="13" t="s">
        <v>1550</v>
      </c>
      <c r="BF39" s="15" t="str">
        <f>HYPERLINK("http://dx.doi.org/10.1016/j.biocon.2005.10.017","http://dx.doi.org/10.1016/j.biocon.2005.10.017")</f>
        <v>http://dx.doi.org/10.1016/j.biocon.2005.10.017</v>
      </c>
      <c r="BG39" s="13"/>
      <c r="BH39" s="13" t="s">
        <v>1482</v>
      </c>
      <c r="BI39" s="13" t="s">
        <v>1482</v>
      </c>
      <c r="BJ39" s="13">
        <v>8.0</v>
      </c>
      <c r="BK39" s="13" t="s">
        <v>1956</v>
      </c>
      <c r="BL39" s="13" t="s">
        <v>1920</v>
      </c>
      <c r="BM39" s="13" t="s">
        <v>1957</v>
      </c>
      <c r="BN39" s="13" t="s">
        <v>2369</v>
      </c>
      <c r="BO39" s="13" t="s">
        <v>1482</v>
      </c>
      <c r="BP39" s="13" t="s">
        <v>1482</v>
      </c>
      <c r="BQ39" s="13" t="s">
        <v>1482</v>
      </c>
      <c r="BR39" s="13" t="s">
        <v>1482</v>
      </c>
      <c r="BS39" s="13" t="s">
        <v>2961</v>
      </c>
      <c r="BT39" s="13" t="s">
        <v>2370</v>
      </c>
      <c r="BU39" s="13" t="str">
        <f>HYPERLINK("https%3A%2F%2Fwww.webofscience.com%2Fwos%2Fwoscc%2Ffull-record%2FWOS:000236100800009","View Full Record in Web of Science")</f>
        <v>View Full Record in Web of Science</v>
      </c>
    </row>
    <row r="40" ht="12.75" customHeight="1">
      <c r="A40" s="13" t="s">
        <v>1896</v>
      </c>
      <c r="B40" s="13" t="s">
        <v>2013</v>
      </c>
      <c r="C40" s="13" t="s">
        <v>1482</v>
      </c>
      <c r="D40" s="13" t="s">
        <v>1482</v>
      </c>
      <c r="E40" s="13" t="s">
        <v>1482</v>
      </c>
      <c r="F40" s="13" t="s">
        <v>2014</v>
      </c>
      <c r="G40" s="13" t="s">
        <v>1482</v>
      </c>
      <c r="H40" s="13" t="s">
        <v>1482</v>
      </c>
      <c r="I40" s="13" t="s">
        <v>2015</v>
      </c>
      <c r="J40" s="13" t="s">
        <v>2016</v>
      </c>
      <c r="K40" s="13" t="s">
        <v>1482</v>
      </c>
      <c r="L40" s="13" t="s">
        <v>1482</v>
      </c>
      <c r="M40" s="13" t="s">
        <v>1901</v>
      </c>
      <c r="N40" s="13" t="s">
        <v>1902</v>
      </c>
      <c r="O40" s="13" t="s">
        <v>1482</v>
      </c>
      <c r="P40" s="13" t="s">
        <v>1482</v>
      </c>
      <c r="Q40" s="13" t="s">
        <v>1482</v>
      </c>
      <c r="R40" s="13" t="s">
        <v>1482</v>
      </c>
      <c r="S40" s="13" t="s">
        <v>1482</v>
      </c>
      <c r="T40" s="13" t="s">
        <v>2017</v>
      </c>
      <c r="U40" s="13" t="s">
        <v>2018</v>
      </c>
      <c r="V40" s="13" t="s">
        <v>2019</v>
      </c>
      <c r="W40" s="13" t="s">
        <v>2020</v>
      </c>
      <c r="X40" s="13" t="s">
        <v>2021</v>
      </c>
      <c r="Y40" s="13" t="s">
        <v>2022</v>
      </c>
      <c r="Z40" s="13" t="s">
        <v>2023</v>
      </c>
      <c r="AA40" s="13" t="s">
        <v>3042</v>
      </c>
      <c r="AB40" s="13" t="s">
        <v>3043</v>
      </c>
      <c r="AC40" s="13" t="s">
        <v>2026</v>
      </c>
      <c r="AD40" s="13" t="s">
        <v>2027</v>
      </c>
      <c r="AE40" s="13" t="s">
        <v>2028</v>
      </c>
      <c r="AF40" s="13" t="s">
        <v>1482</v>
      </c>
      <c r="AG40" s="13">
        <v>74.0</v>
      </c>
      <c r="AH40" s="13">
        <v>41.0</v>
      </c>
      <c r="AI40" s="13">
        <v>45.0</v>
      </c>
      <c r="AJ40" s="13">
        <v>2.0</v>
      </c>
      <c r="AK40" s="13">
        <v>75.0</v>
      </c>
      <c r="AL40" s="13" t="s">
        <v>1998</v>
      </c>
      <c r="AM40" s="13" t="s">
        <v>1999</v>
      </c>
      <c r="AN40" s="13" t="s">
        <v>2000</v>
      </c>
      <c r="AO40" s="13" t="s">
        <v>2029</v>
      </c>
      <c r="AP40" s="13" t="s">
        <v>2030</v>
      </c>
      <c r="AQ40" s="13" t="s">
        <v>1482</v>
      </c>
      <c r="AR40" s="13" t="s">
        <v>2031</v>
      </c>
      <c r="AS40" s="13" t="s">
        <v>2032</v>
      </c>
      <c r="AT40" s="13" t="s">
        <v>2033</v>
      </c>
      <c r="AU40" s="13">
        <v>2011.0</v>
      </c>
      <c r="AV40" s="13">
        <v>14.0</v>
      </c>
      <c r="AW40" s="13">
        <v>3.0</v>
      </c>
      <c r="AX40" s="13" t="s">
        <v>1482</v>
      </c>
      <c r="AY40" s="13" t="s">
        <v>1482</v>
      </c>
      <c r="AZ40" s="13" t="s">
        <v>1482</v>
      </c>
      <c r="BA40" s="13" t="s">
        <v>1482</v>
      </c>
      <c r="BB40" s="13">
        <v>271.0</v>
      </c>
      <c r="BC40" s="13">
        <v>282.0</v>
      </c>
      <c r="BD40" s="13" t="s">
        <v>1482</v>
      </c>
      <c r="BE40" s="13" t="s">
        <v>1565</v>
      </c>
      <c r="BF40" s="15" t="str">
        <f>HYPERLINK("http://dx.doi.org/10.1111/j.1469-1795.2010.00426.x","http://dx.doi.org/10.1111/j.1469-1795.2010.00426.x")</f>
        <v>http://dx.doi.org/10.1111/j.1469-1795.2010.00426.x</v>
      </c>
      <c r="BG40" s="13"/>
      <c r="BH40" s="13" t="s">
        <v>1482</v>
      </c>
      <c r="BI40" s="13" t="s">
        <v>1482</v>
      </c>
      <c r="BJ40" s="13">
        <v>12.0</v>
      </c>
      <c r="BK40" s="13" t="s">
        <v>2034</v>
      </c>
      <c r="BL40" s="13" t="s">
        <v>2035</v>
      </c>
      <c r="BM40" s="13" t="s">
        <v>1957</v>
      </c>
      <c r="BN40" s="13" t="s">
        <v>2036</v>
      </c>
      <c r="BO40" s="13" t="s">
        <v>1482</v>
      </c>
      <c r="BP40" s="13" t="s">
        <v>2037</v>
      </c>
      <c r="BQ40" s="13" t="s">
        <v>1482</v>
      </c>
      <c r="BR40" s="13" t="s">
        <v>1482</v>
      </c>
      <c r="BS40" s="13" t="s">
        <v>2961</v>
      </c>
      <c r="BT40" s="13" t="s">
        <v>2038</v>
      </c>
      <c r="BU40" s="13" t="str">
        <f>HYPERLINK("https%3A%2F%2Fwww.webofscience.com%2Fwos%2Fwoscc%2Ffull-record%2FWOS:000291040800011","View Full Record in Web of Science")</f>
        <v>View Full Record in Web of Science</v>
      </c>
    </row>
    <row r="41" ht="12.75" customHeight="1">
      <c r="A41" s="13" t="s">
        <v>1896</v>
      </c>
      <c r="B41" s="13" t="s">
        <v>2711</v>
      </c>
      <c r="C41" s="13" t="s">
        <v>1482</v>
      </c>
      <c r="D41" s="13" t="s">
        <v>1482</v>
      </c>
      <c r="E41" s="13" t="s">
        <v>1482</v>
      </c>
      <c r="F41" s="13" t="s">
        <v>2712</v>
      </c>
      <c r="G41" s="13" t="s">
        <v>1482</v>
      </c>
      <c r="H41" s="13" t="s">
        <v>1482</v>
      </c>
      <c r="I41" s="13" t="s">
        <v>2713</v>
      </c>
      <c r="J41" s="13" t="s">
        <v>2714</v>
      </c>
      <c r="K41" s="13" t="s">
        <v>1482</v>
      </c>
      <c r="L41" s="13" t="s">
        <v>1482</v>
      </c>
      <c r="M41" s="13" t="s">
        <v>1901</v>
      </c>
      <c r="N41" s="13" t="s">
        <v>1902</v>
      </c>
      <c r="O41" s="13" t="s">
        <v>1482</v>
      </c>
      <c r="P41" s="13" t="s">
        <v>1482</v>
      </c>
      <c r="Q41" s="13" t="s">
        <v>1482</v>
      </c>
      <c r="R41" s="13" t="s">
        <v>1482</v>
      </c>
      <c r="S41" s="13" t="s">
        <v>1482</v>
      </c>
      <c r="T41" s="13" t="s">
        <v>2715</v>
      </c>
      <c r="U41" s="13" t="s">
        <v>2716</v>
      </c>
      <c r="V41" s="13" t="s">
        <v>2717</v>
      </c>
      <c r="W41" s="13" t="s">
        <v>2718</v>
      </c>
      <c r="X41" s="13" t="s">
        <v>2719</v>
      </c>
      <c r="Y41" s="13" t="s">
        <v>2720</v>
      </c>
      <c r="Z41" s="13" t="s">
        <v>2721</v>
      </c>
      <c r="AA41" s="13" t="s">
        <v>2722</v>
      </c>
      <c r="AB41" s="13" t="s">
        <v>3044</v>
      </c>
      <c r="AC41" s="13" t="s">
        <v>2724</v>
      </c>
      <c r="AD41" s="13" t="s">
        <v>2725</v>
      </c>
      <c r="AE41" s="13" t="s">
        <v>2726</v>
      </c>
      <c r="AF41" s="13" t="s">
        <v>1482</v>
      </c>
      <c r="AG41" s="13">
        <v>54.0</v>
      </c>
      <c r="AH41" s="13">
        <v>112.0</v>
      </c>
      <c r="AI41" s="13">
        <v>127.0</v>
      </c>
      <c r="AJ41" s="13">
        <v>7.0</v>
      </c>
      <c r="AK41" s="13">
        <v>128.0</v>
      </c>
      <c r="AL41" s="13" t="s">
        <v>2542</v>
      </c>
      <c r="AM41" s="13" t="s">
        <v>1999</v>
      </c>
      <c r="AN41" s="13" t="s">
        <v>2000</v>
      </c>
      <c r="AO41" s="13" t="s">
        <v>2727</v>
      </c>
      <c r="AP41" s="13" t="s">
        <v>2728</v>
      </c>
      <c r="AQ41" s="13" t="s">
        <v>1482</v>
      </c>
      <c r="AR41" s="13" t="s">
        <v>2729</v>
      </c>
      <c r="AS41" s="13" t="s">
        <v>2730</v>
      </c>
      <c r="AT41" s="13" t="s">
        <v>2568</v>
      </c>
      <c r="AU41" s="13">
        <v>2011.0</v>
      </c>
      <c r="AV41" s="13">
        <v>285.0</v>
      </c>
      <c r="AW41" s="13">
        <v>1.0</v>
      </c>
      <c r="AX41" s="13" t="s">
        <v>1482</v>
      </c>
      <c r="AY41" s="13" t="s">
        <v>1482</v>
      </c>
      <c r="AZ41" s="13" t="s">
        <v>1482</v>
      </c>
      <c r="BA41" s="13" t="s">
        <v>1482</v>
      </c>
      <c r="BB41" s="13">
        <v>11.0</v>
      </c>
      <c r="BC41" s="13">
        <v>20.0</v>
      </c>
      <c r="BD41" s="13" t="s">
        <v>1482</v>
      </c>
      <c r="BE41" s="13" t="s">
        <v>1594</v>
      </c>
      <c r="BF41" s="15" t="str">
        <f>HYPERLINK("http://dx.doi.org/10.1111/j.1469-7998.2011.00826.x","http://dx.doi.org/10.1111/j.1469-7998.2011.00826.x")</f>
        <v>http://dx.doi.org/10.1111/j.1469-7998.2011.00826.x</v>
      </c>
      <c r="BG41" s="13"/>
      <c r="BH41" s="13" t="s">
        <v>1482</v>
      </c>
      <c r="BI41" s="13" t="s">
        <v>1482</v>
      </c>
      <c r="BJ41" s="13">
        <v>10.0</v>
      </c>
      <c r="BK41" s="13" t="s">
        <v>1919</v>
      </c>
      <c r="BL41" s="13" t="s">
        <v>1920</v>
      </c>
      <c r="BM41" s="13" t="s">
        <v>1919</v>
      </c>
      <c r="BN41" s="13" t="s">
        <v>2731</v>
      </c>
      <c r="BO41" s="13" t="s">
        <v>1482</v>
      </c>
      <c r="BP41" s="13" t="s">
        <v>1482</v>
      </c>
      <c r="BQ41" s="13" t="s">
        <v>1482</v>
      </c>
      <c r="BR41" s="13" t="s">
        <v>1482</v>
      </c>
      <c r="BS41" s="13" t="s">
        <v>2961</v>
      </c>
      <c r="BT41" s="13" t="s">
        <v>2732</v>
      </c>
      <c r="BU41" s="13" t="str">
        <f>HYPERLINK("https%3A%2F%2Fwww.webofscience.com%2Fwos%2Fwoscc%2Ffull-record%2FWOS:000294170500002","View Full Record in Web of Science")</f>
        <v>View Full Record in Web of Science</v>
      </c>
    </row>
    <row r="42" ht="12.75" customHeight="1">
      <c r="A42" s="13" t="s">
        <v>1896</v>
      </c>
      <c r="B42" s="13" t="s">
        <v>2762</v>
      </c>
      <c r="C42" s="13" t="s">
        <v>1482</v>
      </c>
      <c r="D42" s="13" t="s">
        <v>1482</v>
      </c>
      <c r="E42" s="13" t="s">
        <v>1482</v>
      </c>
      <c r="F42" s="13" t="s">
        <v>2763</v>
      </c>
      <c r="G42" s="13" t="s">
        <v>1482</v>
      </c>
      <c r="H42" s="13" t="s">
        <v>1482</v>
      </c>
      <c r="I42" s="13" t="s">
        <v>2764</v>
      </c>
      <c r="J42" s="13" t="s">
        <v>1937</v>
      </c>
      <c r="K42" s="13" t="s">
        <v>1482</v>
      </c>
      <c r="L42" s="13" t="s">
        <v>1482</v>
      </c>
      <c r="M42" s="13" t="s">
        <v>1901</v>
      </c>
      <c r="N42" s="13" t="s">
        <v>1902</v>
      </c>
      <c r="O42" s="13" t="s">
        <v>1482</v>
      </c>
      <c r="P42" s="13" t="s">
        <v>1482</v>
      </c>
      <c r="Q42" s="13" t="s">
        <v>1482</v>
      </c>
      <c r="R42" s="13" t="s">
        <v>1482</v>
      </c>
      <c r="S42" s="13" t="s">
        <v>1482</v>
      </c>
      <c r="T42" s="13" t="s">
        <v>2765</v>
      </c>
      <c r="U42" s="13" t="s">
        <v>2766</v>
      </c>
      <c r="V42" s="13" t="s">
        <v>2767</v>
      </c>
      <c r="W42" s="13" t="s">
        <v>2768</v>
      </c>
      <c r="X42" s="13" t="s">
        <v>2769</v>
      </c>
      <c r="Y42" s="13" t="s">
        <v>2770</v>
      </c>
      <c r="Z42" s="13" t="s">
        <v>2771</v>
      </c>
      <c r="AA42" s="13" t="s">
        <v>2772</v>
      </c>
      <c r="AB42" s="13" t="s">
        <v>2773</v>
      </c>
      <c r="AC42" s="13" t="s">
        <v>1482</v>
      </c>
      <c r="AD42" s="13" t="s">
        <v>1482</v>
      </c>
      <c r="AE42" s="13" t="s">
        <v>1482</v>
      </c>
      <c r="AF42" s="13" t="s">
        <v>1482</v>
      </c>
      <c r="AG42" s="13">
        <v>14.0</v>
      </c>
      <c r="AH42" s="13">
        <v>31.0</v>
      </c>
      <c r="AI42" s="13">
        <v>34.0</v>
      </c>
      <c r="AJ42" s="13">
        <v>0.0</v>
      </c>
      <c r="AK42" s="13">
        <v>35.0</v>
      </c>
      <c r="AL42" s="13" t="s">
        <v>1948</v>
      </c>
      <c r="AM42" s="13" t="s">
        <v>1949</v>
      </c>
      <c r="AN42" s="13" t="s">
        <v>1950</v>
      </c>
      <c r="AO42" s="13" t="s">
        <v>1951</v>
      </c>
      <c r="AP42" s="13" t="s">
        <v>1482</v>
      </c>
      <c r="AQ42" s="13" t="s">
        <v>1482</v>
      </c>
      <c r="AR42" s="13" t="s">
        <v>1953</v>
      </c>
      <c r="AS42" s="13" t="s">
        <v>1954</v>
      </c>
      <c r="AT42" s="13" t="s">
        <v>1955</v>
      </c>
      <c r="AU42" s="13">
        <v>2008.0</v>
      </c>
      <c r="AV42" s="13">
        <v>17.0</v>
      </c>
      <c r="AW42" s="13">
        <v>5.0</v>
      </c>
      <c r="AX42" s="13" t="s">
        <v>1482</v>
      </c>
      <c r="AY42" s="13" t="s">
        <v>1482</v>
      </c>
      <c r="AZ42" s="13" t="s">
        <v>1482</v>
      </c>
      <c r="BA42" s="13" t="s">
        <v>1482</v>
      </c>
      <c r="BB42" s="13">
        <v>1241.0</v>
      </c>
      <c r="BC42" s="13">
        <v>1249.0</v>
      </c>
      <c r="BD42" s="13" t="s">
        <v>1482</v>
      </c>
      <c r="BE42" s="13" t="s">
        <v>1566</v>
      </c>
      <c r="BF42" s="15" t="str">
        <f>HYPERLINK("http://dx.doi.org/10.1007/s10531-007-9300-5","http://dx.doi.org/10.1007/s10531-007-9300-5")</f>
        <v>http://dx.doi.org/10.1007/s10531-007-9300-5</v>
      </c>
      <c r="BG42" s="13"/>
      <c r="BH42" s="13" t="s">
        <v>1482</v>
      </c>
      <c r="BI42" s="13" t="s">
        <v>1482</v>
      </c>
      <c r="BJ42" s="13">
        <v>9.0</v>
      </c>
      <c r="BK42" s="13" t="s">
        <v>1956</v>
      </c>
      <c r="BL42" s="13" t="s">
        <v>1920</v>
      </c>
      <c r="BM42" s="13" t="s">
        <v>1957</v>
      </c>
      <c r="BN42" s="13" t="s">
        <v>2774</v>
      </c>
      <c r="BO42" s="13" t="s">
        <v>1482</v>
      </c>
      <c r="BP42" s="13" t="s">
        <v>1482</v>
      </c>
      <c r="BQ42" s="13" t="s">
        <v>1482</v>
      </c>
      <c r="BR42" s="13" t="s">
        <v>1482</v>
      </c>
      <c r="BS42" s="13" t="s">
        <v>2961</v>
      </c>
      <c r="BT42" s="13" t="s">
        <v>2775</v>
      </c>
      <c r="BU42" s="13" t="str">
        <f>HYPERLINK("https%3A%2F%2Fwww.webofscience.com%2Fwos%2Fwoscc%2Ffull-record%2FWOS:000255998100017","View Full Record in Web of Science")</f>
        <v>View Full Record in Web of Science</v>
      </c>
    </row>
    <row r="43" ht="12.75" customHeight="1">
      <c r="A43" s="13" t="s">
        <v>1896</v>
      </c>
      <c r="B43" s="13" t="s">
        <v>3045</v>
      </c>
      <c r="C43" s="13" t="s">
        <v>1482</v>
      </c>
      <c r="D43" s="13" t="s">
        <v>1482</v>
      </c>
      <c r="E43" s="13" t="s">
        <v>1482</v>
      </c>
      <c r="F43" s="13" t="s">
        <v>3045</v>
      </c>
      <c r="G43" s="13" t="s">
        <v>1482</v>
      </c>
      <c r="H43" s="13" t="s">
        <v>1482</v>
      </c>
      <c r="I43" s="13" t="s">
        <v>3046</v>
      </c>
      <c r="J43" s="13" t="s">
        <v>2691</v>
      </c>
      <c r="K43" s="13" t="s">
        <v>1482</v>
      </c>
      <c r="L43" s="13" t="s">
        <v>1482</v>
      </c>
      <c r="M43" s="13" t="s">
        <v>1901</v>
      </c>
      <c r="N43" s="13" t="s">
        <v>1902</v>
      </c>
      <c r="O43" s="13" t="s">
        <v>1482</v>
      </c>
      <c r="P43" s="13" t="s">
        <v>1482</v>
      </c>
      <c r="Q43" s="13" t="s">
        <v>1482</v>
      </c>
      <c r="R43" s="13" t="s">
        <v>1482</v>
      </c>
      <c r="S43" s="13" t="s">
        <v>1482</v>
      </c>
      <c r="T43" s="13" t="s">
        <v>3047</v>
      </c>
      <c r="U43" s="13" t="s">
        <v>3048</v>
      </c>
      <c r="V43" s="13" t="s">
        <v>3049</v>
      </c>
      <c r="W43" s="13" t="s">
        <v>1482</v>
      </c>
      <c r="X43" s="13" t="s">
        <v>1482</v>
      </c>
      <c r="Y43" s="13" t="s">
        <v>1482</v>
      </c>
      <c r="Z43" s="13" t="s">
        <v>1482</v>
      </c>
      <c r="AA43" s="13" t="s">
        <v>1482</v>
      </c>
      <c r="AB43" s="13" t="s">
        <v>1482</v>
      </c>
      <c r="AC43" s="13" t="s">
        <v>1482</v>
      </c>
      <c r="AD43" s="13" t="s">
        <v>1482</v>
      </c>
      <c r="AE43" s="13" t="s">
        <v>1482</v>
      </c>
      <c r="AF43" s="13" t="s">
        <v>1482</v>
      </c>
      <c r="AG43" s="13">
        <v>21.0</v>
      </c>
      <c r="AH43" s="13">
        <v>118.0</v>
      </c>
      <c r="AI43" s="13">
        <v>140.0</v>
      </c>
      <c r="AJ43" s="13">
        <v>0.0</v>
      </c>
      <c r="AK43" s="13">
        <v>28.0</v>
      </c>
      <c r="AL43" s="13" t="s">
        <v>1998</v>
      </c>
      <c r="AM43" s="13" t="s">
        <v>1999</v>
      </c>
      <c r="AN43" s="13" t="s">
        <v>2000</v>
      </c>
      <c r="AO43" s="13" t="s">
        <v>2702</v>
      </c>
      <c r="AP43" s="13" t="s">
        <v>2703</v>
      </c>
      <c r="AQ43" s="13" t="s">
        <v>1482</v>
      </c>
      <c r="AR43" s="13" t="s">
        <v>2704</v>
      </c>
      <c r="AS43" s="13" t="s">
        <v>2705</v>
      </c>
      <c r="AT43" s="13" t="s">
        <v>2177</v>
      </c>
      <c r="AU43" s="13">
        <v>1991.0</v>
      </c>
      <c r="AV43" s="13">
        <v>29.0</v>
      </c>
      <c r="AW43" s="13">
        <v>1.0</v>
      </c>
      <c r="AX43" s="13" t="s">
        <v>1482</v>
      </c>
      <c r="AY43" s="13" t="s">
        <v>1482</v>
      </c>
      <c r="AZ43" s="13" t="s">
        <v>1482</v>
      </c>
      <c r="BA43" s="13" t="s">
        <v>1482</v>
      </c>
      <c r="BB43" s="13">
        <v>54.0</v>
      </c>
      <c r="BC43" s="13">
        <v>63.0</v>
      </c>
      <c r="BD43" s="13" t="s">
        <v>1482</v>
      </c>
      <c r="BE43" s="13" t="s">
        <v>1513</v>
      </c>
      <c r="BF43" s="15" t="str">
        <f>HYPERLINK("http://dx.doi.org/10.1111/j.1365-2028.1991.tb00820.x","http://dx.doi.org/10.1111/j.1365-2028.1991.tb00820.x")</f>
        <v>http://dx.doi.org/10.1111/j.1365-2028.1991.tb00820.x</v>
      </c>
      <c r="BG43" s="13"/>
      <c r="BH43" s="13" t="s">
        <v>1482</v>
      </c>
      <c r="BI43" s="13" t="s">
        <v>1482</v>
      </c>
      <c r="BJ43" s="13">
        <v>10.0</v>
      </c>
      <c r="BK43" s="13" t="s">
        <v>2154</v>
      </c>
      <c r="BL43" s="13" t="s">
        <v>1920</v>
      </c>
      <c r="BM43" s="13" t="s">
        <v>2156</v>
      </c>
      <c r="BN43" s="13" t="s">
        <v>3050</v>
      </c>
      <c r="BO43" s="13" t="s">
        <v>1482</v>
      </c>
      <c r="BP43" s="13" t="s">
        <v>1482</v>
      </c>
      <c r="BQ43" s="13" t="s">
        <v>1482</v>
      </c>
      <c r="BR43" s="13" t="s">
        <v>1482</v>
      </c>
      <c r="BS43" s="13" t="s">
        <v>2961</v>
      </c>
      <c r="BT43" s="13" t="s">
        <v>3051</v>
      </c>
      <c r="BU43" s="13" t="str">
        <f>HYPERLINK("https%3A%2F%2Fwww.webofscience.com%2Fwos%2Fwoscc%2Ffull-record%2FWOS:A1991FW49800007","View Full Record in Web of Science")</f>
        <v>View Full Record in Web of Science</v>
      </c>
    </row>
    <row r="44" ht="12.75" customHeight="1">
      <c r="A44" s="13" t="s">
        <v>1896</v>
      </c>
      <c r="B44" s="13" t="s">
        <v>2615</v>
      </c>
      <c r="C44" s="13" t="s">
        <v>1482</v>
      </c>
      <c r="D44" s="13" t="s">
        <v>1482</v>
      </c>
      <c r="E44" s="13" t="s">
        <v>1482</v>
      </c>
      <c r="F44" s="13" t="s">
        <v>2616</v>
      </c>
      <c r="G44" s="13" t="s">
        <v>1482</v>
      </c>
      <c r="H44" s="13" t="s">
        <v>1482</v>
      </c>
      <c r="I44" s="13" t="s">
        <v>2617</v>
      </c>
      <c r="J44" s="13" t="s">
        <v>2618</v>
      </c>
      <c r="K44" s="13" t="s">
        <v>1482</v>
      </c>
      <c r="L44" s="13" t="s">
        <v>1482</v>
      </c>
      <c r="M44" s="13" t="s">
        <v>1901</v>
      </c>
      <c r="N44" s="13" t="s">
        <v>1902</v>
      </c>
      <c r="O44" s="13" t="s">
        <v>1482</v>
      </c>
      <c r="P44" s="13" t="s">
        <v>1482</v>
      </c>
      <c r="Q44" s="13" t="s">
        <v>1482</v>
      </c>
      <c r="R44" s="13" t="s">
        <v>1482</v>
      </c>
      <c r="S44" s="13" t="s">
        <v>1482</v>
      </c>
      <c r="T44" s="13" t="s">
        <v>1482</v>
      </c>
      <c r="U44" s="13" t="s">
        <v>2619</v>
      </c>
      <c r="V44" s="13" t="s">
        <v>2620</v>
      </c>
      <c r="W44" s="13" t="s">
        <v>2621</v>
      </c>
      <c r="X44" s="13" t="s">
        <v>2622</v>
      </c>
      <c r="Y44" s="13" t="s">
        <v>2623</v>
      </c>
      <c r="Z44" s="13" t="s">
        <v>2624</v>
      </c>
      <c r="AA44" s="13" t="s">
        <v>2625</v>
      </c>
      <c r="AB44" s="13" t="s">
        <v>1482</v>
      </c>
      <c r="AC44" s="13" t="s">
        <v>2626</v>
      </c>
      <c r="AD44" s="13" t="s">
        <v>2627</v>
      </c>
      <c r="AE44" s="13" t="s">
        <v>2628</v>
      </c>
      <c r="AF44" s="13" t="s">
        <v>1482</v>
      </c>
      <c r="AG44" s="13">
        <v>86.0</v>
      </c>
      <c r="AH44" s="13">
        <v>131.0</v>
      </c>
      <c r="AI44" s="13">
        <v>148.0</v>
      </c>
      <c r="AJ44" s="13">
        <v>2.0</v>
      </c>
      <c r="AK44" s="13">
        <v>102.0</v>
      </c>
      <c r="AL44" s="13" t="s">
        <v>2629</v>
      </c>
      <c r="AM44" s="13" t="s">
        <v>2630</v>
      </c>
      <c r="AN44" s="13" t="s">
        <v>2631</v>
      </c>
      <c r="AO44" s="13" t="s">
        <v>2632</v>
      </c>
      <c r="AP44" s="13" t="s">
        <v>1482</v>
      </c>
      <c r="AQ44" s="13" t="s">
        <v>1482</v>
      </c>
      <c r="AR44" s="13" t="s">
        <v>2618</v>
      </c>
      <c r="AS44" s="13" t="s">
        <v>2633</v>
      </c>
      <c r="AT44" s="13" t="s">
        <v>2634</v>
      </c>
      <c r="AU44" s="13">
        <v>2010.0</v>
      </c>
      <c r="AV44" s="13">
        <v>5.0</v>
      </c>
      <c r="AW44" s="13">
        <v>4.0</v>
      </c>
      <c r="AX44" s="13" t="s">
        <v>1482</v>
      </c>
      <c r="AY44" s="13" t="s">
        <v>1482</v>
      </c>
      <c r="AZ44" s="13" t="s">
        <v>1482</v>
      </c>
      <c r="BA44" s="13" t="s">
        <v>1482</v>
      </c>
      <c r="BB44" s="13" t="s">
        <v>1482</v>
      </c>
      <c r="BC44" s="13" t="s">
        <v>1482</v>
      </c>
      <c r="BD44" s="13" t="s">
        <v>2635</v>
      </c>
      <c r="BE44" s="13" t="s">
        <v>1509</v>
      </c>
      <c r="BF44" s="15" t="str">
        <f>HYPERLINK("http://dx.doi.org/10.1371/journal.pone.0010294","http://dx.doi.org/10.1371/journal.pone.0010294")</f>
        <v>http://dx.doi.org/10.1371/journal.pone.0010294</v>
      </c>
      <c r="BG44" s="13"/>
      <c r="BH44" s="13" t="s">
        <v>1482</v>
      </c>
      <c r="BI44" s="13" t="s">
        <v>1482</v>
      </c>
      <c r="BJ44" s="13">
        <v>18.0</v>
      </c>
      <c r="BK44" s="13" t="s">
        <v>2636</v>
      </c>
      <c r="BL44" s="13" t="s">
        <v>1920</v>
      </c>
      <c r="BM44" s="13" t="s">
        <v>2637</v>
      </c>
      <c r="BN44" s="13" t="s">
        <v>2638</v>
      </c>
      <c r="BO44" s="13">
        <v>2.0428233E7</v>
      </c>
      <c r="BP44" s="13" t="s">
        <v>2639</v>
      </c>
      <c r="BQ44" s="13" t="s">
        <v>1482</v>
      </c>
      <c r="BR44" s="13" t="s">
        <v>1482</v>
      </c>
      <c r="BS44" s="13" t="s">
        <v>2961</v>
      </c>
      <c r="BT44" s="13" t="s">
        <v>2640</v>
      </c>
      <c r="BU44" s="13" t="str">
        <f>HYPERLINK("https%3A%2F%2Fwww.webofscience.com%2Fwos%2Fwoscc%2Ffull-record%2FWOS:000277079300006","View Full Record in Web of Science")</f>
        <v>View Full Record in Web of Science</v>
      </c>
    </row>
    <row r="45" ht="12.75" customHeight="1">
      <c r="A45" s="13" t="s">
        <v>1896</v>
      </c>
      <c r="B45" s="13" t="s">
        <v>2521</v>
      </c>
      <c r="C45" s="13" t="s">
        <v>1482</v>
      </c>
      <c r="D45" s="13" t="s">
        <v>1482</v>
      </c>
      <c r="E45" s="13" t="s">
        <v>1482</v>
      </c>
      <c r="F45" s="13" t="s">
        <v>2521</v>
      </c>
      <c r="G45" s="13" t="s">
        <v>1482</v>
      </c>
      <c r="H45" s="13" t="s">
        <v>1482</v>
      </c>
      <c r="I45" s="13" t="s">
        <v>2522</v>
      </c>
      <c r="J45" s="13" t="s">
        <v>1985</v>
      </c>
      <c r="K45" s="13" t="s">
        <v>1482</v>
      </c>
      <c r="L45" s="13" t="s">
        <v>1482</v>
      </c>
      <c r="M45" s="13" t="s">
        <v>1901</v>
      </c>
      <c r="N45" s="13" t="s">
        <v>1902</v>
      </c>
      <c r="O45" s="13" t="s">
        <v>1482</v>
      </c>
      <c r="P45" s="13" t="s">
        <v>1482</v>
      </c>
      <c r="Q45" s="13" t="s">
        <v>1482</v>
      </c>
      <c r="R45" s="13" t="s">
        <v>1482</v>
      </c>
      <c r="S45" s="13" t="s">
        <v>1482</v>
      </c>
      <c r="T45" s="13" t="s">
        <v>1482</v>
      </c>
      <c r="U45" s="13" t="s">
        <v>2523</v>
      </c>
      <c r="V45" s="13" t="s">
        <v>2524</v>
      </c>
      <c r="W45" s="13" t="s">
        <v>2525</v>
      </c>
      <c r="X45" s="13" t="s">
        <v>2526</v>
      </c>
      <c r="Y45" s="13" t="s">
        <v>1482</v>
      </c>
      <c r="Z45" s="13" t="s">
        <v>2527</v>
      </c>
      <c r="AA45" s="13" t="s">
        <v>1482</v>
      </c>
      <c r="AB45" s="13" t="s">
        <v>2528</v>
      </c>
      <c r="AC45" s="13" t="s">
        <v>1482</v>
      </c>
      <c r="AD45" s="13" t="s">
        <v>1482</v>
      </c>
      <c r="AE45" s="13" t="s">
        <v>1482</v>
      </c>
      <c r="AF45" s="13" t="s">
        <v>1482</v>
      </c>
      <c r="AG45" s="13">
        <v>53.0</v>
      </c>
      <c r="AH45" s="13">
        <v>100.0</v>
      </c>
      <c r="AI45" s="13">
        <v>118.0</v>
      </c>
      <c r="AJ45" s="13">
        <v>1.0</v>
      </c>
      <c r="AK45" s="13">
        <v>74.0</v>
      </c>
      <c r="AL45" s="13" t="s">
        <v>1998</v>
      </c>
      <c r="AM45" s="13" t="s">
        <v>1999</v>
      </c>
      <c r="AN45" s="13" t="s">
        <v>2000</v>
      </c>
      <c r="AO45" s="13" t="s">
        <v>2001</v>
      </c>
      <c r="AP45" s="13" t="s">
        <v>2002</v>
      </c>
      <c r="AQ45" s="13" t="s">
        <v>1482</v>
      </c>
      <c r="AR45" s="13" t="s">
        <v>2003</v>
      </c>
      <c r="AS45" s="13" t="s">
        <v>2004</v>
      </c>
      <c r="AT45" s="13" t="s">
        <v>2400</v>
      </c>
      <c r="AU45" s="13">
        <v>2000.0</v>
      </c>
      <c r="AV45" s="13">
        <v>14.0</v>
      </c>
      <c r="AW45" s="13">
        <v>6.0</v>
      </c>
      <c r="AX45" s="13" t="s">
        <v>1482</v>
      </c>
      <c r="AY45" s="13" t="s">
        <v>1482</v>
      </c>
      <c r="AZ45" s="13" t="s">
        <v>1482</v>
      </c>
      <c r="BA45" s="13" t="s">
        <v>1482</v>
      </c>
      <c r="BB45" s="13">
        <v>1580.0</v>
      </c>
      <c r="BC45" s="13">
        <v>1591.0</v>
      </c>
      <c r="BD45" s="13" t="s">
        <v>1482</v>
      </c>
      <c r="BE45" s="13" t="s">
        <v>1518</v>
      </c>
      <c r="BF45" s="15" t="str">
        <f>HYPERLINK("http://dx.doi.org/10.1046/j.1523-1739.2000.99103.x","http://dx.doi.org/10.1046/j.1523-1739.2000.99103.x")</f>
        <v>http://dx.doi.org/10.1046/j.1523-1739.2000.99103.x</v>
      </c>
      <c r="BG45" s="13"/>
      <c r="BH45" s="13" t="s">
        <v>1482</v>
      </c>
      <c r="BI45" s="13" t="s">
        <v>1482</v>
      </c>
      <c r="BJ45" s="13">
        <v>12.0</v>
      </c>
      <c r="BK45" s="13" t="s">
        <v>1956</v>
      </c>
      <c r="BL45" s="13" t="s">
        <v>1920</v>
      </c>
      <c r="BM45" s="13" t="s">
        <v>1957</v>
      </c>
      <c r="BN45" s="13" t="s">
        <v>2529</v>
      </c>
      <c r="BO45" s="13" t="s">
        <v>1482</v>
      </c>
      <c r="BP45" s="13" t="s">
        <v>1482</v>
      </c>
      <c r="BQ45" s="13" t="s">
        <v>1482</v>
      </c>
      <c r="BR45" s="13" t="s">
        <v>1482</v>
      </c>
      <c r="BS45" s="13" t="s">
        <v>2961</v>
      </c>
      <c r="BT45" s="13" t="s">
        <v>2530</v>
      </c>
      <c r="BU45" s="13" t="str">
        <f>HYPERLINK("https%3A%2F%2Fwww.webofscience.com%2Fwos%2Fwoscc%2Ffull-record%2FWOS:000166035800007","View Full Record in Web of Science")</f>
        <v>View Full Record in Web of Science</v>
      </c>
    </row>
    <row r="46" ht="12.75" customHeight="1">
      <c r="A46" s="13" t="s">
        <v>1896</v>
      </c>
      <c r="B46" s="13" t="s">
        <v>2317</v>
      </c>
      <c r="C46" s="13" t="s">
        <v>1482</v>
      </c>
      <c r="D46" s="13" t="s">
        <v>1482</v>
      </c>
      <c r="E46" s="13" t="s">
        <v>1482</v>
      </c>
      <c r="F46" s="13" t="s">
        <v>2317</v>
      </c>
      <c r="G46" s="13" t="s">
        <v>1482</v>
      </c>
      <c r="H46" s="13" t="s">
        <v>1482</v>
      </c>
      <c r="I46" s="13" t="s">
        <v>2318</v>
      </c>
      <c r="J46" s="13" t="s">
        <v>2209</v>
      </c>
      <c r="K46" s="13" t="s">
        <v>1482</v>
      </c>
      <c r="L46" s="13" t="s">
        <v>1482</v>
      </c>
      <c r="M46" s="13" t="s">
        <v>1901</v>
      </c>
      <c r="N46" s="13" t="s">
        <v>1902</v>
      </c>
      <c r="O46" s="13" t="s">
        <v>1482</v>
      </c>
      <c r="P46" s="13" t="s">
        <v>1482</v>
      </c>
      <c r="Q46" s="13" t="s">
        <v>1482</v>
      </c>
      <c r="R46" s="13" t="s">
        <v>1482</v>
      </c>
      <c r="S46" s="13" t="s">
        <v>1482</v>
      </c>
      <c r="T46" s="13" t="s">
        <v>2319</v>
      </c>
      <c r="U46" s="13" t="s">
        <v>2320</v>
      </c>
      <c r="V46" s="13" t="s">
        <v>2321</v>
      </c>
      <c r="W46" s="13" t="s">
        <v>2322</v>
      </c>
      <c r="X46" s="13" t="s">
        <v>2323</v>
      </c>
      <c r="Y46" s="13" t="s">
        <v>2324</v>
      </c>
      <c r="Z46" s="13" t="s">
        <v>2325</v>
      </c>
      <c r="AA46" s="13" t="s">
        <v>2326</v>
      </c>
      <c r="AB46" s="13" t="s">
        <v>2327</v>
      </c>
      <c r="AC46" s="13" t="s">
        <v>1482</v>
      </c>
      <c r="AD46" s="13" t="s">
        <v>1482</v>
      </c>
      <c r="AE46" s="13" t="s">
        <v>1482</v>
      </c>
      <c r="AF46" s="13" t="s">
        <v>1482</v>
      </c>
      <c r="AG46" s="13">
        <v>62.0</v>
      </c>
      <c r="AH46" s="13">
        <v>41.0</v>
      </c>
      <c r="AI46" s="13">
        <v>50.0</v>
      </c>
      <c r="AJ46" s="13">
        <v>1.0</v>
      </c>
      <c r="AK46" s="13">
        <v>13.0</v>
      </c>
      <c r="AL46" s="13" t="s">
        <v>1948</v>
      </c>
      <c r="AM46" s="13" t="s">
        <v>2225</v>
      </c>
      <c r="AN46" s="13" t="s">
        <v>2226</v>
      </c>
      <c r="AO46" s="13" t="s">
        <v>2227</v>
      </c>
      <c r="AP46" s="13" t="s">
        <v>2228</v>
      </c>
      <c r="AQ46" s="13" t="s">
        <v>1482</v>
      </c>
      <c r="AR46" s="13" t="s">
        <v>2229</v>
      </c>
      <c r="AS46" s="13" t="s">
        <v>2230</v>
      </c>
      <c r="AT46" s="13" t="s">
        <v>2285</v>
      </c>
      <c r="AU46" s="13">
        <v>2005.0</v>
      </c>
      <c r="AV46" s="13">
        <v>26.0</v>
      </c>
      <c r="AW46" s="13">
        <v>1.0</v>
      </c>
      <c r="AX46" s="13" t="s">
        <v>1482</v>
      </c>
      <c r="AY46" s="13" t="s">
        <v>1482</v>
      </c>
      <c r="AZ46" s="13" t="s">
        <v>1482</v>
      </c>
      <c r="BA46" s="13" t="s">
        <v>1482</v>
      </c>
      <c r="BB46" s="13">
        <v>127.0</v>
      </c>
      <c r="BC46" s="13">
        <v>145.0</v>
      </c>
      <c r="BD46" s="13" t="s">
        <v>1482</v>
      </c>
      <c r="BE46" s="13" t="s">
        <v>1545</v>
      </c>
      <c r="BF46" s="15" t="str">
        <f>HYPERLINK("http://dx.doi.org/10.1007/s10764-005-0011-z","http://dx.doi.org/10.1007/s10764-005-0011-z")</f>
        <v>http://dx.doi.org/10.1007/s10764-005-0011-z</v>
      </c>
      <c r="BG46" s="13"/>
      <c r="BH46" s="13" t="s">
        <v>1482</v>
      </c>
      <c r="BI46" s="13" t="s">
        <v>1482</v>
      </c>
      <c r="BJ46" s="13">
        <v>19.0</v>
      </c>
      <c r="BK46" s="13" t="s">
        <v>1919</v>
      </c>
      <c r="BL46" s="13" t="s">
        <v>1920</v>
      </c>
      <c r="BM46" s="13" t="s">
        <v>1919</v>
      </c>
      <c r="BN46" s="13" t="s">
        <v>2328</v>
      </c>
      <c r="BO46" s="13" t="s">
        <v>1482</v>
      </c>
      <c r="BP46" s="13" t="s">
        <v>1482</v>
      </c>
      <c r="BQ46" s="13" t="s">
        <v>1482</v>
      </c>
      <c r="BR46" s="13" t="s">
        <v>1482</v>
      </c>
      <c r="BS46" s="13" t="s">
        <v>2961</v>
      </c>
      <c r="BT46" s="13" t="s">
        <v>2329</v>
      </c>
      <c r="BU46" s="13" t="str">
        <f>HYPERLINK("https%3A%2F%2Fwww.webofscience.com%2Fwos%2Fwoscc%2Ffull-record%2FWOS:000227362900006","View Full Record in Web of Science")</f>
        <v>View Full Record in Web of Science</v>
      </c>
    </row>
    <row r="47" ht="12.75" customHeight="1">
      <c r="A47" s="13" t="s">
        <v>1896</v>
      </c>
      <c r="B47" s="13" t="s">
        <v>2237</v>
      </c>
      <c r="C47" s="13" t="s">
        <v>1482</v>
      </c>
      <c r="D47" s="13" t="s">
        <v>1482</v>
      </c>
      <c r="E47" s="13" t="s">
        <v>1482</v>
      </c>
      <c r="F47" s="13" t="s">
        <v>2238</v>
      </c>
      <c r="G47" s="13" t="s">
        <v>1482</v>
      </c>
      <c r="H47" s="13" t="s">
        <v>1482</v>
      </c>
      <c r="I47" s="13" t="s">
        <v>2239</v>
      </c>
      <c r="J47" s="13" t="s">
        <v>2240</v>
      </c>
      <c r="K47" s="13" t="s">
        <v>1482</v>
      </c>
      <c r="L47" s="13" t="s">
        <v>1482</v>
      </c>
      <c r="M47" s="13" t="s">
        <v>1901</v>
      </c>
      <c r="N47" s="13" t="s">
        <v>1902</v>
      </c>
      <c r="O47" s="13" t="s">
        <v>1482</v>
      </c>
      <c r="P47" s="13" t="s">
        <v>1482</v>
      </c>
      <c r="Q47" s="13" t="s">
        <v>1482</v>
      </c>
      <c r="R47" s="13" t="s">
        <v>1482</v>
      </c>
      <c r="S47" s="13" t="s">
        <v>1482</v>
      </c>
      <c r="T47" s="13" t="s">
        <v>2241</v>
      </c>
      <c r="U47" s="13" t="s">
        <v>2242</v>
      </c>
      <c r="V47" s="13" t="s">
        <v>2243</v>
      </c>
      <c r="W47" s="13" t="s">
        <v>2244</v>
      </c>
      <c r="X47" s="13" t="s">
        <v>3052</v>
      </c>
      <c r="Y47" s="13" t="s">
        <v>2246</v>
      </c>
      <c r="Z47" s="13" t="s">
        <v>2247</v>
      </c>
      <c r="AA47" s="13" t="s">
        <v>3053</v>
      </c>
      <c r="AB47" s="13" t="s">
        <v>3054</v>
      </c>
      <c r="AC47" s="13" t="s">
        <v>3055</v>
      </c>
      <c r="AD47" s="13" t="s">
        <v>3056</v>
      </c>
      <c r="AE47" s="13" t="s">
        <v>2252</v>
      </c>
      <c r="AF47" s="13" t="s">
        <v>1482</v>
      </c>
      <c r="AG47" s="13">
        <v>67.0</v>
      </c>
      <c r="AH47" s="13">
        <v>27.0</v>
      </c>
      <c r="AI47" s="13">
        <v>30.0</v>
      </c>
      <c r="AJ47" s="13">
        <v>0.0</v>
      </c>
      <c r="AK47" s="13">
        <v>97.0</v>
      </c>
      <c r="AL47" s="13" t="s">
        <v>1998</v>
      </c>
      <c r="AM47" s="13" t="s">
        <v>1999</v>
      </c>
      <c r="AN47" s="13" t="s">
        <v>2000</v>
      </c>
      <c r="AO47" s="13" t="s">
        <v>2253</v>
      </c>
      <c r="AP47" s="13" t="s">
        <v>2254</v>
      </c>
      <c r="AQ47" s="13" t="s">
        <v>1482</v>
      </c>
      <c r="AR47" s="13" t="s">
        <v>2255</v>
      </c>
      <c r="AS47" s="13" t="s">
        <v>2256</v>
      </c>
      <c r="AT47" s="13" t="s">
        <v>2033</v>
      </c>
      <c r="AU47" s="13">
        <v>2014.0</v>
      </c>
      <c r="AV47" s="13">
        <v>76.0</v>
      </c>
      <c r="AW47" s="13">
        <v>6.0</v>
      </c>
      <c r="AX47" s="13" t="s">
        <v>1482</v>
      </c>
      <c r="AY47" s="13" t="s">
        <v>1482</v>
      </c>
      <c r="AZ47" s="13" t="s">
        <v>1482</v>
      </c>
      <c r="BA47" s="13" t="s">
        <v>1482</v>
      </c>
      <c r="BB47" s="13">
        <v>515.0</v>
      </c>
      <c r="BC47" s="13">
        <v>528.0</v>
      </c>
      <c r="BD47" s="13" t="s">
        <v>1482</v>
      </c>
      <c r="BE47" s="13" t="s">
        <v>1538</v>
      </c>
      <c r="BF47" s="15" t="str">
        <f>HYPERLINK("http://dx.doi.org/10.1002/ajp.22243","http://dx.doi.org/10.1002/ajp.22243")</f>
        <v>http://dx.doi.org/10.1002/ajp.22243</v>
      </c>
      <c r="BG47" s="13"/>
      <c r="BH47" s="13" t="s">
        <v>1482</v>
      </c>
      <c r="BI47" s="13" t="s">
        <v>1482</v>
      </c>
      <c r="BJ47" s="13">
        <v>14.0</v>
      </c>
      <c r="BK47" s="13" t="s">
        <v>1919</v>
      </c>
      <c r="BL47" s="13" t="s">
        <v>1920</v>
      </c>
      <c r="BM47" s="13" t="s">
        <v>1919</v>
      </c>
      <c r="BN47" s="13" t="s">
        <v>2257</v>
      </c>
      <c r="BO47" s="13">
        <v>2.444325E7</v>
      </c>
      <c r="BP47" s="13" t="s">
        <v>2258</v>
      </c>
      <c r="BQ47" s="13" t="s">
        <v>1482</v>
      </c>
      <c r="BR47" s="13" t="s">
        <v>1482</v>
      </c>
      <c r="BS47" s="13" t="s">
        <v>2961</v>
      </c>
      <c r="BT47" s="13" t="s">
        <v>2259</v>
      </c>
      <c r="BU47" s="13" t="str">
        <f>HYPERLINK("https%3A%2F%2Fwww.webofscience.com%2Fwos%2Fwoscc%2Ffull-record%2FWOS:000335490200001","View Full Record in Web of Science")</f>
        <v>View Full Record in Web of Science</v>
      </c>
    </row>
    <row r="48" ht="12.75" customHeight="1">
      <c r="A48" s="13" t="s">
        <v>1896</v>
      </c>
      <c r="B48" s="13" t="s">
        <v>3057</v>
      </c>
      <c r="C48" s="13" t="s">
        <v>1482</v>
      </c>
      <c r="D48" s="13" t="s">
        <v>1482</v>
      </c>
      <c r="E48" s="13" t="s">
        <v>1482</v>
      </c>
      <c r="F48" s="13" t="s">
        <v>3058</v>
      </c>
      <c r="G48" s="13" t="s">
        <v>1482</v>
      </c>
      <c r="H48" s="13" t="s">
        <v>1482</v>
      </c>
      <c r="I48" s="13" t="s">
        <v>3059</v>
      </c>
      <c r="J48" s="13" t="s">
        <v>3060</v>
      </c>
      <c r="K48" s="13" t="s">
        <v>1482</v>
      </c>
      <c r="L48" s="13" t="s">
        <v>1482</v>
      </c>
      <c r="M48" s="13" t="s">
        <v>1901</v>
      </c>
      <c r="N48" s="13" t="s">
        <v>1902</v>
      </c>
      <c r="O48" s="13" t="s">
        <v>1482</v>
      </c>
      <c r="P48" s="13" t="s">
        <v>1482</v>
      </c>
      <c r="Q48" s="13" t="s">
        <v>1482</v>
      </c>
      <c r="R48" s="13" t="s">
        <v>1482</v>
      </c>
      <c r="S48" s="13" t="s">
        <v>1482</v>
      </c>
      <c r="T48" s="13" t="s">
        <v>3061</v>
      </c>
      <c r="U48" s="13" t="s">
        <v>3062</v>
      </c>
      <c r="V48" s="13" t="s">
        <v>3063</v>
      </c>
      <c r="W48" s="13" t="s">
        <v>3064</v>
      </c>
      <c r="X48" s="13" t="s">
        <v>3065</v>
      </c>
      <c r="Y48" s="13" t="s">
        <v>3066</v>
      </c>
      <c r="Z48" s="13" t="s">
        <v>3067</v>
      </c>
      <c r="AA48" s="13" t="s">
        <v>3068</v>
      </c>
      <c r="AB48" s="13" t="s">
        <v>3069</v>
      </c>
      <c r="AC48" s="13" t="s">
        <v>3070</v>
      </c>
      <c r="AD48" s="13" t="s">
        <v>3071</v>
      </c>
      <c r="AE48" s="13" t="s">
        <v>3072</v>
      </c>
      <c r="AF48" s="13" t="s">
        <v>1482</v>
      </c>
      <c r="AG48" s="13">
        <v>52.0</v>
      </c>
      <c r="AH48" s="13">
        <v>12.0</v>
      </c>
      <c r="AI48" s="13">
        <v>15.0</v>
      </c>
      <c r="AJ48" s="13">
        <v>0.0</v>
      </c>
      <c r="AK48" s="13">
        <v>43.0</v>
      </c>
      <c r="AL48" s="13" t="s">
        <v>3073</v>
      </c>
      <c r="AM48" s="13" t="s">
        <v>2749</v>
      </c>
      <c r="AN48" s="13" t="s">
        <v>3074</v>
      </c>
      <c r="AO48" s="13" t="s">
        <v>3075</v>
      </c>
      <c r="AP48" s="13" t="s">
        <v>3076</v>
      </c>
      <c r="AQ48" s="13" t="s">
        <v>1482</v>
      </c>
      <c r="AR48" s="13" t="s">
        <v>3077</v>
      </c>
      <c r="AS48" s="13" t="s">
        <v>3078</v>
      </c>
      <c r="AT48" s="13" t="s">
        <v>2114</v>
      </c>
      <c r="AU48" s="13">
        <v>2013.0</v>
      </c>
      <c r="AV48" s="13">
        <v>91.0</v>
      </c>
      <c r="AW48" s="13" t="s">
        <v>1482</v>
      </c>
      <c r="AX48" s="13" t="s">
        <v>1482</v>
      </c>
      <c r="AY48" s="13" t="s">
        <v>1482</v>
      </c>
      <c r="AZ48" s="13" t="s">
        <v>1482</v>
      </c>
      <c r="BA48" s="13" t="s">
        <v>1482</v>
      </c>
      <c r="BB48" s="13">
        <v>31.0</v>
      </c>
      <c r="BC48" s="13">
        <v>37.0</v>
      </c>
      <c r="BD48" s="13" t="s">
        <v>1482</v>
      </c>
      <c r="BE48" s="13" t="s">
        <v>1583</v>
      </c>
      <c r="BF48" s="15" t="str">
        <f>HYPERLINK("http://dx.doi.org/10.1016/j.jaridenv.2012.11.004","http://dx.doi.org/10.1016/j.jaridenv.2012.11.004")</f>
        <v>http://dx.doi.org/10.1016/j.jaridenv.2012.11.004</v>
      </c>
      <c r="BG48" s="13"/>
      <c r="BH48" s="13" t="s">
        <v>1482</v>
      </c>
      <c r="BI48" s="13" t="s">
        <v>1482</v>
      </c>
      <c r="BJ48" s="13">
        <v>7.0</v>
      </c>
      <c r="BK48" s="13" t="s">
        <v>3079</v>
      </c>
      <c r="BL48" s="13" t="s">
        <v>1920</v>
      </c>
      <c r="BM48" s="13" t="s">
        <v>2156</v>
      </c>
      <c r="BN48" s="13" t="s">
        <v>3080</v>
      </c>
      <c r="BO48" s="13" t="s">
        <v>1482</v>
      </c>
      <c r="BP48" s="13" t="s">
        <v>2037</v>
      </c>
      <c r="BQ48" s="13" t="s">
        <v>1482</v>
      </c>
      <c r="BR48" s="13" t="s">
        <v>1482</v>
      </c>
      <c r="BS48" s="13" t="s">
        <v>2961</v>
      </c>
      <c r="BT48" s="13" t="s">
        <v>3081</v>
      </c>
      <c r="BU48" s="13" t="str">
        <f>HYPERLINK("https%3A%2F%2Fwww.webofscience.com%2Fwos%2Fwoscc%2Ffull-record%2FWOS:000318056100005","View Full Record in Web of Science")</f>
        <v>View Full Record in Web of Science</v>
      </c>
    </row>
    <row r="49" ht="12.75" customHeight="1">
      <c r="A49" s="13" t="s">
        <v>1896</v>
      </c>
      <c r="B49" s="13" t="s">
        <v>3082</v>
      </c>
      <c r="C49" s="13" t="s">
        <v>1482</v>
      </c>
      <c r="D49" s="13" t="s">
        <v>1482</v>
      </c>
      <c r="E49" s="13" t="s">
        <v>1482</v>
      </c>
      <c r="F49" s="13" t="s">
        <v>3082</v>
      </c>
      <c r="G49" s="13" t="s">
        <v>1482</v>
      </c>
      <c r="H49" s="13" t="s">
        <v>1482</v>
      </c>
      <c r="I49" s="13" t="s">
        <v>3083</v>
      </c>
      <c r="J49" s="13" t="s">
        <v>1985</v>
      </c>
      <c r="K49" s="13" t="s">
        <v>1482</v>
      </c>
      <c r="L49" s="13" t="s">
        <v>1482</v>
      </c>
      <c r="M49" s="13" t="s">
        <v>1901</v>
      </c>
      <c r="N49" s="13" t="s">
        <v>1902</v>
      </c>
      <c r="O49" s="13" t="s">
        <v>1482</v>
      </c>
      <c r="P49" s="13" t="s">
        <v>1482</v>
      </c>
      <c r="Q49" s="13" t="s">
        <v>1482</v>
      </c>
      <c r="R49" s="13" t="s">
        <v>1482</v>
      </c>
      <c r="S49" s="13" t="s">
        <v>1482</v>
      </c>
      <c r="T49" s="13" t="s">
        <v>1482</v>
      </c>
      <c r="U49" s="13" t="s">
        <v>3084</v>
      </c>
      <c r="V49" s="13" t="s">
        <v>3085</v>
      </c>
      <c r="W49" s="13" t="s">
        <v>3086</v>
      </c>
      <c r="X49" s="13" t="s">
        <v>3087</v>
      </c>
      <c r="Y49" s="13" t="s">
        <v>3088</v>
      </c>
      <c r="Z49" s="13" t="s">
        <v>1482</v>
      </c>
      <c r="AA49" s="13" t="s">
        <v>3089</v>
      </c>
      <c r="AB49" s="13" t="s">
        <v>3090</v>
      </c>
      <c r="AC49" s="13" t="s">
        <v>1482</v>
      </c>
      <c r="AD49" s="13" t="s">
        <v>1482</v>
      </c>
      <c r="AE49" s="13" t="s">
        <v>1482</v>
      </c>
      <c r="AF49" s="13" t="s">
        <v>1482</v>
      </c>
      <c r="AG49" s="13">
        <v>42.0</v>
      </c>
      <c r="AH49" s="13">
        <v>250.0</v>
      </c>
      <c r="AI49" s="13">
        <v>300.0</v>
      </c>
      <c r="AJ49" s="13">
        <v>1.0</v>
      </c>
      <c r="AK49" s="13">
        <v>88.0</v>
      </c>
      <c r="AL49" s="13" t="s">
        <v>2449</v>
      </c>
      <c r="AM49" s="13" t="s">
        <v>2450</v>
      </c>
      <c r="AN49" s="13" t="s">
        <v>2451</v>
      </c>
      <c r="AO49" s="13" t="s">
        <v>2001</v>
      </c>
      <c r="AP49" s="13" t="s">
        <v>1482</v>
      </c>
      <c r="AQ49" s="13" t="s">
        <v>1482</v>
      </c>
      <c r="AR49" s="13" t="s">
        <v>2003</v>
      </c>
      <c r="AS49" s="13" t="s">
        <v>2004</v>
      </c>
      <c r="AT49" s="13" t="s">
        <v>2285</v>
      </c>
      <c r="AU49" s="13">
        <v>2000.0</v>
      </c>
      <c r="AV49" s="13">
        <v>14.0</v>
      </c>
      <c r="AW49" s="13">
        <v>1.0</v>
      </c>
      <c r="AX49" s="13" t="s">
        <v>1482</v>
      </c>
      <c r="AY49" s="13" t="s">
        <v>1482</v>
      </c>
      <c r="AZ49" s="13" t="s">
        <v>1482</v>
      </c>
      <c r="BA49" s="13" t="s">
        <v>1482</v>
      </c>
      <c r="BB49" s="13">
        <v>227.0</v>
      </c>
      <c r="BC49" s="13">
        <v>239.0</v>
      </c>
      <c r="BD49" s="13" t="s">
        <v>1482</v>
      </c>
      <c r="BE49" s="13" t="s">
        <v>1568</v>
      </c>
      <c r="BF49" s="15" t="str">
        <f>HYPERLINK("http://dx.doi.org/10.1046/j.1523-1739.2000.98333.x","http://dx.doi.org/10.1046/j.1523-1739.2000.98333.x")</f>
        <v>http://dx.doi.org/10.1046/j.1523-1739.2000.98333.x</v>
      </c>
      <c r="BG49" s="13"/>
      <c r="BH49" s="13" t="s">
        <v>1482</v>
      </c>
      <c r="BI49" s="13" t="s">
        <v>1482</v>
      </c>
      <c r="BJ49" s="13">
        <v>13.0</v>
      </c>
      <c r="BK49" s="13" t="s">
        <v>1956</v>
      </c>
      <c r="BL49" s="13" t="s">
        <v>1920</v>
      </c>
      <c r="BM49" s="13" t="s">
        <v>1957</v>
      </c>
      <c r="BN49" s="13" t="s">
        <v>3091</v>
      </c>
      <c r="BO49" s="13" t="s">
        <v>1482</v>
      </c>
      <c r="BP49" s="13" t="s">
        <v>1482</v>
      </c>
      <c r="BQ49" s="13" t="s">
        <v>1482</v>
      </c>
      <c r="BR49" s="13" t="s">
        <v>1482</v>
      </c>
      <c r="BS49" s="13" t="s">
        <v>2961</v>
      </c>
      <c r="BT49" s="13" t="s">
        <v>3092</v>
      </c>
      <c r="BU49" s="13" t="str">
        <f>HYPERLINK("https%3A%2F%2Fwww.webofscience.com%2Fwos%2Fwoscc%2Ffull-record%2FWOS:000085366700028","View Full Record in Web of Science")</f>
        <v>View Full Record in Web of Science</v>
      </c>
    </row>
    <row r="50" ht="12.75" customHeight="1">
      <c r="A50" s="13" t="s">
        <v>1896</v>
      </c>
      <c r="B50" s="13" t="s">
        <v>2688</v>
      </c>
      <c r="C50" s="13" t="s">
        <v>1482</v>
      </c>
      <c r="D50" s="13" t="s">
        <v>1482</v>
      </c>
      <c r="E50" s="13" t="s">
        <v>1482</v>
      </c>
      <c r="F50" s="13" t="s">
        <v>2689</v>
      </c>
      <c r="G50" s="13" t="s">
        <v>1482</v>
      </c>
      <c r="H50" s="13" t="s">
        <v>1482</v>
      </c>
      <c r="I50" s="13" t="s">
        <v>2690</v>
      </c>
      <c r="J50" s="13" t="s">
        <v>2691</v>
      </c>
      <c r="K50" s="13" t="s">
        <v>1482</v>
      </c>
      <c r="L50" s="13" t="s">
        <v>1482</v>
      </c>
      <c r="M50" s="13" t="s">
        <v>1901</v>
      </c>
      <c r="N50" s="13" t="s">
        <v>1902</v>
      </c>
      <c r="O50" s="13" t="s">
        <v>1482</v>
      </c>
      <c r="P50" s="13" t="s">
        <v>1482</v>
      </c>
      <c r="Q50" s="13" t="s">
        <v>1482</v>
      </c>
      <c r="R50" s="13" t="s">
        <v>1482</v>
      </c>
      <c r="S50" s="13" t="s">
        <v>1482</v>
      </c>
      <c r="T50" s="13" t="s">
        <v>2692</v>
      </c>
      <c r="U50" s="13" t="s">
        <v>2693</v>
      </c>
      <c r="V50" s="13" t="s">
        <v>2694</v>
      </c>
      <c r="W50" s="13" t="s">
        <v>2695</v>
      </c>
      <c r="X50" s="13" t="s">
        <v>2696</v>
      </c>
      <c r="Y50" s="13" t="s">
        <v>2697</v>
      </c>
      <c r="Z50" s="13" t="s">
        <v>2698</v>
      </c>
      <c r="AA50" s="13" t="s">
        <v>1482</v>
      </c>
      <c r="AB50" s="13" t="s">
        <v>1482</v>
      </c>
      <c r="AC50" s="13" t="s">
        <v>2699</v>
      </c>
      <c r="AD50" s="13" t="s">
        <v>2700</v>
      </c>
      <c r="AE50" s="13" t="s">
        <v>2701</v>
      </c>
      <c r="AF50" s="13" t="s">
        <v>1482</v>
      </c>
      <c r="AG50" s="13">
        <v>61.0</v>
      </c>
      <c r="AH50" s="13">
        <v>32.0</v>
      </c>
      <c r="AI50" s="13">
        <v>36.0</v>
      </c>
      <c r="AJ50" s="13">
        <v>0.0</v>
      </c>
      <c r="AK50" s="13">
        <v>49.0</v>
      </c>
      <c r="AL50" s="13" t="s">
        <v>1998</v>
      </c>
      <c r="AM50" s="13" t="s">
        <v>1999</v>
      </c>
      <c r="AN50" s="13" t="s">
        <v>2000</v>
      </c>
      <c r="AO50" s="13" t="s">
        <v>2702</v>
      </c>
      <c r="AP50" s="13" t="s">
        <v>2703</v>
      </c>
      <c r="AQ50" s="13" t="s">
        <v>1482</v>
      </c>
      <c r="AR50" s="13" t="s">
        <v>2704</v>
      </c>
      <c r="AS50" s="13" t="s">
        <v>2705</v>
      </c>
      <c r="AT50" s="13" t="s">
        <v>2177</v>
      </c>
      <c r="AU50" s="13">
        <v>2011.0</v>
      </c>
      <c r="AV50" s="13">
        <v>49.0</v>
      </c>
      <c r="AW50" s="13">
        <v>1.0</v>
      </c>
      <c r="AX50" s="13" t="s">
        <v>1482</v>
      </c>
      <c r="AY50" s="13" t="s">
        <v>1482</v>
      </c>
      <c r="AZ50" s="13" t="s">
        <v>1482</v>
      </c>
      <c r="BA50" s="13" t="s">
        <v>1482</v>
      </c>
      <c r="BB50" s="13">
        <v>70.0</v>
      </c>
      <c r="BC50" s="13">
        <v>80.0</v>
      </c>
      <c r="BD50" s="13" t="s">
        <v>1482</v>
      </c>
      <c r="BE50" s="13" t="s">
        <v>1556</v>
      </c>
      <c r="BF50" s="15" t="str">
        <f>HYPERLINK("http://dx.doi.org/10.1111/j.1365-2028.2010.01229.x","http://dx.doi.org/10.1111/j.1365-2028.2010.01229.x")</f>
        <v>http://dx.doi.org/10.1111/j.1365-2028.2010.01229.x</v>
      </c>
      <c r="BG50" s="13"/>
      <c r="BH50" s="13" t="s">
        <v>1482</v>
      </c>
      <c r="BI50" s="13" t="s">
        <v>1482</v>
      </c>
      <c r="BJ50" s="13">
        <v>11.0</v>
      </c>
      <c r="BK50" s="13" t="s">
        <v>2154</v>
      </c>
      <c r="BL50" s="13" t="s">
        <v>1920</v>
      </c>
      <c r="BM50" s="13" t="s">
        <v>2156</v>
      </c>
      <c r="BN50" s="13" t="s">
        <v>2706</v>
      </c>
      <c r="BO50" s="13" t="s">
        <v>1482</v>
      </c>
      <c r="BP50" s="13" t="s">
        <v>1482</v>
      </c>
      <c r="BQ50" s="13" t="s">
        <v>1482</v>
      </c>
      <c r="BR50" s="13" t="s">
        <v>1482</v>
      </c>
      <c r="BS50" s="13" t="s">
        <v>2961</v>
      </c>
      <c r="BT50" s="13" t="s">
        <v>2707</v>
      </c>
      <c r="BU50" s="13" t="str">
        <f>HYPERLINK("https%3A%2F%2Fwww.webofscience.com%2Fwos%2Fwoscc%2Ffull-record%2FWOS:000287094000009","View Full Record in Web of Science")</f>
        <v>View Full Record in Web of Science</v>
      </c>
    </row>
    <row r="51" ht="12.75" customHeight="1">
      <c r="A51" s="13" t="s">
        <v>1896</v>
      </c>
      <c r="B51" s="13" t="s">
        <v>2290</v>
      </c>
      <c r="C51" s="13" t="s">
        <v>1482</v>
      </c>
      <c r="D51" s="13" t="s">
        <v>1482</v>
      </c>
      <c r="E51" s="13" t="s">
        <v>1482</v>
      </c>
      <c r="F51" s="13" t="s">
        <v>2291</v>
      </c>
      <c r="G51" s="13" t="s">
        <v>1482</v>
      </c>
      <c r="H51" s="13" t="s">
        <v>1482</v>
      </c>
      <c r="I51" s="13" t="s">
        <v>2292</v>
      </c>
      <c r="J51" s="13" t="s">
        <v>2293</v>
      </c>
      <c r="K51" s="13" t="s">
        <v>1482</v>
      </c>
      <c r="L51" s="13" t="s">
        <v>1482</v>
      </c>
      <c r="M51" s="13" t="s">
        <v>1901</v>
      </c>
      <c r="N51" s="13" t="s">
        <v>1902</v>
      </c>
      <c r="O51" s="13" t="s">
        <v>1482</v>
      </c>
      <c r="P51" s="13" t="s">
        <v>1482</v>
      </c>
      <c r="Q51" s="13" t="s">
        <v>1482</v>
      </c>
      <c r="R51" s="13" t="s">
        <v>1482</v>
      </c>
      <c r="S51" s="13" t="s">
        <v>1482</v>
      </c>
      <c r="T51" s="13" t="s">
        <v>1482</v>
      </c>
      <c r="U51" s="13" t="s">
        <v>2294</v>
      </c>
      <c r="V51" s="13" t="s">
        <v>2295</v>
      </c>
      <c r="W51" s="13" t="s">
        <v>2296</v>
      </c>
      <c r="X51" s="13" t="s">
        <v>2297</v>
      </c>
      <c r="Y51" s="13" t="s">
        <v>2298</v>
      </c>
      <c r="Z51" s="13" t="s">
        <v>2299</v>
      </c>
      <c r="AA51" s="13" t="s">
        <v>3093</v>
      </c>
      <c r="AB51" s="13" t="s">
        <v>3094</v>
      </c>
      <c r="AC51" s="13" t="s">
        <v>2302</v>
      </c>
      <c r="AD51" s="13" t="s">
        <v>2302</v>
      </c>
      <c r="AE51" s="13" t="s">
        <v>2303</v>
      </c>
      <c r="AF51" s="13" t="s">
        <v>1482</v>
      </c>
      <c r="AG51" s="13">
        <v>72.0</v>
      </c>
      <c r="AH51" s="13">
        <v>35.0</v>
      </c>
      <c r="AI51" s="13">
        <v>37.0</v>
      </c>
      <c r="AJ51" s="13">
        <v>0.0</v>
      </c>
      <c r="AK51" s="13">
        <v>48.0</v>
      </c>
      <c r="AL51" s="13" t="s">
        <v>2304</v>
      </c>
      <c r="AM51" s="13" t="s">
        <v>2305</v>
      </c>
      <c r="AN51" s="13" t="s">
        <v>2306</v>
      </c>
      <c r="AO51" s="13" t="s">
        <v>2307</v>
      </c>
      <c r="AP51" s="13" t="s">
        <v>1482</v>
      </c>
      <c r="AQ51" s="13" t="s">
        <v>1482</v>
      </c>
      <c r="AR51" s="13" t="s">
        <v>2308</v>
      </c>
      <c r="AS51" s="13" t="s">
        <v>2309</v>
      </c>
      <c r="AT51" s="13" t="s">
        <v>1482</v>
      </c>
      <c r="AU51" s="13">
        <v>2009.0</v>
      </c>
      <c r="AV51" s="13">
        <v>2.0</v>
      </c>
      <c r="AW51" s="13">
        <v>1.0</v>
      </c>
      <c r="AX51" s="13" t="s">
        <v>1482</v>
      </c>
      <c r="AY51" s="13" t="s">
        <v>1482</v>
      </c>
      <c r="AZ51" s="13" t="s">
        <v>1482</v>
      </c>
      <c r="BA51" s="13" t="s">
        <v>1482</v>
      </c>
      <c r="BB51" s="13">
        <v>70.0</v>
      </c>
      <c r="BC51" s="13">
        <v>87.0</v>
      </c>
      <c r="BD51" s="13" t="s">
        <v>1482</v>
      </c>
      <c r="BE51" s="13" t="s">
        <v>1563</v>
      </c>
      <c r="BF51" s="15" t="str">
        <f>HYPERLINK("http://dx.doi.org/10.1177/194008290900200108","http://dx.doi.org/10.1177/194008290900200108")</f>
        <v>http://dx.doi.org/10.1177/194008290900200108</v>
      </c>
      <c r="BG51" s="13"/>
      <c r="BH51" s="13" t="s">
        <v>1482</v>
      </c>
      <c r="BI51" s="13" t="s">
        <v>1482</v>
      </c>
      <c r="BJ51" s="13">
        <v>18.0</v>
      </c>
      <c r="BK51" s="13" t="s">
        <v>2310</v>
      </c>
      <c r="BL51" s="13" t="s">
        <v>1920</v>
      </c>
      <c r="BM51" s="13" t="s">
        <v>2311</v>
      </c>
      <c r="BN51" s="13" t="s">
        <v>2312</v>
      </c>
      <c r="BO51" s="13" t="s">
        <v>1482</v>
      </c>
      <c r="BP51" s="13" t="s">
        <v>1482</v>
      </c>
      <c r="BQ51" s="13" t="s">
        <v>1482</v>
      </c>
      <c r="BR51" s="13" t="s">
        <v>1482</v>
      </c>
      <c r="BS51" s="13" t="s">
        <v>2961</v>
      </c>
      <c r="BT51" s="13" t="s">
        <v>2313</v>
      </c>
      <c r="BU51" s="13" t="str">
        <f>HYPERLINK("https%3A%2F%2Fwww.webofscience.com%2Fwos%2Fwoscc%2Ffull-record%2FWOS:000208241500007","View Full Record in Web of Science")</f>
        <v>View Full Record in Web of Science</v>
      </c>
    </row>
    <row r="52" ht="12.75" customHeight="1">
      <c r="A52" s="13" t="s">
        <v>1896</v>
      </c>
      <c r="B52" s="13" t="s">
        <v>3095</v>
      </c>
      <c r="C52" s="13" t="s">
        <v>1482</v>
      </c>
      <c r="D52" s="13" t="s">
        <v>1482</v>
      </c>
      <c r="E52" s="13" t="s">
        <v>1482</v>
      </c>
      <c r="F52" s="13" t="s">
        <v>3095</v>
      </c>
      <c r="G52" s="13" t="s">
        <v>1482</v>
      </c>
      <c r="H52" s="13" t="s">
        <v>1482</v>
      </c>
      <c r="I52" s="13" t="s">
        <v>3096</v>
      </c>
      <c r="J52" s="13" t="s">
        <v>2138</v>
      </c>
      <c r="K52" s="13" t="s">
        <v>1482</v>
      </c>
      <c r="L52" s="13" t="s">
        <v>1482</v>
      </c>
      <c r="M52" s="13" t="s">
        <v>1901</v>
      </c>
      <c r="N52" s="13" t="s">
        <v>1902</v>
      </c>
      <c r="O52" s="13" t="s">
        <v>1482</v>
      </c>
      <c r="P52" s="13" t="s">
        <v>1482</v>
      </c>
      <c r="Q52" s="13" t="s">
        <v>1482</v>
      </c>
      <c r="R52" s="13" t="s">
        <v>1482</v>
      </c>
      <c r="S52" s="13" t="s">
        <v>1482</v>
      </c>
      <c r="T52" s="13" t="s">
        <v>1482</v>
      </c>
      <c r="U52" s="13" t="s">
        <v>1482</v>
      </c>
      <c r="V52" s="13" t="s">
        <v>1482</v>
      </c>
      <c r="W52" s="13" t="s">
        <v>3097</v>
      </c>
      <c r="X52" s="13" t="s">
        <v>3098</v>
      </c>
      <c r="Y52" s="13" t="s">
        <v>1482</v>
      </c>
      <c r="Z52" s="13" t="s">
        <v>1482</v>
      </c>
      <c r="AA52" s="13" t="s">
        <v>1482</v>
      </c>
      <c r="AB52" s="13" t="s">
        <v>1482</v>
      </c>
      <c r="AC52" s="13" t="s">
        <v>1482</v>
      </c>
      <c r="AD52" s="13" t="s">
        <v>1482</v>
      </c>
      <c r="AE52" s="13" t="s">
        <v>1482</v>
      </c>
      <c r="AF52" s="13" t="s">
        <v>1482</v>
      </c>
      <c r="AG52" s="13">
        <v>63.0</v>
      </c>
      <c r="AH52" s="13">
        <v>55.0</v>
      </c>
      <c r="AI52" s="13">
        <v>67.0</v>
      </c>
      <c r="AJ52" s="13">
        <v>0.0</v>
      </c>
      <c r="AK52" s="13">
        <v>8.0</v>
      </c>
      <c r="AL52" s="13" t="s">
        <v>3099</v>
      </c>
      <c r="AM52" s="13" t="s">
        <v>3100</v>
      </c>
      <c r="AN52" s="13" t="s">
        <v>3101</v>
      </c>
      <c r="AO52" s="13" t="s">
        <v>2151</v>
      </c>
      <c r="AP52" s="13" t="s">
        <v>1482</v>
      </c>
      <c r="AQ52" s="13" t="s">
        <v>1482</v>
      </c>
      <c r="AR52" s="13" t="s">
        <v>2138</v>
      </c>
      <c r="AS52" s="13" t="s">
        <v>2153</v>
      </c>
      <c r="AT52" s="13" t="s">
        <v>2177</v>
      </c>
      <c r="AU52" s="13">
        <v>1990.0</v>
      </c>
      <c r="AV52" s="13">
        <v>22.0</v>
      </c>
      <c r="AW52" s="13">
        <v>1.0</v>
      </c>
      <c r="AX52" s="13" t="s">
        <v>1482</v>
      </c>
      <c r="AY52" s="13" t="s">
        <v>1482</v>
      </c>
      <c r="AZ52" s="13" t="s">
        <v>1482</v>
      </c>
      <c r="BA52" s="13" t="s">
        <v>1482</v>
      </c>
      <c r="BB52" s="13">
        <v>90.0</v>
      </c>
      <c r="BC52" s="13">
        <v>99.0</v>
      </c>
      <c r="BD52" s="13" t="s">
        <v>1482</v>
      </c>
      <c r="BE52" s="13" t="s">
        <v>1590</v>
      </c>
      <c r="BF52" s="15" t="str">
        <f>HYPERLINK("http://dx.doi.org/10.2307/2388723","http://dx.doi.org/10.2307/2388723")</f>
        <v>http://dx.doi.org/10.2307/2388723</v>
      </c>
      <c r="BG52" s="13"/>
      <c r="BH52" s="13" t="s">
        <v>1482</v>
      </c>
      <c r="BI52" s="13" t="s">
        <v>1482</v>
      </c>
      <c r="BJ52" s="13">
        <v>10.0</v>
      </c>
      <c r="BK52" s="13" t="s">
        <v>2154</v>
      </c>
      <c r="BL52" s="13" t="s">
        <v>1920</v>
      </c>
      <c r="BM52" s="13" t="s">
        <v>2156</v>
      </c>
      <c r="BN52" s="13" t="s">
        <v>3102</v>
      </c>
      <c r="BO52" s="13" t="s">
        <v>1482</v>
      </c>
      <c r="BP52" s="13" t="s">
        <v>1482</v>
      </c>
      <c r="BQ52" s="13" t="s">
        <v>1482</v>
      </c>
      <c r="BR52" s="13" t="s">
        <v>1482</v>
      </c>
      <c r="BS52" s="13" t="s">
        <v>2961</v>
      </c>
      <c r="BT52" s="13" t="s">
        <v>3103</v>
      </c>
      <c r="BU52" s="13" t="str">
        <f>HYPERLINK("https%3A%2F%2Fwww.webofscience.com%2Fwos%2Fwoscc%2Ffull-record%2FWOS:A1990DL16100011","View Full Record in Web of Science")</f>
        <v>View Full Record in Web of Science</v>
      </c>
    </row>
    <row r="53" ht="12.75" customHeight="1">
      <c r="A53" s="13" t="s">
        <v>1896</v>
      </c>
      <c r="B53" s="13" t="s">
        <v>3104</v>
      </c>
      <c r="C53" s="13" t="s">
        <v>1482</v>
      </c>
      <c r="D53" s="13" t="s">
        <v>1482</v>
      </c>
      <c r="E53" s="13" t="s">
        <v>1482</v>
      </c>
      <c r="F53" s="13" t="s">
        <v>3104</v>
      </c>
      <c r="G53" s="13" t="s">
        <v>1482</v>
      </c>
      <c r="H53" s="13" t="s">
        <v>1482</v>
      </c>
      <c r="I53" s="13" t="s">
        <v>3105</v>
      </c>
      <c r="J53" s="13" t="s">
        <v>2209</v>
      </c>
      <c r="K53" s="13" t="s">
        <v>1482</v>
      </c>
      <c r="L53" s="13" t="s">
        <v>1482</v>
      </c>
      <c r="M53" s="13" t="s">
        <v>1901</v>
      </c>
      <c r="N53" s="13" t="s">
        <v>1902</v>
      </c>
      <c r="O53" s="13" t="s">
        <v>1482</v>
      </c>
      <c r="P53" s="13" t="s">
        <v>1482</v>
      </c>
      <c r="Q53" s="13" t="s">
        <v>1482</v>
      </c>
      <c r="R53" s="13" t="s">
        <v>1482</v>
      </c>
      <c r="S53" s="13" t="s">
        <v>1482</v>
      </c>
      <c r="T53" s="13" t="s">
        <v>3106</v>
      </c>
      <c r="U53" s="13" t="s">
        <v>3107</v>
      </c>
      <c r="V53" s="13" t="s">
        <v>3108</v>
      </c>
      <c r="W53" s="13" t="s">
        <v>3109</v>
      </c>
      <c r="X53" s="13" t="s">
        <v>3110</v>
      </c>
      <c r="Y53" s="13" t="s">
        <v>2818</v>
      </c>
      <c r="Z53" s="13" t="s">
        <v>3111</v>
      </c>
      <c r="AA53" s="13" t="s">
        <v>2819</v>
      </c>
      <c r="AB53" s="13" t="s">
        <v>2963</v>
      </c>
      <c r="AC53" s="13" t="s">
        <v>1482</v>
      </c>
      <c r="AD53" s="13" t="s">
        <v>1482</v>
      </c>
      <c r="AE53" s="13" t="s">
        <v>1482</v>
      </c>
      <c r="AF53" s="13" t="s">
        <v>1482</v>
      </c>
      <c r="AG53" s="13">
        <v>47.0</v>
      </c>
      <c r="AH53" s="13">
        <v>63.0</v>
      </c>
      <c r="AI53" s="13">
        <v>72.0</v>
      </c>
      <c r="AJ53" s="13">
        <v>0.0</v>
      </c>
      <c r="AK53" s="13">
        <v>30.0</v>
      </c>
      <c r="AL53" s="13" t="s">
        <v>1948</v>
      </c>
      <c r="AM53" s="13" t="s">
        <v>2225</v>
      </c>
      <c r="AN53" s="13" t="s">
        <v>2226</v>
      </c>
      <c r="AO53" s="13" t="s">
        <v>2227</v>
      </c>
      <c r="AP53" s="13" t="s">
        <v>2228</v>
      </c>
      <c r="AQ53" s="13" t="s">
        <v>1482</v>
      </c>
      <c r="AR53" s="13" t="s">
        <v>2229</v>
      </c>
      <c r="AS53" s="13" t="s">
        <v>2230</v>
      </c>
      <c r="AT53" s="13" t="s">
        <v>2114</v>
      </c>
      <c r="AU53" s="13">
        <v>1998.0</v>
      </c>
      <c r="AV53" s="13">
        <v>19.0</v>
      </c>
      <c r="AW53" s="13">
        <v>2.0</v>
      </c>
      <c r="AX53" s="13" t="s">
        <v>1482</v>
      </c>
      <c r="AY53" s="13" t="s">
        <v>1482</v>
      </c>
      <c r="AZ53" s="13" t="s">
        <v>1482</v>
      </c>
      <c r="BA53" s="13" t="s">
        <v>1482</v>
      </c>
      <c r="BB53" s="13">
        <v>207.0</v>
      </c>
      <c r="BC53" s="13">
        <v>235.0</v>
      </c>
      <c r="BD53" s="13" t="s">
        <v>1482</v>
      </c>
      <c r="BE53" s="13" t="s">
        <v>1528</v>
      </c>
      <c r="BF53" s="15" t="str">
        <f>HYPERLINK("http://dx.doi.org/10.1023/A:1020375430965","http://dx.doi.org/10.1023/A:1020375430965")</f>
        <v>http://dx.doi.org/10.1023/A:1020375430965</v>
      </c>
      <c r="BG53" s="13"/>
      <c r="BH53" s="13" t="s">
        <v>1482</v>
      </c>
      <c r="BI53" s="13" t="s">
        <v>1482</v>
      </c>
      <c r="BJ53" s="13">
        <v>29.0</v>
      </c>
      <c r="BK53" s="13" t="s">
        <v>1919</v>
      </c>
      <c r="BL53" s="13" t="s">
        <v>1920</v>
      </c>
      <c r="BM53" s="13" t="s">
        <v>1919</v>
      </c>
      <c r="BN53" s="13" t="s">
        <v>3112</v>
      </c>
      <c r="BO53" s="13" t="s">
        <v>1482</v>
      </c>
      <c r="BP53" s="13" t="s">
        <v>1482</v>
      </c>
      <c r="BQ53" s="13" t="s">
        <v>1482</v>
      </c>
      <c r="BR53" s="13" t="s">
        <v>1482</v>
      </c>
      <c r="BS53" s="13" t="s">
        <v>2961</v>
      </c>
      <c r="BT53" s="13" t="s">
        <v>3113</v>
      </c>
      <c r="BU53" s="13" t="str">
        <f>HYPERLINK("https%3A%2F%2Fwww.webofscience.com%2Fwos%2Fwoscc%2Ffull-record%2FWOS:000073143400002","View Full Record in Web of Science")</f>
        <v>View Full Record in Web of Science</v>
      </c>
    </row>
    <row r="54" ht="12.75" customHeight="1">
      <c r="A54" s="13" t="s">
        <v>1896</v>
      </c>
      <c r="B54" s="13" t="s">
        <v>2599</v>
      </c>
      <c r="C54" s="13" t="s">
        <v>1482</v>
      </c>
      <c r="D54" s="13" t="s">
        <v>1482</v>
      </c>
      <c r="E54" s="13" t="s">
        <v>1482</v>
      </c>
      <c r="F54" s="13" t="s">
        <v>2600</v>
      </c>
      <c r="G54" s="13" t="s">
        <v>1482</v>
      </c>
      <c r="H54" s="13" t="s">
        <v>1482</v>
      </c>
      <c r="I54" s="13" t="s">
        <v>2601</v>
      </c>
      <c r="J54" s="13" t="s">
        <v>2266</v>
      </c>
      <c r="K54" s="13" t="s">
        <v>1482</v>
      </c>
      <c r="L54" s="13" t="s">
        <v>1482</v>
      </c>
      <c r="M54" s="13" t="s">
        <v>1901</v>
      </c>
      <c r="N54" s="13" t="s">
        <v>1902</v>
      </c>
      <c r="O54" s="13" t="s">
        <v>1482</v>
      </c>
      <c r="P54" s="13" t="s">
        <v>1482</v>
      </c>
      <c r="Q54" s="13" t="s">
        <v>1482</v>
      </c>
      <c r="R54" s="13" t="s">
        <v>1482</v>
      </c>
      <c r="S54" s="13" t="s">
        <v>1482</v>
      </c>
      <c r="T54" s="13" t="s">
        <v>2602</v>
      </c>
      <c r="U54" s="13" t="s">
        <v>2603</v>
      </c>
      <c r="V54" s="13" t="s">
        <v>2604</v>
      </c>
      <c r="W54" s="13" t="s">
        <v>2605</v>
      </c>
      <c r="X54" s="13" t="s">
        <v>2606</v>
      </c>
      <c r="Y54" s="13" t="s">
        <v>2607</v>
      </c>
      <c r="Z54" s="13" t="s">
        <v>2608</v>
      </c>
      <c r="AA54" s="13" t="s">
        <v>2609</v>
      </c>
      <c r="AB54" s="13" t="s">
        <v>2610</v>
      </c>
      <c r="AC54" s="13" t="s">
        <v>1482</v>
      </c>
      <c r="AD54" s="13" t="s">
        <v>1482</v>
      </c>
      <c r="AE54" s="13" t="s">
        <v>1482</v>
      </c>
      <c r="AF54" s="13" t="s">
        <v>1482</v>
      </c>
      <c r="AG54" s="13">
        <v>48.0</v>
      </c>
      <c r="AH54" s="13">
        <v>88.0</v>
      </c>
      <c r="AI54" s="13">
        <v>98.0</v>
      </c>
      <c r="AJ54" s="13">
        <v>2.0</v>
      </c>
      <c r="AK54" s="13">
        <v>77.0</v>
      </c>
      <c r="AL54" s="13" t="s">
        <v>2278</v>
      </c>
      <c r="AM54" s="13" t="s">
        <v>2279</v>
      </c>
      <c r="AN54" s="13" t="s">
        <v>2280</v>
      </c>
      <c r="AO54" s="13" t="s">
        <v>2281</v>
      </c>
      <c r="AP54" s="13" t="s">
        <v>2282</v>
      </c>
      <c r="AQ54" s="13" t="s">
        <v>1482</v>
      </c>
      <c r="AR54" s="13" t="s">
        <v>2283</v>
      </c>
      <c r="AS54" s="13" t="s">
        <v>2284</v>
      </c>
      <c r="AT54" s="13" t="s">
        <v>1955</v>
      </c>
      <c r="AU54" s="13">
        <v>2006.0</v>
      </c>
      <c r="AV54" s="13">
        <v>129.0</v>
      </c>
      <c r="AW54" s="13">
        <v>4.0</v>
      </c>
      <c r="AX54" s="13" t="s">
        <v>1482</v>
      </c>
      <c r="AY54" s="13" t="s">
        <v>1482</v>
      </c>
      <c r="AZ54" s="13" t="s">
        <v>1482</v>
      </c>
      <c r="BA54" s="13" t="s">
        <v>1482</v>
      </c>
      <c r="BB54" s="13">
        <v>566.0</v>
      </c>
      <c r="BC54" s="13">
        <v>578.0</v>
      </c>
      <c r="BD54" s="13" t="s">
        <v>1482</v>
      </c>
      <c r="BE54" s="13" t="s">
        <v>1546</v>
      </c>
      <c r="BF54" s="15" t="str">
        <f>HYPERLINK("http://dx.doi.org/10.1016/j.biocon.2005.11.025","http://dx.doi.org/10.1016/j.biocon.2005.11.025")</f>
        <v>http://dx.doi.org/10.1016/j.biocon.2005.11.025</v>
      </c>
      <c r="BG54" s="13"/>
      <c r="BH54" s="13" t="s">
        <v>1482</v>
      </c>
      <c r="BI54" s="13" t="s">
        <v>1482</v>
      </c>
      <c r="BJ54" s="13">
        <v>13.0</v>
      </c>
      <c r="BK54" s="13" t="s">
        <v>1956</v>
      </c>
      <c r="BL54" s="13" t="s">
        <v>1920</v>
      </c>
      <c r="BM54" s="13" t="s">
        <v>1957</v>
      </c>
      <c r="BN54" s="13" t="s">
        <v>2611</v>
      </c>
      <c r="BO54" s="13" t="s">
        <v>1482</v>
      </c>
      <c r="BP54" s="13" t="s">
        <v>1482</v>
      </c>
      <c r="BQ54" s="13" t="s">
        <v>1482</v>
      </c>
      <c r="BR54" s="13" t="s">
        <v>1482</v>
      </c>
      <c r="BS54" s="13" t="s">
        <v>2961</v>
      </c>
      <c r="BT54" s="13" t="s">
        <v>2612</v>
      </c>
      <c r="BU54" s="13" t="str">
        <f>HYPERLINK("https%3A%2F%2Fwww.webofscience.com%2Fwos%2Fwoscc%2Ffull-record%2FWOS:000237878900014","View Full Record in Web of Science")</f>
        <v>View Full Record in Web of Science</v>
      </c>
    </row>
    <row r="55" ht="12.75" customHeight="1">
      <c r="A55" s="13" t="s">
        <v>1896</v>
      </c>
      <c r="B55" s="13" t="s">
        <v>2778</v>
      </c>
      <c r="C55" s="13" t="s">
        <v>1482</v>
      </c>
      <c r="D55" s="13" t="s">
        <v>1482</v>
      </c>
      <c r="E55" s="13" t="s">
        <v>1482</v>
      </c>
      <c r="F55" s="13" t="s">
        <v>2779</v>
      </c>
      <c r="G55" s="13" t="s">
        <v>1482</v>
      </c>
      <c r="H55" s="13" t="s">
        <v>1482</v>
      </c>
      <c r="I55" s="13" t="s">
        <v>2780</v>
      </c>
      <c r="J55" s="13" t="s">
        <v>2691</v>
      </c>
      <c r="K55" s="13" t="s">
        <v>1482</v>
      </c>
      <c r="L55" s="13" t="s">
        <v>1482</v>
      </c>
      <c r="M55" s="13" t="s">
        <v>1901</v>
      </c>
      <c r="N55" s="13" t="s">
        <v>1902</v>
      </c>
      <c r="O55" s="13" t="s">
        <v>1482</v>
      </c>
      <c r="P55" s="13" t="s">
        <v>1482</v>
      </c>
      <c r="Q55" s="13" t="s">
        <v>1482</v>
      </c>
      <c r="R55" s="13" t="s">
        <v>1482</v>
      </c>
      <c r="S55" s="13" t="s">
        <v>1482</v>
      </c>
      <c r="T55" s="13" t="s">
        <v>2781</v>
      </c>
      <c r="U55" s="13" t="s">
        <v>2782</v>
      </c>
      <c r="V55" s="13" t="s">
        <v>2783</v>
      </c>
      <c r="W55" s="13" t="s">
        <v>2784</v>
      </c>
      <c r="X55" s="13" t="s">
        <v>2785</v>
      </c>
      <c r="Y55" s="13" t="s">
        <v>2786</v>
      </c>
      <c r="Z55" s="13" t="s">
        <v>2787</v>
      </c>
      <c r="AA55" s="13" t="s">
        <v>1482</v>
      </c>
      <c r="AB55" s="13" t="s">
        <v>1482</v>
      </c>
      <c r="AC55" s="13" t="s">
        <v>1482</v>
      </c>
      <c r="AD55" s="13" t="s">
        <v>1482</v>
      </c>
      <c r="AE55" s="13" t="s">
        <v>1482</v>
      </c>
      <c r="AF55" s="13" t="s">
        <v>1482</v>
      </c>
      <c r="AG55" s="13">
        <v>37.0</v>
      </c>
      <c r="AH55" s="13">
        <v>26.0</v>
      </c>
      <c r="AI55" s="13">
        <v>34.0</v>
      </c>
      <c r="AJ55" s="13">
        <v>0.0</v>
      </c>
      <c r="AK55" s="13">
        <v>20.0</v>
      </c>
      <c r="AL55" s="13" t="s">
        <v>1998</v>
      </c>
      <c r="AM55" s="13" t="s">
        <v>1999</v>
      </c>
      <c r="AN55" s="13" t="s">
        <v>2000</v>
      </c>
      <c r="AO55" s="13" t="s">
        <v>2702</v>
      </c>
      <c r="AP55" s="13" t="s">
        <v>2703</v>
      </c>
      <c r="AQ55" s="13" t="s">
        <v>1482</v>
      </c>
      <c r="AR55" s="13" t="s">
        <v>2704</v>
      </c>
      <c r="AS55" s="13" t="s">
        <v>2705</v>
      </c>
      <c r="AT55" s="13" t="s">
        <v>2033</v>
      </c>
      <c r="AU55" s="13">
        <v>2006.0</v>
      </c>
      <c r="AV55" s="13">
        <v>44.0</v>
      </c>
      <c r="AW55" s="13">
        <v>2.0</v>
      </c>
      <c r="AX55" s="13" t="s">
        <v>1482</v>
      </c>
      <c r="AY55" s="13" t="s">
        <v>1482</v>
      </c>
      <c r="AZ55" s="13" t="s">
        <v>1482</v>
      </c>
      <c r="BA55" s="13" t="s">
        <v>1482</v>
      </c>
      <c r="BB55" s="13">
        <v>209.0</v>
      </c>
      <c r="BC55" s="13">
        <v>218.0</v>
      </c>
      <c r="BD55" s="13" t="s">
        <v>1482</v>
      </c>
      <c r="BE55" s="13" t="s">
        <v>1542</v>
      </c>
      <c r="BF55" s="15" t="str">
        <f>HYPERLINK("http://dx.doi.org/10.1111/j.1365-2028.2006.00629.x","http://dx.doi.org/10.1111/j.1365-2028.2006.00629.x")</f>
        <v>http://dx.doi.org/10.1111/j.1365-2028.2006.00629.x</v>
      </c>
      <c r="BG55" s="13"/>
      <c r="BH55" s="13" t="s">
        <v>1482</v>
      </c>
      <c r="BI55" s="13" t="s">
        <v>1482</v>
      </c>
      <c r="BJ55" s="13">
        <v>10.0</v>
      </c>
      <c r="BK55" s="13" t="s">
        <v>2154</v>
      </c>
      <c r="BL55" s="13" t="s">
        <v>1920</v>
      </c>
      <c r="BM55" s="13" t="s">
        <v>2156</v>
      </c>
      <c r="BN55" s="13" t="s">
        <v>2788</v>
      </c>
      <c r="BO55" s="13" t="s">
        <v>1482</v>
      </c>
      <c r="BP55" s="13" t="s">
        <v>1482</v>
      </c>
      <c r="BQ55" s="13" t="s">
        <v>1482</v>
      </c>
      <c r="BR55" s="13" t="s">
        <v>1482</v>
      </c>
      <c r="BS55" s="13" t="s">
        <v>2961</v>
      </c>
      <c r="BT55" s="13" t="s">
        <v>2789</v>
      </c>
      <c r="BU55" s="13" t="str">
        <f>HYPERLINK("https%3A%2F%2Fwww.webofscience.com%2Fwos%2Fwoscc%2Ffull-record%2FWOS:000237691500011","View Full Record in Web of Science")</f>
        <v>View Full Record in Web of Science</v>
      </c>
    </row>
    <row r="56" ht="12.75" customHeight="1">
      <c r="A56" s="13" t="s">
        <v>1896</v>
      </c>
      <c r="B56" s="13" t="s">
        <v>2391</v>
      </c>
      <c r="C56" s="13" t="s">
        <v>1482</v>
      </c>
      <c r="D56" s="13" t="s">
        <v>1482</v>
      </c>
      <c r="E56" s="13" t="s">
        <v>1482</v>
      </c>
      <c r="F56" s="13" t="s">
        <v>2391</v>
      </c>
      <c r="G56" s="13" t="s">
        <v>1482</v>
      </c>
      <c r="H56" s="13" t="s">
        <v>1482</v>
      </c>
      <c r="I56" s="13" t="s">
        <v>2392</v>
      </c>
      <c r="J56" s="13" t="s">
        <v>2266</v>
      </c>
      <c r="K56" s="13" t="s">
        <v>1482</v>
      </c>
      <c r="L56" s="13" t="s">
        <v>1482</v>
      </c>
      <c r="M56" s="13" t="s">
        <v>1901</v>
      </c>
      <c r="N56" s="13" t="s">
        <v>1902</v>
      </c>
      <c r="O56" s="13" t="s">
        <v>1482</v>
      </c>
      <c r="P56" s="13" t="s">
        <v>1482</v>
      </c>
      <c r="Q56" s="13" t="s">
        <v>1482</v>
      </c>
      <c r="R56" s="13" t="s">
        <v>1482</v>
      </c>
      <c r="S56" s="13" t="s">
        <v>1482</v>
      </c>
      <c r="T56" s="13" t="s">
        <v>2393</v>
      </c>
      <c r="U56" s="13" t="s">
        <v>2394</v>
      </c>
      <c r="V56" s="13" t="s">
        <v>2395</v>
      </c>
      <c r="W56" s="13" t="s">
        <v>2396</v>
      </c>
      <c r="X56" s="13" t="s">
        <v>2397</v>
      </c>
      <c r="Y56" s="13" t="s">
        <v>2398</v>
      </c>
      <c r="Z56" s="13" t="s">
        <v>2399</v>
      </c>
      <c r="AA56" s="13" t="s">
        <v>1482</v>
      </c>
      <c r="AB56" s="13" t="s">
        <v>1482</v>
      </c>
      <c r="AC56" s="13" t="s">
        <v>1482</v>
      </c>
      <c r="AD56" s="13" t="s">
        <v>1482</v>
      </c>
      <c r="AE56" s="13" t="s">
        <v>1482</v>
      </c>
      <c r="AF56" s="13" t="s">
        <v>1482</v>
      </c>
      <c r="AG56" s="13">
        <v>65.0</v>
      </c>
      <c r="AH56" s="13">
        <v>49.0</v>
      </c>
      <c r="AI56" s="13">
        <v>61.0</v>
      </c>
      <c r="AJ56" s="13">
        <v>0.0</v>
      </c>
      <c r="AK56" s="13">
        <v>32.0</v>
      </c>
      <c r="AL56" s="13" t="s">
        <v>2278</v>
      </c>
      <c r="AM56" s="13" t="s">
        <v>2367</v>
      </c>
      <c r="AN56" s="13" t="s">
        <v>2368</v>
      </c>
      <c r="AO56" s="13" t="s">
        <v>2281</v>
      </c>
      <c r="AP56" s="13" t="s">
        <v>2282</v>
      </c>
      <c r="AQ56" s="13" t="s">
        <v>1482</v>
      </c>
      <c r="AR56" s="13" t="s">
        <v>2283</v>
      </c>
      <c r="AS56" s="13" t="s">
        <v>2284</v>
      </c>
      <c r="AT56" s="13" t="s">
        <v>2400</v>
      </c>
      <c r="AU56" s="13">
        <v>2005.0</v>
      </c>
      <c r="AV56" s="13">
        <v>126.0</v>
      </c>
      <c r="AW56" s="13">
        <v>3.0</v>
      </c>
      <c r="AX56" s="13" t="s">
        <v>1482</v>
      </c>
      <c r="AY56" s="13" t="s">
        <v>1482</v>
      </c>
      <c r="AZ56" s="13" t="s">
        <v>1482</v>
      </c>
      <c r="BA56" s="13" t="s">
        <v>1482</v>
      </c>
      <c r="BB56" s="13">
        <v>351.0</v>
      </c>
      <c r="BC56" s="13">
        <v>362.0</v>
      </c>
      <c r="BD56" s="13" t="s">
        <v>1482</v>
      </c>
      <c r="BE56" s="13" t="s">
        <v>1511</v>
      </c>
      <c r="BF56" s="15" t="str">
        <f>HYPERLINK("http://dx.doi.org/10.1016/j.biocon.2005.06.024","http://dx.doi.org/10.1016/j.biocon.2005.06.024")</f>
        <v>http://dx.doi.org/10.1016/j.biocon.2005.06.024</v>
      </c>
      <c r="BG56" s="13"/>
      <c r="BH56" s="13" t="s">
        <v>1482</v>
      </c>
      <c r="BI56" s="13" t="s">
        <v>1482</v>
      </c>
      <c r="BJ56" s="13">
        <v>12.0</v>
      </c>
      <c r="BK56" s="13" t="s">
        <v>1956</v>
      </c>
      <c r="BL56" s="13" t="s">
        <v>1920</v>
      </c>
      <c r="BM56" s="13" t="s">
        <v>1957</v>
      </c>
      <c r="BN56" s="13" t="s">
        <v>2401</v>
      </c>
      <c r="BO56" s="13" t="s">
        <v>1482</v>
      </c>
      <c r="BP56" s="13" t="s">
        <v>1482</v>
      </c>
      <c r="BQ56" s="13" t="s">
        <v>1482</v>
      </c>
      <c r="BR56" s="13" t="s">
        <v>1482</v>
      </c>
      <c r="BS56" s="13" t="s">
        <v>2961</v>
      </c>
      <c r="BT56" s="13" t="s">
        <v>2402</v>
      </c>
      <c r="BU56" s="13" t="str">
        <f>HYPERLINK("https%3A%2F%2Fwww.webofscience.com%2Fwos%2Fwoscc%2Ffull-record%2FWOS:000232993900006","View Full Record in Web of Science")</f>
        <v>View Full Record in Web of Science</v>
      </c>
    </row>
    <row r="57" ht="12.75" customHeight="1">
      <c r="A57" s="13" t="s">
        <v>1896</v>
      </c>
      <c r="B57" s="13" t="s">
        <v>2841</v>
      </c>
      <c r="C57" s="13" t="s">
        <v>1482</v>
      </c>
      <c r="D57" s="13" t="s">
        <v>1482</v>
      </c>
      <c r="E57" s="13" t="s">
        <v>1482</v>
      </c>
      <c r="F57" s="13" t="s">
        <v>2842</v>
      </c>
      <c r="G57" s="13" t="s">
        <v>1482</v>
      </c>
      <c r="H57" s="13" t="s">
        <v>1482</v>
      </c>
      <c r="I57" s="13" t="s">
        <v>2843</v>
      </c>
      <c r="J57" s="13" t="s">
        <v>2691</v>
      </c>
      <c r="K57" s="13" t="s">
        <v>1482</v>
      </c>
      <c r="L57" s="13" t="s">
        <v>1482</v>
      </c>
      <c r="M57" s="13" t="s">
        <v>1901</v>
      </c>
      <c r="N57" s="13" t="s">
        <v>1902</v>
      </c>
      <c r="O57" s="13" t="s">
        <v>1482</v>
      </c>
      <c r="P57" s="13" t="s">
        <v>1482</v>
      </c>
      <c r="Q57" s="13" t="s">
        <v>1482</v>
      </c>
      <c r="R57" s="13" t="s">
        <v>1482</v>
      </c>
      <c r="S57" s="13" t="s">
        <v>1482</v>
      </c>
      <c r="T57" s="13" t="s">
        <v>2844</v>
      </c>
      <c r="U57" s="13" t="s">
        <v>2845</v>
      </c>
      <c r="V57" s="13" t="s">
        <v>2846</v>
      </c>
      <c r="W57" s="13" t="s">
        <v>2847</v>
      </c>
      <c r="X57" s="13" t="s">
        <v>2323</v>
      </c>
      <c r="Y57" s="13" t="s">
        <v>2848</v>
      </c>
      <c r="Z57" s="13" t="s">
        <v>2849</v>
      </c>
      <c r="AA57" s="13" t="s">
        <v>3114</v>
      </c>
      <c r="AB57" s="13" t="s">
        <v>3115</v>
      </c>
      <c r="AC57" s="13" t="s">
        <v>2852</v>
      </c>
      <c r="AD57" s="13" t="s">
        <v>2853</v>
      </c>
      <c r="AE57" s="13" t="s">
        <v>2854</v>
      </c>
      <c r="AF57" s="13" t="s">
        <v>1482</v>
      </c>
      <c r="AG57" s="13">
        <v>52.0</v>
      </c>
      <c r="AH57" s="13">
        <v>93.0</v>
      </c>
      <c r="AI57" s="13">
        <v>127.0</v>
      </c>
      <c r="AJ57" s="13">
        <v>1.0</v>
      </c>
      <c r="AK57" s="13">
        <v>59.0</v>
      </c>
      <c r="AL57" s="13" t="s">
        <v>1998</v>
      </c>
      <c r="AM57" s="13" t="s">
        <v>1999</v>
      </c>
      <c r="AN57" s="13" t="s">
        <v>2000</v>
      </c>
      <c r="AO57" s="13" t="s">
        <v>2702</v>
      </c>
      <c r="AP57" s="13" t="s">
        <v>2703</v>
      </c>
      <c r="AQ57" s="13" t="s">
        <v>1482</v>
      </c>
      <c r="AR57" s="13" t="s">
        <v>2704</v>
      </c>
      <c r="AS57" s="13" t="s">
        <v>2705</v>
      </c>
      <c r="AT57" s="13" t="s">
        <v>2400</v>
      </c>
      <c r="AU57" s="13">
        <v>2008.0</v>
      </c>
      <c r="AV57" s="13">
        <v>46.0</v>
      </c>
      <c r="AW57" s="13">
        <v>4.0</v>
      </c>
      <c r="AX57" s="13" t="s">
        <v>1482</v>
      </c>
      <c r="AY57" s="13" t="s">
        <v>1482</v>
      </c>
      <c r="AZ57" s="13" t="s">
        <v>1482</v>
      </c>
      <c r="BA57" s="13" t="s">
        <v>1482</v>
      </c>
      <c r="BB57" s="13">
        <v>479.0</v>
      </c>
      <c r="BC57" s="13">
        <v>487.0</v>
      </c>
      <c r="BD57" s="13" t="s">
        <v>1482</v>
      </c>
      <c r="BE57" s="13" t="s">
        <v>1505</v>
      </c>
      <c r="BF57" s="15" t="str">
        <f>HYPERLINK("http://dx.doi.org/10.1111/j.1365-2028.2007.00881.x","http://dx.doi.org/10.1111/j.1365-2028.2007.00881.x")</f>
        <v>http://dx.doi.org/10.1111/j.1365-2028.2007.00881.x</v>
      </c>
      <c r="BG57" s="13"/>
      <c r="BH57" s="13" t="s">
        <v>1482</v>
      </c>
      <c r="BI57" s="13" t="s">
        <v>1482</v>
      </c>
      <c r="BJ57" s="13">
        <v>9.0</v>
      </c>
      <c r="BK57" s="13" t="s">
        <v>2154</v>
      </c>
      <c r="BL57" s="13" t="s">
        <v>1920</v>
      </c>
      <c r="BM57" s="13" t="s">
        <v>2156</v>
      </c>
      <c r="BN57" s="13" t="s">
        <v>2855</v>
      </c>
      <c r="BO57" s="13" t="s">
        <v>1482</v>
      </c>
      <c r="BP57" s="13" t="s">
        <v>1482</v>
      </c>
      <c r="BQ57" s="13" t="s">
        <v>1482</v>
      </c>
      <c r="BR57" s="13" t="s">
        <v>1482</v>
      </c>
      <c r="BS57" s="13" t="s">
        <v>2961</v>
      </c>
      <c r="BT57" s="13" t="s">
        <v>2856</v>
      </c>
      <c r="BU57" s="13" t="str">
        <f>HYPERLINK("https%3A%2F%2Fwww.webofscience.com%2Fwos%2Fwoscc%2Ffull-record%2FWOS:000261243500004","View Full Record in Web of Science")</f>
        <v>View Full Record in Web of Science</v>
      </c>
    </row>
    <row r="58" ht="12.75" customHeight="1">
      <c r="A58" s="13" t="s">
        <v>1896</v>
      </c>
      <c r="B58" s="13" t="s">
        <v>2942</v>
      </c>
      <c r="C58" s="13" t="s">
        <v>1482</v>
      </c>
      <c r="D58" s="13" t="s">
        <v>1482</v>
      </c>
      <c r="E58" s="13" t="s">
        <v>1482</v>
      </c>
      <c r="F58" s="13" t="s">
        <v>2943</v>
      </c>
      <c r="G58" s="13" t="s">
        <v>1482</v>
      </c>
      <c r="H58" s="13" t="s">
        <v>1482</v>
      </c>
      <c r="I58" s="13" t="s">
        <v>2944</v>
      </c>
      <c r="J58" s="13" t="s">
        <v>1937</v>
      </c>
      <c r="K58" s="13" t="s">
        <v>1482</v>
      </c>
      <c r="L58" s="13" t="s">
        <v>1482</v>
      </c>
      <c r="M58" s="13" t="s">
        <v>1901</v>
      </c>
      <c r="N58" s="13" t="s">
        <v>1902</v>
      </c>
      <c r="O58" s="13" t="s">
        <v>1482</v>
      </c>
      <c r="P58" s="13" t="s">
        <v>1482</v>
      </c>
      <c r="Q58" s="13" t="s">
        <v>1482</v>
      </c>
      <c r="R58" s="13" t="s">
        <v>1482</v>
      </c>
      <c r="S58" s="13" t="s">
        <v>1482</v>
      </c>
      <c r="T58" s="13" t="s">
        <v>2945</v>
      </c>
      <c r="U58" s="13" t="s">
        <v>2946</v>
      </c>
      <c r="V58" s="13" t="s">
        <v>2947</v>
      </c>
      <c r="W58" s="13" t="s">
        <v>2948</v>
      </c>
      <c r="X58" s="13" t="s">
        <v>2949</v>
      </c>
      <c r="Y58" s="13" t="s">
        <v>2950</v>
      </c>
      <c r="Z58" s="13" t="s">
        <v>2951</v>
      </c>
      <c r="AA58" s="13" t="s">
        <v>3116</v>
      </c>
      <c r="AB58" s="13" t="s">
        <v>2953</v>
      </c>
      <c r="AC58" s="13" t="s">
        <v>1482</v>
      </c>
      <c r="AD58" s="13" t="s">
        <v>1482</v>
      </c>
      <c r="AE58" s="13" t="s">
        <v>1482</v>
      </c>
      <c r="AF58" s="13" t="s">
        <v>1482</v>
      </c>
      <c r="AG58" s="13">
        <v>45.0</v>
      </c>
      <c r="AH58" s="13">
        <v>69.0</v>
      </c>
      <c r="AI58" s="13">
        <v>114.0</v>
      </c>
      <c r="AJ58" s="13">
        <v>0.0</v>
      </c>
      <c r="AK58" s="13">
        <v>35.0</v>
      </c>
      <c r="AL58" s="13" t="s">
        <v>1948</v>
      </c>
      <c r="AM58" s="13" t="s">
        <v>1949</v>
      </c>
      <c r="AN58" s="13" t="s">
        <v>1950</v>
      </c>
      <c r="AO58" s="13" t="s">
        <v>1951</v>
      </c>
      <c r="AP58" s="13" t="s">
        <v>1952</v>
      </c>
      <c r="AQ58" s="13" t="s">
        <v>1482</v>
      </c>
      <c r="AR58" s="13" t="s">
        <v>1953</v>
      </c>
      <c r="AS58" s="13" t="s">
        <v>1954</v>
      </c>
      <c r="AT58" s="13" t="s">
        <v>2177</v>
      </c>
      <c r="AU58" s="13">
        <v>2007.0</v>
      </c>
      <c r="AV58" s="13">
        <v>16.0</v>
      </c>
      <c r="AW58" s="13">
        <v>3.0</v>
      </c>
      <c r="AX58" s="13" t="s">
        <v>1482</v>
      </c>
      <c r="AY58" s="13" t="s">
        <v>1482</v>
      </c>
      <c r="AZ58" s="13" t="s">
        <v>1482</v>
      </c>
      <c r="BA58" s="13" t="s">
        <v>1482</v>
      </c>
      <c r="BB58" s="13">
        <v>743.0</v>
      </c>
      <c r="BC58" s="13">
        <v>756.0</v>
      </c>
      <c r="BD58" s="13" t="s">
        <v>1482</v>
      </c>
      <c r="BE58" s="13" t="s">
        <v>1587</v>
      </c>
      <c r="BF58" s="15" t="str">
        <f>HYPERLINK("http://dx.doi.org/10.1007/s10531-005-6198-7","http://dx.doi.org/10.1007/s10531-005-6198-7")</f>
        <v>http://dx.doi.org/10.1007/s10531-005-6198-7</v>
      </c>
      <c r="BG58" s="13"/>
      <c r="BH58" s="13" t="s">
        <v>1482</v>
      </c>
      <c r="BI58" s="13" t="s">
        <v>1482</v>
      </c>
      <c r="BJ58" s="13">
        <v>14.0</v>
      </c>
      <c r="BK58" s="13" t="s">
        <v>1956</v>
      </c>
      <c r="BL58" s="13" t="s">
        <v>1920</v>
      </c>
      <c r="BM58" s="13" t="s">
        <v>1957</v>
      </c>
      <c r="BN58" s="13" t="s">
        <v>2954</v>
      </c>
      <c r="BO58" s="13" t="s">
        <v>1482</v>
      </c>
      <c r="BP58" s="13" t="s">
        <v>1482</v>
      </c>
      <c r="BQ58" s="13" t="s">
        <v>1482</v>
      </c>
      <c r="BR58" s="13" t="s">
        <v>1482</v>
      </c>
      <c r="BS58" s="13" t="s">
        <v>2961</v>
      </c>
      <c r="BT58" s="13" t="s">
        <v>2955</v>
      </c>
      <c r="BU58" s="13" t="str">
        <f>HYPERLINK("https%3A%2F%2Fwww.webofscience.com%2Fwos%2Fwoscc%2Ffull-record%2FWOS:000244684700011","View Full Record in Web of Science")</f>
        <v>View Full Record in Web of Science</v>
      </c>
    </row>
    <row r="59" ht="12.75" customHeight="1">
      <c r="A59" s="13" t="s">
        <v>1896</v>
      </c>
      <c r="B59" s="13" t="s">
        <v>2893</v>
      </c>
      <c r="C59" s="13" t="s">
        <v>1482</v>
      </c>
      <c r="D59" s="13" t="s">
        <v>1482</v>
      </c>
      <c r="E59" s="13" t="s">
        <v>1482</v>
      </c>
      <c r="F59" s="13" t="s">
        <v>2894</v>
      </c>
      <c r="G59" s="13" t="s">
        <v>1482</v>
      </c>
      <c r="H59" s="13" t="s">
        <v>1482</v>
      </c>
      <c r="I59" s="13" t="s">
        <v>2895</v>
      </c>
      <c r="J59" s="13" t="s">
        <v>2016</v>
      </c>
      <c r="K59" s="13" t="s">
        <v>1482</v>
      </c>
      <c r="L59" s="13" t="s">
        <v>1482</v>
      </c>
      <c r="M59" s="13" t="s">
        <v>1901</v>
      </c>
      <c r="N59" s="13" t="s">
        <v>1902</v>
      </c>
      <c r="O59" s="13" t="s">
        <v>1482</v>
      </c>
      <c r="P59" s="13" t="s">
        <v>1482</v>
      </c>
      <c r="Q59" s="13" t="s">
        <v>1482</v>
      </c>
      <c r="R59" s="13" t="s">
        <v>1482</v>
      </c>
      <c r="S59" s="13" t="s">
        <v>1482</v>
      </c>
      <c r="T59" s="13" t="s">
        <v>2896</v>
      </c>
      <c r="U59" s="13" t="s">
        <v>2897</v>
      </c>
      <c r="V59" s="13" t="s">
        <v>2898</v>
      </c>
      <c r="W59" s="13" t="s">
        <v>2899</v>
      </c>
      <c r="X59" s="13" t="s">
        <v>2900</v>
      </c>
      <c r="Y59" s="13" t="s">
        <v>2901</v>
      </c>
      <c r="Z59" s="13" t="s">
        <v>2902</v>
      </c>
      <c r="AA59" s="13" t="s">
        <v>1482</v>
      </c>
      <c r="AB59" s="13" t="s">
        <v>1482</v>
      </c>
      <c r="AC59" s="13" t="s">
        <v>2903</v>
      </c>
      <c r="AD59" s="13" t="s">
        <v>2904</v>
      </c>
      <c r="AE59" s="13" t="s">
        <v>2905</v>
      </c>
      <c r="AF59" s="13" t="s">
        <v>1482</v>
      </c>
      <c r="AG59" s="13">
        <v>52.0</v>
      </c>
      <c r="AH59" s="13">
        <v>27.0</v>
      </c>
      <c r="AI59" s="13">
        <v>36.0</v>
      </c>
      <c r="AJ59" s="13">
        <v>0.0</v>
      </c>
      <c r="AK59" s="13">
        <v>76.0</v>
      </c>
      <c r="AL59" s="13" t="s">
        <v>1998</v>
      </c>
      <c r="AM59" s="13" t="s">
        <v>1999</v>
      </c>
      <c r="AN59" s="13" t="s">
        <v>2000</v>
      </c>
      <c r="AO59" s="13" t="s">
        <v>2029</v>
      </c>
      <c r="AP59" s="13" t="s">
        <v>2030</v>
      </c>
      <c r="AQ59" s="13" t="s">
        <v>1482</v>
      </c>
      <c r="AR59" s="13" t="s">
        <v>2031</v>
      </c>
      <c r="AS59" s="13" t="s">
        <v>2032</v>
      </c>
      <c r="AT59" s="13" t="s">
        <v>2198</v>
      </c>
      <c r="AU59" s="13">
        <v>2013.0</v>
      </c>
      <c r="AV59" s="13">
        <v>16.0</v>
      </c>
      <c r="AW59" s="13">
        <v>4.0</v>
      </c>
      <c r="AX59" s="13" t="s">
        <v>1482</v>
      </c>
      <c r="AY59" s="13" t="s">
        <v>1482</v>
      </c>
      <c r="AZ59" s="13" t="s">
        <v>1482</v>
      </c>
      <c r="BA59" s="13" t="s">
        <v>1482</v>
      </c>
      <c r="BB59" s="13">
        <v>430.0</v>
      </c>
      <c r="BC59" s="13">
        <v>437.0</v>
      </c>
      <c r="BD59" s="13" t="s">
        <v>1482</v>
      </c>
      <c r="BE59" s="13" t="s">
        <v>1514</v>
      </c>
      <c r="BF59" s="15" t="str">
        <f>HYPERLINK("http://dx.doi.org/10.1111/acv.12012","http://dx.doi.org/10.1111/acv.12012")</f>
        <v>http://dx.doi.org/10.1111/acv.12012</v>
      </c>
      <c r="BG59" s="13"/>
      <c r="BH59" s="13" t="s">
        <v>1482</v>
      </c>
      <c r="BI59" s="13" t="s">
        <v>1482</v>
      </c>
      <c r="BJ59" s="13">
        <v>8.0</v>
      </c>
      <c r="BK59" s="13" t="s">
        <v>2034</v>
      </c>
      <c r="BL59" s="13" t="s">
        <v>1920</v>
      </c>
      <c r="BM59" s="13" t="s">
        <v>1957</v>
      </c>
      <c r="BN59" s="13" t="s">
        <v>2906</v>
      </c>
      <c r="BO59" s="13" t="s">
        <v>1482</v>
      </c>
      <c r="BP59" s="13" t="s">
        <v>1482</v>
      </c>
      <c r="BQ59" s="13" t="s">
        <v>1482</v>
      </c>
      <c r="BR59" s="13" t="s">
        <v>1482</v>
      </c>
      <c r="BS59" s="13" t="s">
        <v>2961</v>
      </c>
      <c r="BT59" s="13" t="s">
        <v>2907</v>
      </c>
      <c r="BU59" s="13" t="str">
        <f>HYPERLINK("https%3A%2F%2Fwww.webofscience.com%2Fwos%2Fwoscc%2Ffull-record%2FWOS:000323101700011","View Full Record in Web of Science")</f>
        <v>View Full Record in Web of Science</v>
      </c>
    </row>
    <row r="60" ht="12.75" customHeight="1">
      <c r="A60" s="13" t="s">
        <v>1896</v>
      </c>
      <c r="B60" s="13" t="s">
        <v>2911</v>
      </c>
      <c r="C60" s="13" t="s">
        <v>1482</v>
      </c>
      <c r="D60" s="13" t="s">
        <v>1482</v>
      </c>
      <c r="E60" s="13" t="s">
        <v>1482</v>
      </c>
      <c r="F60" s="13" t="s">
        <v>2912</v>
      </c>
      <c r="G60" s="13" t="s">
        <v>1482</v>
      </c>
      <c r="H60" s="13" t="s">
        <v>1482</v>
      </c>
      <c r="I60" s="13" t="s">
        <v>2913</v>
      </c>
      <c r="J60" s="13" t="s">
        <v>2409</v>
      </c>
      <c r="K60" s="13" t="s">
        <v>1482</v>
      </c>
      <c r="L60" s="13" t="s">
        <v>1482</v>
      </c>
      <c r="M60" s="13" t="s">
        <v>1901</v>
      </c>
      <c r="N60" s="13" t="s">
        <v>1902</v>
      </c>
      <c r="O60" s="13" t="s">
        <v>1482</v>
      </c>
      <c r="P60" s="13" t="s">
        <v>1482</v>
      </c>
      <c r="Q60" s="13" t="s">
        <v>1482</v>
      </c>
      <c r="R60" s="13" t="s">
        <v>1482</v>
      </c>
      <c r="S60" s="13" t="s">
        <v>1482</v>
      </c>
      <c r="T60" s="13" t="s">
        <v>2914</v>
      </c>
      <c r="U60" s="13" t="s">
        <v>2915</v>
      </c>
      <c r="V60" s="13" t="s">
        <v>2916</v>
      </c>
      <c r="W60" s="13" t="s">
        <v>2917</v>
      </c>
      <c r="X60" s="13" t="s">
        <v>2918</v>
      </c>
      <c r="Y60" s="13" t="s">
        <v>2919</v>
      </c>
      <c r="Z60" s="13" t="s">
        <v>2920</v>
      </c>
      <c r="AA60" s="13" t="s">
        <v>3117</v>
      </c>
      <c r="AB60" s="13" t="s">
        <v>3118</v>
      </c>
      <c r="AC60" s="13" t="s">
        <v>2923</v>
      </c>
      <c r="AD60" s="13" t="s">
        <v>2924</v>
      </c>
      <c r="AE60" s="13" t="s">
        <v>2925</v>
      </c>
      <c r="AF60" s="13" t="s">
        <v>1482</v>
      </c>
      <c r="AG60" s="13">
        <v>86.0</v>
      </c>
      <c r="AH60" s="13">
        <v>39.0</v>
      </c>
      <c r="AI60" s="13">
        <v>49.0</v>
      </c>
      <c r="AJ60" s="13">
        <v>1.0</v>
      </c>
      <c r="AK60" s="13">
        <v>72.0</v>
      </c>
      <c r="AL60" s="13" t="s">
        <v>2416</v>
      </c>
      <c r="AM60" s="13" t="s">
        <v>2225</v>
      </c>
      <c r="AN60" s="13" t="s">
        <v>2885</v>
      </c>
      <c r="AO60" s="13" t="s">
        <v>2419</v>
      </c>
      <c r="AP60" s="13" t="s">
        <v>2420</v>
      </c>
      <c r="AQ60" s="13" t="s">
        <v>1482</v>
      </c>
      <c r="AR60" s="13" t="s">
        <v>2409</v>
      </c>
      <c r="AS60" s="13" t="s">
        <v>2421</v>
      </c>
      <c r="AT60" s="13" t="s">
        <v>2926</v>
      </c>
      <c r="AU60" s="13">
        <v>2017.0</v>
      </c>
      <c r="AV60" s="13">
        <v>51.0</v>
      </c>
      <c r="AW60" s="13">
        <v>1.0</v>
      </c>
      <c r="AX60" s="13" t="s">
        <v>1482</v>
      </c>
      <c r="AY60" s="13" t="s">
        <v>1482</v>
      </c>
      <c r="AZ60" s="13" t="s">
        <v>1482</v>
      </c>
      <c r="BA60" s="13" t="s">
        <v>1482</v>
      </c>
      <c r="BB60" s="13">
        <v>87.0</v>
      </c>
      <c r="BC60" s="13">
        <v>97.0</v>
      </c>
      <c r="BD60" s="13" t="s">
        <v>1482</v>
      </c>
      <c r="BE60" s="13" t="s">
        <v>1531</v>
      </c>
      <c r="BF60" s="15" t="str">
        <f>HYPERLINK("http://dx.doi.org/10.1017/S0030605315000836","http://dx.doi.org/10.1017/S0030605315000836")</f>
        <v>http://dx.doi.org/10.1017/S0030605315000836</v>
      </c>
      <c r="BG60" s="13"/>
      <c r="BH60" s="13" t="s">
        <v>1482</v>
      </c>
      <c r="BI60" s="13" t="s">
        <v>1482</v>
      </c>
      <c r="BJ60" s="13">
        <v>11.0</v>
      </c>
      <c r="BK60" s="13" t="s">
        <v>2034</v>
      </c>
      <c r="BL60" s="13" t="s">
        <v>1920</v>
      </c>
      <c r="BM60" s="13" t="s">
        <v>1957</v>
      </c>
      <c r="BN60" s="13" t="s">
        <v>2927</v>
      </c>
      <c r="BO60" s="13" t="s">
        <v>1482</v>
      </c>
      <c r="BP60" s="13" t="s">
        <v>2099</v>
      </c>
      <c r="BQ60" s="13" t="s">
        <v>1482</v>
      </c>
      <c r="BR60" s="13" t="s">
        <v>1482</v>
      </c>
      <c r="BS60" s="13" t="s">
        <v>2961</v>
      </c>
      <c r="BT60" s="13" t="s">
        <v>2928</v>
      </c>
      <c r="BU60" s="13" t="str">
        <f>HYPERLINK("https%3A%2F%2Fwww.webofscience.com%2Fwos%2Fwoscc%2Ffull-record%2FWOS:000392222700020","View Full Record in Web of Science")</f>
        <v>View Full Record in Web of Science</v>
      </c>
    </row>
    <row r="61" ht="12.75" customHeight="1">
      <c r="A61" s="13" t="s">
        <v>1896</v>
      </c>
      <c r="B61" s="13" t="s">
        <v>2081</v>
      </c>
      <c r="C61" s="13" t="s">
        <v>1482</v>
      </c>
      <c r="D61" s="13" t="s">
        <v>1482</v>
      </c>
      <c r="E61" s="13" t="s">
        <v>1482</v>
      </c>
      <c r="F61" s="13" t="s">
        <v>2082</v>
      </c>
      <c r="G61" s="13" t="s">
        <v>1482</v>
      </c>
      <c r="H61" s="13" t="s">
        <v>1482</v>
      </c>
      <c r="I61" s="13" t="s">
        <v>2083</v>
      </c>
      <c r="J61" s="13" t="s">
        <v>2084</v>
      </c>
      <c r="K61" s="13" t="s">
        <v>1482</v>
      </c>
      <c r="L61" s="13" t="s">
        <v>1482</v>
      </c>
      <c r="M61" s="13" t="s">
        <v>1901</v>
      </c>
      <c r="N61" s="13" t="s">
        <v>1902</v>
      </c>
      <c r="O61" s="13" t="s">
        <v>1482</v>
      </c>
      <c r="P61" s="13" t="s">
        <v>1482</v>
      </c>
      <c r="Q61" s="13" t="s">
        <v>1482</v>
      </c>
      <c r="R61" s="13" t="s">
        <v>1482</v>
      </c>
      <c r="S61" s="13" t="s">
        <v>1482</v>
      </c>
      <c r="T61" s="13" t="s">
        <v>2085</v>
      </c>
      <c r="U61" s="13" t="s">
        <v>2086</v>
      </c>
      <c r="V61" s="13" t="s">
        <v>2087</v>
      </c>
      <c r="W61" s="13" t="s">
        <v>2088</v>
      </c>
      <c r="X61" s="13" t="s">
        <v>2089</v>
      </c>
      <c r="Y61" s="13" t="s">
        <v>2090</v>
      </c>
      <c r="Z61" s="13" t="s">
        <v>2091</v>
      </c>
      <c r="AA61" s="13" t="s">
        <v>3119</v>
      </c>
      <c r="AB61" s="13" t="s">
        <v>3120</v>
      </c>
      <c r="AC61" s="13" t="s">
        <v>1482</v>
      </c>
      <c r="AD61" s="13" t="s">
        <v>1482</v>
      </c>
      <c r="AE61" s="13" t="s">
        <v>1482</v>
      </c>
      <c r="AF61" s="13" t="s">
        <v>1482</v>
      </c>
      <c r="AG61" s="13">
        <v>50.0</v>
      </c>
      <c r="AH61" s="13">
        <v>63.0</v>
      </c>
      <c r="AI61" s="13">
        <v>74.0</v>
      </c>
      <c r="AJ61" s="13">
        <v>2.0</v>
      </c>
      <c r="AK61" s="13">
        <v>99.0</v>
      </c>
      <c r="AL61" s="13" t="s">
        <v>1998</v>
      </c>
      <c r="AM61" s="13" t="s">
        <v>1999</v>
      </c>
      <c r="AN61" s="13" t="s">
        <v>2000</v>
      </c>
      <c r="AO61" s="13" t="s">
        <v>2094</v>
      </c>
      <c r="AP61" s="13" t="s">
        <v>2095</v>
      </c>
      <c r="AQ61" s="13" t="s">
        <v>1482</v>
      </c>
      <c r="AR61" s="13" t="s">
        <v>2096</v>
      </c>
      <c r="AS61" s="13" t="s">
        <v>2097</v>
      </c>
      <c r="AT61" s="13" t="s">
        <v>2033</v>
      </c>
      <c r="AU61" s="13">
        <v>2017.0</v>
      </c>
      <c r="AV61" s="13">
        <v>54.0</v>
      </c>
      <c r="AW61" s="13">
        <v>3.0</v>
      </c>
      <c r="AX61" s="13" t="s">
        <v>1482</v>
      </c>
      <c r="AY61" s="13" t="s">
        <v>1482</v>
      </c>
      <c r="AZ61" s="13" t="s">
        <v>1482</v>
      </c>
      <c r="BA61" s="13" t="s">
        <v>1482</v>
      </c>
      <c r="BB61" s="13">
        <v>805.0</v>
      </c>
      <c r="BC61" s="13">
        <v>814.0</v>
      </c>
      <c r="BD61" s="13" t="s">
        <v>1482</v>
      </c>
      <c r="BE61" s="13" t="s">
        <v>1535</v>
      </c>
      <c r="BF61" s="15" t="str">
        <f>HYPERLINK("http://dx.doi.org/10.1111/1365-2664.12798","http://dx.doi.org/10.1111/1365-2664.12798")</f>
        <v>http://dx.doi.org/10.1111/1365-2664.12798</v>
      </c>
      <c r="BG61" s="13"/>
      <c r="BH61" s="13" t="s">
        <v>1482</v>
      </c>
      <c r="BI61" s="13" t="s">
        <v>1482</v>
      </c>
      <c r="BJ61" s="13">
        <v>10.0</v>
      </c>
      <c r="BK61" s="13" t="s">
        <v>2034</v>
      </c>
      <c r="BL61" s="13" t="s">
        <v>1920</v>
      </c>
      <c r="BM61" s="13" t="s">
        <v>1957</v>
      </c>
      <c r="BN61" s="13" t="s">
        <v>2098</v>
      </c>
      <c r="BO61" s="13" t="s">
        <v>1482</v>
      </c>
      <c r="BP61" s="13" t="s">
        <v>2099</v>
      </c>
      <c r="BQ61" s="13" t="s">
        <v>1482</v>
      </c>
      <c r="BR61" s="13" t="s">
        <v>1482</v>
      </c>
      <c r="BS61" s="13" t="s">
        <v>2961</v>
      </c>
      <c r="BT61" s="13" t="s">
        <v>2100</v>
      </c>
      <c r="BU61" s="13" t="str">
        <f>HYPERLINK("https%3A%2F%2Fwww.webofscience.com%2Fwos%2Fwoscc%2Ffull-record%2FWOS:000401239100014","View Full Record in Web of Science")</f>
        <v>View Full Record in Web of Science</v>
      </c>
    </row>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U$61">
    <sortState ref="A1:BU61">
      <sortCondition ref="I1:I61"/>
    </sortState>
  </autoFilter>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row r="2" ht="15.75" customHeight="1">
      <c r="B2" s="54" t="s">
        <v>3121</v>
      </c>
      <c r="F2" s="52" t="s">
        <v>3122</v>
      </c>
    </row>
    <row r="3" ht="15.75" customHeight="1">
      <c r="B3" s="13" t="s">
        <v>3123</v>
      </c>
      <c r="F3" s="67" t="s">
        <v>3124</v>
      </c>
    </row>
    <row r="4" ht="15.75" customHeight="1"/>
    <row r="5" ht="15.75" customHeight="1">
      <c r="F5" s="52" t="s">
        <v>3125</v>
      </c>
    </row>
    <row r="6" ht="15.75" customHeight="1">
      <c r="F6" s="52" t="s">
        <v>3126</v>
      </c>
    </row>
    <row r="7" ht="15.75" customHeight="1">
      <c r="F7" s="52" t="s">
        <v>3127</v>
      </c>
    </row>
    <row r="8" ht="15.75" customHeight="1">
      <c r="F8" s="52" t="s">
        <v>3128</v>
      </c>
    </row>
    <row r="9" ht="15.75" customHeight="1">
      <c r="F9" s="52" t="s">
        <v>3129</v>
      </c>
    </row>
    <row r="10" ht="15.75" customHeight="1">
      <c r="F10" s="52" t="s">
        <v>3130</v>
      </c>
    </row>
    <row r="11" ht="15.75" customHeight="1">
      <c r="F11" s="52" t="s">
        <v>3131</v>
      </c>
    </row>
    <row r="12" ht="15.75" customHeight="1">
      <c r="F12" s="52" t="s">
        <v>3132</v>
      </c>
    </row>
    <row r="13" ht="15.75" customHeight="1">
      <c r="F13" s="52" t="s">
        <v>3133</v>
      </c>
    </row>
    <row r="14" ht="15.75" customHeight="1">
      <c r="F14" s="52" t="s">
        <v>3134</v>
      </c>
    </row>
    <row r="15" ht="15.75" customHeight="1">
      <c r="F15" s="52" t="s">
        <v>3135</v>
      </c>
    </row>
    <row r="16" ht="15.75" customHeight="1">
      <c r="F16" s="52" t="s">
        <v>3136</v>
      </c>
    </row>
    <row r="17" ht="15.75" customHeight="1">
      <c r="F17" s="52" t="s">
        <v>3137</v>
      </c>
    </row>
    <row r="18" ht="15.75" customHeight="1">
      <c r="F18" s="52" t="s">
        <v>3138</v>
      </c>
    </row>
    <row r="19" ht="15.75" customHeight="1">
      <c r="F19" s="52" t="s">
        <v>3139</v>
      </c>
    </row>
    <row r="20" ht="15.75" customHeight="1">
      <c r="F20" s="52" t="s">
        <v>3140</v>
      </c>
    </row>
    <row r="21" ht="15.75" customHeight="1">
      <c r="F21" s="52" t="s">
        <v>2636</v>
      </c>
    </row>
    <row r="22" ht="15.75" customHeight="1">
      <c r="F22" s="52" t="s">
        <v>3141</v>
      </c>
    </row>
    <row r="23" ht="15.75" customHeight="1">
      <c r="F23" s="13"/>
    </row>
    <row r="24" ht="15.75" customHeight="1">
      <c r="F24" s="3" t="s">
        <v>3142</v>
      </c>
    </row>
    <row r="25" ht="15.75" customHeight="1">
      <c r="F25" s="52" t="s">
        <v>3143</v>
      </c>
    </row>
    <row r="26" ht="15.75" customHeight="1">
      <c r="F26" s="52" t="s">
        <v>3143</v>
      </c>
    </row>
    <row r="27" ht="15.75" customHeight="1">
      <c r="F27" s="52" t="s">
        <v>3144</v>
      </c>
    </row>
    <row r="28" ht="15.75" customHeight="1">
      <c r="F28" s="52" t="s">
        <v>3145</v>
      </c>
    </row>
    <row r="29" ht="15.75" customHeight="1">
      <c r="F29" s="52" t="s">
        <v>3146</v>
      </c>
    </row>
    <row r="30" ht="15.75" customHeight="1">
      <c r="F30" s="52" t="s">
        <v>3141</v>
      </c>
    </row>
    <row r="31" ht="15.75" customHeight="1">
      <c r="F31" s="52" t="s">
        <v>3147</v>
      </c>
    </row>
    <row r="32" ht="15.75" customHeight="1">
      <c r="F32" s="52" t="s">
        <v>3148</v>
      </c>
    </row>
    <row r="33" ht="15.75" customHeight="1">
      <c r="F33" s="52" t="s">
        <v>3141</v>
      </c>
    </row>
    <row r="34" ht="15.75" customHeight="1">
      <c r="F34" s="13"/>
    </row>
    <row r="35" ht="15.75" customHeight="1">
      <c r="F35" s="52" t="s">
        <v>3149</v>
      </c>
    </row>
    <row r="36" ht="15.75" customHeight="1">
      <c r="F36" s="52" t="s">
        <v>3143</v>
      </c>
    </row>
    <row r="37" ht="15.75" customHeight="1">
      <c r="F37" s="52" t="s">
        <v>3143</v>
      </c>
    </row>
    <row r="38" ht="15.75" customHeight="1">
      <c r="F38" s="52" t="s">
        <v>3150</v>
      </c>
    </row>
    <row r="39" ht="15.75" customHeight="1">
      <c r="F39" s="52" t="s">
        <v>3151</v>
      </c>
    </row>
    <row r="40" ht="15.75" customHeight="1">
      <c r="F40" s="3" t="s">
        <v>3152</v>
      </c>
    </row>
    <row r="41" ht="15.75" customHeight="1">
      <c r="F41" s="52" t="s">
        <v>3153</v>
      </c>
    </row>
    <row r="42" ht="15.75" customHeight="1">
      <c r="F42" s="52" t="s">
        <v>3154</v>
      </c>
    </row>
    <row r="43" ht="15.75" customHeight="1">
      <c r="F43" s="52" t="s">
        <v>3155</v>
      </c>
    </row>
    <row r="44" ht="15.75" customHeight="1">
      <c r="F44" s="3" t="s">
        <v>3156</v>
      </c>
    </row>
    <row r="45" ht="15.75" customHeight="1">
      <c r="F45" s="52" t="s">
        <v>3157</v>
      </c>
    </row>
    <row r="46" ht="15.75" customHeight="1">
      <c r="F46" s="52" t="s">
        <v>3158</v>
      </c>
    </row>
    <row r="47" ht="15.75" customHeight="1">
      <c r="F47" s="52" t="s">
        <v>3159</v>
      </c>
    </row>
    <row r="48" ht="15.75" customHeight="1">
      <c r="F48" s="52" t="s">
        <v>3160</v>
      </c>
    </row>
    <row r="49" ht="15.75" customHeight="1">
      <c r="F49" s="52" t="s">
        <v>3161</v>
      </c>
    </row>
    <row r="50" ht="15.75" customHeight="1">
      <c r="F50" s="52" t="s">
        <v>3162</v>
      </c>
    </row>
    <row r="51" ht="15.75" customHeight="1">
      <c r="F51" s="52" t="s">
        <v>3163</v>
      </c>
    </row>
    <row r="52" ht="15.75" customHeight="1">
      <c r="F52" s="52" t="s">
        <v>3164</v>
      </c>
    </row>
    <row r="53" ht="15.75" customHeight="1">
      <c r="F53" s="52" t="s">
        <v>3141</v>
      </c>
    </row>
    <row r="54" ht="15.75" customHeight="1">
      <c r="F54" s="52" t="s">
        <v>3147</v>
      </c>
    </row>
    <row r="55" ht="15.75" customHeight="1">
      <c r="F55" s="52" t="s">
        <v>3143</v>
      </c>
    </row>
    <row r="56" ht="15.75" customHeight="1">
      <c r="F56" s="52" t="s">
        <v>3165</v>
      </c>
    </row>
    <row r="57" ht="15.75" customHeight="1">
      <c r="F57" s="52" t="s">
        <v>3166</v>
      </c>
    </row>
    <row r="58" ht="15.75" customHeight="1">
      <c r="F58" s="52" t="s">
        <v>3167</v>
      </c>
    </row>
    <row r="59" ht="15.75" customHeight="1">
      <c r="F59" s="52" t="s">
        <v>3168</v>
      </c>
    </row>
    <row r="60" ht="15.75" customHeight="1">
      <c r="F60" s="52" t="s">
        <v>3169</v>
      </c>
    </row>
    <row r="61" ht="15.75" customHeight="1">
      <c r="F61" s="52" t="s">
        <v>3170</v>
      </c>
    </row>
    <row r="62" ht="15.75" customHeight="1">
      <c r="F62" s="52" t="s">
        <v>3171</v>
      </c>
    </row>
    <row r="63" ht="15.75" customHeight="1">
      <c r="F63" s="52" t="s">
        <v>3141</v>
      </c>
    </row>
    <row r="64" ht="15.75" customHeight="1">
      <c r="F64" s="52" t="s">
        <v>3147</v>
      </c>
    </row>
    <row r="65" ht="15.75" customHeight="1">
      <c r="F65" s="52" t="s">
        <v>3143</v>
      </c>
    </row>
    <row r="66" ht="15.75" customHeight="1">
      <c r="F66" s="52" t="s">
        <v>3172</v>
      </c>
    </row>
    <row r="67" ht="15.75" customHeight="1">
      <c r="F67" s="52" t="s">
        <v>3173</v>
      </c>
    </row>
    <row r="68" ht="15.75" customHeight="1">
      <c r="F68" s="52" t="s">
        <v>3174</v>
      </c>
    </row>
    <row r="69" ht="15.75" customHeight="1">
      <c r="F69" s="52" t="s">
        <v>3175</v>
      </c>
    </row>
    <row r="70" ht="15.75" customHeight="1">
      <c r="F70" s="52" t="s">
        <v>3176</v>
      </c>
    </row>
    <row r="71" ht="15.75" customHeight="1">
      <c r="F71" s="52" t="s">
        <v>3177</v>
      </c>
    </row>
    <row r="72" ht="15.75" customHeight="1">
      <c r="F72" s="52" t="s">
        <v>3141</v>
      </c>
    </row>
    <row r="73" ht="15.75" customHeight="1">
      <c r="F73" s="52" t="s">
        <v>3147</v>
      </c>
    </row>
    <row r="74" ht="15.75" customHeight="1">
      <c r="F74" s="52" t="s">
        <v>3143</v>
      </c>
    </row>
    <row r="75" ht="15.75" customHeight="1">
      <c r="F75" s="52" t="s">
        <v>3178</v>
      </c>
    </row>
    <row r="76" ht="15.75" customHeight="1">
      <c r="F76" s="52" t="s">
        <v>3179</v>
      </c>
    </row>
    <row r="77" ht="15.75" customHeight="1">
      <c r="F77" s="52" t="s">
        <v>3180</v>
      </c>
    </row>
    <row r="78" ht="15.75" customHeight="1">
      <c r="F78" s="52" t="s">
        <v>3181</v>
      </c>
    </row>
    <row r="79" ht="15.75" customHeight="1">
      <c r="F79" s="52" t="s">
        <v>3182</v>
      </c>
    </row>
    <row r="80" ht="15.75" customHeight="1">
      <c r="F80" s="52" t="s">
        <v>3183</v>
      </c>
    </row>
    <row r="81" ht="15.75" customHeight="1">
      <c r="F81" s="52" t="s">
        <v>3184</v>
      </c>
    </row>
    <row r="82" ht="15.75" customHeight="1">
      <c r="F82" s="52" t="s">
        <v>3141</v>
      </c>
    </row>
    <row r="83" ht="15.75" customHeight="1">
      <c r="F83" s="52" t="s">
        <v>3147</v>
      </c>
    </row>
    <row r="84" ht="15.75" customHeight="1">
      <c r="F84" s="52" t="s">
        <v>3143</v>
      </c>
    </row>
    <row r="85" ht="15.75" customHeight="1">
      <c r="F85" s="52" t="s">
        <v>3185</v>
      </c>
    </row>
    <row r="86" ht="15.75" customHeight="1">
      <c r="F86" s="52" t="s">
        <v>3186</v>
      </c>
    </row>
    <row r="87" ht="15.75" customHeight="1">
      <c r="F87" s="52" t="s">
        <v>3141</v>
      </c>
    </row>
    <row r="88" ht="15.75" customHeight="1">
      <c r="F88" s="13"/>
    </row>
    <row r="89" ht="15.75" customHeight="1">
      <c r="F89" s="52" t="s">
        <v>3141</v>
      </c>
    </row>
    <row r="90" ht="15.75" customHeight="1">
      <c r="F90" s="52" t="s">
        <v>3141</v>
      </c>
    </row>
    <row r="91" ht="15.75" customHeight="1">
      <c r="F91" s="13"/>
    </row>
    <row r="92" ht="15.75" customHeight="1">
      <c r="F92" s="52" t="s">
        <v>3187</v>
      </c>
    </row>
    <row r="93" ht="15.75" customHeight="1">
      <c r="F93" s="52" t="s">
        <v>3188</v>
      </c>
    </row>
    <row r="94" ht="15.75" customHeight="1">
      <c r="F94" s="52" t="s">
        <v>3189</v>
      </c>
    </row>
    <row r="95" ht="15.75" customHeight="1">
      <c r="F95" s="52" t="s">
        <v>3190</v>
      </c>
    </row>
    <row r="96" ht="15.75" customHeight="1">
      <c r="F96" s="52" t="s">
        <v>3191</v>
      </c>
    </row>
    <row r="97" ht="15.75" customHeight="1">
      <c r="F97" s="52" t="s">
        <v>3192</v>
      </c>
    </row>
    <row r="98" ht="15.75" customHeight="1">
      <c r="F98" s="52" t="s">
        <v>3193</v>
      </c>
    </row>
    <row r="99" ht="15.75" customHeight="1">
      <c r="F99" s="13"/>
    </row>
    <row r="100" ht="15.75" customHeight="1">
      <c r="F100" s="52" t="s">
        <v>3194</v>
      </c>
    </row>
    <row r="101" ht="15.75" customHeight="1">
      <c r="F101" s="52" t="s">
        <v>3195</v>
      </c>
    </row>
    <row r="102" ht="15.75" customHeight="1">
      <c r="F102" s="52" t="s">
        <v>3196</v>
      </c>
    </row>
    <row r="103" ht="15.75" customHeight="1">
      <c r="F103" s="52" t="s">
        <v>3197</v>
      </c>
    </row>
    <row r="104" ht="15.75" customHeight="1">
      <c r="F104" s="52" t="s">
        <v>3198</v>
      </c>
    </row>
    <row r="105" ht="15.75" customHeight="1">
      <c r="F105" s="52" t="s">
        <v>3199</v>
      </c>
    </row>
    <row r="106" ht="15.75" customHeight="1">
      <c r="F106" s="52" t="s">
        <v>3200</v>
      </c>
    </row>
    <row r="107" ht="15.75" customHeight="1">
      <c r="F107" s="52" t="s">
        <v>3201</v>
      </c>
    </row>
    <row r="108" ht="15.75" customHeight="1">
      <c r="F108" s="3" t="s">
        <v>3202</v>
      </c>
    </row>
    <row r="109" ht="15.75" customHeight="1">
      <c r="F109" s="3" t="s">
        <v>3203</v>
      </c>
    </row>
    <row r="110" ht="15.75" customHeight="1">
      <c r="F110" s="3" t="s">
        <v>3204</v>
      </c>
    </row>
    <row r="111" ht="15.75" customHeight="1">
      <c r="F111" s="3" t="s">
        <v>3205</v>
      </c>
    </row>
    <row r="112" ht="15.75" customHeight="1">
      <c r="F112" s="52" t="s">
        <v>3206</v>
      </c>
    </row>
    <row r="113" ht="15.75" customHeight="1"/>
    <row r="114" ht="15.75" customHeight="1">
      <c r="F114" s="52" t="s">
        <v>3207</v>
      </c>
    </row>
    <row r="115" ht="15.75" customHeight="1">
      <c r="F115" s="52" t="s">
        <v>3208</v>
      </c>
    </row>
    <row r="116" ht="15.75" customHeight="1">
      <c r="F116" s="52" t="s">
        <v>3208</v>
      </c>
    </row>
    <row r="117" ht="15.75" customHeight="1">
      <c r="F117" s="52" t="s">
        <v>3209</v>
      </c>
    </row>
    <row r="118" ht="15.75" customHeight="1">
      <c r="F118" s="52" t="s">
        <v>3210</v>
      </c>
    </row>
    <row r="119" ht="15.75" customHeight="1">
      <c r="F119" s="52" t="s">
        <v>3211</v>
      </c>
    </row>
    <row r="120" ht="15.75" customHeight="1">
      <c r="F120" s="52" t="s">
        <v>3212</v>
      </c>
    </row>
    <row r="121" ht="15.75" customHeight="1">
      <c r="F121" s="3" t="s">
        <v>3213</v>
      </c>
    </row>
    <row r="122" ht="15.75" customHeight="1">
      <c r="F122" s="52" t="s">
        <v>3214</v>
      </c>
    </row>
    <row r="123" ht="15.75" customHeight="1">
      <c r="F123" s="52" t="s">
        <v>3215</v>
      </c>
    </row>
    <row r="124" ht="15.75" customHeight="1">
      <c r="F124" s="52" t="s">
        <v>3216</v>
      </c>
    </row>
    <row r="125" ht="15.75" customHeight="1">
      <c r="F125" s="52" t="s">
        <v>3217</v>
      </c>
    </row>
    <row r="126" ht="15.75" customHeight="1">
      <c r="F126" s="52" t="s">
        <v>3218</v>
      </c>
    </row>
    <row r="127" ht="15.75" customHeight="1">
      <c r="F127" s="52" t="s">
        <v>3219</v>
      </c>
    </row>
    <row r="128" ht="15.75" customHeight="1">
      <c r="F128" s="52" t="s">
        <v>3220</v>
      </c>
    </row>
    <row r="129" ht="15.75" customHeight="1">
      <c r="F129" s="52" t="s">
        <v>3221</v>
      </c>
    </row>
    <row r="130" ht="15.75" customHeight="1">
      <c r="F130" s="52" t="s">
        <v>3222</v>
      </c>
    </row>
    <row r="131" ht="15.75" customHeight="1">
      <c r="F131" s="52" t="s">
        <v>3223</v>
      </c>
    </row>
    <row r="132" ht="15.75" customHeight="1">
      <c r="F132" s="52" t="s">
        <v>3224</v>
      </c>
    </row>
    <row r="133" ht="15.75" customHeight="1">
      <c r="F133" s="52" t="s">
        <v>3225</v>
      </c>
    </row>
    <row r="134" ht="15.75" customHeight="1">
      <c r="F134" s="52" t="s">
        <v>3226</v>
      </c>
    </row>
    <row r="135" ht="15.75" customHeight="1">
      <c r="F135" s="3" t="s">
        <v>3227</v>
      </c>
    </row>
    <row r="136" ht="15.75" customHeight="1">
      <c r="F136" s="52" t="s">
        <v>3228</v>
      </c>
    </row>
    <row r="137" ht="15.75" customHeight="1">
      <c r="F137" s="52" t="s">
        <v>3229</v>
      </c>
    </row>
    <row r="138" ht="15.75" customHeight="1">
      <c r="F138" s="52" t="s">
        <v>3230</v>
      </c>
    </row>
    <row r="139" ht="15.75" customHeight="1">
      <c r="F139" s="52" t="s">
        <v>3231</v>
      </c>
    </row>
    <row r="140" ht="15.75" customHeight="1">
      <c r="F140" s="52" t="s">
        <v>3232</v>
      </c>
    </row>
    <row r="141" ht="15.75" customHeight="1">
      <c r="F141" s="52" t="s">
        <v>3233</v>
      </c>
    </row>
    <row r="142" ht="15.75" customHeight="1">
      <c r="F142" s="52" t="s">
        <v>3234</v>
      </c>
    </row>
    <row r="143" ht="15.75" customHeight="1">
      <c r="F143" s="52" t="s">
        <v>3235</v>
      </c>
    </row>
    <row r="144" ht="15.75" customHeight="1">
      <c r="F144" s="13"/>
    </row>
    <row r="145" ht="15.75" customHeight="1">
      <c r="F145" s="52" t="s">
        <v>3236</v>
      </c>
    </row>
    <row r="146" ht="15.75" customHeight="1">
      <c r="F146" s="52" t="s">
        <v>3237</v>
      </c>
    </row>
    <row r="147" ht="15.75" customHeight="1">
      <c r="F147" s="52" t="s">
        <v>3238</v>
      </c>
    </row>
    <row r="148" ht="15.75" customHeight="1">
      <c r="F148" s="52" t="s">
        <v>3239</v>
      </c>
    </row>
    <row r="149" ht="15.75" customHeight="1">
      <c r="F149" s="52" t="s">
        <v>3240</v>
      </c>
    </row>
    <row r="150" ht="15.75" customHeight="1">
      <c r="F150" s="52" t="s">
        <v>3241</v>
      </c>
    </row>
    <row r="151" ht="15.75" customHeight="1">
      <c r="F151" s="52" t="s">
        <v>3242</v>
      </c>
    </row>
    <row r="152" ht="15.75" customHeight="1">
      <c r="F152" s="52" t="s">
        <v>3243</v>
      </c>
    </row>
    <row r="153" ht="15.75" customHeight="1">
      <c r="F153" s="52" t="s">
        <v>3244</v>
      </c>
    </row>
    <row r="154" ht="15.75" customHeight="1">
      <c r="F154" s="52" t="s">
        <v>3245</v>
      </c>
    </row>
    <row r="155" ht="15.75" customHeight="1">
      <c r="F155" s="13"/>
    </row>
    <row r="156" ht="15.75" customHeight="1">
      <c r="F156" s="52" t="s">
        <v>3246</v>
      </c>
    </row>
    <row r="157" ht="15.75" customHeight="1">
      <c r="F157" s="52" t="s">
        <v>3247</v>
      </c>
    </row>
    <row r="158" ht="15.75" customHeight="1">
      <c r="F158" s="52" t="s">
        <v>3248</v>
      </c>
    </row>
    <row r="159" ht="15.75" customHeight="1">
      <c r="F159" s="52" t="s">
        <v>3249</v>
      </c>
    </row>
    <row r="160" ht="15.75" customHeight="1">
      <c r="F160" s="52" t="s">
        <v>3250</v>
      </c>
    </row>
    <row r="161" ht="15.75" customHeight="1">
      <c r="F161" s="52" t="s">
        <v>3251</v>
      </c>
    </row>
    <row r="162" ht="15.75" customHeight="1">
      <c r="F162" s="52" t="s">
        <v>3252</v>
      </c>
    </row>
    <row r="163" ht="15.75" customHeight="1">
      <c r="F163" s="13"/>
    </row>
    <row r="164" ht="15.75" customHeight="1">
      <c r="F164" s="52" t="s">
        <v>3253</v>
      </c>
    </row>
    <row r="165" ht="15.75" customHeight="1">
      <c r="F165" s="52" t="s">
        <v>3254</v>
      </c>
    </row>
    <row r="166" ht="15.75" customHeight="1">
      <c r="F166" s="3" t="s">
        <v>3255</v>
      </c>
    </row>
    <row r="167" ht="15.75" customHeight="1">
      <c r="F167" s="52" t="s">
        <v>3256</v>
      </c>
    </row>
    <row r="168" ht="15.75" customHeight="1">
      <c r="F168" s="52" t="s">
        <v>3257</v>
      </c>
    </row>
    <row r="169" ht="15.75" customHeight="1">
      <c r="F169" s="52" t="s">
        <v>3258</v>
      </c>
    </row>
    <row r="170" ht="15.75" customHeight="1">
      <c r="F170" s="52" t="s">
        <v>3259</v>
      </c>
    </row>
    <row r="171" ht="15.75" customHeight="1">
      <c r="F171" s="13"/>
    </row>
    <row r="172" ht="15.75" customHeight="1">
      <c r="F172" s="52" t="s">
        <v>1594</v>
      </c>
    </row>
    <row r="173" ht="15.75" customHeight="1">
      <c r="F173" s="52" t="s">
        <v>3141</v>
      </c>
    </row>
    <row r="174" ht="15.75" customHeight="1">
      <c r="F174" s="13"/>
    </row>
    <row r="175" ht="15.75" customHeight="1">
      <c r="F175" s="52" t="s">
        <v>3147</v>
      </c>
    </row>
    <row r="176" ht="15.75" customHeight="1">
      <c r="F176" s="13"/>
    </row>
    <row r="177" ht="15.75" customHeight="1">
      <c r="F177" s="3" t="s">
        <v>3260</v>
      </c>
    </row>
    <row r="178" ht="15.75" customHeight="1">
      <c r="F178" s="52" t="s">
        <v>3261</v>
      </c>
    </row>
    <row r="179" ht="15.75" customHeight="1">
      <c r="F179" s="52" t="s">
        <v>3262</v>
      </c>
    </row>
    <row r="180" ht="15.75" customHeight="1">
      <c r="F180" s="52" t="s">
        <v>3263</v>
      </c>
    </row>
    <row r="181" ht="15.75" customHeight="1">
      <c r="F181" s="52" t="s">
        <v>3264</v>
      </c>
    </row>
    <row r="182" ht="15.75" customHeight="1">
      <c r="F182" s="52" t="s">
        <v>3265</v>
      </c>
    </row>
    <row r="183" ht="15.75" customHeight="1">
      <c r="F183" s="52" t="s">
        <v>1501</v>
      </c>
    </row>
    <row r="184" ht="15.75" customHeight="1">
      <c r="F184" s="13"/>
    </row>
    <row r="185" ht="15.75" customHeight="1"/>
    <row r="186" ht="15.75" customHeight="1">
      <c r="F186" s="52" t="s">
        <v>3141</v>
      </c>
    </row>
    <row r="187" ht="15.75" customHeight="1">
      <c r="F187" s="13"/>
    </row>
    <row r="188" ht="15.75" customHeight="1">
      <c r="F188" s="13"/>
    </row>
    <row r="189" ht="15.75" customHeight="1">
      <c r="F189" s="52" t="s">
        <v>3141</v>
      </c>
    </row>
    <row r="190" ht="15.75" customHeight="1">
      <c r="F190" s="13"/>
    </row>
    <row r="191" ht="15.75" customHeight="1">
      <c r="F191" s="13"/>
    </row>
    <row r="192" ht="15.75" customHeight="1">
      <c r="F192" s="13"/>
    </row>
    <row r="193" ht="15.75" customHeight="1"/>
    <row r="194" ht="15.75" customHeight="1">
      <c r="F194" s="13"/>
    </row>
    <row r="195" ht="15.75" customHeight="1">
      <c r="F195" s="13"/>
    </row>
    <row r="196" ht="15.75" customHeight="1"/>
    <row r="197" ht="15.75" customHeight="1">
      <c r="F197" s="13"/>
    </row>
    <row r="198" ht="15.75" customHeight="1"/>
    <row r="199" ht="15.75" customHeight="1">
      <c r="F199" s="13"/>
    </row>
    <row r="200" ht="15.75" customHeight="1">
      <c r="F200" s="13"/>
    </row>
    <row r="201" ht="15.75" customHeight="1">
      <c r="F201" s="13"/>
    </row>
    <row r="202" ht="15.75" customHeight="1">
      <c r="F202" s="13"/>
    </row>
    <row r="203" ht="15.75" customHeight="1">
      <c r="F203" s="13"/>
    </row>
    <row r="204" ht="15.75" customHeight="1">
      <c r="F204" s="13"/>
    </row>
    <row r="205" ht="15.75" customHeight="1">
      <c r="F205" s="13"/>
    </row>
    <row r="206" ht="15.75" customHeight="1"/>
    <row r="207" ht="15.75" customHeight="1"/>
    <row r="208" ht="15.75" customHeight="1">
      <c r="F208" s="13"/>
    </row>
    <row r="209" ht="15.75" customHeight="1"/>
    <row r="210" ht="15.75" customHeight="1">
      <c r="F210" s="13"/>
    </row>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