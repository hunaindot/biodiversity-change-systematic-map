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Read me" sheetId="1" r:id="rId5"/>
    <sheet state="visible" name="Raw Data" sheetId="2" r:id="rId6"/>
    <sheet state="visible" name="Dedup (248)" sheetId="3" r:id="rId7"/>
    <sheet state="visible" name="Query Results (142)" sheetId="4" r:id="rId8"/>
    <sheet state="visible" name="Serving Lables - Screening" sheetId="5" r:id="rId9"/>
    <sheet state="visible" name="Query" sheetId="6" r:id="rId10"/>
  </sheets>
  <definedNames>
    <definedName hidden="1" localSheetId="2" name="_xlnm._FilterDatabase">'Dedup (248)'!$C$2:$D$250</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B224">
      <text>
        <t xml:space="preserve">Grace Murphy:
Did not average these responses as they represent different disturbances. </t>
      </text>
    </comment>
    <comment authorId="0" ref="B315">
      <text>
        <t xml:space="preserve">Grace Murphy:
Did not average these responses as they represent different disturbances.</t>
      </text>
    </comment>
    <comment authorId="0" ref="B216">
      <text>
        <t xml:space="preserve">Grace Murphy:
Did not average these responses as they each represent a different disturbance. </t>
      </text>
    </comment>
    <comment authorId="0" ref="B55">
      <text>
        <t xml:space="preserve">Grace Murphy:
Did not average these two responses as they are for different disturbances.</t>
      </text>
    </comment>
    <comment authorId="0" ref="B245">
      <text>
        <t xml:space="preserve">Grace Murphy:
Did not average as these responses as they represent different disturbances. </t>
      </text>
    </comment>
    <comment authorId="0" ref="B84">
      <text>
        <t xml:space="preserve">Grace Murphy:
Did not average these two responses as one represents beetle SR while the other represents mammal SR.</t>
      </text>
    </comment>
    <comment authorId="0" ref="B212">
      <text>
        <t xml:space="preserve">Grace Murphy:
Did not average these responses as they each represent a different disturbance. </t>
      </text>
    </comment>
    <comment authorId="0" ref="B241">
      <text>
        <t xml:space="preserve">Grace Murphy:
Didn't average these responses as one represents inverts and the other represents plants</t>
      </text>
    </comment>
    <comment authorId="0" ref="B142">
      <text>
        <t xml:space="preserve">Grace Murphy:
Did not average these responses as they represent two independent experiments (one field and one mesocosm).</t>
      </text>
    </comment>
    <comment authorId="0" ref="B270">
      <text>
        <t xml:space="preserve">Grace Murphy:
Did not average these responses as one represents birds and the other represents plants.</t>
      </text>
    </comment>
    <comment authorId="0" ref="B76">
      <text>
        <t xml:space="preserve">Grace Murphy:
Did not average these responses as they each represent a different disturbance type. </t>
      </text>
    </comment>
    <comment authorId="0" ref="B262">
      <text>
        <t xml:space="preserve">Grace Murphy:
Did not average these responses as one represents lizards and the other represents mammals. </t>
      </text>
    </comment>
    <comment authorId="0" ref="I10">
      <text>
        <t xml:space="preserve">Grace Murphy:
SE calculated from given means.</t>
      </text>
    </comment>
    <comment authorId="0" ref="B163">
      <text>
        <t xml:space="preserve">Grace Murphy:
Did not average these responses as one represents vertebrates and the other represents inevrtebrates. And they represent two different disturbances. </t>
      </text>
    </comment>
    <comment authorId="0" ref="B258">
      <text>
        <t xml:space="preserve">Grace Murphy:
Did not average these responses as they represent different disturbances. </t>
      </text>
    </comment>
    <comment authorId="0" ref="E35">
      <text>
        <t xml:space="preserve">Grace Murphy:
Only compared between secondary forest bc fragments were all secondary forest fragments. Did not include continuous mature forest. </t>
      </text>
    </comment>
    <comment authorId="0" ref="B31">
      <text>
        <t xml:space="preserve">Grace Murphy:
Did not average these two responses as they are examining two different disturbance types.
</t>
      </text>
    </comment>
    <comment authorId="0" ref="D31">
      <text>
        <t xml:space="preserve">Grace Murphy:
Habitat split into 3 equal fragments (still equaling 1m2 total).
</t>
      </text>
    </comment>
    <comment authorId="0" ref="B93">
      <text>
        <t xml:space="preserve">Grace Murphy:
Did not average these two responses as one represents beetle SR and the other represents bird SR.</t>
      </text>
    </comment>
    <comment authorId="0" ref="B221">
      <text>
        <t xml:space="preserve">Grace Murphy:
Did not average these 3 responses as they come from 3 distinct regions.</t>
      </text>
    </comment>
    <comment authorId="0" ref="B60">
      <text>
        <t xml:space="preserve">Grace Murphy:
Did not average these responses as they represent 2 different disturbance types. </t>
      </text>
    </comment>
    <comment authorId="0" ref="B52">
      <text>
        <t xml:space="preserve">Grace Murphy:
Did not average these responses as they are for two different disturbances. </t>
      </text>
    </comment>
    <comment authorId="0" ref="B296">
      <text>
        <t xml:space="preserve">Grace Murphy:
Did not average these responses as they represent different invaders and for diffeerent regions.</t>
      </text>
    </comment>
    <comment authorId="0" ref="B69">
      <text>
        <t xml:space="preserve">Grace Murphy:
Did not average these two responses as one represents invert SR and the other represents fish SR.</t>
      </text>
    </comment>
    <comment authorId="0" ref="I11">
      <text>
        <t xml:space="preserve">Grace Murphy:
SE calculated from given means.
</t>
      </text>
    </comment>
    <comment authorId="0" ref="B98">
      <text>
        <t xml:space="preserve">Grace Murphy:
Did not average these two responses as one represents plant SR and the other represents invert SR.</t>
      </text>
    </comment>
    <comment authorId="0" ref="B65">
      <text>
        <t xml:space="preserve">Grace Murphy:
Did not average these two responses as one represents invert SR and the other is plant SR. </t>
      </text>
    </comment>
    <comment authorId="0" ref="D32">
      <text>
        <t xml:space="preserve">Grace Murphy:
75% reduction in habitat area. </t>
      </text>
    </comment>
    <comment authorId="0" ref="B123">
      <text>
        <t xml:space="preserve">Grace Murphy:
Did not average the responses from this paper as they are each showing the effects a different invader. </t>
      </text>
    </comment>
    <comment authorId="0" ref="B218">
      <text>
        <t xml:space="preserve">Grace Murphy:
Did not average these responses as they each represent a different disturbance. </t>
      </text>
    </comment>
    <comment authorId="0" ref="B280">
      <text>
        <t xml:space="preserve">Grace Murphy:
Did not average these responses as one represents algae and one represents invert.</t>
      </text>
    </comment>
    <comment authorId="0" ref="B214">
      <text>
        <t xml:space="preserve">Grace Murphy:
Did not average these responses as they each represent the invasion by a different species. </t>
      </text>
    </comment>
    <comment authorId="0" ref="B148">
      <text>
        <t xml:space="preserve">Grace Murphy:
Did not average these 3 repsonses as they each represent a different species group (fish, plant, and invert). </t>
      </text>
    </comment>
    <comment authorId="0" ref="B115">
      <text>
        <t xml:space="preserve">Grace Murphy:
Didn't average these repsonses as they each represent a different disturbance. </t>
      </text>
    </comment>
    <comment authorId="0" ref="B49">
      <text>
        <t xml:space="preserve">Grace Murphy:
Did not group these responses together as they comprise the results from two independent studies. And study #2 shows results for 2 separate invasive species. </t>
      </text>
    </comment>
    <comment authorId="0" ref="B144">
      <text>
        <t xml:space="preserve">Grace Murphy:
Did not average these responses as each comes from a different region.</t>
      </text>
    </comment>
    <comment authorId="0" ref="B78">
      <text>
        <t xml:space="preserve">Grace Murphy:
Did not average these responses as they each represent a different disturbance type.  </t>
      </text>
    </comment>
    <comment authorId="0" ref="B206">
      <text>
        <t xml:space="preserve">Grace Murphy:
Did not average these responses as they each represent a different disturbance. </t>
      </text>
    </comment>
    <comment authorId="0" ref="D45">
      <text>
        <t xml:space="preserve">Grace Murphy:
12g/m2 N</t>
      </text>
    </comment>
    <comment authorId="0" ref="B235">
      <text>
        <t xml:space="preserve">Grace Murphy:
Didn't average these responses as they represent different disturbances. </t>
      </text>
    </comment>
    <comment authorId="0" ref="E12">
      <text>
        <t xml:space="preserve">Grace Murphy:
Does not include the Guamil patches or continous fields.</t>
      </text>
    </comment>
    <comment authorId="0" ref="B231">
      <text>
        <t xml:space="preserve">Grace Murphy:
Didn't average these responses as they represent different invader species. </t>
      </text>
    </comment>
    <comment authorId="0" ref="I12">
      <text>
        <t xml:space="preserve">Grace Murphy:
Took average of data from 5 sampling dates and calculate SE from this. </t>
      </text>
    </comment>
    <comment authorId="0" ref="E8">
      <text>
        <t xml:space="preserve">Grace Murphy:
Independent forest sites.</t>
      </text>
    </comment>
    <comment authorId="0" ref="B194">
      <text>
        <t xml:space="preserve">Grace Murphy:
Did not average these responses as they each represent a different disturbance. </t>
      </text>
    </comment>
    <comment authorId="0" ref="B62">
      <text>
        <t xml:space="preserve">Grace Murphy:
Did not average these responses as they represent different disturbance types. </t>
      </text>
    </comment>
    <comment authorId="0" ref="B153">
      <text>
        <t xml:space="preserve">Grace Murphy:
Did not average these responses as one represents diatoms and the other represents nematodes.</t>
      </text>
    </comment>
    <comment authorId="0" ref="B120">
      <text>
        <t xml:space="preserve">Grace Murphy:
Didn't average these responses as they each represent a different disturbance. </t>
      </text>
    </comment>
    <comment authorId="0" ref="B174">
      <text>
        <t xml:space="preserve">Grace Murphy:
Did not average these responses as they each represent a different disturbance.</t>
      </text>
    </comment>
    <comment authorId="0" ref="B203">
      <text>
        <t xml:space="preserve">Grace Murphy:
Did not average responses as they each represent the invasion by a different species.</t>
      </text>
    </comment>
    <comment authorId="0" ref="B265">
      <text>
        <t xml:space="preserve">Grace Murphy:
Did not average these responses as one represents plants and the other represents invertebrates. </t>
      </text>
    </comment>
    <comment authorId="0" ref="B199">
      <text>
        <t xml:space="preserve">Grace Murphy:
Did not average responses as they each represent the invasion by a different species. </t>
      </text>
    </comment>
    <comment authorId="0" ref="I13">
      <text>
        <t xml:space="preserve">Grace Murphy:
Took average of 5 sampling dates and calculated SE from that. </t>
      </text>
    </comment>
    <comment authorId="0" ref="B38">
      <text>
        <t xml:space="preserve">Grace Murphy:
Did not average these two responses as they are looking at 2 different animal types.</t>
      </text>
    </comment>
  </commentList>
</comments>
</file>

<file path=xl/sharedStrings.xml><?xml version="1.0" encoding="utf-8"?>
<sst xmlns="http://schemas.openxmlformats.org/spreadsheetml/2006/main" count="14488" uniqueCount="4869">
  <si>
    <t>https://onlinelibrary.wiley.com/doi/10.1002/ece3.909</t>
  </si>
  <si>
    <t>Raw Data</t>
  </si>
  <si>
    <t>Copy of Raw data labelled by authors. The records are repeated per labelling instance. Bibliographic records repeat across rows here</t>
  </si>
  <si>
    <t>Dedup</t>
  </si>
  <si>
    <t>Dedup the citations to find unique count of recrods in raw data (248); add Title where possible as field</t>
  </si>
  <si>
    <t>Query</t>
  </si>
  <si>
    <t>- 1. Search for 181 records based on Title / DOI based search
- In literature search query 142/ 181 records returned</t>
  </si>
  <si>
    <t>Serving Labels - Screening</t>
  </si>
  <si>
    <t>- 142 records part of serving labels</t>
  </si>
  <si>
    <t>Paper ID</t>
  </si>
  <si>
    <t>Reference</t>
  </si>
  <si>
    <t>Disturbance category</t>
  </si>
  <si>
    <t>Specific Disturbance Type</t>
  </si>
  <si>
    <t>What is Being Measured</t>
  </si>
  <si>
    <t>Species category (measured species)</t>
  </si>
  <si>
    <t>Species category (invader)</t>
  </si>
  <si>
    <t>Experimental or Observational?</t>
  </si>
  <si>
    <t>Estimated or Given?</t>
  </si>
  <si>
    <t>Experimental Length (days)</t>
  </si>
  <si>
    <t>Biome</t>
  </si>
  <si>
    <t>Latitude</t>
  </si>
  <si>
    <t xml:space="preserve"> initial SR (log)</t>
  </si>
  <si>
    <t>Control Mean</t>
  </si>
  <si>
    <t>Treatment Mean</t>
  </si>
  <si>
    <t>Control SD</t>
  </si>
  <si>
    <t>Treatment SD</t>
  </si>
  <si>
    <t>Control      n</t>
  </si>
  <si>
    <t>Treatment n</t>
  </si>
  <si>
    <t>Mean RR</t>
  </si>
  <si>
    <t>Mean lnRR</t>
  </si>
  <si>
    <t>Variance</t>
  </si>
  <si>
    <t>Overall Sample Size</t>
  </si>
  <si>
    <t>Full Reference</t>
  </si>
  <si>
    <t>Adams and Engelhardt, 2009</t>
  </si>
  <si>
    <t>Invasive species</t>
  </si>
  <si>
    <r>
      <rPr>
        <rFont val="Arial"/>
        <color theme="1"/>
        <sz val="8.0"/>
      </rPr>
      <t xml:space="preserve">Invasion by </t>
    </r>
    <r>
      <rPr>
        <rFont val="Arial"/>
        <i/>
        <color theme="1"/>
        <sz val="8.0"/>
      </rPr>
      <t>Microstegium vimineum</t>
    </r>
  </si>
  <si>
    <t>Plant species richness at average of 3 sampling dates</t>
  </si>
  <si>
    <t>Producer</t>
  </si>
  <si>
    <t>Observational</t>
  </si>
  <si>
    <t>Estimated from GetData</t>
  </si>
  <si>
    <t>--</t>
  </si>
  <si>
    <t>Northern Temperate Forest</t>
  </si>
  <si>
    <t>39° 03'N</t>
  </si>
  <si>
    <t>Adams, S.N., and K.A.M. Engelhardt. 2009. Diversity declines in Microstegium vimineum (Japanese stiltgrass) patches. Biological Conservation 142:1003-1010.</t>
  </si>
  <si>
    <t>Aiken et al. 2012</t>
  </si>
  <si>
    <t>Invasion by non-native piscivore fish species</t>
  </si>
  <si>
    <t>Total fish species richness in invaded vs. uninvaded sites at final sampling year (avg. of two lake sites)</t>
  </si>
  <si>
    <t>Ectotherm</t>
  </si>
  <si>
    <t>Freshwater</t>
  </si>
  <si>
    <t>45° 35'N</t>
  </si>
  <si>
    <t>Aiken, J.K., C.S. Findlay, and F. Chapleau. 2012. Long-tern assessment of the effect of introduced predatory fish on minnow diversity in a regional protected area. Canadian Journal of Fisheries and Aquatic Science 69:1798-1805.</t>
  </si>
  <si>
    <t>Alaruikka et al. 2002</t>
  </si>
  <si>
    <t>Land use change</t>
  </si>
  <si>
    <t>Human development</t>
  </si>
  <si>
    <t>Average of beetle and spider species richness in rural area (forested) and avg. of urban and suburban areas</t>
  </si>
  <si>
    <t>Boreal</t>
  </si>
  <si>
    <t>60° 10'N</t>
  </si>
  <si>
    <t>Alaruikka, D., D.J. Kotze, K., Matveinen, and J. Niemela.2002. Carabid beetle and spider assemblages along a forested urban-rural gradient in southern Finland. Journal of Insect Conservation 6:195-206.</t>
  </si>
  <si>
    <t>Alvarez and Cushman, 2002</t>
  </si>
  <si>
    <r>
      <rPr>
        <rFont val="Arial"/>
        <color theme="1"/>
        <sz val="8.0"/>
      </rPr>
      <t>Invasion by Cape ivy (</t>
    </r>
    <r>
      <rPr>
        <rFont val="Arial"/>
        <i/>
        <color theme="1"/>
        <sz val="8.0"/>
      </rPr>
      <t>Delairea odorata</t>
    </r>
    <r>
      <rPr>
        <rFont val="Arial"/>
        <color theme="1"/>
        <sz val="8.0"/>
      </rPr>
      <t>)</t>
    </r>
  </si>
  <si>
    <t xml:space="preserve">Species Richness of native plants in average of willow, alder and coastal habitats </t>
  </si>
  <si>
    <t>37° 46'N</t>
  </si>
  <si>
    <t>Alvarez, M.E., and J.H. Cushman. 2002. Community-level consequences of a plant invasion: Effects  on three habitats in coastal California. Ecological Applications 12(5):1434-1444.</t>
  </si>
  <si>
    <t>Andresen, 2008</t>
  </si>
  <si>
    <t>Agriculture</t>
  </si>
  <si>
    <t>Beetle species richness in avg of 2 undisturbed forests and two disturbed (secondary forest and open area) sites</t>
  </si>
  <si>
    <t>Tropical</t>
  </si>
  <si>
    <t>20° 05'N</t>
  </si>
  <si>
    <t>Andresen, E. 2008. Dung beetle assemblages in primary forest and disturbed habitats in a tropical dry forest landscape in western Mexico. Journal of Insect Conservation. 12:639-650.</t>
  </si>
  <si>
    <t>Angeloni et al. 2006</t>
  </si>
  <si>
    <r>
      <rPr>
        <rFont val="Arial"/>
        <color theme="1"/>
        <sz val="8.0"/>
      </rPr>
      <t xml:space="preserve">Invasion by </t>
    </r>
    <r>
      <rPr>
        <rFont val="Arial"/>
        <i/>
        <color theme="1"/>
        <sz val="8.0"/>
      </rPr>
      <t>Typha x glauca</t>
    </r>
    <r>
      <rPr>
        <rFont val="Arial"/>
        <color theme="1"/>
        <sz val="8.0"/>
      </rPr>
      <t xml:space="preserve"> (cattail species)</t>
    </r>
  </si>
  <si>
    <t>Bacterial species richness in native vs. invaded zone (transition zone not included)</t>
  </si>
  <si>
    <t>Given</t>
  </si>
  <si>
    <t>Estuary/Wetland</t>
  </si>
  <si>
    <t>44° 19'N</t>
  </si>
  <si>
    <t>Angeloni, N.L., K.J. Jankowski, N.C. Tuchman, and J.J. Kelly. 2006. Effects of an invasive cattail species (Typha x glauca) on sediment nitrogen and microbial community composition in a freshwater wetland. Microbiology Letters. 263:86-92.</t>
  </si>
  <si>
    <t>Aratrakhorn et al. 2006</t>
  </si>
  <si>
    <t>Bird species richness in average of forest vs. oil palm and forest vs. rubber plantation sites</t>
  </si>
  <si>
    <t>Endothern</t>
  </si>
  <si>
    <t>08° 07'N</t>
  </si>
  <si>
    <t>Aratrakorn, S., S. Thunhikorn, and P.F. Donald. 2006. Changes in bird communities following conversion of lowland forest to oil palm and rubber plantations in southern Thailand. Bird Conservation International 16:71-82.</t>
  </si>
  <si>
    <t>Arroyo-Rodriguez and Mandujano 2006</t>
  </si>
  <si>
    <t>Habitat Disturbance</t>
  </si>
  <si>
    <t>Logging</t>
  </si>
  <si>
    <t>Plant species richness in large continuous fragment vs. average of 15 small fragments</t>
  </si>
  <si>
    <t>18° 25'N</t>
  </si>
  <si>
    <t>Arroyo-Rodriguez, V., and S. Mandijano. 2006. The importance of tropical rainforest fragments to the conservation of plant species diversity in Los Tuxtlas, Mexico. Biodiversity and Conservation. 15:4159-4179.</t>
  </si>
  <si>
    <t>Arthur et al. 2010</t>
  </si>
  <si>
    <t>Invasion by 4 non-native tilapia and carp species</t>
  </si>
  <si>
    <t>Native fish species richness in stocked vs. non-stocked wetlands (experimental study)</t>
  </si>
  <si>
    <t>Experimental</t>
  </si>
  <si>
    <t>17° 58'N</t>
  </si>
  <si>
    <t xml:space="preserve">Arthur, R.I., K. Lorenzen, P. Homekingkeo, K. Sidavong, B. Sengvilaikham, and C.J. Garaway. 2010.  Assessing impacts of introduced aquaculture species on native fish communities: Nile tilapia  and major carps in SE Asian freshwaters. Aquaculture 299:81-88. </t>
  </si>
  <si>
    <t>Native fish species richness in stocked vs. non-stocked wetlands (observational study)</t>
  </si>
  <si>
    <t>Arthur, R.I., K. Lorenzen, P. Homekingkeo, K. Sidavong, B. Sengvilaikham, and C.J. Garaway. 2010.  Assessing impacts of introduced aquaculture species on native fish communities: Nile tilapia  and major carps in SE Asian freshwaters. Aquaculture 299:81-88</t>
  </si>
  <si>
    <t>Avendano-Mendoza et al. 2005</t>
  </si>
  <si>
    <t>Beetle species richness averaged over 5 months in continuous forest vs. continuous and patch cultivated fields</t>
  </si>
  <si>
    <t>14° 34'N</t>
  </si>
  <si>
    <t>Avendano-Mendoza, C., A. Moron-Rios, E.B. Cano, and J. Leon-Cortes. 2005. Dung beetle community (Coleoptera:Scarabaedae:Scarabaeinae) in a tropical landscape at the Lachua Region, Guatemala. Biodiversity and Conservation 14:801-822.</t>
  </si>
  <si>
    <t>Habitat loss</t>
  </si>
  <si>
    <t>Beetle species richness average over all sampling dates in continuous forest and avg of large and small forest patch</t>
  </si>
  <si>
    <t>15° 47'N</t>
  </si>
  <si>
    <t>Bakker and Wilson, 2001</t>
  </si>
  <si>
    <r>
      <rPr>
        <rFont val="Arial"/>
        <color theme="1"/>
        <sz val="8.0"/>
      </rPr>
      <t xml:space="preserve">Invasion by </t>
    </r>
    <r>
      <rPr>
        <rFont val="Arial"/>
        <i/>
        <color theme="1"/>
        <sz val="8.0"/>
      </rPr>
      <t xml:space="preserve">Agropyron cristatum </t>
    </r>
    <r>
      <rPr>
        <rFont val="Arial"/>
        <color theme="1"/>
        <sz val="8.0"/>
      </rPr>
      <t>(invasive C3 grass)</t>
    </r>
  </si>
  <si>
    <t>Native species richness</t>
  </si>
  <si>
    <t>Grassland</t>
  </si>
  <si>
    <t>49° 22'N</t>
  </si>
  <si>
    <t>Bakker, J., and S. Wilson. 2001. Competitive abilities of native and introduced grasses. Plant Ecology. 157:117-125.</t>
  </si>
  <si>
    <t>Bakonyi and Nagy 2000</t>
  </si>
  <si>
    <t>Temp. Increase</t>
  </si>
  <si>
    <t>Experimental warming</t>
  </si>
  <si>
    <t>Nematode species richness in avg of 6 samping dates with control and avg. of warmed wet and dry sites</t>
  </si>
  <si>
    <t>46°35'N</t>
  </si>
  <si>
    <t>Bakonyi, G., and P. Nagy. 2000. Temperature- and moisture induced changes in the structure of the nematode fauna of a semiarid grassland --patterns and mechanisms. Global Change Biology. 6:697-707.</t>
  </si>
  <si>
    <t>Bakonyi et al. 2007</t>
  </si>
  <si>
    <t>Nematode species richness</t>
  </si>
  <si>
    <t>Bakonyi, G, P. Nagy, E. Kovacs-Lang, E. Kovacs, S. Barabas, V. Repasi, and A. Seres. 2007. Soil nematode community structure as affected by temperature and moisture in a temperate semiarid shrubland. Applied Soil Ecology. 37:31-40.</t>
  </si>
  <si>
    <t>Barbosa and Marquet, 2002</t>
  </si>
  <si>
    <t>Reduction in habitat size</t>
  </si>
  <si>
    <t>Species richness averaged across 4 seasons (in avg. of small and medium fragments vs. large fragment)</t>
  </si>
  <si>
    <t>30° 40'S</t>
  </si>
  <si>
    <t xml:space="preserve">Barbosa, O., and P.A. Marquet. 2002. Effects of forest fragmentation on the beetle assemblage at the relict forest of Fray Jorge, Chile. Oecologia. 132(2):296-306. </t>
  </si>
  <si>
    <t>Bartomeus et al. 2008</t>
  </si>
  <si>
    <r>
      <rPr>
        <rFont val="Arial"/>
        <color theme="1"/>
        <sz val="8.0"/>
      </rPr>
      <t xml:space="preserve">Invasion by </t>
    </r>
    <r>
      <rPr>
        <rFont val="Arial"/>
        <i/>
        <color theme="1"/>
        <sz val="8.0"/>
      </rPr>
      <t>Carpobrotus affine acinaciformis</t>
    </r>
  </si>
  <si>
    <t>Pollinator insect species richness for Carpobotus invasion</t>
  </si>
  <si>
    <t>41° 34'N</t>
  </si>
  <si>
    <t>Bartomeus, I., M. Vila, and L. Santamaria. 2008. Contrasting effects of invasive plants in plant-pollinator networks. Oecologia. 155:761-770.</t>
  </si>
  <si>
    <r>
      <rPr>
        <rFont val="Arial"/>
        <color theme="1"/>
        <sz val="8.0"/>
      </rPr>
      <t>Invasion by</t>
    </r>
    <r>
      <rPr>
        <rFont val="Arial"/>
        <i/>
        <color theme="1"/>
        <sz val="8.0"/>
      </rPr>
      <t xml:space="preserve"> Opuntia stricta</t>
    </r>
  </si>
  <si>
    <t>Pollinator insect species richness for Opuntia invasion</t>
  </si>
  <si>
    <r>
      <rPr>
        <rFont val="Arial"/>
        <color theme="1"/>
        <sz val="8.0"/>
      </rPr>
      <t xml:space="preserve">Invasion by </t>
    </r>
    <r>
      <rPr>
        <rFont val="Arial"/>
        <i/>
        <color theme="1"/>
        <sz val="8.0"/>
      </rPr>
      <t>Carpobrotus affine acinaciformis</t>
    </r>
  </si>
  <si>
    <t>Native plant species richness for Carpobotus invasion</t>
  </si>
  <si>
    <r>
      <rPr>
        <rFont val="Arial"/>
        <color theme="1"/>
        <sz val="8.0"/>
      </rPr>
      <t>Invasion by</t>
    </r>
    <r>
      <rPr>
        <rFont val="Arial"/>
        <i/>
        <color theme="1"/>
        <sz val="8.0"/>
      </rPr>
      <t xml:space="preserve"> Opuntia stricta</t>
    </r>
  </si>
  <si>
    <t>Native plant species richness for Opuntia invasion</t>
  </si>
  <si>
    <t>Basset et al. 2008</t>
  </si>
  <si>
    <t>Species richness in average of garden and savanna vs. old forest</t>
  </si>
  <si>
    <t>02° 42'S</t>
  </si>
  <si>
    <t>Basset, Y., O. Missa, A. Alonso, S.E. Miller, G. Curletti, M.D. Meyer, C. Eardley, O.T. Lewis, M.W. Mansell, V. Novotny, and T. Wagner. 2008. Changes in arthropod assemblages along a wide gradient of disturbance in Gabon. Conservation Biology 22:1552-1563.</t>
  </si>
  <si>
    <t>Beekey et al. 2004</t>
  </si>
  <si>
    <r>
      <rPr>
        <rFont val="Arial"/>
        <color theme="1"/>
        <sz val="8.0"/>
      </rPr>
      <t xml:space="preserve">Invasion by </t>
    </r>
    <r>
      <rPr>
        <rFont val="Arial"/>
        <i/>
        <color theme="1"/>
        <sz val="8.0"/>
      </rPr>
      <t>Dreissena polymorpha</t>
    </r>
    <r>
      <rPr>
        <rFont val="Arial"/>
        <color theme="1"/>
        <sz val="8.0"/>
      </rPr>
      <t xml:space="preserve"> (zebra mussel)</t>
    </r>
  </si>
  <si>
    <t xml:space="preserve">Macroinvertebrate species richness in ZM addition experiment at avg. of Appletree and Hawkins Bay </t>
  </si>
  <si>
    <t>44° 34'N</t>
  </si>
  <si>
    <t>Beekey, M.A., McCabe D.J., and Marsden J.E. 2004. Zebra mussel colonisation of soft sediments facilitates invertebrate communities. Freshwater Biology 49:535-545.</t>
  </si>
  <si>
    <r>
      <rPr>
        <rFont val="Arial"/>
        <color theme="1"/>
        <sz val="8.0"/>
      </rPr>
      <t xml:space="preserve">Invasion by </t>
    </r>
    <r>
      <rPr>
        <rFont val="Arial"/>
        <i/>
        <color theme="1"/>
        <sz val="8.0"/>
      </rPr>
      <t>Dreissena polymorpha</t>
    </r>
    <r>
      <rPr>
        <rFont val="Arial"/>
        <color theme="1"/>
        <sz val="8.0"/>
      </rPr>
      <t xml:space="preserve"> (zebra mussel)</t>
    </r>
  </si>
  <si>
    <t>Macroinvertebrate species richness in observational study at avg, of Appletree and Hawkins Bay</t>
  </si>
  <si>
    <t>Belnap et al. 2005</t>
  </si>
  <si>
    <r>
      <rPr>
        <rFont val="Arial"/>
        <color theme="1"/>
        <sz val="8.0"/>
      </rPr>
      <t xml:space="preserve">Invasion by </t>
    </r>
    <r>
      <rPr>
        <rFont val="Arial"/>
        <i/>
        <color theme="1"/>
        <sz val="8.0"/>
      </rPr>
      <t>Bromus tectorum</t>
    </r>
    <r>
      <rPr>
        <rFont val="Arial"/>
        <color theme="1"/>
        <sz val="8.0"/>
      </rPr>
      <t xml:space="preserve"> (exotic annual grass)</t>
    </r>
  </si>
  <si>
    <t>Native plant species richness in native sites and average of recently and historically invaded sites in avg of 5 samping years</t>
  </si>
  <si>
    <t>38° 34'N</t>
  </si>
  <si>
    <t xml:space="preserve">Belnap, J., S.L. Phillips, S.K. Sherrod, and A. Moldenke. 2005. Soil biota can change after exotic plant invasion: does this affect ecosystem processes? Ecology. 86:3007-3017. </t>
  </si>
  <si>
    <t>Benesperi et al. 2012</t>
  </si>
  <si>
    <t>Species invasion</t>
  </si>
  <si>
    <r>
      <rPr>
        <rFont val="Arial"/>
        <color theme="1"/>
        <sz val="8.0"/>
      </rPr>
      <t>Invasion by</t>
    </r>
    <r>
      <rPr>
        <rFont val="Arial"/>
        <i/>
        <color theme="1"/>
        <sz val="8.0"/>
      </rPr>
      <t xml:space="preserve"> Robinia pseudoacacia</t>
    </r>
    <r>
      <rPr>
        <rFont val="Arial"/>
        <color theme="1"/>
        <sz val="8.0"/>
      </rPr>
      <t xml:space="preserve"> (black-locust)</t>
    </r>
  </si>
  <si>
    <t>Plant species richness in avg of young/adult/mature black locust stands vs. native stands</t>
  </si>
  <si>
    <t>Mediterranean</t>
  </si>
  <si>
    <t>43° 93'N</t>
  </si>
  <si>
    <t>Benesperi, R., C. Giuliani, S. Zanetti, M. Gennai, M.M. Lippi, T. Guidi, J. Nascimbene, and B. Foggi. 2012. Biodiversity and Conservation 21:3555-3568.</t>
  </si>
  <si>
    <t>Benitez-Malvido and Martinez-Ramos 2003</t>
  </si>
  <si>
    <t>Species richness in avg. of 3 fragments vs. continous forest (for all species)</t>
  </si>
  <si>
    <t>3° 06'S</t>
  </si>
  <si>
    <t>Benitez-Malvido, J., and M. Martinez-Ramos. 2003. Impact of forest fragmentation on understorey plant species richness in Amazonia. Conservation Biology. 17:389-400</t>
  </si>
  <si>
    <t>Biggerstaff and Beck, 2007</t>
  </si>
  <si>
    <r>
      <rPr>
        <rFont val="Arial"/>
        <color theme="1"/>
        <sz val="8.0"/>
      </rPr>
      <t xml:space="preserve">Invasion by </t>
    </r>
    <r>
      <rPr>
        <rFont val="Arial"/>
        <i/>
        <color theme="1"/>
        <sz val="8.0"/>
      </rPr>
      <t>Hedera helix</t>
    </r>
    <r>
      <rPr>
        <rFont val="Arial"/>
        <color theme="1"/>
        <sz val="8.0"/>
      </rPr>
      <t xml:space="preserve"> L. (English ivy)</t>
    </r>
  </si>
  <si>
    <t>Native species richness in invaded and uninvaded seed banks</t>
  </si>
  <si>
    <t>33° 50'N</t>
  </si>
  <si>
    <t xml:space="preserve">Biggerstaff, M.S., and C.W. Beck. 2007. Effects of English ivy (Hedera helix) on seed bank formation and germination. American Midland Naturalist. 1:226-238. </t>
  </si>
  <si>
    <t>Biswas and Mallik, 2010</t>
  </si>
  <si>
    <t>Species richness in control vs. clear cutting treatments in avg. of riparian and upland zones</t>
  </si>
  <si>
    <t>48° 22'N</t>
  </si>
  <si>
    <t>Biswas, S.R. and Mallik, A.U. 2010. Disturbance effects on species diversity and functional diversity in riparian and upland plant communities. Ecology 91(1):28-35.</t>
  </si>
  <si>
    <t>Bobbink 1991</t>
  </si>
  <si>
    <t>Nutrient Addition</t>
  </si>
  <si>
    <t xml:space="preserve">Addition of N </t>
  </si>
  <si>
    <t>Total phanerogram species richness in avg. of 2 sites with N addition</t>
  </si>
  <si>
    <t>50° 51'N</t>
  </si>
  <si>
    <t>Bobbink, R. 1991. Effects of nutrient enrichment in Dutch chalk grassland. Journal of Applied Ecology. 28:28-41.</t>
  </si>
  <si>
    <t>Bonin et al. 2011</t>
  </si>
  <si>
    <t>Fragmentation</t>
  </si>
  <si>
    <t>Recruitment-stage fish species richness in control vs. fragmentation treatment</t>
  </si>
  <si>
    <t>Marine</t>
  </si>
  <si>
    <t>5° 17'S</t>
  </si>
  <si>
    <t>Bonin, M.C., G.R. Almany, and G.P. Jones. 2011. Contrasting effects of habitat loss and fragmentation on coral-associated reef fishes. Ecology 92(7):1503-1512.</t>
  </si>
  <si>
    <t>Recruitment-stage fish species richness in control vs.habitat loss treatment</t>
  </si>
  <si>
    <t>Bos et al. 2007</t>
  </si>
  <si>
    <t>Average invertebrate species richness in natural forest vs. average of 3 types of agro-forests</t>
  </si>
  <si>
    <t>01° 52'S</t>
  </si>
  <si>
    <t>Bos, M.M., P. Hohn, S. Saleh, B. Buche, D. Buchori, I. Stefan-Dewenter, and T. Tscharntke. 2007. Insect diversity responses to forest conversion and agroforestry management. Stability of Tropical Rainforest Margins 1:277-294.</t>
  </si>
  <si>
    <t>Braga et al. 2013</t>
  </si>
  <si>
    <t>Land-use change</t>
  </si>
  <si>
    <t>Beetle species richness in primary forest vs. avg. of agrictulture and pasture plots</t>
  </si>
  <si>
    <t>4° 21'S</t>
  </si>
  <si>
    <t>Braga, R.F., V. Korasaki, E. Andresen, and J. Louzada. 2013. Dug beetle community and functions along a habitat-disturbance gradient in the Amazon: A rapid assessment of ecological functions associated to biodiversity. PLoS One 8(2):e57786.</t>
  </si>
  <si>
    <t>Bragagnolo et al. 2007</t>
  </si>
  <si>
    <t xml:space="preserve">Spider species richness averaged across large and small fragments in secondary forest </t>
  </si>
  <si>
    <t>23° 33'S</t>
  </si>
  <si>
    <t>Bragagnolo, C., A.A. Noguiera, R.P.A. Rocha, and R. Pardini. 2007. Harvestmen in an Atlantic forest fragmented landscape: Evaluating assemblage response to habitat quality and quantity. Biological Conservation. 389-400</t>
  </si>
  <si>
    <t>Braschler et al. 2003</t>
  </si>
  <si>
    <t>Aphid species richness</t>
  </si>
  <si>
    <t>47° 34'N</t>
  </si>
  <si>
    <t xml:space="preserve">Braschler, B., G. Lampel, and B. Baur. 2003. Experimental small scale grassland fragmentation alters aphid population dynamics. Oikos 100:581-591. </t>
  </si>
  <si>
    <t>Britton and Fisher, 2007</t>
  </si>
  <si>
    <t>Lichen species richness in final sampling year (avg. of nutrient treatments 10-50kg/ha/year)</t>
  </si>
  <si>
    <t>Estimated</t>
  </si>
  <si>
    <t>57°04'N</t>
  </si>
  <si>
    <t>Britton, A.J., and J.M. Fisher. 2007. Interactive effects of nitrogen deposition, fire and grazing on diversity and composition of low-alpine prostrate Calluna vulgaris heathland. Journal of Applied Ecology. 44:125-135.</t>
  </si>
  <si>
    <t>Bunnell and Zampella, 2008</t>
  </si>
  <si>
    <r>
      <rPr>
        <rFont val="Arial"/>
        <color theme="1"/>
        <sz val="8.0"/>
      </rPr>
      <t xml:space="preserve">Invasion by Centrarchids (sunfish and bass species) and </t>
    </r>
    <r>
      <rPr>
        <rFont val="Arial"/>
        <i/>
        <color theme="1"/>
        <sz val="8.0"/>
      </rPr>
      <t xml:space="preserve">Lithobates catesbeianus </t>
    </r>
    <r>
      <rPr>
        <rFont val="Arial"/>
        <color theme="1"/>
        <sz val="8.0"/>
      </rPr>
      <t>(bullfrog)</t>
    </r>
  </si>
  <si>
    <t>Native anuran richness at invaded vs. non-invaded sites</t>
  </si>
  <si>
    <t>40° 03'N</t>
  </si>
  <si>
    <t>Bunnell, J.F., and R.A. Zampella. 2008. Native fish and anuran assemblages differ between impoundments with and without non-native centrarchids and bullfrogs. Copeia. 4:931-939.</t>
  </si>
  <si>
    <r>
      <rPr>
        <rFont val="Arial"/>
        <color theme="1"/>
        <sz val="8.0"/>
      </rPr>
      <t xml:space="preserve">Invasion by Centrarchids (sunfish and bass species) and </t>
    </r>
    <r>
      <rPr>
        <rFont val="Arial"/>
        <i/>
        <color theme="1"/>
        <sz val="8.0"/>
      </rPr>
      <t xml:space="preserve">Lithobates catesbeianus </t>
    </r>
    <r>
      <rPr>
        <rFont val="Arial"/>
        <color theme="1"/>
        <sz val="8.0"/>
      </rPr>
      <t>(bullfrog)</t>
    </r>
  </si>
  <si>
    <t>Native fish richness at invaded vs. non-invaded sites</t>
  </si>
  <si>
    <t>Cane et al. 2006</t>
  </si>
  <si>
    <t>Species richness averaged across different bee functional groups</t>
  </si>
  <si>
    <t>Desert</t>
  </si>
  <si>
    <t>32° 15'N</t>
  </si>
  <si>
    <t xml:space="preserve">Cane, J.H., R.L. Minckley, L.J. Kervin, T.H. and N.H. Williams. 2006. Complex responses within a desert bee guild (Hymenoptera: Apiformes) to urban habitat fragmentation. Ecological Applications. 16(2):632-644. </t>
  </si>
  <si>
    <t>Ceccon et al. 2004</t>
  </si>
  <si>
    <t>Addition of N and P</t>
  </si>
  <si>
    <t>Species richness in avg. of young and old forest at last sampling date with addition of N and P</t>
  </si>
  <si>
    <t>21° 06'N</t>
  </si>
  <si>
    <t>Ceccon, E., S. Sanchez, and J. Campo. 2004. Tree seedling dynamics in two abandoned tropical dry forests of differing successional status in Yucaton, Mexico: A field experiment with N and P fertilization. Plant Ecology. 170:277-285.</t>
  </si>
  <si>
    <t>Chabrerie et al. 2010</t>
  </si>
  <si>
    <r>
      <rPr>
        <rFont val="Arial"/>
        <color theme="1"/>
        <sz val="8.0"/>
      </rPr>
      <t>Invasion by</t>
    </r>
    <r>
      <rPr>
        <rFont val="Arial"/>
        <i/>
        <color theme="1"/>
        <sz val="8.0"/>
      </rPr>
      <t xml:space="preserve"> Prunus serotina </t>
    </r>
    <r>
      <rPr>
        <rFont val="Arial"/>
        <color theme="1"/>
        <sz val="8.0"/>
      </rPr>
      <t>(Black cherry)</t>
    </r>
  </si>
  <si>
    <t>Chabrerie, O., J. Loinard, S. Perrin, R. Saguez, and G. Decocq. 2010. Impact of Prunus serotina invasion on understory functional diversity in a European temperate forest. Biological Invasions. 12:1891-1907.</t>
  </si>
  <si>
    <t>Chapman and Chapman 2003</t>
  </si>
  <si>
    <t>Total species richness in intact vs. fragmented forest</t>
  </si>
  <si>
    <t>0° 13'N</t>
  </si>
  <si>
    <t>Chapman, C.A., and L.J. Chapman 2003. Fragmentation and alteration of seed dispersal processes: An initial evaluation of dung beetles, seed fate, and seedling diversity. Biotropica 35:382-393.</t>
  </si>
  <si>
    <t>Christian and Wilson, 1999</t>
  </si>
  <si>
    <r>
      <rPr>
        <rFont val="Arial"/>
        <color theme="1"/>
        <sz val="8.0"/>
      </rPr>
      <t>Invasion by</t>
    </r>
    <r>
      <rPr>
        <rFont val="Arial"/>
        <i/>
        <color theme="1"/>
        <sz val="8.0"/>
      </rPr>
      <t xml:space="preserve"> Agropyron cristatum</t>
    </r>
    <r>
      <rPr>
        <rFont val="Arial"/>
        <color theme="1"/>
        <sz val="8.0"/>
      </rPr>
      <t xml:space="preserve"> (invasive C3 grass)</t>
    </r>
  </si>
  <si>
    <t>Species richness of native plants in successional grassland plots vs. invaded grassland plots</t>
  </si>
  <si>
    <t>Christian, J.M., and S.D. Wilson. 1999. Long-term ecosystem impacts of an introduced grass in the northern Great Plains. Ecology. 80: 2397-2407.</t>
  </si>
  <si>
    <t>Cole et al. 2005</t>
  </si>
  <si>
    <t>Addition of N</t>
  </si>
  <si>
    <t>Microarthropod species richness in control vs. N-addition plots</t>
  </si>
  <si>
    <t>55° 28'N</t>
  </si>
  <si>
    <t xml:space="preserve">Cole, L., S.M. Buckland, and R.D. Bardgett. 2005. Relating microarthropod community structure and diversity to soil fertility manipulations in temperate grassland. Soil Biology and Biochemistry 37:1707-1717. </t>
  </si>
  <si>
    <t>Collier et al. 2002</t>
  </si>
  <si>
    <r>
      <rPr>
        <rFont val="Arial"/>
        <color theme="1"/>
        <sz val="8.0"/>
      </rPr>
      <t xml:space="preserve">Invasion by </t>
    </r>
    <r>
      <rPr>
        <rFont val="Arial"/>
        <i/>
        <color theme="1"/>
        <sz val="8.0"/>
      </rPr>
      <t xml:space="preserve">Lonicera maackii </t>
    </r>
    <r>
      <rPr>
        <rFont val="Arial"/>
        <color theme="1"/>
        <sz val="8.0"/>
      </rPr>
      <t>(Amur honeysuckle)</t>
    </r>
  </si>
  <si>
    <t>Species richness of native plants in plots below the invasive shrub and those away from the invasive shrub</t>
  </si>
  <si>
    <t>40° 24'N</t>
  </si>
  <si>
    <t>Collier, M.H., J.L. Vankat, and M.R. Hughes. 2002. Diminished plant richness and abundance below Lonicera maackii, an invasive shrub. American Midland Naturalist. 147:60-71.</t>
  </si>
  <si>
    <t>Collinge, 2000</t>
  </si>
  <si>
    <t>Insect species richness at end of experiment</t>
  </si>
  <si>
    <t>39° 44'N</t>
  </si>
  <si>
    <t>Collinge, S.K. 2000. Effects of grassland fragmentation on insect species loss, colonization, and movement patterns. Ecology 81(8):2211-2226</t>
  </si>
  <si>
    <t>Cunha et al. 2011</t>
  </si>
  <si>
    <r>
      <rPr>
        <rFont val="Arial"/>
        <color theme="1"/>
        <sz val="8.0"/>
      </rPr>
      <t>Invasion by</t>
    </r>
    <r>
      <rPr>
        <rFont val="Arial"/>
        <i/>
        <color theme="1"/>
        <sz val="8.0"/>
      </rPr>
      <t xml:space="preserve"> Hydrilla verticillata </t>
    </r>
    <r>
      <rPr>
        <rFont val="Arial"/>
        <color theme="1"/>
        <sz val="8.0"/>
      </rPr>
      <t>(Esthwaite waterweed)</t>
    </r>
  </si>
  <si>
    <t>Fish species richness in average of high and low water associated with invasive vs. native plant</t>
  </si>
  <si>
    <t>22° 47'S</t>
  </si>
  <si>
    <t>Cunha, E.R., S.M. Thomaz, H.B.A. Evangelista, J. Carniato, C.F. Souza, and R. Fugi. 2011. Small-sized fish assemblages do not differ between a native and a recently established non-indigenous macrophyte in a neotropical ecosystem. Brazilian Journal of Nature Conservation 9(1)61-66.</t>
  </si>
  <si>
    <t>Cushman and Gaffney, 2010</t>
  </si>
  <si>
    <r>
      <rPr>
        <rFont val="Arial"/>
        <color theme="1"/>
        <sz val="8.0"/>
      </rPr>
      <t xml:space="preserve">Invasion by </t>
    </r>
    <r>
      <rPr>
        <rFont val="Arial"/>
        <i/>
        <color theme="1"/>
        <sz val="8.0"/>
      </rPr>
      <t>Arundo donax</t>
    </r>
    <r>
      <rPr>
        <rFont val="Arial"/>
        <color theme="1"/>
        <sz val="8.0"/>
      </rPr>
      <t xml:space="preserve"> (Giant reed)</t>
    </r>
  </si>
  <si>
    <t>Native plant species richness (avg of 3 sites) in field study #1 for invasion by Arundo</t>
  </si>
  <si>
    <t>38° 17'N</t>
  </si>
  <si>
    <t>Cushman, J.H., and K.A. Gaffney. 2010. Community-level consequences of invasion: impacts of exotic clonal plants on riparian vegetaion. Biological Invasions. 12:2765-2776.</t>
  </si>
  <si>
    <r>
      <rPr>
        <rFont val="Arial"/>
        <color theme="1"/>
        <sz val="8.0"/>
      </rPr>
      <t>Invasion by</t>
    </r>
    <r>
      <rPr>
        <rFont val="Arial"/>
        <i/>
        <color theme="1"/>
        <sz val="8.0"/>
      </rPr>
      <t xml:space="preserve"> Vinca major</t>
    </r>
    <r>
      <rPr>
        <rFont val="Arial"/>
        <color theme="1"/>
        <sz val="8.0"/>
      </rPr>
      <t xml:space="preserve"> (Blue periwinkle)</t>
    </r>
  </si>
  <si>
    <t>Native plant species richness in field study #2 for invasion by Vinca</t>
  </si>
  <si>
    <r>
      <rPr>
        <rFont val="Arial"/>
        <color theme="1"/>
        <sz val="8.0"/>
      </rPr>
      <t xml:space="preserve">Invasion by </t>
    </r>
    <r>
      <rPr>
        <rFont val="Arial"/>
        <i/>
        <color theme="1"/>
        <sz val="8.0"/>
      </rPr>
      <t>Arundo donax</t>
    </r>
    <r>
      <rPr>
        <rFont val="Arial"/>
        <color theme="1"/>
        <sz val="8.0"/>
      </rPr>
      <t xml:space="preserve"> (Giant reed)</t>
    </r>
  </si>
  <si>
    <t>Native plant species richness in field study #2 for invasion by Arundo</t>
  </si>
  <si>
    <t>D'Cruze and Kumar 2011</t>
  </si>
  <si>
    <t>Lizard species richness in forest vs. orchard site</t>
  </si>
  <si>
    <t>12° 20'S</t>
  </si>
  <si>
    <t>D'Cruze, N., and S. Kumar. 2011. Effects of anthropogenic activities on lizard communities in northern Madagascar. Animal Conservation 14:542-552</t>
  </si>
  <si>
    <t>Lizard species richness in forest vs. logged sites</t>
  </si>
  <si>
    <t>Daily et al. 2003</t>
  </si>
  <si>
    <t>Mammal species richness in forest plot vs. avg. of agricultural plots</t>
  </si>
  <si>
    <t>09° 47'N</t>
  </si>
  <si>
    <t>Daily, G.C., G. Ceballos, J. Pacheco, G. Suzan, and G.A. Sanchez-Azofeifa. 2003. Countryside biogeography of neotropical mammals: Conservation opportunities in agricultural landscapes of Costa Rica. Conservation Biology. 17:1814-1826.</t>
  </si>
  <si>
    <t>Danielsen and Heegard 1995</t>
  </si>
  <si>
    <t>Bird species richness in forest vs. average of oil palm and rubber plantation</t>
  </si>
  <si>
    <t>00° 35'S</t>
  </si>
  <si>
    <t>Danielsen, F., and M. Heegard. 1995. Impact of logging and plantation development on species diversity: a case study from Sumatra. Pages 73–92 in Ø. Sandbukt, editor. Management of tropical forests: towards an integrated perspective. University of Oslo, Oslo, Norway.</t>
  </si>
  <si>
    <t>Bird species richness in forest vs.avg of lightly and heavily logged forest</t>
  </si>
  <si>
    <t>Davalos and Blossey, 2004</t>
  </si>
  <si>
    <r>
      <rPr>
        <rFont val="Arial"/>
        <color theme="1"/>
        <sz val="8.0"/>
      </rPr>
      <t xml:space="preserve">Invasion by </t>
    </r>
    <r>
      <rPr>
        <rFont val="Arial"/>
        <i/>
        <color theme="1"/>
        <sz val="8.0"/>
      </rPr>
      <t>Alliaria petiolata</t>
    </r>
    <r>
      <rPr>
        <rFont val="Arial"/>
        <color theme="1"/>
        <sz val="8.0"/>
      </rPr>
      <t xml:space="preserve"> (Garlic mustard)</t>
    </r>
  </si>
  <si>
    <t xml:space="preserve">Understory plant species richness in invaded vs. uninvaded plots at average of 2 sites. </t>
  </si>
  <si>
    <t>42° 41'N</t>
  </si>
  <si>
    <t>Davalos, A., and B. Blossey. 2004. Influence of the invasive herb garlic mustard (Alliaria petiolata) on ground beetle (Coleoptera: Carabidae) assemblages. Community and Ecosystem Ecology 33:564-576.</t>
  </si>
  <si>
    <t>Davies and Margules, 1998</t>
  </si>
  <si>
    <t>Carabid species richness (avg of three plot sizes)</t>
  </si>
  <si>
    <t>Southern Temperate Forest</t>
  </si>
  <si>
    <t>37° 04'S</t>
  </si>
  <si>
    <t xml:space="preserve">Davies, K.F., and C.R. Margules. 1998. Effects of habitat fragmentation on carabid beetles: experimental evidence. Journal of Animal Ecology 67:460-471. </t>
  </si>
  <si>
    <t>Davies and Svejcar, 2008</t>
  </si>
  <si>
    <r>
      <rPr>
        <rFont val="Arial"/>
        <color theme="1"/>
        <sz val="8.0"/>
      </rPr>
      <t xml:space="preserve">Invasion by </t>
    </r>
    <r>
      <rPr>
        <rFont val="Arial"/>
        <i/>
        <color theme="1"/>
        <sz val="8.0"/>
      </rPr>
      <t xml:space="preserve">Taeniatherum caput-meusae </t>
    </r>
    <r>
      <rPr>
        <rFont val="Arial"/>
        <color theme="1"/>
        <sz val="8.0"/>
      </rPr>
      <t>(Medusahead)</t>
    </r>
  </si>
  <si>
    <t>Native plant species richness in invaded vs. uninvaded plots</t>
  </si>
  <si>
    <t>43° 05'N</t>
  </si>
  <si>
    <t>Davies, K.W., and T.J. Svejcar. 2008. Comparison of medusahead-invaded and noninvaded Wyoming big sagebrush steppe in Southeastern Oregon. Rangeland and Ecology Management. 61:623-629.</t>
  </si>
  <si>
    <t>Davis and Phillips 2005</t>
  </si>
  <si>
    <t>Total beetle species richness in forest vs. plantation sites (avg. of 2 days of sampling)</t>
  </si>
  <si>
    <t>5° 17'N</t>
  </si>
  <si>
    <t>Davis, A.L., and T.K. Phillips. 2005. Effect of deforestation on a Southwest Ghana dung beetle assemblage (Coleoptera:Scarabaediae) at the periphery of Ankasa conservation area. Environmental Entomology 34(5):1081-1088.</t>
  </si>
  <si>
    <t>Total beetle species richness in unlogged vs. logged sites (avg. fo 2 days of sampling)</t>
  </si>
  <si>
    <t>Davis et al. 2001</t>
  </si>
  <si>
    <t>Avg of primary forest and plantation sites (from both pitfall and FIT sampling methods)</t>
  </si>
  <si>
    <t>4° 58'N</t>
  </si>
  <si>
    <t>Davis, A.J., J.D. Holloway, H. Huijnbregts, J. Krikken, A.H. Kirk-Spriggs, and S.L. Sutton. 2001. Dung beetles as indicators of change in the forests of northern Borneo. Journal of Applied Ecology 38:593-616.</t>
  </si>
  <si>
    <t>Avg of primary forest and logging sites (from both pitfall and FIT sampling methods)</t>
  </si>
  <si>
    <t>Davis et al. 2012</t>
  </si>
  <si>
    <t>Beetle species richness in avg. of 4 Nat'l Park sites vs. avg. of 4 farmland sites</t>
  </si>
  <si>
    <t>Savanna</t>
  </si>
  <si>
    <t>24° 54'S</t>
  </si>
  <si>
    <t>Davis, A.L.V., CH. Scholtz, and A.M. Swemmer. 2012. Effects of land usage on dung beetle assemblage structure: Kruger National Park vesus adjacent farmland in South Africa. Journal of Insect Conservation 16:399-411.</t>
  </si>
  <si>
    <t>de Groot et al. 2007</t>
  </si>
  <si>
    <r>
      <rPr>
        <rFont val="Arial"/>
        <color theme="1"/>
        <sz val="8.0"/>
      </rPr>
      <t>Invasion by</t>
    </r>
    <r>
      <rPr>
        <rFont val="Arial"/>
        <i/>
        <color theme="1"/>
        <sz val="8.0"/>
      </rPr>
      <t xml:space="preserve"> Solidago canadensis</t>
    </r>
  </si>
  <si>
    <t>Average of butterfly, hoverfly, and caddisfly species richness in native vs. invaded plots</t>
  </si>
  <si>
    <t>46° 04'N</t>
  </si>
  <si>
    <t>de Groot, M., D. Kleijn, and N. Jogan. 2007. Species groups occupying different trophic levels respond differently to the invasion of semi-natural vegetation by Solidago canadensis. Biological Conservation. 136:612-617.</t>
  </si>
  <si>
    <r>
      <rPr>
        <rFont val="Arial"/>
        <color theme="1"/>
        <sz val="8.0"/>
      </rPr>
      <t>Invasion by</t>
    </r>
    <r>
      <rPr>
        <rFont val="Arial"/>
        <i/>
        <color theme="1"/>
        <sz val="8.0"/>
      </rPr>
      <t xml:space="preserve"> Solidago canadensis</t>
    </r>
  </si>
  <si>
    <t>Plant species richness in native vs. invaded plots</t>
  </si>
  <si>
    <t>Dean et al. 2002</t>
  </si>
  <si>
    <r>
      <rPr>
        <rFont val="Arial"/>
        <color theme="1"/>
        <sz val="8.0"/>
      </rPr>
      <t>Invasion by</t>
    </r>
    <r>
      <rPr>
        <rFont val="Arial"/>
        <i/>
        <color theme="1"/>
        <sz val="8.0"/>
      </rPr>
      <t xml:space="preserve"> Prosopis glandulosa</t>
    </r>
    <r>
      <rPr>
        <rFont val="Arial"/>
        <color theme="1"/>
        <sz val="8.0"/>
      </rPr>
      <t xml:space="preserve"> and </t>
    </r>
    <r>
      <rPr>
        <rFont val="Arial"/>
        <i/>
        <color theme="1"/>
        <sz val="8.0"/>
      </rPr>
      <t>Prosopis velutina</t>
    </r>
  </si>
  <si>
    <t>Bird species richness in average of invaded vs. uninvaded sites</t>
  </si>
  <si>
    <t>27° 35'S</t>
  </si>
  <si>
    <t xml:space="preserve">Dean, W.R.J., M.D. Anderson, S.J. Milton, and T.A. Anderson. 2002. Avian assemblages in native Acacia and alien Prosopis drainage line woodland in the Kalahari, South Africa. Journal of Arid Environment 51:1-19. </t>
  </si>
  <si>
    <t>Douglas and O'Connor, 2003</t>
  </si>
  <si>
    <r>
      <rPr>
        <rFont val="Arial"/>
        <color theme="1"/>
        <sz val="8.0"/>
      </rPr>
      <t xml:space="preserve">Invasion by </t>
    </r>
    <r>
      <rPr>
        <rFont val="Arial"/>
        <i/>
        <color theme="1"/>
        <sz val="8.0"/>
      </rPr>
      <t>Urochloa mutica</t>
    </r>
    <r>
      <rPr>
        <rFont val="Arial"/>
        <color theme="1"/>
        <sz val="8.0"/>
      </rPr>
      <t xml:space="preserve"> (Para grass)</t>
    </r>
  </si>
  <si>
    <t>Average of benthic and epiphytic invert species richness in average of 4 invaded and native sites at last sampling date. (avg. of 2 native species)</t>
  </si>
  <si>
    <t>14° 10'S</t>
  </si>
  <si>
    <t>Douglas, M.M., and R.A. O'Connor. 2003. Effects of the exotic macrophyte, para grass (Urochloa mutica), on benthic and epiphytic macroinvertebrates of a tropical floodplain. Freshwater Biology. 48:962-971.</t>
  </si>
  <si>
    <t>Drouin et al. 2011</t>
  </si>
  <si>
    <r>
      <rPr>
        <rFont val="Arial"/>
        <color theme="1"/>
        <sz val="8.0"/>
      </rPr>
      <t xml:space="preserve">Invasion by </t>
    </r>
    <r>
      <rPr>
        <rFont val="Arial"/>
        <i/>
        <color theme="1"/>
        <sz val="8.0"/>
      </rPr>
      <t>Codium fragile</t>
    </r>
  </si>
  <si>
    <t>Species richness of macro inverts in invaded vs. uninvaded beds (avg. of 2 sites)</t>
  </si>
  <si>
    <t>47° 37' N</t>
  </si>
  <si>
    <r>
      <rPr>
        <rFont val="Arial"/>
        <color theme="1"/>
        <sz val="8.0"/>
      </rPr>
      <t xml:space="preserve">Drouin A., C.W. McKindsey, and L.E. Johnson. 2011. Higher abundance and diversity in faunal assemblages with the invasion of </t>
    </r>
    <r>
      <rPr>
        <rFont val="Arial"/>
        <i/>
        <color theme="1"/>
        <sz val="8.0"/>
      </rPr>
      <t>Codium fragile ssp. fragile</t>
    </r>
    <r>
      <rPr>
        <rFont val="Arial"/>
        <color theme="1"/>
        <sz val="8.0"/>
      </rPr>
      <t xml:space="preserve"> in eelgrass meadows. Marine Ecology Progress Series 424:105-117. </t>
    </r>
  </si>
  <si>
    <r>
      <rPr>
        <rFont val="Arial"/>
        <color theme="1"/>
        <sz val="8.0"/>
      </rPr>
      <t xml:space="preserve">Invasion by </t>
    </r>
    <r>
      <rPr>
        <rFont val="Arial"/>
        <i/>
        <color theme="1"/>
        <sz val="8.0"/>
      </rPr>
      <t>Codium fragile</t>
    </r>
  </si>
  <si>
    <t>Species richness of fish in non-invaded vs. invaded beds (avg of 2 sites)</t>
  </si>
  <si>
    <r>
      <rPr>
        <rFont val="Arial"/>
        <color theme="1"/>
        <sz val="8.0"/>
      </rPr>
      <t xml:space="preserve">Drouin A., C.W. McKindsey, and L.E. Johnson. 2011. Higher abundance and diversity in faunal assemblages with the invasion of </t>
    </r>
    <r>
      <rPr>
        <rFont val="Arial"/>
        <i/>
        <color theme="1"/>
        <sz val="8.0"/>
      </rPr>
      <t>Codium fragile ssp. fragile</t>
    </r>
    <r>
      <rPr>
        <rFont val="Arial"/>
        <color theme="1"/>
        <sz val="8.0"/>
      </rPr>
      <t xml:space="preserve"> in eelgrass meadows. Marine Ecology Progress Series 424:105-117. </t>
    </r>
  </si>
  <si>
    <t>Dumbrell et al. 2001</t>
  </si>
  <si>
    <t>Species Richness of butterflies in disturbed vs. undisturbed habitat</t>
  </si>
  <si>
    <t>5° N</t>
  </si>
  <si>
    <t>Dumbrell, A.J.,  E.J. Clark, G.A. Frost, T.E. Randell, J.W. Pitchford, and J.K. Hill. 2008. Changes in species diversity following habitat disturbance and dependent on spatial scale: theoretical and empirical evidence. Journal of Applied Ecology 45:1531-1539.</t>
  </si>
  <si>
    <t>Edwards et al. 2004</t>
  </si>
  <si>
    <t>Species richness of fungal species in control vs. nutrient addition plots</t>
  </si>
  <si>
    <t>35° 00'N</t>
  </si>
  <si>
    <t>Edwards, I.P., J.L. Cripliver, A.R. Gillespie, K.H. Johnsen, M. Scholler, and R.F. Turco. 2004. Nitrogen availability alters macrofungal basidiomycete community structure in optimally fertilized loblolly pine forests. New Phytologist. 162:755-770.</t>
  </si>
  <si>
    <t>Elek and Lovei 2005</t>
  </si>
  <si>
    <t xml:space="preserve"> Beetle species richness in rural area (forested) and avg. of urban and suburban areas (average of 3 size classes)</t>
  </si>
  <si>
    <t>55° 26'N</t>
  </si>
  <si>
    <t>Elek, Z., and G.L. Lovei. 2005. Ground beetle assemblages along an urbanization gradient near Soro, Zealand, Denmark. Entomologiske Meddelser 73:115-121.</t>
  </si>
  <si>
    <t>Escolar et al. 2012</t>
  </si>
  <si>
    <t>Temperature increase</t>
  </si>
  <si>
    <t>Avg, of BSC (contains cyanobasteria, algae, liverwort, fungi, bacteria) and lichen species richness in avg. of bare and crust sites in control and warmed treatments at end of experiment</t>
  </si>
  <si>
    <t>40° 02'N</t>
  </si>
  <si>
    <t>Escolar, C., I. Martinez, M.A. Bowker, and F.T. Maestre. 2012. Warming reduces the growth and diversity of biological soil crusts in a semi-aric environment: implications for ecosystem structure and functioning. Philosophical Transactions of the Royal Society B 367:3087-3099.</t>
  </si>
  <si>
    <t>Estrada and Coates-Estrada, 1997</t>
  </si>
  <si>
    <t>Species richness at undisturbed site vs. avg of different agricultural sites</t>
  </si>
  <si>
    <t>18° 30'N</t>
  </si>
  <si>
    <t>Estrada, A. and R. Coates-Estrada. 1997. Anthropogenic landscape changes and avian diversity at Los Tuxtlas, Mexico. Biodiversity and Conservation. 6:19-43.</t>
  </si>
  <si>
    <t>Estrada and Coates-Estrada, 2002a</t>
  </si>
  <si>
    <t>Dung beetle species richness in continuous vs. agricultural habitat</t>
  </si>
  <si>
    <t>Estrada, A. and R. Coates-Estrada. 2002. Dung beetles in continuous forest, forest fragments and in a agricultural mosaic habitat island at Los Tuxtlas, Mexico. Biodiversity and Conservation. 11:1903-1918.</t>
  </si>
  <si>
    <t>Dung beetle species richness in continuous vs. fragmented plots</t>
  </si>
  <si>
    <t>Estrada and Coates-Estrada, 2002b</t>
  </si>
  <si>
    <t>Bat species richness in continuous vs. agricultural habitat</t>
  </si>
  <si>
    <t>Estrada, A., and R. Coates-Estrada. 2002. Bats in continous forest, forest fragments, and in an agricultural mosaic habitat-island at Los Tuxtlas, Mexico. Biological Conservation. 103:237-245.</t>
  </si>
  <si>
    <t>Bat species richness in continous vs. fragmented habitat</t>
  </si>
  <si>
    <t>Estrada and Coates-Estrada, 2005</t>
  </si>
  <si>
    <t>Bird species richness at undisturbed site vs. avg of different agricultural sites</t>
  </si>
  <si>
    <t>Estrada, A. and R. Coates-Estrada. 2005. Diversity of neotropical migratory landbird species assemblages in forest fragments and man-made vegetation in Los Tuxtlas, Mexico. Biodiversity and Conservation. 14:1719-1734.</t>
  </si>
  <si>
    <t>Estrada et al. 1994</t>
  </si>
  <si>
    <t>Mammal species richness in forest and avg of disturbance sites</t>
  </si>
  <si>
    <t>Estrada, A., R. Coates-Estrada, and D. Meritt. 1994. Non-flying mammals and landscape changes in the tropical rainforest region of Los Tuxtlas, Mexico. Ecography. 17:229-241.</t>
  </si>
  <si>
    <t>Estrada et al. 1998</t>
  </si>
  <si>
    <t>Beetle species richness in forest sites vs. avg of disturbed sites</t>
  </si>
  <si>
    <t>Estrada, A., R. Coates-Estrada, A.A. Dadda, and P. Cammarano. 1998. Dung and carrion beetles in tropical rain forest fragments and agricultural habitats at Los Tuxtlas, Mexico. Journal of Tropical Ecology. 14:577-593.</t>
  </si>
  <si>
    <t>Fang et al. 2012</t>
  </si>
  <si>
    <t>Nutrient addition</t>
  </si>
  <si>
    <t>Addition of N or P</t>
  </si>
  <si>
    <t>Plant species richness in control and avg, of 4 nutrient treatments</t>
  </si>
  <si>
    <t>42° 02'N</t>
  </si>
  <si>
    <t>Fang, Y., X. Fen, W. Bai, W. Zhang, and L. Li. 2012. Long-term nitrogen addition leads to loss of species richness due to litter accumulation and soil acidification in a temperate steppe. PLoS One. 7(10):e47369</t>
  </si>
  <si>
    <t>Feer and Hingrat 2005</t>
  </si>
  <si>
    <t>Beetle species richness averaged over 3 intact forest plots and 7 fragmented island plots</t>
  </si>
  <si>
    <t>4° 51'N</t>
  </si>
  <si>
    <t>Feer, F. and Y. Hingrat. 2005. Effects of forest fragmentation on a dung beetle community in French Guiana. Conservation Biology 19:1103-1112.</t>
  </si>
  <si>
    <t>Mammal species richness averaged over 3 intact forest plots and 7 fragmented island plots</t>
  </si>
  <si>
    <t>Fink and Wilson, 2011</t>
  </si>
  <si>
    <r>
      <rPr>
        <rFont val="Arial"/>
        <color theme="1"/>
        <sz val="8.0"/>
      </rPr>
      <t xml:space="preserve">Invasion by </t>
    </r>
    <r>
      <rPr>
        <rFont val="Arial"/>
        <i/>
        <color theme="1"/>
        <sz val="8.0"/>
      </rPr>
      <t>Bromus inermis</t>
    </r>
  </si>
  <si>
    <t>Native plant species richness</t>
  </si>
  <si>
    <t>49° 04'N</t>
  </si>
  <si>
    <t>Fink, K.A., and S.D. Wilson. 2011. Bromus inermus invasion of a native grassland: diversity and resource reduction. Botany. 89:157-164.</t>
  </si>
  <si>
    <t>Fischer et al. 2009</t>
  </si>
  <si>
    <r>
      <rPr>
        <rFont val="Arial"/>
        <color theme="1"/>
        <sz val="8.0"/>
      </rPr>
      <t>Invasion by</t>
    </r>
    <r>
      <rPr>
        <rFont val="Arial"/>
        <i/>
        <color theme="1"/>
        <sz val="8.0"/>
      </rPr>
      <t xml:space="preserve"> Cinchona pubescens</t>
    </r>
    <r>
      <rPr>
        <rFont val="Arial"/>
        <color theme="1"/>
        <sz val="8.0"/>
      </rPr>
      <t xml:space="preserve"> and</t>
    </r>
    <r>
      <rPr>
        <rFont val="Arial"/>
        <i/>
        <color theme="1"/>
        <sz val="8.0"/>
      </rPr>
      <t xml:space="preserve"> Cinchona calisaya</t>
    </r>
  </si>
  <si>
    <t xml:space="preserve">Species Richness averaged across 3 forest types. </t>
  </si>
  <si>
    <t>20° 47'N</t>
  </si>
  <si>
    <t xml:space="preserve">Fischer, L.K., M. von der Lippe, and I. Kowarik. 2009. Tree invasion in managed tropical forests facilitates endemic species. Journal of Biogeography 36:2251-2263. </t>
  </si>
  <si>
    <t>Flory and Clay, 2010</t>
  </si>
  <si>
    <r>
      <rPr>
        <rFont val="Arial"/>
        <color theme="1"/>
        <sz val="8.0"/>
      </rPr>
      <t xml:space="preserve">Invasion of </t>
    </r>
    <r>
      <rPr>
        <rFont val="Arial"/>
        <i/>
        <color theme="1"/>
        <sz val="8.0"/>
      </rPr>
      <t>Microstegium vimineum</t>
    </r>
  </si>
  <si>
    <t>Native plant species richness in 2007 (final year that richness results are given)</t>
  </si>
  <si>
    <t>39° 13'N</t>
  </si>
  <si>
    <t xml:space="preserve">Flory, S.L. and K. Clay, 2010. Non-native grass invasion alters native plant composition in experimental communities. Biological Invasions 12:1285-1294. </t>
  </si>
  <si>
    <t>Forrest and Arnott, 2006</t>
  </si>
  <si>
    <t xml:space="preserve">Species richness in 0 nutrient and + nutrient treatments </t>
  </si>
  <si>
    <t>46° 01'N</t>
  </si>
  <si>
    <t xml:space="preserve">Forrest, J., and S.E. Arnott. 2006. Immigration and zooplankton community responses to nutrient enrichment: a mesocosm experiment. Oecologia. 150:119-131. </t>
  </si>
  <si>
    <t>Foster and Gross, 1998</t>
  </si>
  <si>
    <t>Species richness in addition vs. control plots (with litter intact)</t>
  </si>
  <si>
    <t>42° 24'N</t>
  </si>
  <si>
    <t>Foster, B.L., and K.L. Gross. 1998. Species richness in a successional grassland: Effects of nitrogen enrichment and plant litter. Ecology 79:2593-2602.</t>
  </si>
  <si>
    <t>Frankovich et al. 2009</t>
  </si>
  <si>
    <t xml:space="preserve">Species richness at last sampling date in average of 2 sites </t>
  </si>
  <si>
    <t>27° 40'N</t>
  </si>
  <si>
    <t>Frankovich, T.A.,  A.R. Armitage, A.H. Wachnicka, E.E Gaiser, and J.W. Fourqurean. 2009. Nutrient effects on seagrass epiphyte community structure in Florida Bay. Journal of Phycology.  45:1010-1020.</t>
  </si>
  <si>
    <t>Frost et al. 2009</t>
  </si>
  <si>
    <t>Taxa richness at last sampling date</t>
  </si>
  <si>
    <t>31° 24'N</t>
  </si>
  <si>
    <t>Frost, J.W., T. Schleicher, and C. Craft. 2009. Effects of nitrogen and phosphorus additions on primary production and invertebrate densities in a Georgia (USA) tidal freshwater marsh. Wetlands. 29:196-203.</t>
  </si>
  <si>
    <t>Gagne and Fahrig 2011</t>
  </si>
  <si>
    <t>Beetle species richness in forest and avg. of suburban and urban areas</t>
  </si>
  <si>
    <t>45° 25'N</t>
  </si>
  <si>
    <t>Gagne, S.A., and L. Fahrig. 2011. Do birds and beetles show similar responses to urbanization? Ecological Applications 21:2297-2312.</t>
  </si>
  <si>
    <t>Bird species richness in forest and avg. of suburban and urban areas</t>
  </si>
  <si>
    <t>Gardner et al. 2008</t>
  </si>
  <si>
    <t>Species richness in primary forest plots vs. Eucalyptus  plantation plots</t>
  </si>
  <si>
    <t>01° 30'S</t>
  </si>
  <si>
    <t>Gardner, T.A., M.I.M. Hernandez, J. Barlow, and C.A. Peres. 2008. Understanding the biodiversity consequences of habitat change: the value of secondary and plantation forests for neotropical dung beetles. Journal of Applied Ecology 45:883-893.</t>
  </si>
  <si>
    <t>Gedan and Bertness 2009</t>
  </si>
  <si>
    <t xml:space="preserve">Plant species richness averaged across 3 sites. </t>
  </si>
  <si>
    <t>41°37'N</t>
  </si>
  <si>
    <t>Gedan, K.B., and M.D. Bertness. 2009. Experimental warming causes rapid loss of plant diversity in New England salt marshes. Ecology Letters. 12:842-848.</t>
  </si>
  <si>
    <t>Genet et al. 2001</t>
  </si>
  <si>
    <t>Termite species richness in avg. of fragments vs. continuous sites</t>
  </si>
  <si>
    <t>18° 00'N</t>
  </si>
  <si>
    <t xml:space="preserve">Genet, J.A., K.S. Genet, T.M. Burton, P.G. Murphy, and A.E. Lugo. 2001. Response of termite community and wood decomposition rates to habitat fragmentation in a subtropical dry forest. Tropical Ecology. 42(1):35-49. </t>
  </si>
  <si>
    <t>Gerber et al. 2008</t>
  </si>
  <si>
    <r>
      <rPr>
        <rFont val="Arial"/>
        <color theme="1"/>
        <sz val="8.0"/>
      </rPr>
      <t>Invasion by Knotweed species (</t>
    </r>
    <r>
      <rPr>
        <rFont val="Arial"/>
        <i/>
        <color theme="1"/>
        <sz val="8.0"/>
      </rPr>
      <t>Fallopia japonica</t>
    </r>
    <r>
      <rPr>
        <rFont val="Arial"/>
        <color theme="1"/>
        <sz val="8.0"/>
      </rPr>
      <t xml:space="preserve"> and </t>
    </r>
    <r>
      <rPr>
        <rFont val="Arial"/>
        <i/>
        <color theme="1"/>
        <sz val="8.0"/>
      </rPr>
      <t>Fallopia x bohemica</t>
    </r>
  </si>
  <si>
    <t>Plant species richness in avg of two native sites vs. invaded site</t>
  </si>
  <si>
    <t>46° 28'N</t>
  </si>
  <si>
    <t>Gerber, E., C. Krebs, C. Murrell, M. Moretti, R. Rocklin, and U. Schaffner. 2008. Exotic invasive knotweeds (Fallopia spp.) negatively affect native plant and invertebrate assemblages in European riparian habitats. Biological Conservation. 141:646-654.</t>
  </si>
  <si>
    <r>
      <rPr>
        <rFont val="Arial"/>
        <color theme="1"/>
        <sz val="8.0"/>
      </rPr>
      <t>Invasion by Knotweed species (</t>
    </r>
    <r>
      <rPr>
        <rFont val="Arial"/>
        <i/>
        <color theme="1"/>
        <sz val="8.0"/>
      </rPr>
      <t>Fallopia japonica</t>
    </r>
    <r>
      <rPr>
        <rFont val="Arial"/>
        <color theme="1"/>
        <sz val="8.0"/>
      </rPr>
      <t xml:space="preserve"> and </t>
    </r>
    <r>
      <rPr>
        <rFont val="Arial"/>
        <i/>
        <color theme="1"/>
        <sz val="8.0"/>
      </rPr>
      <t>Fallopia x bohemica</t>
    </r>
  </si>
  <si>
    <t>Invert species richness in avg of two native sites vs. invaded site</t>
  </si>
  <si>
    <t>Giantomasi et al. 2008</t>
  </si>
  <si>
    <r>
      <rPr>
        <rFont val="Arial"/>
        <color theme="1"/>
        <sz val="8.0"/>
      </rPr>
      <t>Invasion by</t>
    </r>
    <r>
      <rPr>
        <rFont val="Arial"/>
        <i/>
        <color theme="1"/>
        <sz val="8.0"/>
      </rPr>
      <t xml:space="preserve"> Pyracantha angustifolia</t>
    </r>
  </si>
  <si>
    <t>Native plant species richness of invaded shurb plot vs. native shrub plot</t>
  </si>
  <si>
    <t>31° 07'S</t>
  </si>
  <si>
    <t>Giantomoasi, A., P.A. Tecco, G. Funes, D.E. Gurvich, and M. Cabido. 2008. Canopy effects of the invasive shrub Pyracantha angustifolia on a seed bank composition, richness and density in a montane shrubland (Cordoba, Argentina). Austral Ecology. 33:68-77.</t>
  </si>
  <si>
    <t>Gibbs and Stanton, 2001</t>
  </si>
  <si>
    <t>Total species richness</t>
  </si>
  <si>
    <t>43° 02'N</t>
  </si>
  <si>
    <t>Gibbs, J.P., and E.J. Stanton. 2001. Habitat fragmentation and arthropod community change: Carrion beetles, phoeretic mites, and flies. Ecological Applications. 11(1):79-85</t>
  </si>
  <si>
    <t>Gilbert et al. 1998</t>
  </si>
  <si>
    <t>Species richness in mainland vs. insulur habitat</t>
  </si>
  <si>
    <t>53° 07'N</t>
  </si>
  <si>
    <t>Gilbert, F., A. Gonzalez, and I. Evans-Freke. 1998. Corridors maintain species richness in the fragmented landscapes of a microecosystem. Proceedings of the Royal Society of London B. 265:577-592.</t>
  </si>
  <si>
    <t>Giraudo et al. 2008</t>
  </si>
  <si>
    <t>Avg species richness between the different bird guilds in large vs. small fragments</t>
  </si>
  <si>
    <t>27° 05'S</t>
  </si>
  <si>
    <t>Giraudo, A.R., S.D. Matteucci, J. Alonso, J. Herrera, R.R. Abramson. 2008. Comparing bird assemblages in large and small fragments of the Atlantic forest hotspots. Biodiversity and Conservation. 17:1251-1265.</t>
  </si>
  <si>
    <t>Golden and Crist, 1999</t>
  </si>
  <si>
    <t>Insect species richness at end of experiment (avg of  3 fragment treatments)</t>
  </si>
  <si>
    <t>25° 47'N</t>
  </si>
  <si>
    <t xml:space="preserve">Golden, D.M. and T.O. Crist. 1999. Experimental effects of habitat fragmentation on old-field canopy insects: community, guild, and species responses. Oecologia 118:371-380. </t>
  </si>
  <si>
    <t>Gonzalez and Chaneton, 2002</t>
  </si>
  <si>
    <t>Microarthropod species richness after 12 months</t>
  </si>
  <si>
    <t>53° 07' N</t>
  </si>
  <si>
    <t>Gonzalez, A. and E.J. Chaneton. 2002. Heterotroph species extinction, abundance, and biomass dynamics in an experimentally fragmented  microecosystem. Journal of Animal Ecology 71:594-602.</t>
  </si>
  <si>
    <t>Gonzalez-Gomez et al. 2006</t>
  </si>
  <si>
    <t>Total species richness in forest vs. fragment</t>
  </si>
  <si>
    <t>35° 59'S</t>
  </si>
  <si>
    <t xml:space="preserve">Gonzalez-Gomez, P.L., C.F. Estades, and J.A. Simonetti. 2006. Strengthened insectivory in a temperate fragmented forest. Oecologia. 148:137-143. </t>
  </si>
  <si>
    <t>Gonzalez, 2000</t>
  </si>
  <si>
    <t>Microarthropod species richness after 12 months (average of small and large patches)</t>
  </si>
  <si>
    <t xml:space="preserve">Gonzalez, A. 2000. Community relaxation in fragmented landscapes: The relation between species richness, area, and age. Ecology Letters 3:441-448. </t>
  </si>
  <si>
    <t>Gotlieb et al. 2011</t>
  </si>
  <si>
    <t>Bee species richness in natural vs. garden areas</t>
  </si>
  <si>
    <t>31° 03'N</t>
  </si>
  <si>
    <t>Gotlieb, A., Y. Hollender, and Y. Mandelik. 2011. Gardening in the desert changes bee communities and pollination network characteristics. Basic and Applied Ecology 12:310-320.</t>
  </si>
  <si>
    <t>Gough et al. 2002</t>
  </si>
  <si>
    <t>Plant species richness in control vs. N+P plots (in 0.2m2 plots)</t>
  </si>
  <si>
    <t>Arctic</t>
  </si>
  <si>
    <t>68° 38'N</t>
  </si>
  <si>
    <t>Gough, L., P.A. Wookey, and G.R Shaver. 2002. Dry heath arctic tundra responses to long-term nutrient and light manipulation. Arctic, Antarctic, and Alpine Research. 34:211-218.</t>
  </si>
  <si>
    <t>Greenwood et al. 2004</t>
  </si>
  <si>
    <r>
      <rPr>
        <rFont val="Arial"/>
        <color theme="1"/>
        <sz val="8.0"/>
      </rPr>
      <t xml:space="preserve">Invasion by </t>
    </r>
    <r>
      <rPr>
        <rFont val="Arial"/>
        <i/>
        <color theme="1"/>
        <sz val="8.0"/>
      </rPr>
      <t>Salix x rubens</t>
    </r>
  </si>
  <si>
    <t>Arthropod species richness in invaded vs. native sites in last sampling date</t>
  </si>
  <si>
    <t>38° 09'S</t>
  </si>
  <si>
    <t>Greenwood, H., D.J. O'Dowd, and P.S. Lake. 2004. Willow (Salix x rubens) invasion of the riparian zone in south-eastern Australia: reduced abundance and altered composition of terrestrial arthropods. Diversity and Distributions. 10:485-492.</t>
  </si>
  <si>
    <t>Grez et al. 2008</t>
  </si>
  <si>
    <t>Long term species richness of Coccenellids (avg of the 3 fragment treatments)</t>
  </si>
  <si>
    <t>33° 34'S</t>
  </si>
  <si>
    <t>Grez, G.A., T. Zaviezo, S. Diaz, B. Camousseigt, and G. Cortes. 2008. Effects of habitat loss and fragmentation on the abundance and species richness of aphidophagous beetles and aphids in experimental alfalfa landscapes. European Journal of Entomology 105:411-420</t>
  </si>
  <si>
    <t>Gross et al. 2005</t>
  </si>
  <si>
    <t>Species richness at last sampling date with uniform nutrient addition</t>
  </si>
  <si>
    <t>44° 18'N</t>
  </si>
  <si>
    <t>Gross, K.L., G.G. Mittelbach, and H.L. Reynolds. 2005. Grassland invasibility and diversity: responses to nutrients, seed input, and disturbance. Ecology. 86:476-486.</t>
  </si>
  <si>
    <t>Gruner and Taylor, 2006</t>
  </si>
  <si>
    <t>Total arthropod species richness</t>
  </si>
  <si>
    <t>19° 66' N</t>
  </si>
  <si>
    <t xml:space="preserve">Gruner, D.S., and A.D. Taylor. 2006. Richness and species composition of arboreal arthropods affected by nutrients and predators: a press experiment. Oecologia 147:714-724. </t>
  </si>
  <si>
    <t>Gurevitch and Unnasch 1989</t>
  </si>
  <si>
    <t>Plant species richness</t>
  </si>
  <si>
    <t>40° 25' N</t>
  </si>
  <si>
    <t>Gurevitch, J., and R.S. Unnasch. 1989. Experimental removal of a dominant species at two levels of soil fertility. Canadian Journal of Botany 67:3470-3477</t>
  </si>
  <si>
    <t>Hagvar and Klanderud, 2009</t>
  </si>
  <si>
    <t>Orbitada species richness</t>
  </si>
  <si>
    <t>Alpine</t>
  </si>
  <si>
    <t>60°25'N</t>
  </si>
  <si>
    <t>Hagvar, S., and K. Klanderud. 2009. Effect of simulated environmental change on alpine soil arthropods. Global Change Biology. 15:2972-2980.</t>
  </si>
  <si>
    <t>60° 29' N</t>
  </si>
  <si>
    <t>Hale et al. 2011</t>
  </si>
  <si>
    <t>Total species richness in control pH of control temp. vs. increased temp.</t>
  </si>
  <si>
    <t>50°35'N</t>
  </si>
  <si>
    <t>Hale, P., P. Calosi, L. McNeill, N. Miezkowska, and S. Widdicombe. 2011. Predicted levels of future ocean acidification and temperature rise could alter community structure and biodiversity in marine benthic communities. Oikos. 120:661-674.</t>
  </si>
  <si>
    <t>Hankin et al. 2012</t>
  </si>
  <si>
    <t>Diatom species richness in control vs. avg. of high and low nutrient addition</t>
  </si>
  <si>
    <t>44° 62'N</t>
  </si>
  <si>
    <t>Hankin, S.L., C.L. Weilhoefer, J.E. Kaldy, and T.H. DeWitt. 2012. Sediment diatom species and community response to nitrogen addition in Oregon (USA) estuarine tidal wetlands. Wetlands 32:1023-1031.</t>
  </si>
  <si>
    <t>Hartley and Jones 2003</t>
  </si>
  <si>
    <t>56° 56'N</t>
  </si>
  <si>
    <t>Hartley, S.E., and T.H. Jones. 2003. Plant diversity and insect herbivores: effects of environmental change in contrasting model systems. Oikos. 101:6-17.</t>
  </si>
  <si>
    <t>Hassall et al. 2006</t>
  </si>
  <si>
    <t>Species richness in avg. of primary forest sites vs. avg. of orchard and palm plantation site</t>
  </si>
  <si>
    <t>04° 58'N</t>
  </si>
  <si>
    <t>Hassall, M., D.T. Jones, S. Taiti, Z. Latipi, S.L. Sutton, and M. Mohammed. 2006. Biodiversity and abundance of terrestrial isopods along a gradient of disturbance in Sabah, East Malaysia. European Journal of Soil Biology 42:197-207</t>
  </si>
  <si>
    <t>Species richness in avg. of 2 primary forest sites vs. logged site.</t>
  </si>
  <si>
    <t>Hedja and Pysek, 2006</t>
  </si>
  <si>
    <r>
      <rPr>
        <rFont val="Arial"/>
        <color theme="1"/>
        <sz val="8.0"/>
      </rPr>
      <t>Invasion by</t>
    </r>
    <r>
      <rPr>
        <rFont val="Arial"/>
        <i/>
        <color theme="1"/>
        <sz val="8.0"/>
      </rPr>
      <t xml:space="preserve"> Impatiens glandulifera</t>
    </r>
  </si>
  <si>
    <t>49° 15' N</t>
  </si>
  <si>
    <r>
      <rPr>
        <rFont val="Arial"/>
        <color theme="1"/>
        <sz val="8.0"/>
      </rPr>
      <t xml:space="preserve">Hedja, M. and P. Pysek. 2006. What is the impact of </t>
    </r>
    <r>
      <rPr>
        <rFont val="Arial"/>
        <i/>
        <color theme="1"/>
        <sz val="8.0"/>
      </rPr>
      <t>Impatiens glandulifera</t>
    </r>
    <r>
      <rPr>
        <rFont val="Arial"/>
        <color theme="1"/>
        <sz val="8.0"/>
      </rPr>
      <t xml:space="preserve"> on species diversity of invaded riparian vegetation. Biological Conservation 132(2):143-152.</t>
    </r>
  </si>
  <si>
    <t>Hejda et al. 2009</t>
  </si>
  <si>
    <r>
      <rPr>
        <rFont val="Arial"/>
        <color theme="1"/>
        <sz val="8.0"/>
      </rPr>
      <t xml:space="preserve">Invasion by </t>
    </r>
    <r>
      <rPr>
        <rFont val="Arial"/>
        <i/>
        <color theme="1"/>
        <sz val="8.0"/>
      </rPr>
      <t xml:space="preserve">Fallopia sachalinensis </t>
    </r>
  </si>
  <si>
    <t>50° 28'N</t>
  </si>
  <si>
    <t>Hejda, M., P.Pysek, and V. Jarosik. 2009. Impact of invasive plants on the species richness, diversity, and composition of invaded communities. Journal of Ecology. 97:393-403.</t>
  </si>
  <si>
    <r>
      <rPr>
        <rFont val="Arial"/>
        <color theme="1"/>
        <sz val="8.0"/>
      </rPr>
      <t xml:space="preserve">Invasion by </t>
    </r>
    <r>
      <rPr>
        <rFont val="Arial"/>
        <i/>
        <color theme="1"/>
        <sz val="8.0"/>
      </rPr>
      <t>Fallopia japonica</t>
    </r>
  </si>
  <si>
    <t>50° 05'N</t>
  </si>
  <si>
    <r>
      <rPr>
        <rFont val="Arial"/>
        <color theme="1"/>
        <sz val="8.0"/>
      </rPr>
      <t xml:space="preserve">Invasion by </t>
    </r>
    <r>
      <rPr>
        <rFont val="Arial"/>
        <i/>
        <color theme="1"/>
        <sz val="8.0"/>
      </rPr>
      <t xml:space="preserve">F. x bohemica </t>
    </r>
  </si>
  <si>
    <t>49° 52'N</t>
  </si>
  <si>
    <r>
      <rPr>
        <rFont val="Arial"/>
        <color theme="1"/>
        <sz val="8.0"/>
      </rPr>
      <t>Invasion by</t>
    </r>
    <r>
      <rPr>
        <rFont val="Arial"/>
        <i/>
        <color theme="1"/>
        <sz val="8.0"/>
      </rPr>
      <t xml:space="preserve"> Heracleum mantegazzianum</t>
    </r>
  </si>
  <si>
    <r>
      <rPr>
        <rFont val="Arial"/>
        <color theme="1"/>
        <sz val="8.0"/>
      </rPr>
      <t xml:space="preserve">Invasion by </t>
    </r>
    <r>
      <rPr>
        <rFont val="Arial"/>
        <i/>
        <color theme="1"/>
        <sz val="8.0"/>
      </rPr>
      <t>Rumex alpinus</t>
    </r>
  </si>
  <si>
    <t>50° 48'N</t>
  </si>
  <si>
    <r>
      <rPr>
        <rFont val="Arial"/>
        <color theme="1"/>
        <sz val="8.0"/>
      </rPr>
      <t xml:space="preserve">Invasion by </t>
    </r>
    <r>
      <rPr>
        <rFont val="Arial"/>
        <i/>
        <color theme="1"/>
        <sz val="8.0"/>
      </rPr>
      <t>Aster novi-belgii</t>
    </r>
  </si>
  <si>
    <t>48° 44'N</t>
  </si>
  <si>
    <r>
      <rPr>
        <rFont val="Arial"/>
        <color theme="1"/>
        <sz val="8.0"/>
      </rPr>
      <t xml:space="preserve">Invasion by </t>
    </r>
    <r>
      <rPr>
        <rFont val="Arial"/>
        <i/>
        <color theme="1"/>
        <sz val="8.0"/>
      </rPr>
      <t>Helianthus tuberosus</t>
    </r>
  </si>
  <si>
    <t>50° 58'N</t>
  </si>
  <si>
    <r>
      <rPr>
        <rFont val="Arial"/>
        <color theme="1"/>
        <sz val="8.0"/>
      </rPr>
      <t xml:space="preserve">Invasion by </t>
    </r>
    <r>
      <rPr>
        <rFont val="Arial"/>
        <i/>
        <color theme="1"/>
        <sz val="8.0"/>
      </rPr>
      <t>Rudbeckia laciniata</t>
    </r>
    <r>
      <rPr>
        <rFont val="Arial"/>
        <color theme="1"/>
        <sz val="8.0"/>
      </rPr>
      <t xml:space="preserve"> </t>
    </r>
  </si>
  <si>
    <r>
      <rPr>
        <rFont val="Arial"/>
        <color theme="1"/>
        <sz val="8.0"/>
      </rPr>
      <t xml:space="preserve">Invasion by </t>
    </r>
    <r>
      <rPr>
        <rFont val="Arial"/>
        <i/>
        <color theme="1"/>
        <sz val="8.0"/>
      </rPr>
      <t>Solidago gigantea</t>
    </r>
  </si>
  <si>
    <t>50° 59'N</t>
  </si>
  <si>
    <r>
      <rPr>
        <rFont val="Arial"/>
        <color theme="1"/>
        <sz val="8.0"/>
      </rPr>
      <t xml:space="preserve">Invasion by </t>
    </r>
    <r>
      <rPr>
        <rFont val="Arial"/>
        <i/>
        <color theme="1"/>
        <sz val="8.0"/>
      </rPr>
      <t>Imperatoria ostruthium</t>
    </r>
  </si>
  <si>
    <r>
      <rPr>
        <rFont val="Arial"/>
        <color theme="1"/>
        <sz val="8.0"/>
      </rPr>
      <t xml:space="preserve">Invasion by </t>
    </r>
    <r>
      <rPr>
        <rFont val="Arial"/>
        <i/>
        <color theme="1"/>
        <sz val="8.0"/>
      </rPr>
      <t>Lupinus polyphyllus</t>
    </r>
  </si>
  <si>
    <t>50° 03'N</t>
  </si>
  <si>
    <r>
      <rPr>
        <rFont val="Arial"/>
        <color theme="1"/>
        <sz val="8.0"/>
      </rPr>
      <t xml:space="preserve">Invasion by </t>
    </r>
    <r>
      <rPr>
        <rFont val="Arial"/>
        <i/>
        <color theme="1"/>
        <sz val="8.0"/>
      </rPr>
      <t>Impatiens glandulifera</t>
    </r>
  </si>
  <si>
    <r>
      <rPr>
        <rFont val="Arial"/>
        <color theme="1"/>
        <sz val="8.0"/>
      </rPr>
      <t xml:space="preserve">Invasion by </t>
    </r>
    <r>
      <rPr>
        <rFont val="Arial"/>
        <i/>
        <color theme="1"/>
        <sz val="8.0"/>
      </rPr>
      <t>Mimulus guttatus</t>
    </r>
  </si>
  <si>
    <t>49° 10'N</t>
  </si>
  <si>
    <t>Henderson and Naeth, 2005</t>
  </si>
  <si>
    <r>
      <rPr>
        <rFont val="Arial"/>
        <color theme="1"/>
        <sz val="8.0"/>
      </rPr>
      <t xml:space="preserve">Invasion by </t>
    </r>
    <r>
      <rPr>
        <rFont val="Arial"/>
        <i/>
        <color theme="1"/>
        <sz val="8.0"/>
      </rPr>
      <t>Agropyron cristatum</t>
    </r>
    <r>
      <rPr>
        <rFont val="Arial"/>
        <color theme="1"/>
        <sz val="8.0"/>
      </rPr>
      <t xml:space="preserve"> (Crested wheatgrass)</t>
    </r>
  </si>
  <si>
    <t>Native vegetation species richness in native vs. invaded plots (avg of 4 groups)</t>
  </si>
  <si>
    <t>50° 27'N</t>
  </si>
  <si>
    <t>Henderson, D.C., and M.A. Naeth. 2005. Multi-scale impacts of crested wheatgrass invasion in mixed-grass prairie. Biological Invasions. 7:639-650.</t>
  </si>
  <si>
    <t>Herrera and Dudley, 2003</t>
  </si>
  <si>
    <r>
      <rPr>
        <rFont val="Arial"/>
        <color theme="1"/>
        <sz val="8.0"/>
      </rPr>
      <t>Invasion by</t>
    </r>
    <r>
      <rPr>
        <rFont val="Arial"/>
        <i/>
        <color theme="1"/>
        <sz val="8.0"/>
      </rPr>
      <t xml:space="preserve"> Arundo donax</t>
    </r>
    <r>
      <rPr>
        <rFont val="Arial"/>
        <color theme="1"/>
        <sz val="8.0"/>
      </rPr>
      <t xml:space="preserve"> (Giant reed)</t>
    </r>
  </si>
  <si>
    <t>Average of aerial and ground-dwelling arthropod species richness in native vs. invaded plots at last sampling date</t>
  </si>
  <si>
    <t>Herrera, A.M. and T.L. Dudley. 2003. Reduction of riparian arthropod abundance and diversity as a consequence of giant reed (Arundo donax) invasion. Biological Invasions. 5:167-177.</t>
  </si>
  <si>
    <t>Hillebrand 2011</t>
  </si>
  <si>
    <t>Species richness in medium vs. warm site (at intermediate N:P)</t>
  </si>
  <si>
    <t>54°19'N</t>
  </si>
  <si>
    <t>Hillebrand, H. 2011. Temperature mediates competitive exclusion and diversity in benthic microalgae under different N:P stoichiometry. Ecological Research. 26:533-539.</t>
  </si>
  <si>
    <t>Hillebrand et al. 2000</t>
  </si>
  <si>
    <t>Species richness at average of 3 nutrient addition intensities</t>
  </si>
  <si>
    <t>54° 41'N</t>
  </si>
  <si>
    <t>Hillebrand, H., B. Worm, and H.K. Lotze. 2000. Marine microbenthic community structure regulated by nitrogen loading and grazing pressure. Marine Ecology Progress Series. 204:27-38.</t>
  </si>
  <si>
    <t>Hogg and Daane 2013</t>
  </si>
  <si>
    <t>Spider species richness in woodland vs. avg. of vineyards at 2 distances from woodland</t>
  </si>
  <si>
    <t>38° 35'N</t>
  </si>
  <si>
    <t xml:space="preserve">Hogg, B.N. and K.M. Daane. 2013. Contrasting landscape effects on species diversity and invasion success within a predator community. Diversity and Distributions 19:281-293. </t>
  </si>
  <si>
    <t>Holland-Clift et al. 2010</t>
  </si>
  <si>
    <r>
      <rPr>
        <rFont val="Arial"/>
        <color theme="1"/>
        <sz val="8.0"/>
      </rPr>
      <t xml:space="preserve">Invasion by </t>
    </r>
    <r>
      <rPr>
        <rFont val="Arial"/>
        <i/>
        <color theme="1"/>
        <sz val="8.0"/>
      </rPr>
      <t>Salix x rubens</t>
    </r>
  </si>
  <si>
    <t>Bird species richness in invaded vs. native plant transects</t>
  </si>
  <si>
    <t>37° 91'S</t>
  </si>
  <si>
    <t>Holland-Clift, S., D.J. O'Dowd, and R. Mac Nally. 2010. Impacts of an invasive willow on riparian bird assemblages in south-eastern Australia. Austral Ecology 36:511-521</t>
  </si>
  <si>
    <t>Hollebone and Hay, 2008</t>
  </si>
  <si>
    <r>
      <rPr>
        <rFont val="Arial"/>
        <color theme="1"/>
        <sz val="8.0"/>
      </rPr>
      <t xml:space="preserve">Invasion by </t>
    </r>
    <r>
      <rPr>
        <rFont val="Arial"/>
        <i/>
        <color theme="1"/>
        <sz val="8.0"/>
      </rPr>
      <t xml:space="preserve">Petrolisthes armatus </t>
    </r>
    <r>
      <rPr>
        <rFont val="Arial"/>
        <color theme="1"/>
        <sz val="8.0"/>
      </rPr>
      <t>(Green porcelain crab)</t>
    </r>
  </si>
  <si>
    <t>Native invertenbrate species richness at end of field experiment</t>
  </si>
  <si>
    <t>32° 09' N</t>
  </si>
  <si>
    <t>Hollebone, A.L. and M.E. Hay. 2008. An invasive crab alters interaction webs in a marine community. Biological Invasions 10:347-358.</t>
  </si>
  <si>
    <r>
      <rPr>
        <rFont val="Arial"/>
        <color theme="1"/>
        <sz val="8.0"/>
      </rPr>
      <t xml:space="preserve">Invasion by </t>
    </r>
    <r>
      <rPr>
        <rFont val="Arial"/>
        <i/>
        <color theme="1"/>
        <sz val="8.0"/>
      </rPr>
      <t xml:space="preserve">Petrolisthes armatus </t>
    </r>
    <r>
      <rPr>
        <rFont val="Arial"/>
        <color theme="1"/>
        <sz val="8.0"/>
      </rPr>
      <t>(Green porcelain crab)</t>
    </r>
  </si>
  <si>
    <t xml:space="preserve">Species richness of native invertebrate taxa at end of mesocosm experiment </t>
  </si>
  <si>
    <t>Holmstrup et al. 2012</t>
  </si>
  <si>
    <t>Enchytraeid species richness in warmed vs. ambient temp at Wales site</t>
  </si>
  <si>
    <t>53°04'N</t>
  </si>
  <si>
    <t>Holmstrup, M., J.G. Sorensen, K. Maraldo, I.K. Schmidt, S. Mason, A. Tietema, A.R. Smith, B. Emmett, R.M. Schmelz, T. Bataillon, C. Beier, and B.K. Ehlers. 2012. Increased frequency of drought reduces species richness of enchytraeid communities in both wet and dry heathland soils. Soil Biology and Biochemistry 53:43-49.</t>
  </si>
  <si>
    <t>Enchytraeid species richness in warmed vs. ambient temp at Netherlands site</t>
  </si>
  <si>
    <t>52°26'N</t>
  </si>
  <si>
    <t>Holmstrup, M., J.G. Sorensen, K. Maraldo, I.K. Schmidt, S. Mason, A. Tietema, A.R. Smith, B. Emmett, R.M. Schmelz, T. Bataillon, C. Beier, and B.K. Ehlers. 2012. Increased frequency of drought reduces species richness of enchytraeid communities in both we</t>
  </si>
  <si>
    <t>Enchytraeid species richness in warmed vs. ambient temp at Denmark site</t>
  </si>
  <si>
    <t>56°13'N</t>
  </si>
  <si>
    <t>Horner-Devine et al. 2003</t>
  </si>
  <si>
    <t>Species richness in reserve plots and coffee plantation plots</t>
  </si>
  <si>
    <t>Horner-Devine, M.C., G.C. Daily, P.R. Ehrlich, and C.L. Boggs. 2003. Countryside biogeography of tropical butterflies. Conservation Biology. 17:168-177.</t>
  </si>
  <si>
    <t>Houston and Duivenvoorden, 2002</t>
  </si>
  <si>
    <r>
      <rPr>
        <rFont val="Arial"/>
        <color theme="1"/>
        <sz val="8.0"/>
      </rPr>
      <t xml:space="preserve">Invasion by </t>
    </r>
    <r>
      <rPr>
        <rFont val="Arial"/>
        <i/>
        <color theme="1"/>
        <sz val="8.0"/>
      </rPr>
      <t>Hymenachne amplexicaulis</t>
    </r>
    <r>
      <rPr>
        <rFont val="Arial"/>
        <color theme="1"/>
        <sz val="8.0"/>
      </rPr>
      <t xml:space="preserve"> (Pasture grass)</t>
    </r>
  </si>
  <si>
    <t>Invert family richness in average of native and invasive sampling sites</t>
  </si>
  <si>
    <t>23° 19'S</t>
  </si>
  <si>
    <t>Houston, W.A., and L.J. Duivenvooden. 2002. Replacement of littoral native vegetation with the ponded pasture grass Hymenachne amplexicaulis: effects on plant, macroinvertebrate and fish biodiversity of backwaters in the Fitzroy River, Central Queensland,</t>
  </si>
  <si>
    <r>
      <rPr>
        <rFont val="Arial"/>
        <color theme="1"/>
        <sz val="8.0"/>
      </rPr>
      <t xml:space="preserve">Invasion by </t>
    </r>
    <r>
      <rPr>
        <rFont val="Arial"/>
        <i/>
        <color theme="1"/>
        <sz val="8.0"/>
      </rPr>
      <t>Hymenachne amplexicaulis</t>
    </r>
    <r>
      <rPr>
        <rFont val="Arial"/>
        <color theme="1"/>
        <sz val="8.0"/>
      </rPr>
      <t xml:space="preserve"> (Pasture grass)</t>
    </r>
  </si>
  <si>
    <t>Species richness of native aquatic plants in average of native and invasive sampling sites</t>
  </si>
  <si>
    <r>
      <rPr>
        <rFont val="Arial"/>
        <color theme="1"/>
        <sz val="8.0"/>
      </rPr>
      <t xml:space="preserve">Invasion by </t>
    </r>
    <r>
      <rPr>
        <rFont val="Arial"/>
        <i/>
        <color theme="1"/>
        <sz val="8.0"/>
      </rPr>
      <t>Hymenachne amplexicaulis</t>
    </r>
    <r>
      <rPr>
        <rFont val="Arial"/>
        <color theme="1"/>
        <sz val="8.0"/>
      </rPr>
      <t xml:space="preserve"> (Pasture grass)</t>
    </r>
  </si>
  <si>
    <t>Native fish species richness in average of native and invasive sampling sites</t>
  </si>
  <si>
    <t>Hoyle and Gilbert, 2004</t>
  </si>
  <si>
    <t>Log species richness in connected vs. insulur habitat</t>
  </si>
  <si>
    <t>Hoyle, M., and F. Gilbert. 2004. Species richness of moss-landscapes unaffected by short-term fragmentation. 105:359-367.</t>
  </si>
  <si>
    <t>Hoyle and Harborne, 2005</t>
  </si>
  <si>
    <t>Total microarthtopod species richness (ln) in mainland vs. island treatments (average of 1 and 2 units of area)</t>
  </si>
  <si>
    <t>53° 06'N</t>
  </si>
  <si>
    <t>Hoyle, M., and A.R. Harborne. 2005. Mixed effects of habitat fragmentation on species richness and community structure in a microarthropod microecosystem. Ecological Entomology. 30:684-691.</t>
  </si>
  <si>
    <t>Huang et al. 2013</t>
  </si>
  <si>
    <t>Diatom species richness in ambient and nutrient enriched treatments</t>
  </si>
  <si>
    <t>31°25'N</t>
  </si>
  <si>
    <t>Huang, D., T. Chu, Q. Sheng, J. Chen, and J. Wu. 2013. Variable bottom-up and top-down effects on diversity of different prey assemblages in an estuarine saltimarsh. Marine Ecology Progress Series 472:15-25.</t>
  </si>
  <si>
    <t>Nematode species richness in ambient and nutrient enriched treatments</t>
  </si>
  <si>
    <t>Huberty et al. 1998</t>
  </si>
  <si>
    <t>Species density in final year</t>
  </si>
  <si>
    <t>Huberty, L.A., K.L. Gross, and C.J. Miller. 1998. Effects of nitrogen addition on successional dynamics and species diversity in Michigan old-fields. Journal of Ecology. 86:794-803</t>
  </si>
  <si>
    <t>Hudson and Henry 2010</t>
  </si>
  <si>
    <t>Species richness in final sampling year</t>
  </si>
  <si>
    <t>78°53'N</t>
  </si>
  <si>
    <t>Hudson, J.M.G., and G.H.R. Henry. 2010. High Arctic plant community resists 15 years of climate warming. Journal of Ecology. 98:1035-1041.</t>
  </si>
  <si>
    <t>Hughes et al. 2002</t>
  </si>
  <si>
    <t>Species richness in average of zero and low complexity beds vs. high complexity beds</t>
  </si>
  <si>
    <t>41° 44'N</t>
  </si>
  <si>
    <t>Hughes, J.E., L.A. Deegan, J.C. Wyda, M.J. Weaver, and A.Wright. 2002. The effet of eelgrass habitat loss on estuarine fish communities of Southern New England. Estuaries 25:235-249.</t>
  </si>
  <si>
    <t>Husa et al. 2008</t>
  </si>
  <si>
    <r>
      <rPr>
        <rFont val="Arial"/>
        <color theme="1"/>
        <sz val="8.0"/>
      </rPr>
      <t>Invasion by</t>
    </r>
    <r>
      <rPr>
        <rFont val="Arial"/>
        <i/>
        <color theme="1"/>
        <sz val="8.0"/>
      </rPr>
      <t xml:space="preserve"> Heterosiphonia japnica</t>
    </r>
    <r>
      <rPr>
        <rFont val="Arial"/>
        <color theme="1"/>
        <sz val="8.0"/>
      </rPr>
      <t xml:space="preserve"> (Pacific red alga)</t>
    </r>
  </si>
  <si>
    <t>Macroalgal species richness in average of non-invaded/rarely invaded sites vs. invaded sites in final sampling year.</t>
  </si>
  <si>
    <t>61° 50'N</t>
  </si>
  <si>
    <t>Husa, V., K. Sjotun, N. Brattenborg, and T.E. Lein. 2008. Changes of macroalgal biodiversity in sublittoral sites in Southwest Norway: impact of an introduced species or higher temperature? Marine Biology Research. 4:414-428.</t>
  </si>
  <si>
    <t>Ishitani et al. 2003</t>
  </si>
  <si>
    <t>Species richness in rural area (forested) and avg. of urban and suburban areas</t>
  </si>
  <si>
    <t>34° 23'N</t>
  </si>
  <si>
    <t>Ishitani, M., D.J. Kotze, and J. Niemela. 2003. Changes in carabid beetles assemblages across an urban-rural gradient in Japan. Ecography 26:481-489.</t>
  </si>
  <si>
    <t>Ives et al. 2013</t>
  </si>
  <si>
    <t>Urbanization</t>
  </si>
  <si>
    <t>Ant species richness in rural vs. urban sites</t>
  </si>
  <si>
    <t>33° 37'S</t>
  </si>
  <si>
    <t xml:space="preserve">Ives, C.D., M.P. Taylor, D.A. Nipperess, and G.C. Hose. 2013. Effect of catchment urbanization on ant diversity in remnant riparian corridors. Landscape and Urban Planning 110:1550163. </t>
  </si>
  <si>
    <t>Jackson, 2005</t>
  </si>
  <si>
    <r>
      <rPr>
        <rFont val="Arial"/>
        <color theme="1"/>
        <sz val="8.0"/>
      </rPr>
      <t xml:space="preserve">Invasion by </t>
    </r>
    <r>
      <rPr>
        <rFont val="Arial"/>
        <i/>
        <color theme="1"/>
        <sz val="8.0"/>
      </rPr>
      <t>Cenchrus ciliaris</t>
    </r>
  </si>
  <si>
    <t>Native species richness in invaded vs. uninvaded sites at largest spatilal scale (64m2)</t>
  </si>
  <si>
    <t>`--</t>
  </si>
  <si>
    <t>22° 05'S</t>
  </si>
  <si>
    <t>Jackson, J. 2005. Is there a relationship between herbaceous species richness and buffel grass (Cenchrus ciliaris)? Austral Ecology. 30:505-517.</t>
  </si>
  <si>
    <t>Jager et al. 2007</t>
  </si>
  <si>
    <r>
      <rPr>
        <rFont val="Arial"/>
        <color theme="1"/>
        <sz val="8.0"/>
      </rPr>
      <t>Invasion by</t>
    </r>
    <r>
      <rPr>
        <rFont val="Arial"/>
        <i/>
        <color theme="1"/>
        <sz val="8.0"/>
      </rPr>
      <t xml:space="preserve"> Cinchona pubescens</t>
    </r>
  </si>
  <si>
    <t>Plant species richness in avg. of 2 outer vs. inner sites</t>
  </si>
  <si>
    <t>00° 15'S</t>
  </si>
  <si>
    <t>Jager, H., A. Tye, and I. Kowarik. 2007. Tree invasion in naturally treeless environments: Impacts of quinine (Cinchona pubescans) trees on native vegetation in Galapagos. Biological Conservation. 140:397-307.</t>
  </si>
  <si>
    <t>Johnson et al. 2013</t>
  </si>
  <si>
    <t>Vertebrate (amphibian and reptile) species richness in natural vs. agriculture site</t>
  </si>
  <si>
    <t>39° 05'N</t>
  </si>
  <si>
    <t>Johnson, P.T.J., J.T. Hoverman, V.J. McKenzie, A.R. Blaustein, and K.L.D. Richgels. 2013. Urbanization and wetland communities: applying metacommunitiy theory to understand the local and landscape effects. Journal of Applied Ecology 50:34-42.</t>
  </si>
  <si>
    <t>Vertebrate (amphibian and reptile) species richness in natural vs. urban site</t>
  </si>
  <si>
    <t>Invertebrate (crayfish, mollus, insect) species richness in natural vs. agriculture site</t>
  </si>
  <si>
    <t>Invertebrate (crayfish, mollus, insect) species richness in natural vs. urban site</t>
  </si>
  <si>
    <t>Jones and Thornber, 2010</t>
  </si>
  <si>
    <r>
      <rPr>
        <rFont val="Arial"/>
        <color theme="1"/>
        <sz val="8.0"/>
      </rPr>
      <t xml:space="preserve">Invasion by </t>
    </r>
    <r>
      <rPr>
        <rFont val="Arial"/>
        <i/>
        <color theme="1"/>
        <sz val="8.0"/>
      </rPr>
      <t>Codium fragile</t>
    </r>
    <r>
      <rPr>
        <rFont val="Arial"/>
        <color theme="1"/>
        <sz val="8.0"/>
      </rPr>
      <t xml:space="preserve"> and</t>
    </r>
    <r>
      <rPr>
        <rFont val="Arial"/>
        <i/>
        <color theme="1"/>
        <sz val="8.0"/>
      </rPr>
      <t xml:space="preserve"> Grateloupia turuturu</t>
    </r>
  </si>
  <si>
    <t>Epiphyte species richness at last sampling date in average of native host species vs. average of invasive host species</t>
  </si>
  <si>
    <t>Jones, E., and C.S. Thornber. 2010. Effects of habitat-modifying invasive macroalgae on epiphytic algal communities. Marine Ecology Progress Series. 400:87-100.</t>
  </si>
  <si>
    <t>Jonsdottir et al. 2005</t>
  </si>
  <si>
    <t>Species richness at 2nd sampling occasion in avg. of 2 sites</t>
  </si>
  <si>
    <t>64°17'N</t>
  </si>
  <si>
    <t>Jonsdottir, I., B. Magnusson, J. Gudmundsson, A. Elmarsdottir, and H. Hjartarson. 2005. Variable sensitivity of plant communities in Iceland to experimental warming. Global Change Biology. 11:553-563.</t>
  </si>
  <si>
    <t>Joshi et al. 2006</t>
  </si>
  <si>
    <t>Species richness of plant species at end of experiment</t>
  </si>
  <si>
    <t>47° 28'N</t>
  </si>
  <si>
    <t xml:space="preserve">Joshi, J., P.Stoll, H.P. Rusterholz, B. Schmid, C. Dolt, and B. Baur. 2006. Small-scale experimental habitat fragmentation reduces colonization rates in species-rich grasslands. Oecologia. 148:144-152. </t>
  </si>
  <si>
    <t>Kardol et al. 2011</t>
  </si>
  <si>
    <t>Total species richness at last sampling date</t>
  </si>
  <si>
    <t>35°54'N</t>
  </si>
  <si>
    <t>Kardol, P., W.N. Reynolds, R.J. Norby, and A.T. Classen. 2011. Climate change effects on soil microarthropod abundance and community structure. Applied Soil Ecology. 47:37-44</t>
  </si>
  <si>
    <t>Kaur et al. 2012</t>
  </si>
  <si>
    <r>
      <rPr>
        <rFont val="Arial"/>
        <color theme="1"/>
        <sz val="8.0"/>
      </rPr>
      <t xml:space="preserve">Invasion by </t>
    </r>
    <r>
      <rPr>
        <rFont val="Arial"/>
        <i/>
        <color theme="1"/>
        <sz val="8.0"/>
      </rPr>
      <t>Prospis juliflora</t>
    </r>
  </si>
  <si>
    <t>Plant species richness in avg. of all invaded vs. uninvaded sites in India</t>
  </si>
  <si>
    <t>27° 01'N</t>
  </si>
  <si>
    <t>Kaur, R., W.L. Gonzales, L.D. Llambi, P.J. Soriano, R.M. Callaway, M.E. Rout, T.J. Gallaher, and Inderjit. 2012. Community impacts of Prospis juliflora invasion: Biogeographic and congeneric comparisons. PLoS One 7(9):e44966.</t>
  </si>
  <si>
    <t>Khanaposhtani et al. 2013</t>
  </si>
  <si>
    <t>Habitat disturbance</t>
  </si>
  <si>
    <t>Bird species richness in treated vs. untreated stands</t>
  </si>
  <si>
    <t>36° 40'N</t>
  </si>
  <si>
    <t>Khanaposhtani, M.G., M. Kaboli, M. Karami, V. Etemad, and S. Baniasadi. 2013. Effects of logged and unlogged forest patches on avifaunal diversity. Environmental Management 51:750-758.</t>
  </si>
  <si>
    <t>Kitahara and Sei 2001</t>
  </si>
  <si>
    <t>Agriculture/golf course</t>
  </si>
  <si>
    <t>Butterfly richness in semi-natural sites vs. human changed sites</t>
  </si>
  <si>
    <t>36° 13'N</t>
  </si>
  <si>
    <t xml:space="preserve">Kitahara, M., and K. Sei. 2001. A comparison of the diversity and structure of butterfly communities in semi-natural and human-modified grassland habitats at the foot of Mt. Fuji, central Japan. </t>
  </si>
  <si>
    <t>Klanderud and Totland, 2005</t>
  </si>
  <si>
    <t>Plant species richness in final year of sampling (2003)</t>
  </si>
  <si>
    <t>60°36'N</t>
  </si>
  <si>
    <t>Klanderlund, K. and Totland, O. 2005. Simulated climate change altered dominance hierarchies and diversity of an apline biodiversity hotspot. Ecology 86(8):2047-2054.</t>
  </si>
  <si>
    <t>60° 05'N</t>
  </si>
  <si>
    <t>Klanderud and Totland, 2007</t>
  </si>
  <si>
    <t>Vascular plant species richness in plots with no seedlings added</t>
  </si>
  <si>
    <t>Klanderud, K., and O. Totland. 2007. The relative role of dispersal and local interactions for alpine plant community diversity under simluated climate warming. Oikos. 116:1279-1288.</t>
  </si>
  <si>
    <t>Klein et al. 2004</t>
  </si>
  <si>
    <t>Plant species richness at end of experiment</t>
  </si>
  <si>
    <t>37°37'N</t>
  </si>
  <si>
    <t xml:space="preserve">Klein, J.A., J. Harte, and X. Zhao. 2004. Experimental warming causes large and rapid species loss, dampened by simulated grazing, on the Tibetan Plateau. Ecology Letters 7:1170-1179. </t>
  </si>
  <si>
    <t>Krushelnycky and Gillespie, 2008</t>
  </si>
  <si>
    <r>
      <rPr>
        <rFont val="Arial"/>
        <color theme="1"/>
        <sz val="8.0"/>
      </rPr>
      <t xml:space="preserve">Invasion by </t>
    </r>
    <r>
      <rPr>
        <rFont val="Arial"/>
        <i/>
        <color theme="1"/>
        <sz val="8.0"/>
      </rPr>
      <t>Linepithema humile</t>
    </r>
    <r>
      <rPr>
        <rFont val="Arial"/>
        <color theme="1"/>
        <sz val="8.0"/>
      </rPr>
      <t xml:space="preserve"> (Argentine ant) and </t>
    </r>
    <r>
      <rPr>
        <rFont val="Arial"/>
        <i/>
        <color theme="1"/>
        <sz val="8.0"/>
      </rPr>
      <t>Pheidole megacephala</t>
    </r>
    <r>
      <rPr>
        <rFont val="Arial"/>
        <color theme="1"/>
        <sz val="8.0"/>
      </rPr>
      <t xml:space="preserve"> (Big-headed ant)</t>
    </r>
  </si>
  <si>
    <t>Species richness of native arthopods average across 5 invaded vs. uninvaded sites</t>
  </si>
  <si>
    <t>20° 43'N</t>
  </si>
  <si>
    <t>Krushelnycky, P.D., and R.G. Gillespie. 2008. Compositional and functional stability of arthropod communities in the face of ant invasions. Ecological Applications. 18(6):1547-1562.</t>
  </si>
  <si>
    <t>Lake et al. 2010</t>
  </si>
  <si>
    <t>Invert taxa richness averaged across 4 functional groups in the waterbodies of forested vs. agricultural sites</t>
  </si>
  <si>
    <t>37° 28'S</t>
  </si>
  <si>
    <t>Lake, P.S., J.R. Thomson, H. Lada, R. Mac Nally, D. Reid, J. Stanaway, and A.C. Taylor. 2010. Diversity and distribution of macroinvertebrates in lentic habitats in massively altered landscapes in south-eastern Australia. Diversity and Distributions 16:713-724.</t>
  </si>
  <si>
    <t>Lambrinos, 2000</t>
  </si>
  <si>
    <r>
      <rPr>
        <rFont val="Arial"/>
        <color theme="1"/>
        <sz val="8.0"/>
      </rPr>
      <t>Invasion by</t>
    </r>
    <r>
      <rPr>
        <rFont val="Arial"/>
        <i/>
        <color theme="1"/>
        <sz val="8.0"/>
      </rPr>
      <t xml:space="preserve"> Cortaderia jubata</t>
    </r>
  </si>
  <si>
    <t>Total native plant species richness</t>
  </si>
  <si>
    <t>34° 41'N</t>
  </si>
  <si>
    <t xml:space="preserve">Lambrinos, J.G. 2000. The impact of the invasive alien grass Cortaderia jubata (Lemoine) Stapf on an endangered mediterranean-type shrubland in California. Diversity and Distributions. 6:217-231. </t>
  </si>
  <si>
    <t>Leidner et al. 2010</t>
  </si>
  <si>
    <t>Butterfly species richness in year 3 (average of 3 fragment sizes)</t>
  </si>
  <si>
    <t>3° 07'S</t>
  </si>
  <si>
    <t>Leidner, A.K., N.M. Haddad, and T.E. Lovejoy. 2010. Does tropical forest fragmentation increase long-term variability of butterfly communities. Plos One5(3):e9534</t>
  </si>
  <si>
    <t>Lewandowska et al. 2012</t>
  </si>
  <si>
    <t>Phytoplankton species richness in final year for ambient and elevated temp. treatments</t>
  </si>
  <si>
    <t>54°37'N</t>
  </si>
  <si>
    <t>Lewandowska, A.M., P. Breithaupt, H. Hillebrand, H.G. Hoppe, K. Jurgens, and U. Sommer. Responses of primary productivity to increased temperature and phytoplankton diversity. Journal of Sea Research 72:87-93.</t>
  </si>
  <si>
    <t>Lindberg and Persson, 2004</t>
  </si>
  <si>
    <t>Species richness in avg. of oribatida and collembola in avg. of liquid and solid fertilisation treatments</t>
  </si>
  <si>
    <t>64° 07' N</t>
  </si>
  <si>
    <t>Lindberg, N. and T. Persson. 2004. Effects of long-term nutrient fertilisation and irrigation on the microarthropod community in a boreal Norway spruce stand. Forest Ecology and Management 188:125-135.</t>
  </si>
  <si>
    <t>Lindo et al. 2012</t>
  </si>
  <si>
    <t>Increase in temperature</t>
  </si>
  <si>
    <t>Avg. of 4 microarthropod species richness in ambient vs. inner OTC treatment</t>
  </si>
  <si>
    <t>54° 48'N</t>
  </si>
  <si>
    <t>Lindo, Z., J. Whiteley, and A. Gonzalez. 2012. Traits explain community disassembly and trophic contraction following experimental environmental change. Global Change Biology 18:2448-2547.</t>
  </si>
  <si>
    <t>Lindsay and French, 2006</t>
  </si>
  <si>
    <r>
      <rPr>
        <rFont val="Arial"/>
        <color theme="1"/>
        <sz val="8.0"/>
      </rPr>
      <t xml:space="preserve">Invasion by </t>
    </r>
    <r>
      <rPr>
        <rFont val="Arial"/>
        <i/>
        <color theme="1"/>
        <sz val="8.0"/>
      </rPr>
      <t>Chrysanthemoides monilifera</t>
    </r>
  </si>
  <si>
    <t>Invert taxa richness in avg of 5 sites</t>
  </si>
  <si>
    <t>32° 46'S</t>
  </si>
  <si>
    <t xml:space="preserve">Lindsay, E.A., and K. French. 2006. The impact of the weed Chrysanthemoides monilifera ssp. rotundata on coastal leaf litter invertebrates. Biological Invasions. 8:177-192. </t>
  </si>
  <si>
    <t>Lloret et al. 2003</t>
  </si>
  <si>
    <t>Species richness of seedlings less than one year old in the final year</t>
  </si>
  <si>
    <t>41°18'N</t>
  </si>
  <si>
    <t>Lloret, F., Penuelas, J., and Estiarte M. 2004. Experimental evidence of reduced diversity of seedlings due to climate modification in a Mediterranean-type community. Global Change Biology. 10: 248-258.</t>
  </si>
  <si>
    <t>Lu et al. 2010</t>
  </si>
  <si>
    <t>Species richness in avg of 3 nutrient treatments in final sampling year</t>
  </si>
  <si>
    <t>23° 10'N</t>
  </si>
  <si>
    <t xml:space="preserve">Lu X., J. Mo, F.S. Gilliam, G. Zhou and Y. Fang. 2010. Effects of experimental nitrogen additions on plant diversity in an old-growth tropical forest. Global Change Biology 16: 2688-2700. </t>
  </si>
  <si>
    <t>MacGregor-Fors et al. 2010</t>
  </si>
  <si>
    <r>
      <rPr>
        <rFont val="Arial"/>
        <color theme="1"/>
        <sz val="8.0"/>
      </rPr>
      <t>Invasion by</t>
    </r>
    <r>
      <rPr>
        <rFont val="Arial"/>
        <i/>
        <color theme="1"/>
        <sz val="8.0"/>
      </rPr>
      <t xml:space="preserve"> Passer domesticus</t>
    </r>
    <r>
      <rPr>
        <rFont val="Arial"/>
        <color theme="1"/>
        <sz val="8.0"/>
      </rPr>
      <t xml:space="preserve"> (House sparrow)</t>
    </r>
  </si>
  <si>
    <t>Endotherm</t>
  </si>
  <si>
    <t>19° 33'N</t>
  </si>
  <si>
    <t>MacGregor-Fors, I., L. Morales-Perez, J. Quesada, and J.E. Schondube. 2010. Relationship between the presence of House Sparrows (Passer domesticus) and Neotropical bird community structure and diversity. Biological Invasions. 12:87-96.</t>
  </si>
  <si>
    <t>Macreadie et al. 2009</t>
  </si>
  <si>
    <t>Fish species richness on last sampling date</t>
  </si>
  <si>
    <t>38° 07'S</t>
  </si>
  <si>
    <t>Macreadie, P.I., J.S. Hindell, G.P. Jenkins, R.D. Connolly, and M.J. Keough. 2009. Fish responses to experimental fragmentation of seagrass habitat. Conservation Biology 23(3):644-652.</t>
  </si>
  <si>
    <t>Magura et al. 2004</t>
  </si>
  <si>
    <t>47° 32'N</t>
  </si>
  <si>
    <t xml:space="preserve">Magura, T., B. Tothmeresz, and T. Molnar. 2004. Changes in carabid beetles assemblages along an urbanization gradient in the city of Debrecen, Hungary. Landscape Ecology 19:747-759. </t>
  </si>
  <si>
    <t>Magura et al. 2009</t>
  </si>
  <si>
    <t>Magura, T., G.L. Lovei, and B. Tothmeresz. 2009. Does urbanization decrease diversity in ground beetle assemblages? Global Ecology and Biogeography 19:16-26.</t>
  </si>
  <si>
    <t>Magura et al. 2010</t>
  </si>
  <si>
    <t>Magura, T., R. Horvath, and B. Tothmeresz. 2010. Effects of urbanization on ground-dwelling spiders in forest patches, in Hungary. Landscape Ecology 25:621-629.</t>
  </si>
  <si>
    <t>Marchante et al. 2003</t>
  </si>
  <si>
    <r>
      <rPr>
        <rFont val="Arial"/>
        <color theme="1"/>
        <sz val="8.0"/>
      </rPr>
      <t>Invasion by</t>
    </r>
    <r>
      <rPr>
        <rFont val="Arial"/>
        <i/>
        <color theme="1"/>
        <sz val="8.0"/>
      </rPr>
      <t xml:space="preserve"> Acacia longifolia</t>
    </r>
  </si>
  <si>
    <t>Native plant species richness in invaded vs. uninvaded sites averaged across 4 seasons in avg. of 3 sites</t>
  </si>
  <si>
    <t>42° 10'N</t>
  </si>
  <si>
    <t>Marchante, H., E. Marchante, and H. Freitas. 2003. Invasion of the Portuguese dune ecosystems by the exotic species Acacia longifolia (Andrews) Willd: effects at the community level. Plant Invasions: Ecological Threats and Management Solutions: 75-85.</t>
  </si>
  <si>
    <t>Maron et al. 2006</t>
  </si>
  <si>
    <t>Avg. plant species richness in low and high nutrient treatments at last sampling date</t>
  </si>
  <si>
    <t>54° 00'N</t>
  </si>
  <si>
    <t xml:space="preserve">Maron, J.L., J.A., Estes, D.A. Croll, E.M. Danner, S.C. Elmendorf, and S.L. Buckelew. An introducer predator alters Aluetian Island plant communities by thwarting nutrient subsidies. Ecological Monographs 76(1):3-24. </t>
  </si>
  <si>
    <t>Invasion by Arctic foxes</t>
  </si>
  <si>
    <t>Seabird species richness in fox-free vs. fox-infested islands</t>
  </si>
  <si>
    <t>Martin 1999</t>
  </si>
  <si>
    <r>
      <rPr>
        <rFont val="Arial"/>
        <color theme="1"/>
        <sz val="8.0"/>
      </rPr>
      <t xml:space="preserve">Invasion by </t>
    </r>
    <r>
      <rPr>
        <rFont val="Arial"/>
        <i/>
        <color theme="1"/>
        <sz val="8.0"/>
      </rPr>
      <t>Acer platanoides</t>
    </r>
    <r>
      <rPr>
        <rFont val="Arial"/>
        <color theme="1"/>
        <sz val="8.0"/>
      </rPr>
      <t xml:space="preserve"> (Norway maple)</t>
    </r>
  </si>
  <si>
    <t>Sapling species richness under invasive vs. native plants</t>
  </si>
  <si>
    <t>42° 26'N</t>
  </si>
  <si>
    <t>Martin, P.H. 1999. Norway Maple (Acer platanoides) invasion of a natural forest stand: understory consequence and regeneration pattern. Biological Invasions. 1:215-222.</t>
  </si>
  <si>
    <t>Martin and Murray 2013</t>
  </si>
  <si>
    <r>
      <rPr>
        <rFont val="Arial"/>
        <color theme="1"/>
        <sz val="8.0"/>
      </rPr>
      <t xml:space="preserve">Invasion by </t>
    </r>
    <r>
      <rPr>
        <rFont val="Arial"/>
        <i/>
        <color theme="1"/>
        <sz val="8.0"/>
      </rPr>
      <t xml:space="preserve">Chrysanthemoides monilifera </t>
    </r>
    <r>
      <rPr>
        <rFont val="Arial"/>
        <color theme="1"/>
        <sz val="8.0"/>
      </rPr>
      <t>(Bitou bush)</t>
    </r>
  </si>
  <si>
    <t>Reptile species richness in native vs. invaded sites at last sampling date</t>
  </si>
  <si>
    <t>33° 56'S</t>
  </si>
  <si>
    <t>Martin, L.J., and B.R. Murray. 2013. A preliminary assessment of the response of a native reptile assemblage to spot-spraying invasive Bitou Bush with glyphosate herbicide. Ecological Management and Restoration 14(1):59-62.</t>
  </si>
  <si>
    <t>Mason and French, 2008</t>
  </si>
  <si>
    <r>
      <rPr>
        <rFont val="Arial"/>
        <color theme="1"/>
        <sz val="8.0"/>
      </rPr>
      <t xml:space="preserve">Invasion by </t>
    </r>
    <r>
      <rPr>
        <rFont val="Arial"/>
        <i/>
        <color theme="1"/>
        <sz val="8.0"/>
      </rPr>
      <t xml:space="preserve">Chrysanthemoides monilifera </t>
    </r>
    <r>
      <rPr>
        <rFont val="Arial"/>
        <color theme="1"/>
        <sz val="8.0"/>
      </rPr>
      <t>(Bitou bush)</t>
    </r>
  </si>
  <si>
    <t>Avg. of native climber/graminoid/herb/shrub species richness</t>
  </si>
  <si>
    <t>28° 25'S</t>
  </si>
  <si>
    <t>Mason, T.J., and K. French. 2008. Impacts of a woody invader vary in different vegetation communities. Diversity and Distributions. 14:829-838.</t>
  </si>
  <si>
    <t>McGlynn, 2009</t>
  </si>
  <si>
    <r>
      <rPr>
        <rFont val="Arial"/>
        <color theme="1"/>
        <sz val="8.0"/>
      </rPr>
      <t xml:space="preserve">Invasion by </t>
    </r>
    <r>
      <rPr>
        <rFont val="Arial"/>
        <i/>
        <color theme="1"/>
        <sz val="8.0"/>
      </rPr>
      <t>Lythrum salicaria</t>
    </r>
  </si>
  <si>
    <r>
      <rPr>
        <rFont val="Arial"/>
        <color theme="1"/>
        <sz val="8.0"/>
      </rPr>
      <t xml:space="preserve">Species richness in </t>
    </r>
    <r>
      <rPr>
        <rFont val="Arial"/>
        <i/>
        <color theme="1"/>
        <sz val="8.0"/>
      </rPr>
      <t>L. salicaria sites</t>
    </r>
    <r>
      <rPr>
        <rFont val="Arial"/>
        <color theme="1"/>
        <sz val="8.0"/>
      </rPr>
      <t xml:space="preserve"> vs. uninvaded</t>
    </r>
  </si>
  <si>
    <t>Wetland</t>
  </si>
  <si>
    <t>41° 12'N</t>
  </si>
  <si>
    <t>McGlynn, C.A. 2009. Native and invasive plant interactions in wetlands and the minimal role of invasiveness. Biological Invasions. 11:1929-1939.</t>
  </si>
  <si>
    <r>
      <rPr>
        <rFont val="Arial"/>
        <color theme="1"/>
        <sz val="8.0"/>
      </rPr>
      <t xml:space="preserve">Invasion by </t>
    </r>
    <r>
      <rPr>
        <rFont val="Arial"/>
        <i/>
        <color theme="1"/>
        <sz val="8.0"/>
      </rPr>
      <t>Phragmites australis</t>
    </r>
  </si>
  <si>
    <r>
      <rPr>
        <rFont val="Arial"/>
        <color theme="1"/>
        <sz val="8.0"/>
      </rPr>
      <t xml:space="preserve">Species richness in </t>
    </r>
    <r>
      <rPr>
        <rFont val="Arial"/>
        <i/>
        <color theme="1"/>
        <sz val="8.0"/>
      </rPr>
      <t>P. australis</t>
    </r>
    <r>
      <rPr>
        <rFont val="Arial"/>
        <color theme="1"/>
        <sz val="8.0"/>
      </rPr>
      <t xml:space="preserve"> sites vs. uninvaded</t>
    </r>
  </si>
  <si>
    <t>McKee et al. 2002</t>
  </si>
  <si>
    <t>Cladoceran species richness</t>
  </si>
  <si>
    <t>53° 24'N</t>
  </si>
  <si>
    <t>McKee, D., D. Atkinson, S. Collings, J. Eaton, I. Harvey, T. Heyes, K. Hatton, D. Wilson, and B. Moss. 2002. Macrozooplankter responses to simulated climate warming in experimental freshwater microcosms. Freshwater Biology. 47:1557-1570.</t>
  </si>
  <si>
    <t>McLaren and Turkington, 2011</t>
  </si>
  <si>
    <t>Average of graminoid and forb species richness</t>
  </si>
  <si>
    <t>61° 04'N</t>
  </si>
  <si>
    <t>McLaren, J.R., and R. Turkington. 2011. Biomass compensation and plant responses to 7 years of plant functional group removals. Journal of Vegetation Science. 22:503-515.</t>
  </si>
  <si>
    <t>Mealor et al. 2004</t>
  </si>
  <si>
    <r>
      <rPr>
        <rFont val="Arial"/>
        <color theme="1"/>
        <sz val="8.0"/>
      </rPr>
      <t xml:space="preserve">Invasion by </t>
    </r>
    <r>
      <rPr>
        <rFont val="Arial"/>
        <i/>
        <color theme="1"/>
        <sz val="8.0"/>
      </rPr>
      <t>Acropltilon repens</t>
    </r>
  </si>
  <si>
    <r>
      <rPr>
        <rFont val="Arial"/>
        <color theme="1"/>
        <sz val="8.0"/>
      </rPr>
      <t xml:space="preserve">Native plant species richness in average of 4 sites invaded by </t>
    </r>
    <r>
      <rPr>
        <rFont val="Arial"/>
        <i/>
        <color theme="1"/>
        <sz val="8.0"/>
      </rPr>
      <t>Acropltilon repens</t>
    </r>
  </si>
  <si>
    <t>43° 48'N</t>
  </si>
  <si>
    <t xml:space="preserve">Mealor, B.A., A.L. Hild, and N.L. Shaw. 2004. Native plant community composition and genetic diversity associated with long-term weed invasions. Western North American Naturalist 64:503-513. </t>
  </si>
  <si>
    <r>
      <rPr>
        <rFont val="Arial"/>
        <color theme="1"/>
        <sz val="8.0"/>
      </rPr>
      <t>Invasion by</t>
    </r>
    <r>
      <rPr>
        <rFont val="Arial"/>
        <i/>
        <color theme="1"/>
        <sz val="8.0"/>
      </rPr>
      <t xml:space="preserve"> Cardaria draba</t>
    </r>
  </si>
  <si>
    <r>
      <rPr>
        <rFont val="Arial"/>
        <color theme="1"/>
        <sz val="8.0"/>
      </rPr>
      <t xml:space="preserve">Native plant richness in average of 4 sites invaded by </t>
    </r>
    <r>
      <rPr>
        <rFont val="Arial"/>
        <i/>
        <color theme="1"/>
        <sz val="8.0"/>
      </rPr>
      <t>Cardaria draba</t>
    </r>
  </si>
  <si>
    <t>Meffin et al. 2010</t>
  </si>
  <si>
    <r>
      <rPr>
        <rFont val="Arial"/>
        <color theme="1"/>
        <sz val="8.0"/>
      </rPr>
      <t xml:space="preserve">Invasion by </t>
    </r>
    <r>
      <rPr>
        <rFont val="Arial"/>
        <i/>
        <color theme="1"/>
        <sz val="8.0"/>
      </rPr>
      <t>Hieracium lepidulum</t>
    </r>
  </si>
  <si>
    <t>Native species richness at end of field experiment in average of 6 sites</t>
  </si>
  <si>
    <t>43° 10'S</t>
  </si>
  <si>
    <t>Meffin, R., A.L. Miller, P.E. Hulme, and R.P. Duncan. 2010. Experimental introduction of the alien plant Hieracium lepidulum reveals no significant impact on Montane plant communities in New Zealand. Diversity and Distributions. 16:804-815.</t>
  </si>
  <si>
    <t>Meijer et al. 2011</t>
  </si>
  <si>
    <t>Arthropod richness in native forest vs. average of semi-natural pasture and intense pasture</t>
  </si>
  <si>
    <t>38° 42'N</t>
  </si>
  <si>
    <t xml:space="preserve">Meijer, S.S., R.J. Whittaker, and P.A.V. Borges. 2011. The effects of land-use change on arthropod richness and abundance on Santa Maria Island (Azores): unmanaged plantations favour endemic beetles. Journal of Insect Conservation 15:505-522. </t>
  </si>
  <si>
    <r>
      <rPr>
        <rFont val="Arial"/>
        <color theme="1"/>
        <sz val="8.0"/>
      </rPr>
      <t xml:space="preserve">Invasion by </t>
    </r>
    <r>
      <rPr>
        <rFont val="Arial"/>
        <i/>
        <color theme="1"/>
        <sz val="8.0"/>
      </rPr>
      <t>Cryptomeria japonica</t>
    </r>
  </si>
  <si>
    <t>Native arthropod species richness in native vs. exotic forest</t>
  </si>
  <si>
    <t>38° 43'N</t>
  </si>
  <si>
    <t>Michiels and Traunspurger 2005</t>
  </si>
  <si>
    <t>Species richness</t>
  </si>
  <si>
    <t>51° 02'N</t>
  </si>
  <si>
    <t>Michiels, I.C., and W. Traunspurger. 2005. Impact of resource availability on species composition and diversity in freshwater nematodes. Oecologia 142:98-103.</t>
  </si>
  <si>
    <t>Minden et al. 2010</t>
  </si>
  <si>
    <r>
      <rPr>
        <rFont val="Arial"/>
        <color theme="1"/>
        <sz val="8.0"/>
      </rPr>
      <t xml:space="preserve">Invasion by </t>
    </r>
    <r>
      <rPr>
        <rFont val="Arial"/>
        <i/>
        <color theme="1"/>
        <sz val="8.0"/>
      </rPr>
      <t>Hedychium gardnerianum</t>
    </r>
    <r>
      <rPr>
        <rFont val="Arial"/>
        <color theme="1"/>
        <sz val="8.0"/>
      </rPr>
      <t xml:space="preserve"> (Kahili ginger)</t>
    </r>
  </si>
  <si>
    <t>Total native plant species richness averaged across 5 natural sites vs. 5 invaded sites</t>
  </si>
  <si>
    <t>19° 23'N</t>
  </si>
  <si>
    <t xml:space="preserve">Minden, V., K.J. Hennenberg, S. Poremski, and H.J. Boehmer. 2010. Invasion and management of alien Hedychium gardnerianum alter plant species composition of a montane rainforest on the island of Hawai'i. Plant Ecology 206:321-333. </t>
  </si>
  <si>
    <t>Miserendino et al. 2008</t>
  </si>
  <si>
    <t>Species richness in natural vs. urban areas averaged across 3 sites</t>
  </si>
  <si>
    <t>41° 46'S</t>
  </si>
  <si>
    <t>Miserendino, M.L., C. Brand, C.Y. Di Prinzio. 2008. Assessing urban impacts on water quality, benthic communities, and fish in streams of the Andes Mountains, Patagonia (Argentina). Water, Air, and Soil Pollution 194:91-110.</t>
  </si>
  <si>
    <t>Monaghan et al. 2005</t>
  </si>
  <si>
    <t>Total taxon richness in avg. of lake and resevoir fragmented sites vs. free flowing sites</t>
  </si>
  <si>
    <t>46° 48'N</t>
  </si>
  <si>
    <t xml:space="preserve">Monaghan, M.T., C.T. Robinson, P.Spaak, and J.V. Ward. 2005. Macroinvertebrate diversity in fragmented alpine streams: implications for freshwater conservation. Aquatic Sciences. 67:454-464. </t>
  </si>
  <si>
    <t>Moss et al. 2003</t>
  </si>
  <si>
    <t xml:space="preserve">Species richness of plantsin control vs. all year warming </t>
  </si>
  <si>
    <t>53°16'N</t>
  </si>
  <si>
    <t>Moss, B., D. McKee, D. Atkinson, S.E. Collings, J.W. Eaton, A.B. Gill, I. Harvey, K. Hatton, T.  Heyes, and D. Wilson. 2003. How important is climate? Effects of warming, nutrient, and  fish on phytoplankton in shallow lake microcosms. Journal of Applied Ecology 40:782-792.</t>
  </si>
  <si>
    <t>Species richness of plants in control vs. nutrient addition</t>
  </si>
  <si>
    <t>53° 16'N</t>
  </si>
  <si>
    <t xml:space="preserve">Moss, B., D. McKee, D. Atkinson, S.E. Collings, J.W. Eaton, A.B. Gill, I. Harvey, K. Hatton, T.  Heyes, and D. Wilson. 2003. How important is climate? Effects of warming, nutrient, and  fish on phytoplankton in shallow lake microcosms. Journal of Applied </t>
  </si>
  <si>
    <t>Muralli and Setty, 2001</t>
  </si>
  <si>
    <r>
      <rPr>
        <rFont val="Arial"/>
        <color theme="1"/>
        <sz val="8.0"/>
      </rPr>
      <t xml:space="preserve">Invasion by </t>
    </r>
    <r>
      <rPr>
        <rFont val="Arial"/>
        <i/>
        <color theme="1"/>
        <sz val="8.0"/>
      </rPr>
      <t>Chromelina odorata</t>
    </r>
  </si>
  <si>
    <r>
      <rPr>
        <rFont val="Arial"/>
        <color theme="1"/>
        <sz val="8.0"/>
      </rPr>
      <t xml:space="preserve">Native species richness in </t>
    </r>
    <r>
      <rPr>
        <rFont val="Arial"/>
        <i/>
        <color theme="1"/>
        <sz val="8.0"/>
      </rPr>
      <t>Chromelina odorata</t>
    </r>
    <r>
      <rPr>
        <rFont val="Arial"/>
        <color theme="1"/>
        <sz val="8.0"/>
      </rPr>
      <t xml:space="preserve"> sites vs. uninvaded sites</t>
    </r>
  </si>
  <si>
    <t>15° 18'N</t>
  </si>
  <si>
    <t>Muralli, K.S., and Setty, R.S. 2001. Effect of weeds Lantan camara and Chronelina odorata growth on the species diversity, regeneration and stem density of tree and shrub layer in BRT sanctuary. Current Science. 80(5):675-678.</t>
  </si>
  <si>
    <r>
      <rPr>
        <rFont val="Arial"/>
        <color theme="1"/>
        <sz val="8.0"/>
      </rPr>
      <t xml:space="preserve">Invasion by </t>
    </r>
    <r>
      <rPr>
        <rFont val="Arial"/>
        <i/>
        <color theme="1"/>
        <sz val="8.0"/>
      </rPr>
      <t>Lantana camara</t>
    </r>
  </si>
  <si>
    <t>Native species richness in Lantana camara sites vs. uninvaded sites</t>
  </si>
  <si>
    <t>Navarette and Halffter, 2008</t>
  </si>
  <si>
    <t>Species richness in continous vs. agricultural plots</t>
  </si>
  <si>
    <t>16° 16'N</t>
  </si>
  <si>
    <t>Navarette, D., and G. Halffter. 2008. Dung beetle diversity in continous forest, forest fragments, and cattle pastures in a landscape of Chiapas, Mexico: the effects of anthropogenic changes. Biodiversity and Conservation. 17:2869-2898.</t>
  </si>
  <si>
    <t>Species richness in continuous vs. fragmented plots</t>
  </si>
  <si>
    <t>Ngai et al. 2008</t>
  </si>
  <si>
    <t>Avg. species richness in primary forest vs. road</t>
  </si>
  <si>
    <t>10° 92'N</t>
  </si>
  <si>
    <t>Ngai, T., K. R. Kirby, B. Gilbert, B.M. Starzomski, A.J.D. Pelletier, and J.C.R. Connor. 2008. The impact of land-use change on larval insect communities: Testing the role of habitat elements in conservation. Ecoscience 15:160-168.</t>
  </si>
  <si>
    <t>Avg. species richness in primary forest vs. pasture</t>
  </si>
  <si>
    <t>Nielson et al. 2011</t>
  </si>
  <si>
    <t>Bee species richness in forest vs. agriculture plots</t>
  </si>
  <si>
    <t>6° 05'S</t>
  </si>
  <si>
    <t xml:space="preserve">Nielson, A., I. Steffan-Dewenter, C. Westphal, O. Messinger, S.G Pottsm S.P.M. Roberts, et al. 2011. Assessing bee species richness in two Mediterranean communities: importance of habitat type and sampling techniques. Ecological Research 26. </t>
  </si>
  <si>
    <t>Niemela et al. 2002</t>
  </si>
  <si>
    <t>Species richness in rural area (forested) and avg. of urban and suburban areas in Bulgaria site</t>
  </si>
  <si>
    <t>42° 38'N</t>
  </si>
  <si>
    <t>Niemela, J., D.J. Kotze, S. Venn, L. Penev, I. Stoyanov, J. Spence, D. Hartley, E.M. de Oca. 2002. Carabid beetle assemblages across urban-rural gradients: an international comparison. Landscape Ecology 17:387-401.</t>
  </si>
  <si>
    <t>Species richness in rural area (forested) and avg. of urban and suburban areas in Canada site</t>
  </si>
  <si>
    <t>53° 33'N</t>
  </si>
  <si>
    <t>Species richness in rural area (forested) and avg. of urban and suburban areas in Finland site</t>
  </si>
  <si>
    <t>Nummelin and Hanski 1989</t>
  </si>
  <si>
    <t>Species richness in virgin forest site vs. plantation site</t>
  </si>
  <si>
    <t>0° 27'N</t>
  </si>
  <si>
    <t>Nummelin, M., and I. Hanski. 1989. Dung beetles of the Kabale forest, Uganda: comparison between virgin and managed forests. Journal of Tropical Ecology 5:349-352.</t>
  </si>
  <si>
    <t>Species richness in virgin forest vs. logged forest</t>
  </si>
  <si>
    <t>Ofori-Boateng et al. 2013</t>
  </si>
  <si>
    <t>Total frog species richness in avg. of 3 habitats in primary vs. logged forest (avg. of 2 estimation methods)</t>
  </si>
  <si>
    <t>7° 45'N</t>
  </si>
  <si>
    <t xml:space="preserve">Ofori-Boateng, C., W. Oduro, A. Hillers, K. Norris, S.K. Oppong, G.B. Adum, and M.O. Rodel. 2013. Differences in the effects of selective logging on apmphibian assemblages in three west African forest types. Biotropica 45(1):94-101. </t>
  </si>
  <si>
    <t>Osterstag and Verville 2002</t>
  </si>
  <si>
    <t>Species richness averaged across 2 sites</t>
  </si>
  <si>
    <t>19° 25'N</t>
  </si>
  <si>
    <t>Osterstag, R., and J.H. Verville. 2002. Fertilization with nitrogen and phosphorus increases abundance of non-native species in Hawaiian montane forests. Plant Ecology. 162:77-90.</t>
  </si>
  <si>
    <t>Pawson et al. 2010</t>
  </si>
  <si>
    <r>
      <rPr>
        <rFont val="Arial"/>
        <color theme="1"/>
        <sz val="8.0"/>
      </rPr>
      <t xml:space="preserve">Invasion by </t>
    </r>
    <r>
      <rPr>
        <rFont val="Arial"/>
        <i/>
        <color theme="1"/>
        <sz val="8.0"/>
      </rPr>
      <t>Pinus nigra</t>
    </r>
  </si>
  <si>
    <t>Native beetle species richness (av erage across invasion intensities)</t>
  </si>
  <si>
    <t>44° 77' N</t>
  </si>
  <si>
    <t xml:space="preserve">Pawson, S.M., J.K. McCarthy, N.J. Ledgard, and R.K. Didham. 2010. Density-dependant impacts of exotic conifer invasion on grassland invertebrate assemblages. Journal of Applied Ecology 47:1053-1062. </t>
  </si>
  <si>
    <t>Perkin and Gido 2012</t>
  </si>
  <si>
    <t>Fish species richness in fragmented and unfragmented streams (avg. of fall and summer samples)</t>
  </si>
  <si>
    <t>Stream</t>
  </si>
  <si>
    <t>Kansas</t>
  </si>
  <si>
    <t>Perkin, J.S., and K.B. Gido. 2012. Fragmentation alters stream fish community structure in dendritic ecological networks. Ecological Applications 22(8):2176-2187.</t>
  </si>
  <si>
    <t>Peters et al. 2008</t>
  </si>
  <si>
    <t xml:space="preserve">Mean species richness </t>
  </si>
  <si>
    <t>0° 17'N</t>
  </si>
  <si>
    <t xml:space="preserve">Peters, M.K., S. Likare, and M. Kraemer. Effects of habitat fragmentation and degradation on flocks of African ant-following birds. Ecological Applications. 18(4):847-858. </t>
  </si>
  <si>
    <t>Piazzi and Balata, 2009</t>
  </si>
  <si>
    <r>
      <rPr>
        <rFont val="Arial"/>
        <color theme="1"/>
        <sz val="8.0"/>
      </rPr>
      <t xml:space="preserve">Invasion by </t>
    </r>
    <r>
      <rPr>
        <rFont val="Arial"/>
        <i/>
        <color theme="1"/>
        <sz val="8.0"/>
      </rPr>
      <t>Caulerpa racemosa</t>
    </r>
  </si>
  <si>
    <t>Number of native plant species averaged across 3 sites</t>
  </si>
  <si>
    <t>43° 30' N</t>
  </si>
  <si>
    <t xml:space="preserve">Piazzi, L. and D. Balata. 2009. Invasion of alien macroalgae in different Mediterranean habitats. Biological Invasions 11:193-204. </t>
  </si>
  <si>
    <r>
      <rPr>
        <rFont val="Arial"/>
        <color theme="1"/>
        <sz val="8.0"/>
      </rPr>
      <t xml:space="preserve">Invasion by </t>
    </r>
    <r>
      <rPr>
        <rFont val="Arial"/>
        <i/>
        <color theme="1"/>
        <sz val="8.0"/>
      </rPr>
      <t>Womersleyella setacea</t>
    </r>
  </si>
  <si>
    <t>Piggott et al. 2012</t>
  </si>
  <si>
    <t>Invertebrate taxon species richness in ambient vs. warmed treatments (at natural levels of sediments and nutrients)</t>
  </si>
  <si>
    <t>45° 6'S</t>
  </si>
  <si>
    <t>Piggott, J.J., K. Lange, C.R. Townsend, C.D. Matthaei. 2012. Multiple stressors in agricultural streams: a mesocosm study of interactions among raised water temperature, sediment addition, and nutrient enrichment. PLoS One 7(1):e49873.</t>
  </si>
  <si>
    <t>Invertebrate taxon richness at natural nutrient level vs. avg of intermediate and high nutrients (at ambient temp. and natural level of sedimentation)</t>
  </si>
  <si>
    <t>Press et al. 1998</t>
  </si>
  <si>
    <t>68°21'N</t>
  </si>
  <si>
    <t>Press, M. et al. 1998. Responses of a subarctic dwarf shrub heath community to simulated environmental change. Ecology. 86: 315-000.</t>
  </si>
  <si>
    <t>Prieto et al. 2009</t>
  </si>
  <si>
    <t>Plant species richness (addition of uncommon and common species) in final year</t>
  </si>
  <si>
    <t>Prieto, P., J. Penuelas, F. Lloret, L. Llorens, and M. Estiarte. 2009. Experimental drought and warming decrease diversity and slow down post-fire succession in a Mediterranean shrubland. Ecography 32:623-636.</t>
  </si>
  <si>
    <t>Prist et al. 2012</t>
  </si>
  <si>
    <t>Vertebrate species richness in control vs. avg. of 2 land use sites</t>
  </si>
  <si>
    <t>09° 53'S</t>
  </si>
  <si>
    <t>Prist, P.R., F. Michalski, and J.P. Metzger. 2012. How deforestation pattern in the Amazon influences vertebrate richness and community composition. Landscape Ecology 27:799-812.</t>
  </si>
  <si>
    <t>Proulx et al. 1996</t>
  </si>
  <si>
    <t>Species richness at last sampling date</t>
  </si>
  <si>
    <t>74° 00'N</t>
  </si>
  <si>
    <t>Proulx, M, F.R. Pick, A. Mazumder, P.B. Hamilton, and D.R.S. Lean. 1996. Experimental evidence for interactive impact of human activities on lake algal species richness. Oikos. 76:191-195.</t>
  </si>
  <si>
    <t>Pysek and Pysek 1995</t>
  </si>
  <si>
    <r>
      <rPr>
        <rFont val="Arial"/>
        <color theme="1"/>
        <sz val="8.0"/>
      </rPr>
      <t xml:space="preserve">Invasion by </t>
    </r>
    <r>
      <rPr>
        <rFont val="Arial"/>
        <i/>
        <color theme="1"/>
        <sz val="8.0"/>
      </rPr>
      <t>Heracleum mantegazzianum</t>
    </r>
  </si>
  <si>
    <t>Mean native plant species richness of invaded vs. non-invaded</t>
  </si>
  <si>
    <t>50° 09'N</t>
  </si>
  <si>
    <t xml:space="preserve">Pysek, P., and A. Pysek. 1995. Invasion of Heracleum mantegazzianum in different habitats in the Czech Republic. Journal of Vegetation Science 6:711-718. </t>
  </si>
  <si>
    <t>Quinn, 2004</t>
  </si>
  <si>
    <t>Average invertebrate species richness in small fragments near annual and perrenial crops vs. large fragments away from crops</t>
  </si>
  <si>
    <t>45° 05'N</t>
  </si>
  <si>
    <t>Quinn, M.A. 2004. Influence of habitat fragmentation and crop system on columbia basin shrubsteppe communities. Ecological Applications. 14(6):1634-1655.</t>
  </si>
  <si>
    <t>Total plant species richness in small fragments near annual and perrenial crops vs. large fragments away from crops</t>
  </si>
  <si>
    <t>Quintero and Roslin 2005</t>
  </si>
  <si>
    <t>Beetle species richness in continuous forest and avg. of 1ha and 10ha fragments</t>
  </si>
  <si>
    <t>Quintero, I., and T. Roslin. 2005. Rapid recovery of dung beetle communities following habitat fragmentation in Central Amazonia. Ecology 86:3303-3311.</t>
  </si>
  <si>
    <t>Ramula and Pihlaja 2012</t>
  </si>
  <si>
    <r>
      <rPr>
        <rFont val="Arial"/>
        <color theme="1"/>
        <sz val="8.0"/>
      </rPr>
      <t>Invasion by</t>
    </r>
    <r>
      <rPr>
        <rFont val="Arial"/>
        <i/>
        <color theme="1"/>
        <sz val="8.0"/>
      </rPr>
      <t xml:space="preserve"> Lupinus polyphyllus </t>
    </r>
  </si>
  <si>
    <t>Plant species richness in invaded vs. uninvaded sites</t>
  </si>
  <si>
    <t>62° 43'N</t>
  </si>
  <si>
    <t>Ramula, S., and K. Pihlaja. 2012. Plant communities and the reproductive success of native plants after the invasion of an ornamental herb. Biological Invasions 14:2079-2090.</t>
  </si>
  <si>
    <t>Rantalainen et al. 2005</t>
  </si>
  <si>
    <t>Total species richness in large fragment and avg. of small and medium fragments in last sampling date</t>
  </si>
  <si>
    <t>63° 43'N</t>
  </si>
  <si>
    <t>Rantalainen, M.L., H. Fritze, J. Haimi, T. Pennanen, and H. Setala. 2005. Species richness and food web structure of soil decomposer community as affected by the size of habitat fragment and habitat corridors. Global Change Biology. 11:1614-1627.</t>
  </si>
  <si>
    <t>Rantalainen et al. 2006</t>
  </si>
  <si>
    <t>Microarthropod taxa richness at end of experiment in open vs. isolated treatments</t>
  </si>
  <si>
    <t xml:space="preserve">Rantalainen, M.L., J. Haimi, H. Fritze, and H. Setala. 2006. Effects of small-scale habitat  fragmentation, habitat corridors and mainland dispersal on soil decomposer organisms. Applied Soil Ecology 34:152-159. </t>
  </si>
  <si>
    <t>Reed and Hovel, 2006</t>
  </si>
  <si>
    <t>Invert. Species richness on last samping date at 50% loss</t>
  </si>
  <si>
    <t>32° 42'N</t>
  </si>
  <si>
    <t xml:space="preserve">Reed, B.J. and K.A. Hovel. 2006. Seagrass habitat disturbance: how loss and fragmentation of eelgrass Zostera marina influences epifaunal abundance and diversity. Marine Ecology Progress Series. 326:133-143. </t>
  </si>
  <si>
    <t>Reed et al. 2004</t>
  </si>
  <si>
    <r>
      <rPr>
        <rFont val="Arial"/>
        <color theme="1"/>
        <sz val="8.0"/>
      </rPr>
      <t xml:space="preserve">Invasion by </t>
    </r>
    <r>
      <rPr>
        <rFont val="Arial"/>
        <i/>
        <color theme="1"/>
        <sz val="8.0"/>
      </rPr>
      <t>Dreissena polymorpha</t>
    </r>
    <r>
      <rPr>
        <rFont val="Arial"/>
        <color theme="1"/>
        <sz val="8.0"/>
      </rPr>
      <t xml:space="preserve"> (Zebra mussel)</t>
    </r>
  </si>
  <si>
    <t>Invert species richness in invaded vs uninvaded sites</t>
  </si>
  <si>
    <t>43° 28'N</t>
  </si>
  <si>
    <t>Reed, T., S.J. Wielgus, A.K. Barnes, J.J. Schiefelbein, and A.L. Fettes. 2004. Refugia and local controls: Benthic invertebrate dynamics in lower Green Bay, Lake Michigan following zebra mussel invasion. Journal of Great Lakes Research. 30(3): 390-396.</t>
  </si>
  <si>
    <t>Richburg et al. 2001</t>
  </si>
  <si>
    <r>
      <rPr>
        <rFont val="Arial"/>
        <color theme="1"/>
        <sz val="8.0"/>
      </rPr>
      <t xml:space="preserve">Invasion by </t>
    </r>
    <r>
      <rPr>
        <rFont val="Arial"/>
        <i/>
        <color theme="1"/>
        <sz val="8.0"/>
      </rPr>
      <t>Phragmites australis</t>
    </r>
  </si>
  <si>
    <t>Species richness in invaded vs. uninvaded plots</t>
  </si>
  <si>
    <t>42° 17'N</t>
  </si>
  <si>
    <t xml:space="preserve">Richburg, J.A., W.A. Patterson, and R. Lowenstein. 2001. Effects of road salt and Phragmites australis invasion on the vegetation of a Western Massacheusetts calcareous lake-basin fen. Wetlands 21(2):247-255. </t>
  </si>
  <si>
    <t>Ricketts et al. 2001</t>
  </si>
  <si>
    <t>Species richness in forest and avg. of agriculture sites (pasture, coffee, and shade coffee) (combined near and far distances to forest site)</t>
  </si>
  <si>
    <t>9° 46'N</t>
  </si>
  <si>
    <t>Ricketts, T.H., G.C. Daily, P.R. Ehrlich, and J.P. Fay. 2001. Countryside biogeography of moths in a fragmented landscape: biodiversity in native and agricultural habitats. Conservation Biology. 15:378-388.</t>
  </si>
  <si>
    <t>Rodil et al. 2008</t>
  </si>
  <si>
    <r>
      <rPr>
        <rFont val="Arial"/>
        <color theme="1"/>
        <sz val="8.0"/>
      </rPr>
      <t xml:space="preserve">Invasion by </t>
    </r>
    <r>
      <rPr>
        <rFont val="Arial"/>
        <i/>
        <color theme="1"/>
        <sz val="8.0"/>
      </rPr>
      <t>Sargassum muticum</t>
    </r>
    <r>
      <rPr>
        <rFont val="Arial"/>
        <color theme="1"/>
        <sz val="8.0"/>
      </rPr>
      <t xml:space="preserve"> </t>
    </r>
  </si>
  <si>
    <t>Species richness of inverts in non-native seaweed forming wracks compared to native seaweed wracks on day 21</t>
  </si>
  <si>
    <t>42° 34' N</t>
  </si>
  <si>
    <t xml:space="preserve">Rodil, I.F., C. Olabarria, M. Lastra, and J. Lopez. 2008. Differential effects of native and invasive  algal wrack on macrofaunal assemblages inhabiting exposed sandy beaches. Journal of  Experimental Marine Biology and Ecology 358(1):1-13. </t>
  </si>
  <si>
    <t>Rodrigues et al. 2013</t>
  </si>
  <si>
    <t>Bacterial taxon richness in foresst vs. pasture sites</t>
  </si>
  <si>
    <t>Rondonia, Brazil</t>
  </si>
  <si>
    <t>Rodrigues, J.L.M., V.H. Pellizari, R. Mueller, K. Baek, E.C. Jesus, F.S. Paula, B. Mirza, G.S. Hamaoui, S.M. Tsai, B. Feigl, J.M. Tiedje, B.J.M. Bohannan, and K. Nusslein. 2013. Conversion of the Amazon rainforest to agriculture results in biotic homogenization of soil bacterial communities. Proceedings of the National Academy of Sciences.</t>
  </si>
  <si>
    <t>Roem et al. 2002</t>
  </si>
  <si>
    <t>Plant species richness (total of vascular plants and mosses) at last sampling date in N+P treatment</t>
  </si>
  <si>
    <t>52° 17' N</t>
  </si>
  <si>
    <t xml:space="preserve">Roem, W.J., Klees, H. and Berendse, F. 2002. Effects of nutrient addition and acidification on plant species diversity and seed germination in heathland. Journal of Applied Ecology 39: 937-948. </t>
  </si>
  <si>
    <t>Rout et al. 2013</t>
  </si>
  <si>
    <r>
      <rPr>
        <rFont val="Arial"/>
        <color theme="1"/>
        <sz val="8.0"/>
      </rPr>
      <t xml:space="preserve">Invasion by </t>
    </r>
    <r>
      <rPr>
        <rFont val="Arial"/>
        <i/>
        <color theme="1"/>
        <sz val="8.0"/>
      </rPr>
      <t>Sorghum halepense</t>
    </r>
  </si>
  <si>
    <t>Native plant species richness in native vs. invaded sites</t>
  </si>
  <si>
    <t>32° 84'N</t>
  </si>
  <si>
    <r>
      <rPr>
        <rFont val="Arial"/>
        <color theme="1"/>
        <sz val="8.0"/>
      </rPr>
      <t xml:space="preserve">Rout, M.E., T.H. Chrzanowski, W.K. Smith, and L. Gough. 2013. Ecological impacts of the invasive </t>
    </r>
    <r>
      <rPr>
        <rFont val="Arial"/>
        <i/>
        <color theme="1"/>
        <sz val="8.0"/>
      </rPr>
      <t>grass Sorghum halepense</t>
    </r>
    <r>
      <rPr>
        <rFont val="Arial"/>
        <color theme="1"/>
        <sz val="8.0"/>
      </rPr>
      <t xml:space="preserve"> on native tallgrass prairie. Biological Invasions 15:327-339.</t>
    </r>
  </si>
  <si>
    <t>Russell and Downs 2012</t>
  </si>
  <si>
    <t>Anuran species richness in conservaiton vs. avg. of plantation and sugar cane plots</t>
  </si>
  <si>
    <t>32° 00'S</t>
  </si>
  <si>
    <t>Russell, C., and C.T. Downs. 2012. Effect of land use on anuran species composition in north-eastern KwaZulu-Natal, South Africa. Applied Geography 35(1):247-256.</t>
  </si>
  <si>
    <t>Sadej et al. 2012</t>
  </si>
  <si>
    <t>Carabid species richness in control vs. NPK addition sites</t>
  </si>
  <si>
    <t>52° 00' N</t>
  </si>
  <si>
    <t>Sadej, W., A. Kosewska, W. Sadej, and M. Nietupski. 2012. Effects of fertilizer and land-use type on soil properties and ground beetle assemblages. Bulletin of Insectology 65:239-246.</t>
  </si>
  <si>
    <t>Schadler et al. 2008</t>
  </si>
  <si>
    <t>Total plant species richness in avg. of different nutrient treatments</t>
  </si>
  <si>
    <t>50°39'N</t>
  </si>
  <si>
    <t>Schadler, M., T. Rottstock, and R. Brandl. 2008. Do nutrients and invertebrate herbivory interact in a artificial plant community? Basic and Applied Ecology. 9:550-559.</t>
  </si>
  <si>
    <t>Scheffler and Scheffer 2005</t>
  </si>
  <si>
    <t>Species richness in intact forest vs. pasture</t>
  </si>
  <si>
    <t>7° 50'S</t>
  </si>
  <si>
    <t>Scheffler, P.Y., and P.Y. Scheffer. 2005. Dung beetle diversity and community structure across three disturbance regimes in Eastern Amazonia. Journal of Tropical Ecology 21:9-19.</t>
  </si>
  <si>
    <t>Species richness in intact forest. Vs. logged and clearcut forest</t>
  </si>
  <si>
    <t>Schmidt and Scheibling, 2006</t>
  </si>
  <si>
    <r>
      <rPr>
        <rFont val="Arial"/>
        <color theme="1"/>
        <sz val="8.0"/>
      </rPr>
      <t>Invasion by</t>
    </r>
    <r>
      <rPr>
        <rFont val="Arial"/>
        <i/>
        <color theme="1"/>
        <sz val="8.0"/>
      </rPr>
      <t xml:space="preserve"> Codium fragile</t>
    </r>
  </si>
  <si>
    <t>Total epiphyte species richness at last sampling date in avg. of frond and holdfast</t>
  </si>
  <si>
    <t>44° 28'N</t>
  </si>
  <si>
    <t>Schmidt, A.L., and R.E. Scheibling. 2006. A comparison of epifauna and epiphytes on native kelps (Laminaria species) and an invasive alga (Codium fraglie ssp. Tomentosoides) in Nova Scotia, Canada. Botanica Marina. 49:315-330.</t>
  </si>
  <si>
    <t>Schneider and Allen 2012</t>
  </si>
  <si>
    <t>Seed bank species richness in avg. of 4 control and nutrified sites.</t>
  </si>
  <si>
    <t>33° 56'N</t>
  </si>
  <si>
    <t>Schneder, H.E., and E.B. Allen. 2012. Effects of elevated nitrogen and exotic plant invasion on soil seed bank composition in Joshua Tree National Park. Plant Ecology 213:1277-1287.</t>
  </si>
  <si>
    <t>Scott et al. 2006</t>
  </si>
  <si>
    <t>24° 50'S</t>
  </si>
  <si>
    <t>Scott, D.M., D. Brown, S. Mahood, B. Denton, A. Silburn, and F. Rakotondraparany. 2006. The impacts of forest clearance on lizard, small mammal, and bird communities in the arid spiny forest, souther Madagascar. Biological Conservation 127:72-87.</t>
  </si>
  <si>
    <t>Mammal species richness in forest vs. logged sites</t>
  </si>
  <si>
    <t>Seastedt and Vaccaro, 2001</t>
  </si>
  <si>
    <t>Species richness in avg, of snowbed, mesic, and dry site for N+P treatment</t>
  </si>
  <si>
    <t>Seastadt, T.R., and L. Vaccaro. 2001. Plant species richness, productivitiy, and nitrogen and phosphorus limitations across a snowpack gradient in Alpine Tundra, Colorado, USA. Arctic, Antarctic, and Alpine Research. 33:100-106.</t>
  </si>
  <si>
    <t>Serra et al. 2013</t>
  </si>
  <si>
    <r>
      <rPr>
        <rFont val="Arial"/>
        <color theme="1"/>
        <sz val="8.0"/>
      </rPr>
      <t xml:space="preserve">Invasion by </t>
    </r>
    <r>
      <rPr>
        <rFont val="Arial"/>
        <i/>
        <color theme="1"/>
        <sz val="8.0"/>
      </rPr>
      <t>Salix fragilis</t>
    </r>
  </si>
  <si>
    <t>Plant species richness in reference vs. invaded sites (avg. of 3 locations)</t>
  </si>
  <si>
    <t>40° 47'S</t>
  </si>
  <si>
    <t>Serra, M.N., R. Albarino, and V.D. Villanueva. 2013. Invasive Salix fragilis alters benthic invertebrate communities and litter decomposition in northern Patagonian streams. Hydrobiologia 701:173-188.</t>
  </si>
  <si>
    <r>
      <rPr>
        <rFont val="Arial"/>
        <color theme="1"/>
        <sz val="8.0"/>
      </rPr>
      <t xml:space="preserve">Invasion by </t>
    </r>
    <r>
      <rPr>
        <rFont val="Arial"/>
        <i/>
        <color theme="1"/>
        <sz val="8.0"/>
      </rPr>
      <t>Salix fragilis</t>
    </r>
  </si>
  <si>
    <t>Benthic invertebrate taxon richness in reference vs. invaded sites (avg. of 3 locations)</t>
  </si>
  <si>
    <t>Shaben and Myers 2010</t>
  </si>
  <si>
    <r>
      <rPr>
        <rFont val="Arial"/>
        <color theme="1"/>
        <sz val="8.0"/>
      </rPr>
      <t>Invasion by</t>
    </r>
    <r>
      <rPr>
        <rFont val="Arial"/>
        <i/>
        <color theme="1"/>
        <sz val="8.0"/>
      </rPr>
      <t xml:space="preserve"> Cytisus scoparius </t>
    </r>
    <r>
      <rPr>
        <rFont val="Arial"/>
        <color theme="1"/>
        <sz val="8.0"/>
      </rPr>
      <t>(Scotch broom)</t>
    </r>
  </si>
  <si>
    <t>Species richness in invaded vs. uninvaded plots averaged across 2 sites</t>
  </si>
  <si>
    <t>48° 19'N</t>
  </si>
  <si>
    <t xml:space="preserve">Shaben, J., and J.H. Myers. 2010. Relationship between scotch broom, soil nutrients, and plant diversity in the Garry oak savannah ecosystem. Plant Ecology 207:81-91. </t>
  </si>
  <si>
    <t>Shackleton 2000</t>
  </si>
  <si>
    <t>Total plant species richness at avg of two spatial scales in conservation vs. communal areas</t>
  </si>
  <si>
    <t>24° 49'S</t>
  </si>
  <si>
    <t>Shackleton, C.M. 2000. Comparison of plant diversity in protected and communal lands in the Bushbuckridge lowveld savanna, South Africa. Biological Conservation 94:273-285.</t>
  </si>
  <si>
    <t>Simao et al. 2010</t>
  </si>
  <si>
    <r>
      <rPr>
        <rFont val="Arial"/>
        <color theme="1"/>
        <sz val="8.0"/>
      </rPr>
      <t xml:space="preserve">Invasion of </t>
    </r>
    <r>
      <rPr>
        <rFont val="Arial"/>
        <i/>
        <color theme="1"/>
        <sz val="8.0"/>
      </rPr>
      <t>Microstegium vimineum</t>
    </r>
  </si>
  <si>
    <t>Total arthropod species richness at last sampling date</t>
  </si>
  <si>
    <t xml:space="preserve">Simao, C.M.C., Flory, S.L., and Rudgers, J.A. 2010. Experimental plant invasion reduces arthropod abundance and richness across multiple trophic levels. Oikos 119:1553-1562.  </t>
  </si>
  <si>
    <t>Skorka et al. 2010</t>
  </si>
  <si>
    <r>
      <rPr>
        <rFont val="Arial"/>
        <color theme="1"/>
        <sz val="8.0"/>
      </rPr>
      <t xml:space="preserve">Invasion by </t>
    </r>
    <r>
      <rPr>
        <rFont val="Arial"/>
        <i/>
        <color theme="1"/>
        <sz val="8.0"/>
      </rPr>
      <t>Solidago spp.</t>
    </r>
    <r>
      <rPr>
        <rFont val="Arial"/>
        <color theme="1"/>
        <sz val="8.0"/>
      </rPr>
      <t xml:space="preserve"> (Goldenrod)</t>
    </r>
  </si>
  <si>
    <t>Bird species richness between invaded and non-invaded plots</t>
  </si>
  <si>
    <t>Skorka, P., M. Lenda, and P. Tryjanowski. 2010. Invasive alien goldenrods negatively affect grassland bird communities in Eastern Europe. Biological Conservation. 143:856-861.</t>
  </si>
  <si>
    <r>
      <rPr>
        <rFont val="Arial"/>
        <color theme="1"/>
        <sz val="8.0"/>
      </rPr>
      <t xml:space="preserve">Invasion by </t>
    </r>
    <r>
      <rPr>
        <rFont val="Arial"/>
        <i/>
        <color theme="1"/>
        <sz val="8.0"/>
      </rPr>
      <t>Solidago spp.</t>
    </r>
    <r>
      <rPr>
        <rFont val="Arial"/>
        <color theme="1"/>
        <sz val="8.0"/>
      </rPr>
      <t xml:space="preserve"> (Goldenrod)</t>
    </r>
  </si>
  <si>
    <t>Plant species richness between invaded and non-invaded plots</t>
  </si>
  <si>
    <t>Slade et al. 2011</t>
  </si>
  <si>
    <t>Species richness of dung beetles (average of sites and treatment intensities)</t>
  </si>
  <si>
    <t>4° 58' N</t>
  </si>
  <si>
    <t>Slade, E.M., D.J. Mann, and O.W. Lewis. 2011. Biodiversity and ecosystem function of tropical forest dung beetles under contrasting logging regimes. Biological Conservation 144:166-175</t>
  </si>
  <si>
    <t>Smith 2010</t>
  </si>
  <si>
    <r>
      <rPr>
        <rFont val="Arial"/>
        <color theme="1"/>
        <sz val="8.0"/>
      </rPr>
      <t xml:space="preserve">Invasion by </t>
    </r>
    <r>
      <rPr>
        <rFont val="Arial"/>
        <i/>
        <color theme="1"/>
        <sz val="8.0"/>
      </rPr>
      <t>Acacia nilotica</t>
    </r>
  </si>
  <si>
    <t>Native plant species richness (avg. of woody, grass, and herb species)</t>
  </si>
  <si>
    <t>29° 49'S</t>
  </si>
  <si>
    <t>Smith, F.R. 2010. Using plant functional types to compare vegetation structure of alien-invaded and uninvaded Acacia nilotica savannas. South African Journal of Botany. 76:365-368.</t>
  </si>
  <si>
    <t>Sorte et al. 2010</t>
  </si>
  <si>
    <t>Avg. of adult and juvenile species richness in last sampling date</t>
  </si>
  <si>
    <t>38°20'N</t>
  </si>
  <si>
    <t>Sorte, C., Fuller, A., Bracken, M. 2010. Impacts of a simulated heat wave on composition of a marine community. Oikos 119: 1909-1918.</t>
  </si>
  <si>
    <t>St. John et al. 2006</t>
  </si>
  <si>
    <r>
      <rPr>
        <rFont val="Arial"/>
        <color theme="1"/>
        <sz val="8.0"/>
      </rPr>
      <t xml:space="preserve">Invasion by </t>
    </r>
    <r>
      <rPr>
        <rFont val="Arial"/>
        <i/>
        <color theme="1"/>
        <sz val="8.0"/>
      </rPr>
      <t>Andropogon bladhii</t>
    </r>
    <r>
      <rPr>
        <rFont val="Arial"/>
        <color theme="1"/>
        <sz val="8.0"/>
      </rPr>
      <t xml:space="preserve"> (Caucasian blustem)</t>
    </r>
  </si>
  <si>
    <t>Mite species richness in avg of native sites vs. average of invaded sites</t>
  </si>
  <si>
    <t>39° 6'N</t>
  </si>
  <si>
    <t>St. John, M.G., D.H. Wall, and H.W. Hunt. 2006. Are soil mite assemblages structured by the identity of native and invasive alien grasses? Ecology. 87(5):1314-1324.</t>
  </si>
  <si>
    <t>Staddon et al. 2010</t>
  </si>
  <si>
    <t>Faunal species richness in continuous vs. island treatments</t>
  </si>
  <si>
    <t>53° 6'N</t>
  </si>
  <si>
    <t>Staddon, P., Z. Lindo, P.D. Crittenden, F. Gilbert, and A. Gonzalez. 2010. Connectivity, non-random extinction, and ecosystem function in experimental meta-communities. Ecology Letters 13:543-552.</t>
  </si>
  <si>
    <t>Stoll et al. 2006</t>
  </si>
  <si>
    <t>Average of gastropod and grasshopper species richness averaged across 3 sites.</t>
  </si>
  <si>
    <t>47° 25'N</t>
  </si>
  <si>
    <t>Stoll, P., C. Dolt, M. Goverde, and B. Baur. 2006. Experimental habitat fragmentation and invertebrate grazing in a herbaceous grassland species. Basic and Applied Ecology 7:307-319.</t>
  </si>
  <si>
    <t>Strecker et al. 2006</t>
  </si>
  <si>
    <r>
      <rPr>
        <rFont val="Arial"/>
        <color theme="1"/>
        <sz val="8.0"/>
      </rPr>
      <t>Invasion by</t>
    </r>
    <r>
      <rPr>
        <rFont val="Arial"/>
        <i/>
        <color theme="1"/>
        <sz val="8.0"/>
      </rPr>
      <t xml:space="preserve"> Bythotrephes longimanus</t>
    </r>
  </si>
  <si>
    <t>Total crustacean zooplankton species richness in invaded lakes vs. non-invaded lakes</t>
  </si>
  <si>
    <t>45°21'N</t>
  </si>
  <si>
    <t>Strecker, A.L., S.E. Arnott, N.D. Yan, and R. Girard. 2006. Variation in the response of crustacean zooplankton species richness and composition to the invasive predator Bythotrephes longimanus. Canadian Journal of Fisheries and Aquatic Sciences 63(9):212</t>
  </si>
  <si>
    <t>Su et al. 2013</t>
  </si>
  <si>
    <t>Plant species richness in control vs. avg. of 3 nutrient addition treatments in final year</t>
  </si>
  <si>
    <t>37°25'N</t>
  </si>
  <si>
    <t>Su, J., X. Li, X. Li, and L. Feng. 2013. Effects of additional N on herbaceous species of desertified steppe in arid regions of China: a four-year field study. Ecological Research 28:21-28.</t>
  </si>
  <si>
    <t>Svensson et al. 2010</t>
  </si>
  <si>
    <t>Algal species richness</t>
  </si>
  <si>
    <t>58° 52'N</t>
  </si>
  <si>
    <t xml:space="preserve">Svensson, J.R., M. Lindegarth, and H. Pavia. 2010. Physical and biological disturbances interact differently with productivity: effects on floral and faunal richness. 2010. Ecology 91(10):3069-3080. </t>
  </si>
  <si>
    <t>Invert species richness</t>
  </si>
  <si>
    <t>Talley et al. 2012</t>
  </si>
  <si>
    <r>
      <rPr>
        <rFont val="Arial"/>
        <color theme="1"/>
        <sz val="8.0"/>
      </rPr>
      <t>Invasion by</t>
    </r>
    <r>
      <rPr>
        <rFont val="Arial"/>
        <i/>
        <color theme="1"/>
        <sz val="8.0"/>
      </rPr>
      <t xml:space="preserve"> Phoenic canariensis</t>
    </r>
  </si>
  <si>
    <t>Invertebrate species richness under invasive and native tree (avg. of canopy, trunk, and groud locations).</t>
  </si>
  <si>
    <t>32° 45'N</t>
  </si>
  <si>
    <t>Talley, T.S., K.C. Nyuyen, and A. Nguyen. 2012. Testing the effects of an introduced palm on a riparian invertebrate community in Southern California. PLoS One 7(8):e42460.</t>
  </si>
  <si>
    <t>Tang et al. 2012</t>
  </si>
  <si>
    <r>
      <rPr>
        <rFont val="Arial"/>
        <color theme="1"/>
        <sz val="8.0"/>
      </rPr>
      <t xml:space="preserve">Invasion by </t>
    </r>
    <r>
      <rPr>
        <rFont val="Arial"/>
        <i/>
        <color theme="1"/>
        <sz val="8.0"/>
      </rPr>
      <t>Microstegium vimineum</t>
    </r>
  </si>
  <si>
    <t>Arthropod species richness in invaded vs. uninvaded sites</t>
  </si>
  <si>
    <t>35° 03'N</t>
  </si>
  <si>
    <t>Tang, Y., R.J. Warren II, T.D. Kramer, and M.A. Bradford. 2012. Plant invasion impacts on arthropod abundance, diversity and feeding consistent across environmental and geographic gradients. Biological Invasions 14:2625-2637.</t>
  </si>
  <si>
    <t>Thomsen, 2010</t>
  </si>
  <si>
    <r>
      <rPr>
        <rFont val="Arial"/>
        <color theme="1"/>
        <sz val="8.0"/>
      </rPr>
      <t xml:space="preserve">Invasion by </t>
    </r>
    <r>
      <rPr>
        <rFont val="Arial"/>
        <i/>
        <color theme="1"/>
        <sz val="8.0"/>
      </rPr>
      <t>Gracilaria vermiculophylla</t>
    </r>
  </si>
  <si>
    <t>Invert species richness in average of two depths and two invasive treatments</t>
  </si>
  <si>
    <t>55° 49'N</t>
  </si>
  <si>
    <t>Thomsen, M.S. 2010. Experimental evidence for positive effects of invasive seaweed on native invertebrates via habitat-formation in a seagrass bed. Aquatic Invasions. 5(4):341-346.</t>
  </si>
  <si>
    <t>Timsini et al. 2011</t>
  </si>
  <si>
    <r>
      <rPr>
        <rFont val="Arial"/>
        <color theme="1"/>
        <sz val="8.0"/>
      </rPr>
      <t xml:space="preserve">Invasion by </t>
    </r>
    <r>
      <rPr>
        <rFont val="Arial"/>
        <i/>
        <color theme="1"/>
        <sz val="8.0"/>
      </rPr>
      <t>Pathenium hysterophorus</t>
    </r>
  </si>
  <si>
    <t>28° 22'N</t>
  </si>
  <si>
    <r>
      <rPr>
        <rFont val="Arial"/>
        <color theme="1"/>
        <sz val="8.0"/>
      </rPr>
      <t xml:space="preserve">Timsini, B., B.B. Shrestha, M.B. Rokaya, and Z. Munzbergova. 2011. Impact of </t>
    </r>
    <r>
      <rPr>
        <rFont val="Arial"/>
        <i/>
        <color theme="1"/>
        <sz val="8.0"/>
      </rPr>
      <t>Parthenium hysterophorus</t>
    </r>
    <r>
      <rPr>
        <rFont val="Arial"/>
        <color theme="1"/>
        <sz val="8.0"/>
      </rPr>
      <t xml:space="preserve"> L. invasion on plant species composition and soil properties of grassland  communities in Nepal. Flora 206:233-240. </t>
    </r>
  </si>
  <si>
    <t>Treberg and Husband, 1999</t>
  </si>
  <si>
    <r>
      <rPr>
        <rFont val="Arial"/>
        <color theme="1"/>
        <sz val="8.0"/>
      </rPr>
      <t xml:space="preserve">Invasion by </t>
    </r>
    <r>
      <rPr>
        <rFont val="Arial"/>
        <i/>
        <color theme="1"/>
        <sz val="8.0"/>
      </rPr>
      <t>Lythrum salicaria</t>
    </r>
    <r>
      <rPr>
        <rFont val="Arial"/>
        <color theme="1"/>
        <sz val="8.0"/>
      </rPr>
      <t xml:space="preserve"> (Purple loosestrife)</t>
    </r>
  </si>
  <si>
    <t>46° 26'N</t>
  </si>
  <si>
    <t>Treberg, M.A., and B.C. Husband. 1999. Relationship between the abundance of Lythrum salicaria (purple loosestrife) and plant species richness along the Bar River, Canada. Wetlands. 19:118-125.</t>
  </si>
  <si>
    <t>Truscott et al. 2008</t>
  </si>
  <si>
    <r>
      <rPr>
        <rFont val="Arial"/>
        <color theme="1"/>
        <sz val="8.0"/>
      </rPr>
      <t xml:space="preserve">Invasion by </t>
    </r>
    <r>
      <rPr>
        <rFont val="Arial"/>
        <i/>
        <color theme="1"/>
        <sz val="8.0"/>
      </rPr>
      <t>Mimulus guttatus</t>
    </r>
  </si>
  <si>
    <t>57° 08'N</t>
  </si>
  <si>
    <r>
      <rPr>
        <rFont val="Arial"/>
        <color theme="1"/>
        <sz val="8.0"/>
      </rPr>
      <t xml:space="preserve">Truscott, A.M. S.C. Palmer, C. Soulsby, S. Westaway, and P.E. Hulme. 2008. Consequences of  invasion by the alien plant </t>
    </r>
    <r>
      <rPr>
        <rFont val="Arial"/>
        <i/>
        <color theme="1"/>
        <sz val="8.0"/>
      </rPr>
      <t>Mimulus guttatus</t>
    </r>
    <r>
      <rPr>
        <rFont val="Arial"/>
        <color theme="1"/>
        <sz val="8.0"/>
      </rPr>
      <t xml:space="preserve"> on the species composition and soil properties of  riparian plant communities in Scotland. Perspectives in Plant Ecology, Evolution and Systematics 10:231-240. </t>
    </r>
  </si>
  <si>
    <t>Umetsu and Pardini, 2007</t>
  </si>
  <si>
    <t>Agricultural/Rural use</t>
  </si>
  <si>
    <t>Small mammal species richness in native vegetation vs. anthropogenic habitats</t>
  </si>
  <si>
    <t>23° 38'S</t>
  </si>
  <si>
    <t>Umetsu, F., and R. Pardini. 2007. Small mammals in a mosaic of forest remnants and anthropogenic habitats--evaluating matrix quality in an Atlantic forest landscape. Landscape Ecology. 22:517-530.</t>
  </si>
  <si>
    <t>Usio et al. 2009</t>
  </si>
  <si>
    <r>
      <rPr>
        <rFont val="Arial"/>
        <color theme="1"/>
        <sz val="8.0"/>
      </rPr>
      <t>Invasion by</t>
    </r>
    <r>
      <rPr>
        <rFont val="Arial"/>
        <i/>
        <color theme="1"/>
        <sz val="8.0"/>
      </rPr>
      <t xml:space="preserve"> Pacifastacus leniusculus</t>
    </r>
    <r>
      <rPr>
        <rFont val="Arial"/>
        <color theme="1"/>
        <sz val="8.0"/>
      </rPr>
      <t xml:space="preserve"> (Signal crayfish)</t>
    </r>
  </si>
  <si>
    <t>Invert taxa richness on final day of experiment</t>
  </si>
  <si>
    <t>43° 10' N</t>
  </si>
  <si>
    <t xml:space="preserve">Usio, N., R. Kamiyama, A. Saji, and N. Takamura. Size-dependant impacts of invasive alien crayfish on a littoral marsh community. Biological Conservation 142:1480-1490. </t>
  </si>
  <si>
    <t>Valdivia and Thiel, 2006</t>
  </si>
  <si>
    <t>Species richness of fauna in the mussel habitat</t>
  </si>
  <si>
    <t>30° 3'S</t>
  </si>
  <si>
    <r>
      <rPr>
        <rFont val="Arial"/>
        <color theme="1"/>
        <sz val="8.0"/>
      </rPr>
      <t xml:space="preserve">Valdivia, N. and M. Thiel. 2006. Effects of point-source nutrient addtiion and mussel removal on epibiotic assemblages in </t>
    </r>
    <r>
      <rPr>
        <rFont val="Arial"/>
        <i/>
        <color theme="1"/>
        <sz val="8.0"/>
      </rPr>
      <t>Perumytilus purpuratus</t>
    </r>
    <r>
      <rPr>
        <rFont val="Arial"/>
        <color theme="1"/>
        <sz val="8.0"/>
      </rPr>
      <t xml:space="preserve"> beds. Journal of Sea Research 56(4):271-285</t>
    </r>
  </si>
  <si>
    <t>Valtonen et al. 2006</t>
  </si>
  <si>
    <r>
      <rPr>
        <rFont val="Arial"/>
        <color theme="1"/>
        <sz val="8.0"/>
      </rPr>
      <t>Invasion by</t>
    </r>
    <r>
      <rPr>
        <rFont val="Arial"/>
        <i/>
        <color theme="1"/>
        <sz val="8.0"/>
      </rPr>
      <t xml:space="preserve"> Lupinus polyphyllus</t>
    </r>
  </si>
  <si>
    <t>65° 10' N</t>
  </si>
  <si>
    <t>Valtonen, A., J. Jantunen, and K. Saarinen. 2006. Flora and lepidoptera fauna adversely affected by invasive Lupinus polyphyllus along road verges. Biological Conservation. 133:389-396.</t>
  </si>
  <si>
    <t>Van Bael et al. 2007</t>
  </si>
  <si>
    <t>Bird species richness in forest vs. cacao plantation (averaged over 2 seasons)</t>
  </si>
  <si>
    <t>9° 20'N</t>
  </si>
  <si>
    <t>Van Bael, S.A., P. Bichier, I. Ochoa, R. Greenberg. Bird diversity in cacao farms and forest fragments of western Panama. Biodiversity and Conservation 16:2245-2256.</t>
  </si>
  <si>
    <t>Vanderklift and Jacoby 2003</t>
  </si>
  <si>
    <t>Average species richness of the 3 sites in eelgrass and non-eelgrass beds</t>
  </si>
  <si>
    <t>32° 12'S</t>
  </si>
  <si>
    <t>Vanderklift, M.A., and C.A. Jacoby. 2003. Patterns in fish assemblages 25 years after major seagrass loss. Marine Ecology Progress Series. 247:225-235.</t>
  </si>
  <si>
    <t>Vasconcelos et al. 2006</t>
  </si>
  <si>
    <t xml:space="preserve">Number of ant species </t>
  </si>
  <si>
    <t>2° 30'S</t>
  </si>
  <si>
    <t xml:space="preserve">Vasconcelos, H.L., J.M.S. Vilhena, W.E. Magnusson, and A.L.K.M. Albernaz. 2006. Long term effects of forest fragmentation on Amazonian ant communities. Journal of Biogeography 33:1348-1356. </t>
  </si>
  <si>
    <t>Vazquez-Luis et al. 2009</t>
  </si>
  <si>
    <r>
      <rPr>
        <rFont val="Arial"/>
        <color theme="1"/>
        <sz val="8.0"/>
      </rPr>
      <t xml:space="preserve">Invasion by </t>
    </r>
    <r>
      <rPr>
        <rFont val="Arial"/>
        <i/>
        <color theme="1"/>
        <sz val="8.0"/>
      </rPr>
      <t>Caulerpa racemosa</t>
    </r>
  </si>
  <si>
    <t>Amphipod species richness in avg. of 3 native species beds vs. invaded bed at last sampling date</t>
  </si>
  <si>
    <t>38° 20'N</t>
  </si>
  <si>
    <t xml:space="preserve">Vazquez-Luis, M., P. Sanchez-Jerez, and J.T. Bayle-Sempere. 2009. Comparison between amphipod assemblages associated with Caulerpa racemosa var. cylindracea and those of other Mediterannean habitats on soft substrate. Estuarine, Coastal and Shelf Science. 84:161-170. </t>
  </si>
  <si>
    <t>Vila et al. 2006</t>
  </si>
  <si>
    <r>
      <rPr>
        <rFont val="Arial"/>
        <color theme="1"/>
        <sz val="8.0"/>
      </rPr>
      <t xml:space="preserve">Invasion by </t>
    </r>
    <r>
      <rPr>
        <rFont val="Arial"/>
        <i/>
        <color theme="1"/>
        <sz val="8.0"/>
      </rPr>
      <t>Ailanthus altissima</t>
    </r>
  </si>
  <si>
    <r>
      <rPr>
        <rFont val="Arial"/>
        <color theme="1"/>
        <sz val="8.0"/>
      </rPr>
      <t xml:space="preserve">Richness in </t>
    </r>
    <r>
      <rPr>
        <rFont val="Arial"/>
        <i/>
        <color theme="1"/>
        <sz val="8.0"/>
      </rPr>
      <t>Ailanthus</t>
    </r>
    <r>
      <rPr>
        <rFont val="Arial"/>
        <color theme="1"/>
        <sz val="8.0"/>
      </rPr>
      <t xml:space="preserve"> invaded plots vs. non-invaded plots in Sardinia site</t>
    </r>
  </si>
  <si>
    <t>Mediterannean</t>
  </si>
  <si>
    <t>40° 07'N</t>
  </si>
  <si>
    <t>Vila, M., M. Tessier, C.M. Suehs, G. Brundu, L. Carta, et al. 2006. Local and regional assessments of the impacts of plant invaders on vegetations structure and soil properties of Mediterranean islands. Journal of Biogeography 33:853-861.</t>
  </si>
  <si>
    <r>
      <rPr>
        <rFont val="Arial"/>
        <color theme="1"/>
        <sz val="8.0"/>
      </rPr>
      <t xml:space="preserve">Invasion by </t>
    </r>
    <r>
      <rPr>
        <rFont val="Arial"/>
        <i/>
        <color theme="1"/>
        <sz val="8.0"/>
      </rPr>
      <t>Carpobrotus spp.</t>
    </r>
  </si>
  <si>
    <r>
      <rPr>
        <rFont val="Arial"/>
        <color theme="1"/>
        <sz val="8.0"/>
      </rPr>
      <t xml:space="preserve">Richness in </t>
    </r>
    <r>
      <rPr>
        <rFont val="Arial"/>
        <i/>
        <color theme="1"/>
        <sz val="8.0"/>
      </rPr>
      <t>Carpobrotus</t>
    </r>
    <r>
      <rPr>
        <rFont val="Arial"/>
        <color theme="1"/>
        <sz val="8.0"/>
      </rPr>
      <t xml:space="preserve"> invaded plots vs. non-invaded plots in Mallorca site</t>
    </r>
  </si>
  <si>
    <t>39° 36'N</t>
  </si>
  <si>
    <r>
      <rPr>
        <rFont val="Arial"/>
        <color theme="1"/>
        <sz val="8.0"/>
      </rPr>
      <t xml:space="preserve">Invasion by </t>
    </r>
    <r>
      <rPr>
        <rFont val="Arial"/>
        <i/>
        <color theme="1"/>
        <sz val="8.0"/>
      </rPr>
      <t>Carpobrotus spp.</t>
    </r>
  </si>
  <si>
    <r>
      <rPr>
        <rFont val="Arial"/>
        <color theme="1"/>
        <sz val="8.0"/>
      </rPr>
      <t xml:space="preserve">Richness in </t>
    </r>
    <r>
      <rPr>
        <rFont val="Arial"/>
        <i/>
        <color theme="1"/>
        <sz val="8.0"/>
      </rPr>
      <t>Carpobrotus</t>
    </r>
    <r>
      <rPr>
        <rFont val="Arial"/>
        <color theme="1"/>
        <sz val="8.0"/>
      </rPr>
      <t xml:space="preserve"> invaded plots vs. non-invaded plots in Sardinia site</t>
    </r>
  </si>
  <si>
    <r>
      <rPr>
        <rFont val="Arial"/>
        <color theme="1"/>
        <sz val="8.0"/>
      </rPr>
      <t xml:space="preserve">Invasion by </t>
    </r>
    <r>
      <rPr>
        <rFont val="Arial"/>
        <i/>
        <color theme="1"/>
        <sz val="8.0"/>
      </rPr>
      <t>Carpobrotus spp.</t>
    </r>
  </si>
  <si>
    <r>
      <rPr>
        <rFont val="Arial"/>
        <color theme="1"/>
        <sz val="8.0"/>
      </rPr>
      <t xml:space="preserve">Richness in </t>
    </r>
    <r>
      <rPr>
        <rFont val="Arial"/>
        <i/>
        <color theme="1"/>
        <sz val="8.0"/>
      </rPr>
      <t>Carpobrotus</t>
    </r>
    <r>
      <rPr>
        <rFont val="Arial"/>
        <color theme="1"/>
        <sz val="8.0"/>
      </rPr>
      <t xml:space="preserve"> invaded plots vs. non-invaded plots in Porquerolles site</t>
    </r>
  </si>
  <si>
    <t>43° 00'N</t>
  </si>
  <si>
    <r>
      <rPr>
        <rFont val="Arial"/>
        <color theme="1"/>
        <sz val="8.0"/>
      </rPr>
      <t xml:space="preserve">Invasion by </t>
    </r>
    <r>
      <rPr>
        <rFont val="Arial"/>
        <i/>
        <color theme="1"/>
        <sz val="8.0"/>
      </rPr>
      <t>Oxalis pes-caprae</t>
    </r>
  </si>
  <si>
    <r>
      <rPr>
        <rFont val="Arial"/>
        <color theme="1"/>
        <sz val="8.0"/>
      </rPr>
      <t xml:space="preserve">Richness in </t>
    </r>
    <r>
      <rPr>
        <rFont val="Arial"/>
        <i/>
        <color theme="1"/>
        <sz val="8.0"/>
      </rPr>
      <t>Oxalis</t>
    </r>
    <r>
      <rPr>
        <rFont val="Arial"/>
        <color theme="1"/>
        <sz val="8.0"/>
      </rPr>
      <t xml:space="preserve"> invaded plots vs. non-invaded plots in Porquerolles site</t>
    </r>
  </si>
  <si>
    <r>
      <rPr>
        <rFont val="Arial"/>
        <color theme="1"/>
        <sz val="8.0"/>
      </rPr>
      <t xml:space="preserve">Invasion by </t>
    </r>
    <r>
      <rPr>
        <rFont val="Arial"/>
        <i/>
        <color theme="1"/>
        <sz val="8.0"/>
      </rPr>
      <t>Carpobrotus spp.</t>
    </r>
  </si>
  <si>
    <r>
      <rPr>
        <rFont val="Arial"/>
        <color theme="1"/>
        <sz val="8.0"/>
      </rPr>
      <t xml:space="preserve">Richness in </t>
    </r>
    <r>
      <rPr>
        <rFont val="Arial"/>
        <i/>
        <color theme="1"/>
        <sz val="8.0"/>
      </rPr>
      <t>Carpobrotus</t>
    </r>
    <r>
      <rPr>
        <rFont val="Arial"/>
        <color theme="1"/>
        <sz val="8.0"/>
      </rPr>
      <t xml:space="preserve"> invaded plots vs. non-invaded plots in Menorca site</t>
    </r>
  </si>
  <si>
    <t>40° 00'N</t>
  </si>
  <si>
    <r>
      <rPr>
        <rFont val="Arial"/>
        <color theme="1"/>
        <sz val="8.0"/>
      </rPr>
      <t xml:space="preserve">Invasion by </t>
    </r>
    <r>
      <rPr>
        <rFont val="Arial"/>
        <i/>
        <color theme="1"/>
        <sz val="8.0"/>
      </rPr>
      <t>Ailanthus altissima</t>
    </r>
  </si>
  <si>
    <r>
      <rPr>
        <rFont val="Arial"/>
        <color theme="1"/>
        <sz val="8.0"/>
      </rPr>
      <t xml:space="preserve">Richness in </t>
    </r>
    <r>
      <rPr>
        <rFont val="Arial"/>
        <i/>
        <color theme="1"/>
        <sz val="8.0"/>
      </rPr>
      <t>Ailanthus</t>
    </r>
    <r>
      <rPr>
        <rFont val="Arial"/>
        <color theme="1"/>
        <sz val="8.0"/>
      </rPr>
      <t xml:space="preserve"> invaded plots vs. non-invaded plots in Mallorca site</t>
    </r>
  </si>
  <si>
    <r>
      <rPr>
        <rFont val="Arial"/>
        <color theme="1"/>
        <sz val="8.0"/>
      </rPr>
      <t xml:space="preserve">Invasion by </t>
    </r>
    <r>
      <rPr>
        <rFont val="Arial"/>
        <i/>
        <color theme="1"/>
        <sz val="8.0"/>
      </rPr>
      <t>Ailanthus altissima</t>
    </r>
  </si>
  <si>
    <r>
      <rPr>
        <rFont val="Arial"/>
        <color theme="1"/>
        <sz val="8.0"/>
      </rPr>
      <t xml:space="preserve">Richness in </t>
    </r>
    <r>
      <rPr>
        <rFont val="Arial"/>
        <i/>
        <color theme="1"/>
        <sz val="8.0"/>
      </rPr>
      <t>Ailanthus</t>
    </r>
    <r>
      <rPr>
        <rFont val="Arial"/>
        <color theme="1"/>
        <sz val="8.0"/>
      </rPr>
      <t xml:space="preserve"> invaded plots vs. non-invaded plots in Corsica site</t>
    </r>
  </si>
  <si>
    <r>
      <rPr>
        <rFont val="Arial"/>
        <color theme="1"/>
        <sz val="8.0"/>
      </rPr>
      <t xml:space="preserve">Invasion by </t>
    </r>
    <r>
      <rPr>
        <rFont val="Arial"/>
        <i/>
        <color theme="1"/>
        <sz val="8.0"/>
      </rPr>
      <t>Ailanthus altissima</t>
    </r>
  </si>
  <si>
    <r>
      <rPr>
        <rFont val="Arial"/>
        <color theme="1"/>
        <sz val="8.0"/>
      </rPr>
      <t>Richness in</t>
    </r>
    <r>
      <rPr>
        <rFont val="Arial"/>
        <i/>
        <color theme="1"/>
        <sz val="8.0"/>
      </rPr>
      <t xml:space="preserve"> Ailanthus</t>
    </r>
    <r>
      <rPr>
        <rFont val="Arial"/>
        <color theme="1"/>
        <sz val="8.0"/>
      </rPr>
      <t xml:space="preserve"> invaded plots vs. non-invaded plots in Menorca site</t>
    </r>
  </si>
  <si>
    <r>
      <rPr>
        <rFont val="Arial"/>
        <color theme="1"/>
        <sz val="8.0"/>
      </rPr>
      <t xml:space="preserve">Invasion by </t>
    </r>
    <r>
      <rPr>
        <rFont val="Arial"/>
        <i/>
        <color theme="1"/>
        <sz val="8.0"/>
      </rPr>
      <t>Oxalis pes-caprae</t>
    </r>
  </si>
  <si>
    <r>
      <rPr>
        <rFont val="Arial"/>
        <color theme="1"/>
        <sz val="8.0"/>
      </rPr>
      <t xml:space="preserve">Richness in </t>
    </r>
    <r>
      <rPr>
        <rFont val="Arial"/>
        <i/>
        <color theme="1"/>
        <sz val="8.0"/>
      </rPr>
      <t>Oxalis</t>
    </r>
    <r>
      <rPr>
        <rFont val="Arial"/>
        <color theme="1"/>
        <sz val="8.0"/>
      </rPr>
      <t xml:space="preserve"> invaded plots vs. non-invaded plots in Menorca site</t>
    </r>
  </si>
  <si>
    <r>
      <rPr>
        <rFont val="Arial"/>
        <color theme="1"/>
        <sz val="8.0"/>
      </rPr>
      <t xml:space="preserve">Invasion by </t>
    </r>
    <r>
      <rPr>
        <rFont val="Arial"/>
        <i/>
        <color theme="1"/>
        <sz val="8.0"/>
      </rPr>
      <t>Oxalis pes-caprae</t>
    </r>
  </si>
  <si>
    <r>
      <rPr>
        <rFont val="Arial"/>
        <color theme="1"/>
        <sz val="8.0"/>
      </rPr>
      <t xml:space="preserve">Richness in </t>
    </r>
    <r>
      <rPr>
        <rFont val="Arial"/>
        <i/>
        <color theme="1"/>
        <sz val="8.0"/>
      </rPr>
      <t>Oxalis</t>
    </r>
    <r>
      <rPr>
        <rFont val="Arial"/>
        <color theme="1"/>
        <sz val="8.0"/>
      </rPr>
      <t xml:space="preserve"> invaded plots vs. non-invaded plots in Mallorca site</t>
    </r>
  </si>
  <si>
    <r>
      <rPr>
        <rFont val="Arial"/>
        <color theme="1"/>
        <sz val="8.0"/>
      </rPr>
      <t xml:space="preserve">Invasion by </t>
    </r>
    <r>
      <rPr>
        <rFont val="Arial"/>
        <i/>
        <color theme="1"/>
        <sz val="8.0"/>
      </rPr>
      <t>Carpobrotus spp.</t>
    </r>
  </si>
  <si>
    <r>
      <rPr>
        <rFont val="Arial"/>
        <color theme="1"/>
        <sz val="8.0"/>
      </rPr>
      <t xml:space="preserve">Richness in </t>
    </r>
    <r>
      <rPr>
        <rFont val="Arial"/>
        <i/>
        <color theme="1"/>
        <sz val="8.0"/>
      </rPr>
      <t>Carpobrotus</t>
    </r>
    <r>
      <rPr>
        <rFont val="Arial"/>
        <color theme="1"/>
        <sz val="8.0"/>
      </rPr>
      <t xml:space="preserve"> invaded plots vs. non-invaded plots in Baguad site</t>
    </r>
  </si>
  <si>
    <r>
      <rPr>
        <rFont val="Arial"/>
        <color theme="1"/>
        <sz val="8.0"/>
      </rPr>
      <t xml:space="preserve">Invasion by </t>
    </r>
    <r>
      <rPr>
        <rFont val="Arial"/>
        <i/>
        <color theme="1"/>
        <sz val="8.0"/>
      </rPr>
      <t>Oxalis pes-caprae</t>
    </r>
  </si>
  <si>
    <r>
      <rPr>
        <rFont val="Arial"/>
        <color theme="1"/>
        <sz val="8.0"/>
      </rPr>
      <t>Richness in</t>
    </r>
    <r>
      <rPr>
        <rFont val="Arial"/>
        <i/>
        <color theme="1"/>
        <sz val="8.0"/>
      </rPr>
      <t xml:space="preserve"> Oxalis</t>
    </r>
    <r>
      <rPr>
        <rFont val="Arial"/>
        <color theme="1"/>
        <sz val="8.0"/>
      </rPr>
      <t xml:space="preserve"> invaded plots vs. non-invaded plots in Sardinia site</t>
    </r>
  </si>
  <si>
    <r>
      <rPr>
        <rFont val="Arial"/>
        <color theme="1"/>
        <sz val="8.0"/>
      </rPr>
      <t xml:space="preserve">Invasion by </t>
    </r>
    <r>
      <rPr>
        <rFont val="Arial"/>
        <i/>
        <color theme="1"/>
        <sz val="8.0"/>
      </rPr>
      <t>Oxalis pes-caprae</t>
    </r>
  </si>
  <si>
    <r>
      <rPr>
        <rFont val="Arial"/>
        <color theme="1"/>
        <sz val="8.0"/>
      </rPr>
      <t xml:space="preserve">Richness in </t>
    </r>
    <r>
      <rPr>
        <rFont val="Arial"/>
        <i/>
        <color theme="1"/>
        <sz val="8.0"/>
      </rPr>
      <t>Oxalis</t>
    </r>
    <r>
      <rPr>
        <rFont val="Arial"/>
        <color theme="1"/>
        <sz val="8.0"/>
      </rPr>
      <t xml:space="preserve"> invaded plots vs. non-invaded plots in Lesbos site</t>
    </r>
  </si>
  <si>
    <t>39° 15'N</t>
  </si>
  <si>
    <r>
      <rPr>
        <rFont val="Arial"/>
        <color theme="1"/>
        <sz val="8.0"/>
      </rPr>
      <t xml:space="preserve">Invasion by </t>
    </r>
    <r>
      <rPr>
        <rFont val="Arial"/>
        <i/>
        <color theme="1"/>
        <sz val="8.0"/>
      </rPr>
      <t>Carpobrotus spp.</t>
    </r>
  </si>
  <si>
    <r>
      <rPr>
        <rFont val="Arial"/>
        <color theme="1"/>
        <sz val="8.0"/>
      </rPr>
      <t>Richness in</t>
    </r>
    <r>
      <rPr>
        <rFont val="Arial"/>
        <i/>
        <color theme="1"/>
        <sz val="8.0"/>
      </rPr>
      <t xml:space="preserve"> Carpobrotus</t>
    </r>
    <r>
      <rPr>
        <rFont val="Arial"/>
        <color theme="1"/>
        <sz val="8.0"/>
      </rPr>
      <t xml:space="preserve"> invaded plots vs. non-invaded plots in Crete site</t>
    </r>
  </si>
  <si>
    <t>35° 14'N</t>
  </si>
  <si>
    <r>
      <rPr>
        <rFont val="Arial"/>
        <color theme="1"/>
        <sz val="8.0"/>
      </rPr>
      <t xml:space="preserve">Invasion by </t>
    </r>
    <r>
      <rPr>
        <rFont val="Arial"/>
        <i/>
        <color theme="1"/>
        <sz val="8.0"/>
      </rPr>
      <t>Oxalis pes-caprae</t>
    </r>
  </si>
  <si>
    <r>
      <rPr>
        <rFont val="Arial"/>
        <color theme="1"/>
        <sz val="8.0"/>
      </rPr>
      <t xml:space="preserve">Richness in </t>
    </r>
    <r>
      <rPr>
        <rFont val="Arial"/>
        <i/>
        <color theme="1"/>
        <sz val="8.0"/>
      </rPr>
      <t>Oxalis</t>
    </r>
    <r>
      <rPr>
        <rFont val="Arial"/>
        <color theme="1"/>
        <sz val="8.0"/>
      </rPr>
      <t xml:space="preserve"> invaded plots vs. non-invaded plots in Crete site</t>
    </r>
  </si>
  <si>
    <r>
      <rPr>
        <rFont val="Arial"/>
        <color theme="1"/>
        <sz val="8.0"/>
      </rPr>
      <t xml:space="preserve">Invasion by </t>
    </r>
    <r>
      <rPr>
        <rFont val="Arial"/>
        <i/>
        <color theme="1"/>
        <sz val="8.0"/>
      </rPr>
      <t>Ailanthus altissima</t>
    </r>
  </si>
  <si>
    <r>
      <rPr>
        <rFont val="Arial"/>
        <color theme="1"/>
        <sz val="8.0"/>
      </rPr>
      <t xml:space="preserve">Richness in </t>
    </r>
    <r>
      <rPr>
        <rFont val="Arial"/>
        <i/>
        <color theme="1"/>
        <sz val="8.0"/>
      </rPr>
      <t>Ailanthus</t>
    </r>
    <r>
      <rPr>
        <rFont val="Arial"/>
        <color theme="1"/>
        <sz val="8.0"/>
      </rPr>
      <t xml:space="preserve"> invaded plots vs. non-invaded plots in Crete site</t>
    </r>
  </si>
  <si>
    <t>Villalpondo et al. 2009</t>
  </si>
  <si>
    <t>36°12'N</t>
  </si>
  <si>
    <t>Villalpondo, S.N., R.S. Williams, and R.J. Norby. 2009. Elevated air temperature alters an old-field insect community in a multifactor climate change experiment. Global Change Biology. 15:930-942.</t>
  </si>
  <si>
    <t>Violin et al. 2011</t>
  </si>
  <si>
    <t>Species richness in forested vs. urban sites (avg of summer and winter)</t>
  </si>
  <si>
    <t>35° 45'N</t>
  </si>
  <si>
    <t>Violin, C.R., P. Cada, E.R. Sudduth, B.A. Hassett, D. L. Penrose, and E.S. Bernhardt. 2011. Effects of urbanization and urban stream restoration on the physical and biological structure of stream ecosystems. Ecological Applications 21:1932-1949.</t>
  </si>
  <si>
    <t>Walker et al. 2009</t>
  </si>
  <si>
    <t>Species richness in forested vs. urban site</t>
  </si>
  <si>
    <t>33° 27'N</t>
  </si>
  <si>
    <t>Walker, J.S., N.B. Grimm, J.M. Briggs, C. Gries, and L. Dugan. 2009. Effects of urbanization on plant species diversity in central Arizona. Frontiers in Ecology and the Environment 7:465-470.</t>
  </si>
  <si>
    <t>Species richness in forested vs. agricultural site</t>
  </si>
  <si>
    <t>Wang et al. 2010</t>
  </si>
  <si>
    <t>37° 32'N</t>
  </si>
  <si>
    <t>Wang, C., R. Long, Q. Wang, W. Liu, Z. Jing, and L. Zhang. 2010. Fertilization and litter effects on the functional group biomass, species diversity of plants, microbial biomass, and enxyme activity of two alpine meadow communities. Plant and Soil. 331:377-389.</t>
  </si>
  <si>
    <t>Watling et al. 2011</t>
  </si>
  <si>
    <r>
      <rPr>
        <rFont val="Arial"/>
        <color theme="1"/>
        <sz val="8.0"/>
      </rPr>
      <t xml:space="preserve">Invasion by </t>
    </r>
    <r>
      <rPr>
        <rFont val="Arial"/>
        <i/>
        <color theme="1"/>
        <sz val="8.0"/>
      </rPr>
      <t xml:space="preserve">Lonicera maackii </t>
    </r>
    <r>
      <rPr>
        <rFont val="Arial"/>
        <color theme="1"/>
        <sz val="8.0"/>
      </rPr>
      <t>(Amur honeysuckle)</t>
    </r>
  </si>
  <si>
    <t>Amphibian richness in invaded vs. non-invaded plots</t>
  </si>
  <si>
    <t>Watling, J.I., C.R. Hickman, and J.L. Orrock. 2011. Invasive shrub alters native forest amphibian communities. Biological Conservation 144(11):2597-2601</t>
  </si>
  <si>
    <t>White et al. 2000</t>
  </si>
  <si>
    <t>Species richness in average of 3 sites</t>
  </si>
  <si>
    <t>37°59'S</t>
  </si>
  <si>
    <t>White, T.A., B.D. Campbell, P.D. Kemp, and C.L. Hunt. 2000. Sensitivity of three grassland communities to simulated extreme temperature and rainfall events. Global Change Biology. 6:671-684</t>
  </si>
  <si>
    <t>Wickham et al. 2004</t>
  </si>
  <si>
    <t>Species richness in average of 2 sites in late spring</t>
  </si>
  <si>
    <t>59° 50'N</t>
  </si>
  <si>
    <t>Wickham, S.A., S. Nagel, and H. Hillebrand. 2004. Control of epibenthic ciliate communities by grazers and nutrients. Aquatic Microbial Ecology. 35:153-162</t>
  </si>
  <si>
    <t>Wimp et al. 2010</t>
  </si>
  <si>
    <t>Arthropod species richness at last sampling date (avg of two intensities)</t>
  </si>
  <si>
    <t>39° 30'N</t>
  </si>
  <si>
    <t xml:space="preserve">Wimp, G.M., S.M. Murphy, D.L. Finke, A.F. Huberty, and R.F. Denno. 2010. Increased primary productivity shifts the stucture and composition of a terrestrial arthropod community. Ecology 91(11):3303-3311. </t>
  </si>
  <si>
    <t>With and Pavuk 2012</t>
  </si>
  <si>
    <t>Microarthropod species richness in clumped vs. fragmented plots</t>
  </si>
  <si>
    <t>41° 22'N</t>
  </si>
  <si>
    <t>With, K.A., and D.M. Pavuk. 2012. Direct versus indirect effects of habitat fragmentation on community patterns in experimental landscapes. Oecologia 170:517-528.</t>
  </si>
  <si>
    <t>Xu et al. 2009</t>
  </si>
  <si>
    <t>Collembola species richness (average of all soil depths)</t>
  </si>
  <si>
    <t xml:space="preserve">Xu, G.L., P. Schleppi, M.H. Li, and S.L. Fei. 2009. Negative responses of Collembola in a forest soil (Alptal, Switzerland) under experimentally increased N deposition. Environmental Pollution 157:2030-2036. </t>
  </si>
  <si>
    <t>Xu et al. 2012</t>
  </si>
  <si>
    <t>Collembola genera richness in ambient vs. warmed treatments (avg. of 2 soil types)</t>
  </si>
  <si>
    <t>47°21'N</t>
  </si>
  <si>
    <t>Xu, G.L., T.M. Kuster, M.S. Gunthardt-Goerg, M. Dobbertin, and M.H. Li. 2012. Seasonal exposure to drought and air warming affects soil collembola and mites. PLoS One 7(8):e43102.</t>
  </si>
  <si>
    <t>Yang et al. 2011</t>
  </si>
  <si>
    <t>42°02'N</t>
  </si>
  <si>
    <t>Yang, H., M. Wu, W. Liu, Z. Zhang, N. Zhang, and S. Wan. 2011. Community structure and composition in response to climate change in a temperate steppe. Global Change Biology. 17:452-465.</t>
  </si>
  <si>
    <t>Zartman, 2003</t>
  </si>
  <si>
    <t>Bryophyte species richness (average of 3 fragmentation intensities)</t>
  </si>
  <si>
    <t>Zartman, C.E. 2003. Habitat fragmentation impacts on epiphyllous bryophyte communities in central amazonia. Ecology 84(4):948-954.</t>
  </si>
  <si>
    <t>Zaviezo et al. 2006</t>
  </si>
  <si>
    <t>Species richness of microarthropods (average of fragment treatments) in last week of experiment</t>
  </si>
  <si>
    <t>Zaviezo, T., A.A. Grez, C.F. Estades, and A. Perez. 2006. Effects of habitat loss, habitat fragmentation, and isolation on the density, species richness, and distribution of ladybeetles in manipulated alfalfa landscapes. Ecological Entomology 31:646-656.</t>
  </si>
  <si>
    <t>Zuefle et al. 2008</t>
  </si>
  <si>
    <t xml:space="preserve">Invasion by non-native plant species </t>
  </si>
  <si>
    <t>Insect species richness for both years combined for native plants vs. non-native congener and alien species</t>
  </si>
  <si>
    <t>38° 54'N</t>
  </si>
  <si>
    <t>Zuefle, M.E., W.P. Brown, and D. W. Tallamy. 2008. Effects of non-native plants on the native insect community of Delaware. Biological Invasions. 10:1159-1169.</t>
  </si>
  <si>
    <t>"</t>
  </si>
  <si>
    <t>titles</t>
  </si>
  <si>
    <t>DOI</t>
  </si>
  <si>
    <t>Query string</t>
  </si>
  <si>
    <t>Soil biota can change after exotic plant invasion: does this affect ecosystem processes</t>
  </si>
  <si>
    <t>"Soil biota can change after exotic plant invasion: does this affect ecosystem processes"</t>
  </si>
  <si>
    <t>Harvestmen in an Atlantic forest fragmented landscape: Evaluating assemblage response to habitat quality</t>
  </si>
  <si>
    <t>"Harvestmen in an Atlantic forest fragmented landscape: Evaluating assemblage response to habitat quality"</t>
  </si>
  <si>
    <t>Impact of logging and plantation development on species diversity: a case study from Sumatra</t>
  </si>
  <si>
    <t>"Impact of logging and plantation development on species diversity: a case study from Sumatra"</t>
  </si>
  <si>
    <t>Do birds and beetles show similar responses to urbanization</t>
  </si>
  <si>
    <t>"Do birds and beetles show similar responses to urbanization"</t>
  </si>
  <si>
    <t>Increased frequency of drought reduces species richness of enchytraeid communities in both wet and dry heathland soils</t>
  </si>
  <si>
    <t>"Increased frequency of drought reduces species richness of enchytraeid communities in both wet and dry heathland soils"</t>
  </si>
  <si>
    <t>Replacement of littoral native vegetation with the ponded pasture grass Hymenachne amplexicaulis: effects on plant, macroinvertebrate and fish biodiversity of backwaters in the Fitzroy River</t>
  </si>
  <si>
    <t>"Replacement of littoral native vegetation with the ponded pasture grass Hymenachne amplexicaulis: effects on plant, macroinvertebrate and fish biodiversity of backwaters in the Fitzroy River"</t>
  </si>
  <si>
    <t>Species richness of moss-landscapes unaffected by short-term fragmentation</t>
  </si>
  <si>
    <t>"Species richness of moss-landscapes unaffected by short-term fragmentation"</t>
  </si>
  <si>
    <t>10.1080/17451000802232874</t>
  </si>
  <si>
    <t>Is there a relationship between herbaceous species richness and buffel grass (Cenchrus ciliaris)</t>
  </si>
  <si>
    <t>"Is there a relationship between herbaceous species richness and buffel grass (Cenchrus ciliaris)"</t>
  </si>
  <si>
    <t>A comparison of the diversity and structure of butterfly communities in semi-natural and human-modified grassland habitats at the foot of Mt. Fuji, central Japan</t>
  </si>
  <si>
    <t>"A comparison of the diversity and structure of butterfly communities in semi-natural and human-modified grassland habitats at the foot of Mt. Fuji, central Japan"</t>
  </si>
  <si>
    <t>Does tropical forest fragmentation increase long-term variability of butterfly communities</t>
  </si>
  <si>
    <t>"Does tropical forest fragmentation increase long-term variability of butterfly communities"</t>
  </si>
  <si>
    <t>Responses of primary productivity to increased temperature and phytoplankton diversity</t>
  </si>
  <si>
    <t>"Responses of primary productivity to increased temperature and phytoplankton diversity"</t>
  </si>
  <si>
    <t>Does urbanization decrease diversity in ground beetle assemblages</t>
  </si>
  <si>
    <t>"Does urbanization decrease diversity in ground beetle assemblages"</t>
  </si>
  <si>
    <t>Invasion of the Portuguese dune ecosystems by the exotic species Acacia longifolia (Andrews) Willd: effects at the community level</t>
  </si>
  <si>
    <t>"Invasion of the Portuguese dune ecosystems by the exotic species Acacia longifolia (Andrews) Willd: effects at the community level"</t>
  </si>
  <si>
    <t>An introducer predator alters Aluetian Island plant communities by thwarting nutrient subsidies</t>
  </si>
  <si>
    <t>"An introducer predator alters Aluetian Island plant communities by thwarting nutrient subsidies"</t>
  </si>
  <si>
    <t>How important is climate? Effects of warming, nutrient, and  fish on phytoplankton in shallow lake microcosms</t>
  </si>
  <si>
    <t>"How important is climate? Effects of warming, nutrient, and fish on phytoplankton in shallow lake microcosms"</t>
  </si>
  <si>
    <t>Assessing bee species richness in two Mediterranean communities: importance of habitat type and sampling techniques</t>
  </si>
  <si>
    <t>"Assessing bee species richness in two Mediterranean communities: importance of habitat type and sampling techniques"</t>
  </si>
  <si>
    <t>Effects of habitat fragmentation and degradation on flocks of African ant-following birds</t>
  </si>
  <si>
    <t>"Effects of habitat fragmentation and degradation on flocks of African ant-following birds"</t>
  </si>
  <si>
    <t>Conversion of the Amazon rainforest to agriculture results in biotic homogenization of soil bacterial communities</t>
  </si>
  <si>
    <t>"Conversion of the Amazon rainforest to agriculture results in biotic homogenization of soil bacterial communities"</t>
  </si>
  <si>
    <t>Do nutrients and invertebrate herbivory interact in a artificial plant community</t>
  </si>
  <si>
    <t>"Do nutrients and invertebrate herbivory interact in a artificial plant community"</t>
  </si>
  <si>
    <t>Are soil mite assemblages structured by the identity of native and invasive alien grasses</t>
  </si>
  <si>
    <t>"Are soil mite assemblages structured by the identity of native and invasive alien grasses"</t>
  </si>
  <si>
    <t>Size-dependant impacts of invasive alien crayfish on a littoral marsh community</t>
  </si>
  <si>
    <t>"Size-dependant impacts of invasive alien crayfish on a littoral marsh community"</t>
  </si>
  <si>
    <t>Bird diversity in cacao farms and forest fragments of western Panama</t>
  </si>
  <si>
    <t>"Bird diversity in cacao farms and forest fragments of western Panama"</t>
  </si>
  <si>
    <t>Zebra mussel colonisation of soft sediments facilitates invertebrate communities</t>
  </si>
  <si>
    <t>"Zebra mussel colonisation of soft sediments facilitates invertebrate communities"</t>
  </si>
  <si>
    <t>Willow (Salix x rubens) invasion of the riparian zone in south-eastern Australia: reduced abundance and altered composition of terrestrial arthropods</t>
  </si>
  <si>
    <t>"Willow (Salix x rubens) invasion of the riparian zone in south-eastern Australia: reduced abundance and altered composition of terrestrial arthropods"</t>
  </si>
  <si>
    <r>
      <rPr>
        <rFont val="Arial"/>
        <color theme="1"/>
        <sz val="8.0"/>
      </rPr>
      <t xml:space="preserve">Hedja, M. and P. Pysek. 2006. What is the impact of </t>
    </r>
    <r>
      <rPr>
        <rFont val="Arial"/>
        <i/>
        <color theme="1"/>
        <sz val="8.0"/>
      </rPr>
      <t>Impatiens glandulifera</t>
    </r>
    <r>
      <rPr>
        <rFont val="Arial"/>
        <color theme="1"/>
        <sz val="8.0"/>
      </rPr>
      <t xml:space="preserve"> on species diversity of invaded riparian vegetation. Biological Conservation 132(2):143-152.</t>
    </r>
  </si>
  <si>
    <t>What is the impact of Impatiens glandulifera on species diversity of invaded riparian vegetation</t>
  </si>
  <si>
    <t>"What is the impact of Impatiens glandulifera on species diversity of invaded riparian vegetation"</t>
  </si>
  <si>
    <t>Warming reduces the growth and diversity of biological soil crusts in a semi-aric environment: implications for ecosystem structure and functioning</t>
  </si>
  <si>
    <t>"Warming reduces the growth and diversity of biological soil crusts in a semi-aric environment: implications for ecosystem structure and functioning"</t>
  </si>
  <si>
    <t>Variation in the response of crustacean zooplankton species richness and composition to the invasive predator Bythotrephes longimanus</t>
  </si>
  <si>
    <t>"Variation in the response of crustacean zooplankton species richness and composition to the invasive predator Bythotrephes longimanus"</t>
  </si>
  <si>
    <t>Variable sensitivity of plant communities in Iceland to experimental warming</t>
  </si>
  <si>
    <t>"Variable sensitivity of plant communities in Iceland to experimental warming"</t>
  </si>
  <si>
    <t>Variable bottom-up and top-down effects on diversity of different prey assemblages in an estuarine saltimarsh</t>
  </si>
  <si>
    <t>"Variable bottom-up and top-down effects on diversity of different prey assemblages in an estuarine saltimarsh"</t>
  </si>
  <si>
    <t>Using plant functional types to compare vegetation structure of alien-invaded and uninvaded Acacia nilotica savannas</t>
  </si>
  <si>
    <t>"Using plant functional types to compare vegetation structure of alien-invaded and uninvaded Acacia nilotica savannas"</t>
  </si>
  <si>
    <t>Urbanization and wetland communities: applying metacommunitiy theory to understand the local and landscape effects</t>
  </si>
  <si>
    <t>"Urbanization and wetland communities: applying metacommunitiy theory to understand the local and landscape effects"</t>
  </si>
  <si>
    <t>Understanding the biodiversity consequences of habitat change: the value of secondary and plantation forests for neotropical dung beetles</t>
  </si>
  <si>
    <t>"Understanding the biodiversity consequences of habitat change: the value of secondary and plantation forests for neotropical dung beetles"</t>
  </si>
  <si>
    <t>Tree seedling dynamics in two abandoned tropical dry forests of differing successional status in Yucaton, Mexico: A field experiment with N and P fertilization</t>
  </si>
  <si>
    <t>"Tree seedling dynamics in two abandoned tropical dry forests of differing successional status in Yucaton, Mexico: A field experiment with N and P fertilization"</t>
  </si>
  <si>
    <t>Tree invasion in naturally treeless environments: Impacts of quinine (Cinchona pubescans) trees on native vegetation in Galapagos</t>
  </si>
  <si>
    <t>"Tree invasion in naturally treeless environments: Impacts of quinine (Cinchona pubescans) trees on native vegetation in Galapagos"</t>
  </si>
  <si>
    <t>Tree invasion in managed tropical forests facilitates endemic species</t>
  </si>
  <si>
    <t>"Tree invasion in managed tropical forests facilitates endemic species"</t>
  </si>
  <si>
    <t>Traits explain community disassembly and trophic contraction following experimental environmental change</t>
  </si>
  <si>
    <t>"Traits explain community disassembly and trophic contraction following experimental environmental change"</t>
  </si>
  <si>
    <t>The relative role of dispersal and local interactions for alpine plant community diversity under simluated climate warming</t>
  </si>
  <si>
    <t>"The relative role of dispersal and local interactions for alpine plant community diversity under simluated climate warming"</t>
  </si>
  <si>
    <t>The importance of tropical rainforest fragments to the conservation of plant species diversity in Los Tuxtlas, Mexico</t>
  </si>
  <si>
    <t>"The importance of tropical rainforest fragments to the conservation of plant species diversity in Los Tuxtlas, Mexico"</t>
  </si>
  <si>
    <t>The impacts of forest clearance on lizard, small mammal, and bird communities in the arid spiny forest, souther Madagascar</t>
  </si>
  <si>
    <t>"The impacts of forest clearance on lizard, small mammal, and bird communities in the arid spiny forest, souther Madagascar"</t>
  </si>
  <si>
    <t>The impact of the weed Chrysanthemoides monilifera ssp. rotundata on coastal leaf litter invertebrates</t>
  </si>
  <si>
    <t>"The impact of the weed Chrysanthemoides monilifera ssp. rotundata on coastal leaf litter invertebrates"</t>
  </si>
  <si>
    <t>The impact of the invasive alien grass Cortaderia jubata (Lemoine) Stapf on an endangered mediterranean-type shrubland in California</t>
  </si>
  <si>
    <t>"The impact of the invasive alien grass Cortaderia jubata (Lemoine) Stapf on an endangered mediterranean-type shrubland in California"</t>
  </si>
  <si>
    <t>The impact of land-use change on larval insect communities: Testing the role of habitat elements in conservation</t>
  </si>
  <si>
    <t>"The impact of land-use change on larval insect communities: Testing the role of habitat elements in conservation"</t>
  </si>
  <si>
    <t>The effet of eelgrass habitat loss on estuarine fish communities of Southern New England</t>
  </si>
  <si>
    <t>"The effet of eelgrass habitat loss on estuarine fish communities of Southern New England"</t>
  </si>
  <si>
    <t>The effects of land-use change on arthropod richness and abundance on Santa Maria Island (Azores): unmanaged plantations favour endemic beetles</t>
  </si>
  <si>
    <t>"The effects of land-use change on arthropod richness and abundance on Santa Maria Island (Azores): unmanaged plantations favour endemic beetles"</t>
  </si>
  <si>
    <t>Testing the effects of an introduced palm on a riparian invertebrate community in Southern California</t>
  </si>
  <si>
    <t>"Testing the effects of an introduced palm on a riparian invertebrate community in Southern California"</t>
  </si>
  <si>
    <t>Temperature- and moisture induced changes in the structure of the nematode fauna of a semiarid grassland --patterns and mechanisms</t>
  </si>
  <si>
    <t>"Temperature- and moisture induced changes in the structure of the nematode fauna of a semiarid grassland --patterns and mechanisms"</t>
  </si>
  <si>
    <t>Temperature mediates competitive exclusion and diversity in benthic microalgae under different N:P stoichiometry</t>
  </si>
  <si>
    <t>"Temperature mediates competitive exclusion and diversity in benthic microalgae under different N:P stoichiometry"</t>
  </si>
  <si>
    <t>Strengthened insectivory in a temperate fragmented forest</t>
  </si>
  <si>
    <t>"Strengthened insectivory in a temperate fragmented forest"</t>
  </si>
  <si>
    <t>Species richness in a successional grassland: Effects of nitrogen enrichment and plant litter</t>
  </si>
  <si>
    <t>"Species richness in a successional grassland: Effects of nitrogen enrichment and plant litter"</t>
  </si>
  <si>
    <t>Species richness and food web structure of soil decomposer community as affected by the size of habitat fragment and habitat corridors</t>
  </si>
  <si>
    <t>"Species richness and food web structure of soil decomposer community as affected by the size of habitat fragment and habitat corridors"</t>
  </si>
  <si>
    <t>Species groups occupying different trophic levels respond differently to the invasion of semi-natural vegetation by Solidago canadensis</t>
  </si>
  <si>
    <t>"Species groups occupying different trophic levels respond differently to the invasion of semi-natural vegetation by Solidago canadensis"</t>
  </si>
  <si>
    <t>Soil nematode community structure as affected by temperature and moisture in a temperate semiarid shrubland</t>
  </si>
  <si>
    <t>"Soil nematode community structure as affected by temperature and moisture in a temperate semiarid shrubland"</t>
  </si>
  <si>
    <t>Small-sized fish assemblages do not differ between a native and a recently established non-indigenous macrophyte in a neotropical ecosystem</t>
  </si>
  <si>
    <t>"Small-sized fish assemblages do not differ between a native and a recently established non-indigenous macrophyte in a neotropical ecosystem"</t>
  </si>
  <si>
    <t>Small-scale experimental habitat fragmentation reduces colonization rates in species-rich grasslands</t>
  </si>
  <si>
    <t>"Small-scale experimental habitat fragmentation reduces colonization rates in species-rich grasslands"</t>
  </si>
  <si>
    <t>Small mammals in a mosaic of forest remnants and anthropogenic habitats--evaluating matrix quality in an Atlantic forest landscape</t>
  </si>
  <si>
    <t>"Small mammals in a mosaic of forest remnants and anthropogenic habitats--evaluating matrix quality in an Atlantic forest landscape"</t>
  </si>
  <si>
    <t>Simulated climate change altered dominance hierarchies and diversity of an apline biodiversity hotspot</t>
  </si>
  <si>
    <t>"Simulated climate change altered dominance hierarchies and diversity of an apline biodiversity hotspot"</t>
  </si>
  <si>
    <t>Sensitivity of three grassland communities to simulated extreme temperature and rainfall events</t>
  </si>
  <si>
    <t>"Sensitivity of three grassland communities to simulated extreme temperature and rainfall events"</t>
  </si>
  <si>
    <t>Sediment diatom species and community response to nitrogen addition in Oregon (USA) estuarine tidal wetlands</t>
  </si>
  <si>
    <t>"Sediment diatom species and community response to nitrogen addition in Oregon (USA) estuarine tidal wetlands"</t>
  </si>
  <si>
    <t>Seasonal exposure to drought and air warming affects soil collembola and mites</t>
  </si>
  <si>
    <t>"Seasonal exposure to drought and air warming affects soil collembola and mites"</t>
  </si>
  <si>
    <t>Seagrass habitat disturbance: how loss and fragmentation of eelgrass Zostera marina influences epifaunal abundance and diversity</t>
  </si>
  <si>
    <t>"Seagrass habitat disturbance: how loss and fragmentation of eelgrass Zostera marina influences epifaunal abundance and diversity"</t>
  </si>
  <si>
    <t>Richness and species composition of arboreal arthropods affected by nutrients and predators: a press experiment</t>
  </si>
  <si>
    <t>"Richness and species composition of arboreal arthropods affected by nutrients and predators: a press experiment"</t>
  </si>
  <si>
    <t>Responses of a subarctic dwarf shrub heath community to simulated environmental change</t>
  </si>
  <si>
    <t>"Responses of a subarctic dwarf shrub heath community to simulated environmental change"</t>
  </si>
  <si>
    <t>Response of termite community and wood decomposition rates to habitat fragmentation in a subtropical dry forest</t>
  </si>
  <si>
    <t>"Response of termite community and wood decomposition rates to habitat fragmentation in a subtropical dry forest"</t>
  </si>
  <si>
    <t>Relationship between the presence of House Sparrows (Passer domesticus) and Neotropical bird community structure and diversity</t>
  </si>
  <si>
    <t>"Relationship between the presence of House Sparrows (Passer domesticus) and Neotropical bird community structure and diversity"</t>
  </si>
  <si>
    <t>Relationship between the abundance of Lythrum salicaria (purple loosestrife) and plant species richness along the Bar River, Canada</t>
  </si>
  <si>
    <t>"Relationship between the abundance of Lythrum salicaria (purple loosestrife) and plant species richness along the Bar River, Canada"</t>
  </si>
  <si>
    <t>Relationship between scotch broom, soil nutrients, and plant diversity in the Garry oak savannah ecosystem</t>
  </si>
  <si>
    <t>"Relationship between scotch broom, soil nutrients, and plant diversity in the Garry oak savannah ecosystem"</t>
  </si>
  <si>
    <t>Relating microarthropod community structure and diversity to soil fertility manipulations in temperate grassland</t>
  </si>
  <si>
    <t>"Relating microarthropod community structure and diversity to soil fertility manipulations in temperate grassland"</t>
  </si>
  <si>
    <t>Refugia and local controls: Benthic invertebrate dynamics in lower Green Bay, Lake Michigan following zebra mussel invasion</t>
  </si>
  <si>
    <t>"Refugia and local controls: Benthic invertebrate dynamics in lower Green Bay, Lake Michigan following zebra mussel invasion"</t>
  </si>
  <si>
    <t>Reduction of riparian arthropod abundance and diversity as a consequence of giant reed (Arundo donax) invasion</t>
  </si>
  <si>
    <t>"Reduction of riparian arthropod abundance and diversity as a consequence of giant reed (Arundo donax) invasion"</t>
  </si>
  <si>
    <t>Rapid recovery of dung beetle communities following habitat fragmentation in Central Amazonia</t>
  </si>
  <si>
    <t>"Rapid recovery of dung beetle communities following habitat fragmentation in Central Amazonia"</t>
  </si>
  <si>
    <t>Predicted levels of future ocean acidification and temperature rise could alter community structure and biodiversity in marine benthic communities</t>
  </si>
  <si>
    <t>"Predicted levels of future ocean acidification and temperature rise could alter community structure and biodiversity in marine benthic communities"</t>
  </si>
  <si>
    <t>Plant species richness, productivitiy, and nitrogen and phosphorus limitations across a snowpack gradient in Alpine Tundra, Colorado, USA</t>
  </si>
  <si>
    <t>"Plant species richness, productivitiy, and nitrogen and phosphorus limitations across a snowpack gradient in Alpine Tundra, Colorado, USA"</t>
  </si>
  <si>
    <t>Plant invasion impacts on arthropod abundance, diversity and feeding consistent across environmental and geographic gradients</t>
  </si>
  <si>
    <t>"Plant invasion impacts on arthropod abundance, diversity and feeding consistent across environmental and geographic gradients"</t>
  </si>
  <si>
    <t>Plant diversity and insect herbivores: effects of environmental change in contrasting model systems</t>
  </si>
  <si>
    <t>"Plant diversity and insect herbivores: effects of environmental change in contrasting model systems"</t>
  </si>
  <si>
    <t>Plant communities and the reproductive success of native plants after the invasion of an ornamental herb</t>
  </si>
  <si>
    <t>"Plant communities and the reproductive success of native plants after the invasion of an ornamental herb"</t>
  </si>
  <si>
    <t>Physical and biological disturbances interact differently with productivity: effects on floral and faunal richness. 2010</t>
  </si>
  <si>
    <t>"Physical and biological disturbances interact differently with productivity: effects on floral and faunal richness. 2010"</t>
  </si>
  <si>
    <t>Patterns in fish assemblages 25 years after major seagrass loss</t>
  </si>
  <si>
    <t>"Patterns in fish assemblages 25 years after major seagrass loss"</t>
  </si>
  <si>
    <t>Nutrient effects on seagrass epiphyte community structure in Florida Bay</t>
  </si>
  <si>
    <t>"Nutrient effects on seagrass epiphyte community structure in Florida Bay"</t>
  </si>
  <si>
    <t>Norway Maple (Acer platanoides) invasion of a natural forest stand: understory consequence and regeneration pattern</t>
  </si>
  <si>
    <t>"Norway Maple (Acer platanoides) invasion of a natural forest stand: understory consequence and regeneration pattern"</t>
  </si>
  <si>
    <t>Non-native grass invasion alters native plant composition in experimental communities</t>
  </si>
  <si>
    <t>"Non-native grass invasion alters native plant composition in experimental communities"</t>
  </si>
  <si>
    <t>Non-flying mammals and landscape changes in the tropical rainforest region of Los Tuxtlas, Mexico</t>
  </si>
  <si>
    <t>"Non-flying mammals and landscape changes in the tropical rainforest region of Los Tuxtlas, Mexico"</t>
  </si>
  <si>
    <t>Nitrogen availability alters macrofungal basidiomycete community structure in optimally fertilized loblolly pine forests</t>
  </si>
  <si>
    <t>"Nitrogen availability alters macrofungal basidiomycete community structure in optimally fertilized loblolly pine forests"</t>
  </si>
  <si>
    <t>Negative responses of Collembola in a forest soil (Alptal, Switzerland) under experimentally increased N deposition</t>
  </si>
  <si>
    <t>"Negative responses of Collembola in a forest soil (Alptal, Switzerland) under experimentally increased N deposition"</t>
  </si>
  <si>
    <t>Native plant community composition and genetic diversity associated with long-term weed invasions</t>
  </si>
  <si>
    <t>"Native plant community composition and genetic diversity associated with long-term weed invasions"</t>
  </si>
  <si>
    <t>Native fish and anuran assemblages differ between impoundments with and without non-native centrarchids and bullfrogs</t>
  </si>
  <si>
    <t>"Native fish and anuran assemblages differ between impoundments with and without non-native centrarchids and bullfrogs"</t>
  </si>
  <si>
    <t>Native and invasive plant interactions in wetlands and the minimal role of invasiveness</t>
  </si>
  <si>
    <t>"Native and invasive plant interactions in wetlands and the minimal role of invasiveness"</t>
  </si>
  <si>
    <t>Multiple stressors in agricultural streams: a mesocosm study of interactions among raised water temperature, sediment addition, and nutrient enrichment</t>
  </si>
  <si>
    <t>"Multiple stressors in agricultural streams: a mesocosm study of interactions among raised water temperature, sediment addition, and nutrient enrichment"</t>
  </si>
  <si>
    <t>Multi-scale impacts of crested wheatgrass invasion in mixed-grass prairie</t>
  </si>
  <si>
    <t>"Multi-scale impacts of crested wheatgrass invasion in mixed-grass prairie"</t>
  </si>
  <si>
    <t>Mixed effects of habitat fragmentation on species richness and community structure in a microarthropod microecosystem</t>
  </si>
  <si>
    <t>"Mixed effects of habitat fragmentation on species richness and community structure in a microarthropod microecosystem"</t>
  </si>
  <si>
    <t>Marine microbenthic community structure regulated by nitrogen loading and grazing pressure</t>
  </si>
  <si>
    <t>"Marine microbenthic community structure regulated by nitrogen loading and grazing pressure"</t>
  </si>
  <si>
    <t>Macrozooplankter responses to simulated climate warming in experimental freshwater microcosms</t>
  </si>
  <si>
    <t>"Macrozooplankter responses to simulated climate warming in experimental freshwater microcosms"</t>
  </si>
  <si>
    <t>Macroinvertebrate diversity in fragmented alpine streams: implications for freshwater conservation</t>
  </si>
  <si>
    <t>"Macroinvertebrate diversity in fragmented alpine streams: implications for freshwater conservation"</t>
  </si>
  <si>
    <t>Long-tern assessment of the effect of introduced predatory fish on minnow diversity in a regional protected area</t>
  </si>
  <si>
    <t>"Long-tern assessment of the effect of introduced predatory fish on minnow diversity in a regional protected area"</t>
  </si>
  <si>
    <t>Long-term nitrogen addition leads to loss of species richness due to litter accumulation and soil acidification in a temperate steppe</t>
  </si>
  <si>
    <t>"Long-term nitrogen addition leads to loss of species richness due to litter accumulation and soil acidification in a temperate steppe"</t>
  </si>
  <si>
    <t>Long-term ecosystem impacts of an introduced grass in the northern Great Plains</t>
  </si>
  <si>
    <t>"Long-term ecosystem impacts of an introduced grass in the northern Great Plains"</t>
  </si>
  <si>
    <t>Long term effects of forest fragmentation on Amazonian ant communities</t>
  </si>
  <si>
    <t>"Long term effects of forest fragmentation on Amazonian ant communities"</t>
  </si>
  <si>
    <t>Local and regional assessments of the impacts of plant invaders on vegetations structure and soil properties of Mediterranean islands</t>
  </si>
  <si>
    <t>"Local and regional assessments of the impacts of plant invaders on vegetations structure and soil properties of Mediterranean islands"</t>
  </si>
  <si>
    <t>Invasive shrub alters native forest amphibian communities</t>
  </si>
  <si>
    <t>"Invasive shrub alters native forest amphibian communities"</t>
  </si>
  <si>
    <t>Invasive Salix fragilis alters benthic invertebrate communities and litter decomposition in northern Patagonian streams</t>
  </si>
  <si>
    <t>"Invasive Salix fragilis alters benthic invertebrate communities and litter decomposition in northern Patagonian streams"</t>
  </si>
  <si>
    <t>Invasive alien goldenrods negatively affect grassland bird communities in Eastern Europe</t>
  </si>
  <si>
    <t>"Invasive alien goldenrods negatively affect grassland bird communities in Eastern Europe"</t>
  </si>
  <si>
    <t>Invasion of Heracleum mantegazzianum in different habitats in the Czech Republic</t>
  </si>
  <si>
    <t>"Invasion of Heracleum mantegazzianum in different habitats in the Czech Republic"</t>
  </si>
  <si>
    <t>Invasion of alien macroalgae in different Mediterranean habitats</t>
  </si>
  <si>
    <t>"Invasion of alien macroalgae in different Mediterranean habitats"</t>
  </si>
  <si>
    <t>Invasion and management of alien Hedychium gardnerianum alter plant species composition of a montane rainforest on the island of Hawai'i</t>
  </si>
  <si>
    <t>"Invasion and management of alien Hedychium gardnerianum alter plant species composition of a montane rainforest on the island of Hawai'i"</t>
  </si>
  <si>
    <t>Interactive effects of nitrogen deposition, fire and grazing on diversity and composition of low-alpine prostrate Calluna vulgaris heathland</t>
  </si>
  <si>
    <t>"Interactive effects of nitrogen deposition, fire and grazing on diversity and composition of low-alpine prostrate Calluna vulgaris heathland"</t>
  </si>
  <si>
    <t>Insect diversity responses to forest conversion and agroforestry management</t>
  </si>
  <si>
    <t>"Insect diversity responses to forest conversion and agroforestry management"</t>
  </si>
  <si>
    <t>Influence of the invasive herb garlic mustard (Alliaria petiolata) on ground beetle (Coleoptera: Carabidae) assemblages</t>
  </si>
  <si>
    <t>"Influence of the invasive herb garlic mustard (Alliaria petiolata) on ground beetle (Coleoptera: Carabidae) assemblages"</t>
  </si>
  <si>
    <t>Influence of habitat fragmentation and crop system on columbia basin shrubsteppe communities</t>
  </si>
  <si>
    <t>"Influence of habitat fragmentation and crop system on columbia basin shrubsteppe communities"</t>
  </si>
  <si>
    <t>Increased primary productivity shifts the stucture and composition of a terrestrial arthropod community</t>
  </si>
  <si>
    <t>"Increased primary productivity shifts the stucture and composition of a terrestrial arthropod community"</t>
  </si>
  <si>
    <t>Impacts of an invasive willow on riparian bird assemblages in south-eastern Australia</t>
  </si>
  <si>
    <t>"Impacts of an invasive willow on riparian bird assemblages in south-eastern Australia"</t>
  </si>
  <si>
    <t>Impacts of a woody invader vary in different vegetation communities</t>
  </si>
  <si>
    <t>"Impacts of a woody invader vary in different vegetation communities"</t>
  </si>
  <si>
    <t>Impacts of a simulated heat wave on composition of a marine community</t>
  </si>
  <si>
    <t>"Impacts of a simulated heat wave on composition of a marine community"</t>
  </si>
  <si>
    <t>Impact of resource availability on species composition and diversity in freshwater nematodes</t>
  </si>
  <si>
    <t>"Impact of resource availability on species composition and diversity in freshwater nematodes"</t>
  </si>
  <si>
    <t>Impact of Prunus serotina invasion on understory functional diversity in a European temperate forest</t>
  </si>
  <si>
    <t>"Impact of Prunus serotina invasion on understory functional diversity in a European temperate forest"</t>
  </si>
  <si>
    <r>
      <rPr>
        <rFont val="Arial"/>
        <color theme="1"/>
        <sz val="8.0"/>
      </rPr>
      <t xml:space="preserve">Timsini, B., B.B. Shrestha, M.B. Rokaya, and Z. Munzbergova. 2011. Impact of </t>
    </r>
    <r>
      <rPr>
        <rFont val="Arial"/>
        <i/>
        <color theme="1"/>
        <sz val="8.0"/>
      </rPr>
      <t>Parthenium hysterophorus</t>
    </r>
    <r>
      <rPr>
        <rFont val="Arial"/>
        <color theme="1"/>
        <sz val="8.0"/>
      </rPr>
      <t xml:space="preserve"> L. invasion on plant species composition and soil properties of grassland  communities in Nepal. Flora 206:233-240. </t>
    </r>
  </si>
  <si>
    <t>Impact of Parthenium hysterophorus L. invasion on plant species composition and soil properties of grassland  communities in Nepal</t>
  </si>
  <si>
    <t>"Impact of Parthenium hysterophorus L. invasion on plant species composition and soil properties of grassland communities in Nepal"</t>
  </si>
  <si>
    <t>Impact of invasive plants on the species richness, diversity, and composition of invaded communities</t>
  </si>
  <si>
    <t>"Impact of invasive plants on the species richness, diversity, and composition of invaded communities"</t>
  </si>
  <si>
    <t>Impact of forest fragmentation on understorey plant species richness in Amazonia</t>
  </si>
  <si>
    <t>"Impact of forest fragmentation on understorey plant species richness in Amazonia"</t>
  </si>
  <si>
    <t>Immigration and zooplankton community responses to nutrient enrichment: a mesocosm experiment</t>
  </si>
  <si>
    <t>"Immigration and zooplankton community responses to nutrient enrichment: a mesocosm experiment"</t>
  </si>
  <si>
    <t>How deforestation pattern in the Amazon influences vertebrate richness and community composition</t>
  </si>
  <si>
    <t>"How deforestation pattern in the Amazon influences vertebrate richness and community composition"</t>
  </si>
  <si>
    <r>
      <rPr>
        <rFont val="Arial"/>
        <color theme="1"/>
        <sz val="8.0"/>
      </rPr>
      <t xml:space="preserve">Drouin A., C.W. McKindsey, and L.E. Johnson. 2011. Higher abundance and diversity in faunal assemblages with the invasion of </t>
    </r>
    <r>
      <rPr>
        <rFont val="Arial"/>
        <i/>
        <color theme="1"/>
        <sz val="8.0"/>
      </rPr>
      <t>Codium fragile ssp. fragile</t>
    </r>
    <r>
      <rPr>
        <rFont val="Arial"/>
        <color theme="1"/>
        <sz val="8.0"/>
      </rPr>
      <t xml:space="preserve"> in eelgrass meadows. Marine Ecology Progress Series 424:105-117. </t>
    </r>
  </si>
  <si>
    <t>Higher abundance and diversity in faunal assemblages with the invasion of Codium fragile ssp. fragile in eelgrass meadows</t>
  </si>
  <si>
    <t>"Higher abundance and diversity in faunal assemblages with the invasion of Codium fragile ssp. fragile in eelgrass meadows"</t>
  </si>
  <si>
    <t>High Arctic plant community resists 15 years of climate warming</t>
  </si>
  <si>
    <t>"High Arctic plant community resists 15 years of climate warming"</t>
  </si>
  <si>
    <t>Heterotroph species extinction, abundance, and biomass dynamics in an experimentally fragmented  microecosystem</t>
  </si>
  <si>
    <t>"Heterotroph species extinction, abundance, and biomass dynamics in an experimentally fragmented microecosystem"</t>
  </si>
  <si>
    <t>Habitat fragmentation impacts on epiphyllous bryophyte communities in central amazonia</t>
  </si>
  <si>
    <t>"Habitat fragmentation impacts on epiphyllous bryophyte communities in central amazonia"</t>
  </si>
  <si>
    <t>Habitat fragmentation and arthropod community change: Carrion beetles, phoeretic mites, and flies</t>
  </si>
  <si>
    <t>"Habitat fragmentation and arthropod community change: Carrion beetles, phoeretic mites, and flies"</t>
  </si>
  <si>
    <t>Ground beetle assemblages along an urbanization gradient near Soro, Zealand, Denmark</t>
  </si>
  <si>
    <t>"Ground beetle assemblages along an urbanization gradient near Soro, Zealand, Denmark"</t>
  </si>
  <si>
    <t>Grassland invasibility and diversity: responses to nutrients, seed input, and disturbance</t>
  </si>
  <si>
    <t>"Grassland invasibility and diversity: responses to nutrients, seed input, and disturbance"</t>
  </si>
  <si>
    <t>Gardening in the desert changes bee communities and pollination network characteristics</t>
  </si>
  <si>
    <t>"Gardening in the desert changes bee communities and pollination network characteristics"</t>
  </si>
  <si>
    <t>Fragmentation and alteration of seed dispersal processes: An initial evaluation of dung beetles, seed fate, and seedling diversity</t>
  </si>
  <si>
    <t>"Fragmentation and alteration of seed dispersal processes: An initial evaluation of dung beetles, seed fate, and seedling diversity"</t>
  </si>
  <si>
    <t>Fragmentation alters stream fish community structure in dendritic ecological networks</t>
  </si>
  <si>
    <t>"Fragmentation alters stream fish community structure in dendritic ecological networks"</t>
  </si>
  <si>
    <t>Flora and lepidoptera fauna adversely affected by invasive Lupinus polyphyllus along road verges</t>
  </si>
  <si>
    <t>"Flora and lepidoptera fauna adversely affected by invasive Lupinus polyphyllus along road verges"</t>
  </si>
  <si>
    <t>Fish responses to experimental fragmentation of seagrass habitat</t>
  </si>
  <si>
    <t>"Fish responses to experimental fragmentation of seagrass habitat"</t>
  </si>
  <si>
    <t>Fertilization with nitrogen and phosphorus increases abundance of non-native species in Hawaiian montane forests</t>
  </si>
  <si>
    <t>"Fertilization with nitrogen and phosphorus increases abundance of non-native species in Hawaiian montane forests"</t>
  </si>
  <si>
    <t>Fertilization and litter effects on the functional group biomass, species diversity of plants, microbial biomass, and enxyme activity of two alpine meadow communities</t>
  </si>
  <si>
    <t>"Fertilization and litter effects on the functional group biomass, species diversity of plants, microbial biomass, and enxyme activity of two alpine meadow communities"</t>
  </si>
  <si>
    <t>Experimental warming causes rapid loss of plant diversity in New England salt marshes</t>
  </si>
  <si>
    <t>"Experimental warming causes rapid loss of plant diversity in New England salt marshes"</t>
  </si>
  <si>
    <t>Experimental warming causes large and rapid species loss, dampened by simulated grazing, on the Tibetan Plateau</t>
  </si>
  <si>
    <t>"Experimental warming causes large and rapid species loss, dampened by simulated grazing, on the Tibetan Plateau"</t>
  </si>
  <si>
    <t>Experimental small scale grassland fragmentation alters aphid population dynamics</t>
  </si>
  <si>
    <t>"Experimental small scale grassland fragmentation alters aphid population dynamics"</t>
  </si>
  <si>
    <t>Experimental removal of a dominant species at two levels of soil fertility</t>
  </si>
  <si>
    <t>"Experimental removal of a dominant species at two levels of soil fertility"</t>
  </si>
  <si>
    <t>Experimental plant invasion reduces arthropod abundance and richness across multiple trophic levels</t>
  </si>
  <si>
    <t>"Experimental plant invasion reduces arthropod abundance and richness across multiple trophic levels"</t>
  </si>
  <si>
    <t>Experimental introduction of the alien plant Hieracium lepidulum reveals no significant impact on Montane plant communities in New Zealand</t>
  </si>
  <si>
    <t>"Experimental introduction of the alien plant Hieracium lepidulum reveals no significant impact on Montane plant communities in New Zealand"</t>
  </si>
  <si>
    <t>Experimental habitat fragmentation and invertebrate grazing in a herbaceous grassland species</t>
  </si>
  <si>
    <t>"Experimental habitat fragmentation and invertebrate grazing in a herbaceous grassland species"</t>
  </si>
  <si>
    <t>Experimental evidence of reduced diversity of seedlings due to climate modification in a Mediterranean-type community</t>
  </si>
  <si>
    <t>"Experimental evidence of reduced diversity of seedlings due to climate modification in a Mediterranean-type community"</t>
  </si>
  <si>
    <t>Experimental evidence for positive effects of invasive seaweed on native invertebrates via habitat-formation in a seagrass bed</t>
  </si>
  <si>
    <t>"Experimental evidence for positive effects of invasive seaweed on native invertebrates via habitat-formation in a seagrass bed"</t>
  </si>
  <si>
    <t>Experimental evidence for interactive impact of human activities on lake algal species richness</t>
  </si>
  <si>
    <t>"Experimental evidence for interactive impact of human activities on lake algal species richness"</t>
  </si>
  <si>
    <t>Experimental effects of habitat fragmentation on old-field canopy insects: community, guild, and species responses</t>
  </si>
  <si>
    <t>"Experimental effects of habitat fragmentation on old-field canopy insects: community, guild, and species responses"</t>
  </si>
  <si>
    <t>Experimental drought and warming decrease diversity and slow down post-fire succession in a Mediterranean shrubland</t>
  </si>
  <si>
    <t>"Experimental drought and warming decrease diversity and slow down post-fire succession in a Mediterranean shrubland"</t>
  </si>
  <si>
    <t>Exotic invasive knotweeds (Fallopia spp.) negatively affect native plant and invertebrate assemblages in European riparian habitats</t>
  </si>
  <si>
    <t>"Exotic invasive knotweeds (Fallopia spp.) negatively affect native plant and invertebrate assemblages in European riparian habitats"</t>
  </si>
  <si>
    <t>Elevated air temperature alters an old-field insect community in a multifactor climate change experiment</t>
  </si>
  <si>
    <t>"Elevated air temperature alters an old-field insect community in a multifactor climate change experiment"</t>
  </si>
  <si>
    <t>Effects of urbanization on plant species diversity in central Arizona</t>
  </si>
  <si>
    <t>"Effects of urbanization on plant species diversity in central Arizona"</t>
  </si>
  <si>
    <t>Effects of urbanization on ground-dwelling spiders in forest patches, in Hungary</t>
  </si>
  <si>
    <t>"Effects of urbanization on ground-dwelling spiders in forest patches, in Hungary"</t>
  </si>
  <si>
    <t>Effects of urbanization and urban stream restoration on the physical and biological structure of stream ecosystems</t>
  </si>
  <si>
    <t>"Effects of urbanization and urban stream restoration on the physical and biological structure of stream ecosystems"</t>
  </si>
  <si>
    <t>Effects of the exotic macrophyte, para grass (Urochloa mutica), on benthic and epiphytic macroinvertebrates of a tropical floodplain</t>
  </si>
  <si>
    <t>"Effects of the exotic macrophyte, para grass (Urochloa mutica), on benthic and epiphytic macroinvertebrates of a tropical floodplain"</t>
  </si>
  <si>
    <t>Effects of small-scale habitat  fragmentation, habitat corridors and mainland dispersal on soil decomposer organisms</t>
  </si>
  <si>
    <t>"Effects of small-scale habitat fragmentation, habitat corridors and mainland dispersal on soil decomposer organisms"</t>
  </si>
  <si>
    <t>Effects of road salt and Phragmites australis invasion on the vegetation of a Western Massacheusetts calcareous lake-basin fen</t>
  </si>
  <si>
    <t>"Effects of road salt and Phragmites australis invasion on the vegetation of a Western Massacheusetts calcareous lake-basin fen"</t>
  </si>
  <si>
    <r>
      <rPr>
        <rFont val="Arial"/>
        <color theme="1"/>
        <sz val="8.0"/>
      </rPr>
      <t xml:space="preserve">Valdivia, N. and M. Thiel. 2006. Effects of point-source nutrient addtiion and mussel removal on epibiotic assemblages in </t>
    </r>
    <r>
      <rPr>
        <rFont val="Arial"/>
        <i/>
        <color theme="1"/>
        <sz val="8.0"/>
      </rPr>
      <t>Perumytilus purpuratus</t>
    </r>
    <r>
      <rPr>
        <rFont val="Arial"/>
        <color theme="1"/>
        <sz val="8.0"/>
      </rPr>
      <t xml:space="preserve"> beds. Journal of Sea Research 56(4):271-285</t>
    </r>
  </si>
  <si>
    <t>Effects of point-source nutrient addtiion and mussel removal on epibiotic assemblages in Perumytilus purpuratus beds</t>
  </si>
  <si>
    <t>"Effects of point-source nutrient addtiion and mussel removal on epibiotic assemblages in Perumytilus purpuratus beds"</t>
  </si>
  <si>
    <t>Effects of nutrient enrichment in Dutch chalk grassland</t>
  </si>
  <si>
    <t>"Effects of nutrient enrichment in Dutch chalk grassland"</t>
  </si>
  <si>
    <t>Effects of nutrient addition and acidification on plant species diversity and seed germination in heathland</t>
  </si>
  <si>
    <t>"Effects of nutrient addition and acidification on plant species diversity and seed germination in heathland"</t>
  </si>
  <si>
    <t>Effects of non-native plants on the native insect community of Delaware</t>
  </si>
  <si>
    <t>"Effects of non-native plants on the native insect community of Delaware"</t>
  </si>
  <si>
    <t>Effects of nitrogen and phosphorus additions on primary production and invertebrate densities in a Georgia (USA) tidal freshwater marsh</t>
  </si>
  <si>
    <t>"Effects of nitrogen and phosphorus additions on primary production and invertebrate densities in a Georgia (USA) tidal freshwater marsh"</t>
  </si>
  <si>
    <t>Effects of nitrogen addition on successional dynamics and species diversity in Michigan old-fields</t>
  </si>
  <si>
    <t>"Effects of nitrogen addition on successional dynamics and species diversity in Michigan old-fields"</t>
  </si>
  <si>
    <t>Effects of long-term nutrient fertilisation and irrigation on the microarthropod community in a boreal Norway spruce stand</t>
  </si>
  <si>
    <t>"Effects of long-term nutrient fertilisation and irrigation on the microarthropod community in a boreal Norway spruce stand"</t>
  </si>
  <si>
    <t>Effects of logged and unlogged forest patches on avifaunal diversity</t>
  </si>
  <si>
    <t>"Effects of logged and unlogged forest patches on avifaunal diversity"</t>
  </si>
  <si>
    <t>Effects of land usage on dung beetle assemblage structure: Kruger National Park vesus adjacent farmland in South Africa</t>
  </si>
  <si>
    <t>"Effects of land usage on dung beetle assemblage structure: Kruger National Park vesus adjacent farmland in South Africa"</t>
  </si>
  <si>
    <t>Effects of habitat-modifying invasive macroalgae on epiphytic algal communities</t>
  </si>
  <si>
    <t>"Effects of habitat-modifying invasive macroalgae on epiphytic algal communities"</t>
  </si>
  <si>
    <t>Effects of habitat loss, habitat fragmentation, and isolation on the density, species richness, and distribution of ladybeetles in manipulated alfalfa landscapes</t>
  </si>
  <si>
    <t>"Effects of habitat loss, habitat fragmentation, and isolation on the density, species richness, and distribution of ladybeetles in manipulated alfalfa landscapes"</t>
  </si>
  <si>
    <t>Effects of habitat loss and fragmentation on the abundance and species richness of aphidophagous beetles and aphids in experimental alfalfa landscapes</t>
  </si>
  <si>
    <t>"Effects of habitat loss and fragmentation on the abundance and species richness of aphidophagous beetles and aphids in experimental alfalfa landscapes"</t>
  </si>
  <si>
    <t>Effects of habitat fragmentation on carabid beetles: experimental evidence</t>
  </si>
  <si>
    <t>"Effects of habitat fragmentation on carabid beetles: experimental evidence"</t>
  </si>
  <si>
    <t>Effects of grassland fragmentation on insect species loss, colonization, and movement patterns</t>
  </si>
  <si>
    <t>"Effects of grassland fragmentation on insect species loss, colonization, and movement patterns"</t>
  </si>
  <si>
    <t>Effects of forest fragmentation on the beetle assemblage at the relict forest of Fray Jorge, Chile</t>
  </si>
  <si>
    <t>"Effects of forest fragmentation on the beetle assemblage at the relict forest of Fray Jorge, Chile"</t>
  </si>
  <si>
    <t>Effects of forest fragmentation on a dung beetle community in French Guiana</t>
  </si>
  <si>
    <t>"Effects of forest fragmentation on a dung beetle community in French Guiana"</t>
  </si>
  <si>
    <t>Effects of fertilizer and land-use type on soil properties and ground beetle assemblages</t>
  </si>
  <si>
    <t>"Effects of fertilizer and land-use type on soil properties and ground beetle assemblages"</t>
  </si>
  <si>
    <t>Effects of experimental nitrogen additions on plant diversity in an old-growth tropical forest</t>
  </si>
  <si>
    <t>"Effects of experimental nitrogen additions on plant diversity in an old-growth tropical forest"</t>
  </si>
  <si>
    <t>Effects of English ivy (Hedera helix) on seed bank formation and germination</t>
  </si>
  <si>
    <t>"Effects of English ivy (Hedera helix) on seed bank formation and germination"</t>
  </si>
  <si>
    <t>Effects of elevated nitrogen and exotic plant invasion on soil seed bank composition in Joshua Tree National Park</t>
  </si>
  <si>
    <t>"Effects of elevated nitrogen and exotic plant invasion on soil seed bank composition in Joshua Tree National Park"</t>
  </si>
  <si>
    <t>Effects of anthropogenic activities on lizard communities in northern Madagascar</t>
  </si>
  <si>
    <t>"Effects of anthropogenic activities on lizard communities in northern Madagascar"</t>
  </si>
  <si>
    <t>Effects of an invasive cattail species (Typha x glauca) on sediment nitrogen and microbial community composition in a freshwater wetland</t>
  </si>
  <si>
    <t>"Effects of an invasive cattail species (Typha x glauca) on sediment nitrogen and microbial community composition in a freshwater wetland"</t>
  </si>
  <si>
    <t>Effects of additional N on herbaceous species of desertified steppe in arid regions of China: a four-year field study</t>
  </si>
  <si>
    <t>"Effects of additional N on herbaceous species of desertified steppe in arid regions of China: a four-year field study"</t>
  </si>
  <si>
    <t>Effect of weeds Lantan camara and Chronelina odorata growth on the species diversity, regeneration and stem density of tree and shrub layer in BRT sanctuary</t>
  </si>
  <si>
    <t>"Effect of weeds Lantan camara and Chronelina odorata growth on the species diversity, regeneration and stem density of tree and shrub layer in BRT sanctuary"</t>
  </si>
  <si>
    <t>Effect of simulated environmental change on alpine soil arthropods</t>
  </si>
  <si>
    <t>"Effect of simulated environmental change on alpine soil arthropods"</t>
  </si>
  <si>
    <t>Effect of land use on anuran species composition in north-eastern KwaZulu-Natal, South Africa</t>
  </si>
  <si>
    <t>"Effect of land use on anuran species composition in north-eastern KwaZulu-Natal, South Africa"</t>
  </si>
  <si>
    <t>Effect of deforestation on a Southwest Ghana dung beetle assemblage (Coleoptera:Scarabaediae) at the periphery of Ankasa conservation area</t>
  </si>
  <si>
    <t>"Effect of deforestation on a Southwest Ghana dung beetle assemblage (Coleoptera:Scarabaediae) at the periphery of Ankasa conservation area"</t>
  </si>
  <si>
    <t>Effect of catchment urbanization on ant diversity in remnant riparian corridors</t>
  </si>
  <si>
    <t>"Effect of catchment urbanization on ant diversity in remnant riparian corridors"</t>
  </si>
  <si>
    <r>
      <rPr>
        <rFont val="Arial"/>
        <color theme="1"/>
        <sz val="8.0"/>
      </rPr>
      <t xml:space="preserve">Rout, M.E., T.H. Chrzanowski, W.K. Smith, and L. Gough. 2013. Ecological impacts of the invasive </t>
    </r>
    <r>
      <rPr>
        <rFont val="Arial"/>
        <i/>
        <color theme="1"/>
        <sz val="8.0"/>
      </rPr>
      <t>grass Sorghum halepense</t>
    </r>
    <r>
      <rPr>
        <rFont val="Arial"/>
        <color theme="1"/>
        <sz val="8.0"/>
      </rPr>
      <t xml:space="preserve"> on native tallgrass prairie. Biological Invasions 15:327-339.</t>
    </r>
  </si>
  <si>
    <t>Ecological impacts of the invasive grass Sorghum halepense on native tallgrass prairie</t>
  </si>
  <si>
    <t>"Ecological impacts of the invasive grass Sorghum halepense on native tallgrass prairie"</t>
  </si>
  <si>
    <t>Dung beetles of the Kabale forest, Uganda: comparison between virgin and managed forests</t>
  </si>
  <si>
    <t>"Dung beetles of the Kabale forest, Uganda: comparison between virgin and managed forests"</t>
  </si>
  <si>
    <t>Dung beetles in continuous forest, forest fragments and in a agricultural mosaic habitat island at Los Tuxtlas, Mexico</t>
  </si>
  <si>
    <t>"Dung beetles in continuous forest, forest fragments and in a agricultural mosaic habitat island at Los Tuxtlas, Mexico"</t>
  </si>
  <si>
    <t>Dung beetles as indicators of change in the forests of northern Borneo</t>
  </si>
  <si>
    <t>"Dung beetles as indicators of change in the forests of northern Borneo"</t>
  </si>
  <si>
    <t>Dung beetle diversity in continous forest, forest fragments, and cattle pastures in a landscape of Chiapas, Mexico: the effects of anthropogenic changes</t>
  </si>
  <si>
    <t>"Dung beetle diversity in continous forest, forest fragments, and cattle pastures in a landscape of Chiapas, Mexico: the effects of anthropogenic changes"</t>
  </si>
  <si>
    <t>Dung beetle diversity and community structure across three disturbance regimes in Eastern Amazonia</t>
  </si>
  <si>
    <t>"Dung beetle diversity and community structure across three disturbance regimes in Eastern Amazonia"</t>
  </si>
  <si>
    <t>Dung beetle community (Coleoptera:Scarabaedae:Scarabaeinae) in a tropical landscape at the Lachua Region, Guatemala</t>
  </si>
  <si>
    <t>"Dung beetle community (Coleoptera:Scarabaedae:Scarabaeinae) in a tropical landscape at the Lachua Region, Guatemala"</t>
  </si>
  <si>
    <t>Dung beetle assemblages in primary forest and disturbed habitats in a tropical dry forest landscape in western Mexico</t>
  </si>
  <si>
    <t>"Dung beetle assemblages in primary forest and disturbed habitats in a tropical dry forest landscape in western Mexico"</t>
  </si>
  <si>
    <t>Dung and carrion beetles in tropical rain forest fragments and agricultural habitats at Los Tuxtlas, Mexico</t>
  </si>
  <si>
    <t>"Dung and carrion beetles in tropical rain forest fragments and agricultural habitats at Los Tuxtlas, Mexico"</t>
  </si>
  <si>
    <t>Dug beetle community and functions along a habitat-disturbance gradient in the Amazon: A rapid assessment of ecological functions associated to biodiversity</t>
  </si>
  <si>
    <t>"Dug beetle community and functions along a habitat-disturbance gradient in the Amazon: A rapid assessment of ecological functions associated to biodiversity"</t>
  </si>
  <si>
    <t>Dry heath arctic tundra responses to long-term nutrient and light manipulation</t>
  </si>
  <si>
    <t>"Dry heath arctic tundra responses to long-term nutrient and light manipulation"</t>
  </si>
  <si>
    <t>Diversity of neotropical migratory landbird species assemblages in forest fragments and man-made vegetation in Los Tuxtlas, Mexico</t>
  </si>
  <si>
    <t>"Diversity of neotropical migratory landbird species assemblages in forest fragments and man-made vegetation in Los Tuxtlas, Mexico"</t>
  </si>
  <si>
    <t>Diversity declines in Microstegium vimineum (Japanese stiltgrass) patches</t>
  </si>
  <si>
    <t>"Diversity declines in Microstegium vimineum (Japanese stiltgrass) patches"</t>
  </si>
  <si>
    <t>Diversity and distribution of macroinvertebrates in lentic habitats in massively altered landscapes in south-eastern Australia</t>
  </si>
  <si>
    <t>"Diversity and distribution of macroinvertebrates in lentic habitats in massively altered landscapes in south-eastern Australia"</t>
  </si>
  <si>
    <t>Disturbance effects on species diversity and functional diversity in riparian and upland plant communities</t>
  </si>
  <si>
    <t>"Disturbance effects on species diversity and functional diversity in riparian and upland plant communities"</t>
  </si>
  <si>
    <t>Direct versus indirect effects of habitat fragmentation on community patterns in experimental landscapes</t>
  </si>
  <si>
    <t>"Direct versus indirect effects of habitat fragmentation on community patterns in experimental landscapes"</t>
  </si>
  <si>
    <t>Diminished plant richness and abundance below Lonicera maackii, an invasive shrub</t>
  </si>
  <si>
    <t>"Diminished plant richness and abundance below Lonicera maackii, an invasive shrub"</t>
  </si>
  <si>
    <t>Differential effects of native and invasive  algal wrack on macrofaunal assemblages inhabiting exposed sandy beaches</t>
  </si>
  <si>
    <t>"Differential effects of native and invasive algal wrack on macrofaunal assemblages inhabiting exposed sandy beaches"</t>
  </si>
  <si>
    <t>Differences in the effects of selective logging on apmphibian assemblages in three west African forest types</t>
  </si>
  <si>
    <t>"Differences in the effects of selective logging on apmphibian assemblages in three west African forest types"</t>
  </si>
  <si>
    <t>Density-dependant impacts of exotic conifer invasion on grassland invertebrate assemblages</t>
  </si>
  <si>
    <t>"Density-dependant impacts of exotic conifer invasion on grassland invertebrate assemblages"</t>
  </si>
  <si>
    <t>Countryside biogeography of tropical butterflies</t>
  </si>
  <si>
    <t>"Countryside biogeography of tropical butterflies"</t>
  </si>
  <si>
    <t>Countryside biogeography of neotropical mammals: Conservation opportunities in agricultural landscapes of Costa Rica</t>
  </si>
  <si>
    <t>"Countryside biogeography of neotropical mammals: Conservation opportunities in agricultural landscapes of Costa Rica"</t>
  </si>
  <si>
    <t>Countryside biogeography of moths in a fragmented landscape: biodiversity in native and agricultural habitats</t>
  </si>
  <si>
    <t>"Countryside biogeography of moths in a fragmented landscape: biodiversity in native and agricultural habitats"</t>
  </si>
  <si>
    <t>Corridors maintain species richness in the fragmented landscapes of a microecosystem</t>
  </si>
  <si>
    <t>"Corridors maintain species richness in the fragmented landscapes of a microecosystem"</t>
  </si>
  <si>
    <t>Control of epibenthic ciliate communities by grazers and nutrients</t>
  </si>
  <si>
    <t>"Control of epibenthic ciliate communities by grazers and nutrients"</t>
  </si>
  <si>
    <t>Contrasting landscape effects on species diversity and invasion success within a predator community</t>
  </si>
  <si>
    <t>"Contrasting landscape effects on species diversity and invasion success within a predator community"</t>
  </si>
  <si>
    <t>Contrasting effects of invasive plants in plant-pollinator networks</t>
  </si>
  <si>
    <t>"Contrasting effects of invasive plants in plant-pollinator networks"</t>
  </si>
  <si>
    <t>Contrasting effects of habitat loss and fragmentation on coral-associated reef fishes</t>
  </si>
  <si>
    <t>"Contrasting effects of habitat loss and fragmentation on coral-associated reef fishes"</t>
  </si>
  <si>
    <r>
      <rPr>
        <rFont val="Arial"/>
        <color theme="1"/>
        <sz val="8.0"/>
      </rPr>
      <t xml:space="preserve">Truscott, A.M. S.C. Palmer, C. Soulsby, S. Westaway, and P.E. Hulme. 2008. Consequences of  invasion by the alien plant </t>
    </r>
    <r>
      <rPr>
        <rFont val="Arial"/>
        <i/>
        <color theme="1"/>
        <sz val="8.0"/>
      </rPr>
      <t>Mimulus guttatus</t>
    </r>
    <r>
      <rPr>
        <rFont val="Arial"/>
        <color theme="1"/>
        <sz val="8.0"/>
      </rPr>
      <t xml:space="preserve"> on the species composition and soil properties of  riparian plant communities in Scotland. Perspectives in Plant Ecology, Evolution and Systematics 10:231-240. </t>
    </r>
  </si>
  <si>
    <t>Consequences of  invasion by the alien plant Mimulus guttatus on the species composition and soil properties of  riparian plant communities in Scotland</t>
  </si>
  <si>
    <t>"Consequences of invasion by the alien plant Mimulus guttatus on the species composition and soil properties of riparian plant communities in Scotland"</t>
  </si>
  <si>
    <t>Connectivity, non-random extinction, and ecosystem function in experimental meta-communities</t>
  </si>
  <si>
    <t>"Connectivity, non-random extinction, and ecosystem function in experimental meta-communities"</t>
  </si>
  <si>
    <t>Compositional and functional stability of arthropod communities in the face of ant invasions</t>
  </si>
  <si>
    <t>"Compositional and functional stability of arthropod communities in the face of ant invasions"</t>
  </si>
  <si>
    <t>Complex responses within a desert bee guild (Hymenoptera: Apiformes) to urban habitat fragmentation</t>
  </si>
  <si>
    <t>"Complex responses within a desert bee guild (Hymenoptera: Apiformes) to urban habitat fragmentation"</t>
  </si>
  <si>
    <t>Competitive abilities of native and introduced grasses</t>
  </si>
  <si>
    <t>"Competitive abilities of native and introduced grasses"</t>
  </si>
  <si>
    <t>Comparison of plant diversity in protected and communal lands in the Bushbuckridge lowveld savanna, South Africa</t>
  </si>
  <si>
    <t>"Comparison of plant diversity in protected and communal lands in the Bushbuckridge lowveld savanna, South Africa"</t>
  </si>
  <si>
    <t>Comparison of medusahead-invaded and noninvaded Wyoming big sagebrush steppe in Southeastern Oregon</t>
  </si>
  <si>
    <t>"Comparison of medusahead-invaded and noninvaded Wyoming big sagebrush steppe in Southeastern Oregon"</t>
  </si>
  <si>
    <t>Comparison between amphipod assemblages associated with Caulerpa racemosa var. cylindracea and those of other Mediterannean habitats on soft substrate</t>
  </si>
  <si>
    <t>"Comparison between amphipod assemblages associated with Caulerpa racemosa var. cylindracea and those of other Mediterannean habitats on soft substrate"</t>
  </si>
  <si>
    <t>Comparing bird assemblages in large and small fragments of the Atlantic forest hotspots</t>
  </si>
  <si>
    <t>"Comparing bird assemblages in large and small fragments of the Atlantic forest hotspots"</t>
  </si>
  <si>
    <t>Community-level consequences of invasion: impacts of exotic clonal plants on riparian vegetaion</t>
  </si>
  <si>
    <t>"Community-level consequences of invasion: impacts of exotic clonal plants on riparian vegetaion"</t>
  </si>
  <si>
    <t>Community-level consequences of a plant invasion: Effects  on three habitats in coastal California</t>
  </si>
  <si>
    <t>"Community-level consequences of a plant invasion: Effects on three habitats in coastal California"</t>
  </si>
  <si>
    <t>Community structure and composition in response to climate change in a temperate steppe</t>
  </si>
  <si>
    <t>"Community structure and composition in response to climate change in a temperate steppe"</t>
  </si>
  <si>
    <t>Community relaxation in fragmented landscapes: The relation between species richness, area, and age</t>
  </si>
  <si>
    <t>"Community relaxation in fragmented landscapes: The relation between species richness, area, and age"</t>
  </si>
  <si>
    <t>Community impacts of Prospis juliflora invasion: Biogeographic and congeneric comparisons</t>
  </si>
  <si>
    <t>"Community impacts of Prospis juliflora invasion: Biogeographic and congeneric comparisons"</t>
  </si>
  <si>
    <t>Climate change effects on soil microarthropod abundance and community structure</t>
  </si>
  <si>
    <t>"Climate change effects on soil microarthropod abundance and community structure"</t>
  </si>
  <si>
    <t>Changes in species diversity following habitat disturbance and dependent on spatial scale: theoretical and empirical evidence</t>
  </si>
  <si>
    <t>"Changes in species diversity following habitat disturbance and dependent on spatial scale: theoretical and empirical evidence"</t>
  </si>
  <si>
    <t>Changes in carabid beetles assemblages along an urbanization gradient in the city of Debrecen, Hungary</t>
  </si>
  <si>
    <t>"Changes in carabid beetles assemblages along an urbanization gradient in the city of Debrecen, Hungary"</t>
  </si>
  <si>
    <t>Changes in carabid beetles assemblages across an urban-rural gradient in Japan</t>
  </si>
  <si>
    <t>"Changes in carabid beetles assemblages across an urban-rural gradient in Japan"</t>
  </si>
  <si>
    <t>Changes in bird communities following conversion of lowland forest to oil palm and rubber plantations in southern Thailand</t>
  </si>
  <si>
    <t>"Changes in bird communities following conversion of lowland forest to oil palm and rubber plantations in southern Thailand"</t>
  </si>
  <si>
    <t>Changes in arthropod assemblages along a wide gradient of disturbance in Gabon</t>
  </si>
  <si>
    <t>"Changes in arthropod assemblages along a wide gradient of disturbance in Gabon"</t>
  </si>
  <si>
    <t>Carabid beetle assemblages across urban-rural gradients: an international comparison</t>
  </si>
  <si>
    <t>"Carabid beetle assemblages across urban-rural gradients: an international comparison"</t>
  </si>
  <si>
    <t>Carabid beetle and spider assemblages along a forested urban-rural gradient in southern Finland</t>
  </si>
  <si>
    <t>"Carabid beetle and spider assemblages along a forested urban-rural gradient in southern Finland"</t>
  </si>
  <si>
    <t>Canopy effects of the invasive shrub Pyracantha angustifolia on a seed bank composition, richness and density in a montane shrubland (Cordoba, Argentina)</t>
  </si>
  <si>
    <t>"Canopy effects of the invasive shrub Pyracantha angustifolia on a seed bank composition, richness and density in a montane shrubland (Cordoba, Argentina)"</t>
  </si>
  <si>
    <t>Bromus inermus invasion of a native grassland: diversity and resource reduction</t>
  </si>
  <si>
    <t>"Bromus inermus invasion of a native grassland: diversity and resource reduction"</t>
  </si>
  <si>
    <t>Biomass compensation and plant responses to 7 years of plant functional group removals</t>
  </si>
  <si>
    <t>"Biomass compensation and plant responses to 7 years of plant functional group removals"</t>
  </si>
  <si>
    <t>Biodiversity and ecosystem function of tropical forest dung beetles under contrasting logging regimes</t>
  </si>
  <si>
    <t>"Biodiversity and ecosystem function of tropical forest dung beetles under contrasting logging regimes"</t>
  </si>
  <si>
    <t>Biodiversity and abundance of terrestrial isopods along a gradient of disturbance in Sabah, East Malaysia</t>
  </si>
  <si>
    <t>"Biodiversity and abundance of terrestrial isopods along a gradient of disturbance in Sabah, East Malaysia"</t>
  </si>
  <si>
    <t>Bats in continous forest, forest fragments, and in an agricultural mosaic habitat-island at Los Tuxtlas, Mexico</t>
  </si>
  <si>
    <t>"Bats in continous forest, forest fragments, and in an agricultural mosaic habitat-island at Los Tuxtlas, Mexico"</t>
  </si>
  <si>
    <t>Avian assemblages in native Acacia and alien Prosopis drainage line woodland in the Kalahari, South Africa</t>
  </si>
  <si>
    <t>"Avian assemblages in native Acacia and alien Prosopis drainage line woodland in the Kalahari, South Africa"</t>
  </si>
  <si>
    <t>Assessing urban impacts on water quality, benthic communities, and fish in streams of the Andes Mountains, Patagonia (Argentina)</t>
  </si>
  <si>
    <t>"Assessing urban impacts on water quality, benthic communities, and fish in streams of the Andes Mountains, Patagonia (Argentina)"</t>
  </si>
  <si>
    <t>Anthropogenic landscape changes and avian diversity at Los Tuxtlas, Mexico</t>
  </si>
  <si>
    <t>"Anthropogenic landscape changes and avian diversity at Los Tuxtlas, Mexico"</t>
  </si>
  <si>
    <t>An invasive crab alters interaction webs in a marine community</t>
  </si>
  <si>
    <t>"An invasive crab alters interaction webs in a marine community"</t>
  </si>
  <si>
    <t>A preliminary assessment of the response of a native reptile assemblage to spot-spraying invasive Bitou Bush with glyphosate herbicide</t>
  </si>
  <si>
    <t>"A preliminary assessment of the response of a native reptile assemblage to spot-spraying invasive Bitou Bush with glyphosate herbicide"</t>
  </si>
  <si>
    <t>A comparison of epifauna and epiphytes on native kelps (Laminaria species) and an invasive alga (Codium fraglie ssp. Tomentosoides) in Nova Scotia, Canada</t>
  </si>
  <si>
    <t>"A comparison of epifauna and epiphytes on native kelps (Laminaria species) and an invasive alga (Codium fraglie ssp. Tomentosoides) in Nova Scotia, Canada"</t>
  </si>
  <si>
    <t>Assessing impacts of introduced aquaculture species on native fish communities: Nile tilapia  and major carps in SE Asian freshwaters</t>
  </si>
  <si>
    <t>"Assessing impacts of introduced aquaculture species on native fish communities: Nile tilapia and major carps in SE Asian freshwaters"</t>
  </si>
  <si>
    <t>Publication Type</t>
  </si>
  <si>
    <t>Authors</t>
  </si>
  <si>
    <t>Book Authors</t>
  </si>
  <si>
    <t>Book Editors</t>
  </si>
  <si>
    <t>Book Group Authors</t>
  </si>
  <si>
    <t>Author Full Names</t>
  </si>
  <si>
    <t>Book Author Full Names</t>
  </si>
  <si>
    <t>Group Authors</t>
  </si>
  <si>
    <t>Article Title</t>
  </si>
  <si>
    <t>Source Title</t>
  </si>
  <si>
    <t>Book Series Title</t>
  </si>
  <si>
    <t>Book Series Subtitle</t>
  </si>
  <si>
    <t>Language</t>
  </si>
  <si>
    <t>Document Type</t>
  </si>
  <si>
    <t>Conference Title</t>
  </si>
  <si>
    <t>Conference Date</t>
  </si>
  <si>
    <t>Conference Location</t>
  </si>
  <si>
    <t>Conference Sponsor</t>
  </si>
  <si>
    <t>Conference Host</t>
  </si>
  <si>
    <t>Author Keywords</t>
  </si>
  <si>
    <t>Keywords Plus</t>
  </si>
  <si>
    <t>Abstract</t>
  </si>
  <si>
    <t>Addresses</t>
  </si>
  <si>
    <t>Affiliations</t>
  </si>
  <si>
    <t>Reprint Addresses</t>
  </si>
  <si>
    <t>Email Addresses</t>
  </si>
  <si>
    <t>Researcher Ids</t>
  </si>
  <si>
    <t>ORCIDs</t>
  </si>
  <si>
    <t>Funding Orgs</t>
  </si>
  <si>
    <t>Funding Name Preferred</t>
  </si>
  <si>
    <t>Funding Text</t>
  </si>
  <si>
    <t>Cited References</t>
  </si>
  <si>
    <t>Cited Reference Count</t>
  </si>
  <si>
    <t>Times Cited, WoS Core</t>
  </si>
  <si>
    <t>Times Cited, All Databases</t>
  </si>
  <si>
    <t>180 Day Usage Count</t>
  </si>
  <si>
    <t>Since 2013 Usage Count</t>
  </si>
  <si>
    <t>Publisher</t>
  </si>
  <si>
    <t>Publisher City</t>
  </si>
  <si>
    <t>Publisher Address</t>
  </si>
  <si>
    <t>ISSN</t>
  </si>
  <si>
    <t>eISSN</t>
  </si>
  <si>
    <t>ISBN</t>
  </si>
  <si>
    <t>Journal Abbreviation</t>
  </si>
  <si>
    <t>Journal ISO Abbreviation</t>
  </si>
  <si>
    <t>Publication Date</t>
  </si>
  <si>
    <t>Publication Year</t>
  </si>
  <si>
    <t>Volume</t>
  </si>
  <si>
    <t>Issue</t>
  </si>
  <si>
    <t>Part Number</t>
  </si>
  <si>
    <t>Supplement</t>
  </si>
  <si>
    <t>Special Issue</t>
  </si>
  <si>
    <t>Meeting Abstract</t>
  </si>
  <si>
    <t>Start Page</t>
  </si>
  <si>
    <t>End Page</t>
  </si>
  <si>
    <t>Article Number</t>
  </si>
  <si>
    <t>DOI Link</t>
  </si>
  <si>
    <t>Book DOI</t>
  </si>
  <si>
    <t>Early Access Date</t>
  </si>
  <si>
    <t>Number of Pages</t>
  </si>
  <si>
    <t>WoS Categories</t>
  </si>
  <si>
    <t>Web of Science Index</t>
  </si>
  <si>
    <t>Research Areas</t>
  </si>
  <si>
    <t>IDS Number</t>
  </si>
  <si>
    <t>Pubmed Id</t>
  </si>
  <si>
    <t>Open Access Designations</t>
  </si>
  <si>
    <t>Highly Cited Status</t>
  </si>
  <si>
    <t>Hot Paper Status</t>
  </si>
  <si>
    <t>Date of Export</t>
  </si>
  <si>
    <t>UT (Unique WOS ID)</t>
  </si>
  <si>
    <t>Web of Science Record</t>
  </si>
  <si>
    <t>J</t>
  </si>
  <si>
    <t>Lake, PS; Thomson, JR; Lada, H; Mac Nally, R; Reid, D; Stanaway, J; Taylor, AC</t>
  </si>
  <si>
    <t/>
  </si>
  <si>
    <t>Lake, P. Sam; Thomson, James R.; Lada, Hania; Mac Nally, Ralph; Reid, David; Stanaway, Jarom; Taylor, Andrea C.</t>
  </si>
  <si>
    <t>DIVERSITY AND DISTRIBUTIONS</t>
  </si>
  <si>
    <t>English</t>
  </si>
  <si>
    <t>Article</t>
  </si>
  <si>
    <t>Dry woodlands; farm dams; functional feeding groups; land use impacts; alpha-diversity; beta-diversity</t>
  </si>
  <si>
    <t>BOX-IRONBARK FORESTS; CLIMATE-CHANGE; CENTRAL VICTORIA; BIRDS; FRAGMENTATION; CONSERVATION; PREDICTIONS; ECOSYSTEMS; IMPACTS; NUMBER</t>
  </si>
  <si>
    <t>Aim We investigated whether faunas of lentic macroinvertebrates differed among two landscape types: (1) those that are largely covered in forests (presumed to be in a more pre-human-impact condition) and (2) those that are completely cleared for agricultural exploitation (massively altered). Location Five pairs of landscapes (each pair referred to as a region) - one of each landscape type - across a 30,000 km2 region of north-central Victoria, Australia. Methods Each individual waterbody was surveyed three times (austral spring 2006, autumn 2007, and spring 2007) for invertebrates. Waterbodies were characterized by measurements of static (e.g. abutting vegetation cover) and labile (e.g. pH) variables. Data were analysed using hierarchical Bayesian models of species richness, alpha- and beta-diversities and functional feeding groups. Assemblage composition was related to landscape and in-waterbody characteristics. Results Neither measured, nor asymptotic estimates of, species richness differed among landscape types, notwithstanding consistent differences in in-waterbody habitat characteristics among waterbodies in the two landscape types. There were no discernible differences in patterns of alpha- and beta-diversities at landscape scales relating to landscape type. Habitat diversity of waterbodies at the landscape scale did not affect beta-diversity, although distinct waterbodies within landscapes tended to have more distinct faunas. Main conclusions The lentic macroinvertebrate faunas are relatively homogeneous over the entire region, with little differentiation between wooded and cleared landscapes. The regional fauna may be a homogenized subset of native species, possibly arising from the huge numerical predominance of lentic habitats in agricultural landscapes producing 'spill-over' effects into forested landscapes. Of taxa more frequently found in one or other landscape type, trophic group diversity was greater in forested landscapes.</t>
  </si>
  <si>
    <t>[Lake, P. Sam; Thomson, James R.; Lada, Hania; Mac Nally, Ralph; Reid, David; Stanaway, Jarom; Taylor, Andrea C.] Monash Univ, Australian Ctr Biodivers, Sch Biol Sci, Clayton, Vic 3800, Australia</t>
  </si>
  <si>
    <t>Monash University</t>
  </si>
  <si>
    <t>Mac Nally, R (corresponding author), Monash Univ, Australian Ctr Biodivers, Sch Biol Sci, Clayton, Vic 3800, Australia.</t>
  </si>
  <si>
    <t>Ralph.MacNally@monash.edu</t>
  </si>
  <si>
    <t>Nally, Ralph/A-5262-2008; Thomson, Jim/W-2950-2019</t>
  </si>
  <si>
    <t>Australian Research Council [DP0664065]; Australian Research Council [DP0664065] Funding Source: Australian Research Council</t>
  </si>
  <si>
    <t>Australian Research Council(Australian Research Council); Australian Research Council(Australian Research Council)</t>
  </si>
  <si>
    <t>This work was supported by the Australian Research Council (Grant DP0664065). We thank the following for assistance with the study and/or comments on the MS: Gregory Horrocks, Karen Cooper and Briarna Lacey. Two anonymous reviewers provided very useful feedback. This is publication 198 from the Australian Centre for Biodiversity, Monash University.</t>
  </si>
  <si>
    <t>WILEY</t>
  </si>
  <si>
    <t>HOBOKEN</t>
  </si>
  <si>
    <t>111 RIVER ST, HOBOKEN 07030-5774, NJ USA</t>
  </si>
  <si>
    <t>1366-9516</t>
  </si>
  <si>
    <t>1472-4642</t>
  </si>
  <si>
    <t>DIVERS DISTRIB</t>
  </si>
  <si>
    <t>Divers. Distrib.</t>
  </si>
  <si>
    <t>SEP</t>
  </si>
  <si>
    <t>10.1111/j.1472-4642.2010.00685.x</t>
  </si>
  <si>
    <t>Biodiversity Conservation; Ecology</t>
  </si>
  <si>
    <t>Science Citation Index Expanded (SCI-EXPANDED)</t>
  </si>
  <si>
    <t>Biodiversity &amp; Conservation; Environmental Sciences &amp; Ecology</t>
  </si>
  <si>
    <t>639KG</t>
  </si>
  <si>
    <t>2026-03-06</t>
  </si>
  <si>
    <t>WOS:000280973100001</t>
  </si>
  <si>
    <t>Estrada, A; CoatesEstrada, R; Meritt, DA</t>
  </si>
  <si>
    <t>BIODIVERSITY AND CONSERVATION</t>
  </si>
  <si>
    <t>tropical rain forest; Mexico; Los Tuxtlas; bird diversity; conservation</t>
  </si>
  <si>
    <t>BARRO-COLORADO ISLAND; SOUTHERN VERACRUZ; WOOD THRUSH; PANAMA; RATES; BIRDS</t>
  </si>
  <si>
    <t>Faced with rapid and extensive conversion of tropical rain forests to a landscape consisting of pasture lands, and with the need to preserve the avian diversity of tropical regions, it is imperative to determine how different species have responded to anthropogenic alterations of their natural habitats. We sampled birds in undisturbed and disturbed forest islands in regenerating forests and in four replicates of each of the following man-made habitats: arboreal agricultural habitats (cacao, coffee, mixed, citrus and allspice), non-arboreal agricultural habitats (corn, jalapeno chili pepper and bananas), live fences and pastures, at Los Tuxtlas, Veracruz, Mexico. We censused 22145 birds representing 226 species. We detected 79% of the species in forest habitats, 80% in agricultural habitats, 43% in live fences and only 5% in pastures. Isolating distance and continued disturbance by humans of forest fragments were important variables influencing species' richness. Arboreal agricultural habitats and live fences were richer in species and in birds than non-arboreal man-made habitats. Economic surveys showed that some of the crops investigated yield higher returns than cattle ranching based on pastures. We discuss the conservation value for birds of agricultural islands and of live fences as landscape elements that help reduce physical and biotic isolation among remaining configurations of forest fragments in Los Tuxtlas.</t>
  </si>
  <si>
    <t>Estrada, A (corresponding author), Univ Nacl Autonoma Mexico, INST BIOL, ESTAC BIOL LOS TUXTLAS, APARTADO POSTAL 176, SAN ANDRES, VERACRUZ, MEXICO.</t>
  </si>
  <si>
    <t>; ESTRADA, ALEJANDRO/A-1443-2008</t>
  </si>
  <si>
    <t>Coates, Rosamond/0000-0003-0074-1565;</t>
  </si>
  <si>
    <t>SPRINGER</t>
  </si>
  <si>
    <t>DORDRECHT</t>
  </si>
  <si>
    <t>VAN GODEWIJCKSTRAAT 30, 3311 GZ DORDRECHT, NETHERLANDS</t>
  </si>
  <si>
    <t>0960-3115</t>
  </si>
  <si>
    <t>BIODIVERS CONSERV</t>
  </si>
  <si>
    <t>Biodivers. Conserv.</t>
  </si>
  <si>
    <t>JAN</t>
  </si>
  <si>
    <t>10.1023/A:1018328930981</t>
  </si>
  <si>
    <t>Biodiversity Conservation; Ecology; Environmental Sciences</t>
  </si>
  <si>
    <t>WL159</t>
  </si>
  <si>
    <t>WOS:A1997WL15900002</t>
  </si>
  <si>
    <t>Hogg, BN; Daane, KM</t>
  </si>
  <si>
    <t>Hogg, Brian N.; Daane, Kent M.</t>
  </si>
  <si>
    <t>Disturbance; habitat diversity; habitat modification; invasive; landscape context; predator diversity</t>
  </si>
  <si>
    <t>BIOLOGICAL INVASIONS; PATTERNS; ABUNDANCE; SPIDERS; PRODUCTIVITY; BIODIVERSITY; COEXISTENCE; MANAGEMENT; RESISTANCE; FRAMEWORK</t>
  </si>
  <si>
    <t>Aim The role of landscape variation in shaping invasion success remains unclear, particularly for exotic predators. We examined whether native and exotic predators responded similarly or differently to ecological change at the landscape scale. Location Vineyards and surrounding natural habitat in the Napa Valley, California, USA. Methods We surveyed spider communities in vineyards throughout the Napa Valley and used regression analysis to examine the effects of landscape context (proportion of vineyard monoculture and proportion of developed land surrounding vineyards) on spider species richness and on numbers and proportions of exotic spiders. We also compared spider composition and dominance of exotic spiders between vineyards and surrounding natural habitat using non-metric multidimensional scaling (NMDS). Results The success of the dominant exotic spider Cheiracanthium mildei was contingent on landscape context, and increased with proportions of vineyard and developed land in the surrounding landscape. Spider species richness and native spider abundance followed an opposing pattern. Cheiracanthium mildei was relatively unsuccessful near and in oak woodland, the primary type of natural habitat surrounding vineyards. Main Conclusions Results show that anthropogenic landscape change can have contrasting effects on native and exotic predators and that landscape context can influence the relationship between habitat modification and invasion success. Results suggest that it may be possible to limit the spread of invasions by increasing the availability of habitat for native species.</t>
  </si>
  <si>
    <t>[Hogg, Brian N.; Daane, Kent M.] Univ Calif Berkeley, Dept Environm Sci Policy &amp; Management, Berkeley, CA 94720 USA</t>
  </si>
  <si>
    <t>University of California System; University of California Berkeley</t>
  </si>
  <si>
    <t>Hogg, BN (corresponding author), Univ Calif Berkeley, 137 Mulford Hall, Berkeley, CA 94720 USA.</t>
  </si>
  <si>
    <t>hoggbrian@yahoo.com</t>
  </si>
  <si>
    <t>National Science Foundation; van den Bosch Memorial Scholarship; America Vineyard Foundation; California Table Grape Commission</t>
  </si>
  <si>
    <t>National Science Foundation(National Science Foundation (NSF)); van den Bosch Memorial Scholarship; America Vineyard Foundation; California Table Grape Commission</t>
  </si>
  <si>
    <t>We thank T. Hu and D. Ng for assistance in the field; N. Mills, M. Power and R. Gillespie for constructive criticism of an earlier draft of this manuscript; H. Wilson for GIS advice; and three anonymous reviewers for their valuable suggestions. We also thank vineyard managers for use of their farms. This work was supported by grants from the National Science Foundation, the van den Bosch Memorial Scholarship and the America Vineyard Foundation and California Table Grape Commission.</t>
  </si>
  <si>
    <t>MAR</t>
  </si>
  <si>
    <t>10.1111/j.1472-4642.2012.00935.x</t>
  </si>
  <si>
    <t>096LA</t>
  </si>
  <si>
    <t>Bronze</t>
  </si>
  <si>
    <t>WOS:000315404100004</t>
  </si>
  <si>
    <t>Ngai, JT; Kirby, KR; Gilbert, B; Starzomski, BM; Pelletier, AJD; Conner, JCR</t>
  </si>
  <si>
    <t>Ngai, Jacqueline T.; Kirby, Kathryn R.; Gilbert, Benjamin; Starzomski, Brian M.; Pelletier, Aimee J. D.; Conner, J. C. Ross</t>
  </si>
  <si>
    <t>ECOSCIENCE</t>
  </si>
  <si>
    <t>countryside biogeography; deforestation; habitat element; phytotelmata; species diversity; tropical forest</t>
  </si>
  <si>
    <t>SHADE-COFFEE PLANTATIONS; RAIN-FOREST; COUNTRYSIDE BIOGEOGRAPHY; FRAGMENTED LANDSCAPE; EPIPHYTIC BROMELIAD; POPULATION-DYNAMICS; EUGLOSSINE BEES; DIVERSITY; BIODIVERSITY; SECONDARY</t>
  </si>
  <si>
    <t>Conservationists have proposed that maintaining key elements of the original land-cover type in modified landscapes may mitigate the detrimental effects of land-cover change on residual species. We tested this hypothesis for aquatic insect communities in tank-forming bromeliads in forested and non-forested habitats in Costa Rica. Bromeliad tanks hold much of the standing water in this region and therefore provide an important resource for insects with aquatic larval stages. We quantified the relative importance of land-use type and the bromeliad-specific local environment on the insect community, and also the effect of land-use type on this local environment. Insect species responded to both land-use type and the local environment, with these variables explaining a total of 36% of species densities. The local environment independently explained 19% of insect densities, while land-use type explained 17%, mainly through its modification of the local environment. Local environmental conditions were strongly correlated to land-use type (r(2) = 0.64), with non-forest habitat having a higher average temperature, a greater variation in temperature, and a lower density of bromeliads. Our results indicate that the land-use type in which bromeliads occur influences the relative densities of insects by altering the local environment of bromeliads. Therefore, maintaining bromeliads under land-use conversion will not necessarily maintain the bromeliad insect community of the original forested habitat.</t>
  </si>
  <si>
    <t>[Ngai, Jacqueline T.; Gilbert, Benjamin; Starzomski, Brian M.; Pelletier, Aimee J. D.; Conner, J. C. Ross] Univ British Columbia, Dept Zool, Biodivers Res Ctr, 6270 Univ Blvd, Vancouver, BC V6T 1Z4, Canada; [Kirby, Kathryn R.] Univ British Columbia, Fac Forestry, Ctr Appl Conservat Res, Vancouver, BC V6T 1Z4, Canada; [Gilbert, Benjamin] Univ British Columbia, Dept Bot, Vancouver, BC V6T 1Z4, Canada</t>
  </si>
  <si>
    <t>University of British Columbia; University of British Columbia; University of British Columbia</t>
  </si>
  <si>
    <t>Ngai, JT (corresponding author), Univ British Columbia, Dept Zool, Biodivers Res Ctr, 6270 Univ Blvd, Vancouver, BC V6T 1Z4, Canada.</t>
  </si>
  <si>
    <t>ngai@zoology.ubc.ca</t>
  </si>
  <si>
    <t>; Gilbert, Benjamin/E-6616-2010; Kirby, Kathryn/D-1151-2011</t>
  </si>
  <si>
    <t>Ngai, Jacqueline/0009-0008-6800-344X; Gilbert, Benjamin/0000-0002-4947-6822;</t>
  </si>
  <si>
    <t>TAYLOR &amp; FRANCIS INC</t>
  </si>
  <si>
    <t>PHILADELPHIA</t>
  </si>
  <si>
    <t>530 WALNUT STREET, STE 850, PHILADELPHIA, PA 19106 USA</t>
  </si>
  <si>
    <t>1195-6860</t>
  </si>
  <si>
    <t>2376-7626</t>
  </si>
  <si>
    <t>Ecoscience</t>
  </si>
  <si>
    <t>10.2980/15-2-3098</t>
  </si>
  <si>
    <t>Ecology</t>
  </si>
  <si>
    <t>Environmental Sciences &amp; Ecology</t>
  </si>
  <si>
    <t>322ZD</t>
  </si>
  <si>
    <t>WOS:000257412900003</t>
  </si>
  <si>
    <t>Klein, JA; Harte, J; Zhao, XQ</t>
  </si>
  <si>
    <t>ECOLOGY LETTERS</t>
  </si>
  <si>
    <t>alpine; biodiversity; climate warming; global change; grazing; rangelands; species richness; Tibetan Plateau</t>
  </si>
  <si>
    <t>CLIMATE-CHANGE; GRASSLAND; DIVERSITY; TEMPERATURE; RESPONSES; RICHNESS; TUNDRA; SOIL; CO2; BIODIVERSITY</t>
  </si>
  <si>
    <t>We investigated the independent and combined effects of experimental warming and grazing on plant species diversity on the north-eastern Tibetan Plateau, a region highly vulnerable to ongoing climate and land use changes. Experimental warming caused a 26-36% decrease in species richness, a response that was generally dampened by experimental grazing. Higher species losses occurred at the drier sites where N was less available. Moreover, we observed an indirect effect of climate change on species richness as mediated by plant-plant interactions. Heat stress and warming-induced litter accumulation are potential explanations for the species' responses to experimental warming. This is the first reported experimental evidence that climate warming could cause dramatic declines in plant species diversity in high elevation ecosystems over short time frames and supports model predictions of species losses with anthropogenic climate change.</t>
  </si>
  <si>
    <t>Univ Calif Berkeley, Dept Environm Sci Policy &amp; Management, Div Ecosyst Sci, Berkeley, CA 94720 USA; Chinese Acad Sci, NW Plateau Inst Biol, Xining, Qinghai, Peoples R China</t>
  </si>
  <si>
    <t>University of California System; University of California Berkeley; Chinese Academy of Sciences; Northwest Institute of Plateau Biology, CAS</t>
  </si>
  <si>
    <t>Klein, JA (corresponding author), Colorado State Univ, Nat Resource Ecol Lab, B226 NESB, Ft Collins, CO 80523 USA.</t>
  </si>
  <si>
    <t>jklein@nrel.colostate.edu</t>
  </si>
  <si>
    <t>1461-023X</t>
  </si>
  <si>
    <t>1461-0248</t>
  </si>
  <si>
    <t>ECOL LETT</t>
  </si>
  <si>
    <t>Ecol. Lett.</t>
  </si>
  <si>
    <t>DEC</t>
  </si>
  <si>
    <t>10.1111/j.1461-0248.2004.00677.x</t>
  </si>
  <si>
    <t>870SK</t>
  </si>
  <si>
    <t>WOS:000225078000007</t>
  </si>
  <si>
    <t>Gardner, TA; Hernández, MIM; Barlow, J; Peres, CA</t>
  </si>
  <si>
    <t>Gardner, Toby A.; Hernandez, Malva I. M.; Barlow, Jos; Peres, Carlos A.</t>
  </si>
  <si>
    <t>Understanding the biodiversity consequences of habitat change:: the value of secondary and plantation forests for neotropical dung beetles</t>
  </si>
  <si>
    <t>JOURNAL OF APPLIED ECOLOGY</t>
  </si>
  <si>
    <t>Scarabaeinae; tropical forests; habitat change; habitat value; deforestation; Brazil; sampling bias; biomass</t>
  </si>
  <si>
    <t>COMMUNITY STRUCTURE; SEED DISPERSAL; COLEOPTERA; SCARABAEIDAE; DIVERSITY; FRAGMENTATION; CONSERVATION; LAND; ASSEMBLAGES; BUTTERFLIES</t>
  </si>
  <si>
    <t>1. Secondary and plantation forests are becoming increasingly widespread in the tropics. A recent meta-analysis on the impacts of land-use change on tropical forest dung beetles concluded that regenerating forests can be effective in helping to offset species loss following deforestation. However, our understanding of the extent to which these results can be generalized to new locations remains very poor. 2. We attempted to overcome many of the design limitations that characterize previous studies by collecting spatially independent dung beetle samples from primary, secondary and Eucalyptus plantation forests in north-east Brazilian Amazonia across a large quasi-experimental landscape that minimized confounding edge and fragmentation effects. 3. We recorded 9203 dung beetles, comprising 85 species. Species richness was significantly higher in primary forest and the majority of species were more abundant there than elsewhere, whereas secondary and plantation sites harboured an impoverished subset of primary forest species. 4. Our data illustrate the low value of tropical secondary and plantation forests for dung beetles in our study area, and our conclusions are more pessimistic than those of earlier studies. 5. Because of differences in the order of species rank-abundance and rank-biomass patterns, re-coding community data from abundance to biomass significantly altered the analytical weight of individual species in determining community patterns. Larger bodied beetles were more prone to local extinctions and abundance declines and this effect was consistent both within and between genera. 6. Synthesis and applications. Our study demonstrates that secondary and plantation forests in a large neotropical landscape host exceptionally impoverished dung beetle communities. Furthermore, the depletion of beetle abundance combined with a reduction in average body mass in converted forests is likely to have detrimental consequences for the maintenance of dung beetle-mediated ecosystem services in these habitats. Differences in biogeographical and landscape context, and the influence of common limitations in sampling design, may explain why many other studies have painted a more optimistic picture of the conservation value of anthropogenic habitats. In the absence of further evidence we caution strongly against the claim that forest regeneration schemes on degraded land can effectively offset the loss of species following deforestation, and urge that conservation strategies prioritize the protection of remaining areas of primary forest.</t>
  </si>
  <si>
    <t>[Gardner, Toby A.; Peres, Carlos A.] Univ E Anglia, Sch Environm Sci, Ctr Ecol Evolut &amp; Conservat, Norwich NR4 7TJ, Norfolk, England; [Hernandez, Malva I. M.] Univ Fed Paraiba, BR-5805900 Joao Pessoa, Paraiba, Brazil; [Barlow, Jos] Museu Paraense Emilio Goeldi, BR-66077530 Belem, Para, Brazil; [Barlow, Jos] Univ Lancaster, Lancaster Environm Ctr, Lancaster LA1 4YQ, England</t>
  </si>
  <si>
    <t>University of East Anglia; Universidade Federal da Paraiba; Museu Paraense Emilio Goeldi; Lancaster University</t>
  </si>
  <si>
    <t>Gardner, TA (corresponding author), Univ E Anglia, Sch Environm Sci, Ctr Ecol Evolut &amp; Conservat, Norwich NR4 7TJ, Norfolk, England.</t>
  </si>
  <si>
    <t>tobyagardner@gmail.com</t>
  </si>
  <si>
    <t>Gardner, Toby/B-7516-2008; Hernandez, Malva/E-3485-2013; Barlow, Jos/HGE-9486-2022; Peres, Carlos/B-1276-2013</t>
  </si>
  <si>
    <t>Hernandez, Malva/0000-0002-6820-5980; Barlow, Jos/0000-0003-4992-2594; Peres, Carlos/0000-0002-1588-8765</t>
  </si>
  <si>
    <t>Engineering and Physical Sciences Research Council [EP/E500811/1] Funding Source: researchfish</t>
  </si>
  <si>
    <t>Engineering and Physical Sciences Research Council(UK Research &amp; Innovation (UKRI)Engineering &amp; Physical Sciences Research Council (EPSRC))</t>
  </si>
  <si>
    <t>0021-8901</t>
  </si>
  <si>
    <t>1365-2664</t>
  </si>
  <si>
    <t>J APPL ECOL</t>
  </si>
  <si>
    <t>J. Appl. Ecol.</t>
  </si>
  <si>
    <t>JUN</t>
  </si>
  <si>
    <t>10.1111/j.1365-2664.2008.01454.x</t>
  </si>
  <si>
    <t>295HC</t>
  </si>
  <si>
    <t>WOS:000255464600016</t>
  </si>
  <si>
    <t>Rodrigues, JLM; Pellizari, VH; Mueller, R; Baek, K; Jesus, ED; Paula, FS; Mirza, B; Hamaoui, GS; Tsai, SM; Feigl, B; Tiedje, JM; Bohannan, BJM; Nüsslein, K</t>
  </si>
  <si>
    <t>Rodrigues, Jorge L. M.; Pellizari, Vivian H.; Mueller, Rebecca; Baek, Kyunghwa; Jesus, Ederson da C.; Paula, Fabiana S.; Mirza, Babur; Hamaoui, George S., Jr.; Siu Mui Tsai; Feigl, Brigitte; Tiedje, James M.; Bohannan, Brendan J. M.; Nuesslein, Klaus</t>
  </si>
  <si>
    <t>PROCEEDINGS OF THE NATIONAL ACADEMY OF SCIENCES OF THE UNITED STATES OF AMERICA</t>
  </si>
  <si>
    <t>deforestation; microorganisms; community similarity; spatial scale; distance decay</t>
  </si>
  <si>
    <t>SOUTHWESTERN BRAZILIAN AMAZON; MICROBIAL DIVERSITY; NITROGEN DYNAMICS; PASTURE; BASIN; LAND; CONSERVATION; MICROORGANISMS; DEFORESTATION; BIODIVERSITY</t>
  </si>
  <si>
    <t>The Amazon rainforest is the Earth's largest reservoir of plant and animal diversity, and it has been subjected to especially high rates of land use change, primarily to cattle pasture. This conversion has had a strongly negative effect on biological diversity, reducing the number of plant and animal species and homogenizing communities. We report here that microbial biodiversity also responds strongly to conversion of the Amazon rainforest, but in a manner different from plants and animals. Local taxonomic and phylogenetic diversity of soil bacteria increases after conversion, but communities become more similar across space. This homogenization is driven by the loss of forest soil bacteria with restricted ranges (endemics) and results in a net loss of diversity. This study shows homogenization of microbial communities in response to human activities. Given that soil microbes represent the majority of biodiversity in terrestrial ecosystems and are intimately involved in ecosystem functions, we argue that microbial biodiversity loss should be taken into account when assessing the impact of land use change in tropical forests.</t>
  </si>
  <si>
    <t>[Rodrigues, Jorge L. M.; Mirza, Babur] Univ Texas Arlington, Dept Biol, Arlington, TX 76019 USA; [Pellizari, Vivian H.; Paula, Fabiana S.] Univ Sao Paulo, Inst Oceanog, BR-05508120 Sao Paulo, Brazil; [Mueller, Rebecca; Bohannan, Brendan J. M.] Univ Oregon, Inst Ecol &amp; Evolut, Eugene, OR 97403 USA; [Baek, Kyunghwa; Hamaoui, George S., Jr.; Nuesslein, Klaus] Univ Massachusetts, Dept Microbiol, Amherst, MA 01003 USA; [Jesus, Ederson da C.; Siu Mui Tsai] Embrapa Agrobiol, BR-23890000 Seropedica, RJ, Brazil; [Feigl, Brigitte] Ctr Energia Nucl Agr, BR-13400970 Piracicaba, SP, Brazil; [Tiedje, James M.] Michigan State Univ, Ctr Microbial Ecol, E Lansing, MI 48824 USA</t>
  </si>
  <si>
    <t>University of Texas System; University of Texas Arlington; Universidade de Sao Paulo; University of Oregon; University of Massachusetts System; University of Massachusetts Amherst; Empresa Brasileira de Pesquisa Agropecuaria (EMBRAPA); EMBRAPA Agrobiol; Michigan State University</t>
  </si>
  <si>
    <t>Tiedje, JM (corresponding author), Michigan State Univ, Ctr Microbial Ecol, E Lansing, MI 48824 USA.</t>
  </si>
  <si>
    <t>tiedjej@msu.edu; bohannan@uoregon.edu</t>
  </si>
  <si>
    <t>; Tiedje, James/ABH-7937-2022; Pellizari, Vivian/J-9153-2012; Bohannan, Brendan/R-1582-2017; Feigl, Brigitte/B-7956-2013; Tsai, Siu/C-2793-2012; da Conceição Jesus, Ederson/AAC-5305-2019</t>
  </si>
  <si>
    <t>Mirza, Babur/0000-0002-6042-2868; Pellizari, Vivian/0000-0003-2757-6352; Tsai, Siu/0000-0002-3733-6312; Roigues, Jorge/0000-0002-6446-6462; da Conceição Jesus, Ederson/0000-0002-2687-8976</t>
  </si>
  <si>
    <t>Agriculture and Food Research Initiative from the US Department of Agriculture National Institute of Food and Agriculture [2009-35319-05186]; Fundacao de Amparo a Pesquisa do Estado de Sao Paulo [2008/58114-3]; NIFA [582532, 2009-35319-05186] Funding Source: Federal RePORTER; Fundacao de Amparo a Pesquisa do Estado de Sao Paulo (FAPESP) [08/58114-3] Funding Source: FAPESP</t>
  </si>
  <si>
    <t>Agriculture and Food Research Initiative from the US Department of Agriculture National Institute of Food and Agriculture; Fundacao de Amparo a Pesquisa do Estado de Sao Paulo(Fundacao de Amparo a Pesquisa do Estado de Sao Paulo (FAPESP)); NIFA(United States Department of Agriculture (USDA)National Institute of Food &amp; Agriculture); Fundacao de Amparo a Pesquisa do Estado de Sao Paulo (FAPESP)(Fundacao de Amparo a Pesquisa do Estado de Sao Paulo (FAPESP))</t>
  </si>
  <si>
    <t>We thank the owners and staff of Agropecuaria Nova Vida for logistical support; Wagner Piccinini and Gunther Brucha for field sampling; Mark Charbonneau for DNA amplification; the staff of the Ribosomal Database Project for bioinformatics support; and Steven Kembel for statistical analyses. This project was supported by Agriculture and Food Research Initiative Competitive Grant 2009-35319-05186 from the US Department of Agriculture National Institute of Food and Agriculture and Fundacao de Amparo a Pesquisa do Estado de Sao Paulo Grant 2008/58114-3.</t>
  </si>
  <si>
    <t>NATL ACAD SCIENCES</t>
  </si>
  <si>
    <t>WASHINGTON</t>
  </si>
  <si>
    <t>2101 CONSTITUTION AVE NW, WASHINGTON, DC 20418 USA</t>
  </si>
  <si>
    <t>0027-8424</t>
  </si>
  <si>
    <t>P NATL ACAD SCI USA</t>
  </si>
  <si>
    <t>Proc. Natl. Acad. Sci. U. S. A.</t>
  </si>
  <si>
    <t>JAN 15</t>
  </si>
  <si>
    <t>10.1073/pnas.1220608110</t>
  </si>
  <si>
    <t>Multidisciplinary Sciences</t>
  </si>
  <si>
    <t>Science &amp; Technology - Other Topics</t>
  </si>
  <si>
    <t>075TI</t>
  </si>
  <si>
    <t>Green Submitted, Bronze</t>
  </si>
  <si>
    <t>WOS:000313909100047</t>
  </si>
  <si>
    <t>Chapman, CA; Chapman, LJ; Vulinec, K; Zanne, A; Lawes, MJ</t>
  </si>
  <si>
    <t>BIOTROPICA</t>
  </si>
  <si>
    <t>dung beetles; fragmentation; Kibale National Park; regeneration; rodents; seed dispersal; Uganda</t>
  </si>
  <si>
    <t>KIBALE NATIONAL-PARK; FOREST FRAGMENTATION; HABITAT ALTERATION; PATCH-OCCUPANCY; LOS TUXTLAS; PRIMATES; DYNAMICS; CONSERVATION; COMMUNITIES; PATTERNS</t>
  </si>
  <si>
    <t>Given current accelerated trends of tropical land conversion, forest fragments are being incorporated into many conservation programs. For investing in fragments to be a viable conservation strategy, forest fragments must maintain their ecological integrity over the long term. Based on fieldwork in 22 forest fragments in the crater lakes region of western Uganda and in the continuous forest of Kibale National Park, we examined (1) seed predation on experimentally dispersed seeds, (2) abundance and composition of the dung beetle community that may play a major role in removing seeds from sites of high seed predation, and (3) compared the fragments' seedling community composition to adult tree community composition and the seedling community in continuous forest. First, the rate of seed removal at experimental stations was lower in forest fragments (85% remaining after 1 day) than at stations in the continuous forest (79% remaining) and the probability of stations being discovered by seed predators was lower in fragments (23%) than in the intact forest (41%). Second, there was a 62 percent decline in fragment dung beetle abundance. The magnitude of this decline varied among dung beetle guilds that process dung and seeds in different fashions. The abundance of large rollers that move large seeds away from sites of defecation did not differ, but medium and smaller rollers and burying beetles that process small and medium-sized seeds were less common in the fragments than in the intact forest. Finally, we compared the seedling community composition relative to adult tree community composition by identifying all adult trees in each fragment and by sampling the composition of the seedling community. We found some evidence to suggest that there was movement of seeds among forest fragments by large-bodied dispersers, particularly chimpanzees (Pan troglodytes) and hornbills (Ceratogymna subcylindricus).</t>
  </si>
  <si>
    <t>Univ Florida, Dept Zool, Gainesville, FL 32611 USA; Wildlife Conservat Soc, Bronx, NY 10460 USA; Delaware State Univ, Dept Agr &amp; Nat Resources, Dover, DE 19901 USA; Tufts Univ, Dept Biol, Medford, MA 02155 USA; Univ KwaZulu Natal, Sch Bot &amp; Zool, Forest Biodivers Programme, ZA-3209 Scottsville, South Africa</t>
  </si>
  <si>
    <t>State University System of Florida; University of Florida; Wildlife Conservation Society; Delaware State University; Tufts University; University of Kwazulu Natal</t>
  </si>
  <si>
    <t>Chapman, CA (corresponding author), Univ Florida, Dept Zool, Gainesville, FL 32611 USA.</t>
  </si>
  <si>
    <t>Vulinec, Kevina/A-4444-2013; Chapman, Colin/S-1911-2019; Lawes, Michael/N-2132-2013</t>
  </si>
  <si>
    <t>Chapman, Colin/0000-0002-8827-8140; Lawes, Michael/0000-0002-2381-6147</t>
  </si>
  <si>
    <t>0006-3606</t>
  </si>
  <si>
    <t>1744-7429</t>
  </si>
  <si>
    <t>Biotropica</t>
  </si>
  <si>
    <t>10.1646/02149</t>
  </si>
  <si>
    <t>744QY</t>
  </si>
  <si>
    <t>WOS:000186644700008</t>
  </si>
  <si>
    <t>Ives, CD; Taylor, MP; Nipperess, DA; Hose, GC</t>
  </si>
  <si>
    <t>Ives, Christopher D.; Taylor, Mark Patrick; Nipperess, David A.; Hose, Grant C.</t>
  </si>
  <si>
    <t>LANDSCAPE AND URBAN PLANNING</t>
  </si>
  <si>
    <t>Urbanization; Catchment land use; Riparian corridors; Biodiversity; Ants; Weed invasion</t>
  </si>
  <si>
    <t>URBAN-RURAL GRADIENT; LAND-USE; PLANT INVASIONS; COMMUNITIES; INVERTEBRATES; BIODIVERSITY; ASSEMBLAGES; DISTURBANCE; FOREST; ARTHROPODS</t>
  </si>
  <si>
    <t>The conversion of rural land to residential use is occurring rapidly as the global trend of city expansion continues. The impact of this land use change on riparian biodiversity was investigated by examining ant communities from 12 remnant riparian corridors in northwest Sydney, Australia. Ants were sampled from rural and urban catchments using pitfall traps. Data on vegetation floristics, habitat structure and stream water quality were also collected. No significant differences in ant diversity metrics or assemblage structure were found between urban and rural sites. Similarly, very few environmental variables revealed significant differences between land use types. One exception, however, was the percentage cover of exotic plants, which was related to ant assemblage structure. Small-leaved and broad-leaved privet (Ligustrum spp.) were highly correlated with total weed cover. The results suggest that ants respond mostly to small-scale habitat characteristics, especially those related to the dominance of exotic plants. As all sites had experienced some level of human impact, it is possible that all the sites have already transgressed an ecological threshold due to the earlier catchment land use change from natural to agricultural use. This apparent sensitivity may explain the failure to observe any significant differences between the urban and rural catchments examined in this study. It is recommended that managers looking to protect the integrity of riparian invertebrate communities should focus on addressing local habitat pressures in human-modified catchments. (C) 2012 Elsevier B.V. All rights reserved.</t>
  </si>
  <si>
    <t>[Ives, Christopher D.] RMIT Univ, Sch Global Urban &amp; Social Studies, Melbourne, Vic 3001, Australia; [Taylor, Mark Patrick; Hose, Grant C.] Macquarie Univ, Dept Geog &amp; Environm, Sydney, NSW 2109, Australia; [Nipperess, David A.; Hose, Grant C.] Macquarie Univ, Dept Biol Sci, Sydney, NSW 2109, Australia</t>
  </si>
  <si>
    <t>Royal Melbourne Institute of Technology (RMIT); Macquarie University; Macquarie University</t>
  </si>
  <si>
    <t>Ives, CD (corresponding author), RMIT Univ, Sch Global Urban &amp; Social Studies, GPO Box 2476, Melbourne, Vic 3001, Australia.</t>
  </si>
  <si>
    <t>christopher.ives@rmit.edu.au; mark.taylor@mq.edu.au; david.nipperess@mq.edu.au; grant.hose@mq.edu.au</t>
  </si>
  <si>
    <t>Nipperess, David/H-2707-2019; Ives, Christopher/I-3278-2013</t>
  </si>
  <si>
    <t>Hose, Grant/0000-0003-2106-5543; Taylor, Mark Patrick/0000-0001-7598-9982</t>
  </si>
  <si>
    <t>Macquarie University; Australian Government National Environmental Research Program</t>
  </si>
  <si>
    <t>Macquarie University(Macquarie University); Australian Government National Environmental Research Program(Australian Government)</t>
  </si>
  <si>
    <t>Funding for this project was provided by Macquarie University and the Australian Government National Environmental Research Program. C.I. would like to thank J. Ives for his assistance with sorting and taxonomic identification of macro-invertebrate samples.</t>
  </si>
  <si>
    <t>ELSEVIER</t>
  </si>
  <si>
    <t>AMSTERDAM</t>
  </si>
  <si>
    <t>RADARWEG 29, 1043 NX AMSTERDAM, NETHERLANDS</t>
  </si>
  <si>
    <t>0169-2046</t>
  </si>
  <si>
    <t>1872-6062</t>
  </si>
  <si>
    <t>LANDSCAPE URBAN PLAN</t>
  </si>
  <si>
    <t>Landsc. Urban Plan.</t>
  </si>
  <si>
    <t>FEB</t>
  </si>
  <si>
    <t>10.1016/j.landurbplan.2012.11.005</t>
  </si>
  <si>
    <t>Ecology; Environmental Studies; Geography; Geography, Physical; Regional &amp; Urban Planning; Urban Studies</t>
  </si>
  <si>
    <t>Science Citation Index Expanded (SCI-EXPANDED); Social Science Citation Index (SSCI)</t>
  </si>
  <si>
    <t>Environmental Sciences &amp; Ecology; Geography; Physical Geography; Public Administration; Urban Studies</t>
  </si>
  <si>
    <t>079RJ</t>
  </si>
  <si>
    <t>WOS:000314189600016</t>
  </si>
  <si>
    <t>Yang, HJ; Wu, MY; Liu, WX; Zhang, Z; Zhang, NL; Wan, SQ</t>
  </si>
  <si>
    <t>Yang, Haijun; Wu, Mingyu; Liu, Weixing; Zhang, Zhe; Zhang, Naili; Wan, Shiqiang</t>
  </si>
  <si>
    <t>GLOBAL CHANGE BIOLOGY</t>
  </si>
  <si>
    <t>diversity; grassland; plant functional group; temperature; water availability</t>
  </si>
  <si>
    <t>ALASKAN ARCTIC TUNDRA; PLANT COMMUNITY; ELEVATED CO2; PRIMARY PRODUCTIVITY; SPECIES RICHNESS; GRASSLAND; DIVERSITY; WATER; PRECIPITATION; ECOSYSTEMS</t>
  </si>
  <si>
    <t>Climate change would have profound influences on community structure and composition, and subsequently has impacts on ecosystem functioning and feedback to climate change. A field experiment with increased temperature and precipitation was conducted to examine effects of experimental warming, increased precipitation and their interactions on community structure and composition in a temperate steppe in northern China since April 2005. Increased precipitation significantly stimulated species richness and coverage of plant community. In contrast, experimental warming markedly reduced species richness of grasses and community coverage. Species richness was positively dependent upon soil moisture (SM) across all treatments and years. Redundancy analysis (RDA) illustrated that SM dominated the response of community composition to climate change at the individual level, suggesting indirect effects of climate change on plant community composition via altering water availability. In addition, species interaction also mediated the responses of functional group coverage to increased precipitation and temperature. Our observations revealed that both abiotic (soil water availability) and biotic (interspecific interactions) factors play important roles in regulating plant community structure and composition in response to climate change in the semiarid steppe. Therefore these factors should be incorporated in model predicting terrestrial vegetation dynamics under climate change.</t>
  </si>
  <si>
    <t>[Yang, Haijun; Wu, Mingyu; Liu, Weixing; Zhang, Zhe; Zhang, Naili; Wan, Shiqiang] Chinese Acad Sci, State Key Lab Vegetat Environm Change, Inst Bot, Beijing 100093, Peoples R China; [Yang, Haijun; Zhang, Zhe] Chinese Acad Sci, Grad Sch, Beijing 100049, Peoples R China; [Wan, Shiqiang] Henan Univ, Key Lab Plant Stress Biol, Coll Life Sci, Kaifeng 475004, Henan, Peoples R China</t>
  </si>
  <si>
    <t>Chinese Academy of Sciences; Institute of Botany, CAS; Chinese Academy of Sciences; University of Chinese Academy of Sciences, CAS; Henan University</t>
  </si>
  <si>
    <t>Wan, SQ (corresponding author), Chinese Acad Sci, State Key Lab Vegetat Environm Change, Inst Bot, Beijing 100093, Peoples R China.</t>
  </si>
  <si>
    <t>swan@ibcas.ac.cn</t>
  </si>
  <si>
    <t>Yang, Haijun/E-7186-2012; Wan, Shiqiang/B-5799-2009; zhang, Naili/D-9986-2017</t>
  </si>
  <si>
    <t>Yang, Haijun/0000-0002-9596-4907; Wan, Shiqiang/0000-0003-0631-1232;</t>
  </si>
  <si>
    <t>Institute of Botany, Chinese Academy of Sciences; Ministry of Science and Technology of China [(2007 CB106803]; National Natural Science Foundation of China [30821062, 30925009]; State Key Laboratory of Vegetation and Environmental Change</t>
  </si>
  <si>
    <t>Institute of Botany, Chinese Academy of Sciences(Chinese Academy of Sciences); Ministry of Science and Technology of China(Ministry of Science and Technology, China); National Natural Science Foundation of China(National Natural Science Foundation of China (NSFC)); State Key Laboratory of Vegetation and Environmental Change</t>
  </si>
  <si>
    <t>This study was conducted as part of a comprehensive research project (Global Change Multi-factor Experiment - Duolun) sponsored by Institute of Botany, Chinese Academy of Sciences. The authors thank Jianyang Xia, Shuli Niu, Changhui Wang, Hongjun Wang and Xin Zhang for their helpful discussions and valuable advice on the manuscript. Special thanks give to Wenhua Xu and Zhuwen Xu for their help in data analysis and identifying plant species, respectively. Thanks two anonymous referees for their thoughtful and helpful comments to the earlier version of this manuscript. This study was financially supported by the Ministry of Science and Technology of China (2007 CB106803), the National Natural Science Foundation of China (30821062, 30925009) and State Key Laboratory of Vegetation and Environmental Change.</t>
  </si>
  <si>
    <t>1354-1013</t>
  </si>
  <si>
    <t>1365-2486</t>
  </si>
  <si>
    <t>GLOBAL CHANGE BIOL</t>
  </si>
  <si>
    <t>Glob. Change Biol.</t>
  </si>
  <si>
    <t>10.1111/j.1365-2486.2010.02253.x</t>
  </si>
  <si>
    <t>688LT</t>
  </si>
  <si>
    <t>WOS:000284851500037</t>
  </si>
  <si>
    <t>Skórka, P; Lenda, M; Tryjanowski, P</t>
  </si>
  <si>
    <t>Skorka, Piotr; Lenda, Magdalena; Tryjanowski, Piotr</t>
  </si>
  <si>
    <t>BIOLOGICAL CONSERVATION</t>
  </si>
  <si>
    <t>Abandoned farmland; Agriculture; Biological invasion; Land use; Management</t>
  </si>
  <si>
    <t>FARMLAND; SOLIDAGO; BIODIVERSITY; ABUNDANCE; IMPACTS; LAND; POPULATIONS</t>
  </si>
  <si>
    <t>Invasive alien plants constitute a major threat to local biodiversity. Moreover, their appearance often coincides with land use change. Many endangered groups of organisms suffer from habitat loss, which is often a consequence of the invasion of alien plants This paper examines how invasive alien goldenrods Solidago spp affect the richness of endangered grassland bird species and numbers of breeding pairs in abandoned meadows in southern Poland. Meadows invaded by goldenrods (n = 15) had lower bird spedes richness and a lower number of breeding pairs than meadows in which goldenrods were absent (n = 15) Two important factors positively influencing bird species richness were meadow area and shrub density (the latter only in meadows without goldenrods). Moreover, both the index of potential food density (number of butterflies) and plant species richness were much lower in meadows invaded by goldenrods than in meadows without these plants Urgent action aimed at preventing the invasion of alien goldenrods in abandoned meadows is needed and such measures should involve regular mowing Our results also highlight the fact that land abandonment in Central and Eastern Europe is not necessarily as beneficial for biodiversity as it is commonly believed and it may even lead to a decrease in the populations of several bird species in the agricultural landscape. (C) 2009 Elsevier Ltd. All rights reserved.</t>
  </si>
  <si>
    <t>[Skorka, Piotr; Tryjanowski, Piotr] Poznan Univ Life Sci, Inst Zool, PL-60625 Poznan, Poland; [Lenda, Magdalena] Polish Acad Sci, Inst Nat Conservat, PL-31120 Krakow, Poland</t>
  </si>
  <si>
    <t>Poznan University of Life Sciences; Polish Academy of Sciences</t>
  </si>
  <si>
    <t>Skórka, P (corresponding author), Poznan Univ Life Sci, Inst Zool, Wojska Polskiego 71C, PL-60625 Poznan, Poland.</t>
  </si>
  <si>
    <t>Tryjanowski, Piotr/C-1367-2009; Skórka, Piotr/B-7218-2009; Skorka, Piotr/B-7218-2009</t>
  </si>
  <si>
    <t>Tryjanowski, Piotr/0000-0002-8358-0797; Skórka, Piotr/0000-0002-3221-296X; Skorka, Piotr/0000-0002-7486-2928; Lenda, Magdalena/0000-0001-7824-7220</t>
  </si>
  <si>
    <t>Polish Ministry of Science and Higher Education [304 074635]</t>
  </si>
  <si>
    <t>Polish Ministry of Science and Higher Education(Ministry of Science and Higher Education, Poland)</t>
  </si>
  <si>
    <t>We are grateful to Markus Fisher and three anonymous referees for their critical comments on previous versions of the manuscript. This study was partially financed by Project NN 304 074635 initiated by the Polish Ministry of Science and Higher Education We thank Jason Lowther and Tim H. Sparks for linguistic corrections.</t>
  </si>
  <si>
    <t>ELSEVIER SCI LTD</t>
  </si>
  <si>
    <t>OXFORD</t>
  </si>
  <si>
    <t>THE BOULEVARD, LANGFORD LANE, KIDLINGTON, OXFORD OX5 1GB, OXON, ENGLAND</t>
  </si>
  <si>
    <t>0006-3207</t>
  </si>
  <si>
    <t>1873-2917</t>
  </si>
  <si>
    <t>BIOL CONSERV</t>
  </si>
  <si>
    <t>Biol. Conserv.</t>
  </si>
  <si>
    <t>APR</t>
  </si>
  <si>
    <t>10.1016/j.biocon.2009.12.030</t>
  </si>
  <si>
    <t>580CV</t>
  </si>
  <si>
    <t>WOS:000276425400006</t>
  </si>
  <si>
    <t>Meijer, SS; Whittaker, RJ; Borges, PAV</t>
  </si>
  <si>
    <t>Meijer, Seline S.; Whittaker, Robert J.; Borges, Paulo A. V.</t>
  </si>
  <si>
    <t>JOURNAL OF INSECT CONSERVATION</t>
  </si>
  <si>
    <t>Arthropods; Azores; Conservation biogeography; Endemic species; Landscape matrix; Land use</t>
  </si>
  <si>
    <t>SPECIES RICHNESS; COUNTRYSIDE BIOGEOGRAPHY; AGRICULTURAL LANDSCAPES; EXTINCTION DEBT; PROTECTED AREAS; ATLANTIC FOREST; HABITAT LOSS; RAIN-FOREST; MATRIX; DEFORESTATION</t>
  </si>
  <si>
    <t>We study how endemic, native and introduced arthropod species richness, abundance, diversity and community composition vary between four different habitat types (native forest, exotic forest of Cryptomeria japonica, semi-natural pasture and intensive pasture) and how arthropod richness and abundance change with increasing distance from the native forest in adjacent habitat types in Santa Maria Island, the Azores. Arthropods were sampled in four 150 m long transects in each habitat type. Arthropods were identified to species level and classified as Azorean endemic, single-island endemic (SIE), native, or introduced. The native forest had the highest values for species richness of Azorean endemics, SIEs and natives; and also had highest values of Azorean endemic diversity (Fisher's alpha). In contrast, the intensive pasture had the lowest values for endemic and native species richness and diversity, but the highest values of total arthropod abundance and introduced species richness and diversity. Arthropod community composition was significantly different between the four habitat types. In the semi-natural pasture, the number of SIE species decreased with increasing distance from the native forest, and in the exotic forest the abundance of both Azorean endemics and SIEs decreased with increasing distance from the native forest. There is a gradient of decreasing arthropod richness and abundance from the native forest to the intensive pasture. Although this study demonstrates the important role of the native forest in arthropod conservation in the Azores, it also shows that unmanaged exotic forests have provided alternative habitat suitable for some native species of forest specialist arthropods, particularly saproxylic beetles.</t>
  </si>
  <si>
    <t>[Meijer, Seline S.; Borges, Paulo A. V.] Univ Acores, Azorean Biodivers Grp CITA A, Dept Ciencias Agr, Angra Do Heroismo, Portugal; [Meijer, Seline S.; Whittaker, Robert J.] Univ Oxford, Biodivers Res Grp, Ctr Environm, Oxford OX1 3QY, England; [Whittaker, Robert J.] Univ Copenhagen, Dept Biol, Ctr Macroecol Evolut &amp; Climate, Copenhagen, Denmark; [Meijer, Seline S.] World Agroforestry Ctr, Nairobi, Kenya</t>
  </si>
  <si>
    <t>Universidade dos Acores; University of Oxford; University of Copenhagen; CGIAR; World Agroforestry (ICRAF)</t>
  </si>
  <si>
    <t>Borges, PAV (corresponding author), Univ Acores, Azorean Biodivers Grp CITA A, Dept Ciencias Agr, 9701-851 Terra Cha, Angra Do Heroismo, Portugal.</t>
  </si>
  <si>
    <t>pborges@uac.pt</t>
  </si>
  <si>
    <t>Borges, Paulo/AEW-0237-2022; Whittaker, Robert/H-1548-2015</t>
  </si>
  <si>
    <t>Borges, Paulo/0000-0002-8448-7623; Whittaker, Robert/0000-0001-7775-3383</t>
  </si>
  <si>
    <t>Huygens Scholarship Programme (HSP); VSB Foundation; Consequences of land-use change on Azorean fauna and flora-the 2010 Target [M.2.1.2/I/003/2008]</t>
  </si>
  <si>
    <t>Huygens Scholarship Programme (HSP); VSB Foundation; Consequences of land-use change on Azorean fauna and flora-the 2010 Target</t>
  </si>
  <si>
    <t>We are very thankful for the support in the fieldwork by the Ecoteca of St. Maria and to the Servicos de Desenvolvimento Agrario de St. Maria. We thank Fernando Pereira and Joao Moniz for the help with setting up the traps and collecting of the insects, and Vasiliki Orfanou and Joao Moniz for helping with the sorting and identification of the arthropods. Enesima Mendonca is thanked for her help in preparing the map of Santa Maria, and Kostas Triantis for giving useful comments on the introduction. This study was supported by a Huygens Scholarship Programme (HSP) grant and a VSB Foundation grant to S. S. M. and financial support in the Azores was provided by project Consequences of land-use change on Azorean fauna and flora-the 2010 Target (Ref: Direccao Regional da Ciencia e Tecnologia M.2.1.2/I/003/2008) to P. A. V. B.</t>
  </si>
  <si>
    <t>1366-638X</t>
  </si>
  <si>
    <t>1572-9753</t>
  </si>
  <si>
    <t>J INSECT CONSERV</t>
  </si>
  <si>
    <t>J. Insect Conserv.</t>
  </si>
  <si>
    <t>AUG</t>
  </si>
  <si>
    <t>10.1007/s10841-010-9330-2</t>
  </si>
  <si>
    <t>Biodiversity Conservation; Entomology</t>
  </si>
  <si>
    <t>Biodiversity &amp; Conservation; Entomology</t>
  </si>
  <si>
    <t>814MT</t>
  </si>
  <si>
    <t>WOS:000294460300002</t>
  </si>
  <si>
    <t>Lewandowska, AM; Breithaupt, P; Hillebrand, H; Hoppe, HG; Jürgens, K; Sommer, U</t>
  </si>
  <si>
    <t>Lewandowska, Aleksandra M.; Breithaupt, Petra; Hillebrand, Helmut; Hoppe, Hans-Georg; Juergens, Klaus; Sommer, Ulrich</t>
  </si>
  <si>
    <t>JOURNAL OF SEA RESEARCH</t>
  </si>
  <si>
    <t>Productivity; Diversity; Climate Warming; Mesocosm</t>
  </si>
  <si>
    <t>SPECIES EVENNESS; BIODIVERSITY; RICHNESS; CARBON</t>
  </si>
  <si>
    <t>In order to examine the effects of warming and diversity changes on primary productivity, we conducted a meta-analysis on six independent indoor mesocosm experiments with a natural plankton community from the Baltic Sea. Temperature effects on primary productivity changed with light intensity and zooplankton density and analysed pathways between temperature, diversity and productivity, elucidating direct and indirect effects of warming on primary productivity during the spring phytoplankton bloom. Our findings indicate that warming directly increased carbon specific primary productivity, which was more pronounced under low grazing pressure. On the other hand, primary productivity per unit water volume did not respond to increased temperature, because of a negative temperature effect on phytoplankton biomass. Moreover, primary productivity response to temperature changes depended on light limitation. Using path analysis, we tested whether temperature effects were direct or mediated by warming effects on phytoplankton diversity. Although phytoplankton species richness had a positive impact on both net primary productivity and carbon specific primary productivity - and evenness had a negative effect on net primary productivity both richness and evenness were not affected by temperature. Thus, we suggest that diversity effects on primary productivity depended mainly on other factors than temperature like grazing, sinking or nutrient limitation, which themselves are temperature dependent. (C) 2011 Elsevier B.V. All rights reserved.</t>
  </si>
  <si>
    <t>[Lewandowska, Aleksandra M.; Hoppe, Hans-Georg; Sommer, Ulrich] Leibniz Inst Marine Sci, IFM, GEOMAR, D-24105 Kiel, Germany; [Breithaupt, Petra] Univ Med Ctr Schleswig Holstein, Dept Gen Pediat, ALL BFM Lab, D-24105 Kiel, Germany; [Hillebrand, Helmut] Carl von Ossietzky Univ Oldenburg, Inst Chem &amp; Biol Marine Environm ICBM, D-26382 Wilhelmshaven, Germany; [Juergens, Klaus] Leibniz Inst Balt Sea Res Warnemunde, D-18119 Rostock, Germany</t>
  </si>
  <si>
    <t>Helmholtz Association; GEOMAR Helmholtz Center for Ocean Research Kiel; University of Kiel; Schleswig Holstein University Hospital; Carl von Ossietzky Universitat Oldenburg; Leibniz Institut fur Ostseeforschung Warnemunde</t>
  </si>
  <si>
    <t>Lewandowska, AM (corresponding author), Dusternbrooker Weg 20, D-24105 Kiel, Germany.</t>
  </si>
  <si>
    <t>alewandowska@ifm-geomar.de</t>
  </si>
  <si>
    <t>Hillebrand, Helmut/I-1717-2014; Lewandowska, Aleksana/AAZ-4374-2020</t>
  </si>
  <si>
    <t>Hillebrand, Helmut/0000-0001-7449-1613; Jürgens, Klaus/0000-0002-7999-9368; Lewandowska, Aleksana/0000-0003-2925-4509</t>
  </si>
  <si>
    <t>DFG (German Research Foundation) [1162]</t>
  </si>
  <si>
    <t>DFG (German Research Foundation)(German Research Foundation (DFG))</t>
  </si>
  <si>
    <t>This study was funded by DFG (German Research Foundation) within the priority program 1162 'AQUASHIFT'. T. Hansen, H. Tomanetz, R. Koppe and C. Meyer are acknowledged for their technical assistance. We thank K. Gocke for his help with measurements of primary productivity. M. Winder is acknowledged for her constructive comments and help with data analysis.</t>
  </si>
  <si>
    <t>1385-1101</t>
  </si>
  <si>
    <t>1873-1414</t>
  </si>
  <si>
    <t>J SEA RES</t>
  </si>
  <si>
    <t>J. Sea Res.</t>
  </si>
  <si>
    <t>10.1016/j.seares.2011.10.003</t>
  </si>
  <si>
    <t>Marine &amp; Freshwater Biology; Oceanography</t>
  </si>
  <si>
    <t>991FS</t>
  </si>
  <si>
    <t>WOS:000307687500011</t>
  </si>
  <si>
    <t>Andresen, E</t>
  </si>
  <si>
    <t>Andresen, Ellen</t>
  </si>
  <si>
    <t>Dung beetle assemblages in primary forest and disturbed habitats in a tropical dry forest landscape in Western Mexico</t>
  </si>
  <si>
    <t>disturbance; indicator group; Mexico; Scarabaeinae; tropical dry forest</t>
  </si>
  <si>
    <t>RAIN-FOREST; COMMUNITY STRUCTURE; LOS-TUXTLAS; SCARABAEINAE ASSEMBLAGES; DECIDUOUS FOREST; CARRION BEETLES; SEED DISPERSAL; CLOUD FOREST; DIVERSITY; COLEOPTERA</t>
  </si>
  <si>
    <t>Dung beetles (Scarabaeinae) are conspicuous components in most terrestrial ecosystems, performing important ecological functions and services. Being sensitive to several types of disturbance, they have been successfully used as indicators of habitat change. Dung beetle communities in tropical rainforests have been well studied, but considerably less information is available for tropical dry forests. In this study I sampled dung beetles in two undisturbed habitats, deciduous forest and semideciduous forest, and two disturbed habitats, secondary forest and open area habitat, in the Chamela-Cuixmala region of western Mexico. Dung beetle species with high indicator value for each habitat were identified. Beetle abundance, observed species richness and estimated species richness were similar in the three forest habitats, but significantly lower in the open area habitat. A more detailed analysis of species-specific abundances in the three forest habitats revealed some differences. Transects of one of the undisturbed habitats, the deciduous forest, were more similar to the non-adjacent transects of disturbed secondary forest, than to the adjacent undisturbed semideciduous forest transects. Unlike studies in other tropical sites that have found a decrease in equitability in Scarabaeinae assemblages between undisturbed forest and disturbed habitat (particularly open habitats), in the Chamela-Cuixmala region all four habitats showed similar low equitability in community structure, with two or three very dominant species.</t>
  </si>
  <si>
    <t>Univ Nacl Autonoma Mexico, Ctr Invest Ecosistemas, Morelia 58090, Michoacan, Mexico</t>
  </si>
  <si>
    <t>Universidad Nacional Autonoma de Mexico</t>
  </si>
  <si>
    <t>Andresen, E (corresponding author), Univ Nacl Autonoma Mexico, Ctr Invest Ecosistemas, Apartado Postal 27-3, Morelia 58090, Michoacan, Mexico.</t>
  </si>
  <si>
    <t>andresen@oikos.unam.mx</t>
  </si>
  <si>
    <t>Andresen, Ellen/AFM-7145-2022</t>
  </si>
  <si>
    <t>CONACYT [I39107V, 35714-V]; SEMARNAT-CONACYT [2004-01-56]; ORCYT-UNESCO [883.612.2]</t>
  </si>
  <si>
    <t>CONACYT(Consejo Nacional de Ciencia y Tecnologia (CONACyT)); SEMARNAT-CONACYT(Consejo Nacional de Ciencia y Tecnologia (CONACyT)); ORCYT-UNESCO</t>
  </si>
  <si>
    <t>I would like to thank F. Escobar and J. Noriega for their invaluable help in the processing and identification of dung beetles in the field, and G. Halffter, F. vaz de Mello, and L. Delgado for final species determinations. Many thanks to A. Cabrera, A. Castro, F. Escobar, J. Noriega, L. Pedroza, and S. Ramos for their assistance in the field. This manuscript greatly benefited from comments and suggestions by K. Vulinec and four anonymous reviewers. I thank the Chamela Biological Station from the Institute of Biology of the National Autonomous University of Mexico (UNAM), for the logistical support. Financial support came from CONACYT I39107V, SEMARNAT-CONACYT 2004-01-56, CONACYT 35714-V, ORCYT-UNESCO 883.612.2.</t>
  </si>
  <si>
    <t>10.1007/s10841-007-9100-y</t>
  </si>
  <si>
    <t>354WZ</t>
  </si>
  <si>
    <t>WOS:000259671900006</t>
  </si>
  <si>
    <t>Lindo, Z; Whiteley, J; Gonzalez, A</t>
  </si>
  <si>
    <t>Lindo, Zoe; Whiteley, Jonathan; Gonzalez, Andrew</t>
  </si>
  <si>
    <t>biodiversity loss; body size spectra; climate change; community disassembly; habitat fragmentation; natural abundance stable isotopes; traits; trophic space</t>
  </si>
  <si>
    <t>SOIL BIODIVERSITY; CLIMATE-CHANGE; TERRESTRIAL ECOSYSTEMS; SPECIES TRAITS; BODY-SIZE; EXTINCTION; RESPONSES; DYNAMICS; CONNECTIVITY; GRASSLAND</t>
  </si>
  <si>
    <t>Many ecosystems are currently undergoing dramatic changes in biodiversity due to habitat loss and climate change. Responses to global change at the community level are poorly understood, as are the impacts of community disassembly on ecosystem-level processes. Uncertainties remain regarding the patterns of extirpation and persistence under single vs. multiple forms of environmental change. Here, we use a trait-based and food web approach to examine the effects of experimentally changing moisture, temperature and habitat openness on a functionally important group of microarthropods associated with a boreal forest floor bryosphere (detrital moss) system. Overall, the outcome of community disassembly was mediated by the correlation between our environmental factors and species traits, particularly body size. Minor increases in summer temperatures maintained greater species richness, whereas drought stress had a significant negative effect on community-level abundance and richness. These effects were reflected in modifications to the community-wide body-size spectra. Habitat openness alleviated biodiversity loss in the larger-bodied species of the most abundant taxonomic group, but did not fully mitigate the effects of drought. The most striking result of this experiment was an overall contraction of the food web among persistent species under drought stress (i.e. those not extirpated by environmental change). These results suggest that major changes in boreal microarthropod community structure are likely to occur in response to common forms of global change. Moreover, the contraction in trophic structure even amongst tolerant species suggests that ecosystem function within the bryosphere can be altered by environmental change.</t>
  </si>
  <si>
    <t>[Lindo, Zoe; Whiteley, Jonathan; Gonzalez, Andrew] McGill Univ, Dept Biol, Montreal, PQ H3A 1B1, Canada</t>
  </si>
  <si>
    <t>McGill University</t>
  </si>
  <si>
    <t>Lindo, Z (corresponding author), Univ Western Ontario, Dept Biol, Biol &amp; Geol Sci Bldg, London, ON N6A 5B7, Canada.</t>
  </si>
  <si>
    <t>zlindo@uwo.ca</t>
  </si>
  <si>
    <t>; Gonzalez, Anew/F-2247-2010</t>
  </si>
  <si>
    <t>Whiteley, Jonathan/0000-0002-2994-9258; Lindo, Zoë/0000-0001-9942-7204; Gonzalez, Anew/0000-0001-6075-8081</t>
  </si>
  <si>
    <t>McGill Sub-arctic Field Station support crew (Oksana Choulik); Natural Sciences and Engineering Research Council of Canada; Canada Research Chair Program; Indian and Northern Affairs Canada; Fonds Quebecois de la Recherche sur la Nature et les Technologies</t>
  </si>
  <si>
    <t>McGill Sub-arctic Field Station support crew (Oksana Choulik); Natural Sciences and Engineering Research Council of Canada(Natural Sciences and Engineering Research Council of Canada (NSERC)CGIAR); Canada Research Chair Program(Canada Research Chairs); Indian and Northern Affairs Canada; Fonds Quebecois de la Recherche sur la Nature et les Technologies(Fonds de recherche du Quebec (FRQ)Fonds de recherche du Quebec - Nature et technologies (FRQNT))</t>
  </si>
  <si>
    <t>We thank the McGill Sub-arctic Field Station support crew (Oksana Choulik) for support, and Graham Bell for use of his ultra-microbalance. We acknowledge funding from the Natural Sciences and Engineering Research Council of Canada, the Canada Research Chair Program, Indian and Northern Affairs Canada and Fonds Quebecois de la Recherche sur la Nature et les Technologies. The helpful comments of the subject editor and anonymous reviewers significantly improved this manuscript.</t>
  </si>
  <si>
    <t>10.1111/j.1365-2486.2012.02725.x</t>
  </si>
  <si>
    <t>971UB</t>
  </si>
  <si>
    <t>WOS:000306228300007</t>
  </si>
  <si>
    <t>Gotlieb, A; Hollender, Y; Mandelik, Y</t>
  </si>
  <si>
    <t>Gotlieb, Ariella; Hollender, Yael; Mandelik, Yael</t>
  </si>
  <si>
    <t>BASIC AND APPLIED ECOLOGY</t>
  </si>
  <si>
    <t>Wild bees; Arid; Habitat change; Anthropogenic disturbance</t>
  </si>
  <si>
    <t>LAND-USE INTENSITY; PLANT; HYMENOPTERA; CONSERVATION; DIVERSITY; APIFORMES; SPECIALIZATION; REPRODUCTION; BIODIVERSITY; VISITATION</t>
  </si>
  <si>
    <t>Conversion of natural habitats to human settlements creates an alternative habitat with different bio-physical characteristics such as micro-climatic conditions and resource availability. Deserts are especially sensitive to such effects due to generally low nutrient levels and water availability. Gardens in human settlements in the desert are often a main source of alien plant species that provide ample foraging resources year round. These changes in floral composition and availability may alter pollinator community composition and foraging behaviour, as well as pollination network characteristics. We investigated the effects of desert gardening on pollinator communities and pollination networks in the Jordan Rift Valley (Israel), an arid agro-natural landscape south of the Dead Sea. We studied seasonal diversity patterns of plants and wild bees in natural habitats and in gardens in settlements. Wild bees and blooming plants were sampled from February to July in 2007 and in 2008. We constructed plant pollinator networks and compared bee communities between the two habitat types along the season. We found that bee abundance was greater in the gardens, and that rarefied bee species richness was greater in the natural habitat. Bee species richness and abundance exhibited contrasting seasonal patterns between habitats. Bee community composition also differed greatly between habitats, and species in the gardens had a generally wider geographical range in comparison to species in the natural habitat. We also found a higher level of generalisation of the pollination network in the gardens compared to the natural habitat, which may indicate a response to a disturbed and unstable environment. We conclude that gardening in deserts although promoting overall bee abundance, negatively affects species richness and changes community composition and network characteristics, with possible implications on the composition of native flora in the natural habitat surrounding the gardens.</t>
  </si>
  <si>
    <t>[Gotlieb, Ariella; Hollender, Yael] Tel Aviv Univ, Fac Life Sci, Dept Zool, IL-69978 Tel Aviv, Israel; [Mandelik, Yael] Hebrew Univ Jerusalem, Fac Agr Food &amp; Environm, Dept Entomol, IL-76100 Rehovot, Israel</t>
  </si>
  <si>
    <t>Tel Aviv University; Hebrew University of Jerusalem</t>
  </si>
  <si>
    <t>Gotlieb, A (corresponding author), Tel Aviv Univ, Fac Life Sci, Dept Zool, POB 39040, IL-69978 Tel Aviv, Israel.</t>
  </si>
  <si>
    <t>ariellag@post.tau.ac.il</t>
  </si>
  <si>
    <t>Mandelik, Yael/HZI-4596-2023</t>
  </si>
  <si>
    <t>Bridging the Rift Foundation</t>
  </si>
  <si>
    <t>We thank Ahmad Al-Malabe, Muheeb Awawde, Mohammad Turki and Itai Lalzar for their assistance in fieldwork. We thank Dr. Christophe Praz for his help with life history data of several bee species. The research was coordinated and funded by Bridging the Rift Foundation. We thank two anonymous reviewers for helping to improve the manuscript.</t>
  </si>
  <si>
    <t>ELSEVIER GMBH</t>
  </si>
  <si>
    <t>MUNICH</t>
  </si>
  <si>
    <t>HACKERBRUCKE 6, 80335 MUNICH, GERMANY</t>
  </si>
  <si>
    <t>1439-1791</t>
  </si>
  <si>
    <t>1618-0089</t>
  </si>
  <si>
    <t>BASIC APPL ECOL</t>
  </si>
  <si>
    <t>Basic Appl. Ecol.</t>
  </si>
  <si>
    <t>10.1016/j.baae.2010.12.003</t>
  </si>
  <si>
    <t>799UW</t>
  </si>
  <si>
    <t>WOS:000293312600005</t>
  </si>
  <si>
    <t>Bonin, MC; Almany, GR; Jones, GP</t>
  </si>
  <si>
    <t>Bonin, Mary C.; Almany, Glenn R.; Jones, Geoffrey P.</t>
  </si>
  <si>
    <t>ECOLOGY</t>
  </si>
  <si>
    <t>Acropora spp.; Chrysiptera parasema; competition; coral degradation; disturbance; habitat fragmentation and loss; Kimbe Bay; Papua New Guinea; predation; recruitment; relative effects; species richness; survival</t>
  </si>
  <si>
    <t>CLIMATE-CHANGE; COMPETITION; LANDSCAPE; BIODIVERSITY; METAANALYSIS; DEGRADATION; RESILIENCE; MORTALITY; DYNAMICS; BEHAVIOR</t>
  </si>
  <si>
    <t>Disturbance can result in the fragmentation and/or loss of suitable habitat, both of which can have important consequences for survival, species interactions, and resulting patterns of local diversity. However, effects of habitat loss and fragmentation are typically confounded during disturbance events, and previous attempts to determine their relative significance have proved ineffective. Here we experimentally manipulated live coral habitats to examine the potential independent and interactive effects of habitat loss and fragmentation on survival, abundance, and species richness of recruitment-stage, coral-associated reef fishes. Loss of 75% of live coral from experimental reefs resulted in low survival of a coral-associated damselfish and low abundance and richness of other recruits 16 weeks after habitat manipulations. In contrast, fragmentation had positive effects on damselfish survival and resulted in greater abundance and species richness of other recruits. We hypothesize that spacing of habitat through fragmentation weakens competition within and among species. Comparison of effect sizes over the course of the study period revealed that, in the first six weeks following habitat manipulations, the positive effects of fragmentation were at least four times stronger than the effects of habitat loss. This initial positive effect of fragmentation attenuated considerably after 16 weeks, whereas the negative effects of habitat loss increased in strength over time. There was little indication that the amount of habitat influenced the magnitude of the habitat fragmentation effect. Numerous studies have reported dramatic declines in coral reef fish abundance and diversity in response to disturbances that cause the loss and fragmentation of coral habitats. Our results suggest that these declines occur as a result of habitat loss, not habitat fragmentation. Positive fragmentation effects may actually buffer against the negative effects of habitat loss and contribute to the resistance of reef fish populations to declines in coral cover.</t>
  </si>
  <si>
    <t>[Bonin, Mary C.] James Cook Univ, ARC Ctr Excellence Coral Reef Studies, Townsville, Qld 4811, Australia; James Cook Univ, Sch Marine &amp; Trop Biol, Townsville, Qld 4811, Australia</t>
  </si>
  <si>
    <t>James Cook University; ARC Centre of Excellence for Coral Reef Studies; James Cook University</t>
  </si>
  <si>
    <t>Bonin, MC (corresponding author), James Cook Univ, ARC Ctr Excellence Coral Reef Studies, Townsville, Qld 4811, Australia.</t>
  </si>
  <si>
    <t>mary.bonin@jcu.edu.au</t>
  </si>
  <si>
    <t>Jones, Geoffrey/E-9306-2010; Bonin, Mary/H-3433-2012</t>
  </si>
  <si>
    <t>Jones, Geoffrey/0000-0002-6244-1245; Bonin, Mary/0000-0001-7249-0887</t>
  </si>
  <si>
    <t>James Cook University; School of Marine and Tropical Biology; ARC Centre of Excellence for Coral Reef Studies</t>
  </si>
  <si>
    <t>James Cook University; School of Marine and Tropical Biology; ARC Centre of Excellence for Coral Reef Studies(Australian Research Council)</t>
  </si>
  <si>
    <t>We are grateful to M. Feterl, A. Cole, and M. Giru for their assistance with fieldwork, and also to Mahonia na Dari Research Centre and Walindi Plantation Resort for invaluable logistical support during the project. We thank two anonymous reviewers for comments that greatly improved the manuscript. This research was supported by a Graduate Research Scholarship from James Cook University to M. C. Bonin, the School of Marine and Tropical Biology, and the ARC Centre of Excellence for Coral Reef Studies.</t>
  </si>
  <si>
    <t>0012-9658</t>
  </si>
  <si>
    <t>1939-9170</t>
  </si>
  <si>
    <t>JUL</t>
  </si>
  <si>
    <t>10.1890/10-0627.1</t>
  </si>
  <si>
    <t>793IR</t>
  </si>
  <si>
    <t>WOS:000292814300014</t>
  </si>
  <si>
    <t>Piggott, JJ; Lange, K; Townsend, CR; Matthaei, CD</t>
  </si>
  <si>
    <t>Piggott, Jeremy J.; Lange, Katharina; Townsend, Colin R.; Matthaei, Christoph D.</t>
  </si>
  <si>
    <t>Multiple Stressors in Agricultural Streams: A Mesocosm Study of Interactions among Raised Water Temperature, Sediment Addition and Nutrient Enrichment</t>
  </si>
  <si>
    <t>PLOS ONE</t>
  </si>
  <si>
    <t>FINE SEDIMENT; BENTHIC ALGAE; LEAF-LITTER; NEW-ZEALAND; LAND-USE; FRESH; RESPONSES; IMPACTS; ECOSYSTEMS; BONFERRONI</t>
  </si>
  <si>
    <t>Changes to land use affect streams through nutrient enrichment, increased inputs of sediment and, where riparian vegetation has been removed, raised water temperature. We manipulated all three stressors in experimental streamside channels for 30 days and determined the individual and pair-wise combined effects on benthic invertebrate and algal communities and on leaf decay, a measure of ecosystem functioning. We added nutrients (phosphorus+nitrogen; high, intermediate, natural) and/or sediment (grain size 0.2 mm; high, intermediate, natural) to 18 channels supplied with water from a nearby stream. Temperature was increased by 1.4 degrees C in half the channels, simulating the loss of upstream and adjacent riparian shade. Sediment affected 93% of all biological response variables (either as an individual effect or via an interaction with another stressor) generally in a negative manner, while nutrient enrichment affected 59% (mostly positive) and raised temperature 59% (mostly positive). More of the algal components of the community responded to stressors acting individually than did invertebrate components, whereas pair-wise stressor interactions were more common in the invertebrate community. Stressors interacted often and in a complex manner, with interactions between sediment and temperature most common. Thus, the negative impact of high sediment on taxon richness of both algae and invertebrates was stronger at raised temperature, further reducing biodiversity. In addition, the decay rate of leaf material (strength loss) accelerated with nutrient enrichment at ambient but not at raised temperature. A key implication of our findings for resource managers is that the removal of riparian shading from streams already subjected to high sediment inputs, or land-use changes that increase erosion or nutrient runoff in a landscape without riparian buffers, may have unexpected effects on stream health. We highlight the likely importance of intact or restored buffer strips, both in reducing sediment input and in maintaining cooler water temperatures.</t>
  </si>
  <si>
    <t>[Piggott, Jeremy J.; Lange, Katharina; Townsend, Colin R.; Matthaei, Christoph D.] Univ Otago, Dept Zool, Dunedin, New Zealand</t>
  </si>
  <si>
    <t>University of Otago</t>
  </si>
  <si>
    <t>Piggott, JJ (corresponding author), Univ Otago, Dept Zool, POB 56, Dunedin, New Zealand.</t>
  </si>
  <si>
    <t>jeremy.piggott@otago.ac.nz</t>
  </si>
  <si>
    <t>Townsend, Colin/HZI-0324-2023; Matthaei, Christoph/H-8928-2013; Piggott, Jeremy/K-6157-2017</t>
  </si>
  <si>
    <t>Piggott, Jeremy/0000-0002-1515-1878; Lange, Katharina/0000-0002-5016-4527</t>
  </si>
  <si>
    <t>New Zealand's Foundation for Research, Science and Technology [C01X0307]</t>
  </si>
  <si>
    <t>New Zealand's Foundation for Research, Science and Technology(New Zealand Foundation for Research, Science and Technology)</t>
  </si>
  <si>
    <t>Funding was provided by New Zealand's Foundation for Research, Science and Technology (www.msi.govt.nz) contract C01X0307. The funders had no role in study design, data collection and analysis, decision to publish, or preparation of the manuscript.</t>
  </si>
  <si>
    <t>PUBLIC LIBRARY SCIENCE</t>
  </si>
  <si>
    <t>SAN FRANCISCO</t>
  </si>
  <si>
    <t>1160 BATTERY STREET, STE 100, SAN FRANCISCO, CA 94111 USA</t>
  </si>
  <si>
    <t>1932-6203</t>
  </si>
  <si>
    <t>PLoS One</t>
  </si>
  <si>
    <t>NOV 21</t>
  </si>
  <si>
    <t>e49873</t>
  </si>
  <si>
    <t>10.1371/journal.pone.0049873</t>
  </si>
  <si>
    <t>047ER</t>
  </si>
  <si>
    <t>Green Submitted, gold</t>
  </si>
  <si>
    <t>WOS:000311821000133</t>
  </si>
  <si>
    <t>Gedan, KB; Bertness, MD</t>
  </si>
  <si>
    <t>Gedan, Keryn B.; Bertness, Mark D.</t>
  </si>
  <si>
    <t>Climate change; ecosystem warming experiment; forb panne; open-top chamber; Spartina patens; water use efficiency</t>
  </si>
  <si>
    <t>CLIMATE-CHANGE; SALINITY; BIODIVERSITY; NITROGEN; RANGE; FORB; BAY; CO2</t>
  </si>
  <si>
    <t>Anthropogenic climate change is predicted to cause widespread biodiversity loss due to shifts in species' distributions, but these predictions rarely incorporate ecological associations such as zonation. Here, we predict the decline of a diverse assemblage of mid-latitude salt marsh plants, based on an ecosystem warming experiment. In New England salt marshes, a guild of halophytic forbs occupies stressful, waterlogged pannes. At three sites, experimental warming of &lt; 4 degrees C led to diversity declines in pannes and rapid takeover by a competitive dominant, Spartina patens. In Rhode Island, near their southern range limit, pannes were more sensitive to warming than farther north, and panne area also declined in control plots over the three-season experiment. These results suggest that warming will rapidly reduce plant diversity in New England salt marshes by eliminating a high diversity zone. Biodiversity in zoned ecosystems may be more affected by climate-driven shifts in zonation than by individual species' distribution shifts.</t>
  </si>
  <si>
    <t>[Gedan, Keryn B.; Bertness, Mark D.] Brown Univ, Dept Ecol &amp; Evolutionary Biol, Providence, RI 02912 USA</t>
  </si>
  <si>
    <t>Brown University</t>
  </si>
  <si>
    <t>Gedan, KB (corresponding author), Brown Univ, Dept Ecol &amp; Evolutionary Biol, 80 Waterman St, Providence, RI 02912 USA.</t>
  </si>
  <si>
    <t>Keryn_Gedan@Brown.edu</t>
  </si>
  <si>
    <t>Gedan, Keryn/A-3575-2010</t>
  </si>
  <si>
    <t>Gedan, Keryn/0000-0003-4020-5441</t>
  </si>
  <si>
    <t>Division Of Ocean Sciences; Directorate For Geosciences [0927090] Funding Source: National Science Foundation</t>
  </si>
  <si>
    <t>Division Of Ocean Sciences; Directorate For Geosciences(National Science Foundation (NSF)NSF - Directorate for Geosciences (GEO))</t>
  </si>
  <si>
    <t>10.1111/j.1461-0248.2009.01337.x</t>
  </si>
  <si>
    <t>466KH</t>
  </si>
  <si>
    <t>WOS:000267660600013</t>
  </si>
  <si>
    <t>Hågvar, S; Klanderud, K</t>
  </si>
  <si>
    <t>Hagvar, Sigmund; Klanderud, Kari</t>
  </si>
  <si>
    <t>Alpine tundra; below-ground changes; nutrient increase; soil-living arthropods; temperature change</t>
  </si>
  <si>
    <t>EXPERIMENTAL TEMPERATURE ELEVATION; CONIFEROUS FOREST SOILS; CLIMATE-CHANGE; TERRESTRIAL MICROARTHROPODS; PLANT-COMMUNITIES; ORIBATID MITE; COLLEMBOLA; BIODIVERSITY; INVERTEBRATES; MANIPULATION</t>
  </si>
  <si>
    <t>The effects of environmental change on soil animal communities are poorly known. Norwegian mountains are subject to both atmospheric nitrogen deposition and increased temperature. In a nutrient poor alpine Dryas heath in south Norway, soil arthropods were studied after 4 years of simulated environmental change by warming and/or nutrient addition. Warming alone only affected three low-density Collembola species, while nutrient addition, with or without warming, greatly changed the dominance hierarchy of the microarthropod community. Certain Collembola species with a short (1 year) life cycle and predatory Gamasina mites increased markedly in density. These groups may have been favored by increased litter production, as plant biomass and litter producing graminoids and forbs increased significantly in plots with nutrient addition and nutrient addition combined with warming. Microarthropods with a longer life cycle, such as Oribatida and certain Collembola, were generally unaffected by nutrient addition and probably need more time to respond. The number of Oribatida taxa was, however, reduced in plots with nutrient addition, both with and without warming. A ground-living species of Coccoidea (Homoptera) declined in plots with nutrient addition and warming compared with only warming, probably due to reduced cover of its host plant Dryas. The density of Diptera larvae (Sciaridae and Chironomidae) was unaffected by the treatments. Our results show that increased nutrient availability in nutrient poor alpine soils may have large but different effects on different taxa of soil animals. Species with short life cycles reacted first. Nutrient addition and nutrient addition combined with warming resulted in several effects below ground on microarthropods as previously shown above ground on plants: Increased biomass, high dominance of a few rapid-growing species, contrasting responses of closely related species, and a reduction in species numbers. These short-term responses may have profound long-term effects in this alpine ecosystem.</t>
  </si>
  <si>
    <t>[Hagvar, Sigmund; Klanderud, Kari] Norwegian Univ Life Sci, Dept Ecol &amp; Nat Resource Management, NO-1432 As, Norway</t>
  </si>
  <si>
    <t>Norwegian University of Life Sciences</t>
  </si>
  <si>
    <t>Hågvar, S (corresponding author), Norwegian Univ Life Sci, Dept Ecol &amp; Nat Resource Management, POB 5003, NO-1432 As, Norway.</t>
  </si>
  <si>
    <t>sigmund.hagvar@umb.no</t>
  </si>
  <si>
    <t>, Kari/0000-0003-1049-7025</t>
  </si>
  <si>
    <t>10.1111/j.1365-2486.2009.01926.x</t>
  </si>
  <si>
    <t>518RH</t>
  </si>
  <si>
    <t>WOS:000271710300014</t>
  </si>
  <si>
    <t>Monaghan, MT; Robinson, CT; Spaak, P; Ward, JV</t>
  </si>
  <si>
    <t>Macroinvertebrate diversity in fragmented Alpine streams: implications for freshwater conservation</t>
  </si>
  <si>
    <t>AQUATIC SCIENCES</t>
  </si>
  <si>
    <t>biodiversity; dispersal; ephemeroptera; habitat fragmentation; nestedness; aquatic insects; species traits</t>
  </si>
  <si>
    <t>HABITAT FRAGMENTATION; FOREST FRAGMENTATION; COMMUNITY STRUCTURE; SPECIES COMPOSITION; NESTED SUBSETS; LAKE OUTLETS; PATTERNS; RICHNESS; BIODIVERSITY; DISPERSAL</t>
  </si>
  <si>
    <t>Lakes and reservoirs disrupt the longitudinal connectivity of streams, considerably affecting benthic macroinvertebrate assemblages and diversity. Changes in assemblage composition within fragments can result from habitat alteration and reduced dispersal between fragments. We investigated the effects of habitat fragmentation in 10 Alpine streams, examining 69 taxa of benthic macroinvertebrates from 22 sites in fragmented and freeflowing streams. Total taxon richness (alpha-diversity) ranged from 6 to 27 in individual sites, and total richness was not significantly affected by fragmentation. However, Ephemeroptera and Diptera (excluding Simuliidae) richness was significantly reduced in stream fragments. Beta-diversity indicated a high degree of taxon turnover among sites within streams, but was not significantly different between fragmented and unfragmented streams. Characterizing the biological, physiological, and ecological traits of Ephemeroptera showed that communities in reservoir-fragmented streams had a higher affinity for fine sediments, increased temperatures, and reduced current velocity. Taxon assemblages in fragments were not nested subsets of unfragmented site assemblages. Thus, species turnover and species replacement in fragments is common, suggesting that most taxa are able to freely disperse among fragments. We suggest that habitat alteration was the primary cause of changes in assemblage structure in these streams. Consequently, habitat-based conservation is likely to be successful in maintaining populations of all but the weakest dispersers.</t>
  </si>
  <si>
    <t>Swiss Fed Inst Aquat Sci &amp; Technol Eawag, Dept Limnol, CH-8600 Dubendorf, Switzerland; ETH, Zurich, Switzerland</t>
  </si>
  <si>
    <t>Swiss Federal Institutes of Technology Domain; Swiss Federal Institute of Aquatic Science &amp; Technology (EAWAG); Swiss Federal Institutes of Technology Domain; ETH Zurich</t>
  </si>
  <si>
    <t>Monaghan, MT (corresponding author), Nat Hist Museum, Dept Entomol, Cromwell Rd, London SW7 5BD, England.</t>
  </si>
  <si>
    <t>m.monaghan@nhm.ac.uk</t>
  </si>
  <si>
    <t>Monaghan, Michael T/A-2589-2009</t>
  </si>
  <si>
    <t>Monaghan, Michael T/0000-0001-6200-2376</t>
  </si>
  <si>
    <t>SPRINGER BASEL AG</t>
  </si>
  <si>
    <t>BASEL</t>
  </si>
  <si>
    <t>PICASSOPLATZ 4, BASEL, 4052, SWITZERLAND</t>
  </si>
  <si>
    <t>1015-1621</t>
  </si>
  <si>
    <t>1420-9055</t>
  </si>
  <si>
    <t>AQUAT SCI</t>
  </si>
  <si>
    <t>Aquat. Sci.</t>
  </si>
  <si>
    <t>10.1007/s00027-005-0787-0</t>
  </si>
  <si>
    <t>Environmental Sciences; Limnology; Marine &amp; Freshwater Biology</t>
  </si>
  <si>
    <t>Environmental Sciences &amp; Ecology; Marine &amp; Freshwater Biology</t>
  </si>
  <si>
    <t>992ER</t>
  </si>
  <si>
    <t>Green Submitted</t>
  </si>
  <si>
    <t>WOS:000233867700006</t>
  </si>
  <si>
    <t>Sorte, CJB; Fuller, A; Bracken, MES</t>
  </si>
  <si>
    <t>Sorte, Cascade J. B.; Fuller, Adam; Bracken, Matthew E. S.</t>
  </si>
  <si>
    <t>OIKOS</t>
  </si>
  <si>
    <t>PIPEFISH ENTELURUS-AEQUOREUS; CLIMATE-CHANGE; FOULING COMMUNITY; SPECIES-DIVERSITY; INVASION; RESISTANCE; RESPONSES; EVENTS; STRESS; RANGE</t>
  </si>
  <si>
    <t>Extreme events, such as heat waves, are predicted to increase in frequency, duration, and severity as a consequence of climate change. However, global change research generally focuses on increases in mean temperatures and fails to address the potential impacts of increasingly severe heat waves. In addition, climate change may interact with another primary threat to biodiversity, non-native species invasions. We assessed the impacts of a short-term heat wave on the marine epibenthic fouling community of Bodega Harbor, California, USA, by exposing experimental mesocosms to a simulated heat wave in the laboratory and then monitoring community development in the field. We hypothesized that (1) juveniles would be more susceptible to heat waves than adults, (2) native species would be more susceptible than non-native species, and (3) non-native species would recover more quickly than native species. We observed no effect of the heat wave on juvenile species richness, either initially or during the recovery period, relative to communities at ambient seawater temperatures. In contrast, total adult species richness initially declined in response to the heat wave. Adult community composition also changed in heat-wave treatments, with non-natives representing the majority of species and occupying more cover than native species. The reduction in native richness associated with the heat wave persisted through the recovery period, whereas invasive richness was actually higher on heat-wave versus ambient plates at 95 days. Heat waves have the potential to alter the composition of this community because of species-, taxon-, and/or origin-specific responses; for example, non-native bryozoans displayed greater resistance than native and non-native tunicates. Recovery from the heat wave occurred via growth of resistant individuals and larval recruitment. Our study highlights the importance of considering species' and community responses to heat waves, and not just mean predicted temperature increases, to evaluate the consequences of climate change.</t>
  </si>
  <si>
    <t>[Sorte, Cascade J. B.] Univ Calif Davis, Bodega Marine Lab, Bodega Bay, CA 94923 USA; [Fuller, Adam; Bracken, Matthew E. S.] Northeastern Univ, Ctr Marine Sci, Nahant, MA 01908 USA; [Fuller, Adam] Univ Alabama, Dept Biol Sci, Tuscaloosa, AL 35487 USA</t>
  </si>
  <si>
    <t>University of California System; University of California Davis; Northeastern University; University of Alabama System; University of Alabama Tuscaloosa</t>
  </si>
  <si>
    <t>Sorte, CJB (corresponding author), Univ Calif Davis, Bodega Marine Lab, POB 247, Bodega Bay, CA 94923 USA.</t>
  </si>
  <si>
    <t>cjsorte@ucdavis.edu</t>
  </si>
  <si>
    <t>Bracken, Matthew/I-9359-2019</t>
  </si>
  <si>
    <t>Bracken, Matthew/0000-0002-0068-7485; Sorte, Cascade/0000-0003-0952-951X</t>
  </si>
  <si>
    <t>Ocean Protection Council; UC-Davis Invasive Species IGERT Program; Bodega Marine Lab; Northeastern University; National Science Foundation [OCE-0549944]</t>
  </si>
  <si>
    <t>Ocean Protection Council; UC-Davis Invasive Species IGERT Program; Bodega Marine Lab; Northeastern University; National Science Foundation(National Science Foundation (NSF))</t>
  </si>
  <si>
    <t>We thank K. Menard, A. Newsom and S. Williams for helpful suggestions and research assistance. Comments from J. Bruno, J. Carlton, L. Miller, E. Sanford, M. Solan, J. Stachowicz and S. Williams greatly improved this manuscript. Funding was provided by grants from the Ocean Protection Council, UC-Davis Invasive Species IGERT Program, and Bodega Marine Lab to CJBS; Northeastern University's Three Seas Program to AF; and the National Science Foundation (OCE-0549944) to S. Williams and MESB. This publication is a contribution of the Bodega Marine Laboratory, Univ. of California at Davis and is contribution number 266 of the Marine Science Center, Northeastern Univ.</t>
  </si>
  <si>
    <t>0030-1299</t>
  </si>
  <si>
    <t>1600-0706</t>
  </si>
  <si>
    <t>Oikos</t>
  </si>
  <si>
    <t>10.1111/j.1600-0706.2010.18663.x</t>
  </si>
  <si>
    <t>682BC</t>
  </si>
  <si>
    <t>WOS:000284371000007</t>
  </si>
  <si>
    <t>Jónsdóttir, IS; Magnússon, B; Gudmundsson, J; Elmarsdóttir, A; Hjartarson, H</t>
  </si>
  <si>
    <t>climate change; community change; diversity; microclimate; phenology; subarctic tundra</t>
  </si>
  <si>
    <t>SIMULATED CLIMATE-CHANGE; CO2 FLUX; NITROGEN; BIOMASS; TEMPERATURE; ECOSYSTEMS; ABUNDANCE; RESPONSES</t>
  </si>
  <si>
    <t>Facing an increased threat of rapid climate change in cold-climate regions, it is important to understand the sensitivity of plant communities both in terms of degree and direction of community change. We studied responses to 3-5 years of moderate experimental warming by open-top chambers in two widespread but contrasting tundra communities in Iceland. In a species-poor and nutrient-deficient moss heath, dominated by Racomitrium lanuginosum, mean daily air temperatures at surface were 1-2 degrees C higher in the warmed plots than the controls whereas soil temperatures tended to be lower in the warmed plots throughout the season. In a species-rich dwarf shrub heath on relatively rich soils at a cooler site, dominated by Betula nana and R. lanuginosum, temperature changes were in the same direction although more moderate. In the moss heath, there were no detectable community changes while significant changes were detected in the dwarf shrub heath: the abundance of deciduous and evergreen dwarf shrubs significantly increased (&gt; 50%), bryophytes decreased (18%) and canopy height increased (100%). Contrary to some other studies of tundra communities, we detected no changes in species richness or other diversity measures in either community and the abundance of lichens did not change. It is concluded that the sensitivity of Icelandic tundra communities to climate warming varies greatly depending on initial conditions in terms of species diversity, dominant species, soil and climatic conditions as well as land-use history.</t>
  </si>
  <si>
    <t>Univ Ctr Svalbard, UNIS, N-9171 Longyearbyen, Norway; Iceland Inst Nat Hist, IS-125 Reykjavik, Iceland; Iceland Agr Res Inst, IS-112 Reykjavik, Iceland; Iceland Meteorol Off, IS-150 Reykjavik, Iceland</t>
  </si>
  <si>
    <t>University Centre Svalbard (UNIS); Natural Science Institute of Iceland</t>
  </si>
  <si>
    <t>Jónsdóttir, IS (corresponding author), Univ Ctr Svalbard, UNIS, POB 156, N-9171 Longyearbyen, Norway.</t>
  </si>
  <si>
    <t>isj@unis.no</t>
  </si>
  <si>
    <t>Jónsdóttir, Ingibjörg Svala/L-8952-2015; Guðmundsson, Jon/AAD-1659-2021</t>
  </si>
  <si>
    <t>Jónsdóttir, Ingibjörg Svala/0000-0003-3804-7077; Guðmundsson, Jon/0000-0002-1703-8916</t>
  </si>
  <si>
    <t>10.1111/j.1365-2486.2005.00928.x</t>
  </si>
  <si>
    <t>913UP</t>
  </si>
  <si>
    <t>WOS:000228179500003</t>
  </si>
  <si>
    <t>White, TA; Campbell, BD; Kemp, PD; Hunt, CL</t>
  </si>
  <si>
    <t>C3; C4; diversity; extreme climatic events; global climate change; stability</t>
  </si>
  <si>
    <t>WATER-STRESS; FUNCTIONAL TYPES; ATMOSPHERIC CO2; HEAT TOLERANCE; NORTH-AMERICA; C-4 GRASSES; BIODIVERSITY; PLANTS; STABILITY; PATTERNS</t>
  </si>
  <si>
    <t>Three grassland communities in New Zealand with differing climates and proportions of C3 and C4 species were subjected to one-off extreme heating (eight hours at 52.5 degrees C) and rainfall (the equivalent of 100 mm) events. A novel experimental technique using portable computer-controlled chambers simulated the extreme heating events. The productive, moist C3/C4 community was the most sensitive to the extreme events in terms of short-term community composition compared with a dry C3/C4 community or an exclusively C3 community. An extreme heating event caused the greatest change to plant community species abundance by favouring the expansion of C4 species relative to C3 species, shifting C4 species abundance from 43% up to 84% at the productive, moist site, This was observed both in the presence and absence of added water. In the absence of C4 species, heating reduced community productivity by over 60%. The short-term shifts in the abundance of C3 and C4 species in response to the single extreme climatic events did not have persistent effects on community structure or on soil nitrogen one year later. There was no consistent relationship between diversity and stability of biomass production of these plant communities, and species functional identity was the most effective explanation for the observed shifts in biomass production. The presence of C4 species resulted in an increased stability of productivity after extreme climatic events, but resulted in greater overall. shifts in community composition. The presence of C4 species may buffer grassland community productivity against an increased frequency of extreme heating events associated with future global climate change.</t>
  </si>
  <si>
    <t>AgResearch, Grassland Res Ctr, Palmerston North, New Zealand; Massey Univ, Inst Nat Resources, Palmerston North, New Zealand</t>
  </si>
  <si>
    <t>AgResearch - New Zealand; Massey University</t>
  </si>
  <si>
    <t>White, TA (corresponding author), AgResearch, Grassland Res Ctr, Private Bag 11008, Palmerston North, New Zealand.</t>
  </si>
  <si>
    <t>whitet@agresearch.cri.nz</t>
  </si>
  <si>
    <t>Kemp, Peter/B-4639-2011; Campbell, Bruce/G-2962-2014</t>
  </si>
  <si>
    <t>Kemp, Peter/0000-0002-2239-2012;</t>
  </si>
  <si>
    <t>10.1046/j.1365-2486.2000.00344.x</t>
  </si>
  <si>
    <t>345GJ</t>
  </si>
  <si>
    <t>WOS:000088808000007</t>
  </si>
  <si>
    <t>Villalpando, SN; Williams, RS; Norby, RJ</t>
  </si>
  <si>
    <t>Villalpando, Shawn N.; Williams, Ray S.; Norby, Richard J.</t>
  </si>
  <si>
    <t>climate change; diversity and warming; insect communities; trophic structure; warming and CO2</t>
  </si>
  <si>
    <t>ATMOSPHERIC CO2; HERBIVORE INTERACTIONS; SPECIES COMPOSITION; CARBON-DIOXIDE; PLANT; RESPONSES; ECOSYSTEM; PRODUCTIVITY; ABUNDANCE; WATER</t>
  </si>
  <si>
    <t>To address how multiple, interacting climate drivers may affect plant-insect community associations, we sampled insects that naturally colonized a constructed old-field plant community grown for over 2 years under simultaneous CO2, temperature, and water manipulation. Insects were sampled using a combination of sticky traps and vacuum sampling, identified to morphospecies and the insect community with respect to abundance, richness, and evenness quantified. Individuals were assigned to four broad feeding guilds in order to examine potential trophic level effects. Although there were occasional effects of CO2 and water treatment, the effects of warming on the insect community were large and consistent. Warming significantly increased Order Thysanoptera abundance and reduced overall morphospecies richness and evenness. Nonmetric multidimensional scaling found that only temperature affected insect community composition, while a Sorensen similarity index showed less correspondence in the insect community between temperature treatments compared with CO2 or soil water treatments. Within the herbivore guild, elevated temperature significantly reduced richness and evenness. Corresponding reductions of diversity measures at higher trophic levels (i.e. parasitoids), along with the finding that herbivore richness was a significant predictor of parasitoid richness, suggest trophic-level effects within the insect community. When the most abundant species were considered in temperature treatments, a small number of species increased in abundance at elevated temperature, while others declined compared with ambient temperature. Effects of temperature in the dominant insects demonstrated that treatment effects were limited to a relatively small number of morphospecies. Observed effects of elevated CO2 concentration on whole-community foliar N concentration did not result in any effect on herbivores, which are probably the most susceptible guild to changes in plant nutritional quality. These results demonstrate that climatic warming may alter certain insect communities via effects on insect species most responsive to a higher temperature, contributing to a change in community structure.</t>
  </si>
  <si>
    <t>[Villalpando, Shawn N.; Williams, Ray S.] Appalachian State Univ, Dept Biol, Boone, NC 28608 USA; [Norby, Richard J.] Oak Ridge Natl Lab, Div Environm Sci, Oak Ridge, TN 37831 USA</t>
  </si>
  <si>
    <t>University of North Carolina; Appalachian State University; United States Department of Energy (DOE); Oak Ridge National Laboratory</t>
  </si>
  <si>
    <t>Williams, RS (corresponding author), Appalachian State Univ, Dept Biol, POB 32027, Boone, NC 28608 USA.</t>
  </si>
  <si>
    <t>willmsrs@appstate.edu</t>
  </si>
  <si>
    <t>Norby, Richard/C-1773-2012; williams, Ray/HSE-3267-2023</t>
  </si>
  <si>
    <t>Norby, Richard/0000-0002-0238-9828;</t>
  </si>
  <si>
    <t>U.S. Department of Energy, Office of Science, Biological and Environmental Research Program [DE-AC05-00OR22725]</t>
  </si>
  <si>
    <t>U.S. Department of Energy, Office of Science, Biological and Environmental Research Program(United States Department of Energy (DOE))</t>
  </si>
  <si>
    <t>We thank the staff of the ORNL Environmental Sciences Division for their support. We greatfully acknowledge the contributions of Dr Jake Weltzin to the design, implementation and data analysis phases of the experiment. Special appreciation goes to Cayenne Engel and Bryan Marbert for field site assistance, and both Nathan Sanders and Greg Crutsinger for their help with the NMS and anosim analyses. The Cratis Williams Graduate School and Office of Student Research at Appalachian State University provided financial support. The authors also gratefully acknowledge the useful comments of anonymous reviewers. This project was part of the OCCAM experiment at Oak Ridge National Laboratory, which is supported by the U.S. Department of Energy, Office of Science, Biological and Environmental Research Program under contract DE-AC05-00OR22725 with Oak Ridge National Laboratory (ORNL), managed by UT-Battelle, LLC.</t>
  </si>
  <si>
    <t>10.1111/j.1365-2486.2008.01721.x</t>
  </si>
  <si>
    <t>412VM</t>
  </si>
  <si>
    <t>WOS:000263752300013</t>
  </si>
  <si>
    <t>Reed, BJ; Hovel, KA</t>
  </si>
  <si>
    <t>Reed, Brendan J.; Hovel, Kevin A.</t>
  </si>
  <si>
    <t>Seagrass habitat disturbance:: how loss and fragmentation of eelgrass Zostera marina influences epifaunal abundance and diversity</t>
  </si>
  <si>
    <t>MARINE ECOLOGY PROGRESS SERIES</t>
  </si>
  <si>
    <t>seagrass disturbance; habitat loss; habitat fragmentation; Zostera marina; diversity; critical thresholds; San Diego Bay</t>
  </si>
  <si>
    <t>BLUE-CRAB SURVIVAL; PATCH SIZE; LANDSCAPE STRUCTURE; INFAUNAL BIVALVE; BAY SCALLOPS; BEDS; COMMUNITIES; GROWTH; CONFIGURATION; RESPONSES</t>
  </si>
  <si>
    <t>Seagrass habitats commonly display evidence of anthropogenic disturbances such as propeller scars, mooring and anchor damage, trampling, and plant harvesting. These physical disturbances may lead to habitat loss and fragmentation, yet effects of this habitat removal on seagrass epifaunal communities are not well understood. We investigated how the degree of eelgrass Zostera marina L. loss influenced the abundance, diversity, and community composition of epifauna within experimental seagrass plots in San Diego Bay, California, USA. We established replicate small (4 m(2)) and large (16 m(2)) plots within existing eelgrass habitat, and removed all aboveground and belowground plant material within randomly chosen cells to establish 4 to 6 levels of eelgrass clearing. We then sampled for epifauna up to 8 wk after eelgrass harvesting. We found no correlations between seagrass loss and epifaunal species richness, total epifaunal density or epifaunal diversity in small plots. In large plots, however, plots with 90% habitat removal had significantly lower epifaunal species richness and total epifaunal density than plots with 0, 10 or 50% habitat removal, suggesting that beyond a threshold level of eelgrass disturbance, species richness and abundance rapidly decline. Multivariate ordinations revealed that the 90% removal plots also had significantly different species composition than plots with less habitat loss. Our results support previous theoretical models predicting threshold levels of habitat loss for faunal communities and broaden our understanding of the response of marine epifauna to seagrass habitat degradation.</t>
  </si>
  <si>
    <t>San Diego State Univ, Dept Biol, San Diego, CA 92182 USA</t>
  </si>
  <si>
    <t>California State University System; San Diego State University</t>
  </si>
  <si>
    <t>Reed, BJ (corresponding author), 276 4th Ave, Chula Vista, CA 91910 USA.</t>
  </si>
  <si>
    <t>ecoreed@gmail.com</t>
  </si>
  <si>
    <t>INTER-RESEARCH</t>
  </si>
  <si>
    <t>OLDENDORF LUHE</t>
  </si>
  <si>
    <t>NORDBUNTE 23, D-21385 OLDENDORF LUHE, GERMANY</t>
  </si>
  <si>
    <t>0171-8630</t>
  </si>
  <si>
    <t>1616-1599</t>
  </si>
  <si>
    <t>MAR ECOL PROG SER</t>
  </si>
  <si>
    <t>Mar. Ecol.-Prog. Ser.</t>
  </si>
  <si>
    <t>10.3354/meps326133</t>
  </si>
  <si>
    <t>Ecology; Marine &amp; Freshwater Biology; Oceanography</t>
  </si>
  <si>
    <t>Environmental Sciences &amp; Ecology; Marine &amp; Freshwater Biology; Oceanography</t>
  </si>
  <si>
    <t>120RT</t>
  </si>
  <si>
    <t>WOS:000243104300011</t>
  </si>
  <si>
    <t>Prieto, P; Penuelas, J; Lloret, F; Llorens, L; Estiarte, M</t>
  </si>
  <si>
    <t>Prieto, Patricia; Penuelas, Josep; Lloret, Francisco; Llorens, Laura; Estiarte, Marc</t>
  </si>
  <si>
    <t>ECOGRAPHY</t>
  </si>
  <si>
    <t>PLANT COMMUNITY DYNAMICS; CLIMATE-CHANGE; LONG-TERM; SPECIES RICHNESS; PINUS-HALEPENSIS; ARCTIC TUNDRA; ALEPPO PINE; ECOSYSTEM; RESPONSES; VEGETATION</t>
  </si>
  <si>
    <t>Plant community recovery (species richness, diversity and composition) of a post-fire Mediterranean shrubland was monitored over a seven year period (1998-2005) under experimental drought and warming that simulated the environmental conditions forecast for this area in the coming decades. Species richness and Shannon's index were positively correlated with accumulated precipitation in the growing season and both variables were negatively affected by reduced water availability in drought plots. The relative abundance of the different species in both treatments was linearly correlated with their relative abundance in control plots. Moreover, we found species-specific responses to treatments. Drought and warming treatment reduced the competitive ability of the obligate seeder tree Pinus halepensis against native resprouter shrubs and consequently, the transformation from shrub to pine tree dominated vegetation was slowed down. Conversely, the water use strategy of Globularia alypum may allow this species to maintain a dominant position in drought plots. Therefore, future drier and warmer conditions in Mediterranean areas may severely affect plant community recovery after a disturbance, due to the existence of both abundance-dependent and species-specific responses that may change inter-specific competitive relationships.</t>
  </si>
  <si>
    <t>[Prieto, Patricia; Penuelas, Josep; Lloret, Francisco; Llorens, Laura; Estiarte, Marc] Univ Autonoma Barcelona, Unitat Ecofisiol &amp; Canvi Global, CSIC, CEAB,CREAF, ES-08193 Barcelona, Spain</t>
  </si>
  <si>
    <t>University of Barcelona; Centro de Investigacion Ecologica y Aplicaciones Forestales (CREAF-CERCA); Consejo Superior de Investigaciones Cientificas (CSIC); CSIC - Centre d'Estudis Avancats de Blanes (CEAB); Autonomous University of Barcelona</t>
  </si>
  <si>
    <t>Prieto, P (corresponding author), Univ Autonoma Barcelona, Unitat Ecofisiol &amp; Canvi Global, CSIC, CEAB,CREAF, Edifici C, ES-08193 Barcelona, Spain.</t>
  </si>
  <si>
    <t>josep.penuelas@uab.cat</t>
  </si>
  <si>
    <t>Lloret, Francisco/H-2711-2015; Penuelas, Josep/D-9704-2011; Estiarte, Marc/G-2001-2016; Llorens, Laura/L-8732-2014</t>
  </si>
  <si>
    <t>Lloret, Francisco/0000-0002-9836-4069; Penuelas, Josep/0000-0002-7215-0150; Estiarte, Marc/0000-0003-1176-8480; Llorens, Laura/0000-0001-9190-5144</t>
  </si>
  <si>
    <t>EU [ENV4-CT97-0694]; VULCAN [EVK2-CT-2000-00094]; Spanish Government [CGL2006-04025/BOS, CSD2008-00040]; Catalan Government [SGR2005-00312]; European project ALARM [506675]; Fundacion Banco Bilbao Vizcaya</t>
  </si>
  <si>
    <t>EU(European Union (EU)); VULCAN; Spanish Government(Spanish Government); Catalan Government; European project ALARM; Fundacion Banco Bilbao Vizcaya</t>
  </si>
  <si>
    <t>We owe thanks to Paula Bruna for providing her data and also to Marta Ribera, Balma Gonzalez, Vanesa Cruz, Rosa Marin, Patricia Mendoza, Jordi Munoz, Elena Quintanilla and Neus Sanfeliu for their help in the collection of the data. We are especially grateful to Victor Bernal for his valuable suggestions. This research was funded by EU under the projects CLIMOOR (Contract ENV4-CT97-0694) and VULCAN (Contract EVK2-CT-2000-00094) and we also received financial help from the Spanish Government (grants CGL2006-04025/BOS and Consolider MONTES CSD2008-00040), the Catalan Government (grant SGR2005-00312), the European project ALARM (Contract 506675), and the Fundacion Banco Bilbao Vizcaya 2004 grant.</t>
  </si>
  <si>
    <t>0906-7590</t>
  </si>
  <si>
    <t>1600-0587</t>
  </si>
  <si>
    <t>Ecography</t>
  </si>
  <si>
    <t>10.1111/j.1600-0587.2009.05738.x</t>
  </si>
  <si>
    <t>492ZA</t>
  </si>
  <si>
    <t>WOS:000269700700007</t>
  </si>
  <si>
    <t>Hillebrand, H</t>
  </si>
  <si>
    <t>Hillebrand, Helmut</t>
  </si>
  <si>
    <t>ECOLOGICAL RESEARCH</t>
  </si>
  <si>
    <t>Extinction; Species interactions; Warming; Species richness; Dominance; Microphytobenthos</t>
  </si>
  <si>
    <t>CLIMATE-CHANGE; NUTRIENT ENRICHMENT; SEASONAL SUCCESSION; MARINE DIATOMS; BALTIC SEA; RESPONSES; PHYTOPLANKTON; CYANOBACTERIA; COMMUNITIES; ECOSYSTEMS</t>
  </si>
  <si>
    <t>The dependence of competitive interactions on abiotic conditions is attracting increasing interest in the face of globally rising temperatures and altered biogeochemical cycles of major nutrients. In a microcosm experiment involving a natural inoculum of benthic microalgae, temperature and nutrient supply ratios were manipulated in order to test three main hypotheses: (1) temperature and nutrient supply ratios determine species composition and diversity of the assemblage, (2) the identity of the dominating species depends on nutrient supply and temperature, and (3) higher temperature leads to faster competitive exclusion and thus more rapid decline in species richness. Over a period of 7 weeks, algal biomass reached an equilibrium carrying capacity, with was higher at colder temperatures and intermediate N:P supply ratios (N:P = 16). Initial growth rate increased with temperature and under high P-supply. Species richness in the stationary phase of the experiment decreased with increasing temperature, reflecting a higher extinction rate in the warmer treatments, which were also characterized by higher dominance of single species. Thus, increasing temperature both altered the identity of the dominating species and accelerated competitive displacement. This experiment thus indicates that warming might influence outcome and temporal dynamics in species interactions, and thereby eventually local diversity.</t>
  </si>
  <si>
    <t>Carl von Ossietzky Univ Oldenburg, Inst Chem &amp; Biol Marine Environm, D-26382 Wilhelmshaven, Germany</t>
  </si>
  <si>
    <t>Carl von Ossietzky Universitat Oldenburg</t>
  </si>
  <si>
    <t>Hillebrand, H (corresponding author), Carl von Ossietzky Univ Oldenburg, Inst Chem &amp; Biol Marine Environm, Schleusenstr 1, D-26382 Wilhelmshaven, Germany.</t>
  </si>
  <si>
    <t>hillebrand@icbm.de</t>
  </si>
  <si>
    <t>Hillebrand, Helmut/I-1717-2014</t>
  </si>
  <si>
    <t>Hillebrand, Helmut/0000-0001-7449-1613</t>
  </si>
  <si>
    <t>German Science Foundation (DFG) [DFG So145/15-1, DFG Hi 848/3-2]</t>
  </si>
  <si>
    <t>German Science Foundation (DFG)(German Research Foundation (DFG))</t>
  </si>
  <si>
    <t>This paper is a reassessment of data obtained from an experiment in a project funded by the German Science Foundation (DFG So145/15-1). The new analysis is based on ideas developed during the Aquashift priority program funded by the DFG (DFG Hi 848/3-2).</t>
  </si>
  <si>
    <t>SPRINGER TOKYO</t>
  </si>
  <si>
    <t>TOKYO</t>
  </si>
  <si>
    <t>1-11-11 KUDAN-KITA, CHIYODA-KU, TOKYO, 102-0073, JAPAN</t>
  </si>
  <si>
    <t>0912-3814</t>
  </si>
  <si>
    <t>ECOL RES</t>
  </si>
  <si>
    <t>Ecol. Res.</t>
  </si>
  <si>
    <t>MAY</t>
  </si>
  <si>
    <t>10.1007/s11284-011-0810-y</t>
  </si>
  <si>
    <t>763EW</t>
  </si>
  <si>
    <t>WOS:000290538900007</t>
  </si>
  <si>
    <t>Lloret, F; Peñuelas, J; Estiarte, M</t>
  </si>
  <si>
    <t>climate warming; drought; global change; mediterranean ecosystems; seedling dynamics; species diversity; species recruitment</t>
  </si>
  <si>
    <t>SIMULATED ENVIRONMENTAL-CHANGE; PLANT-RESPONSES; TREE; TEMPERATURE; RECRUITMENT; GRASSLAND; DYNAMICS; GROWTH; MANIPULATIONS; ECOSYSTEMS</t>
  </si>
  <si>
    <t>We are still lacking in experimental evidence of the effects of climate change on the richness of plant species under field conditions. We report a decrease in the species richness of recruited seedlings in a Mediterranean shrubland in experimentally induced drought and warming over 4 consecutive years. Drought decreased the number of emerging seedlings and their respective species richness. Warming also decreased seedling species richness, but it did not affect the number of emerging seedlings. Species that produce fewer recruits are more likely to disappear in drier or warmer scenarios. However, when the effect of induced climate treatment was greatest, the more abundant species in control stands were not necessarily the ones least affected by treatment; in other words, species-idiosyncratic responses may occur. These results show that demographic processes are sensitive to minor climate changes, with probable consequences on the diversity and structure of the future plant communities.</t>
  </si>
  <si>
    <t>Univ Autonoma Barcelona, CREAF, Dept Biol Anim Biol Vegetal &amp; Ecol, Unitat Ecol, E-08193 Barcelona, Spain; Univ Autonoma Barcelona, CSIC, CEAB,CREAF, Unitat Ecofisiol, E-08193 Barcelona, Spain</t>
  </si>
  <si>
    <t>Centro de Investigacion Ecologica y Aplicaciones Forestales (CREAF-CERCA); University of Barcelona; Autonomous University of Barcelona; University of Barcelona; Centro de Investigacion Ecologica y Aplicaciones Forestales (CREAF-CERCA); Consejo Superior de Investigaciones Cientificas (CSIC); CSIC - Centre d'Estudis Avancats de Blanes (CEAB); Autonomous University of Barcelona</t>
  </si>
  <si>
    <t>Lloret, F (corresponding author), Univ Autonoma Barcelona, CREAF, Dept Biol Anim Biol Vegetal &amp; Ecol, Unitat Ecol, Edifici C, E-08193 Barcelona, Spain.</t>
  </si>
  <si>
    <t>Franciso.Lloret@uab.es</t>
  </si>
  <si>
    <t>Estiarte, Marc/G-2001-2016; Lloret, Francisco/H-2711-2015; Penuelas, Josep/D-9704-2011</t>
  </si>
  <si>
    <t>Estiarte, Marc/0000-0003-1176-8480; Lloret, Francisco/0000-0002-9836-4069; Penuelas, Josep/0000-0002-7215-0150</t>
  </si>
  <si>
    <t>10.1111/j.1365-2486.2004.00725.x</t>
  </si>
  <si>
    <t>775DN</t>
  </si>
  <si>
    <t>WOS:000189025600010</t>
  </si>
  <si>
    <t>Xu, GL; Kuster, TM; Günthardt-Goerg, MS; Dobbertin, M; Li, MH</t>
  </si>
  <si>
    <t>Xu, Guo-Liang; Kuster, Thomas M.; Guenthardt-Goerg, Madeleine S.; Dobbertin, Matthias; Li, Mai-He</t>
  </si>
  <si>
    <t>Seasonal Exposure to Drought and Air Warming Affects Soil Collembola and Mites</t>
  </si>
  <si>
    <t>BODY-SIZE; DYNAMICS; BIOMASS; GROWTH; ACARI; FOOD; MICROARTHROPODS; BIODIVERSITY; TEMPERATURE; COMMUNITY</t>
  </si>
  <si>
    <t>Global environmental changes affect not only the aboveground but also the belowground components of ecosystems. The effects of seasonal drought and air warming on the genus level richness of Collembola, and on the abundance and biomass of the community of Collembola and mites were studied in an acidic and a calcareous forest soil in a model oak-ecosystem experiment (the Querco experiment) at the Swiss Federal Research Institute WSL in Birmensdorf. The experiment included four climate treatments: control, drought with a 60% reduction in rainfall, air warming with a seasonal temperature increase of 1.4 degrees C, and air warming + drought. Soil water content was greatly reduced by drought. Soil surface temperature was slightly increased by both the air warming and the drought treatment. Soil mesofauna samples were taken at the end of the first experimental year. Drought was found to increase the abundance of the microarthropod fauna, but reduce the biomass of the community. The percentage of small mites (body length &lt;= 0.20 mm) increased, but the percentage of large mites (body length &gt;0.40 mm) decreased under drought. Air warming had only minor effects on the fauna. All climate treatments significantly reduced the richness of Collembola and the biomass of Collembola and mites in acidic soil, but not in calcareous soil. Drought appeared to have a negative impact on soil microarthropod fauna, but the effects of climate change on soil fauna may vary with the soil type.</t>
  </si>
  <si>
    <t>[Xu, Guo-Liang] Chinese Acad Sci, Key Lab Vegetat Restorat &amp; Management Degraded Ec, S China Bot Garden, Guangzhou, Guangdong, Peoples R China; [Kuster, Thomas M.; Guenthardt-Goerg, Madeleine S.; Dobbertin, Matthias; Li, Mai-He] Swiss Fed Res Inst WSL, Birmensdorf, Switzerland</t>
  </si>
  <si>
    <t>Chinese Academy of Sciences; South China Botanical Garden, CAS; Swiss Federal Institutes of Technology Domain; Swiss Federal Institute for Forest, Snow &amp; Landscape Research</t>
  </si>
  <si>
    <t>Xu, GL (corresponding author), Chinese Acad Sci, Key Lab Vegetat Restorat &amp; Management Degraded Ec, S China Bot Garden, Guangzhou, Guangdong, Peoples R China.</t>
  </si>
  <si>
    <t>xugl@scbg.ac.cn</t>
  </si>
  <si>
    <t>Li, Mai-He/L-6390-2013; Günthardt-Goerg, Madeleine/L-6461-2013</t>
  </si>
  <si>
    <t>Li, Mai-He/0000-0002-7029-2841;</t>
  </si>
  <si>
    <t>Chinese Academy of Sciences [KSCX2-EW-J-28]; National Natural Science Foundation of China [40801096]; Sino-Swiss Science and Technology Cooperation Program [EG07-092009]</t>
  </si>
  <si>
    <t>Chinese Academy of Sciences(Chinese Academy of Sciences); National Natural Science Foundation of China(National Natural Science Foundation of China (NSFC)); Sino-Swiss Science and Technology Cooperation Program</t>
  </si>
  <si>
    <t>This work was supported by the Knowledge Innovation Program of the Chinese Academy of Sciences (No. KSCX2-EW-J-28) and the National Natural Science Foundation of China (no. 40801096). G. L. Xu's research stay in Switzerland was supported by Sino-Swiss Science and Technology Cooperation Program (project No. EG07-092009) which is gratefully acknowledged. The funders had no role in study design, data collection and analysis, decision to publish, or preparation of the manuscript.</t>
  </si>
  <si>
    <t>AUG 15</t>
  </si>
  <si>
    <t>e43102</t>
  </si>
  <si>
    <t>10.1371/journal.pone.0043102</t>
  </si>
  <si>
    <t>993AG</t>
  </si>
  <si>
    <t>WOS:000307823600048</t>
  </si>
  <si>
    <t>Lindberg, N; Persson, T</t>
  </si>
  <si>
    <t>FOREST ECOLOGY AND MANAGEMENT</t>
  </si>
  <si>
    <t>climate change; Collembola; forest fertilisation; global warming; Oribatida; Picea abies; soil fauna diversity</t>
  </si>
  <si>
    <t>CONIFEROUS FOREST; ACARI; PH; FAUNA; INVERTEBRATES; ENCHYTRAEIDAE; BIODIVERSITY; MANIPULATION; TEMPERATURE; ARTHROPODS</t>
  </si>
  <si>
    <t>Intensive nutrient fertilisation of forests has been suggested as a method to increase production of biofuels as a replacement for fossil fuels. We used a field experiment in a Norway spruce, Picea abies (L.) Karst., stand in northern Sweden to examine possible long-term effects of forest fertilisation on soil fauna (Oribatida, Mesostigmata, Collembola, predatory macroarthropods). Fertilisers had been applied annually for a period of 13 years, both in solid and liquid form, and N was added as ammonium nitrate (75-100 kg N ha(-1) per year). For comparison, control plots and plots receiving only irrigation were included. An autumn sampling showed soil fauna decreases in Plots receiving fertiliser in solid form, but increases in plots receiving liquid fertiliser. Clear shifts in community composition following both fertilisation methods were seen in Oribatida and Collembola, but species number and diversity were not significantly affected. This was probably due to increases in tolerant species that balanced decreases in other species. Liquid fertilisation had less negative effects on many species than fertilisation in solid form. Irrigation alone did not affect faunal abundances and had no effect on community composition of Oribatida and Collembola. The study indicates that intensive forest fertilisation will cause large shifts in soil microarthropod communities, but that species richness may remain unaffected. The risk of species loss will probably depend upon the size of the areas used for this purpose. (C) 2003 Elsevier B.V. All rights reserved.</t>
  </si>
  <si>
    <t>Swedish Univ Agr Sci, Dept Ecol &amp; Environm Res, SE-75007 Uppsala, Sweden</t>
  </si>
  <si>
    <t>Swedish University of Agricultural Sciences</t>
  </si>
  <si>
    <t>Lindberg, N (corresponding author), Swedish Univ Agr Sci, Dept Ecol &amp; Environm Res, POB 7072, SE-75007 Uppsala, Sweden.</t>
  </si>
  <si>
    <t>niklas.lindberg@eom.slu.se</t>
  </si>
  <si>
    <t>0378-1127</t>
  </si>
  <si>
    <t>1872-7042</t>
  </si>
  <si>
    <t>FOREST ECOL MANAG</t>
  </si>
  <si>
    <t>For. Ecol. Manage.</t>
  </si>
  <si>
    <t>FEB 5</t>
  </si>
  <si>
    <t>1-3</t>
  </si>
  <si>
    <t>10.1016/j.foreco.2003.07.012</t>
  </si>
  <si>
    <t>Forestry</t>
  </si>
  <si>
    <t>765QL</t>
  </si>
  <si>
    <t>WOS:000188294900011</t>
  </si>
  <si>
    <t>Hartley, SE; Jones, TH</t>
  </si>
  <si>
    <t>Article; Proceedings Paper</t>
  </si>
  <si>
    <t>Workshop on Context-Dependence in Plant-Herbivore Interactions</t>
  </si>
  <si>
    <t>OCT, 2001</t>
  </si>
  <si>
    <t>EKENAS, SWEDEN</t>
  </si>
  <si>
    <t>European Sci Fdn,Oskar &amp; Lilli Lamms Fdn</t>
  </si>
  <si>
    <t>ATMOSPHERIC CARBON-DIOXIDE; SPECIES RICHNESS; ARTHROPOD DIVERSITY; NUTRIENT ENRICHMENT; NORTHEAST SCOTLAND; HEATHER MOORLAND; ELEVATED CO2; GRASSLAND; SOIL; ECOSYSTEM</t>
  </si>
  <si>
    <t>There is increasing concern over the potential impact of anthropogenic factors (e.g. increasing nutrient inputs, global climate change) on the rate of loss of diversity in ecosystems. Such losses may affect ecosystem processes. In addition, a change in diversity of one group of organisms may influence the diversity of species of the next trophic level. We examined the extent to which plant species richness influences that of insect herbivores in two systems: a long-term field experiment on heather moorland and a model community in the Ecotron controlled environment facility. We examined the response of these two plant communities to environmental change, specifically increased levels of nutrients, grazing and atmospheric CO2. We measured the indirect effects of changes in these factors on insect herbivores, both above- and below-ground. In the moorland system, grazing was the largest influence on plant community structure. The community was dominated by one species, Calluna vnlgaris, and loss of cover under heavy grazing allowed competing species to invade. However, grazing regime was not a major influence on the species richness of the insect herbivore community. Site was more important: there were a greater number of Hemiptera species on sites with more mineral soils than on peat sites, possibly because a greater variety of grass and herb species was present on the former sites. In the Ecotron, below-ground factors were also important drivers of community change: elevated CO, increased carbon availability in the soil and there were simultaneous changes in the community composition of soil biota. Above-ground., some plant species increased in abundance and others decreased, leading to interaction-specific effects on the insect herbivores. In two very different studies of the effects of environmental change on the interactions between plants and their herbivores, several similar conclusions can be drawn: (1) effects are likely to be site- and interaction-specific; (2) outcomes are likely to be strongly dependent on the initial state and the dominant species of the plant community; and (3) indirect effects, often mediated by below-ground factors, may have a bigger influence on insect-plant interactions than more direct effects of above-ground factors.</t>
  </si>
  <si>
    <t>Univ Sussex, Sch Biol Sci, Brighton BN1 9QG, E Sussex, England; Cardiff Univ, Cardiff Business Sch, Cardiff CF10 3TL, S Glam, Wales</t>
  </si>
  <si>
    <t>University of Sussex; Cardiff University</t>
  </si>
  <si>
    <t>Hartley, SE (corresponding author), Univ Sussex, Sch Biol Sci, Brighton BN1 9QG, E Sussex, England.</t>
  </si>
  <si>
    <t>; Jones, T Hefin/A-4331-2010</t>
  </si>
  <si>
    <t>Hartley, Sue/0000-0002-5117-687X; Jones, T Hefin/0000-0002-7874-3627</t>
  </si>
  <si>
    <t>10.1034/j.1600-0706.2003.12566.x</t>
  </si>
  <si>
    <t>Science Citation Index Expanded (SCI-EXPANDED); Conference Proceedings Citation Index - Science (CPCI-S)</t>
  </si>
  <si>
    <t>665EL</t>
  </si>
  <si>
    <t>WOS:000182106600002</t>
  </si>
  <si>
    <t>Press, MC; Potter, JA; Burke, MJW; Callaghan, TV; Lee, JA</t>
  </si>
  <si>
    <t>JOURNAL OF ECOLOGY</t>
  </si>
  <si>
    <t>biomass; nutrients; species abundance; temperature; water</t>
  </si>
  <si>
    <t>ARCTIC POLAR SEMIDESERT; PLANT FUNCTIONAL TYPES; GROWTH-RESPONSES; CLIMATE-CHANGE; REPRODUCTIVE DEVELOPMENT; DIFFERENTIAL GROWTH; TUNDRA; MINERALIZATION; FERTILIZATION; NITROGEN</t>
  </si>
  <si>
    <t>1 A dwarf shrub heath in subarctic Sweden was subjected to factorial manipulation of air temperature, water and nutrient supply for 5 years. The responses of the vegetation to the perturbations were then assessed by point intercept (quadrat) analysis followed by determination of above-ground biomass. 2 Nineteen vascular and 23 non-vascular species (or species groups) were recorded and the most dramatic response was that of the grass Calamagrostis lapponica to nutrient addition, with abundance being stimulated by a factor of more than 18 compared with plots not subjected to nutrient addition. Calamagrostis lapponica did not show any significant responses to temperature or water alone but there was a synergistic interaction between all three variables. 3 The abundance of the dominant dwarf shrubs (Empetrum hermaphroditum, Vaccinium vitis-idaea, V. myrtillus and V. uliginosum) was unaffected by the perturbations but elevated temperature stimulated the biomass of V. uliginosum by 125% and total shrub biomass by 16%. The low ratio of current year's growth to standing biomass may have concealed other responses of the dwarf shrub group to the perturbations. 4 The response of the non-vascular flora to the perturbations was either neutral or negative, with lichens showing the most dramatic responses. Lichen biomass on temperature- and nutrient-amended plots was 56% and 18%, respectively, of that on unperturbed plots. Nutrients also exerted a negative effect on the biomass of bryophytes, and the combined biomass of lichens and bryophytes on nutrient-treated plots was almost a third of that on plots which did not receive additional nutrients. 5 Total above-ground biomass was not affected by the perturbations but the total number of interceptions determined by point quadrat analysis was greater on the elevated temperature and nutrient-treated plots. Point quadrat analysis also revealed an accumulation of litter and standing dead material in response to the nutrient and temperature perturbations, both singly and in combination, suggesting a faster turnover of plant material. 6 Both temperature and nutrients increased canopy height and also interacted synergistically such that together they resulted in a mean canopy height of 14.9 cm compared with 8.0 cm in plots subjected to neither perturbation. 7 Nutrient addition lowered species richness by 17.7%, mainly through its impact on the mosses and lichens. 8 In general, nutrient addition elicited the greatest response, followed by temperature, with water exerting little measurable influence. There were a number of important interactions that were often synergistic, and some involved water. 9 Species' responses were highly individualistic and changes in the community were mediated through the response of a small number of key species already present in the community, with no invasion of new species. In the short term at least, floristic diversity may decline as understorey species become less abundant and immigration by new species is inhibited by the dominance of clonal angiosperms.</t>
  </si>
  <si>
    <t>Univ Sheffield, Dept Anim &amp; Plant Sci, Sheffield S10 2TN, S Yorkshire, England</t>
  </si>
  <si>
    <t>University of Sheffield</t>
  </si>
  <si>
    <t>Press, MC (corresponding author), Univ Sheffield, Dept Anim &amp; Plant Sci, Sheffield S10 2TN, S Yorkshire, England.</t>
  </si>
  <si>
    <t>Callaghan, Terens/N-7640-2014; Press, Malcolm/ABB-3995-2021</t>
  </si>
  <si>
    <t>0022-0477</t>
  </si>
  <si>
    <t>1365-2745</t>
  </si>
  <si>
    <t>J ECOL</t>
  </si>
  <si>
    <t>J. Ecol.</t>
  </si>
  <si>
    <t>10.1046/j.1365-2745.1998.00261.x</t>
  </si>
  <si>
    <t>Plant Sciences; Ecology</t>
  </si>
  <si>
    <t>Plant Sciences; Environmental Sciences &amp; Ecology</t>
  </si>
  <si>
    <t>ZP548</t>
  </si>
  <si>
    <t>WOS:000073764500011</t>
  </si>
  <si>
    <t>Macreadie, PI; Hindell, JS; Jenkins, GP; Connolly, RM; Keough, MJ</t>
  </si>
  <si>
    <t>Macreadie, Peter I.; Hindell, Jeremy S.; Jenkins, Gregory P.; Connolly, Rod M.; Keough, Michael J.</t>
  </si>
  <si>
    <t>Fish Responses to Experimental Fragmentation of Seagrass Habitat</t>
  </si>
  <si>
    <t>CONSERVATION BIOLOGY</t>
  </si>
  <si>
    <t>artificial seagrass; disturbance; edge effects; habitat fragmentation; habitat loss; patchiness; Port Phillip Bay; Stigmatopora; Bahia Port Phillip; efectos de borde; fragmentacion de habitat; heterogeneidad; pasto marino artificial; perturbacion; Stigmatopora</t>
  </si>
  <si>
    <t>RAIN-FOREST FRAGMENTATION; PATCH SIZE; POPULATION-DYNAMICS; ARTIFICIAL SEAGRASS; ZOSTERA-CAPRICORNI; SPECIES RICHNESS; CRAB SURVIVAL; ABUNDANCE; ASSEMBLAGES; LANDSCAPES</t>
  </si>
  <si>
    <t>Understanding the consequences of habitat fragmentation has come mostly from comparisons of patchy and continuous habitats. Because fragmentation is a process, it is most accurately studied by actively fragmenting large patches into multiple smaller patches. We fragmented artificial seagrass habitats and evaluated the impacts of fragmentation on fish abundance and species richness over time (1 day, 1 week, 1 month). Fish assemblages were compared among 4 treatments: control (single, continuous 9-m(2) patches); fragmented (single, continuous 9-m(2) patches fragmented to 4 discrete 1-m(2) patches); prefragmented/patchy (4 discrete 1-m(2) patches with the same arrangement as fragmented); and disturbance control (fragmented then immediately restored to continuous 9-m(2) patches). Patchy seagrass had lower species richness than actively fragmented seagrass (up to 39% fewer species after 1 week), but species richness in fragmented treatments was similar to controls. Total fish abundance did not vary among treatments and therefore was unaffected by fragmentation, patchiness, or disturbance caused during fragmentation. Patterns in species richness and abundance were consistent 1 day, 1 week, and 1 month after fragmentation. The expected decrease in fish abundance from reduced total seagrass area in fragmented and patchy seagrass appeared to be offset by greater fish density per unit area of seagrass. If fish prefer to live at edges, then the effects of seagrass habitat loss on fish abundance may have been offset by the increase (25%) in seagrass perimeter in fragmented and patchy treatments. Possibly there is some threshold of seagrass patch connectivity below which fish abundances cannot be maintained. The immediate responses of fish to experimental habitat fragmentation provided insights beyond those possible from comparisons of continuous and historically patchy habitat.</t>
  </si>
  <si>
    <t>[Macreadie, Peter I.; Jenkins, Gregory P.; Keough, Michael J.] Univ Melbourne, Dept Zool, Parkville, Vic 3052, Australia; [Macreadie, Peter I.] Victorian Marine Sci Consortium, Queenscliff, Australia; [Hindell, Jeremy S.; Jenkins, Gregory P.] Dept Primary Ind, Queenscliff, Australia; [Connolly, Rod M.] Griffith Univ, Australian Rivers Inst Coast &amp; Estuaries, Griffith, NSW, Australia; [Connolly, Rod M.] Griffith Univ, Sch Environm, Griffith, NSW, Australia</t>
  </si>
  <si>
    <t>University of Melbourne; Department of Primary Industries &amp; Regional Development NSW; Griffith University; Griffith University</t>
  </si>
  <si>
    <t>Macreadie, PI (corresponding author), Univ Melbourne, Dept Zool, Parkville, Vic 3052, Australia.</t>
  </si>
  <si>
    <t>petermacreadie@gmail.com</t>
  </si>
  <si>
    <t>; Jenkins, Gregory/AAE-9856-2020; Connolly, Rod/C-4094-2008</t>
  </si>
  <si>
    <t>Keough, Michael/0000-0002-3382-3068; Jenkins, Gregory/0000-0001-5793-6844; Macreadie, Peter/0000-0001-7362-0882; Connolly, Rod/0000-0001-6223-1291</t>
  </si>
  <si>
    <t>Australian Research Council; CSIRO; Nancy Millis Postgraduate Research Award; Australian Society for Fish Biology Michael Hall Innovation Award; Holsworth Wildlife Foundation; Norman Wettenhall Foundation</t>
  </si>
  <si>
    <t>Australian Research Council(Australian Research Council); CSIRO(Commonwealth Scientific &amp; Industrial Research Organisation (CSIRO)); Nancy Millis Postgraduate Research Award; Australian Society for Fish Biology Michael Hall Innovation Award; Holsworth Wildlife Foundation; Norman Wettenhall Foundation</t>
  </si>
  <si>
    <t>We thank F. Warry, T. Smith, A. O'Brien, R. Watson, J. Ahern, H. Murphy, B. Loughman, G. Ryan, J. Brown, K. Baker, M. Wright, and J. Smith for field assistance, D. Ball for aerial photographs, D. Marshall and 3 anonymous referees for insightful comments on the manuscript, and the people of Roytal Enterprises for constructing ASUs. We are grateful for funding through an Australian Research Council Discovery Grant (R.C., J.H., and G.J.), a CSIRO Postgraduate Award (P.M. with D. Smith), a Nancy Millis Postgraduate Research Award (P.M.), an Australian Society for Fish Biology Michael Hall Innovation Award (P.M.), a Holsworth Wildlife Foundation Grant (P.M.), and a Norman Wettenhall Foundation Grant (P.M.). All research was conducted under University of Melbourne Animal Ethics and Department of Primary Industries Fisheries permits. Research was conducted with the facilities of the Victorian Marine Sciences Consortium.</t>
  </si>
  <si>
    <t>0888-8892</t>
  </si>
  <si>
    <t>1523-1739</t>
  </si>
  <si>
    <t>CONSERV BIOL</t>
  </si>
  <si>
    <t>Conserv. Biol.</t>
  </si>
  <si>
    <t>10.1111/j.1523-1739.2008.01130.x</t>
  </si>
  <si>
    <t>445SG</t>
  </si>
  <si>
    <t>WOS:000266071200019</t>
  </si>
  <si>
    <t>D'Cruze, N; Kumar, S</t>
  </si>
  <si>
    <t>D'Cruze, N.; Kumar, S.</t>
  </si>
  <si>
    <t>ANIMAL CONSERVATION</t>
  </si>
  <si>
    <t>canonical correspondence analysis; community composition; deforestation; Montagne des Francais; reptiles</t>
  </si>
  <si>
    <t>CAPTURE PROBABILITIES VARY; AMPHIBIAN DIVERSITY; NONPARAMETRIC-ESTIMATION; FOREST FRAGMENTATION; POPULATION-SIZE; SMALL MAMMALS; RAIN-FOREST; HERPETOFAUNA; DISTURBANCE; ABUNDANCE</t>
  </si>
  <si>
    <t>Madagascar is a biodiversity hotspot threatened by habitat loss, which is detrimental to the future survival of forest-dwelling herpetofauna. For conservation purposes, it is essential to determine how species respond to different types of anthropogenic habitat alteration. We conducted standardized field surveys (a variation of visual encounter survey) to assess species richness, abundance and diversity among forest, clear-cut and orchard habitat types in Montagne des Francais, north Madagascar. Forest sites proved to be very different from clear-cut and orchard sites with regards to habitat structure. Lizard species richness, abundance and diversity were significantly lower in clear-cut sites, with only 11% of the observed forest diversity recorded. This shift in species occurrence suggests that lizards are particularly sensitive to this type of habitat alteration. Orchard cultivation did not affect lizard species richness to the same extent, as 56% of the observed forest diversity was recorded in this habitat type. Furthermore lizard abundance was significantly higher in orchard habitat. These observations indicate that although anthropogenic activity can have an adverse effect on the lizard fauna of a given site, it will seldom lead to a total loss of diversity as species typical of pristine forest (specialists) are replaced by species adapted to secondary habitats (often generalists). Our results support the contention that anthropogenic habitat alteration can have a strong negative influence on lizard communities. Researchers should continue to identify which species may be lost or become more vulnerable in future (as a result of population decline) in response to anthropogenic habitat alteration.</t>
  </si>
  <si>
    <t>[D'Cruze, N.] World Soc Protect Anim, London EC1X 8HB, England; [Kumar, S.] Colorado State Univ, Nat Resource Ecol Lab, Ft Collins, CO 80523 USA</t>
  </si>
  <si>
    <t>Colorado State University System; Colorado State University Fort Collins</t>
  </si>
  <si>
    <t>D'Cruze, N (corresponding author), World Soc Protect Anim, 222 Grays Inn Rd, London EC1X 8HB, England.</t>
  </si>
  <si>
    <t>neildcruze@wspa-international.org</t>
  </si>
  <si>
    <t>; Kumar, Sunil/A-6730-2009</t>
  </si>
  <si>
    <t>D'Cruze, Neil/0000-0001-8006-3084;</t>
  </si>
  <si>
    <t>Ford Foundation (FF); Natural Resource Ecology Laboratory at Colorado State University</t>
  </si>
  <si>
    <t>We are grateful to the Ministere des Eaux et Forets for permitting us to carry out our research and to the University of Antsiranana, University of Antananarivo and Frontier (the Society for Environmental Exploration). Special thanks are also extended to Jeremy Sabel, Jefferey Dawson, Enanatse Alfred, Georges, Onjaniaina Cecilia Paulariot, Philip Cowling, Natasha Calderwood and to all the Frontier staff and volunteers whose work and effort made this study possible. Sunil Kumar wishes to thank Ford Foundation International Fellowships Program (FF-IFP) and Natural Resource Ecology Laboratory at Colorado State University. We also thank two anonymous reviewers for providing comments that improved this paper.</t>
  </si>
  <si>
    <t>1367-9430</t>
  </si>
  <si>
    <t>1469-1795</t>
  </si>
  <si>
    <t>ANIM CONSERV</t>
  </si>
  <si>
    <t>Anim. Conserv.</t>
  </si>
  <si>
    <t>OCT</t>
  </si>
  <si>
    <t>10.1111/j.1469-1795.2011.00459.x</t>
  </si>
  <si>
    <t>846JX</t>
  </si>
  <si>
    <t>WOS:000296894900012</t>
  </si>
  <si>
    <t>Vanderklift, MA; Jacoby, CA</t>
  </si>
  <si>
    <t>Australia; Cockburn Sound; drift; guilds; inference; spatial subsidy</t>
  </si>
  <si>
    <t>WESTERN-AUSTRALIA; NURSERY HABITATS; COCKBURN SOUND; COASTAL WATERS; SURF-ZONE; FOOD-WEB; BIODIVERSITY; COMMUNITIES; PREDATION; VICTORIA</t>
  </si>
  <si>
    <t>Inferences about the effects of habitat loss may be derived from comparisons of different places when pre-impact data are unavailable. We compared the fish faunas of sandy substrata off beaches with and without seagrass in Cockburn Sound (Western Australia), a bay where &gt;3000 ha of seagrass was lost from the 1950s to the 1970s, and for which there are no pre-impact data. Numbers of species and individuals varied considerably in space and time, and this variation obscured patterns that might have been associated with the presence or absence of seagrass. Multivariate tests indicated some significant differences in species composition between beaches with and without seagrass; however, patterns among species were complex. Catches were strongly influenced by depth and the quantity of drifting vegetation. In general, fewer species were captured at shallower beaches. Hauls with a lot of drift captured more species, more individuals and higher biomasses of fishes that eat invertebrates and are associated with plants. When widespread seagrass loss occurs, resultant decreases in the supply of drift are likely to negatively affect densities of some fauna. We can make no firm conclusions about the effects of seagrass loss in Cockburn Sound, but suggest that declines in the production of drift have caused changes in fish assemblages.</t>
  </si>
  <si>
    <t>Edith Cowan Univ, Ctr Ecosyst Management, Joondalup, WA 6027, Australia; CSIRO, Div Marine Res, North Beach, WA 6020, Australia</t>
  </si>
  <si>
    <t>Edith Cowan University; Commonwealth Scientific &amp; Industrial Research Organisation (CSIRO)</t>
  </si>
  <si>
    <t>Vanderklift, MA (corresponding author), Edith Cowan Univ, Ctr Ecosyst Management, 100 Joondalup Dr, Joondalup, WA 6027, Australia.</t>
  </si>
  <si>
    <t>matvdk@cyliene.uwa.edu.au</t>
  </si>
  <si>
    <t>Vanderklift, Mathew/B-1003-2008; Jacoby, Charles/D-5608-2013</t>
  </si>
  <si>
    <t>Jacoby, Charles/0000-0002-5948-3241</t>
  </si>
  <si>
    <t>10.3354/meps247225</t>
  </si>
  <si>
    <t>651KH</t>
  </si>
  <si>
    <t>WOS:000181318700020</t>
  </si>
  <si>
    <t>With, KA; Pavuk, DM</t>
  </si>
  <si>
    <t>With, Kimberly A.; Pavuk, Daniel M.</t>
  </si>
  <si>
    <t>OECOLOGIA</t>
  </si>
  <si>
    <t>Arthropods; Community similarity; Diversity; Edge effects; Habitat loss; Insects; Species-area relationship</t>
  </si>
  <si>
    <t>BIOLOGICAL-CONTROL; SPECIES RESPONSES; AREA; MODELS; EDGE; CONSERVATION</t>
  </si>
  <si>
    <t>Habitat area and fragmentation are confounded in many ecological studies investigating fragmentation effects. We thus devised an innovative experiment founded on fractal neutral landscape models to disentangle the relative effects of habitat area and fragmentation on arthropod community patterns in red clover (Trifolium pratense). The conventional approach in experimental fragmentation studies is to adjust patch size and isolation to create different landscape patterns. We instead use fractal distributions to adjust the overall amount and fragmentation of habitat independently at the scale of the entire landscape, producing different patch properties. Although habitat area ultimately had a greater effect on arthropod abundance and diversity in this system, we found that fragmentation had a significant effect in clover landscapes with a parts per thousand currency sign40 % habitat. Landscapes at these lower habitat levels were dominated by edge cells, which had fewer arthropods and lower richness than interior cells. Fragmentation per se did not have a direct effect on local-scale diversity, however, as demonstrated by the lack of a broader landscape effect (in terms of total habitat area and fragmentation) on arthropods within habitat cells. Fragmentation-through the creation of edge habitat-thus had a strong indirect effect on morphospecies richness and abundance at the local scale. Although it has been suggested that fragmentation should be important at low habitat levels (a parts per thousand currency sign20-30 %), we show that fragmentation per se is significant only at intermediate (40 %) levels of habitat, where edge effects were neither too great (as at lower levels of habitat) nor too weak (as at higher levels of habitat).</t>
  </si>
  <si>
    <t>[With, Kimberly A.] Kansas State Univ, Div Biol, Manhattan, KS 66506 USA; [Pavuk, Daniel M.] Bowling Green State Univ, Dept Biol Sci, Bowling Green, OH 43403 USA</t>
  </si>
  <si>
    <t>Kansas State University; University System of Ohio; Bowling Green State University</t>
  </si>
  <si>
    <t>With, KA (corresponding author), Kansas State Univ, Div Biol, Ackert Hall, Manhattan, KS 66506 USA.</t>
  </si>
  <si>
    <t>kwith@ksu.edu</t>
  </si>
  <si>
    <t>With, Kimberly/J-5124-2014</t>
  </si>
  <si>
    <t>With, Kimberly/0000-0001-5570-1515</t>
  </si>
  <si>
    <t>National Science Foundation [DEB-9610159]</t>
  </si>
  <si>
    <t>National Science Foundation(National Science Foundation (NSF))</t>
  </si>
  <si>
    <t>This research was supported by a grant from the National Science Foundation (DEB-9610159). We gratefully acknowledge the assistance provided by H. Beecheler, S. Cadaret, J. Brubaker, and S. Grimes in helping to establish and maintain the clover plots, and R. Kappel for help with microarthropod sampling. We also thank Dr. Leigh Murray (KSU Department of Statistics) for advice on statistical design and analysis.</t>
  </si>
  <si>
    <t>NEW YORK</t>
  </si>
  <si>
    <t>ONE NEW YORK PLAZA, SUITE 4600, NEW YORK, NY, UNITED STATES</t>
  </si>
  <si>
    <t>0029-8549</t>
  </si>
  <si>
    <t>1432-1939</t>
  </si>
  <si>
    <t>Oecologia</t>
  </si>
  <si>
    <t>10.1007/s00442-012-2325-9</t>
  </si>
  <si>
    <t>004ED</t>
  </si>
  <si>
    <t>WOS:000308662100022</t>
  </si>
  <si>
    <t>Giraudo, AR; Matteucci, SD; Alonso, J; Herrera, J; Abramson, RR</t>
  </si>
  <si>
    <t>Giraudo, Alejandro R.; Matteucci, Silvia D.; Alonso, Julian; Herrera, Justo; Abramson, Raul R.</t>
  </si>
  <si>
    <t>Comparing bird assemblages in large and small fragments of the Atlantic Forest hotspots</t>
  </si>
  <si>
    <t>Atlantic Forest; fragmentation; birds; Argentina</t>
  </si>
  <si>
    <t>TROPICAL RAIN-FOREST; HABITAT FRAGMENTATION; CONSERVATION; DENSITY; SIZE</t>
  </si>
  <si>
    <t>The Atlantic Forest (AF) is one of the five most threatened and megadiverse world hotspots. It is arguably the most devastated and highly threatened ecosystem on the planet. The vast scope of habitat loss and extreme fragmentation in the AF hotspots has left intact very few extensive and continuous forested fragments. We compared bird assemblages between small (&lt; 100 ha) and large (&gt; 6,000 ha) forest remnants, in one of the largest AF remnants in Argentina. We performed 84 point-counts of birds in four large fragments (LF) and 67 points in 25 small fragments (SF). We recorded 4,527 bird individuals belonging to 173 species; 2,632 belonging to 153 species in LF and 1,897 in 124 species in SF. Small fragments suffered a significant loss of bird richness, mainly forest dependent species, but the birds abundance did not decrease, due to an increase in abundance of forest independent and semi-dependent bird species (edge and non forest species) that benefit from forest fragmentation. The bird guilds of frugivores, undestory, terrestrial and midstory insectivores, nectarivores and raptors, and the endemic species of AF were area sensitive, decreasing significantly in richness and abundance in the SF. Terrestrial granivores were the only guild positively affected by forest fragmentation, containing mainly edge species, which forage in open areas or borders including crops. Our first observations on fragmentation effects on bird assemblages in the southernmost Argentinean Atlantic Forests did not validate the hypothesis on pre-adaptation to human disturbances in the bird communities of AF. On the contrary, we observed that forest dependent, endemic and several sensitive bird guilds were strongly affected by fragmentation, putting in evidence the vulnerability to the fragmentation process and the necessity to conserve large remnants to avoid reduction of the high biodiversity of AF birds.</t>
  </si>
  <si>
    <t>[Giraudo, Alejandro R.] UNL, FHUC, CONICET, Inst Nacl Limnol, RA-3016 Santo Tome, Santa Fe, Argentina; [Matteucci, Silvia D.] UBA, GEPAMA, Natl Res Council, Buenos Aires, DF, Argentina; [Alonso, Julian] Parque Nacl Predelta, Diamante, Entre Rios, Argentina; [Herrera, Justo] Parque Nacl Iguazu, Iguazu, Misiones, Argentina; Ministerio Ecol Misiones, Parque Prov Salto Encantado Valle Cunapiru, Aristobulo Del Valle, Misiones, Argentina</t>
  </si>
  <si>
    <t>National University of the Littoral; Consejo Nacional de Investigaciones Cientificas y Tecnicas (CONICET); University of Buenos Aires</t>
  </si>
  <si>
    <t>Giraudo, AR (corresponding author), UNL, FHUC, CONICET, Inst Nacl Limnol, Jose Macia 1933, RA-3016 Santo Tome, Santa Fe, Argentina.</t>
  </si>
  <si>
    <t>alejandrogiraudo@hotmail.com</t>
  </si>
  <si>
    <t>Matteucci, Silvia Diana/0000-0002-9678-262X</t>
  </si>
  <si>
    <t>1572-9710</t>
  </si>
  <si>
    <t>10.1007/s10531-007-9309-9</t>
  </si>
  <si>
    <t>302VO</t>
  </si>
  <si>
    <t>WOS:000255998100018</t>
  </si>
  <si>
    <t>Davies, KF; Margules, CR</t>
  </si>
  <si>
    <t>JOURNAL OF ANIMAL ECOLOGY</t>
  </si>
  <si>
    <t>edge effects; equilibrium theory of island biogeography; isolation; metapopulation dynamics; remnant size</t>
  </si>
  <si>
    <t>OEDURA-RETICULATA; FOREST FRAGMENTATION; GROUND BEETLES; COLEOPTERA; COMMUNITIES; DYNAMICS; PERSISTENCE; DESTRUCTION; POPULATIONS; GEKKONIDAE</t>
  </si>
  <si>
    <t>1. We tested for effects of habitat fragmentation in a controlled, replicated, field experiment, in south-eastern Australia. Our experimental subjects were eight carabid beetle species, and the carabid assemblage (45 species). Monitoring was by pitfall trapping in forest remnants and in adjacent continuous-forest controls. Remnants were of three sizes (0.25, 0.875, 3.062 ha.). Monitoring commenced 2 years prior to habitat fragmentation. Here we present results for 6 years after habitat fragmentation (4 years for species richness). 2. We tested four hypotheses. Hypothesis one: habitat fragmentation reduces species richness in the remaining remnants. Carabid species richness was not different in habitat remnants compared to continuous forest, neither was carabid richness different for remnants of different sizes, or at monitoring sites close to remnant edges compared to sites in remnant interiors. 3. Hypothesis two. populations decline as a result of habitat fragmentation. Two species of eight were completely isolated on remnants and both declined in abundance on remnants compared to control plots in continuous forest. The other six species responded in various ways, which included relative increases and decreases in abundance and no change, but as they were not completely isolated on remnants, their responses could not be explained by isolation. 4. Hypothesis three: remaining subpopulations decline further on smaller habitat remnants than on larger remnants. Three species responded to remnant size; one was most abundant in small remnants, the second was most abundant in large remnants, and the third was equally abundant in small and large remnants and less abundant in medium-sized remnants. 5. Hypothesis four: populations near to remnant edges decline further than populations in remnant interiors. Two species were more likely to occur in remnant interiors than at edges, whereas three species were equally likely to occur in remnant interiors and at edges. 6. The effects of habitat fragmentation may be the consequence of: (i) isolation; and (ii) habitat modification. In this study, we were able to consider effects of isolation for two carabid species. We tested only one aspect of the habitat modification hypothesis, edge effects. We discuss the possibility that other aspects of habitat modification in remnants may explain some of our results and suggest that this is where future research be directed.</t>
  </si>
  <si>
    <t>Australian Natl Univ, Sch Life Sci, Div Bot &amp; Zool, Canberra, ACT 0200, Australia; CSIRO, Div Wildlife &amp; Ecol, Lyneham, ACT 2602, Australia</t>
  </si>
  <si>
    <t>Australian National University; Commonwealth Scientific &amp; Industrial Research Organisation (CSIRO)</t>
  </si>
  <si>
    <t>Davies, KF (corresponding author), Australian Natl Univ, Sch Life Sci, Div Bot &amp; Zool, Canberra, ACT 0200, Australia.</t>
  </si>
  <si>
    <t>Margules, Chris/F-4605-2012</t>
  </si>
  <si>
    <t>WILEY-BLACKWELL</t>
  </si>
  <si>
    <t>MALDEN</t>
  </si>
  <si>
    <t>COMMERCE PLACE, 350 MAIN ST, MALDEN 02148, MA USA</t>
  </si>
  <si>
    <t>0021-8790</t>
  </si>
  <si>
    <t>J ANIM ECOL</t>
  </si>
  <si>
    <t>J. Anim. Ecol.</t>
  </si>
  <si>
    <t>10.1046/j.1365-2656.1998.00210.x</t>
  </si>
  <si>
    <t>Ecology; Zoology</t>
  </si>
  <si>
    <t>Environmental Sciences &amp; Ecology; Zoology</t>
  </si>
  <si>
    <t>ZR934</t>
  </si>
  <si>
    <t>WOS:000074031000012</t>
  </si>
  <si>
    <t>Miserendino, ML; Brand, C; Di Prinzio, CY</t>
  </si>
  <si>
    <t>Miserendino, M. L.; Brand, C.; Di Prinzio, C. Y.</t>
  </si>
  <si>
    <t>Assessing urban impacts on water quality, benthic communities and fish in streams of the Andes Mountains, Patagonia (Argentina)</t>
  </si>
  <si>
    <t>WATER AIR AND SOIL POLLUTION</t>
  </si>
  <si>
    <t>environmental relationships; invertebrates; nutrients; pollution; rivers</t>
  </si>
  <si>
    <t>MACROINVERTEBRATE ASSEMBLAGES; NEW-ZEALAND; LAND-USE; POPULATION-DYNAMICS; RIVER; BASIN; HABITAT; PERIPHYTON; PATTERNS; SYSTEM</t>
  </si>
  <si>
    <t>Communities of aquatic macroinvertebrates, fish density and biomass, and environmental variables were investigated in three Patagonian mountain rivers affected by urbanization. The rivers Las Minas, Esquel and Carbon that flow through the towns of Cholila, Esquel and Corcovado, respectively (northwest Chubut, Argentina) were selected to assess the degree of impairment. A reference site and an urban site were established on each river. Water quality variables including conductivity, major nutrients, total suspended solids (TSS) and dissolved oxygen, habitat conditions and quality of riparian ecosystems were investigated in autumn, winter, spring and summer 2005-2006. Macroinvertebrates were sampled concurrently in three riffles and three pools at each site. Invertebrate species richness, EPT richness, the Shannon-Weaver diversity index, % EPT density, and the BMPS index were lower at urban sites, whereas % collectors increased. The most impaired site was below Esquel, the largest town. Senzilloides panguipulli (Plecoptera), Polypedilum and Rheotanytarsus species (Diptera: Chironomidae), Nais communis (Oligochaeta) and Meridialaris chiloeensis (Ephemeroptera) dominated assemblages at reference and moderately impaired sites in summer, whereas the strongly polluted reach below Esquel had low flow in summer and a community dominated by Limnodrilus spp. (Oligochaeta), Helobdella spp. (Hirudinea), and two Hyallela species (Amphipoda). Canonical correspondence analysis indicated that ammonia, conductivity and TSS were important variables structuring invertebrate assemblages. In contrast, fish density and biomass varied in a non-systematic manner among sites. Overall, urbanization resulted in varying degrees of habitat degradation, sedimentation and nutrient enrichment that were reflected by the macroinvertebrate assemblages, which can be used effectively to monitor the effects of urban communities on Patagonian mountain streams.</t>
  </si>
  <si>
    <t>[Miserendino, M. L.; Brand, C.; Di Prinzio, C. Y.] Univ Nacl Patagonia, LIESA, RA-9200 Esquel, Chubut, Argentina</t>
  </si>
  <si>
    <t>Universidad Nacional de la Patagonia San Juan Bosco</t>
  </si>
  <si>
    <t>Miserendino, ML (corresponding author), Univ Nacl Patagonia, LIESA, Sarmiento 849, RA-9200 Esquel, Chubut, Argentina.</t>
  </si>
  <si>
    <t>lmiserendino@liesa.org.ar</t>
  </si>
  <si>
    <t>Brand, Cecilia/0000-0002-6611-5033; di prinzio, cecilia/0000-0002-3561-4307; MISERENDINO, MARIA LAURA/0000-0002-8414-0734</t>
  </si>
  <si>
    <t>CONICET [PIP 5733]; Project A.W.A.R.E. Foundation [P-001036]; PADI Foundation [19/2006]</t>
  </si>
  <si>
    <t>CONICET(Consejo Nacional de Investigaciones Cientificas y Tecnicas (CONICET)); Project A.W.A.R.E. Foundation; PADI Foundation</t>
  </si>
  <si>
    <t>This study was supported by CONICET (PIP 5733) and Project A.W.A.R.E. Foundation (P-001036) and PADI Foundation (19/2006). Special thanks to Carolina Masi and Ricardo Casaux for fieldtrip assistance. We wish to thank Mike Winterbourn for thoughtful reviews of the manuscript and for constructive suggestions for its improvement. Thanks to anonymous reviewers for valuable comments that greatly improved the manuscript. This is Scientific Contribution n degree 31 from LIESA.</t>
  </si>
  <si>
    <t>SPRINGER INTERNATIONAL PUBLISHING AG</t>
  </si>
  <si>
    <t>CHAM</t>
  </si>
  <si>
    <t>GEWERBESTRASSE 11, CHAM, CH-6330, SWITZERLAND</t>
  </si>
  <si>
    <t>0049-6979</t>
  </si>
  <si>
    <t>1573-2932</t>
  </si>
  <si>
    <t>WATER AIR SOIL POLL</t>
  </si>
  <si>
    <t>Water Air Soil Pollut.</t>
  </si>
  <si>
    <t>1-4</t>
  </si>
  <si>
    <t>10.1007/s11270-008-9701-4</t>
  </si>
  <si>
    <t>Environmental Sciences; Meteorology &amp; Atmospheric Sciences; Water Resources</t>
  </si>
  <si>
    <t>Environmental Sciences &amp; Ecology; Meteorology &amp; Atmospheric Sciences; Water Resources</t>
  </si>
  <si>
    <t>347LN</t>
  </si>
  <si>
    <t>WOS:000259143200010</t>
  </si>
  <si>
    <t>Davies, KW; Svejcar, TJ</t>
  </si>
  <si>
    <t>Davies, Kirk W.; Svejcar, Tony J.</t>
  </si>
  <si>
    <t>Comparison of Medusahead-Invaded and Noninvaded Wyoming Big Sagebrush Steppe in Southeastern Oregon</t>
  </si>
  <si>
    <t>RANGELAND ECOLOGY &amp; MANAGEMENT</t>
  </si>
  <si>
    <t>annual grass; Artemisia tridentata; diversity; invasive plants; production; Taeniatherum caput-medusae; weeds</t>
  </si>
  <si>
    <t>SAGE GROUSE; BIOLOGICAL INVASIONS; FIRE; DIVERSITY; SELECTION; DIETS</t>
  </si>
  <si>
    <t>Medusahead (Taeniatherum caput-medusae [L.] Nevski) is an exotic, annual grass invading sagebrush steppe rangelands in the western United States. Medusahead invasion has been demonstrated to reduce livestock forage, but otherwise information comparing vegetation characteristics of medusahead-invaded to noninvaded sagebrush steppe communities is limited. This lack of knowledge makes it difficult to determine the cost-benefit ratio of controlling and preventing medusahead invasion. To estimate the impact of medusahead invasion, vegetation characteristics were compared between invaded and noninvaded Wyoming big sagebrush (Artemisia tridentate subsp. wyomingensis [Beetle &amp; A. Young] S.L. Welsh) steppe communities that had similar soils, topography, climate, and management. Noninvaded plant communities had greater cover and density of all native herbaceous functional groups compared to medusahead-invaded communities (P &lt; 0.01). Large perennial grass cover was 15-fold greater in the noninvaded compared to invaded plant communities. Sagebrush cover and density were greater in the noninvaded compared to the medushahead-invaded communities (P &lt; 0.01). Biomass production of all native herbaceous functional groups Was higher in noninvaded compared to invaded plant communities (P &lt; 0.02). Perennial and annual forb biomass production was 1.9- and 45-fold more, respectively, in the noninvaded than invaded communities. Species richness and diversity were greater in the noninvaded than invaded plant communities (P &lt; 0.01). The results Of this Study suggest that medusahead invasion substantially alters vegetation characteristics Of sagebrush steppe plant communities, and thereby diminishes wildlife habitat, forage production, and ecosystem functions. Because of the broad negative influence of medusahead invasion, greater efforts Should be directed at preventing its continued expansion.</t>
  </si>
  <si>
    <t>[Davies, Kirk W.; Svejcar, Tony J.] USDA ARS, Eastern Oregon Agr Res Ctr, Burns, OR 97720 USA</t>
  </si>
  <si>
    <t>United States Department of Agriculture (USDA)</t>
  </si>
  <si>
    <t>Davies, KW (corresponding author), USDA ARS, Eastern Oregon Agr Res Ctr, 67826-A Hwy 205, Burns, OR 97720 USA.</t>
  </si>
  <si>
    <t>kirk.davies@oregonstate.edu</t>
  </si>
  <si>
    <t>USDA-Agricultural Research Service and Oregon Stale Agricultural Experiment Station</t>
  </si>
  <si>
    <t>USDA-Agricultural Research Service and Oregon Stale Agricultural Experiment Station(United States Department of Agriculture (USDA)USDA Agricultural Research Service)</t>
  </si>
  <si>
    <t>The Eastern Oregon Agricultural Research Center is jointly funded by the USDA-Agricultural Research Service and Oregon Stale Agricultural Experiment Station.</t>
  </si>
  <si>
    <t>SOC RANGE MANAGEMENT</t>
  </si>
  <si>
    <t>LAKEWOOD</t>
  </si>
  <si>
    <t>445 UNION BLVD, STE 230, LAKEWOOD, CO 80228-1259 USA</t>
  </si>
  <si>
    <t>1550-7424</t>
  </si>
  <si>
    <t>1551-5028</t>
  </si>
  <si>
    <t>RANGELAND ECOL MANAG</t>
  </si>
  <si>
    <t>Rangel. Ecol. Manag.</t>
  </si>
  <si>
    <t>NOV</t>
  </si>
  <si>
    <t>10.2111/08-005.1</t>
  </si>
  <si>
    <t>Ecology; Environmental Sciences</t>
  </si>
  <si>
    <t>374TX</t>
  </si>
  <si>
    <t>WOS:000261067700007</t>
  </si>
  <si>
    <t>Arthur, RI; Lorenzen, K; Homekingkeo, P; Sidavong, K; Sengvilaikham, B; Garaway, CJ</t>
  </si>
  <si>
    <t>Arthur, Robert I.; Lorenzen, Kai; Homekingkeo, Phansy; Sidavong, Kamchanh; Sengvilaikham, Bounthong; Garaway, Caroline J.</t>
  </si>
  <si>
    <t>Assessing impacts of introduced aquaculture species on native fish communities: Nile tilapia and major carps in SE Asian freshwaters</t>
  </si>
  <si>
    <t>AQUACULTURE</t>
  </si>
  <si>
    <t>Non-native fish; Tilapia; Carp; Aquaculture; Enhancement; Introductions; Diversity</t>
  </si>
  <si>
    <t>STOCK ENHANCEMENT; FISHERIES; BIODIVERSITY; ECOLOGY; POLICY</t>
  </si>
  <si>
    <t>Herbivorous or omnivorous tilapia and carp species form the backbone of tropical inland aquaculture and fisheries enhancement and have been introduced widely outside their natural ranges. Perceptions of their impact on native fish faunas vary widely, but there have been few rigorous assessments. To quantify the impact of tilapia and carp stocking on native fish communities in freshwater wetlands of the Mekong region, we conducted observational and experimental impact-control studies replicated at the wetland level, at a total of 46 sites in Lao PDR. The studies were designed as paired comparisons of wetlands where the nonnative species (Nile tilapia Oreochromis niloticus, mrigal Cirrhinus cirrhosus, rohu Labeo rohita and bighead carp Hypophthalmichthys nobilis) were stocked in substantial numbers with similar wetlands where the species were absent. Stocking of these non-native species was associated with significant increases in total fish biomass, by 180% in the observational study and by 49% in the experiment. Native fish biomass was not affected by stocking of the non-native species. No significant impacts on native fish species richness, diversity indices, species composition or feeding guild composition were detected, except for moderately negative effects on Simpson diversity and equitability in the observational study. In the experiment, no effect had a point estimate exceeding -14%, or a 95% confidence limit exceeding -35% of the non-impacted value. Use of these non-native tilapia and carp species in fisheries enhancement in mainland SE Asia supported substantial increases in harvestable biomass while having only mild impacts on native fish communities. Escapes of the same species from pond and cage aquaculture facilities are likely to result in lower biomass in the wild and have lower impacts than enhancement stocking. We encourage building on our results through a systematic and stakeholder-participatory evaluation of the significance and acceptability of benefits and risks associated with the use of these non-native species. This evaluation should be extended to the relative benefits and risks of replacing non-native species with native ones in aquaculture and enhancement, considering that risks associated with using the current set of non-native species are increasingly well known and appear mild-to-moderate, whilst ecological and genetic risks of releasing domesticated types of native species are poorly known. (C) 2009 Elsevier B.V. All rights reserved.</t>
  </si>
  <si>
    <t>[Arthur, Robert I.; Lorenzen, Kai] Univ London Imperial Coll Sci Technol &amp; Med, Div Biol, Ascot SL5 7PY, Berks, England; [Homekingkeo, Phansy; Sidavong, Kamchanh; Sengvilaikham, Bounthong] Livestock &amp; Fisheries Sect Savannakhet Prov, Savannakhet, Laos; [Garaway, Caroline J.] UCL, Dept Anthropol, London WC1E 6BT, England</t>
  </si>
  <si>
    <t>Imperial College London; University of London; University College London</t>
  </si>
  <si>
    <t>Arthur, RI (corresponding author), Univ London Imperial Coll Sci Technol &amp; Med, Div Biol, Silwood Pk, Ascot SL5 7PY, Berks, England.</t>
  </si>
  <si>
    <t>r.arthur@mrag.co.uk</t>
  </si>
  <si>
    <t>Lorenzen, Kai/A-3032-2015; Garaway, Caroline/ABB-3865-2021</t>
  </si>
  <si>
    <t>Lorenzen, Kai/0000-0002-9691-3693;</t>
  </si>
  <si>
    <t>Department for International Development of the United Kingdom</t>
  </si>
  <si>
    <t>This study was supported by the Department for International Development of the United Kingdom (Fisheries Management Science Programme). The views expressed are not necessarily those of the DFID. We are grateful to the District Livestock Officers for maintaining the routine sampling programme and to the residents of the project villages for helping with the test fishing operations.</t>
  </si>
  <si>
    <t>0044-8486</t>
  </si>
  <si>
    <t>1873-5622</t>
  </si>
  <si>
    <t>Aquaculture</t>
  </si>
  <si>
    <t>10.1016/j.aquaculture.2009.11.022</t>
  </si>
  <si>
    <t>Fisheries; Marine &amp; Freshwater Biology</t>
  </si>
  <si>
    <t>562EW</t>
  </si>
  <si>
    <t>WOS:000275033500012</t>
  </si>
  <si>
    <t>Peters, MK; Likare, S; Kraemer, M</t>
  </si>
  <si>
    <t>Peters, Marcell K.; Likare, Smith; Kraemer, Manfred</t>
  </si>
  <si>
    <t>ECOLOGICAL APPLICATIONS</t>
  </si>
  <si>
    <t>Anomma; antbirds; ant-following birds; army ants; Bayesian model averaging (BMA); disturbance; Dorylus; driver ants; East Africa; Eciton; habitat degradation and fragmentation</t>
  </si>
  <si>
    <t>TROPICAL FOREST FRAGMENTS; PREMONTANE MOIST FOREST; ARMY ANTS; COFFEE AGROECOSYSTEMS; INSECTIVOROUS BIRDS; DEFORESTATION; EXTINCTION; ECOLOGY; MODELS</t>
  </si>
  <si>
    <t>Tropical rain forests are rapidly cleared, fragmented, and degraded in sub-Saharan Africa; however, little is known about the response of species and even of key ecological groups to these processes. One of the most intriguing (but often neglected) ecological phenomena in African rain forests is the interaction between swarm-raiding army ants and ant-following birds. Similar to their well-known Neotropical representatives, ant-following birds in Africa track the massive swarm raids of army ants and feed on arthropods flushed by the ants. In this study we analyzed the effect of habitat fragmentation and degradation of a mid-altitude Congo-Guinean rain forest in western Kenya on the structure of ant-following bird flocks. Significant numbers of swarm raids were located in all forest fragments and in both undegraded and degraded forest. Fifty-six different species of birds followed army ant raids, forming bird flocks of one to 15 species. We quantitatively differentiated the bird community into five species of specialized ant-followers and 51 species of opportunistic ant-followers. Species richness and size of bird blocks decreased with decreasing size of forest fragments and was higher in undegraded than in degraded habitat. This was caused by the decrease of the species richness and number of specialized ant-followers at swarms, while the group of opportunistic ant-followers was affected little by habitat fragmentation and degradation. The composition of bird flocks was more variable in small fragments and degraded forest, compared to undegraded habitat in large fragments. The effect of habitat fragmentation on flock structure was best explained by the strong decline of the abundance of specialized ant-followers in small forest fragments. To conserve the association of army ants and ant-following birds in its natural state, vast areas of unfragmented and undegraded tropical rain forest are necessary.</t>
  </si>
  <si>
    <t>[Peters, Marcell K.] Zool Forsch Museum A Koenig, D-53113 Bonn, Germany; [Likare, Smith] Kakamega Biodivers Conservat &amp; Tour Operators Ass, Kakamega, Kenya; [Kraemer, Manfred] Univ Bielefeld, D-33615 Bielefeld, Germany</t>
  </si>
  <si>
    <t>University of Bielefeld</t>
  </si>
  <si>
    <t>Peters, MK (corresponding author), Zool Forsch Museum A Koenig, Adenauerallee 160, D-53113 Bonn, Germany.</t>
  </si>
  <si>
    <t>m.peters.zfmk@uni-bonn.de</t>
  </si>
  <si>
    <t>Peters, Marcell/0000-0002-1262-0827</t>
  </si>
  <si>
    <t>ECOLOGICAL SOC AMER</t>
  </si>
  <si>
    <t>1707 H ST NW, STE 400, WASHINGTON, DC 20006-3915 USA</t>
  </si>
  <si>
    <t>1051-0761</t>
  </si>
  <si>
    <t>ECOL APPL</t>
  </si>
  <si>
    <t>Ecol. Appl.</t>
  </si>
  <si>
    <t>10.1890/07-1295.1</t>
  </si>
  <si>
    <t>306JD</t>
  </si>
  <si>
    <t>WOS:000256243200004</t>
  </si>
  <si>
    <t>Mason, TJ; French, K</t>
  </si>
  <si>
    <t>Mason, T. J.; French, K.</t>
  </si>
  <si>
    <t>biological invasions; coastal dune; growth form; introduced species; structure; variability</t>
  </si>
  <si>
    <t>MONILIFERA SSP ROTUNDATA; CHRYSANTHEMOIDES-MONILIFERA; PLANT-COMMUNITIES; ECOSYSTEM FUNCTION; INVASION; GRASSLAND; DIVERSITY; DYNAMICS; PRODUCTIVITY; INVASIBILITY</t>
  </si>
  <si>
    <t>The impact of an exotic species in natural systems may be dependent not only on invader attributes but also on characteristics of the invaded community. We examined impacts of the invader bitou bush, Chrysanthemoides monilifera ssp. rotundata, in fore and hind dune communities of coastal New South Wales, Australia. We compared invader impacts on vegetation structure, richness of both native and exotic growth forms and community variability in fore and hind dunes. We found that impacts of bitou invasion were context specific: in fore dune shrublands, functionally distinct graminoid, herb and climber rather than shrub growth forms had significantly reduced species richness following bitou invasion. However, in forested hind dunes, the functionally similar native shrub growth form had significantly reduced species richness following bitou invasion. Density of vegetation structure increased at the shrub level in both fore and hind dune invaded communities compared with non-invaded communities. Fore dune ground-level vegetation density declined at invaded sites compared with non-invaded sites, reflecting significant reductions in herb and graminoid species richness. Hind dune canopy-level vegetation density was reduced at invaded compared with non-invaded sites. Bitou bush invasion also affected fore dune community variability with significant increases in variability of species abundances observed in invaded compared with non-invaded sites. In contrast, variability among all hind dune sites was similar. The results suggest that effects of bitou bush invasion are mediated by the vegetation community. When bitou bush becomes abundant, community structure and functioning may be compromised.</t>
  </si>
  <si>
    <t>[Mason, T. J.; French, K.] Univ Wollongong, Inst Conservat Biol, Sch Biol Sci, Wollongong, NSW 2522, Australia; [Mason, T. J.] CSIRO Entomol, Canberra, ACT 2601, Australia</t>
  </si>
  <si>
    <t>University of Wollongong; Commonwealth Scientific &amp; Industrial Research Organisation (CSIRO)</t>
  </si>
  <si>
    <t>Mason, TJ (corresponding author), Univ Wollongong, Inst Conservat Biol, Sch Biol Sci, Wollongong, NSW 2522, Australia.</t>
  </si>
  <si>
    <t>tmason@uow.edu.au</t>
  </si>
  <si>
    <t>; French, Kris/I-8202-2012</t>
  </si>
  <si>
    <t>Mason, Tanya/0000-0002-4797-5644; French, Kris/0000-0001-6938-2017</t>
  </si>
  <si>
    <t>10.1111/j.1472-4642.2008.00493.x</t>
  </si>
  <si>
    <t>336PJ</t>
  </si>
  <si>
    <t>WOS:000258376800011</t>
  </si>
  <si>
    <t>Jones, E; Thornber, CS</t>
  </si>
  <si>
    <t>Jones, Emily; Thornber, Carol S.</t>
  </si>
  <si>
    <t>Invasive macroalgae; Epiphyte; Habitat-modification; Codium fragile; Grateloupia turuturu; Lacuna vincta</t>
  </si>
  <si>
    <t>GRATELOUPIA-DORYPHORA HALYMENIACEAE; FRAGILE SSP TOMENTOSOIDES; SARGASSUM-MUTICUM; HALIDRYS-SILIQUOSA; LACUNA-VINCTA; RHODE-ISLAND; NOVA-SCOTIA; RED ALGA; SEAWEED; RHODOPHYTA</t>
  </si>
  <si>
    <t>Although invasive species can negatively impact communities via processes such as resource competition, they may also add new resources that facilitate the distribution and/or abundance of other organisms. In rocky intertidal systems, many benthic macroalgae compete for primary substrate, while providing secondary substrata to which sessile organisms can attach. Using field surveys and laboratory experiments, we investigated algal host-epiphyte dynamics in a New England rocky intertidal system. First, we compared the composition, abundance, richness, and diversity of epiphytes on 2 invasive macroalgal species, Codium fragile ssp. tomentosoides and Grateloupia turuturu, to 2 native macroalgal species, Chondrus crispus and Fucus vesiculosus. We found significant differences among epiphyte communities, as all macroalgal hosts supported different assemblages of species. While epiphyte richness and diversity were generally low on F. vesiculosus and G. turuturu year-round, they were low on C. crispus during the winter only, In contrast, epiphyte richness and diversity on C. fragile remained high throughout the year, suggesting that C. fragile plays an important role for supporting epiphytes during the cooler months. Second, we examined the relationship between epiphytes and a common herbivorous snail, Lacuna vincta. The abundance of juvenile L. vincta was positively correlated with 1 of the 2 most common epiphyte species, Neosiphonia harveyi. However, L. vincta showed a significant consumption preference for the other abundant epiphyte, Ceramium virgatum, in laboratory assays. Our results suggest that epiphyte facilitation by these invasive algal hosts is not only seasonally important for maintaining species richness and diversity, but may also provide both food and habitat for higher trophic levels.</t>
  </si>
  <si>
    <t>[Jones, Emily; Thornber, Carol S.] Univ Rhode Isl, Dept Biol Sci, Kingston, RI 02881 USA; [Jones, Emily] Univ Calif Davis, Bodega Marine Lab, Bodega Bay, CA 94923 USA</t>
  </si>
  <si>
    <t>University of Rhode Island; University of California System; University of California Davis</t>
  </si>
  <si>
    <t>Jones, E (corresponding author), Univ Rhode Isl, Dept Biol Sci, Kingston, RI 02881 USA.</t>
  </si>
  <si>
    <t>emjones@ucdavis.edu</t>
  </si>
  <si>
    <t>Jones, Emily/C-9023-2011; Thornber, Carol/B-5786-2014</t>
  </si>
  <si>
    <t>Jones, Emily/0000-0003-4024-0474; Thornber, Carol/0000-0003-0034-1035</t>
  </si>
  <si>
    <t>Sounds Conservancy; URI Office; URI Department of Biological Sciences</t>
  </si>
  <si>
    <t>We thank E. Preisser, S. Nixon, and 3 anonymous reviewers for helpful comments, E. Blair, J. Burkhardt, C. Donahue, E. Field, C. Viall, V. Scialabba, and M. Thompson provided field and laboratory assistance. C. Schneider and J. Foertch provided assistance with epiphyte identification. E.J. was supported by funding from The Sounds Conservancy, URI Office of the Provost, and the URI Department of Biological Sciences. Additional funding was provided by Rhode Island Sea Grant and the Rhode Island Department of Environmental Management to C.T. This work was carried out as partial fulfillment of the requirements for a MS degree by E.J.</t>
  </si>
  <si>
    <t>10.3354/meps08391</t>
  </si>
  <si>
    <t>568NE</t>
  </si>
  <si>
    <t>WOS:000275528300008</t>
  </si>
  <si>
    <t>Drouin, A; McKindsey, CW; Johnson, LE</t>
  </si>
  <si>
    <t>Drouin, Annick; McKindsey, Christopher W.; Johnson, Ladd E.</t>
  </si>
  <si>
    <t>Higher abundance and diversity in faunal assemblages with the invasion of Codium fragile ssp fragile in eelgrass meadows</t>
  </si>
  <si>
    <t>Codium fragile; Exotic macroalgae; Eelgrass; Zostera marina; Diversity; Invasive species impacts</t>
  </si>
  <si>
    <t>SARGASSUM-MUTICUM; MARINE-INVERTEBRATES; MACROALGAL CANOPIES; ALGAL SUCCESSION; BIOLOGICAL INVASIONS; HABITAT COMPLEXITY; ZOSTERA-MARINA; NOVA-SCOTIA; COMMUNITY; TOMENTOSOIDES</t>
  </si>
  <si>
    <t>The present study examined how species-specific attributes of the invasive alga Codium fragile ssp. fragile (hereafter Codium) and eelgrass Zostera marina influenced faunal assemblages associated with eelgrass ecosystems in iles de la Madeleine, eastern Canada. Direct association of species with Codium (&lt; 1 m) was evaluated and compared to eelgrass faunal assemblages from invaded beds. Potential neighborhood effects (ca. 10 m) were assessed by comparing invertebrates associated with eelgrass in invaded and non-invaded beds. The influence of Codium on more mobile species was evaluated by comparing fish assemblages associated with macrophytes in invaded and non-invaded beds. In addition, species-area relationships for low mobility species associated with Codium were contrasted between beds where Codium or eelgrass was the dominant structuring macrophyte. Codium had distinct invertebrate species assemblages, as there was a greater abundance and diversity of invertebrates associated with Codium than with eelgrass, and multivariate assemblage structure differed between macrophyte types. In contrast, no neighborhood patterns were observed as invertebrate assemblages associated with eelgrass did not differ between invaded and non-invaded beds, suggesting that the mechanisms that account for differences between the invertebrate assemblages are a function of the macrophyte's nature and operate at small spatial scales. Fish community structure differed between invaded and non-invaded beds, largely due to a greater abundance of 2 fishes, Apeltes quadracus and Tautogolabrus adspersus, in invaded beds. Epifaunal abundance and species richness were positively correlated with Codium thallus biomass, and the abundance relative to biomass correlation was greatest where Codium was the dominant macrophyte. Experimental manipulation of thallus structure to create straight or branched Codium fronds with similar surface area showed that associated invertebrate and gastropod abundance was not influenced by this factor and indicated that factors other than macrostructure complexity influenced the presence of epifauna on the introduced alga. Overall, the present study suggests that the invasion of eelgrass beds by Codium increases faunal density and diversity. However, longer-term effects of Codium invasion in this and other eelgrass ecosystems require further assessment, as the severity of the invasion effects on faunal communities likely depends on the interaction between Codium and eelgrass.</t>
  </si>
  <si>
    <t>[Drouin, Annick; McKindsey, Christopher W.] Fisheries &amp; Oceans Canada, Maurice Lamontagne Inst, Ocean &amp; Environm Sci Div, Mont Joli, PQ G5H 3Z4, Canada; [Drouin, Annick; Johnson, Ladd E.] Univ Laval, Dept Biol &amp; Quebec Ocean, Quebec City, PQ G1V 0A6, Canada</t>
  </si>
  <si>
    <t>Fisheries &amp; Oceans Canada; Laval University</t>
  </si>
  <si>
    <t>Drouin, A (corresponding author), Fisheries &amp; Oceans Canada, Maurice Lamontagne Inst, Ocean &amp; Environm Sci Div, POB 1000, Mont Joli, PQ G5H 3Z4, Canada.</t>
  </si>
  <si>
    <t>annick.drouin.1@ulaval.ca</t>
  </si>
  <si>
    <t>Johnson, Ladd/C-7449-2012; McKindsey, Chris/AAH-6773-2020</t>
  </si>
  <si>
    <t>McKindsey, Chris/0000-0002-3026-6454</t>
  </si>
  <si>
    <t>Fisheries and Oceans Canada; Fonds quebecois de la recherche sur la nature et les technologies (FQRNT); Quebec-Ocean; Southern Gulf of St. Lawrence Coalition on Sustainability</t>
  </si>
  <si>
    <t>Fisheries and Oceans Canada; Fonds quebecois de la recherche sur la nature et les technologies (FQRNT)(Fonds de recherche du Quebec (FRQ)Fonds de recherche du Quebec - Nature et technologies (FRQNT)); Quebec-Ocean; Southern Gulf of St. Lawrence Coalition on Sustainability</t>
  </si>
  <si>
    <t>We thank B. Clynick, N. Simard, P. Archambault, M. Roy-Latreille, M. Huot and R. Belley for help with field work, M. Couture-Plante, M. Morin and K. Richer for work in the lab, and A. Weise for help with illustrations. This work was supported by the Fisheries and Oceans Canada, and doctoral scholarships to A. D. by the Fonds quebecois de la recherche sur la nature et les technologies (FQRNT), Quebec-Ocean, and the Southern Gulf of St. Lawrence Coalition on Sustainability.</t>
  </si>
  <si>
    <t>10.3354/meps08961</t>
  </si>
  <si>
    <t>729QT</t>
  </si>
  <si>
    <t>WOS:000287966400009</t>
  </si>
  <si>
    <t>Alvarez, ME; Cushman, JH</t>
  </si>
  <si>
    <t>Community-level consequences of a plant invasion: Effects on three habitats in coastal California</t>
  </si>
  <si>
    <t>biological invasions; Cape ivy (Delairea odorata, Asteraceae); community-level effects; habitat-specific effects; invasive, nonnative plant species; plant life forms; seedling recruitment; South African vine</t>
  </si>
  <si>
    <t>BIOLOGICAL INVASIONS; CARPOBROTUS-EDULIS; DIVERSITY; SHRUB; REGENERATION; INVASIBILITY; COMPETITION; GRASSLAND; AIZOACEAE; GRASSES</t>
  </si>
  <si>
    <t>Biological invasion by normative species is a global phenomenon that has the capacity to dramatically alter native communities. However, surprisingly few studies have quantified the effects of exotic plant species on the communities they invade, or have considered how these effects vary among habitat types or seasons. Here, we used both comparative and experimental field studies to investigate the influence of Cape ivy (Delairea odorata; Asteraceae), an invasive evergreen vine native to South Africa, on three habitat types in coastal regions of northern California (coastal scrub, willow riparian, and alder riparian). In the comparative study, plots invaded by Cape ivy contained 36% fewer native plant species and 37% fewer normative taxa, and this pattern persisted across habitat types and seasons. The richness of grass and forb species was lower in invaded plots, whereas fern and shrub richness did not vary among zones. Native species richness was significantly lower with increasing cover of Cape ivy, but this was not the case for normative species. In addition, invasion by Cape ivy was associated with a 31% decrease in species diversity as well as an 88% decrease in the abundance of native seedlings and a 92% decrease in normative seedlings compared to uninvaded areas. After 2 yr, a Cape-ivy reduction experiment yielded similar results, with a 10% increase in the richness of native species compared to control plots, and a 43% increase in the richness of normative taxa. Forb species richness increased significantly when Cape-ivy cover was reduced, whereas shrub richness decreased slightly and no effects were detected for ferns and grasses. We also found that Cape-ivy reduction led to a 32% increase in plant species diversity, an 86% increase in the abundance of native seedlings, and an 85% increase for normative seedlings. In all cases, the effects of Cape-ivy reduction were consistent across habitat types. Collectively, our results indicate that this invader has significantly changed the composition of three different habitat types, and its control should be a major priority. However, our data also indicate that Cape ivy had negative effects on the richness of both native and normative plant species. Such findings suggest that a consequence of removing Cape ivy from invaded areas may be to facilitate the proliferation of other normative species.</t>
  </si>
  <si>
    <t>Sonoma State Univ, Dept Biol, Rohnert Pk, CA 94928 USA</t>
  </si>
  <si>
    <t>California State University System; Sonoma State University</t>
  </si>
  <si>
    <t>Cushman, JH (corresponding author), Golden Gate Recreat Area, Ft Cronkhite Bldg 1064, Sausalito, CA 94965 USA.</t>
  </si>
  <si>
    <t>10.2307/3099982</t>
  </si>
  <si>
    <t>614PM</t>
  </si>
  <si>
    <t>WOS:000179198600015</t>
  </si>
  <si>
    <t>Jackson, J</t>
  </si>
  <si>
    <t>Is there a relationship between herbaceous species richness and buffel grass (Cenchrus ciliaris)?</t>
  </si>
  <si>
    <t>AUSTRAL ECOLOGY</t>
  </si>
  <si>
    <t>biodiversity; Bothriochloa ewartiana; environmental weed; Invasive grass; richness-biomass relationships; species-area curve</t>
  </si>
  <si>
    <t>BIOLOGICAL INVASIONS; EXOTIC GRASSES; AREA CURVES; PASTURE; PRODUCTIVITY; DIVERSITY</t>
  </si>
  <si>
    <t>Cenchrus ciliaris L. (buffel grass) (Poaceae) is recognized as one of Australia's most serious environmental weeds. This introduced grass has been associated with loss of native species and alteration of fire regimes. However, it is also highly valued as a pasture species for arid and semiarid zones and its weed status is highly controversial. Quantitative studies are needed to determine its ecological effects. The relationship between C. ciliaris and herbaceous species richness was investigated in two studies at a range of scales up to 64 m(2) in open woodlands in the Dalrymple Shire, north-eastern Queensland. In the first study, the herbaceous species composition of sites with and without C. ciliaris were compared. Cenchrus ciliaris-dominated sites had fewer herbaceous species than non-C. ciliaris sites at all scales investigated and this pattern was found for the major plant groups (perennial grasses, legumes and other forbs) present. In the second study, the relationship between varying levels of C. ciliaris biomass and species richness was investigated. The relationship between varying levels of a dominant native grass, Bothriochloa ewartiana (Domin) C.E. Hubb. (Poaceae), and species richness was also determined for comparison with the C. ciliaris biomass-richness relationship. In this study, species richness was negatively associated with increasing C. ciliaris biomass at some scales and it appeared that C. ciliaris had a greater effect on richness than B. ewartiana. The negative association between C. ciliaris and species richness is consistent with the view that invasion by C. ciliaris poses a threat to biodiversity. However, the precise cause of the relationship has yet to be determined.</t>
  </si>
  <si>
    <t>CSIRO, Davies Lab, Aitkenvale, Qld 4814, Australia; James Cook Univ N Queensland, Sch Trop Biol, Cairns, Qld, Australia</t>
  </si>
  <si>
    <t>Commonwealth Scientific &amp; Industrial Research Organisation (CSIRO); James Cook University</t>
  </si>
  <si>
    <t>Jackson, J (corresponding author), CSIRO, Davies Lab, Aitkenvale, Qld 4814, Australia.</t>
  </si>
  <si>
    <t>Janice.Jackson@graduates.jcu.edu.au</t>
  </si>
  <si>
    <t>1442-9985</t>
  </si>
  <si>
    <t>1442-9993</t>
  </si>
  <si>
    <t>AUSTRAL ECOL</t>
  </si>
  <si>
    <t>Austral Ecol.</t>
  </si>
  <si>
    <t>10.1111/j.1442-9993.2005.01465.x</t>
  </si>
  <si>
    <t>946VF</t>
  </si>
  <si>
    <t>WOS:000230600700003</t>
  </si>
  <si>
    <t>Truscott, AM; Palmer, SC; Soulsby, C; Westaway, S; Hulme, PE</t>
  </si>
  <si>
    <t>Truscott, Anne-Marie; Palmer, Steve C.; Soulsby, Chris; Westaway, Sally; Hulme, Phil E.</t>
  </si>
  <si>
    <t>Consequences of invasion by the alien plant Mimulus guttatus on the-species composition and soil properties of riparian plant communities in Scotland</t>
  </si>
  <si>
    <t>PERSPECTIVES IN PLANT ECOLOGY EVOLUTION AND SYSTEMATICS</t>
  </si>
  <si>
    <t>Addition experiments; Biodiversity; Biological invasions; Ecosystem impacts; Removal experiments</t>
  </si>
  <si>
    <t>BIOLOGICAL INVASIONS; HERACLEUM-MANTEGAZZIANUM; IMPATIENS-GLANDULIFERA; ECOSYSTEM PROCESSES; IMPACTS; HABITATS; REMOVAL; VEGETATION; DIVERSITY; MANAGEMENT</t>
  </si>
  <si>
    <t>Invasive plant species are widely recognised to have severe ecological impacts in a wide range of ecosystems throughout the world, yet there are few experimental studies measuring community-level effects of invasive plant species. Thus most evidence is from correlative studies, and as such often cannot easily disentangle cause and effect. Through a combination of an addition and removal experiment and a correlative approach (multi-site comparisons), this study aimed to quantify the effects of a widespread invasive species, Mimulus guttatus, on species richness and soil properties of riparian plant communities. The marked negative association between Mimulus cover and plant species richness identified through correlative multi-site comparisons was consistent with experimental removal studies which indicate Mimulus significantly alters the structure of riparian plant communities. Total C and N and soil moisture were marginally higher in invaded than in uninvaded disturbed sediment plots. Following Mimulus removal, there was an increase in the occurrence and abundance of another non-native species, Claytonia sibirica, as well as germination and establishment of Mimulus seedlings. This highlights that, although removal increased richness, bringing the plant community closer structurally to uninvaded vegetation, the application of removal as a management tool needs to be undertaken with caution, as it may create opportunities for other invaders. The impact of Mimulus appeared restricted to disturbed sediment communities, as addition experiments into herb-grass communities were relatively unsuccessful in establishing Mimulus. These patterns were consistent with the distribution of the species in riparian plant communities. The addition experiments highlight that, as well as competition from the resident vegetation community, mollusc herbivory Further hinders the establishment of Mimulus. Many manipulation studies have removed invasive plant species from heavily invaded communities, and it is often thought that invasive species usually affect plant community structure only where their cover is high. This study is unique in demonstrating impacts where cover of the invasive plant is relatively low. (C) 2008 Rubel Foundation, ETH Zurich. Published by Elsevier GmbH. All rights reserved.</t>
  </si>
  <si>
    <t>[Truscott, Anne-Marie; Westaway, Sally; Hulme, Phil E.] Ctr Ecol &amp; Hydrol, Banchory Res Stn, Aberdeen AB31 4BW, Scotland; [Truscott, Anne-Marie; Soulsby, Chris] Univ Aberdeen, Dept Geog, Aberdeen AB24 3UF, Scotland; [Palmer, Steve C.] Univ Aberdeen, Sch Biol Sci, Aberdeen AB24 2TZ, Scotland; [Hulme, Phil E.] Lincoln Univ, Natl Ctr Adv Bioprotect Technol, Canterbury, New Zealand</t>
  </si>
  <si>
    <t>UK Centre for Ecology &amp; Hydrology (UKCEH); University of Aberdeen; University of Aberdeen; Lincoln University - New Zealand</t>
  </si>
  <si>
    <t>Truscott, AM (corresponding author), Ctr Ecol &amp; Hydrol Edinburgh, Penicuik EH26 0QB, Midlothian, Scotland.</t>
  </si>
  <si>
    <t>annie@nikandannie.co.uk</t>
  </si>
  <si>
    <t>Hulme, Philip/F-7454-2011; Westaway, Sally/JEO-9289-2023; Soulsby, Chris/AAR-1100-2021</t>
  </si>
  <si>
    <t>Hulme, Philip/0000-0001-5712-0474; Westaway, Sally/0000-0003-2691-9325;</t>
  </si>
  <si>
    <t>European Union [GOCE-CT-2003-506675]; Natural Environment Research Council [CEH010021] Funding Source: researchfish</t>
  </si>
  <si>
    <t>European Union(European Union (EU)); Natural Environment Research Council(UK Research &amp; Innovation (UKRI)Natural Environment Research Council (NERC))</t>
  </si>
  <si>
    <t>We thank the Findrack Estate and local landowners for access to land, Laura Flegg for field work assistance, Ruth Mitchell for advice on multivariate techniques and David Elston of BioSS for statistical support. We also thank the Environmental Analysis Group at CEH Lancaster, particularly Clive Woods, for conducting the soil analysis. This study was supported by the European Union within the FP 6 Integrated Project ALARM (Settele et al., 2005; GOCE-CT-2003-506675). Two anonymous referees provided valuable comments.</t>
  </si>
  <si>
    <t>ELSEVIER GMBH, URBAN &amp; FISCHER VERLAG</t>
  </si>
  <si>
    <t>JENA</t>
  </si>
  <si>
    <t>OFFICE JENA, P O BOX 100537, 07705 JENA, GERMANY</t>
  </si>
  <si>
    <t>1433-8319</t>
  </si>
  <si>
    <t>PERSPECT PLANT ECOL</t>
  </si>
  <si>
    <t>Perspect. Plant Ecol. Evol. Syst.</t>
  </si>
  <si>
    <t>10.1016/j.ppees.2008.04.001</t>
  </si>
  <si>
    <t>393FX</t>
  </si>
  <si>
    <t>WOS:000262357600002</t>
  </si>
  <si>
    <t>Meffin, R; Miller, AL; Hulme, PE; Duncan, RP</t>
  </si>
  <si>
    <t>Meffin, Ross; Miller, Alice L.; Hulme, Philip E.; Duncan, Richard P.</t>
  </si>
  <si>
    <t>Experimental introduction of the alien plant Hieracium lepidulum reveals no significant impact on montane plant communities in New Zealand</t>
  </si>
  <si>
    <t>Biodiversity; biological invasions; facilitation; hierarchical mixed model; invasive species</t>
  </si>
  <si>
    <t>SPECIES RICHNESS; TUSSOCK GRASSLANDS; SOIL PROPERTIES; INVASION; DIVERSITY; PILOSELLA; ESTABLISHMENT; COMPETITION; INVADERS; BIODIVERSITY</t>
  </si>
  <si>
    <t>Aim There is debate over whether alien plants necessarily alter the communities they invade or can coexist with native species without discernable impacts. We followed the fate of montane plant communities in response to the experimental sowing of the alien weed Hieracium lepidulum, looking for changes in plant community composition and structure over 6 years. Location Craigieburn Range, New Zealand. Methods We used a replicated randomised block design, with 30 x 30 cm plots (n = 756) subdivided into 5 x 5 cm cells to examine and compare the effects of H. lepidulum at 0.09 m2 (plot) and 0.0025 m2 (cell) scales. Plots were sown with between 0 and 15,625 H. lepidulum seeds in 2003, forming gradients of invader density and cover. Measurements comprised community richness, evenness and diversity along with H. lepidulum density and cover at both scales. The relationships between the invader and local community attributes were modelled using hierarchical mixed-effect models. Results Plant communities differed in the extent to which they became invaded, with H. lepidulum cover in the plots ranging from 0% to 52%, with a mean of only 1.89%. Plot species richness increased from 2003 to 2009, with a component of this increase (+0.002 species per year) associated with increasing H. lepidulum density. Other relationships between the plant community and H. lepidulum were generally non-significant. Main conclusions In these montane plant communities, it appears H. lepidulum coexists with the native community with no measurable negative effects after 6 years on species richness, evenness or diversity, even where density and cover of the invader are highest. We suggest H. lepidulum has persisted preferentially at those sites with abiotic conditions sufficient to support a species-rich assemblage.</t>
  </si>
  <si>
    <t>[Meffin, Ross; Miller, Alice L.; Hulme, Philip E.; Duncan, Richard P.] Lincoln Univ, Bioprotect Res Ctr, Lincoln 7647, New Zealand</t>
  </si>
  <si>
    <t>Lincoln University - New Zealand</t>
  </si>
  <si>
    <t>Meffin, R (corresponding author), Lincoln Univ, Bioprotect Res Ctr, POB 84, Lincoln 7647, New Zealand.</t>
  </si>
  <si>
    <t>Ross.Meffin@lincolnuni.ac.nz</t>
  </si>
  <si>
    <t>Hulme, Philip/F-7454-2011; Duncan, Richard/ABD-4099-2020; Meffin, Ross/G-6229-2013</t>
  </si>
  <si>
    <t>Hulme, Philip/0000-0001-5712-0474; Duncan, Richard/0000-0003-2295-449X;</t>
  </si>
  <si>
    <t>Miss E.L. Hellaby Indigenous Grasslands Research Trust; Bio-Protection research centre; New Zealand Plant Protection Society</t>
  </si>
  <si>
    <t>We gratefully acknowledge the Miss E.L. Hellaby Indigenous Grasslands Research Trust for funding. The Bio-Protection research centre provided financial support for the preparation of this article. Ross Meffin was funded by the New Zealand Plant Protection Society Dan Watkins Scholarship in Weed Science. Thanks to Robyn Damaryhoman, Laura Spence and others for valuable field assistance.</t>
  </si>
  <si>
    <t>10.1111/j.1472-4642.2010.00684.x</t>
  </si>
  <si>
    <t>hybrid</t>
  </si>
  <si>
    <t>WOS:000280973100010</t>
  </si>
  <si>
    <t>Greenwood, H; O'Dowd, DJ; Lake, PS</t>
  </si>
  <si>
    <t>arthropods; biological invasions; indirect effects; riparian zone; Salix; stream; terrestrial-aquatic links</t>
  </si>
  <si>
    <t>FOOD WEBS; ECOLOGY; STREAM; INVERTEBRATES; IMPACT; PLANTS; RIVER; TREES; COMMUNITIES; VEGETATION</t>
  </si>
  <si>
    <t>This study investigated the impact of invasion by an alien hybrid willow (the white-crack willow, Salix x rubens) on the abundance and diversity of terrestrial arthropods along the lower Tarago River in south-eastern Australia in spring and summer. Canopy arthropods were sampled by branch clippings, flying insects by sticky traps, and arthropod stream inputs by floating pan traps in willow-invaded and uninvaded river sections. Willow-invaded river sections had a significantly lower abundance and diversity of canopy arthropods, but the abundance and diversity of flying insects did not differ between willow-invaded and native sections. Overall input of terrestrial arthropods was lower in willow-invaded sections but this depended on sampling date. In general, differences in arthropod abundance between willow-invaded and native river sections were greater in spring than summer, which may reflect seasonal changes in resource availability in native river sections. Morphospecies composition also differed significantly between willow-invaded and native sections. These changes in abundance, diversity, and composition of terrestrial arthropods following plant invasion of the riparian zone may indirectly alter in-stream food webs and have important effects on higher-order consumers in the riparian zone.</t>
  </si>
  <si>
    <t>Monash Univ, Sch Biol Sci, Australian Ctr Biodivers, Clayton, Vic 3800, Australia</t>
  </si>
  <si>
    <t>O'Dowd, DJ (corresponding author), Monash Univ, Sch Biol Sci, Australian Ctr Biodivers, POB 18, Clayton, Vic 3800, Australia.</t>
  </si>
  <si>
    <t>odowd@sci.monash.edu.au</t>
  </si>
  <si>
    <t>SEP-NOV</t>
  </si>
  <si>
    <t>5-6</t>
  </si>
  <si>
    <t>10.1111/j.1366-9516.2004.00104.x</t>
  </si>
  <si>
    <t>852GU</t>
  </si>
  <si>
    <t>WOS:000223744500018</t>
  </si>
  <si>
    <t>Christian, JM; Wilson, SD</t>
  </si>
  <si>
    <t>Agropyron cristatum; allocation; disturbance; carbon; diversity; introduced species; mixed-grass prairie; nitrogen; soil; succession; water</t>
  </si>
  <si>
    <t>SOIL ORGANIC-MATTER; NATIVE SHORTGRASS ECOSYSTEM; CRESTED WHEATGRASS; BIOLOGICAL INVASIONS; CHEMICAL-PROPERTIES; NITROGEN; CARBON; PRAIRIE; PLANT; VEGETATION</t>
  </si>
  <si>
    <t>Introduced plants can have negative effects on native species and diversity, but their impacts on ecosystem function are less apparent. At the northern edge of the Great Plains, we examined five stands in each of undisturbed prairie, successional prairie (fields abandoned for similar to 50 yr that had undergone succession to native grasses), and abandoned fields of similar age planted with Agropyron cristatum, a C-3 perennial tussock grass introduced from northern Asia. We attributed differences between successional prairie and A. cristatum stands to the introduced species and not to cultivation. A. cristatum fields contained few native species, resulting in significantly lower species richness and diversity. Growth forms most similar to A. cristatum, i.e., C-3 grasses, were most likely to be excluded. Soils under A. cristatum had significantly less available N, total N, and total C than soils under successional prairie. A. cristatum fields had significantly higher shoot mass than successional prairie, but root:shoot ratios in A. cristatum fields were less than half those under successional prairie, because root mass was significantly higher under native grasses. C:N ratios did not vary significantly between A. cristatum and native grasses, suggesting that the lower N and C content of soils under A. cristatum was not caused by differences in nutrient concentrations. Instead, the relatively low root mass of the introduced grass was probably responsible for decreased rates of N and C addition to the soil. Because total C was 25% less in soils under A. cristatum than under successional prairie, the planting of A. cristatum over millions of hectares of the Great Plains may have left 3.3-4.8 X 10(14) g of C in the atmosphere that would otherwise have been stored as soil organic matter by native grasses. In contrast to the large effects of A. cristatum, almost no significant differences were found between undisturbed and successional prairie. Thus, the identity of the species dominating after disturbance played a larger long-term role in determining ecosystem function than did the disturbance itself. The results suggest that the effects of this introduced species extend beyond the displacement of native species and the reduction of diversity, and include the alteration of pools and flows of energy and nutrients in the prairie ecosystem.</t>
  </si>
  <si>
    <t>Univ Regina, Dept Biol, Regina, SK S4S 0A2, Canada</t>
  </si>
  <si>
    <t>University of Regina</t>
  </si>
  <si>
    <t>Wilson, SD (corresponding author), Univ Regina, Dept Biol, Regina, SK S4S 0A2, Canada.</t>
  </si>
  <si>
    <t>Wilson, Scott/D-6923-2011</t>
  </si>
  <si>
    <t>10.1890/0012-9658(1999)080[2397:LTEIOA]2.0.CO;2</t>
  </si>
  <si>
    <t>243QU</t>
  </si>
  <si>
    <t>WOS:000083009400022</t>
  </si>
  <si>
    <t>Krushelnycky, PD; Gillespie, RG</t>
  </si>
  <si>
    <t>Krushelnycky, Paul D.; Gillespie, Rosemary G.</t>
  </si>
  <si>
    <t>Argentine ant; arthropod communities; big-headed ant; biological invasions; diversity; Hawaii; invasive ants; Linepithema humile; Pheidole megacephala; stability</t>
  </si>
  <si>
    <t>ARGENTINE ANTS; ECOSYSTEM FUNCTION; WASMANNIA-AUROPUNCTATA; PHEIDOLE-MEGACEPHALA; SOUTHERN CALIFORNIA; NORTHERN CALIFORNIA; LINEPITHEMA-HUMILE; CURRENT KNOWLEDGE; EXTRINSIC FACTORS; ABIOTIC FACTORS</t>
  </si>
  <si>
    <t>There is a general consensus that the diversity of a biotic community can have an influence on its stability, but the strength, ubiquity, and relative importance of this effect is less clear. In the context of biological invasions, diversity has usually been studied in terms of its effect on a community's invasibility, but diversity may also influence stability by affecting the magnitude of compositional or functional changes experienced by a community upon invasion. We examined the impacts of invasive ants on arthropod communities at five natural area sites in the Hawaiian Islands, and assessed whether differences among sites in community diversity and density variables were related to measures of stability. Ant invasion was usually associated with significant changes in overall community composition, as measured by Bray-Curtis distances, particularly among endemic subsets of the communities. Changes in mean species richness were also strong at three of the five sites. Among sites, diversity was negatively related to stability as measured by resistance to overall compositional change, but this effect could not be separated from the strong negative effect of invasive ant density on compositional stability. When compositional stability was measured as proportional change in richness, the best predictor of stability among endemic community subsets was endemic richness, with richer communities losing proportionately more species than species-poor communities. This effect was highly significant even after controlling for differences in invasive ant density and suggested that communities that had already lost many endemic species were resistant to further species loss upon ant invasion, while more intact communities remained vulnerable to species loss. Communities underwent strong but idiosyncratic functional shifts in association with ant invasion, both in terms of trophic structure and total arthropod biomass. There were no apparent relationships, however, between functional stability and community diversity or density measures. Instead, invasive ant density was the best among-site predictor of the magnitude of functional change. Overall, diversity appeared to be a poor predictor of stability in the face of ant invasion in these communities, possibly because any actual diversity effects were overshadowed by community-specific factors and variation in the magnitude of the ant-mediated perturbation.</t>
  </si>
  <si>
    <t>[Krushelnycky, Paul D.; Gillespie, Rosemary G.] Univ Calif Berkeley, Dept Environm Sci Policy &amp; Management, Berkeley, CA 94720 USA</t>
  </si>
  <si>
    <t>Krushelnycky, PD (corresponding author), US Geol Survey, Pacific Isl Ecosyst Res Ctr, Haleakala Field Stn, POB 369, Makawao, HI 96768 USA.</t>
  </si>
  <si>
    <t>pauldk@hawaii.edu</t>
  </si>
  <si>
    <t>Gillespie, Rosemary/AAF-4244-2019</t>
  </si>
  <si>
    <t>Gillespie, Rosemary/0000-0003-0086-7424</t>
  </si>
  <si>
    <t>1990 M STREET NW, STE 700, WASHINGTON, DC 20036 USA</t>
  </si>
  <si>
    <t>10.1890/07-1293.1</t>
  </si>
  <si>
    <t>337CR</t>
  </si>
  <si>
    <t>WOS:000258413600018</t>
  </si>
  <si>
    <t>Bunnell, JF; Zampella, RA</t>
  </si>
  <si>
    <t>Bunnell, John F.; Zampella, Robert A.</t>
  </si>
  <si>
    <t>Native Fish and Anuran Assemblages Differ between Impoundments with and without Non-Native Centrarchids and Bullfrogs</t>
  </si>
  <si>
    <t>COPEIA</t>
  </si>
  <si>
    <t>RED-LEGGED FROGS; MULLICA RIVER-BASIN; INTRODUCED BULLFROGS; RANA-CATESBEIANA; NEW-JERSEY; COASTAL-PLAIN; FARM PONDS; CALIFORNIA; COMMUNITY; LAKES</t>
  </si>
  <si>
    <t>Centrarchids (sunfish and bass species) and Bullfrogs (Lithobates catesbelanus) have been introduced Into aquatic systems around the world and have the potential to negatively Impact native fish and anurans. We surveyed fish and anuran assemblages from 26 Impoundments in the New Jersey Pinelands, USA. We excluded non-native species and used ordination analysis to generate four native-species community gradients based on native-fish and anuran presence-absence and abundance data. All four community gradients paralleled an Increase In the percentage of upstream-altered land (development and upland agriculture) and an Increase In either non-native-centrarchid richness or abundance. Based on presence-absence and abundance data, native-fish and native-anuran assemblages, Including restricted species (those generally limited to the Pinelands region) and widespread species (those widely distributed In New Jersey), differed between Impoundments with and without non-native centrarchids. Compared to widespread species, the greatest differences between Impoundment types were found for restricted species. Three non-native-frog species, Including Bullfrogs, were associated with degraded Impoundments that supported non-native fish. Our results demonstrate that watershed conditions and native fish and anuran assemblages differ between Impoundments with and without non-native centrarchids, and suggest that some restricted species may be especially vulnerable to Impacts from watershed disturbance and non-native species. Our findings support the Idea that the environmental resistance associated with Intact water-quality conditions may help prevent the Invasion of non-native fish and anurans. We recommend that land-use activities that degrade water quality and reduce Invasion resistance be avoided in unaltered watersheds to conserve native-fish and native-anuran community Integrity.</t>
  </si>
  <si>
    <t>[Bunnell, John F.; Zampella, Robert A.] Pinelands Commiss, New Lisbon, NJ 08064 USA</t>
  </si>
  <si>
    <t>Bunnell, JF (corresponding author), Pinelands Commiss, POB 7, New Lisbon, NJ 08064 USA.</t>
  </si>
  <si>
    <t>john.bunnell@njpines.state.nj.us</t>
  </si>
  <si>
    <t>Pinelands Commission, U. S. E.nvironmental Protection Agency; National Park Service.</t>
  </si>
  <si>
    <t>Funding for this study was provided by the Pinelands Commission, U. S. E.nvironmental Protection Agency, and National Park Service. The views and conclusions contained in this document are those of the authors and should not be interpreted as representing the opinions or policies of the U.S. Governinent. Mention of trade names or commercial products does not Constitute their endorsement by the U.S. Government.</t>
  </si>
  <si>
    <t>AMER SOC ICHTHYOLOGISTS HERPETOLOGISTS</t>
  </si>
  <si>
    <t>CHARLESTON</t>
  </si>
  <si>
    <t>UNIV CHARLESTON, GRICE MARINE LABORATORY, 205 FORT JOHNSON RD, CHARLESTON, SC 29412 USA</t>
  </si>
  <si>
    <t>0045-8511</t>
  </si>
  <si>
    <t>Copeia</t>
  </si>
  <si>
    <t>DEC 18</t>
  </si>
  <si>
    <t>10.1643/CE-07-089</t>
  </si>
  <si>
    <t>Zoology</t>
  </si>
  <si>
    <t>389AD</t>
  </si>
  <si>
    <t>WOS:000262061200026</t>
  </si>
  <si>
    <t>Houston, WA; Duivenvoorden, LJ</t>
  </si>
  <si>
    <t>Replacement of littoral native vegetation with the ponded pasture grass Hymenachne amplexicaulis:: effects on plant, macroinvertebrate and fish biodiversity of backwaters in the Fitzroy River, Central Queensland, Australia</t>
  </si>
  <si>
    <t>MARINE AND FRESHWATER RESEARCH</t>
  </si>
  <si>
    <t>community structure; environmental weeds; exotic; food chain; macrophytes; species richness; waterbirds; weed invasion; wetlands</t>
  </si>
  <si>
    <t>INVERTEBRATES; COMMUNITIES; MACROPHYTE; ABUNDANCE; HABITAT; WETLAND; IMPACT; LAKE</t>
  </si>
  <si>
    <t>Changes in plant and macroinvertebrate communities were found following replacement of extensive zones of floating-attached/submergent native vegetation within Fitzroy River backwaters by the major environmental weed Hymenachne amplexicaulis (Poaceae). Impacts of H. amplexicaulis on native littoral flora and fauna (macroinvertebrates and fish) were assessed by comparing three sites previously supporting native vegetation and now invaded by H. amplexicaulis with nearby stands of native backwater vegetation. Plant biomass of Hymenachne plant beds was 30-fold greater than native plant beds, whereas plant species diversity (richness) was significantly less. Macroinvertebrate communities of Hymenachne beds were significantly lower in abundance of insect orders Ephemeroptera, Hemiptera and Odonata, while Coleoptera were more abundant in Hymenachne beds. Non-metric multidimensional scaling ordination of macroinvertebrate family abundance and composition data showed that Hymenachne plant beds had a different assemblage to that in native plant beds. In common with other studies of weed invasions, an increased abundance of some vertebrate fauna was observed (in this case an introduced fish species Xiphophorus maculatus comprised 75% of fish captured in Hymenachne beds compared with 0% in native plant beds). Change in vegetation structure was implicated as an important factor influencing macroinvertebrate and fish faunal composition, and with potential to impact on waterbird habitat values of wetlands.</t>
  </si>
  <si>
    <t>Univ Cent Queensland, Ctr Environm Management, Rockhampton, Qld 4702, Australia</t>
  </si>
  <si>
    <t>Central Queensland University</t>
  </si>
  <si>
    <t>Houston, WA (corresponding author), Univ Cent Queensland, Ctr Environm Management, Rockhampton, Qld 4702, Australia.</t>
  </si>
  <si>
    <t>Houston, Wayne/H-1749-2012</t>
  </si>
  <si>
    <t>Duivenvoorden, Leo/0000-0001-5754-7259</t>
  </si>
  <si>
    <t>C S I R O PUBLISHING</t>
  </si>
  <si>
    <t>COLLINGWOOD</t>
  </si>
  <si>
    <t>150 OXFORD ST, PO BOX 1139, COLLINGWOOD, VICTORIA 3066, AUSTRALIA</t>
  </si>
  <si>
    <t>1323-1650</t>
  </si>
  <si>
    <t>MAR FRESHWATER RES</t>
  </si>
  <si>
    <t>Mar. Freshw. Res.</t>
  </si>
  <si>
    <t>10.1071/MF01042</t>
  </si>
  <si>
    <t>Fisheries; Limnology; Marine &amp; Freshwater Biology; Oceanography</t>
  </si>
  <si>
    <t>Fisheries; Marine &amp; Freshwater Biology; Oceanography</t>
  </si>
  <si>
    <t>641MG</t>
  </si>
  <si>
    <t>WOS:000180748100010</t>
  </si>
  <si>
    <t>Slade, EM; Mann, DJ; Lewis, OT</t>
  </si>
  <si>
    <t>Slade, Eleanor M.; Mann, Darren J.; Lewis, Owen T.</t>
  </si>
  <si>
    <t>Scarabaeinae; Dung removal; Seed dispersal; Forest management; Biodiversity-ecosystem functioning</t>
  </si>
  <si>
    <t>COMMUNITY STRUCTURE; RAIN-FORESTS; DIVERSITY; FRAGMENTATION; SCARABAEIDAE; CONSEQUENCES; CONSERVATION; COLEOPTERA; DISPERSAL; SECONDARY</t>
  </si>
  <si>
    <t>A key challenge for tropical conservation biologists is to assess how forest management practices affect biodiversity and associated ecosystem functions. Dung beetles (Scarabaeidae: Scarabaeinae) provide an ideal focal guild for such studies. We compared dung beetle assemblages and experimentally assessed rates of dung removal and seed burial in undisturbed forest, low-intensity selectively logged forest under sustainable forest management, and high-intensity logged forest, not under sustainable management in Malaysian Borneo. In total, 7923 individuals from 39 species of dung beetle were collected. There were no significant differences in abundance, biomass or diversity across sites. Species richness was significantly lower in the high-intensity logged sites. Beta diversity was low: of 35 species recorded in undisturbed forest sites, 32 were also captured in low-intensity sites and 29 in high-intensity sites. The environmental and vegetation variables measured had little influence on species composition. An average of 63-99% of dung was removed over 24 h. Mean dung and seed removal were significantly lower in the high-intensity logged sites. Dung removal rates were significantly and positively correlated with dung beetle species richness, but not with dung beetle biomass or abundance. However, the biomass of large-bodied, nocturnal dung beetles was positively correlated with dung removal. In contrast to previous studies, dung beetle biomass and abundance were not correlated with species richness, indicative of density compensation. Overall, dung beetle communities and associated ecosystem functions were robust to low-intensity but not high-intensity selective logging. These differences may be related to changes in the abundance and biomass of particular dung beetle species or guilds rather than community-wide measures of abundance and biomass, highlighting the need to move beyond simplistic biodiversity-ecosystem functioning correlations to understand the functional consequences of habitat modification in high-diversity ecosystems. (C) 2010 Elsevier Ltd. All rights reserved.</t>
  </si>
  <si>
    <t>[Slade, Eleanor M.; Lewis, Owen T.] Univ Oxford, Dept Zool, Oxford OX1 3PS, England; [Slade, Eleanor M.] Univ Oxford, Wildlife Conservat Res Unit, Dept Zoology, Abingdon OX13 5QL, Oxon, England; [Mann, Darren J.] Univ Oxford, Museum Nat Hist, Oxford OX1 3PW, England</t>
  </si>
  <si>
    <t>University of Oxford; University of Oxford; University of Oxford</t>
  </si>
  <si>
    <t>Slade, EM (corresponding author), Univ Oxford, Dept Zool, S Parks Rd, Oxford OX1 3PS, England.</t>
  </si>
  <si>
    <t>eleanor.slade@zoo.ox.ac.uk</t>
  </si>
  <si>
    <t>Slade, Eleanor/O-3874-2014; Mann, Darren/AAC-1049-2020; Lewis, Owen/ABF-7627-2020</t>
  </si>
  <si>
    <t>Slade, Eleanor/0000-0002-6108-1196; Mann, Darren/0000-0002-6732-6940; Lewis, Owen/0000-0001-7935-6111</t>
  </si>
  <si>
    <t>NERC-CASE; Natural History Museum, London; Royal Society; Royal Society [224]</t>
  </si>
  <si>
    <t>NERC-CASE(UK Research &amp; Innovation (UKRI)Natural Environment Research Council (NERC)); Natural History Museum, London; Royal Society(Royal Society UK); Royal Society(Royal Society UK)</t>
  </si>
  <si>
    <t>We thank the Danum Valley Management Committee and the Economic Planning Unit of the Prime Minister's Department for permission. Jerome Villanueva, Arthur Chung, Chris Lyal, Glen Reynolds, Robert Bagchi, Tom Bell, and Chris Grobler provided invaluable support and assistance. We thank Ismail Samat, Shadih Samat, Petrus Boy, Jamil Hanapi and Johnny Larenus for their help in the field, and Tioman Baru for providing cattle dung. E.M.S. was funded by a NERC-CASE studentship with the Natural History Museum, London. O.T.L. was supported by a Royal Society University Research Fellowship. This study was conducted under Permit No. EPU Ruj. UPE: 40/200/19 SJ. 1159 and is project number 224 under the Royal Society SEARRP.</t>
  </si>
  <si>
    <t>10.1016/j.biocon.2010.08.011</t>
  </si>
  <si>
    <t>719AA</t>
  </si>
  <si>
    <t>WOS:000287168100017</t>
  </si>
  <si>
    <t>Gerber, E; Krebs, C; Murrell, C; Moretti, M; Rocklin, R; Schaffner, U</t>
  </si>
  <si>
    <t>Gerber, Esther; Krebs, Christine; Murrell, Craig; Moretti, Marco; Rocklin, Remy; Schaffner, Urs</t>
  </si>
  <si>
    <t>invasive plant; riparian ecosystems; ecosystem impact; feeding guilds; invertebrate biomass; morphospecies richness</t>
  </si>
  <si>
    <t>IMPATIENS-GLANDULIFERA; DIVERSITY; BIODIVERSITY; VEGETATION; IMPACT</t>
  </si>
  <si>
    <t>Invasive plants are, simply by occupying a large amount of space in invaded habitats, expected to impose a significant impact on the native vegetation and their associated food webs. However, little is known about the impact of invasive plants both on native vegetation and on different invertebrate feeding guilds at the habitat level. Yet, studies addressing multiple trophic levels, e.g. plant species, herbivores, predators and detrivores, are likely to yield additional insight into how and under which conditions invasive weeds alter ecosystem structures and processes. We set out to assess whether plant species richness and invertebrate assemblages in European riparian habitats invaded by exotic knotweeds (Fallopia spp.) differed from those found in native grassland- or bush-dominated riparian habitats, which are both potentially threatened by knotweed invasion. Our findings suggest that riparian habitats invaded by knotweeds support lower numbers of plant species and lower overall abundance and morphospecies richness of invertebrates, compared to native grassland-dominated and bush-dominated habitats. Total invertebrate abundance and morphospecies richness in Fallopia-invaded riparian habitats were correlated with native plant species richness, suggesting that there is a link between the replacement of native plant species by exotic Fallopia species and the reduction in overall invertebrate abundance and morphospecies richness. Moreover, biomass of invertebrates sampled in grassland and bush-dominated habitats was almost twice as high as that in Fallopia-invaded habitats. Large-scale invasion by exotic Fallopia species is therefore likely to seriously affect biodiversity and reduce the quality of riparian ecosystems for amphibians, reptiles, birds and mammals whose diets are largely composed of arthropods. (c) 2007 Elsevier Ltd. All rights reserved.</t>
  </si>
  <si>
    <t>[Gerber, Esther; Krebs, Christine; Murrell, Craig; Schaffner, Urs] CABI Europe Switzerland, CH-2800 Delemont, Switzerland; [Moretti, Marco] Insubr Ecosyst Res Grp, Swiss Fed Res Inst WSL, CH-6500 Bellinzona, Switzerland; [Rocklin, Remy] Serv Rivieres &amp; Eau, Conseil Gen Territoire Belfort, F-90000 Belfort, France</t>
  </si>
  <si>
    <t>Swiss Federal Institutes of Technology Domain; Swiss Federal Institute for Forest, Snow &amp; Landscape Research</t>
  </si>
  <si>
    <t>Gerber, E (corresponding author), CABI Europe Switzerland, Rue Grillons 1, CH-2800 Delemont, Switzerland.</t>
  </si>
  <si>
    <t>e.gerber@cabi.org; c.krebs@cabi.org; c.murrell@cabi.org; marco.moretti@wsl.ch; remy.rocklin@cg90.fr; u.schaffner@cabi.org</t>
  </si>
  <si>
    <t>Schaffner, Urs/A-2783-2012; Moretti, Marco/B-7257-2013</t>
  </si>
  <si>
    <t>Moretti, Marco/0000-0002-5845-3198</t>
  </si>
  <si>
    <t>10.1016/j.biocon.2007.12.009</t>
  </si>
  <si>
    <t>284TS</t>
  </si>
  <si>
    <t>WOS:000254729500006</t>
  </si>
  <si>
    <t>Valtonen, A; Jantunen, J; Saarinen, K</t>
  </si>
  <si>
    <t>Valtonen, Anu; Jantunen, Juha; Saarinen, Kimmo</t>
  </si>
  <si>
    <t>alternative habitat; butterfly; diurnal moth; non-native species; plant species</t>
  </si>
  <si>
    <t>CALIFORNIA COASTAL DUNES; RESTORATION TECHNIQUES; PLANT-COMMUNITIES; SPECIES RICHNESS; BUTTERFLIES; DIVERSITY; PRODUCTIVITY; DISTURBANCE; GRASSLAND; DYNAMICS</t>
  </si>
  <si>
    <t>An increasing number of invasive species are changing ecosystems around the world. Road verges have commonly become the first footholds of non-native species in the new environments. Regularly mown road verges also offer habitats for meadow flora and fauna, which in Europe have suffered from the radical decline of semi-natural biotopes due to the agricultural modernization. We studied impacts of an invasive plant Lupinus polyphyllus on the plant and Lepidoptera species composition along road verges. The plant species composition was studied on 15 sites (with 1 m(2) quadrats) and butterflies and diurnal moths along 15 transects (with weekly censuses) in SE Finland, each site and transect representing equally lupine invaded verge and an adjacent non-lupine verge. The species richness and diversity of flora and the cover and species richness of low growing (&lt; 20 cm) species, in particular, was lower in lupine verges compared to non-lupine verges. Also, the abundance of butterflies was lower in lupine verges. As the lupine cover approached 100%, fewer butterflies were observed in lupine transects compared to the adjacent non-lupine transects and a higher proportion of individuals were flying. our results suggest that the changes in plant species assemblages and lower plant species richness in lupine invaded areas had bottom-up effects on higher trophic levels. Further studies on the control of lupine are urgently needed, but meanwhile we suggest regular mowing before the lupines have shed their seeds, together with the removal of the cuttings, to be the best management option. (c) 2006 Elsevier Ltd. All rights reserved.</t>
  </si>
  <si>
    <t>S Karelia Allergy &amp; Environm Inst, FIN-55330 Tiuruniemi, Finland</t>
  </si>
  <si>
    <t>Valtonen, A (corresponding author), S Karelia Allergy &amp; Environm Inst, Laakaritie 15, FIN-55330 Tiuruniemi, Finland.</t>
  </si>
  <si>
    <t>valtonen@cc.joensuu.fi; all.env@inst.inet.fi; all.env@inst.inet.fi</t>
  </si>
  <si>
    <t>10.1016/j.biocon.2006.06.015</t>
  </si>
  <si>
    <t>116JC</t>
  </si>
  <si>
    <t>WOS:000242797500011</t>
  </si>
  <si>
    <t>Hale, R; Calosi, P; McNeill, L; Mieszkowska, N; Widdicombe, S</t>
  </si>
  <si>
    <t>Hale, R.; Calosi, P.; McNeill, L.; Mieszkowska, N.; Widdicombe, S.</t>
  </si>
  <si>
    <t>ACID-BASE-BALANCE; SEAWATER ACIDIFICATION; THERMAL TOLERANCE; INCREASED PCO(2); CARBONIC-ACID; HIGH CO2; IMPACT; SURVIVAL; DISSOCIATION; DIVERSITY</t>
  </si>
  <si>
    <t>A mesocosm experiment was conducted to quantify the effects of reduced pH and elevated temperature on an intact marine invertebrate community. Standardised faunal communities, collected from the extreme low intertidal zone using artificial substrate units, were exposed to one of eight nominal treatments (four pH levels: 8.0, 7.7, 7.3 and 6.7, crossed with two temperature levels: 12 and 16 degrees C). After 60 days exposure communities showed significant changes in structure and lower diversity in response to reduced pH. The response to temperature was more complex. At higher pH levels (8.0 and 7.7) elevated temperature treatments contained higher species abundances and diversity than the lower temperature treatments. In contrast, at lower pH levels (7.3 and 6.7), elevated temperature treatments had lower species abundances and diversity than lower temperature treatments. The species losses responsible for these changes in community structure and diversity were not randomly distributed across the different phyla examined. Molluscs showed the greatest reduction in abundance and diversity in response to low pH and elevated temperature, whilst annelid abundance and diversity was mostly unaffected by low pH and was higher at the elevated temperature. The arthropod response was between these two extremes with moderately reduced abundance and diversity at low pH and elevated temperature. Nematode abundance increased in response to low pH and elevated temperature, probably due to the reduction of ecological constraints, such as predation and competition, caused by a decrease in macrofaunal abundance. This community-based mesocosm study supports previous suggestions, based on observations of direct physiological impacts, that ocean acidification induced changes in marine biodiversity will be driven by differential vulnerability within and between different taxonomical groups. This study also illustrates the importance of considering indirect effects that occur within multispecies assemblages when attempting to predict the consequences of ocean acidification and global warming on marine communities.</t>
  </si>
  <si>
    <t>[Hale, R.; Calosi, P.] Univ Plymouth, Marine Biol &amp; Ecol Res Ctr, Plymouth PL4 8AA, Devon, England; [Hale, R.; McNeill, L.; Widdicombe, S.] Plymouth Marine Lab, Plymouth PL1 3DH, Devon, England; [Mieszkowska, N.] Marine Biol Assoc United Kingdom Lab, Plymouth PL1 2PB, Devon, England</t>
  </si>
  <si>
    <t>University of Plymouth; Plymouth Marine Laboratory; Marine Biological Association United Kingdom</t>
  </si>
  <si>
    <t>Hale, R (corresponding author), Univ Plymouth, Marine Biol &amp; Ecol Res Ctr, Plymouth PL4 8AA, Devon, England.</t>
  </si>
  <si>
    <t>r.hale1@uea.ac.uk</t>
  </si>
  <si>
    <t>Hale, Rachel/L-2464-2014; Mieszkowska, Nova/U-8479-2019; Widdicombe, Stephen/ORK-0606-2025</t>
  </si>
  <si>
    <t>Hale, Rachel/0000-0001-5079-5954; Calosi, Piero/0000-0003-3378-2603; Mieszkowska, Nova/0000-0002-9570-7759;</t>
  </si>
  <si>
    <t>NERC; European Community [211384]; RCUK; NERC [mba010002] Funding Source: UKRI; Natural Environment Research Council [mba010002] Funding Source: researchfish</t>
  </si>
  <si>
    <t>NERC(UK Research &amp; Innovation (UKRI)Natural Environment Research Council (NERC)); European Community; RCUK(UK Research &amp; Innovation (UKRI)); NERC(UK Research &amp; Innovation (UKRI)Natural Environment Research Council (NERC)); Natural Environment Research Council(UK Research &amp; Innovation (UKRI)Natural Environment Research Council (NERC))</t>
  </si>
  <si>
    <t>This work is a contribution to the NERC-funded programme Oceans 2025 (PML Theme 3 - Coastal and shelf processes) and the European Project on Ocean Acidification (EPOCA) which received funding from the European Community's Seventh Framework Programme (FP7/2007-2013) under grant agreement no. 211384. We thank Rob Ellis, Mike Kendall, Amanda Beesley, Sarah Dashfield, Helen Findlay, Thomas Vance, Paul Sutton, Michele Kiernan and Doug Jones for their help. This work was undertaken while RH was in receipt of a NERC Advanced Course Studentship and PC was in receipt of a RCUK Fellowship to investigate ocean acidification.</t>
  </si>
  <si>
    <t>10.1111/j.1600-0706.2010.19469.x</t>
  </si>
  <si>
    <t>753BW</t>
  </si>
  <si>
    <t>WOS:000289740200003</t>
  </si>
  <si>
    <t>Chabrerie, O; Loinard, J; Perrin, S; Saguez, R; Decocq, G</t>
  </si>
  <si>
    <t>Chabrerie, Olivier; Loinard, Jerome; Perrin, Sidonie; Saguez, Robert; Decocq, Guillaume</t>
  </si>
  <si>
    <t>BIOLOGICAL INVASIONS</t>
  </si>
  <si>
    <t>Exotic plant invasions; Life-history traits; Functional diversity; Disturbance; Forest management; RLQ analysis</t>
  </si>
  <si>
    <t>PLANT-SPECIES DIVERSITY; BLACK-CHERRY; DECIDUOUS FOREST; BIOLOGICAL INVASIONS; MANAGED FORESTS; SEED BANK; COMMUNITY; TRAITS; DISTURBANCE; NICHE</t>
  </si>
  <si>
    <t>We investigated the relationships between the overstory dominance of Prunus serotina, and the functional diversity of the understory plant communities, in a managed European forest. Vegetation, habitat characteristics and disturbance history were surveyed in 32 invaded stands vs. 32 paired uninvaded stands, after a random stratification. Community specialization and functional diversity indices were compared and a RLQ analysis was run to link species traits to environmental variables. The herb layer of invaded stands exhibited significantly more specialist species and a lower trait diversity compared to uninvaded stands, with respect of species richness and vegetation cover. Light arrival to the forest floor and soil properties explained most of the variation in the RLQ analysis, but 20% of the variation strongly correlated with P. serotina dominance and associated disturbances. Traits characterizing shade-tolerant, short-living ruderals and shade-avoiders (vernal geophytes) were significantly associated to invaded stands, while those associated to light-demanding graminoids characterized uninvaded stands. The establishment of functionally close species (seedlings and saplings of native woody species) tended to be lower in invaded stands. We concluded that the invader was becoming the new ecosystem engineer, first by inducing trait convergence and community specialization, thus promoting traits that enable species to capture resources in the new environment it was creating, and second by reducing the grain of local heterogeneities.</t>
  </si>
  <si>
    <t>[Chabrerie, Olivier; Loinard, Jerome; Perrin, Sidonie; Saguez, Robert; Decocq, Guillaume] Univ Picardie Jules Verne, Dynam Syst Anthropises JE 2532, F-80037 Amiens 1, France</t>
  </si>
  <si>
    <t>Universite de Picardie Jules Verne (UPJV)</t>
  </si>
  <si>
    <t>Decocq, G (corresponding author), Univ Picardie Jules Verne, Dynam Syst Anthropises JE 2532, 1 Rue Louvels, F-80037 Amiens 1, France.</t>
  </si>
  <si>
    <t>guillaume.decocq@u-picardie.fr</t>
  </si>
  <si>
    <t>Chabrerie, Olivier/0000-0002-8949-1859</t>
  </si>
  <si>
    <t>French 'Ministere de l'Ecologie et du Developpement Durable' [09-D/2003]</t>
  </si>
  <si>
    <t>French 'Ministere de l'Ecologie et du Developpement Durable'</t>
  </si>
  <si>
    <t>We are indebted to the French 'Office National des Forets' for their facilities during field work. We thank Francois Rabain for his help in data collection, Mark Bilton for the language revision, and an anonymous referee for his very helpful comments on an earlier version of this paper. This study was financially supported by the French 'Ministere de l'Ecologie et du Developpement Durable' (INVABIO II program, CR n degrees 09-D/2003).</t>
  </si>
  <si>
    <t>1387-3547</t>
  </si>
  <si>
    <t>1573-1464</t>
  </si>
  <si>
    <t>BIOL INVASIONS</t>
  </si>
  <si>
    <t>Biol. Invasions</t>
  </si>
  <si>
    <t>10.1007/s10530-009-9599-9</t>
  </si>
  <si>
    <t>592VX</t>
  </si>
  <si>
    <t>WOS:000277410800042</t>
  </si>
  <si>
    <t>Schneider, HE; Allen, EB</t>
  </si>
  <si>
    <t>Schneider, Heather E.; Allen, Edith B.</t>
  </si>
  <si>
    <t>PLANT ECOLOGY</t>
  </si>
  <si>
    <t>Soil seed bank; Desert; Exotic invasive; Joshua Tree National Park; Annual plant; Schismus</t>
  </si>
  <si>
    <t>DEPOSITION; GERMINATION; CONSEQUENCES; GRASSES; FATES; SHAPE; FIRE; SIZE; LIFE</t>
  </si>
  <si>
    <t>We investigated the effects of exotic species invasion and 3 years of nitrogen (N) fertilization on the soil seed bank in Joshua Tree National Park, California, USA at four sites along an N deposition gradient. We compared seed bank composition and density in control (no N added) and fertilized (30 kg N ha(-1) year(-1)) plots to determine if the seed bank would reflect aboveground changes due to N fertilization. Soil samples were collected and germinated in a greenhouse over 2 years. In the field, invasive species cover responded positively to N fertilization. However, we did not observe increased seed density of exotic invasive species in fertilized plots. While no significant differences were detected between treatments within sites, exotic invasive grass seeds overwhelmed the seed bank at all sites. Significant differences between sites were found, which may be due to differences in level of invasion, historic N deposition, and soil surface roughness. Sites experiencing low N deposition had the highest seed bank species richness for both control and fertilized treatments. Aboveground plant density did not correlate well with seed bank density, possibly due to the inherent patchiness of soil seed banks and differential ability of species to form seed banks. This seed bank study provided insight into site-specific impacts on native versus invasive species composition of soil seed banks, as well as magnitude of invasion and restoration potential at invaded sites.</t>
  </si>
  <si>
    <t>[Schneider, Heather E.; Allen, Edith B.] Univ Calif Riverside, Dept Bot &amp; Plant Sci, Riverside, CA 92521 USA</t>
  </si>
  <si>
    <t>University of California System; University of California Riverside</t>
  </si>
  <si>
    <t>Schneider, HE (corresponding author), Univ Calif Riverside, Dept Bot &amp; Plant Sci, 2150 Batchelor Hall, Riverside, CA 92521 USA.</t>
  </si>
  <si>
    <t>hschneider628@gmail.com</t>
  </si>
  <si>
    <t>National Park Service Air Quality/Ecological Effects Program (PMIS) [110325]; National Science Foundation Biocomplexity Program [NSF DEB 04-21530]; Joshua Tree National Park Graduate Student Research Grant Program</t>
  </si>
  <si>
    <t>National Park Service Air Quality/Ecological Effects Program (PMIS); National Science Foundation Biocomplexity Program(National Science Foundation (NSF)); Joshua Tree National Park Graduate Student Research Grant Program</t>
  </si>
  <si>
    <t>This work was funded by the National Park Service Air Quality/Ecological Effects Program (PMIS #110325), the National Science Foundation Biocomplexity Program (NSF DEB 04-21530), and the Joshua Tree National Park Graduate Student Research Grant Program. We thank Christopher True for field help and Andrew Sanders of the University of California, Riverside Herbarium for assistance with plant identification.</t>
  </si>
  <si>
    <t>1385-0237</t>
  </si>
  <si>
    <t>1573-5052</t>
  </si>
  <si>
    <t>PLANT ECOL</t>
  </si>
  <si>
    <t>Plant Ecol.</t>
  </si>
  <si>
    <t>10.1007/s11258-012-0085-6</t>
  </si>
  <si>
    <t>Plant Sciences; Ecology; Forestry</t>
  </si>
  <si>
    <t>Plant Sciences; Environmental Sciences &amp; Ecology; Forestry</t>
  </si>
  <si>
    <t>977VZ</t>
  </si>
  <si>
    <t>WOS:000306694200007</t>
  </si>
  <si>
    <t>Zuefle, ME; Brown, WP; Tallamy, DW</t>
  </si>
  <si>
    <t>Zuefle, Marion E.; Brown, William P.; Tallamy, Douglas W.</t>
  </si>
  <si>
    <t>insect communities; invasive plants; phytophagous insects</t>
  </si>
  <si>
    <t>INTRODUCED PLANTS; ENEMY RELEASE; UNITED-STATES; ALIEN PLANTS; WEED-CONTROL; HYPOTHESIS; INVASIONS; ASSOCIATIONS; HERBIVORES; CALIFORNIA</t>
  </si>
  <si>
    <t>Due to the lack of a co-evolutionary history, the novel defenses presented by introduced plants may be insurmountable to many native insects. Accordingly, non-native plants are expected to support less insect biomass than native plants. Further, native insect specialists may be more affected by introduced plants than native generalist herbivores, resulting in decreased insect diversity on non-native plants due to the loss of specialists. To test these hypotheses, we used a common garden experiment to compare native insect biomass, species richness, and the proportion of native specialist to native generalist insects supported by 45 species of woody plants. Plants were classified into three groupings, with 10 replicates of each species: 15 species native to Delaware (Natives), 15 non-native species that were congeneric with a member of the Native group (Non-native Congeners), and 15 non-native species that did not have a congener present in the United States (Aliens). Native herbivorous insects were sampled in May, June, and July of 2004 and 2005. Overall, insect biomass was greater on Natives than Non-native Congeners and Aliens, but insect biomass varied unpredictably between congeneric pair members. Counter to expectations, Aliens held more insect biomass than did Non-native Congeners. There was no difference in species richness or the number of specialist and generalist species collected among the three plant groupings in either year, although our protocol was biased against sampling specialists. If these results generalize to other studies, loss of native insect biomass due to introduced plants may negatively affect higher trophic levels of the ecosystem.</t>
  </si>
  <si>
    <t>[Zuefle, Marion E.; Tallamy, Douglas W.] Univ Delaware, Dept Entomol &amp; Wildlife Ecol, Newark, DE 19716 USA; [Brown, William P.] Kutztown State Univ, Dept Biol Sci, Kutztown, PA 19530 USA</t>
  </si>
  <si>
    <t>University of Delaware; Pennsylvania State System of Higher Education (PASSHE); Kutztown University - Pennsylvania</t>
  </si>
  <si>
    <t>Zuefle, ME (corresponding author), Univ Delaware, Dept Entomol &amp; Wildlife Ecol, Newark, DE 19716 USA.</t>
  </si>
  <si>
    <t>mzuefle@yahoo.com</t>
  </si>
  <si>
    <t>Tallamy, Douglas/0000-0002-9207-6293</t>
  </si>
  <si>
    <t>The Northern Research Station of the U.S. Forest Service [RWU NE-4502]</t>
  </si>
  <si>
    <t>The Northern Research Station of the U.S. Forest Service(United States Department of Agriculture (USDA)United States Forest Service)</t>
  </si>
  <si>
    <t>The Northern Research Station of the U.S. Forest Service (RWU NE-4502) funded this project. We thank the Kranz family and White Clay Creek State Park for housing the study site and John Pesek for continued statistical advice. The editor and an anonymous reviewer provided helpful criticism of the manuscript. We also thank the many volunteers who helped with the planting. Jennie Witmer assisted with plot maintenance and data collection.</t>
  </si>
  <si>
    <t>10.1007/s10530-007-9193-y</t>
  </si>
  <si>
    <t>341HI</t>
  </si>
  <si>
    <t>WOS:000258704400021</t>
  </si>
  <si>
    <t>Bartomeus, I; Vilà, M; Santamaría, L</t>
  </si>
  <si>
    <t>Bartomeus, Ignasi; Vila, Montserrat; Santamaria, Luis</t>
  </si>
  <si>
    <t>Carpobrotus affine acinaciformis; ecological networks; generalization; interaction strength; invasive species</t>
  </si>
  <si>
    <t>ANIMAL MUTUALISTIC NETWORKS; COEVOLUTIONARY NETWORKS; BIOLOGICAL INVASIONS; SEED PRODUCTION; ALIEN PLANT; BIODIVERSITY; PATTERNS; ISLANDS; ECOLOGY; SUCCESS</t>
  </si>
  <si>
    <t>The structural organization of mutualism networks, typified by interspecific positive interactions, is important to maintain community diversity. However, there is little information available about the effect of introduced species on the structure of such networks. We compared uninvaded and invaded ecological communities, to examine how two species of invasive plants with large and showy flowers (Carpobrotus affine acinaciformis and Opuntia stricta) affect the structure of Mediterranean plant-pollinator networks. To attribute differences in pollination to the direct presence of the invasive species, areas were surveyed that contained similar native plant species cover, diversity and floral composition, with or without the invaders. Both invasive plant species received significantly more pollinator visits than any native species and invaders interacted strongly with pollinators. Overall, the pollinator community richness was similar in invaded and uninvaded plots, and only a few generalist pollinators visited invasive species exclusively. Invasive plants acted as pollination super generalists. The two species studied were visited by 43% and 31% of the total insect taxa in the community, respectively, suggesting they play a central role in the plant-pollinator networks. Carpobrotus and Opuntia had contrasting effects on pollinator visitation rates to native plants: Carpobrotus facilitated the visit of pollinators to native species, whereas Opuntia competed for pollinators with native species, increasing the nestedness of the plant-pollinator network. These results indicate that the introduction of a new species to a community can have important consequences for the structure of the plant-pollinator network.</t>
  </si>
  <si>
    <t>[Bartomeus, Ignasi] Univ Autonoma Barcelona, Ctr Ecol Res &amp; Forestry Applicat CREAF, E-08193 Barcelona, Catalonia, Spain; [Vila, Montserrat] CSIC, Estac Biol Donana, Seville 41013, Spain; [Santamaria, Luis] Inst Mediterrani Estudis Avancats IMEDEA, Esporles 07190, Mallorca, Spain</t>
  </si>
  <si>
    <t>Centro de Investigacion Ecologica y Aplicaciones Forestales (CREAF-CERCA); University of Barcelona; Autonomous University of Barcelona; Consejo Superior de Investigaciones Cientificas (CSIC); CSIC - Estacion Biologica de Donana (EBD); Consejo Superior de Investigaciones Cientificas (CSIC); ATTITUS Educacao</t>
  </si>
  <si>
    <t>Bartomeus, I (corresponding author), Univ Autonoma Barcelona, Ctr Ecol Res &amp; Forestry Applicat CREAF, Edifici C, E-08193 Barcelona, Catalonia, Spain.</t>
  </si>
  <si>
    <t>nacho@creaf.uab.es</t>
  </si>
  <si>
    <t>Vila, Montserrat/D-9339-2013; Santamaria, Luis/C-1438-2012; Santamaría Galdón, Luis Enrique/C-1438-2012; Bartomeus, Ignasi/F-2382-2010; Vilà Planella, Montserrat/D-9339-2013</t>
  </si>
  <si>
    <t>Santamaría Galdón, Luis Enrique/0000-0002-5072-2912; Bartomeus, Ignasi/0000-0001-7893-4389; Vilà Planella, Montserrat/0000-0003-3171-8261</t>
  </si>
  <si>
    <t>233 SPRING ST, NEW YORK, NY 10013 USA</t>
  </si>
  <si>
    <t>10.1007/s00442-007-0946-1</t>
  </si>
  <si>
    <t>277TX</t>
  </si>
  <si>
    <t>WOS:000254238700010</t>
  </si>
  <si>
    <t>Timsina, B; Shrestha, BB; Rokaya, MB; Muenzbergová, Z</t>
  </si>
  <si>
    <t>Timsina, Binu; Shrestha, Bharat Babu; Rokaya, Maan Bahadur; Muenzbergova, Zuzana</t>
  </si>
  <si>
    <t>Impact of Parthenium hysterophorus L. invasion on plant species composition and soil properties of grassland communities in Nepal</t>
  </si>
  <si>
    <t>FLORA</t>
  </si>
  <si>
    <t>Invasive species; Nepal; Soil nutrients; Southeast Asia; Urban areas</t>
  </si>
  <si>
    <t>POPULATION BIOLOGY; GROWTH; WEED; BIODIVERSITY; INTERFERENCE; RESIDUES</t>
  </si>
  <si>
    <t>Parthenium hysterophorus (Asteraceae) is a noxious plant that is considered one of the most invasive species in the world. We studied changes in the composition of plant species and soil properties related to the invasion of P. hysterophorus in three grassland communities of central Nepal. We collected vegetation and soil data along transects that were established in densely invaded to non-invaded areas within homogenous grassland stands. We found significant differences between invaded, transitional and non-invaded plots in species composition and soil properties. There were fewer species in non-invaded than transitional and invaded plots. By P. hysterophorus invasion both native and non-native species were supported or replaced, respectively. The concentrations of soil nitrogen and organic matter were significantly higher in transitional and invaded plots than in non-invaded plots. Soil pH, phosphorus and potassium were highest in the invaded plots, lowest in the non-invaded and intermediate in the transitional plots. Due to changes in above-ground vegetation and below-ground soil nutrient contents, P. hysterophorus invasion is likely to have an overall negative effect on the functioning of the entire ecosystem. Therefore, management of noxious P. hysterophorus is necessary to prevent future problems. (C) 2010 Elsevier GmbH. All rights reserved.</t>
  </si>
  <si>
    <t>[Rokaya, Maan Bahadur] Charles Univ Prague, Fac Sci, Dept Ecol, CZ-12844 Prague 2, Czech Republic; [Shrestha, Bharat Babu] Tribhuvan Univ, Cent Dept Bot, Kathmandu, Nepal; [Muenzbergova, Zuzana] Charles Univ Prague, Fac Sci, Dept Bot, CZ-12801 Prague, Czech Republic; [Rokaya, Maan Bahadur; Muenzbergova, Zuzana] Acad Sci Czech Republ, Inst Bot, CZ-25243 Pruhonice, Czech Republic</t>
  </si>
  <si>
    <t>Charles University Prague; Tribhuvan University; Charles University Prague; Czech Academy of Sciences; Institute of Botany of the Czech Academy of Sciences</t>
  </si>
  <si>
    <t>Rokaya, MB (corresponding author), Charles Univ Prague, Fac Sci, Dept Ecol, Vinicna 7, CZ-12844 Prague 2, Czech Republic.</t>
  </si>
  <si>
    <t>rokayamaan@gmail.com</t>
  </si>
  <si>
    <t>Rokaya, Maan/G-1527-2014; Shrestha, Bharat Babu/V-2006-2019; Münzbergová, Zuzana/F-6321-2013; Tiina, Binu/H-6680-2014</t>
  </si>
  <si>
    <t>Rokaya, Maan/0000-0003-1459-093X; Shrestha, Bharat Babu/0000-0002-9457-2637; Münzbergová, Zuzana/0000-0002-4026-6220; Tiina, Binu/0000-0002-5308-1428</t>
  </si>
  <si>
    <t>Cornell Nepal Study Program, Nepal; GACR [526/09/0549]; MSM [0021620828, AV0Z60050516]</t>
  </si>
  <si>
    <t>Cornell Nepal Study Program, Nepal; GACR(Grant Agency of the Czech Republic); MSM(Ministry of Education, Youth &amp; Sports - Czech Republic)</t>
  </si>
  <si>
    <t>We are greatly indebted to B.D. Joshi, NARC, in Khumaltar, Nepal, for analysing the soil samples; K.K. Shrestha, S.K. Ghimire, J.P. Gajurel, B. Devkota and K.P. Thapa for identifying different plant species; M. Sharma, B. Timsina and L. Gurung Timsina for helping us in the field. We are also thankful to two anonymous reviewers for their critical comments on the previous version of this manuscript. This study was partly supported by Cornell Nepal Study Program, Nepal and also supported by GACR 526/09/0549 and by MSM 0021620828 and AV0Z60050516.</t>
  </si>
  <si>
    <t>0367-2530</t>
  </si>
  <si>
    <t>1618-0585</t>
  </si>
  <si>
    <t>Flora</t>
  </si>
  <si>
    <t>10.1016/j.flora.2010.09.004</t>
  </si>
  <si>
    <t>752QU</t>
  </si>
  <si>
    <t>Green Published</t>
  </si>
  <si>
    <t>WOS:000289708300008</t>
  </si>
  <si>
    <t>Ostertag, R; Verville, JH</t>
  </si>
  <si>
    <t>bryophyte cover; forest understory; invasive species; nutrient addition</t>
  </si>
  <si>
    <t>RAIN-FOREST; NUTRIENT-ENRICHMENT; COMMUNITY STRUCTURE; SOIL DEVELOPMENT; N DEPOSITION; PINE FOREST; VEGETATION; DIVERSITY; ECOSYSTEM; DISTURBANCE</t>
  </si>
  <si>
    <t>We examined the effects of fertilization on the diversity, abundance, and cover of the understory plant community of two montane wet forests in Hawaii. One site occupies a young substrate, where aboveground tree growth is limited by nitrogen (N), while the other site is on an older substrate, where aboveground tree growth is limited by phosphorus (P). Both sites contained an on-going, long-term factorial fertilization experiment in which plots were fertilized semi-annually with N, P, or N and P in combination. In each fertilization treatment, we measured density of species greater than or equal to0.5 m tall and percent cover of species &lt;0.5 m tall. Fertilization with N reduced species richness at the young, N-limited site, but none of the nutrient additions altered species richness at the older, P-limited site. Species diversity and evenness were not affected by fertilization at either site. At the site with low N availability, plots fertilized with NP had higher densities of the non-native ginger Hedychium gardnerianum, and at the site with low P-availability, densities of the exotic shrub Rubus argutus were higher in P- and NP-fertilized plots. Other effects included declines in moss cover with fertilization at both sites, and reduced abundance of native seedlings in response to N and NP addition at the N-limited site. Continued long-term fertilization could lead to greater dominance of non-native species by encouraging their growth at the expense of native species, which may suffer decreased recruitment as fertilization and increased abundance of the non-native species may reduce suitable substrates for seedling establishment.</t>
  </si>
  <si>
    <t>Univ Florida, Dept Bot, Gainesville, FL 32611 USA; Stanford Univ, Dept Biol Sci, Stanford, CA 94305 USA</t>
  </si>
  <si>
    <t>State University System of Florida; University of Florida; Stanford University</t>
  </si>
  <si>
    <t>Ostertag, R (corresponding author), Univ Calif Berkeley, Ecosyst Sci Div, Dept Environm Sci Policy &amp; Management, 151 Hilgard Hall, Berkeley, CA 94720 USA.</t>
  </si>
  <si>
    <t>Ostertag, Rebecca/B-1756-2013</t>
  </si>
  <si>
    <t>Ostertag, Rebecca/0000-0002-5747-3285</t>
  </si>
  <si>
    <t>KLUWER ACADEMIC PUBL</t>
  </si>
  <si>
    <t>10.1023/A:1020332824836</t>
  </si>
  <si>
    <t>597GE</t>
  </si>
  <si>
    <t>WOS:000178213200007</t>
  </si>
  <si>
    <t>de Groot, M; Kleijn, D; Jogan, N</t>
  </si>
  <si>
    <t>de Groot, Maarten; Kleijn, David; Jogan, Nejc</t>
  </si>
  <si>
    <t>invasive plant species; plant-insect relationships; Solidago canadensis; trophic levels; biodiversity</t>
  </si>
  <si>
    <t>PLANT INVASIONS; EXOTIC PLANTS; POLLINATORS; HYPOTHESIS; HERBIVORES; FLOWERS; BIOLOGY; ENEMIES; IMPACT</t>
  </si>
  <si>
    <t>We studied the impact of the invasive plant species Solidago canadensis on the species richness of vascular plants and the abundance, species richness and diversity of butterflies, hoverflies and carabid beetles in herbaceous semi-natural habitats near Ljubljana, Slovenia. The species groups were sampled in sites dominated by S. canadensis and paired nearby sites covered by semi-natural vegetation. Plant species richness and species richness, abundance and diversity of butterfly species were lower in plots dominated by S. canadensis. Hoverfly abundance, diversity and species richness were negatively affected only in July just before the onset of flowering of S. canadensis, but tended to be positively affected in August during the height of flowering of S. canadensis. Only the abundance of carabid beetles was reduced in plots dominated by S. canadensis. The responses of the insect groups seem largely driven by the effects of Solidago on the availability of essential resources like food or larval host plants. Our results suggest that insect species that are closely related to plant species composition are more vulnerable to the effects of invasive plant species than those that are loosely or only indirectly related to plant species composition. (c) 2007 Elsevier Ltd. All rights reserved.</t>
  </si>
  <si>
    <t>Univ Wageningen &amp; Res Ctr, Nat Conservat &amp; Plant Ecol Grp, NL-6708 PD Wageningen, Netherlands; Alterra, Ctr Ecosyst Studies, NL-6700 AA Wageningen, Netherlands; Univ Ljubljana, Biotech Fac, Dept Biol, Ljubljana 1000, Slovenia</t>
  </si>
  <si>
    <t>Wageningen University &amp; Research; Wageningen University &amp; Research; University of Ljubljana</t>
  </si>
  <si>
    <t>de Groot, M (corresponding author), Natl Inst Biol, Dept Entomol, Vecna Pot 111, SI-1000 Ljubljana, Slovenia.</t>
  </si>
  <si>
    <t>maarten.degroot@nib.si; David.Kleijn@wur.nl; Nejc.Jogan@bf.uni-lj.si</t>
  </si>
  <si>
    <t>Kleijn, David/HCH-3477-2022; de Groot, Maarten/AER-0020-2022</t>
  </si>
  <si>
    <t>Kleijn, David/0000-0003-2500-7164; de Groot, Maarten/0000-0002-5721-6676</t>
  </si>
  <si>
    <t>10.1016/j.biocon.2007.01.005</t>
  </si>
  <si>
    <t>178OA</t>
  </si>
  <si>
    <t>Green Accepted</t>
  </si>
  <si>
    <t>WOS:000247228800011</t>
  </si>
  <si>
    <t>Gruner, DS; Taylor, AD</t>
  </si>
  <si>
    <t>biological diversity; distance-based linear models and nonparametric MANOVA; Hawaiian Islands; insectivorous birds; top-down and bottom-up forces</t>
  </si>
  <si>
    <t>MULTIVARIATE-ANALYSIS; PLANT PRODUCTIVITY; INSECT HERBIVORES; GENETIC-VARIATION; TOP-DOWN; DIVERSITY; COMMUNITY; FOOD; METROSIDEROS; ENRICHMENT</t>
  </si>
  <si>
    <t>A longstanding goal for ecologists is to understand the processes that maintain biological diversity in communities, yet few studies have investigated the combined effects of predators and resources on biodiversity in natural ecosystems. We fertilized nutrient limited plots and excluded insectivorous birds in a randomized block design, and examined the impacts on arthropods associated with the dominant tree in the Hawaiian Islands, Metrosideros polymorpha (Myrtaceae). After 33 months, the species load (per foliage mass) of herbivores and carnivores increased with fertilization, but rarified richness (standardized to abundance) did not change. Fertilization depressed species richness of arboreal detritivores, and carnivore richness dropped in caged, unfertilized plots, both because of the increased dominance of common, introduced species with treatments. Herbivore species abundance distributions were more equitable than other trophic levels following treatments, and fertilization added specialized native species without changing relativized species richness. Overall, bird removal and nutrient addition treatments on arthropod richness acted largely independently, but with countervailing influences that obscured distinct top-down and bottom-up effects on different trophic levels. This study demonstrates that species composition, biological invasions, and the individuality of species traits may complicate efforts to predict the interactive effects of resources and predation on species diversity in food webs.</t>
  </si>
  <si>
    <t>Univ Calif Davis, Bodega Marine Lab, Bodega Bay, CA 94923 USA; Univ Hawaii Manoa, Dept Zool, Honolulu, HI 96822 USA</t>
  </si>
  <si>
    <t>University of California System; University of California Davis; University of Hawaii System; University of Hawaii Manoa</t>
  </si>
  <si>
    <t>Gruner, DS (corresponding author), Univ Calif Davis, Bodega Marine Lab, 2099 Westside Rd,POB 247, Bodega Bay, CA 94923 USA.</t>
  </si>
  <si>
    <t>dsgruner@ucdavis.edu</t>
  </si>
  <si>
    <t>Taylor, Andrew/I-5040-2012; Gruner, Daniel/A-5166-2010</t>
  </si>
  <si>
    <t>Gruner, Daniel/0000-0002-3153-4297</t>
  </si>
  <si>
    <t>10.1007/s00442-005-0337-4</t>
  </si>
  <si>
    <t>024PH</t>
  </si>
  <si>
    <t>WOS:000236207900016</t>
  </si>
  <si>
    <t>Cunha, ER; Thomaz, SM; Evangelista, HBA; Carniato, J; Souza, CF; Fugi, R</t>
  </si>
  <si>
    <t>Cunha, Eduardo Ribeiro; Thomaz, Sidinei Magela; Antoniazi Evangelista, Heloisa Beatriz; Carniato, Juliana; Souza, Camila Fernandes; Fugi, Rosemara</t>
  </si>
  <si>
    <t>Small-sized Fish Assemblages Do not Differ Between a Native and a Recently Established Non-indigenous Macrophyte in a Neotropical Ecosystem</t>
  </si>
  <si>
    <t>NATUREZA &amp; CONSERVACAO</t>
  </si>
  <si>
    <t>Exotic Species; Hydrilla verticillata; Egeria najas; Parana River</t>
  </si>
  <si>
    <t>HYDRILLA; FLOODPLAIN; PARANA; HYDROCHARITACEAE; COLONIZATION; ABUNDANCE; BRAZIL; RIVER</t>
  </si>
  <si>
    <t>Hydrilla verticillata recently invaded a protected area in the Upper Parana River floodplain. In a rare opportunity, when this non-indigenous species co-occurred with the native Egeria najas in a secondary channel of the river, we assessed its effects on assemblage of small-sized fish. Traps were used to catch fish inside macrophyte patches in periods of low and high water. We assessed fish abundance, biomass, diversity, richness and the community composition (using a DCA). The number of fish species did not differ between plants. Fish abundance and biomass were significantly higher during the low water period but plant species did not affect these attributes. Similarly, fish assemblage composition differed only between seasons. Our results indicate that the oscillations in the water level had a greater effect on the small-sized fish assemblage than the presence of the non-indigenous macrophyte. In addition, H. verticillata favors small fish assemblages such as the native does; however, we contend that our conclusions are valid only for habitats scarcely colonized by native plant species. The invasion of other habitats colonized by a high diversity of native species of macrophytes, which are key for small-sized fish, is a matter of concern.</t>
  </si>
  <si>
    <t>[Cunha, Eduardo Ribeiro; Thomaz, Sidinei Magela; Fugi, Rosemara] Univ Estadual Maringa UEM, Programa Posgrad Ecol Ambientes Aquat Continentai, BR-87020900 Maringa, Parana, Brazil; [Thomaz, Sidinei Magela; Antoniazi Evangelista, Heloisa Beatriz] Univ Estadual Maringa UEM, Programa Posgrad Biol Comparada PGB, BR-87020900 Maringa, Parana, Brazil; [Thomaz, Sidinei Magela; Carniato, Juliana; Souza, Camila Fernandes; Fugi, Rosemara] Univ Estadual Maringa UEM, Nucleo Pesquisas Limnol &amp; Aquicultura Nupelia, BR-87020900 Maringa, Parana, Brazil</t>
  </si>
  <si>
    <t>Universidade Estadual de Maringa; Universidade Estadual de Maringa; Universidade Estadual de Maringa</t>
  </si>
  <si>
    <t>Fugi, R (corresponding author), Univ Estadual Maringa UEM, Programa Posgrad Ecol Ambientes Aquat Continentai, Av Colombo 5790, BR-87020900 Maringa, Parana, Brazil.</t>
  </si>
  <si>
    <t>rosemarafugi@gmail.com</t>
  </si>
  <si>
    <t>Thomaz, Sidinei/A-7331-2013; Fugi, Rosemara/D-5708-2016</t>
  </si>
  <si>
    <t>Fugi, Rosemara/0000-0002-7230-0817</t>
  </si>
  <si>
    <t>Brazilian Council of Research (CNPq); CAPES; CNPq</t>
  </si>
  <si>
    <t>Brazilian Council of Research (CNPq)(Conselho Nacional de Desenvolvimento Cientifico e Tecnologico (CNPQ)); CAPES(Coordenacao de Aperfeicoamento de Pessoal de Nivel Superior (CAPES)); CNPq(Conselho Nacional de Desenvolvimento Cientifico e Tecnologico (CNPQ))</t>
  </si>
  <si>
    <t>We thank AA Agostinho (Universidade Estadual de Maringa), LM Bini (Universidade Federal de Goias) and an anonymous reviewer who greatly improved this manuscript, and RP Ota for fish identification. JC Oliveira, CF de Souza, ER Cunha and HBA Evangelista acknowledge the Brazilian Council of Research (CNPq) and CAPES for providing grants. SM Thomaz is especially thankful to the CNPq for continuous funding through a Research Productivity Grant, which provided resources to carry out this investigation.</t>
  </si>
  <si>
    <t>ASSOC BRASILEIRA CIENCIA ECOLOGICA E CONSERVACAO</t>
  </si>
  <si>
    <t>RIO DE JANEIRO</t>
  </si>
  <si>
    <t>CAIXA POSTAL 68038, CIDADE UNIV, ILHA DO FUNDAO, RIO DE JANEIRO, RJ 00000, BRAZIL</t>
  </si>
  <si>
    <t>1679-0073</t>
  </si>
  <si>
    <t>2178-3675</t>
  </si>
  <si>
    <t>NAT CONSERVACAO</t>
  </si>
  <si>
    <t>Nat. Conserv.</t>
  </si>
  <si>
    <t>10.4322/natcon.2011.007</t>
  </si>
  <si>
    <t>Biodiversity Conservation</t>
  </si>
  <si>
    <t>Biodiversity &amp; Conservation</t>
  </si>
  <si>
    <t>799BU</t>
  </si>
  <si>
    <t>WOS:000293259300007</t>
  </si>
  <si>
    <t>Flory, SL; Clay, K</t>
  </si>
  <si>
    <t>Flory, S. Luke; Clay, Keith</t>
  </si>
  <si>
    <t>Biomass; Diversity; Microstegium vimineum; Japanese stiltgrass; Species richness; Species evenness; Species-accumulation curve; Ordination</t>
  </si>
  <si>
    <t>EXOTIC ANNUAL GRASSES; MICROSTEGIUM-VIMINEUM; REMOVAL; IMPACTS; REGENERATION; BIODIVERSITY; DISTURBANCE; VEGETATION; DIVERSITY; PATTERNS</t>
  </si>
  <si>
    <t>Invasions of non-native species are considered to have significant impacts on native species, but few studies have quantified the direct effects of invasions on native community structure and composition. Many studies on the effects of invasions fail to distinguish between (1) differential responses of native and non-native species to environmental conditions, and (2) direct impacts of invasions on native communities. In particular, invasions may alter community assembly following disturbance and prevent recolonization of native species. To determine if invasions directly impact native communities, we established 32 experimental plots (27.5 m(2)) and seeded them with 12 native species. Then, we added seed of a non-native invasive grass (Microstegium vimineum) to half of the plots and compared native plant community responses between control and invaded plots. Invasion reduced native biomass by 46, 64, and 58%, respectively, over three growing seasons. After the second year of the experiment, invaded plots had 43% lower species richness and 38% lower diversity as calculated from the Shannon index. Nonmetric multidimensional scaling ordination showed a significant divergence in composition between invaded and control plots. Further, there was a strong negative relationship between invader and native plant biomass, signifying that native plants are more strongly suppressed in densely invaded areas. Our results show that a non-native invasive plant inhibits native species establishment and growth following disturbance and that native species do not gain competitive dominance after multiple growing seasons. Thus, plant invaders can alter the structure of native plant communities and reduce the success of restoration efforts.</t>
  </si>
  <si>
    <t>[Flory, S. Luke; Clay, Keith] Indiana Univ, Dept Biol, Bloomington, IN 47405 USA</t>
  </si>
  <si>
    <t>Indiana University System; Indiana University Bloomington</t>
  </si>
  <si>
    <t>Flory, SL (corresponding author), Indiana Univ, Dept Biol, 1001 E 3rd St, Bloomington, IN 47405 USA.</t>
  </si>
  <si>
    <t>sflory@indiana.edu</t>
  </si>
  <si>
    <t>Clay, Keith/C-8730-2012</t>
  </si>
  <si>
    <t>Indiana University, USDA Forest Service; Hoosier National Forest; Joint Fire Science Program</t>
  </si>
  <si>
    <t>Indiana University, USDA Forest Service(United States Department of Agriculture (USDA)United States Forest Service); Hoosier National Forest; Joint Fire Science Program</t>
  </si>
  <si>
    <t>We thank the many undergraduate students who assisted with this project and those who reviewed earlier drafts of this manuscript. This project was financially supported by The Nature Conservancy, a partnership between Indiana University and the USDA Forest Service, Hoosier National Forest, and the Joint Fire Science Program.</t>
  </si>
  <si>
    <t>10.1007/s10530-009-9546-9</t>
  </si>
  <si>
    <t>581GK</t>
  </si>
  <si>
    <t>WOS:000276509400029</t>
  </si>
  <si>
    <t>Serra, MN; Albariño, R; Villanueva, VD</t>
  </si>
  <si>
    <t>Noel Serra, Maria; Albarino, Ricardo; Diaz Villanueva, Veronica</t>
  </si>
  <si>
    <t>HYDROBIOLOGIA</t>
  </si>
  <si>
    <t>Ochetophila trinervis; Riparian vegetation; Exotic; Willow; Detritivores</t>
  </si>
  <si>
    <t>LEAF-LITTER; MACROINVERTEBRATE COMMUNITIES; FUNCTIONAL-ORGANIZATION; HEADWATER STREAMS; NEW-ZEALAND; FOOD WEBS; COLONIZATION; BREAKDOWN; WILLOWS; ECOLOGY</t>
  </si>
  <si>
    <t>Invasion by exotic trees into riparian areas has the potential to impact aquatic systems. We examined the effects of the exotic Salix fragilis (crack willow) on the structure and functioning of small streams in northern Patagonian Andes via a field survey of benthic invertebrates and leaf litter and an in situ experiment. We compared leaf decomposition of the native Ochetophila trinervis (chacay) and S. fragilis in reaches dominated by native vegetation versus reaches dominated by crack willow. We hypothesized that S. fragilis affects the quality of leaf litter entering the streams, changing the aquatic biota composition and litter decomposition. Our study showed that crack willow leaves decomposed slower than chacay, likely related to leaf properties (i.e., leaf toughness). Benthic leaf litter mass was similar between the two riparian vegetation types, though in stream reaches dominated by crack willow, leaves of this species represented 82% of the total leaf litter. Benthic invertebrate abundance and diversity were similar between reaches but species composition differed. Our study found little evidence for strong impacts of crack willow on those small streams. Further studies on other aspects of ecosystem functioning, such as primary production, would enhance our understanding of the impacts of crack willow on Patagonian streams.</t>
  </si>
  <si>
    <t>[Noel Serra, Maria] Univ Nacl Comahue, GEA, INIBIOMA, CONICET, RA-8400 San Carlos De Bariloche, Rio Negro, Argentina; [Albarino, Ricardo] Univ Nacl Comahue, Lab Fotobiol, CONICET, INIBIOMA, RA-8400 San Carlos De Bariloche, Rio Negro, Argentina; [Diaz Villanueva, Veronica] Univ Nacl Comahue, Lab Limnol, CONICET, INIBIOMA, RA-8400 San Carlos De Bariloche, Rio Negro, Argentina</t>
  </si>
  <si>
    <t>Universidad Nacional del Comahue; Consejo Nacional de Investigaciones Cientificas y Tecnicas (CONICET); Consejo Nacional de Investigaciones Cientificas y Tecnicas (CONICET); Universidad Nacional del Comahue; Universidad Nacional del Comahue; Consejo Nacional de Investigaciones Cientificas y Tecnicas (CONICET)</t>
  </si>
  <si>
    <t>Serra, MN (corresponding author), Univ Nacl Comahue, GEA, INIBIOMA, CONICET, Quintral 1250, RA-8400 San Carlos De Bariloche, Rio Negro, Argentina.</t>
  </si>
  <si>
    <t>marianoelserra@gmail.com</t>
  </si>
  <si>
    <t>Serra, Maria Noel/0000-0002-0368-1345</t>
  </si>
  <si>
    <t>NHNP administration; PIP [1702]; PICT [1747]</t>
  </si>
  <si>
    <t>NHNP administration; PIP; PICT(ANPCyT)</t>
  </si>
  <si>
    <t>We thank NHNP rangers Ramiro Araoz and Alejandro Arzubiaga for information provided in the area and Dr. Jim Elser and Monica Elser for the critical review of the manuscript. Maria Noel Serra received an undergraduate student scholarship from the NHNP administration. Research was done at the Laboratorio de Limnologia, INIBIOMA with funds from PIP 1702 and PICT 1747.</t>
  </si>
  <si>
    <t>0018-8158</t>
  </si>
  <si>
    <t>1573-5117</t>
  </si>
  <si>
    <t>Hydrobiologia</t>
  </si>
  <si>
    <t>10.1007/s10750-012-1270-2</t>
  </si>
  <si>
    <t>Marine &amp; Freshwater Biology</t>
  </si>
  <si>
    <t>054JF</t>
  </si>
  <si>
    <t>WOS:000312339100014</t>
  </si>
  <si>
    <t>Smith, FR</t>
  </si>
  <si>
    <t>Smith, F. R.</t>
  </si>
  <si>
    <t>SOUTH AFRICAN JOURNAL OF BOTANY</t>
  </si>
  <si>
    <t>Alien plants; Canopy cover; Composition; Physiognomy; Plant functional types; Plant height; Species richness; Savanna</t>
  </si>
  <si>
    <t>SOUTH-AFRICA</t>
  </si>
  <si>
    <t>Four plant functional types (PFTs) were used to compare the vegetation structure of an alien-invaded Acacia nilotica savanna with one of negligible invasions. Heights, canopy covers and species richness of three native PFTs (woody plants, grasses and herbs) and one alien PFT (woody plants) were measured in 14, 1-m(2) quadrats sampled in a stratified-random pattern in a 400-m(2) plot demarcated in each savanna. In the uninvaded plot, mean heights of native PFTs were stratified. In the invaded plot, the mean height of aliens extended into the native woody stratum with the lower range of native woody PFT heights reduced to the grass stratum. Discriminant analysis of canopy covers and species richness of the four PFTs revealed significant differences in composition between plots with the alien PFT being the most important variable correlated with these differences. Univariate analysis confirmed the dominance of alien woody plants in the invaded plot but also showed significant reductions in the canopy covers and species richness of native herbs and grasses compared to those in the uninvaded plot. These results suggest that PFTs can rapidly measure small-scale, spatial differences in the physiognomy, composition and species richness of A. nilotica savannas when invaded by alien woody plants. (C) 2009 SAAB. Published by Elsevier B.V. All rights reserved.</t>
  </si>
  <si>
    <t>Univ KwaZulu Natal, Sch Biol &amp; Conservat Sci, ZA-4000 Durban, South Africa</t>
  </si>
  <si>
    <t>University of Kwazulu Natal</t>
  </si>
  <si>
    <t>Smith, FR (corresponding author), Univ KwaZulu Natal, Sch Biol &amp; Conservat Sci, Private Bag X54001, ZA-4000 Durban, South Africa.</t>
  </si>
  <si>
    <t>smithf@ukzn.ac.za</t>
  </si>
  <si>
    <t>Smith, Francois/F-4482-2010</t>
  </si>
  <si>
    <t>0254-6299</t>
  </si>
  <si>
    <t>1727-9321</t>
  </si>
  <si>
    <t>S AFR J BOT</t>
  </si>
  <si>
    <t>S. Afr. J. Bot.</t>
  </si>
  <si>
    <t>10.1016/j.sajb.2009.12.004</t>
  </si>
  <si>
    <t>Plant Sciences</t>
  </si>
  <si>
    <t>599HP</t>
  </si>
  <si>
    <t>WOS:000277902300023</t>
  </si>
  <si>
    <t>Fang, Y; Xun, F; Bai, WM; Zhang, WH; Li, LH</t>
  </si>
  <si>
    <t>Fang, Ying; Xun, Fen; Bai, Wenming; Zhang, Wenhao; Li, Linghao</t>
  </si>
  <si>
    <t>Long-Term Nitrogen Addition Leads to Loss of Species Richness Due to Litter Accumulation and Soil Acidification in a Temperate Steppe</t>
  </si>
  <si>
    <t>FINE-ROOT PRODUCTION; COMMUNITY STRUCTURE; ELEVATED CO2; DEPOSITION; GRASSLAND; WATER; ECOSYSTEMS; LIMITATION; DIVERSITY; CLIMATE</t>
  </si>
  <si>
    <t>Background: Although community structure and species richness are known to respond to nitrogen fertilization dramatically, little is known about the mechanisms underlying specific species replacement and richness loss. In an experiment in semiarid temperate steppe of China, manipulative N addition with five treatments was conducted to evaluate the effect of N addition on the community structure and species richness. Methodology/Principal Findings: Species richness and biomass of community in each plot were investigated in a randomly selected quadrat. Root element, available and total phosphorus (AP, TP) in rhizospheric soil, and soil moisture, pH, AP, TP and inorganic N in the soil were measured. The relationship between species richness and the measured factors was analyzed using bivariate correlations and stepwise multiple linear regressions. The two dominant species, a shrub Artemisia frigida and a grass Stipa krylovii, responded differently to N addition such that the former was gradually replaced by the latter. S. krylovii and A. frigida had highly-branched fibrous and un-branched tap root systems, respectively. S. krylovii had higher height than A. frigida in both control and N added plots. These differences may contribute to the observed species replacement. In addition, the analysis on root element and AP contents in rhizospheric soil suggests that different calcium acquisition strategies, and phosphorus and sodium responses of the two species may account for the replacement. Species richness was significantly reduced along the five N addition levels. Our results revealed a significant relationship between species richness and soil pH, litter amount, soil moisture, AP concentration and inorganic N concentration. Conclusions/Significance: Our results indicate that litter accumulation and soil acidification accounted for 52.3% and 43.3% of the variation in species richness, respectively. These findings would advance our knowledge on the changes in species richness in semiarid temperate steppe of northern China under N deposition scenario.</t>
  </si>
  <si>
    <t>[Fang, Ying; Xun, Fen; Bai, Wenming; Zhang, Wenhao; Li, Linghao] Chinese Acad Sci, Inst Bot, State Key Lab Vegetat &amp; Environm Change, Beijing, Peoples R China; [Fang, Ying; Xun, Fen] Chinese Acad Sci, Grad Sch, Beijing, Peoples R China</t>
  </si>
  <si>
    <t>Chinese Academy of Sciences; Institute of Botany, CAS; Chinese Academy of Sciences; University of Chinese Academy of Sciences, CAS</t>
  </si>
  <si>
    <t>Bai, WM (corresponding author), Chinese Acad Sci, Inst Bot, State Key Lab Vegetat &amp; Environm Change, Beijing, Peoples R China.</t>
  </si>
  <si>
    <t>bwming@ibcas.ac.cn</t>
  </si>
  <si>
    <t>Li, Linghao/NXX-9139-2025; Zhang, Wen-Hao/B-5805-2009</t>
  </si>
  <si>
    <t>Zhang, Wen-Hao/0000-0003-2708-2221</t>
  </si>
  <si>
    <t>National Natural Science Foundation of China [31070432]; Beijing Institutes of Life Science, Chinese Academy of Sciences [2010-Biols-CAS-0101]</t>
  </si>
  <si>
    <t>National Natural Science Foundation of China(National Natural Science Foundation of China (NSFC)); Beijing Institutes of Life Science, Chinese Academy of Sciences</t>
  </si>
  <si>
    <t>This research was supported by the National Natural Science Foundation of China (31070432) and Beijing Institutes of Life Science, Chinese Academy of Sciences (2010-Biols-CAS-0101). The funders had no role in study design, data collection and analysis, decision to publish, or preparation of the manuscript.</t>
  </si>
  <si>
    <t>OCT 12</t>
  </si>
  <si>
    <t>e47369</t>
  </si>
  <si>
    <t>10.1371/journal.pone.0047369</t>
  </si>
  <si>
    <t>020LH</t>
  </si>
  <si>
    <t>WOS:000309809500045</t>
  </si>
  <si>
    <t>St John, MG; Wall, DH; Hunt, HW</t>
  </si>
  <si>
    <t>St John, Mark G.; Wall, Diana H.; Hunt, H. William</t>
  </si>
  <si>
    <t>Are soil mite assemblages structured by the identity of native and invasive alien grasses?</t>
  </si>
  <si>
    <t>acari; belowground animal assemblages; biodiversity; invasive alien grasses; micro-arthropods; mites; soil communities; tallgrass prairie</t>
  </si>
  <si>
    <t>BELOW-GROUND BIODIVERSITY; NITROGEN DYNAMICS; HOST-SPECIFICITY; FOOD-WEB; DIVERSITY; COMMUNITIES; PATTERNS; ACARI; GRASSLAND; ABUNDANCE</t>
  </si>
  <si>
    <t>Associations between plants and animals in aboveground communities are often predictable and specific. This has been exploited for the purposes of estimating the diversity of animal species based on the diversity of plant species. The introduction of invasive alien plants into an ecosystem can result in dramatic changes in both the native plant and animal assemblages. Few data exist at the species level to determine whether belowground animal assemblages share the same degree of association to plants. The hypotheses that soil mites (Acari) form assemblages specifically associated with different native grass species in an unmanipulated natural ecosystem and that invasive alien grasses will impact soil mite assemblage composition in this setting were tested. Soil mites sampled beneath five native and two invasive alien species of grasses at the Konza Prairie Biological Station, Kansas, USA, were similarly abundant, species rich, diverse, and taxonomically distinct. No mite species had affinities for a specific grass species. There was no evidence from analysis of similarity, canonical correspondence analysis, or a nonparametric assemblage analysis that the assemblage composition of soil mites was specific to grass species. Results suggest that soil mite assemblages were more related to characteristics of the plant assemblage as a whole or prevailing soil conditions. The most recent invasive alien grass did not support a successionally younger mite fauna, based on the ratio of mesostigmatid to oribatid mites, and neither of the two invasive grasses influenced mite assemblage structure, possibly because they had not yet substantially altered the soil environment. Our results suggest that extrapolations of soil mite diversity based on assumptions of plant specificity would be invalid.</t>
  </si>
  <si>
    <t>Colorado State Univ, Nat Resource Ecol Lab, Ft Collins, CO 80523 USA</t>
  </si>
  <si>
    <t>St John, MG (corresponding author), Laurentian Univ, Dept Biol, 935 Ramsey Lake Rd, Sudbury, ON P3E 2C6, Canada.</t>
  </si>
  <si>
    <t>mstjohn@laurentian.ca</t>
  </si>
  <si>
    <t>Wall, Diana/F-5491-2011</t>
  </si>
  <si>
    <t>10.1890/0012-9658(2006)87[1314:ASMASB]2.0.CO;2</t>
  </si>
  <si>
    <t>042TM</t>
  </si>
  <si>
    <t>WOS:000237552400026</t>
  </si>
  <si>
    <t>Belnap, J; Phillips, SL; Sherrod, SK; Moldenke, A</t>
  </si>
  <si>
    <t>Soil biota can change after exotic plant invasion: does this affect ecosystem processes?</t>
  </si>
  <si>
    <t>decomposition; desert grassland; ecological legacy; microarthropods; nitrogen; nutrient cycles; phosphorus; rangeland</t>
  </si>
  <si>
    <t>MACROARTHROPOD COMMUNITIES; HABITAT RELATIONSHIPS; DIVERSITY; BIODIVERSITY; NITROGEN; COMPETITION; SUCCESSION; VEGETATION; NEMATODES; ABUNDANCE</t>
  </si>
  <si>
    <t>Invasion of the exotic annual grass Bromus tectorum into stands of the native perennial grass Hilaria jamesii significantly reduced the abundance of soil biota, especially microarthropods and nematodes. Effects of invasion on active and total bacterial and fungal biomass were variable, although populations generally increased after 50+ years of invasion. The invasion of Bromus also resulted in a decrease in richness and a species shift in plants, microarthropods, fungi, and nematodes. However, despite the depauperate soil fauna at the invaded sites, no effects were seen on cellulose decomposition rates, nitrogen mineralization rates, or vascular plant growth. When Hilaria was planted into soils from riot-invaded, recently invaded, and historically invaded sites (all currently or once dominated by Hilaria), germination and survivorship were not affected. In contrast, aboveground Hilaria biomass was significantly. greater in recently invaded soils than in the other two soils. We attributed the Hilaria response to differences in soil nutrients present before the invasion, especially soil nitrogen, phosphorus, and potassium, as these nutrients were elevated in the soils that produced the greatest Hilaria biomass. Our data suggest that it is not soil biotic richness per se that determines soil process rates or plant productivity, but instead that either (1) the presence of a few critical soil food web taxa can keep ecosystem function high, (2) nutrient loss is very slow in this ecosystem, and/or (3) these processes are microbially driven. However, the presence of Bromus may reduce key soil nutrients over time and thus may eventually suppress native plant success.</t>
  </si>
  <si>
    <t>USGS Canyonlands Field Stn, SW Biol Sci Ctr, Moab, UT 84532 USA; Colorado State Univ, Nat Resource Ecol Lab, Ft Collins, CO 80523 USA; Univ Denver, Dept Biol Sci, Denver, CO 80210 USA; Oregon State Univ, Dept Entomol, Corvallis, OR 97331 USA</t>
  </si>
  <si>
    <t>United States Department of the Interior; United States Geological Survey; Colorado State University System; Colorado State University Fort Collins; University of Denver; Oregon State University</t>
  </si>
  <si>
    <t>Belnap, J (corresponding author), USGS Canyonlands Field Stn, SW Biol Sci Ctr, 2290 S Resource Blvd, Moab, UT 84532 USA.</t>
  </si>
  <si>
    <t>Jayne_Belnap@usgs.gov</t>
  </si>
  <si>
    <t>10.1890/05-0333</t>
  </si>
  <si>
    <t>986AB</t>
  </si>
  <si>
    <t>WOS:000233419600017</t>
  </si>
  <si>
    <t>Roem, WJ; Klees, H; Berendse, F</t>
  </si>
  <si>
    <t>aluminium; nitrogen availability; N : P ratio; phosphorus availability; species richness</t>
  </si>
  <si>
    <t>NITROGEN DEPOSITION; VEGETATION; GRASSLAND; SOIL; RESTORATION; NETHERLANDS; BIODIVERSITY; COMMUNITIES; POLLUTANTS; LIMITATION</t>
  </si>
  <si>
    <t>1. The atmospheric deposition of sulphur and nitrogen compounds in the Netherlands has been responsible for decreasing plant species diversity in heathland. To unravel the relative importance of nitrogen compounds on soil acidification and eutrophication, and hence on the vegetation, we carried out a factorial addition experiment and a germination experiment in heathland on nutrient-poor sandy soil. 2. We changed nutrient availability and acidity independently in eight different treatments that, respectively, added nutrients or carbon in various combinations (N, P, glucose) or added acidifying or neutralizing compounds. One treatment also involved adding Al. Additions occurred five times per year during 5 years, in an area from which sods had been removed before the experiment began. The same design was used for the germination experiment, but the treatments were applied for 2 years. 3. Our results showed that acidification was the most important factor in reducing species diversity. In addition, the germination of several heathland species was significantly reduced in plots with a pH below 5, and germination was very poor in plots where Al had been added. 4. The number of plant species declined particularly with increasing Al in the upper soil horizons. We conclude that this relationship is responsible for the influence of acidification on plant species richness in heathland. 5. The influence of nutrient availability on species composition in heathland was subsidiary to acidity, but nutrient availability influenced species composition in an independent way. The growth of the three dominant species (Molinia caerulea, Calluna vulgaris and Erica tetralix) was limited by different nutrients. Erica tetralix was limited by N, Calluna vulgaris by P and Molinia caerulea by both N and P. We argue that increased N availability will change the relative availability of N and P, which can decrease species diversity. 6. Together these results show how factorial experiments can elucidate the complex ecological effects arising from sulphur and nitrogen deposition, revealing different mechanisms that change species richness and community composition.</t>
  </si>
  <si>
    <t>Wageningen Univ, Nat Conservat &amp; Plant Ecol Grp, Dept Environm Sci, NL-6708 PD Wageningen, Netherlands</t>
  </si>
  <si>
    <t>Wageningen University &amp; Research</t>
  </si>
  <si>
    <t>Roem, WJ (corresponding author), Wageningen Univ, Nat Conservat &amp; Plant Ecol Grp, Dept Environm Sci, Bornsesteeg 69, NL-6708 PD Wageningen, Netherlands.</t>
  </si>
  <si>
    <t>Berendse, Frank/0009-0005-0623-1517</t>
  </si>
  <si>
    <t>BLACKWELL PUBLISHING LTD</t>
  </si>
  <si>
    <t>9600 GARSINGTON RD, OXFORD OX4 2DG, OXON, ENGLAND</t>
  </si>
  <si>
    <t>10.1046/j.1365-2664.2002.00768.x</t>
  </si>
  <si>
    <t>621FX</t>
  </si>
  <si>
    <t>WOS:000179578800008</t>
  </si>
  <si>
    <t>Hejda, M; Pysek, P</t>
  </si>
  <si>
    <t>Hejda, Martin; Pysek, Petr</t>
  </si>
  <si>
    <t>What is the impact of Impatiens glandulifera on species diversity of invaded riparian vegetation?</t>
  </si>
  <si>
    <t>alien species; Czech Republic; dominance; plant invasions; species richness</t>
  </si>
  <si>
    <t>PLANT INVASIONS; HERACLEUM-MANTEGAZZIANUM; ALIEN PLANTS; HABITATS; INVASIBILITY; COMMUNITIES; SUCCESSION; MANAGEMENT; BIODIVERSITY; CALIFORNIA</t>
  </si>
  <si>
    <t>Effect of invasion by Impatiens glandulifera (Balsaminaceae) on the community characteristics and species composition of invaded riparian communities was studied at six rivers in the Czech Republic. Two approaches were used: space for time substitution approach, i.e., comparing invaded and uninvaded sites under the same habitat conditions, and removal of the invader from experimental plots. Differences in the number of species, Shannon diversity index H' and evennes J were compared between invaded and uninvaded plots. Uninvaded plots of the comparative study harboured by 0.23 more species per 16 m(2), and had higher value of H' and J, calculated with species covers as importance values; however only the difference in J was marginally significant (p = 0.04). Other effects were not significant, indicating that once I. glandulifera is removed, communities recover without any consequences for species diversity. Multivariate analysis did not reveal any effect of invasion on the species composition in terms of species presence but their cover hierarchies changed after the invasion, as I. glandulifera became dominant at the expense of tall native nitrophilous dominants. It is concluded that I. glandulifera exerts negligible effect on the characteristics of invaded riparian communities, hence it does not represent threat to the plant diversity of invaded areas. This makes it very different from other Central European invasive aliens of a similar performance. (c) 2006 Elsevier Ltd. All rights reserved.</t>
  </si>
  <si>
    <t>Acad Sci Czech Republ, Inst Bot, CZ-25243 Pruhonice, Czech Republic; Charles Univ Prague, Fac Sci, Dept Ecol, CZ-12801 Prague 2, Czech Republic</t>
  </si>
  <si>
    <t>Czech Academy of Sciences; Institute of Botany of the Czech Academy of Sciences; Charles University Prague</t>
  </si>
  <si>
    <t>Pysek, P (corresponding author), Acad Sci Czech Republ, Inst Bot, CZ-25243 Pruhonice, Czech Republic.</t>
  </si>
  <si>
    <t>hejda@ibot.cas.cz; pysek@ibot.cas.cz</t>
  </si>
  <si>
    <t>Pysek, Petr/B-1957-2012; Hejda, Martin/H-1589-2014</t>
  </si>
  <si>
    <t>10.1016/j.biocon.2006.03.025</t>
  </si>
  <si>
    <t>083TK</t>
  </si>
  <si>
    <t>WOS:000240480900001</t>
  </si>
  <si>
    <t>MacGregor-Fors, I; Morales-Pérez, L; Quesada, J; Schondube, JE</t>
  </si>
  <si>
    <t>MacGregor-Fors, Ian; Morales-Perez, Lorena; Quesada, Javier; Schondube, Jorge E.</t>
  </si>
  <si>
    <t>House Sparrow; Exotic species; Human-altered ecosystems; Urban ecology; Bird communities; Biodiversity</t>
  </si>
  <si>
    <t>LAND-USE; URBAN; SIZE; VEGETATION; PLANT; URBANIZATION; BIODIVERSITY; ECOSYSTEMS; COMPONENT; GRADIENT</t>
  </si>
  <si>
    <t>Invasive exotic species pose an important threat to biodiversity worldwide. However, there is little information on the effects that specific exotic bird species have on native biota. The House Sparrow is an excellent ecological model to evaluate the effect that an invasive exotic species has on native bird communities. Our study describes the relationship of the presence and abundance of House Sparrows with the structure, diversity, and composition of native bird communities in West Mexico. We used two approaches to compare House Sparrow invaded and non-invaded bird communities: (1) at a small geographic-scale that allowed us to evaluate shifts in avian communities with presence of the House Sparrow under similar environmental conditions; and (2) at the landscape-level to evaluate the effect of this species under a scenario of greater environmental heterogeneity. Results from both approaches show that areas invaded by House Sparrows have heavily-dominated avian communities with low species richness, while non-invaded areas exhibit highly-even and species-rich bird communities. Species turnover analysis indicates that the decrease in the number of bird species in House Sparrow invaded areas is caused by species loss, rather than a shift in species composition. Our results indicate that the invasion of an area by the House Sparrow, through synergistic interactions with human activities, determines the composition, structure, and diversity of native bird communities.</t>
  </si>
  <si>
    <t>[MacGregor-Fors, Ian; Morales-Perez, Lorena; Quesada, Javier; Schondube, Jorge E.] Univ Nacl Autonoma Mexico, Ctr Invest Ecosistemas, Morelia 58190, Michoacan, Mexico; [Quesada, Javier] Museu Ciencies Nat Ciutadella, Inst Catala Ornitol, Barcelona 08003, Spain</t>
  </si>
  <si>
    <t>Universidad Nacional Autonoma de Mexico; Museu de Ciencies Naturals de Barcelona</t>
  </si>
  <si>
    <t>MacGregor-Fors, I (corresponding author), Univ Nacl Autonoma Mexico, Ctr Invest Ecosistemas, Campus Morelia,Apartado Postal 27-3, Morelia 58190, Michoacan, Mexico.</t>
  </si>
  <si>
    <t>ian@oikos.unam.mx</t>
  </si>
  <si>
    <t>Schondube, Jorge/C-6369-2011; MacGregor-Fors, Ian/P-1455-2014; Quesada, Javier/H-3152-2015</t>
  </si>
  <si>
    <t>MacGregor-Fors, Ian/0000-0003-3198-7322; Quesada, Javier/0000-0002-6010-8473</t>
  </si>
  <si>
    <t>Megaproyecto: Manejo de Ecosistemas y Desarrollo Humano-Universidad Nacional Autonoma de Mexico [SDEI-PTID-02]; PAPIIT [IN228007-3]; Universidad Nacional Autonoma de Mexico; CONACYT [203142]; Secretaria de Relaciones Exteriores de Mexico; Academy of Finland (AKA) [203142] Funding Source: Academy of Finland (AKA)</t>
  </si>
  <si>
    <t>Megaproyecto: Manejo de Ecosistemas y Desarrollo Humano-Universidad Nacional Autonoma de Mexico; PAPIIT(Programa de Apoyo a Proyectos de Investigacion e Innovacion Tecnologica (PAPIIT)); Universidad Nacional Autonoma de Mexico(Universidad Nacional Autonoma de Mexico); CONACYT(Consejo Nacional de Ciencia y Tecnologia (CONACyT)); Secretaria de Relaciones Exteriores de Mexico; Academy of Finland (AKA)(Research Council of Finland)</t>
  </si>
  <si>
    <t>We thank Carlos A. Chavez-Zichinelli, Monica V. Orduna, and Nubia Medina for assistance in the field. Dr Katherine Renton, Dr Po and two anonymous reviewers greatly enriched the structure and content of our manuscript. Research funds were granted to J.E.S. by the Megaproyecto: Manejo de Ecosistemas y Desarrollo Humano-Universidad Nacional Autonoma de Mexico (SDEI-PTID-02), and PAPIIT Project (IN228007-3). I. M-F., as part of the Posgrado en Ciencias Biologicas of the Universidad Nacional Autonoma de Mexico, received a Master's scholarship from CONACYT (203142) for his Master's Degree project (203142). J.Q. was supported by a Grant for Foreign Researchers from the Secretaria de Relaciones Exteriores de Mexico.</t>
  </si>
  <si>
    <t>10.1007/s10530-009-9432-5</t>
  </si>
  <si>
    <t>533TJ</t>
  </si>
  <si>
    <t>WOS:000272847900008</t>
  </si>
  <si>
    <t>Mealor, BA; Hild, AL; Shaw, NL</t>
  </si>
  <si>
    <t>WESTERN NORTH AMERICAN NATURALIST</t>
  </si>
  <si>
    <t>native grasses; invasive plants; diversity; ISSR; Acroptilon repens; Cardaria draba; Achnatherum hymenoides; Hesperostipa comata; Sporobolus airoides; Poa secunda</t>
  </si>
  <si>
    <t>SEQUENCE REPEAT ISSR; CENTAUREA REPENS; EVOLUTION; POPULATIONS; DIFFERENTIATION; AMPLIFICATION; INVASIBILITY; PATTERNS; HISTORY; BIOLOGY</t>
  </si>
  <si>
    <t>Many studies have assessed genetic changes in exotic plant species in their native and introduced ranges, but none have focused on genetic variation in native plant species in response to exotic invasion. We examine characteristics of native plant communities within and outside old (&gt;25 year) invasions of Acroptilon repens (Russian knapweed) and Cardaria draba (hoary cress). We also document genetic variability of 4 native grass populations (Hesperostipa comata [needle and thread], Achnatherun lujmenoides [Indian ricegrass], Sporobolus airoides [alkali sacaton], and Poa secunda [Sandberg bluegrass]) front 2 areas: adjacent to and within weed invasions. Native plant species richness and diversity did not differ between invaded and noninvaded areas. Inter-simple sequence repeat (ISSR) analysis of individual native perennial grasses of each of the 4 species suggests that populations exposed to long-term coexistence with exotics may differ front adjacent noninvaded populations. We suggest that future research efforts should focus on intraspecific diversity of native plant species to identify possible candidates for restoration following weed control.</t>
  </si>
  <si>
    <t>Univ Wyoming, Dept Renewable Resources, Laramie, WY 82071 USA; USDA, Forest Serv, Rocky Mt Res Stn, Boise, ID 83702 USA</t>
  </si>
  <si>
    <t>University of Wyoming; United States Department of Agriculture (USDA); United States Forest Service</t>
  </si>
  <si>
    <t>Mealor, BA (corresponding author), Univ Wyoming, Dept Renewable Resources, Box 3354, Laramie, WY 82071 USA.</t>
  </si>
  <si>
    <t>BRIGHAM YOUNG UNIV</t>
  </si>
  <si>
    <t>PROVO</t>
  </si>
  <si>
    <t>290 LIFE SCIENCE MUSEUM, PROVO, UT 84602 USA</t>
  </si>
  <si>
    <t>1527-0904</t>
  </si>
  <si>
    <t>WEST N AM NATURALIST</t>
  </si>
  <si>
    <t>West. North Am. Naturalist</t>
  </si>
  <si>
    <t>868ZU</t>
  </si>
  <si>
    <t>WOS:000224952700011</t>
  </si>
  <si>
    <t>Rout, ME; Chrzanowski, TH; Smith, WK; Gough, L</t>
  </si>
  <si>
    <t>Rout, Marnie E.; Chrzanowski, Thomas H.; Smith, William K.; Gough, Laura</t>
  </si>
  <si>
    <t>Clonal growth; Ecological impact; Invasion ecology; Leachate; Schizachyrium scoparium; Sorghum halepense</t>
  </si>
  <si>
    <t>SORGOLEONE; PLANTS; PHYTOTOXICITY; BIOSYNTHESIS; COMPETITION; INHIBITOR; GENES</t>
  </si>
  <si>
    <t>Invasive plants frequently have competitive advantages over native species. These advantages have been characterized in systems in which the invading species has already become well established. Surprisingly, invader impacts on native communities currently undergoing invasion are lacking from most ecological studies. In this work we document and quantify shifting patterns in plant community structure in a native ecosystem (remnant tallgrass prairie) undergoing invasion by the invasive exotic Sorghum halepense (Johnsongrass). Further, we use manipulative field and greenhouse studies to quantify impacts of potential allelochemicals contained in whole-plant S. halepense leachates on growth of the dominant native grass, Schizachyrium scoparium (Little Bluestem), and tested the inhibitory effects of the potential soil legacy of S. halepense on the native grass in the greenhouse. Plant diversity indices revealed three distinct plant communities within the remnant prairie: a native community, a densely S. halepense invaded area, and a transitional zone between the two. Dominance of the native grass, determined by relative percent cover, significantly declined with increased S. halepense invasion via rhizomatous growth. Annual global positioning system monitoring of the S. halepense invasion front was used to quantify advancement into native prairie, documented at an average rate of 0.45 m year(-1). In the manipulative field and greenhouse studies, native S. scoparium treated with invasive S. halepense leachate had significantly less biomass and fewer inflorescences than control plants. These findings indicate the prolific clonal growth in conjunction with the plant chemistry of S. halepense play a significant role in displacement of the native grass.</t>
  </si>
  <si>
    <t>[Rout, Marnie E.; Chrzanowski, Thomas H.; Gough, Laura] Univ Texas Arlington, Dept Biol, Arlington, TX 76019 USA; [Smith, William K.] Univ Montana, Numer Terradynam Simulat Grp, Missoula, MT 59812 USA</t>
  </si>
  <si>
    <t>University of Texas System; University of Texas Arlington; University of Montana System; University of Montana</t>
  </si>
  <si>
    <t>Rout, ME (corresponding author), ARS, Ft Keogh Livestock &amp; Range Res Lab, USDA, Miles City, MT 59301 USA.</t>
  </si>
  <si>
    <t>marnie.rout@mso.umt.edu</t>
  </si>
  <si>
    <t>Smith, William/HLW-4325-2023</t>
  </si>
  <si>
    <t>Smith, William/0000-0002-5785-6489</t>
  </si>
  <si>
    <t>National Science Foundation [0137832]</t>
  </si>
  <si>
    <t>We thank Suzanne Tuttle and Rob Denkhaus of the FWNC&amp;R for their cooperation, assistance and access to field locations. We thank Rima Lucardi, Jeff Knight, and Elizabeth Ramsey for their assistance in the field, with special thanks to Amie Treuer-Kuehn for assistance with statistical analyses and field collections. Thanks to Ray Callaway for editorial coments on an earlier version of this manuscript. Partial funding was provided by the National Science Foundation (Grant 0137832 to LG).</t>
  </si>
  <si>
    <t>10.1007/s10530-012-0289-7</t>
  </si>
  <si>
    <t>063VQ</t>
  </si>
  <si>
    <t>WOS:000313030500010</t>
  </si>
  <si>
    <t>Tang, YY; Warren, RJ ; Kramer, TD; Bradford, MA</t>
  </si>
  <si>
    <t>Tang, Yaya; Warren, Robert J., II; Kramer, Timothy D.; Bradford, Mark A.</t>
  </si>
  <si>
    <t>Enemy release; Invertebrate; Japanese stiltgrass; Microstegium vimineum; Nepalese browntop; Food webs; Arthropods; Diversity</t>
  </si>
  <si>
    <t>MICROSTEGIUM-VIMINEUM; FOOD-WEB; STABLE-ISOTOPES; SHADE-TOLERANT; C-4 GRASS; ASSEMBLAGES; DYNAMICS; LANDSCAPE; RESPONSES; FORESTS</t>
  </si>
  <si>
    <t>Exotic plant invasion not only changes native plant communities, it also alters associated arthropod community diversity and structure. These impacts often are contradictory and context-specific by study location. M. vimineum is an Asian grass currently invading the eastern United States that generally escapes herbivory. The invasion impacts on arthropod communities are mixed, and the effects on arthropod food webs are largely unknown. Because M. vimineum has a unique delta C-13 value, its carbon flow can be resolved from native plants in recipient food webs. We investigate arthropod communities at M. vimineum-invaded sites along a 100-km geographic and environmental gradient in the southeastern U.S. We investigate M. vimineum impacts on arthropod abundance and diversity, how M. vimineum-derived carbon contributes to arthropod biomass and how environmental variation modifies invasion effects on arthropod communities. We find that M. vimineum invasion corresponds with increased arthropod diversity and abundance, but reduced evenness. Herbivore damage to leaves is equivalent between native species and M. vimineum, but the type of herbivore damage is not the same between the native and invader plants. We also find that herbivores derive 37 % of their biomass-carbon from the exotic plant but predators almost none (4 %). Detritivores derive exotic carbon (9 %) proportional to M. vimineum in the litter layer. Whereas exotic plant impacts on arthropod communities often seem idiosyncratic by site, we find no context-dependent invasion effects of M. vimineum by study location. The consistency suggests that the impacts may be broadly generalizable, at least within well-established parts of the invasion range.</t>
  </si>
  <si>
    <t>[Tang, Yaya; Warren, Robert J., II; Kramer, Timothy D.; Bradford, Mark A.] Yale Univ, Sch Forestry &amp; Environm Studies, New Haven, CT 06511 USA</t>
  </si>
  <si>
    <t>Yale University</t>
  </si>
  <si>
    <t>Warren, RJ (corresponding author), Yale Univ, Sch Forestry &amp; Environm Studies, New Haven, CT 06511 USA.</t>
  </si>
  <si>
    <t>hexastylis@gmail.com</t>
  </si>
  <si>
    <t>Bradford, Mark/G-3850-2012</t>
  </si>
  <si>
    <t>Bradford, Mark/0000-0002-2022-8331; Warren II, Robert/0000-0001-6765-2351</t>
  </si>
  <si>
    <t>National Science Foundation [DEB-0823293, DEB-0218001]</t>
  </si>
  <si>
    <t>This research was supported by National Science Foundation grants DEB-0823293 and DEB-0218001 to the Coweeta LTER Program. We thank staff and administrators of the Coweeta Hydrological Laboratory, Lake Russell Management Area of Chattahoochee National Forest, Whitehall Forest and Land Trust for the Little Tennessee for access to the properties and for logistical support. We thank Travis Belote and two anonymous reviewers for helpful suggestions on the manuscript.</t>
  </si>
  <si>
    <t>10.1007/s10530-012-0258-1</t>
  </si>
  <si>
    <t>028ZM</t>
  </si>
  <si>
    <t>WOS:000310464500014</t>
  </si>
  <si>
    <t>Simao, MCM; Flory, SL; Rudgers, JA</t>
  </si>
  <si>
    <t>Simao, M. Carolina M.; Flory, S. Luke; Rudgers, Jennifer A.</t>
  </si>
  <si>
    <t>MICROSTEGIUM-VIMINEUM; COMMUNITY STRUCTURE; LITTER DECOMPOSITION; EXPERIMENTAL TESTS; INSECT ABUNDANCE; DIVERSITY; ASSEMBLAGES; BIODIVERSITY; REMOVAL; IMPACT</t>
  </si>
  <si>
    <t>Plant invasions are known to have negative impacts on native plant communities, yet their influence on higher trophic levels has not been well documented. Past studies investigating the effects of invasive plants on herbivores and carnivores have been largely observational in nature and thus lack the ability to tease apart whether differences are a cause or consequence of the invasion. In addition, understanding how plant traits and plant species compositions change in invaded habitats may increase our ability to predict when and where invasive plants will have effects that cascade to animals. To assess effects on arthropods, we experimentally introduced a non-native plant (Microstegium vimineum, Japanese stiltgrass) in a community re-assembly experiment. We also investigated possible mechanisms through which the invader could affect associated arthropods, including changes in native plant species richness, above-ground plant biomass, light availability and vegetation height. In experimentally invaded plots, arthropod abundance was reduced by 39%, and species richness declined by 19%. Carnivores experienced greater reductions in abundance than herbivores (61% vs 31% reduction). Arthropod composition significantly diverged between experimentally invaded and control plots, and particular species belonging to the abundant families Aphididae (aphids), Formicidae (ants) and Phalacridae (shining flower beetles) contributed the most to compositional differences. Among the mechanisms we investigated, only the reduction in native plant species richness caused by invasion was strongly correlated with total arthropod abundance and richness. In sum, our results demonstrate negative impacts of M. vimineum invasion on higher trophic levels and suggest that these effects occur, in part, indirectly through invader-mediated reductions in the richness of the native plant community. The particularly strong response of carnivores suggests that plant invasion could reduce top-down control of herbivorous species for native plants.</t>
  </si>
  <si>
    <t>[Simao, M. Carolina M.; Rudgers, Jennifer A.] Rice Univ, Dept Ecol &amp; Evolutionary Biol, Houston, TX 77005 USA; [Flory, S. Luke] Indiana Univ, Dept Biol, Bloomington, IN 47405 USA</t>
  </si>
  <si>
    <t>Rice University; Indiana University System; Indiana University Bloomington</t>
  </si>
  <si>
    <t>Simao, MCM (corresponding author), Rice Univ, Dept Ecol &amp; Evolutionary Biol, Houston, TX 77005 USA.</t>
  </si>
  <si>
    <t>carolina.m.simao@gmail.com</t>
  </si>
  <si>
    <t>USDA Forest Service Hoosier National Forest; Nature Conservancy; Godwin Professorship of Natural Science at Rice Univ.</t>
  </si>
  <si>
    <t>USDA Forest Service Hoosier National Forest(United States Department of Agriculture (USDA)United States Forest Service); Nature Conservancy; Godwin Professorship of Natural Science at Rice Univ.</t>
  </si>
  <si>
    <t>The authors would like to thank: A. Cady, S. Chamberlain, C. Dietritch, C. Favret, L. Liu, S. Menke and A. Savage, and for their help in processing and/or identifying arthropods, E. Chaneton, N. M. Haddad and A. Moles for constructive comments on the text, the Rice Undergraduate Honors Research in Ecology and Evolutionary Biology class of 2009 for useful discussion, and the USDA Forest Service Hoosier National Forest, The Nature Conservancy, and the Godwin Professorship of Natural Science at Rice Univ. for funding.</t>
  </si>
  <si>
    <t>10.1111/j.1600-0706.2010.18382.x</t>
  </si>
  <si>
    <t>650FD</t>
  </si>
  <si>
    <t>WOS:000281833700003</t>
  </si>
  <si>
    <t>Shackleton, CM</t>
  </si>
  <si>
    <t>BIODIVERSITY CONSERVATION; DISTURBANCE GRADIENT; SPECIES RICHNESS; NATIONAL-PARK; FOREST; EXTRACTION; MANAGEMENT; ABUNDANCE; WOODLANDS; IMPACT</t>
  </si>
  <si>
    <t>Patterns of higher plant species richness and beta diversity were assessed using standard Modified-Whittaker plots in relation to landuse, slope position and mean annual rainfall across a rainfall gradient in the savanna areas of the Bushbuckridge lowveld, South Africa. In particular, comparison of communal areas with adjacent protected areas was important in showing the impacts of potential changes in landuse within an overarching catchment management plan. Although most of the protected areas considered preservation of biodiversity as their primary goal, they were characterised by significantly fewer plant species than the adjacent, highly utilised, communal lands, at both the plot and point scale. Slope position also had a significant effect on plant species richness, with eutrophic bottomlands having c. 30% more species than the dystrophic toplands. This adds weight to the need for greater public awareness for the judicious use and management of the sensitive bottomlands, which fringe the primary drainage lines that are vital for sustained supplies of good quality surface water in this semi-arid environment. The total number of species increased with increasing mean annual rainfall across the rainfall gradient. This suggests that, if the catchment management plan aims to identify additional areas for conservation, the higher rainfall areas should be the first to be assessed. Species turnover was greater along the rainfall gradient than the catenal gradient between toplands and bottomlands. (C) 2000 Elsevier Science ltd. All rights reserved.</t>
  </si>
  <si>
    <t>Univ Witwatersrand, Ctr African Ecol, ZA-2050 Wits, South Africa</t>
  </si>
  <si>
    <t>University of Witwatersrand</t>
  </si>
  <si>
    <t>Shackleton, CM (corresponding author), CSIR, POB 395, ZA-0001 Pretoria, South Africa.</t>
  </si>
  <si>
    <t>Shackleton, Charlie/F-4177-2014</t>
  </si>
  <si>
    <t>Shackleton, Charlie/0000-0002-8489-6136</t>
  </si>
  <si>
    <t>10.1016/S0006-3207(00)00001-X</t>
  </si>
  <si>
    <t>317GX</t>
  </si>
  <si>
    <t>WOS:000087218600002</t>
  </si>
  <si>
    <t>Henderson, DC; Naeth, MA</t>
  </si>
  <si>
    <t>Agropyron cristatum; Agropyron desertorum; alpha and beta diversity; grassland; production; seed bank; soil organic matter</t>
  </si>
  <si>
    <t>AGROPYRON-CRISTATUM; NATIVE PRAIRIE; ALIEN PLANT; SEED BANKS; RUSSIAN WILDRYE; ORGANIC-MATTER; SOIL; VEGETATION; CARBON; REVEGETATION</t>
  </si>
  <si>
    <t>Most of North America's northern Great Plains have been cultivated for crop production, leaving remnants of natural mixed-grass prairie fragmented and threatened by alien plant invasions. The region's most widespread alien perennial forage crop, crested wheatgrass (Agropyron cristatum sensu amplo), has invaded native grassland and raised concerns regarding its ecological impact. To evaluate impacts at multiple scales of organization, adjacent invaded and uninvaded mixed-grass prairie were sampled at eight widely separated locations. At the population level, native C-3 mid-grasses and forbs were less abundant in invaded grasslands, while native C-3 and C-4 short-grass abundance was not different. At community and landscape levels, diversity was lower in invaded grasslands largely because of lower forb species richness and cover, and crested wheatgrass dominance of both cover (14% basal cover) and seed-bank (404 seeds m(-2)). At the ecosystem level, both vegetation and litter biomass were greater in invaded grasslands, however, below ground organic matter (roots and litter), soil organic carbon, total nitrogen and phosphorus were not different. Crested wheatgrass invasion of mixed-grass prairie was associated with lower diversity within and among plant communities, and appears to simplify the composition of mixed-grass prairie landscapes. Hypotheses for crested wheatgrass dominance and persistence following invasion are suggested.</t>
  </si>
  <si>
    <t>Univ Alberta, Dept Renewable Resources, Edmonton, AB T6G 2H1, Canada</t>
  </si>
  <si>
    <t>University of Alberta</t>
  </si>
  <si>
    <t>Henderson, DC (corresponding author), Univ Alberta, Dept Renewable Resources, Edmonton, AB T6G 2H1, Canada.</t>
  </si>
  <si>
    <t>darcy.henderson@ualberta.ca</t>
  </si>
  <si>
    <t>Naeth, M Anne/0000-0002-9147-1638</t>
  </si>
  <si>
    <t>10.1007/s10530-004-6669-x</t>
  </si>
  <si>
    <t>963KZ</t>
  </si>
  <si>
    <t>WOS:000231804500009</t>
  </si>
  <si>
    <t>Edwards, IP; Cripliver, JL; Gillespie, AR; Johnsen, KH; Scholler, M; Turco, RF</t>
  </si>
  <si>
    <t>NEW PHYTOLOGIST</t>
  </si>
  <si>
    <t>Basidiomycete; loblolly pine (Pinus taeda); TRFLP; optimal nutrition; diversity; succession; Thelephora terrestris; Tylopilus</t>
  </si>
  <si>
    <t>NORWAY SPRUCE STAND; ECTOMYCORRHIZAL FUNGI; NUTRIENT AVAILABILITY; GENETIC DIVERSITY; IDENTIFICATION; LITTER; CARBON; SOIL; DIFFERENTIATION; POLYMORPHISM</t>
  </si>
  <si>
    <t>We investigated the effect of an optimal nutrition strategy designed to maximize loblolly pine (Pinus taeda) growth on the rank abundance structure and diversity of associated basidiomycete communities. We conducted both small- and large-scale below-ground surveys 10 years after the initiation of optimal nutrition, and used TRFLP of selectively PCR-amplified nrDNA ITS to determine the distribution and abundance of macrofungal basidiomycete species in c. 200 soil samples collected from optimally fertilized and unfertilized treatments at the SETRES loblolly pine experimental site, North Carolina, USA. Our results indicated an increased relative abundance of Tylopilus and Thelephora spp. on optimally fertilized stands. Our results also suggested improved mycelial growth of several species, possibly caused by increased connectivity in the forest floor as a result of increased plant growth. In addition, our results suggest a trend towards reduced basidiomycete diversity, and that large-scale application of optimal nutrition may need to be sensitive to increased nitrate availability.</t>
  </si>
  <si>
    <t>Purdue Univ, Dept Agron, W Lafayette, IN 47907 USA; Purdue Univ, Dept Forestry &amp; Nat Resources, W Lafayette, IN 47907 USA; US Forest Serv, USDA, So Res Stn, Forestry Sci Lab, Res Triangle Pk, NC 27709 USA; Staatliches Museum Nat Kunde, D-76133 Karlsruhe, Germany</t>
  </si>
  <si>
    <t>Purdue University System; Purdue University; Purdue University System; Purdue University; United States Department of Agriculture (USDA); United States Forest Service</t>
  </si>
  <si>
    <t>Edwards, IP (corresponding author), Swiss Fed Inst Technol, Inst Terr Ecol, Grabenstr 3, CH-8952 Schlieren, Switzerland.</t>
  </si>
  <si>
    <t>ivan.edwards@env.ethz.ch</t>
  </si>
  <si>
    <t>Turco, Ronald/B-8739-2008</t>
  </si>
  <si>
    <t>Turco, Ronald/0000-0002-1794-1486</t>
  </si>
  <si>
    <t>0028-646X</t>
  </si>
  <si>
    <t>1469-8137</t>
  </si>
  <si>
    <t>NEW PHYTOL</t>
  </si>
  <si>
    <t>New Phytol.</t>
  </si>
  <si>
    <t>10.1111/j.1469-8137.2004.01074.x</t>
  </si>
  <si>
    <t>827PS</t>
  </si>
  <si>
    <t>WOS:000221913500017</t>
  </si>
  <si>
    <t>Watling, JI; Hickman, CR; Orrock, JL</t>
  </si>
  <si>
    <t>Watling, James I.; Hickman, Caleb R.; Orrock, John L.</t>
  </si>
  <si>
    <t>Amphibians; Habitat; Invasive plant; Lonicera maackii; Microclimate; Litho bates clamitans</t>
  </si>
  <si>
    <t>EXOTIC PLANT INVASIONS; LONICERA-MAACKII; ECOSYSTEM ENGINEERS; PERFORMANCE; ECOLOGY; HABITAT; SALAMANDERS; ABUNDANCE; RESPONSES; BEHAVIOR</t>
  </si>
  <si>
    <t>Although invasive plants can have transformative effects on native plant communities, studies of the consequences of plant invasion for native fauna are generally restricted to primary consumers. Here we investigate whether an invasive shrub, Lonicera maackii, impacts native amphibians and evaluate evidence for the role of invasive plant-induced alteration of forest understory microclimate as a mechanism driving amphibian responses to L maackii invasion. We sampled amphibian communities in forest plots with high or low density of L. maackii, and monitored microclimate (temperature and humidity at ground level) in the same forest plots. Amphibian species richness and evenness were lower in invaded plots. Invasion also resulted in shifts in amphibian species composition. Mean daily maximum temperature and mean daily temperature were lower in invaded plots, and counts of the Green frog Litho bates clamitans were marginally negatively related to mean daily temperature. Our work illustrates how an invasive ecosystem engineer may affect native organisms with which it shares no trophic connection, and suggests that changes in microclimate may be one mechanism by which alien plants affect communities where they invade. (C) 2011 Elsevier Ltd. All rights reserved.</t>
  </si>
  <si>
    <t>[Watling, James I.] Washington Univ, St Louis, MO 63130 USA; [Hickman, Caleb R.; Orrock, John L.] Univ Wisconsin, Dept Zool, Madison, WI 53706 USA</t>
  </si>
  <si>
    <t>Washington University (WUSTL); University of Wisconsin System; University of Wisconsin Madison</t>
  </si>
  <si>
    <t>Watling, JI (corresponding author), Univ Florida, Ft Lauderdale Res &amp; Educ Ctr, 3205 Coll Ave, Ft Lauderdale, FL 33314 USA.</t>
  </si>
  <si>
    <t>watlingj@ufl.edu</t>
  </si>
  <si>
    <t>Hickman, Caleb/0000-0003-1229-6331</t>
  </si>
  <si>
    <t>Washington University</t>
  </si>
  <si>
    <t>We thank M. Kim, E. Lee and K. Wang for assistance in the field, and the SURF Program at Washington University for providing partial support for E. Lee and K. Wang. We appreciate the support for our work provided by J. Vogel and L Bollmann at the Busch Conservation Area. M. Craig, A. Duval, M. Melnechuk, K. Powell, M. Schuler and three anonymous reviewers provided helpful suggestions on the manuscript.</t>
  </si>
  <si>
    <t>10.1016/j.biocon.2011.07.005</t>
  </si>
  <si>
    <t>827QL</t>
  </si>
  <si>
    <t>WOS:000295442900006</t>
  </si>
  <si>
    <t>Britton, AJ; Fisher, JM</t>
  </si>
  <si>
    <t>Britton, A. J.; Fisher, J. M.</t>
  </si>
  <si>
    <t>community composition; critical loads; fire; grazing; lichens; montane heathland; N pollution</t>
  </si>
  <si>
    <t>FROST HARDINESS; L HULL; VEGETATION; IMPACTS; RESPONSES; FERTILIZATION; PRODUCTIVITY; COMMUNITIES; BRYOPHYTES; MANAGEMENT</t>
  </si>
  <si>
    <t>1. Low-alpine heathlands world-wide have high biodiversity value but are increasingly impacted by the effects of nitrogen deposition as well as fire and grazing. We conducted a 5-year fertilization experiment to examine the interactive effects of these three factors on vegetation diversity and species composition. 2. Factorial combinations of nitrogen addition (0, 10, 20 and 50 kg N ha(-1) year(-1)), burning (burned once or not burned) and grazing (annual clipping, 0% or 12% of current year shoots removed) were applied to internationally important prostrate Calluna-Cladonia heathland in the Cairngorm Mountains, Scotland. Species diversity (higher plants, mosses and lichens) and percentage cover were recorded annually. 3. Fire had a large effect on vegetation diversity and composition, but both were quick to recover. Species richness recovered within 4 years and vegetation composition was predicted to recover within 7 years. Vegetation composition appeared resilient to the effects of disturbance and there was little invasion by graminoids. 4. Nitrogen deposition interacted with fire. Burned plots showed no significant effect of nitrogen treatment on species diversity, while the diversity of unburned plots was significantly reduced only 1 year after treatment with 50 kg N ha(-1) year(-1). After 5 years, significant diversity reductions were seen in the 10 kg N ha(-1) year(-1) treatment. Impacts of nitrogen on species richness were primarily through reductions in lichen diversity. 5. Severe winter browning of Calluna vulgaris in plots receiving 50 kg N ha(-1) year(-1) followed early snowfall in 2002-03. This interaction affected only Calluna vulgaris and may have the potential to trigger species composition changes by reducing the dominance of this species. 6. Synthesis and applications. Although resilient to small-scale fires, species richness of low-alpine heaths is reduced by exposure to low levels of nitrogen deposition (background + 10 kg N ha(-1) year(-1)). The lichen component of the vegetation is most sensitive to additional nitrogen, although higher plants can be affected via interactions with climate. These data support the current critical load of nitrogen for this community of 5-15 kg N ha(-1) year(-1) and suggest that lichen diversity could be a useful indicator of nitrogen deposition impacts in alpine habitats. Effective conservation of biodiversity in low-alpine heathland will require action at national and international levels to reduce nitrogen deposition in the many areas where the critical load is currently exceeded.</t>
  </si>
  <si>
    <t>Macaulay Land Use Res Inst, Aberdeen AB15 8QH, Scotland</t>
  </si>
  <si>
    <t>James Hutton Institute</t>
  </si>
  <si>
    <t>Britton, AJ (corresponding author), Macaulay Land Use Res Inst, Aberdeen AB15 8QH, Scotland.</t>
  </si>
  <si>
    <t>a.britton@macaulay.ac.uk</t>
  </si>
  <si>
    <t>Britton, Anea/E-7568-2013</t>
  </si>
  <si>
    <t>Britton, Anea/0000-0002-0603-7432</t>
  </si>
  <si>
    <t>10.1111/j.1365-2664.2006.01251.x</t>
  </si>
  <si>
    <t>119PG</t>
  </si>
  <si>
    <t>WOS:000243023600014</t>
  </si>
  <si>
    <t>Reed, T; Wielgus, SJ; Barnes, AK; Schiefelbein, JJ; Fettes, AL</t>
  </si>
  <si>
    <t>Refugia and local controls: Benthic invertebrate dynamics in Lower Green Bay, Lake Michigan following zebra mussel invasion</t>
  </si>
  <si>
    <t>JOURNAL OF GREAT LAKES RESEARCH</t>
  </si>
  <si>
    <t>zebra mussel; benthic invertebrate; Green Bay</t>
  </si>
  <si>
    <t>DREISSENA-POLYMORPHA INVASION; ONTARIO FOLLOWING INVASION; MACROINVERTEBRATE COMMUNITIES; YELLOW PERCH; COMPLEXITY; MECHANISMS; RESPONSES; HABITAT; FISH</t>
  </si>
  <si>
    <t>In many aquatic ecosystems benthic invertebrate abundance has increased following zebra mussel (Dreissena polymorpha) invasion. We examine the impact of zebra mussel density on the abundance and distribution of benthic invertebrates and postulate refuge from predation as a mechanism for the increases we found in some taxa. Benthic invertebrates in zebra mussel druses and in adjacent sediment samples were surveyed at sites in six locations representing various trophic conditions in lower Green Bay. Mean invertebrate density and taxa richness were significantly higher in the druses than in the adjacent sediment. Species diversity in the druses was inversely correlated to turbidity over the study area. Sediment samples were dominated by oligochaetes and chironomids. Amphipods were the most abundant taxa in most, but not all, of the druse samples. Other taxa present included leeches, hydra, mayflies, and caddisflies. The effectiveness of druses as refuge from predation for amphipods was investigated under laboratory conditions with various predators (perch, round goby, and rusty crayfish). In mesocosms, predation losses averaged 75% lower where zebra mussels were present. In the absence of mussels, predation loss to perch and round goby was 100% and 66% to crayfish. We conclude that the increased abundance of other invertebrates in druses in lower Green Bay may be due to increased refugia, however the assemblage composition at any given site varies with local conditions.</t>
  </si>
  <si>
    <t>Univ Wisconsin, Dept Nat &amp; Appl Sci, Green Bay, WI 54311 USA; Integrated Paper Serv Inc, Appleton, WI 54912 USA</t>
  </si>
  <si>
    <t>University of Wisconsin System</t>
  </si>
  <si>
    <t>Reed, T (corresponding author), Univ Wisconsin, Dept Nat &amp; Appl Sci, Green Bay, WI 54311 USA.</t>
  </si>
  <si>
    <t>reedt@uwgb.edu</t>
  </si>
  <si>
    <t>INT ASSOC GREAT LAKES RES</t>
  </si>
  <si>
    <t>ANN ARBOR</t>
  </si>
  <si>
    <t>2205 COMMONWEALTH BLVD, ANN ARBOR, MI 48105 USA</t>
  </si>
  <si>
    <t>0380-1330</t>
  </si>
  <si>
    <t>J GREAT LAKES RES</t>
  </si>
  <si>
    <t>J. Gt. Lakes Res.</t>
  </si>
  <si>
    <t>10.1016/S0380-1330(04)70356-1</t>
  </si>
  <si>
    <t>862BB</t>
  </si>
  <si>
    <t>WOS:000224463400005</t>
  </si>
  <si>
    <t>Douglas, MM; O'Connor, RA</t>
  </si>
  <si>
    <t>FRESHWATER BIOLOGY</t>
  </si>
  <si>
    <t>Australia; invasion; macroinvertebrate; weed; wetland</t>
  </si>
  <si>
    <t>TROPHIC RELATIONSHIPS; AQUATIC MACROPHYTES; COMMUNITY STRUCTURE; LOWLAND STREAM; INVERTEBRATES; LAKE; VEGETATION; PREY</t>
  </si>
  <si>
    <t>1. We examined the effect of the exotic macrophyte, para grass (Urochloa mutica ), on benthic and epiphytic macroinvertebrates of a tropical floodplain in northern Australia. Macroinvertebrates were sampled from four grass communities: (1) para grass, (2) hymenachne (Hymenachne acutigluma ), a native perennial; (3) rice (Oryza meridionalis ), a native annual, and (4) areas where para grass had been sprayed with herbicide. 2. Macroinvertebrate richness, abundance and community similarity showed very few differences among the grass communities, particularly in the epiphytic habitat. Benthic invertebrates showed some differences among grasses, with lower richness and abundance and different community structure associated with hymenachne. Herbicide control of para grass had no apparent effect on benthic invertebrates but reduced the abundance of epiphytic invertebrates in the short term. 3. The results of this study indicate that para grass has very little impact on macroinvertebrate communities, despite the changes to macrophyte communities. This is probably because para grass has similar physical structure to the native grasses and because none of these grasses contribute directly to aquatic food webs. Control of para grass using herbicide has little impact on aquatic invertebrates. This suggests that predicting the impact of weed invasion in wetlands requires an understanding of both the functional properties of macrophytes and the habitat preferences of the macroinvertebrates.</t>
  </si>
  <si>
    <t>No Terr Univ, Ctr Trop Wetlands Management, Darwin, NT 0909, Australia</t>
  </si>
  <si>
    <t>Charles Darwin University</t>
  </si>
  <si>
    <t>Douglas, MM (corresponding author), No Terr Univ, Ctr Trop Wetlands Management, Darwin, NT 0909, Australia.</t>
  </si>
  <si>
    <t>Douglas, Michael/I-3149-2012</t>
  </si>
  <si>
    <t>Douglas, Michael/0000-0003-3650-3374; O'Connor, Ruth/0000-0002-9583-9292</t>
  </si>
  <si>
    <t>0046-5070</t>
  </si>
  <si>
    <t>FRESHWATER BIOL</t>
  </si>
  <si>
    <t>Freshw. Biol.</t>
  </si>
  <si>
    <t>10.1046/j.1365-2427.2003.01072.x</t>
  </si>
  <si>
    <t>Ecology; Marine &amp; Freshwater Biology</t>
  </si>
  <si>
    <t>679YA</t>
  </si>
  <si>
    <t>WOS:000182948500002</t>
  </si>
  <si>
    <t>Gonzalez, A; Chaneton, EJ</t>
  </si>
  <si>
    <t>Heterotroph species extinction, abundance and biomass dynamics in an experimentally fragmented microecosystem</t>
  </si>
  <si>
    <t>corridors; ecosystem functioning; extinction debt; habitat fragmentation; microarthropods; microecosystem; moss microcosm; secondary biomass; species extinction</t>
  </si>
  <si>
    <t>HABITAT FRAGMENTATION; ECOSYSTEM FUNCTION; FOREST FRAGMENTATION; TROPHIC STRUCTURE; PLANT DIVERSITY; OLD-FIELD; FOOD WEBS; BIODIVERSITY; LANDSCAPES; COMMUNITIES</t>
  </si>
  <si>
    <t>1. Species extinction in fragmented habitats is a non-random process described by transient, rather than equilibrium dynamics. Therefore, 'static' approaches focusing on experimentally established spatial gradients of diversity may fail to capture essential aspects of ecosystem responses to species loss. 2. Here we document temporal changes in microarthropod species abundance, biomass and richness during a community disassembly trajectory following experimental habitat fragmentation of a moss-based microecosystem. 3. Habitat fragmentation reduced heterotrophic species richness and community biomass in remnant moss fragments. Extinction was biased towards rare species, and thus occurred initially without significant changes in total community abundance and biomass. Eventual reductions in abundance and biomass were found to lag behind observed declines in species richness. 4. The presence of moss-habitat corridors connecting fragments to a large 'mainland' area coupled with an immigration rescue effect maintained microarthropod richness, abundance and biomass within remnant fragments. 5. Our results indicate that both the order of species loss and the dynamics of remnant populations influence the magnitude and timing of ecosystem-level responses to habitat destruction and isolation.</t>
  </si>
  <si>
    <t>Ecole Normale Super, Lab Ecol Fonct &amp; Evolut Syst Ecol, CNRS, UMR 7625, F-75230 Paris 05, France; Univ Buenos Aires, Fac Agron, CONICET, IFEVA, RA-1417 Buenos Aires, DF, Argentina</t>
  </si>
  <si>
    <t>Universite PSL; Ecole Normale Superieure (ENS); Sorbonne Universite; Centre National de la Recherche Scientifique (CNRS); University of Buenos Aires; Consejo Nacional de Investigaciones Cientificas y Tecnicas (CONICET)</t>
  </si>
  <si>
    <t>Gonzalez, A (corresponding author), Ecole Normale Super, Lab Ecol Fonct &amp; Evolut Syst Ecol, CNRS, UMR 7625, 46 Rue Ulm, F-75230 Paris 05, France.</t>
  </si>
  <si>
    <t>Gonzalez, Anew/F-2247-2010</t>
  </si>
  <si>
    <t>Gonzalez, Anew/0000-0001-6075-8081</t>
  </si>
  <si>
    <t>10.1046/j.1365-2656.2002.00625.x</t>
  </si>
  <si>
    <t>571YC</t>
  </si>
  <si>
    <t>WOS:000176745900005</t>
  </si>
  <si>
    <t>Rantalainen, ML; Fritze, H; Haimi, J; Pennanen, T; Setälä, H</t>
  </si>
  <si>
    <t>habitat connectivity; habitat fragmentation; habitat size; isolation; microarthropods; soil fauna; soil microbes; species number; species loss</t>
  </si>
  <si>
    <t>MICROBIAL COMMUNITIES; FOREST SOILS; AREA; EXTINCTION; LANDSCAPES; INSECTS; BIOMASS; RATES; DISPERSAL; ABUNDANCE</t>
  </si>
  <si>
    <t>While most ecologists agree that the effects of fragmentation on diversity of organisms are predominantly negative and that the scale of fragmentation defines their severity, the role of habitat corridors in mitigating those effects still remains controversial. This ambiguousness rests largely on various difficulties in experimentation, a problem partially solved in the present paper by the use of easily manipulated soil communities. In this 2.5-year-long field experiment, we investigated the responses of soil decomposer organisms (from microbes to mesofaunal predators) to habitat fragment size, in the presence or absence of habitat corridors connecting the fragments. The habitat fragments and corridors, composed of forest humus soil, were embedded in mineral soil representing an uninhabitable (or nonpreferred) matrix for the decomposer organisms. The results demonstrate that soil decomposer organisms do respond to changes in their habitat size: the species richness of microarthropods (mites and collembolans) increased as the size of the fragments increased. Especially collembolan species and predatory mites proved to be sensitive to the restricted habitat size, which is suggested to be a consequence of the large proportion of rare species and small and fluctuating population sizes in these groups. Contrary to our expectations, the presence of corridors had no positive effects on species richness or abundance of any of the studied faunas, possibly because of the low quality of the corridors. On the other hand, the biomass of soil fungi increased in the presence of corridors, which apparently provided a preferred pathway for vegetative dispersal of the fungi. Our results indicate that despite their characteristic underground environment, the response of soil decomposer organisms - in particular that of microarthropods - to habitat size is not unlike to that of the larger organisms in aboveground habitats.</t>
  </si>
  <si>
    <t>Univ Helsinki, Dept Ecol &amp; Environm Res, FI-15140 Lahti, Finland; Univ Jyvaskyla, Dept Biol &amp; Environm Sci, FI-40014 Jyvaskyla, Finland; Finnish Forest Res Inst, FI-01301 Vantaa, Finland</t>
  </si>
  <si>
    <t>University of Helsinki; University of Jyvaskyla; Natural Resources Institute Finland (Luke)</t>
  </si>
  <si>
    <t>Rantalainen, ML (corresponding author), Univ Helsinki, Dept Ecol &amp; Environm Res, Niemenkatu 73, FI-15140 Lahti, Finland.</t>
  </si>
  <si>
    <t>minna-liisa.rantalainen@helsinki.fi</t>
  </si>
  <si>
    <t>; Setälä, Heikki Martti/P-7354-2015</t>
  </si>
  <si>
    <t>Haimi, Jari/0000-0003-3582-5697; Setälä, Heikki Martti/0000-0002-5230-4001</t>
  </si>
  <si>
    <t>10.1111/j.1365-2486.2005.000999.x</t>
  </si>
  <si>
    <t>971ND</t>
  </si>
  <si>
    <t>WOS:000232390200006</t>
  </si>
  <si>
    <t>Adams, SN; Engelhardt, KAM</t>
  </si>
  <si>
    <t>Adams, Sheherezade N.; Engelhardt, Katharina A. M.</t>
  </si>
  <si>
    <t>Invasion; Maryland; Native plants; Richness; Spatial scale</t>
  </si>
  <si>
    <t>NONNATIVE PLANT INVASIONS; NATIVE PLANT; SPECIES RICHNESS; C-4 GRASS; COMMUNITY STRUCTURE; DECIDUOUS FORESTS; SHADE-TOLERANT; UNITED-STATES; INVASIBILITY; BIODIVERSITY</t>
  </si>
  <si>
    <t>The spread of invasive plant species and their impacts on plant communities have received international attention as global trade and global environmental change enhance the colonization and establishment of introduced species and threaten the integrity of native ecosystems. Because introduced species vary in their impact, studying the relationship between invasion and native communities is necessary to guide allocation of finite management resources. By studying adjacent pairs of invaded and uninvaded plots across an eastern United States forested landscape, we demonstrate Microstegium vimineum was associated with local declines in species richness and cover of native species. Negative impacts of M. vimineum on species richness did not emerge until August when M. vimineum cover and height were greatest, highlighting the value of following study subjects through the growing season. In contrast, native species cover was already lower in invaded plots early in the growing season. M. vimineum invasion was not the only important driver of species richness and community composition within the study region: abiotic environmental gradients, such as soil nitrate concentration and pH, across the six study sites were also important in affecting species richness and cover, but lessened in explanatory power through the growing season. We conclude that M. vimineum has effects on community structure that may have long-term consequences for biodiversity. Studies which track sites through time and consider multiple scales are required as invaders impact multiple biotic and abiotic factors operating at different spatial and temporal scales. (C) 2009 Elsevier Ltd. All rights reserved.</t>
  </si>
  <si>
    <t>[Adams, Sheherezade N.; Engelhardt, Katharina A. M.] Univ Maryland, Ctr Environm Sci, Appalachian Lab, Frostburg, MD 21532 USA</t>
  </si>
  <si>
    <t>University System of Maryland; University of Maryland Center for Environmental Science</t>
  </si>
  <si>
    <t>Adams, SN (corresponding author), Bouverie Preserve Audubon Canyon Ranch, POB 762, Glen Ellen, CA 95442 USA.</t>
  </si>
  <si>
    <t>sherry@egret.org; engelhardt@al.umces.edu</t>
  </si>
  <si>
    <t>Engelhardt, Katharina/H-8755-2013</t>
  </si>
  <si>
    <t>The Nature Conservancy of MD/DC Biodiversity Conservation Research Fund</t>
  </si>
  <si>
    <t>This work was funded by a generous grant from The Nature Conservancy of MD/DC Biodiversity Conservation Research Fund. Thanks to the National Park Service for granting access to study sites. Thanks to Jo Anna Leachman and Calene Thomas for greenhouse assistance, to Samantha Tessel for plant identification assistance, to Katie Kline for lab assistance, to Bob Hilderbrand for statistics advice, and to Doug Samson, Richard Raesly,Todd Lookingbill, and four anonymous reviewers for helpful feedback on an earlier draft.</t>
  </si>
  <si>
    <t>10.1016/j.biocon.2009.01.009</t>
  </si>
  <si>
    <t>435IW</t>
  </si>
  <si>
    <t>WOS:000265338600008</t>
  </si>
  <si>
    <t>Strecker, AL; Arnott, SE; Yan, ND; Girard, R</t>
  </si>
  <si>
    <t>Strecker, Angela L.; Arnott, Shelley E.; Yan, Norman D.; Girard, Robert</t>
  </si>
  <si>
    <t>CANADIAN JOURNAL OF FISHERIES AND AQUATIC SCIENCES</t>
  </si>
  <si>
    <t>CANADIAN SHIELD LAKES; COMMUNITY STRUCTURE; HARP LAKE; CEDERSTROEMI; PLANKTON; DAPHNIA; ONTARIO; FISH; CHAOBORUS; EVOLUTION</t>
  </si>
  <si>
    <t>The predacious invertebrate Bythotrephes longimanus has now invaded &gt; 90 freshwater lakes in North America. There is some evidence that B. longimanus has a negative effect on summer zooplankton species richness; however, no study has examined the effect of B. longimanus throughout the ice-free season in more than one lake. We visited 10 invaded and 4 reference lakes every 2 weeks from May to September, collecting B. longimanus, crustacean zooplankton, and water chemistry samples. Composite samples were pooled across the study season for each lake. Bythotrephes longimanus significantly reduced cladoceran species richness, diversity, and abundance, and the total zooplankton community also exhibited decreased richness, diversity, and abundance. Seasonal sampling was better than synoptic surveys at detecting changes in abundance, but richness estimates were similar. As B. longimanus continues to spread across lake landscapes, we expect it will have profound impacts on local and regional richness and species distribution patterns.</t>
  </si>
  <si>
    <t>Queens Univ, Dept Biol, Kingston, ON K7L 3N6, Canada; York Univ, Dept Biol, Toronto, ON M3J 1P3, Canada; Ontario Minist Environm, Dorset Environm Sci Ctr, Dorest, ON P0A 1E0, Canada</t>
  </si>
  <si>
    <t>Queens University - Canada; York University - Canada</t>
  </si>
  <si>
    <t>Strecker, AL (corresponding author), Queens Univ, Dept Biol, Kingston, ON K7L 3N6, Canada.</t>
  </si>
  <si>
    <t>strecker@biology.queensu.ca</t>
  </si>
  <si>
    <t>Yan, Norman/H-5235-2013; Strecker, Angela/GWC-1818-2022</t>
  </si>
  <si>
    <t>Yan, Norman/0000-0003-4870-6865; Arnott, Shelley/0000-0002-3834-703X; Strecker, Angela/0000-0001-9387-1654</t>
  </si>
  <si>
    <t>NATL RESEARCH COUNCIL CANADA-N R C RESEARCH PRESS</t>
  </si>
  <si>
    <t>OTTAWA</t>
  </si>
  <si>
    <t>BUILDING M 55, OTTAWA, ON K1A 0R6, CANADA</t>
  </si>
  <si>
    <t>0706-652X</t>
  </si>
  <si>
    <t>CAN J FISH AQUAT SCI</t>
  </si>
  <si>
    <t>Can. J. Fish. Aquat. Sci.</t>
  </si>
  <si>
    <t>10.1139/F06-105</t>
  </si>
  <si>
    <t>093IP</t>
  </si>
  <si>
    <t>WOS:000241162300019</t>
  </si>
  <si>
    <t>Hillebrand, H; Worm, B; Lotze, HK</t>
  </si>
  <si>
    <t>periphyton; herbivory; species composition; nutrients; diversity</t>
  </si>
  <si>
    <t>BENTHIC MICROALGAE; NUTRIENT ENRICHMENT; LITTORINA-LITTOREA; PERIPHYTON COMMUNITIES; STREAM PERIPHYTON; SPECIES RICHNESS; ALGAL COMMUNITY; BOTTOM-UP; TOP-DOWN; DIVERSITY</t>
  </si>
  <si>
    <t>Generalisations on the combined effects of consumers and resources on autotrophs in aquatic food webs largely rely on freshwater studies. In this study, we tested these general concepts with marine benthic microalgae, which are important components of coastal food webs. We manipulated nitrogen availability and herbivore presence in a factorial field experiment in the Western Baltic Sea. Moreover, we investigated how herbivore control varied among 3 sites and 2 seasons and tested for trophic cascades by enhancing demersal fish density at 2 sites. Nitrogen availability and herbivore presence had strong and antagonistic effects on microalgal biomass, species composition and diversity. Herbivores significantly reduced algal biomass, whereas nutrient enrichment led to an increase in biomass. Herbivore effects on microalgal biomass increased with increasing nitrogen availability, indicating a functional response of herbivores to nutrient enrichment. The response of microalgae at the species level suggested a trade-off between nutrient use and grazing resistance which appeared to be Linked to algal growth form. Compared to other growth forms, large erect species were most responsive to both nitrogen loading and herbivory. Grazing reduced microalgal diversity at low nutrient supply, but enhanced it at high nutrient supply. Herbivore effects varied considerably among different sites and were stronger in spring than in summer. Manipulations of fish density during summer did not have any effects on microalgal community structure. In conclusion, our results demonstrate that herbivores and nutrients have strong and balancing effects on marine microbenthic community structure.</t>
  </si>
  <si>
    <t>Inst Meereskunde, Abt Meeresbot, D-24105 Kiel, Germany</t>
  </si>
  <si>
    <t>Hillebrand, H (corresponding author), Uppsala Univ, Erken Lab, Norr Malma 4200, S-76173 Norrtalje, Sweden.</t>
  </si>
  <si>
    <t>helmut.hillebrand@ebc.uu.se</t>
  </si>
  <si>
    <t>; Worm, Boris/ADW-9659-2022; Hillebrand, Helmut/I-1717-2014</t>
  </si>
  <si>
    <t>Lotze, Heike/0000-0001-6258-1304; Worm, Boris/0000-0002-5742-8716; Hillebrand, Helmut/0000-0001-7449-1613</t>
  </si>
  <si>
    <t>10.3354/meps204027</t>
  </si>
  <si>
    <t>365GW</t>
  </si>
  <si>
    <t>Green Accepted, Bronze</t>
  </si>
  <si>
    <t>WOS:000089943900003</t>
  </si>
  <si>
    <t>Hollebone, AL; Hay, ME</t>
  </si>
  <si>
    <t>Hollebone, Amanda L.; Hay, Mark E.</t>
  </si>
  <si>
    <t>consumer-prey interactions; invasive species; oyster reefs; Petrolisthes armatus; South Atlantic Bight</t>
  </si>
  <si>
    <t>ECOLOGY; PREY; CONSEQUENCES; EXTINCTION; PREDATOR</t>
  </si>
  <si>
    <t>Over the last decade, the non-native, filter-feeding crab Petrolisthes armatus invaded oyster reefs of the South Atlantic Bight at densities of thousands m(-2). Mesocosm and field experiments demonstrated that P. armatus at similar to 10-75% of mean summer densities: (1) suppressed growth of small oysters, biomass of benthic microalgae, and recruitment of native mud crabs, (2) enhanced oyster, mussel, and total bivalve recruitment, macroalgal cover, and survivorship of predatory oyster drills, but (3) did not affect native taxonomic richness. Laboratory feeding assays, field tethering experiments, and population changes in field and mesocosm experiments suggest that P. armatus is a preferred prey for native mud crabs and other consumers, thus relieving predation on native species and enhancing recruitment or survival of bivalves and oyster drills. In contrast, the invasive crab can consume crustacean larvae and via this feeding may suppress recruitment of native mud crabs. Our findings should be conservative given the low densities of P. armatus seeded into experimental plots and our inability to run longer-term experiments due to controls rapidly being colonized by non-native crabs recruiting from the plankton. Invasive crabs commonly impact native communities via predation, but community impacts of this invasive crab may be as much due to its role as a preferred prey of native consumers as to its predation on native prey. Given that oysters are foundation species for shallow reefs in the South Atlantic Bight, the long-term effects of this invasion could be considerable.</t>
  </si>
  <si>
    <t>[Hollebone, Amanda L.; Hay, Mark E.] Georgia Inst Technol, Sch Biol, Atlanta, GA 30332 USA</t>
  </si>
  <si>
    <t>University System of Georgia; Georgia Institute of Technology</t>
  </si>
  <si>
    <t>Hay, ME (corresponding author), Georgia Inst Technol, Sch Biol, Atlanta, GA 30332 USA.</t>
  </si>
  <si>
    <t>ahollebone@georgiasouthern.edu; mark.hay@biology.gatech.edu</t>
  </si>
  <si>
    <t>Hay, Mark/D-9752-2011</t>
  </si>
  <si>
    <t>Hay, Mark/0000-0002-6130-9349</t>
  </si>
  <si>
    <t>10.1007/s10530-007-9134-9</t>
  </si>
  <si>
    <t>263DT</t>
  </si>
  <si>
    <t>WOS:000253198500008</t>
  </si>
  <si>
    <t>Aratrakorn, S; Thunhikorn, S; Donald, PF</t>
  </si>
  <si>
    <t>Aratrakorn, Sirirak; Thunhikorn, Somying; Donald, Paul F.</t>
  </si>
  <si>
    <t>BIRD CONSERVATION INTERNATIONAL</t>
  </si>
  <si>
    <t>LAND-USE; TAPAJOS RIVER; ABUNDANCE; BIODIVERSITY; AGROFORESTS</t>
  </si>
  <si>
    <t>This paper describes changes in bird communities following the conversion of lowland forest to commercial oil palm and rubber plantations. Conversion of forest to plantations resulted in a reduction in species richness of at least 60%, with insectivores and frugivores suffering greater losses than more omnivorous species. Of the 128 species recorded across all habitats, 84% were recorded in forest, and 60% were recorded only in that habitat. Of the 16 Globally Threatened or Near-Threatened species recorded in the study, 15 were recorded only in forest. Species occurring in plantations were significantly more widespread in Thailand than species recorded only in forests and had a tendency towards smaller body size. Species richness in plantations was unaffected by plantation age or distance from nearest forest edge, but was significantly greater where undergrowth was allowed to regenerate beneath the crop trees. Bird communities in oil palm and rubber plantations were extremely similar, and there was a strong positive correlation across species in their relative abundance in each plantation type. The results indicate that a high proportion of species formerly present in the region are unable to adapt to conversion of forest to oil palm and rubber plantations, resulting in large losses of bird species and family richness and the replacement of species with restricted ranges and high conservation status by those with extensive ranges and low conservation status. Initiatives that reduce pressure to clear new land for plantations, for example by increasing productivity in existing plantations and improving protected area networks, are likely to be more effective in conserving threatened forest birds than initiatives to improve conditions within plantations, though both should be encouraged.</t>
  </si>
  <si>
    <t>Royal Soc Protect Birds, Sandy SG19 2DL, Beds, England; Natl Pk Wildlife &amp; Plant Conservat Dept, Bangkok 10900, Thailand; Bird Conservat Soc Thailand, Bangkok 10320, Thailand</t>
  </si>
  <si>
    <t>Royal Society for Protection of Birds</t>
  </si>
  <si>
    <t>Donald, PF (corresponding author), Royal Soc Protect Birds, Sandy SG19 2DL, Beds, England.</t>
  </si>
  <si>
    <t>paul.donald@rspb.org.uk</t>
  </si>
  <si>
    <t>Aratrakorn, Sirirak/HNC-3529-2023</t>
  </si>
  <si>
    <t>Aratrakorn, Sirirak/0009-0007-1866-9609; Donald, Paul F/0000-0003-0023-6200</t>
  </si>
  <si>
    <t>CAMBRIDGE UNIV PRESS</t>
  </si>
  <si>
    <t>32 AVENUE OF THE AMERICAS, NEW YORK, NY 10013-2473 USA</t>
  </si>
  <si>
    <t>0959-2709</t>
  </si>
  <si>
    <t>1474-0001</t>
  </si>
  <si>
    <t>BIRD CONSERV INT</t>
  </si>
  <si>
    <t>Bird Conserv. Int.</t>
  </si>
  <si>
    <t>10.1017/S0959270906000062</t>
  </si>
  <si>
    <t>Biodiversity Conservation; Ornithology</t>
  </si>
  <si>
    <t>Biodiversity &amp; Conservation; Zoology</t>
  </si>
  <si>
    <t>046CQ</t>
  </si>
  <si>
    <t>WOS:000237789400005</t>
  </si>
  <si>
    <t>Hankin, SL; Weilhoefer, CL; Kaldy, JE; DeWitt, TH</t>
  </si>
  <si>
    <t>Hankin, Shanon L.; Weilhoefer, Christine L.; Kaldy, James E.; DeWitt, Theodore H.</t>
  </si>
  <si>
    <t>Sediment Diatom Species and Community Response to Nitrogen Addition in Oregon (USA) Estuarine Tidal Wetlands</t>
  </si>
  <si>
    <t>WETLANDS</t>
  </si>
  <si>
    <t>Diatoms; Estuarine tidal wetland; Nitrogen addition; Oregon; Periphyton</t>
  </si>
  <si>
    <t>SALT-MARSH; NUTRIENT-ENRICHMENT; MICROALGAL COMMUNITY; WATER; SALINITY; LAKE; MICROPHYTOBENTHOS; INDICATORS; PATTERNS; ZONATION</t>
  </si>
  <si>
    <t>Sediment microalgae play an important role in nutrient cycling and are important primary producers in the food web in Pacific Northwest estuaries. This study examines the effects of nitrogen addition to benthic microalgae in tidal wetlands of Yaquina Bay estuary on the Oregon coast, USA. Liquid nitrogen fertilizers (0, 0.2, 0.5, and 1.0 gN/m(2)/wk during the first year of the study, and increased to 0, 15.6, 62.5, and 156 gN/m(2)/wk during the second year of the study) were applied weekly to four salt marshes in Yaquina Bay for two summers (2009 and 2010). Diatom species and community parameters were analyzed in response to nitrogen addition in early and late summer 2010. Nitrogen addition (N) had a significant effect on species composition and community parameters. Amphora spp. and Nitzschia palea were more dominant with higher N, while Navicula gregaria and Navicula phyllepta were more dominant with lower N. Species diversity and richness were significantly higher (p &lt; 0.05) with lower N (3.1 +/- 0.1; 40.0 +/- 3.3) compared with higher N (2.4 +/- 0.5; 34.5 +/- 3.0). NMDS ordination displayed shifts in overall diatom assemblage with time and with N. Results suggest the microalgal communities are limited by nitrogen levels and therefore may be susceptible to changes in nitrogen loading to these systems.</t>
  </si>
  <si>
    <t>[Hankin, Shanon L.] N Cent Coll, Dept Biol, Naperville, IL 60540 USA; [Weilhoefer, Christine L.] Univ Portland, Dept Biol, Portland, OR 97203 USA; [Kaldy, James E.; DeWitt, Theodore H.] US EPA, Western Ecol Div, Newport, OR USA</t>
  </si>
  <si>
    <t>University of Portland; United States Environmental Protection Agency</t>
  </si>
  <si>
    <t>Hankin, SL (corresponding author), N Cent Coll, Dept Biol, Naperville, IL 60540 USA.</t>
  </si>
  <si>
    <t>shanon.hankin@gmail.com</t>
  </si>
  <si>
    <t>; Hankin, Shanon/HMW-1637-2023</t>
  </si>
  <si>
    <t>DeWitt, Theodore/0000-0002-8410-1452; Hankin, Shanon/0000-0002-9914-1289</t>
  </si>
  <si>
    <t>Hatfield Marine Science Center [NSF OCE-1004947]; North Central College</t>
  </si>
  <si>
    <t>Hatfield Marine Science Center; North Central College</t>
  </si>
  <si>
    <t>We thank Matthew McCary and Laura Constantine for their support in the field. The US EPA and North Central College provided lab space and research supplies. Part of this research was performed as a Research Experience for Undergraduates internship at Hatfield Marine Science Center in 2010 grant# NSF OCE-1004947. North Central College also contributed to funding.</t>
  </si>
  <si>
    <t>0277-5212</t>
  </si>
  <si>
    <t>1943-6246</t>
  </si>
  <si>
    <t>Wetlands</t>
  </si>
  <si>
    <t>10.1007/s13157-012-0332-6</t>
  </si>
  <si>
    <t>043JT</t>
  </si>
  <si>
    <t>WOS:000311540400004</t>
  </si>
  <si>
    <t>Herrera, AM; Dudley, TL</t>
  </si>
  <si>
    <t>Herrera, Angelica M.; Dudley, Tom L.</t>
  </si>
  <si>
    <t>Arundo donax; biodiversity; invasive species; plant-insect interactions; riparian</t>
  </si>
  <si>
    <t>RIO-GRANDE VALLEY; BIRD USE; VEGETATION; COMMUNITIES; SALTCEDAR; HABITATS; INSECTS; GRASSES; BIOMASS; PRAIRIE</t>
  </si>
  <si>
    <t>The non-indigenous perennial grass, Arundo donax, is an aggressive invader of riparian areas throughout California and many sub-tropical regions of the world, and is hypothesized to provide poorer quality habitat for native wildlife in riparian systems. We sampled aerial and ground-dwelling insects and other terrestrial arthropods associated with Arundo, native willow vegetation (Salix spp.), and mixtures of the two vegetation types during two seasons to determine how Arundo influences invertebrate composition in a low gradient stream in central California. The total number of organisms, total biomass and taxonomic richness of aerial invertebrates associated with native vegetation was approximately twice that associated with Arundo vegetation, while mixed vegetation supported intermediate arthropod levels. Shannon-Weaver (Weiner) diversity associated with native vegetation stands was also higher than that of Arundo vegetation. Ground-dwelling assemblages did not show differences as great as aerial assemblages which are more critical to foraging avian species. These results indicate that vegetation type is a significant factor reducing the abundance and diversity of invertebrates in this, and presumably in many other riparian ecosystems where this invasive species has become a dominant component. Arundo invasion changes the vegetation structure of riparian zones and in turn, may increasingly jeopardize its habitat value for birds and other wildlife whose diets are largely composed of insects found in native riparian vegetation.</t>
  </si>
  <si>
    <t>[Herrera, Angelica M.] Univ Calif Berkeley, Dept Environm Sci Policy &amp; Management, Berkeley, CA 94720 USA; [Dudley, Tom L.] Univ Calif Berkeley, Dept Integrat Biol, Berkeley, CA 94720 USA</t>
  </si>
  <si>
    <t>University of California System; University of California Berkeley; University of California System; University of California Berkeley</t>
  </si>
  <si>
    <t>Dudley, TL (corresponding author), Univ Nevada, Dept Environm &amp; Resource Sci, MS 186,1000 Valley Rd, Reno, NV 89512 USA.</t>
  </si>
  <si>
    <t>tdudley@cabnr.unr.edu</t>
  </si>
  <si>
    <t>University of California Water Resources Center [WRC W-867, CRA-CDFG 06530, 58-5325-9-199]</t>
  </si>
  <si>
    <t>University of California Water Resources Center(University of California System)</t>
  </si>
  <si>
    <t>We appreciate the assistance of Richard Dale of the Sonoma Ecology Center in securing access to study sites, and Carla D'Antonio for her review. This project was conducted through the Environmental Sciences program (UGIS) at the University of California, Berkeley, with support from the University of California Water Resources Center, Grant WRC W-867, E.P.A. Wetlands Grant CRA-CDF&amp;G 06530 and US-DA-ARS Co-operative Research Agreement No. 58-5325-9-199.</t>
  </si>
  <si>
    <t>10.1023/A:1026190115521</t>
  </si>
  <si>
    <t>V28EG</t>
  </si>
  <si>
    <t>WOS:000208663500002</t>
  </si>
  <si>
    <t>Frost, JW; Schleicher, T; Craft, C</t>
  </si>
  <si>
    <t>Frost, Joshua W.; Schleicher, Tymeri; Craft, Christopher</t>
  </si>
  <si>
    <t>EFFECTS OF NITROGEN AND PHOSPHORUS ADDITIONS ON PRIMARY PRODUCTION AND INVERTEBRATE DENSITIES IN A GEORGIA (USA) TIDAL FRESHWATER MARSH</t>
  </si>
  <si>
    <t>biomass; eutrophication; nutrients; vegetation; Zizaniopsis miliacea</t>
  </si>
  <si>
    <t>SPARTINA-ALTERNIFLORA; NUTRIENT LIMITATION; SALT-MARSH; SPECIES COMPOSITION; SALINITY GRADIENT; STANDING CROP; VEGETATION; COMMUNITY; LOUISIANA; ECOSYSTEM</t>
  </si>
  <si>
    <t>We added nitrogen (N), phosphorus (P), and N+P to a Zizaniopsis miliacea (Giant Cutgrass) dominated tidal freshwater marsh in Georgia USA to investigate nutrient limitation of tidal fresh water marsh primary production and invertebrate densities. After two years, aboveground biomass was significantly greater in the plots receiving N (2130 g m(-2)) and N+P (2066 g m(-2)) than in the control (886 g m(-2)) and P (971 g m (2)) only treatments. We observed no enrichment of leaf N or P in response to nutrient additions. Rather leaf N decreased and C:N increased in plots receiving N. suggesting that leaf N was diluted by increased production of carbon laden structural components used to support increased plant height. N:P ratios (mol:mol) of the plant tissue were consistently &lt; 30 (14-27) in the treatment plots, also suggesting N limitation of primary production. Total densities of benthic invertebrates and oligochaete worms (primarily Tubificidae and Lumbriculidae) were significantly greater in the N+P plots than in the other treatments after two years of nutrient additions. There were no clear differences in diversity of benthic invertebrates among treatments. Our results suggest that tidal freshwater marsh primary and secondary production is limited or co-limited by N, and thus, like estuaries and salt marshes. are susceptible to N enrichment and eutrophication.</t>
  </si>
  <si>
    <t>[Frost, Joshua W.; Schleicher, Tymeri; Craft, Christopher] Indiana Univ, Sch Publ &amp; Environm Affairs, Bloomington, IN 47405 USA</t>
  </si>
  <si>
    <t>Frost, JW (corresponding author), Carolina Wetland Serv Inc, 550 E Westinghouse Blvd, Charlotte, NC 28273 USA.</t>
  </si>
  <si>
    <t>josh@cws-inc.net</t>
  </si>
  <si>
    <t>National Science Foundation [OCE-9982133]; U.S. Environmental Protection Agency Science [RD 83222001-0]</t>
  </si>
  <si>
    <t>National Science Foundation(National Science Foundation (NSF)); U.S. Environmental Protection Agency Science(United States Environmental Protection Agency)</t>
  </si>
  <si>
    <t>Thanks to Mark Loomis, Jon Shelby., and Kristen Wardlaw for preparation and processing of vegetative samples and invertebrate sieving. Also, thanks to David Lenat for preparation of a reference invertebrate collection and additional information on invertebrates. This research was supported by grant OCE-9982133 from the National Science Foundation to the Georgia Coastal Ecosystem LTER program and grant RD 83222001-0 from the U.S. Environmental Protection Agency Science to Achieve Results (STAR) program. This is Contribution 966 of the University of Georgia Marine Institute.</t>
  </si>
  <si>
    <t>10.1672/07-79.1</t>
  </si>
  <si>
    <t>434SN</t>
  </si>
  <si>
    <t>WOS:000265294500020</t>
  </si>
  <si>
    <t>Gagné, SA; Fahrig, L</t>
  </si>
  <si>
    <t>Gagne, Sara A.; Fahrig, Lenore</t>
  </si>
  <si>
    <t>Do birds and beetles show similar responses to urbanization?</t>
  </si>
  <si>
    <t>biodiversity congruence; breeding birds; Carabidae; edge effect; forest remnant; Gatineau; Quebec; Canada; ground beetle; housing density; indicator taxon; Ottawa; Ontario; Canada; residential development; urban gradient</t>
  </si>
  <si>
    <t>AREA MINIMIZING IMPACTS; URBAN-RURAL GRADIENT; SPECIES-DIVERSITY; AGRICULTURAL LANDSCAPES; HOUSING DENSITY; CARABID BEETLES; PROTECTED AREAS; RIPARIAN AREAS; SURROGATE TAXA; GROUND BEETLE</t>
  </si>
  <si>
    <t>To date, the vast majority of studies in urban areas have been carried out on birds, yet it is not known whether the responses of birds to urbanization are congruent with those of other taxa. In this paper, we compared the responses of breeding birds and carabid beetles to urbanization, specifically asking whether the emerging generalizations of the effects of extreme levels of urbanization on birds (declines in total species richness and the richness of specialist species, increases in total abundance and the abundances of native generalist and introduced species, and community simplification, including increasing similarity) could also be applied to ground beetles. We also directly tested for congruence between birds and ground beetles using correlations between variables describing bird and beetle community structure and correlations between bird and beetle distance matrices describing community dissimilarity between pairs of sampling locations. Breeding bird and carabid beetle community data were collected in Ottawa, Ontario, and Gatineau, Quebec, Canada, in two groups of sites: developed sites representing the predictor variable within-site housing density, and forested sites adjacent to development representing the predictor variable neighboring housing density (each site was 0.25 km(2)). Breeding birds and carabid beetles do not respond similarly to increasing within-site housing density but do exhibit some similar responses to increasing neighboring housing density. Birds displayed strong declines in diversity, compositional changes, and community simplification in response to increasing within-site housing density. Forest and introduced species of birds and beetles responded similarly to increasing housing density within a site, but responses of overall diversity and open-habitat species richness and patterns of community simplification differed between birds and beetles. Increasing neighboring housing density resulted in increases in the abundances of introduced birds and introduced beetles and similar patterns of community simplification in both taxa. To better understand and mitigate the effects of urbanization on biodiversity, we suggest that, in addition to the responses of birds, future research should focus on the responses of other taxa in the urban matrix.</t>
  </si>
  <si>
    <t>[Gagne, Sara A.; Fahrig, Lenore] Carleton Univ, Geomat &amp; Landscape Ecol Res Lab, Dept Biol, Ottawa, ON K1S 5B6, Canada</t>
  </si>
  <si>
    <t>Carleton University</t>
  </si>
  <si>
    <t>Gagné, SA (corresponding author), Univ N Carolina, Dept Geog &amp; Earth Sci, 9201 Univ City Blvd, Charlotte, NC 28223 USA.</t>
  </si>
  <si>
    <t>sgagne@uncc.edu</t>
  </si>
  <si>
    <t>Fahrig, Lenore/C-6494-2012</t>
  </si>
  <si>
    <t>Fahrig, Lenore/0000-0002-3841-0342; Gagné, Sara A/0000-0003-4385-7189</t>
  </si>
  <si>
    <t>Natural Sciences and Engineering Research Council of Canada (NSERC); Canada Foundation</t>
  </si>
  <si>
    <t>Natural Sciences and Engineering Research Council of Canada (NSERC)(Natural Sciences and Engineering Research Council of Canada (NSERC)); Canada Foundation</t>
  </si>
  <si>
    <t>This research was supported by a Natural Sciences and Engineering Research Council of Canada (NSERC) scholarship to S. A. Gagne, and NSERC and Canada Foundation for Innovation grants to L. Fahrig. We acknowledge the generous support of private landowners, without which this study would not have been possible. Special thanks go to Henri Goulet of Agriculture and Agri-Food Canada for his guidance in the sampling and identification of carabid beetle species. Members of the Geomatics and Landscape Ecology Research Laboratory, C. Scott Findlay, Pierre Mineau, Lucas M. Robertson, and two anonymous reviewers provided insightful comments that greatly improved this manuscript.</t>
  </si>
  <si>
    <t>1939-5582</t>
  </si>
  <si>
    <t>10.1890/09-1905.1</t>
  </si>
  <si>
    <t>810VM</t>
  </si>
  <si>
    <t>WOS:000294155900033</t>
  </si>
  <si>
    <t>Barbosa, O; Marquet, PA</t>
  </si>
  <si>
    <t>temperate forest; insects; fragmentation; South America</t>
  </si>
  <si>
    <t>HABITAT FRAGMENTATION; COLEOPTERA; DYNAMICS; POLLINATION; DIVERSITY; CARABIDAE; HEATHLAND; MOVEMENT; INSECTS; IMPACTS</t>
  </si>
  <si>
    <t>Habitat fragmentation is recognized as one of the main factors associated with species extinction and is particularly acute in South American forest habitats. In this study, we examined the effects of forest fragmentation on the beetle assemblage at the relict temperate forest of Fray Jorge (Chile). We evaluated the following hypotheses: (1) there is a strong edge effect, so that the number of beetle species and individuals increases away from the edge, towards the inner part of each fragment, (2) this pattern should be apparent in the larger fragments but not in the smaller ones, where edge effects are expected to be stronger, and (3) there should be a significant interaction between number of species/individuals found inside and outside fragments (i.e., in the matrix) and season, because of an increase in aridity and water stress during austral summer months. We found that the relationship between the number of individuals and number of species vs distance from the matrix towards the forest interior was affected by fragment size and season. In general, both number of species and individuals tended to increase from the matrix towards the forest edge and then either decrease, increase or maintain a constant level, depending on fragment size and season. The result of an ANOVA analysis, which used season, size, and position (inside vs outside fragments) as factors and number of individuals as the response variable, showed a significant effect of fragment size, position, and season and a significant interaction between fragment size and season, season and position, and size and position. ANOVA analysis using number of species as the response variable showed that area, season, and position all had significant effects. The results also showed a significant interaction between size and season and between season and position. Our results emphasize the existence of strong fragment-size and seasonal effects modulating both the response of beetles to fragmentation and their abundance and distribution in temperate areas. Thus, seasonal dynamic effects can be of paramount importance to demonstrate and understand the effect of habitat fragmentation upon arthropod assemblages in temperate areas.</t>
  </si>
  <si>
    <t>Pontificia Univ Catolica Chile, Fac Ciencias Biol, Ctr Adv Studies Ecol &amp; Biodivers, Santiago, Chile; Pontificia Univ Catolica Chile, Fac Ciencias Biol, Dept Ecol, Santiago, Chile</t>
  </si>
  <si>
    <t>Pontificia Universidad Catolica de Chile; Pontificia Universidad Catolica de Chile</t>
  </si>
  <si>
    <t>Marquet, PA (corresponding author), Pontificia Univ Catolica Chile, Fac Ciencias Biol, Ctr Adv Studies Ecol &amp; Biodivers, Casilla 114-D, Santiago, Chile.</t>
  </si>
  <si>
    <t>pmarquet@genes.bio.puc.cl</t>
  </si>
  <si>
    <t>Marquet, Pablo A/B-7732-2009; Barbosa, Olga/D-5437-2015</t>
  </si>
  <si>
    <t>Marquet, Pablo A/0000-0001-6369-9339; Barbosa, Olga/0000-0001-9397-0070</t>
  </si>
  <si>
    <t>10.1007/s00442-002-0951-3</t>
  </si>
  <si>
    <t>580PL</t>
  </si>
  <si>
    <t>WOS:000177242900019</t>
  </si>
  <si>
    <t>Zartman, CE</t>
  </si>
  <si>
    <t>Habitat fragmentation impacts on epiphyllous bryophyte communities in central Amazonia</t>
  </si>
  <si>
    <t>Amazon rainforests; bryophytes; community structure; epiphylls; habitat fragmentation; rarefaction; reserve design</t>
  </si>
  <si>
    <t>RAIN-FOREST FRAGMENTATION; ABUNDANCE; DYNAMICS; EXTINCTION; DIVERSITY; CORE; TURNOVER; PLANTS; WATER</t>
  </si>
  <si>
    <t>Tropical deforestation is a progressive process resulting in the conversion of rain forest into a mosaic of mature forest fragments, pasture, and degraded habitat. Understanding the long-term effects of habitat fragmentation on tropical plant community structure is critical to predicting how alterations to the landscape will impact tropical biodiversity. The objective of this study was to examine fragmentation effects on the composition, abundance, and species richness of epiphyllous (leaf- inhabiting) bryophytes. I conducted this research in an experimentally fragmented forest reserve in central Amazonia where data on the distriblition and abundance of 65 bryophyte taxa were analyzed from 16 1-ha sample plots located in continuous forest and fragments. Epiphyll communities inhabiting small (1- and 10-ha) fragments exhibited lower species richness, abundance, and among-site compositional variation than those from 100-ha fragments and continuous forest plots. Reduced epiphyll diversity in small fragments is not simply a statistical artifact of low epiphyll densities, but rather due to a disproportionate loss of regionally common taxa. In contrast, rare taxa responded marginally to fragmentation, and in most cases were more abundant in fragments than in continuous forest habitat. Because epiphyllous bryophytes rapidly establish species-rich communities on spatially discrete habitat patches, they are an ideal plant group for addressing the long-term (multigeneration) impact of habitat fragmentation on plant communities.</t>
  </si>
  <si>
    <t>Duke Univ, Dept Biol, Durham, NC 27708 USA; Natl Inst Amazonian Res, Biol Dynam Forest Fragments Project, BR-69022970 Manaus, Amazonas, Brazil</t>
  </si>
  <si>
    <t>Duke University; Institute Nacional de Pesquisas da Amazonia</t>
  </si>
  <si>
    <t>Zartman, CE (corresponding author), Duke Univ, Dept Biol, Durham, NC 27708 USA.</t>
  </si>
  <si>
    <t>cez2@duke.edu</t>
  </si>
  <si>
    <t>Zartman, Charles/M-3983-2014</t>
  </si>
  <si>
    <t>Zartman, Charles/0000-0001-8481-9782</t>
  </si>
  <si>
    <t>10.1890/0012-9658(2003)084[0948:HFIOEB]2.0.CO;2</t>
  </si>
  <si>
    <t>677NC</t>
  </si>
  <si>
    <t>WOS:000182813600015</t>
  </si>
  <si>
    <t>Lu, XK; Mo, JM; Gilliam, FS; Zhou, GY; Fang, YT</t>
  </si>
  <si>
    <t>Lu, Xiankai; Mo, Jiangming; Gilliam, Frank S.; Zhou, Guoyi; Fang, Yunting</t>
  </si>
  <si>
    <t>acidification; aluminum mobility; cation availability; China; functional group; N deposition; N saturation; plant diversity; tropical forest; understory layer</t>
  </si>
  <si>
    <t>SIMULATED N DEPOSITION; HERBACEOUS LAYER; NUTRIENT LIMITATION; SPECIES-DIVERSITY; TEMPERATE FOREST; TREE GROWTH; BIODIVERSITY; SOILS; COMMUNITY; CYCLE</t>
  </si>
  <si>
    <t>Response of plant biodiversity to increased availability of nitrogen (N) has been investigated in temperate and boreal forests, which are typically N-limited, but little is known in tropical forests. We examined the effects of artificial N additions on plant diversity (species richness, density and cover) of the understory layer in an N saturated old-growth tropical forest in southern China to test the following hypothesis: N additions decrease plant diversity in N saturated tropical forests primarily from N-mediated changes in soil properties. Experimental additions of N were administered at the following levels from July 2003 to July 2008: no addition (Control); 50 kg N ha-1 yr-1 (Low-N); 100 kg N ha-1 yr-1 (Medium-N), and 150 kg N ha-1 yr-1 (High-N). Results showed that no understory species exhibited positive growth response to any level of N addition during the study period. Although low-to-medium levels of N addition (&lt; 100 kg N ha-1 yr-1) generally did not alter plant diversity through time, high levels of N addition significantly reduced species diversity. This decrease was most closely related to declines within tree seedling and fern functional groups, as well as to significant increases in soil acidity and Al mobility, and decreases in Ca availability and fine-root biomass. This mechanism for loss of biodiversity provides sharp contrast to competition-based mechanisms suggested in studies of understory communities in other forests. Our results suggest that high-N additions can decrease plant diversity in tropical forests, but that this response may vary with rate of N addition.</t>
  </si>
  <si>
    <t>[Lu, Xiankai; Mo, Jiangming; Zhou, Guoyi; Fang, Yunting] Chinese Acad Sci, S China Bot Garden, Zhaoqing 526070, Guangdong, Peoples R China; [Gilliam, Frank S.] Marshall Univ, Dept Biol Sci, Huntington, WV 25755 USA</t>
  </si>
  <si>
    <t>Chinese Academy of Sciences; South China Botanical Garden, CAS; Marshall University</t>
  </si>
  <si>
    <t>Mo, JM (corresponding author), Chinese Acad Sci, S China Bot Garden, Zhaoqing 526070, Guangdong, Peoples R China.</t>
  </si>
  <si>
    <t>mojm@scib.ac.cn</t>
  </si>
  <si>
    <t>Lu, Xiankai/M-2127-2014; Mo, Jiangming/M-2104-2014; Gilliam, Frank/M-9767-2019; Fang, Yunting/G-4456-2012</t>
  </si>
  <si>
    <t>Fang, Yunting/0000-0001-7531-546X</t>
  </si>
  <si>
    <t>Chinese Academy of Sciences [KZCX2-YW-432-2]; National Natural Science Foundation of China [30970521, 40730102, 30900202]</t>
  </si>
  <si>
    <t>Chinese Academy of Sciences(Chinese Academy of Sciences); National Natural Science Foundation of China(National Natural Science Foundation of China (NSFC))</t>
  </si>
  <si>
    <t>This study was founded by Key Project of Chinese Academy of Sciences Knowledge Innovation Program (KZCX2-YW-432-2), and National Natural Science Foundation of China (No. 30970521, 40730102, 30900202). We wish to thank Dejun Li, Xiaoming Fang, Youchang Zhang, Dingsheng Mo, Yujia Huang, Lei Liu and Jurong Long for their skilful assistance in field work, Qingfa Yu for his assistance in laboratory work, and Dr. Sandra Brwon, Dr. Per Gundersen, Yongfei Bai, Weixing Zhu, Deqiang Zhang, Zhi'an Li and two anonymous reviewers for invaluable suggestions in this paper.</t>
  </si>
  <si>
    <t>10.1111/j.1365-2486.2010.02174.x</t>
  </si>
  <si>
    <t>648FV</t>
  </si>
  <si>
    <t>WOS:000281676700005</t>
  </si>
  <si>
    <t>Beekey, MA; McCabe, DJ; Marsden, JE</t>
  </si>
  <si>
    <t>facilitation; invertebrate communities; soft sediments; zebra mussels</t>
  </si>
  <si>
    <t>DREISSENA-POLYMORPHA; LAKE-ERIE; MUSCULISTA-SENHOUSIA; MACROINVERTEBRATE COMMUNITIES; BENTHIC INVERTEBRATES; OFFSHORE SEDIMENTS; SPATIAL VARIATION; EXOTIC MUSSEL; INVASION; HABITAT</t>
  </si>
  <si>
    <t>1. We examined the effect of zebra mussel colonisation on invertebrate communities inhabiting soft sediments in two bays along the Vermont shoreline of Lake Champlain, U.S.A. 2. In summer 2001, we conducted manipulative experiments (addition and removal of zebra mussel colonies) with respective controls to assess the effect of colonies on invertebrate abundance, richness, and position within sediments (within colony versus underlying colony) and compared these data to comparative studies of natural communities in summer 2002. 3. Split core samples were taken two months after the manipulation and the following year so that we could quantify individuals and species inhabiting zebra mussel colonies separately from those in sediments underlying zebra mussel colonies and adjacent sediments lacking zebra mussels. 4. Zebra mussel-covered sediments supported more abundant and richer invertebrate communities than adjacent sediments lacking zebra mussels. 5. Abundance and richness patterns in zebra mussel-addition and removal treatments closely paralleled those in natural communities. 6. Despite severe oxygen depletion at the interface of underlying sediments and overlying zebra mussel colonies, most infaunal invertebrates responded positively to zebra mussel colonisation either by remaining in sediments underlying zebra mussel colonies or by migrating into zebra mussel colonies.</t>
  </si>
  <si>
    <t>Univ Vermont, Rubenstein Sch Environm &amp; Nat Resources, Burlington, VT 05405 USA; St Michaels Coll, Dept Biol, Colchester, VT USA; Rubenstein Ecosyst Sci Lab, Burlington, VT USA</t>
  </si>
  <si>
    <t>University of Vermont</t>
  </si>
  <si>
    <t>Marsden, JE (corresponding author), Univ Vermont, Rubenstein Sch Environm &amp; Nat Resources, Burlington, VT 05405 USA.</t>
  </si>
  <si>
    <t>ellen.marsden@uvm.edu</t>
  </si>
  <si>
    <t>; Marsden, Ellen/JVO-2249-2024</t>
  </si>
  <si>
    <t>McCabe, Declan John/0009-0009-5551-5494;</t>
  </si>
  <si>
    <t>1365-2427</t>
  </si>
  <si>
    <t>10.1111/j.1365-2427.2004.01207.x</t>
  </si>
  <si>
    <t>817SO</t>
  </si>
  <si>
    <t>WOS:000221197400004</t>
  </si>
  <si>
    <t>Xu, GL; Schleppi, P; Li, MH; Fu, SL</t>
  </si>
  <si>
    <t>Xu, Guo-Liang; Schleppi, Patrick; Li, Mai-He; Fu, Sheng-Lei</t>
  </si>
  <si>
    <t>ENVIRONMENTAL POLLUTION</t>
  </si>
  <si>
    <t>Soil fauna; Indicator; N saturation; Environmental change; Diversity index</t>
  </si>
  <si>
    <t>NITROGEN DEPOSITION; CONIFEROUS FOREST; TEMPERATE FORESTS; CARBON STORAGE; ECOSYSTEMS; NITREX; CONSEQUENCES; N-15; STRATEGIES; RETENTION</t>
  </si>
  <si>
    <t>The response of specific groups of organisms, like Collembola to atmospheric nitrogen (N) deposition is still scarcely known. We investigated the Collembola community in a subalpine forest (Alptal, Switzerland) as subjected for 12 years to an experimentally increased N deposition (+25 on top of ambient 12 kg N ha(-1) year(-1)). In the 0-5 cm soil layer, there was a tendency of total Collembola densities to be lower in N-treated than in control plots. The density of Isotomiella minor, the most abundant species, was significantly reduced by the N addition. A tendency of lower Collembola group richness was observed in N-treated plots. The Density-Group index (d(DG)) showed a significant reduction of community diversity, but the Shannon-Wiener index (H') was not significantly affected by the N addition. The Collembola community can be considered as a bioindicator of N inputs exceeding the biological needs, namely, soil N saturation. (C) 2009 Elsevier Ltd. All rights reserved.</t>
  </si>
  <si>
    <t>[Xu, Guo-Liang; Fu, Sheng-Lei] Chinese Acad Sci, Inst Ecol, S China Bot Garden, Guangzhou 510650, Guangdong, Peoples R China; [Schleppi, Patrick; Li, Mai-He] Swiss Fed Inst Forest Snow &amp; Landscape Res, CH-8903 Birmensdorf, Switzerland</t>
  </si>
  <si>
    <t>Fu, SL (corresponding author), Chinese Acad Sci, Inst Ecol, S China Bot Garden, Guangzhou 510650, Guangdong, Peoples R China.</t>
  </si>
  <si>
    <t>xugl@scbg.ac.cn; sfu@scib.ac.cn</t>
  </si>
  <si>
    <t>Li, Mai-He/L-6390-2013; Schleppi, Patrick/E-6751-2011; Fu, Shenglei/B-2729-2012</t>
  </si>
  <si>
    <t>Li, Mai-He/0000-0002-7029-2841; Schleppi, Patrick/0000-0002-3578-6563;</t>
  </si>
  <si>
    <t>Chinese Academy of Sciences [KZCX2-YW-413]</t>
  </si>
  <si>
    <t>Chinese Academy of Sciences(Chinese Academy of Sciences)</t>
  </si>
  <si>
    <t>This study benefited from a Swiss-Sino Scholarship 2007 and was partially supported by the Knowledge Innovation Program of Chinese Academy of Sciences (KZCX2-YW-413). We thank D. Pezzotta and his team of the WSL central laboratory for the C + N analyses, and the Dendrological unit at WSL for their warmhearted help. We also thank Dr. Feng Zhang and Prof. Erhard Christian for their help on Collembola identification, and Dr. Shane Morrison for the English corrections.</t>
  </si>
  <si>
    <t>0269-7491</t>
  </si>
  <si>
    <t>1873-6424</t>
  </si>
  <si>
    <t>ENVIRON POLLUT</t>
  </si>
  <si>
    <t>Environ. Pollut.</t>
  </si>
  <si>
    <t>10.1016/j.envpol.2009.02.026</t>
  </si>
  <si>
    <t>Environmental Sciences</t>
  </si>
  <si>
    <t>449SR</t>
  </si>
  <si>
    <t>WOS:000266350800009</t>
  </si>
  <si>
    <t>Prist, PR; Michalski, F; Metzger, JP</t>
  </si>
  <si>
    <t>Prist, Paula Ribeiro; Michalski, Fernanda; Metzger, Jean Paul</t>
  </si>
  <si>
    <t>LANDSCAPE ECOLOGY</t>
  </si>
  <si>
    <t>Large vertebrates; Deforestation patterns; Landscape ecology; Landscape configuration; Species persistence; Brazilian Amazon</t>
  </si>
  <si>
    <t>HABITAT FRAGMENTATION; LOCAL EXTINCTIONS; FOREST LANDSCAPE; AREA; ABUNDANCE; MAMMALS; DETERMINANTS; THRESHOLDS; RESPONSES; DYNAMICS</t>
  </si>
  <si>
    <t>The effects of habitat configuration on species persistence are predicted to be most apparent when remaining habitat cover is below 30%. We tested this prediction by comparing vertebrate communities in 21 landscapes located in the southern Amazonia, including 7 control landscapes (similar to 100% of forest cover) and 14 fragmented landscapes (4 x 4 km). The fragmented landscapes retained similar proportions of forest (similar to 25%), but had contrasting configurations, resulting from two different deforestation patterns: the fish-bone pattern common in small properties, and the large-property pattern generally used by large ranchers. Vertebrates were surveyed in all landscapes in February-July 2009 with interviews (n = 150). We found a significant difference in reported species richness among the fish-bone, large-property, and control areas (mean = 29.3, 38.8 and 43.5 respectively). Control areas and large-properties tended to have a higher number of specialist species (mean = 13.7, and 11.7, respectively), when compared with the fish-bone pattern (5.1). Vertebrate community composition in the control and large-properties was more similar to one another than to those of the fish-bone landscapes. The number of fragments was the main factor affecting the persistence of species, being negatively associated with specialist species richness. Species richness was also positively related with the size of the largest fragment structurally connected to the studied landscapes (i.e., a regional scale effect). Our results demonstrated that the large-property pattern, which results in less fragmented landscapes, can maintain a more diverse community of large vertebrates, including top predators, which are considered fundamental for maintaining ecosystem integrity. These results support the hypothesis that landscape configuration contributes to the persistence and/or extirpation of species.</t>
  </si>
  <si>
    <t>[Prist, Paula Ribeiro; Metzger, Jean Paul] Univ Sao Paulo, Dept Ecol, Biosci Inst, BR-05508900 Sao Paulo, Brazil; [Michalski, Fernanda] Univ Fed Amapa, Postgrad Programme Trop Biodivers, BR-68902280 Macapa, AP, Brazil; [Michalski, Fernanda] Procarnivoros Inst, BR-12945010 Atibaia, SP, Brazil</t>
  </si>
  <si>
    <t>Universidade de Sao Paulo; Fundacao Universidade Federal do Amapa</t>
  </si>
  <si>
    <t>Prist, PR (corresponding author), Univ Sao Paulo, Dept Ecol, Biosci Inst, Rua Matao 321,Travessa 14, BR-05508900 Sao Paulo, Brazil.</t>
  </si>
  <si>
    <t>pprist@hotmail.com</t>
  </si>
  <si>
    <t>Metzger, Jean Paul/C-2514-2012; Prist, Paula Ribeiro/E-7801-2015; Michalski, Fernanda/J-4691-2012</t>
  </si>
  <si>
    <t>Metzger, Jean Paul/0000-0002-0087-5240; Prist, Paula Ribeiro/0000-0003-2809-0434; Michalski, Fernanda/0000-0002-8074-9964</t>
  </si>
  <si>
    <t>Wildlife Conservation Society; Food and Health Foundation; Cleveland Metroparks Zoo; Rufford Small Grants Foundation; Brazilian Ministry of Education (CAPES); Fundacao de Amparo a Pesquisa do Estado de Sao Paulo [FAPESP: 2007/01252-2]; Fundacao de Amparo a Pesquisa do Estado de Sao Paulo (FAPESP) [07/01252-2] Funding Source: FAPESP</t>
  </si>
  <si>
    <t>Wildlife Conservation Society; Food and Health Foundation; Cleveland Metroparks Zoo; Rufford Small Grants Foundation; Brazilian Ministry of Education (CAPES)(Coordenacao de Aperfeicoamento de Pessoal de Nivel Superior (CAPES)); Fundacao de Amparo a Pesquisa do Estado de Sao Paulo(Fundacao de Amparo a Pesquisa do Estado de Sao Paulo (FAPESP)); Fundacao de Amparo a Pesquisa do Estado de Sao Paulo (FAPESP)(Fundacao de Amparo a Pesquisa do Estado de Sao Paulo (FAPESP))</t>
  </si>
  <si>
    <t>This research was funded by the Wildlife Conservation Society, Food and Health Foundation, Cleveland Metroparks Zoo and The Rufford Small Grants Foundation. PP was funded by the Brazilian Ministry of Education (CAPES) Master studentship. FM was funded by a Fundacao de Amparo a Pesquisa do Estado de Sao Paulo (FAPESP: 2007/01252-2) post-doctoral studentship. We would like to thank all landowners in Alta Floresta and particularly Geraldo and Alex Araujo for invaluable field assistance. Darren Norris provided insights that greatly improved previous versions and also helped during fieldwork.</t>
  </si>
  <si>
    <t>0921-2973</t>
  </si>
  <si>
    <t>1572-9761</t>
  </si>
  <si>
    <t>LANDSCAPE ECOL</t>
  </si>
  <si>
    <t>Landsc. Ecol.</t>
  </si>
  <si>
    <t>10.1007/s10980-012-9729-0</t>
  </si>
  <si>
    <t>Ecology; Geography, Physical; Geosciences, Multidisciplinary</t>
  </si>
  <si>
    <t>Environmental Sciences &amp; Ecology; Physical Geography; Geology</t>
  </si>
  <si>
    <t>958DZ</t>
  </si>
  <si>
    <t>WOS:000305218000002</t>
  </si>
  <si>
    <t>Basset, Y; Missa, O; Alonso, A; Miller, SE; Curletti, G; De Meyer, M; Eardley, C; Lewis, OT; Mansell, MW; Novotny, V; Wagner, T</t>
  </si>
  <si>
    <t>Basset, Yves; Missa, Olivier; Alonso, Alfonso; Miller, Scott E.; Curletti, Gianfranco; De Meyer, Marc; Eardley, Connal; Lewis, Owen T.; Mansell, Mervyn W.; Novotny, Vojtech; Wagner, Thomas</t>
  </si>
  <si>
    <t>Changes in Arthropod Assemblages along a Wide Gradient of Disturbance in Gabon</t>
  </si>
  <si>
    <t>indicator taxa; predictor sets; rainforest; species loss; species turnover</t>
  </si>
  <si>
    <t>RAIN-FOREST; DATA SETS; BIODIVERSITY; CONSERVATION; TAXA</t>
  </si>
  <si>
    <t>Searching for indicator taxa representative of diverse assemblages, such as arthropods, is an important objective of many conservation studies. We evaluated the impacts of a wide gradient of disturbance in Gabon on a range of arthropod assemblages representing different feeding guilds. We examined 4 x 10(5) arthropod individuals from which 21 focal taxa were separated into 1534 morphospecies. Replication included the understory of 3 sites in each of 4 different stages of forest succession and land use (i.e., habitats) after logging (old and young forests, savanna, and gardens). We used 3 complementary sampling methods to survey sites throughout the year. Overall differences in arthropod abundance and diversity were greatest between forest and open habitats, and cleared forest invaded by savanna had the lowest abundance and diversity. The magnitude of faunal differences was much smaller between old and young forests. When considered at this local scale, anthropogenic modification of habitats did not result in a monotonous decline of diversity because many herbivore pests and their associated predators and parasitoids were abundant and diverse in gardens, where plant productivity was kept artificially high year-round through watering and crop rotation. We used a variety of response variables to measure the strength of correlations across survey locations among focal taxa. These could be ranked as follows in terms of decreasing number of significant correlations: species turnover &gt; abundance &gt; observed species richness &gt; estimated species richness &gt; percentage of site-specific species. The number of significant correlations was generally low and apparently unrelated to taxonomy or guild structure. Our results emphasize the value of reporting species turnover in conservation studies, as opposed to simply measuring species richness, and that the search for indicator taxa is elusive in the tropics. One promising alternative might be to consider predictor sets of a small number of taxa representative of different functional groups, as identified in our study.</t>
  </si>
  <si>
    <t>[Basset, Yves] Smithsonian Trop Res Inst, Panama City, Panama; [Missa, Olivier] Univ York, Dept Biol, York YO10 5YW, N Yorkshire, England; [Alonso, Alfonso] Smithsonian Inst, Monitoring &amp; Assessment Biodivers Program, Washington, DC 20560 USA; [Miller, Scott E.] Smithsonian Inst, Natl Museum Nat Hist, Dept Systemat Biol, Washington, DC 20560 USA; [Curletti, Gianfranco] Museo Civ Storia Nat, I-10022 Carmagnola, TO, Italy; [De Meyer, Marc] Royal Museum Cent Africa, B-3080 Tervuren, Belgium; [Eardley, Connal] Plant Protect Res Inst, ZA-0121 Pretoria, South Africa; [Lewis, Owen T.] Univ Oxford, Dept Zool, Oxford OX1 3PS, England; [Mansell, Mervyn W.] Univ Pretoria, Dept Zool &amp; Entomol, ZA-0002 Pretoria, South Africa; [Novotny, Vojtech] Acad Sci Czech Republ, Ctr Biol, Ceske Budejovice 37005, Czech Republic; [Novotny, Vojtech] Univ S Bohemia, Sch Biol Sci, Ceske Budejovice 37005, Czech Republic; [Wagner, Thomas] Univ Koblenz Landau, Inst Integrierte Nat Wissensch Biol, D-56070 Koblenz, Germany</t>
  </si>
  <si>
    <t>Smithsonian Institution; Smithsonian Tropical Research Institute; University of York - UK; Smithsonian Institution; Smithsonian Institution; Smithsonian National Museum of Natural History; Royal Museum for Central Africa; University of Oxford; University of Pretoria; Czech Academy of Sciences; Biology Centre of the Czech Academy of Sciences; University of South Bohemia Ceske Budejovice; University of Koblenz</t>
  </si>
  <si>
    <t>Basset, Y (corresponding author), Smithsonian Trop Res Inst, Apartado 0843-03092, Panama City, Panama.</t>
  </si>
  <si>
    <t>bassety@si.edu</t>
  </si>
  <si>
    <t>Novotny, Vojtech/G-9434-2014; Lewis, Owen/ABF-7627-2020; Missa, Olivier/G-2687-2012; Wagner, Thomas/S-9370-2019; Basset, Yves/B-6642-2014</t>
  </si>
  <si>
    <t>Novotny, Vojtech/0000-0001-7918-8023; Lewis, Owen/0000-0001-7935-6111; Miller, Scott/0000-0002-4138-1378; Alonso, Alfonso/0000-0001-6860-8432; Missa, Olivier/0000-0002-4330-5192; Basset, Yves/0000-0002-1942-5717</t>
  </si>
  <si>
    <t>Shell Foundation and Shell Gabon</t>
  </si>
  <si>
    <t>F. Dallmeier, J. Comiskey, M. Lee, J. Mavoungou, and J. B. Mikissa helped implement the project. Parataxonomists B. Amvame, N. Koumba, S. Mboumba Ditona, G. Moussavou, P. Ngoma, J. Syssou, L. Tchignoumba, and E. Tobi collected, processed, sorted, and collated most of the insect material with great competence. The project was funded by the Smithsonian Institution, National Zoological Park, and Conservation and Research Center/MAB Program through grants from the Shell Foundation and Shell Gabon. This is contribution 104 of the Gabon Biodiversity Program.</t>
  </si>
  <si>
    <t>10.1111/j.1523-1739.2008.01017.x</t>
  </si>
  <si>
    <t>379KS</t>
  </si>
  <si>
    <t>WOS:000261395700031</t>
  </si>
  <si>
    <t>Hejda, M; Pysek, P; Jarosík, V</t>
  </si>
  <si>
    <t>Hejda, Martin; Pysek, Petr; Jarosik, Vojtech</t>
  </si>
  <si>
    <t>Impact of invasive plants on the species richness, diversity and composition of invaded communities</t>
  </si>
  <si>
    <t>impact; neophyte; plant community; plant cover; plant height; plant invasion; species diversity; species evenness; species richness; temperate zone</t>
  </si>
  <si>
    <t>ALIEN PLANTS; IMPATIENS-GLANDULIFERA; BIODIVERSITY; HOMOGENIZATION; CONSEQUENCES; INVASIBILITY; HABITATS; PATTERNS; EVENNESS; FLORAS</t>
  </si>
  <si>
    <t>Much attention has been paid to negative effects of alien species on resident communities but studies that quantify community-level effects of a number of invasive plants are scarce. We address this issue by assessing the impact of 13 species invasive in the Czech Republic on a wide range of plant communities. Vegetation in invaded and uninvaded plots with similar site conditions was sampled. All species of vascular plants were recorded, their covers were estimated and used as importance values for calculating the Shannon diversity index H', evenness J and Sorensen index of similarity between invaded and uninvaded vegetation. With the exception of two invasive species, species richness, diversity and evenness were reduced in invaded plots. Species exhibiting the greatest impact reduced species numbers per plot and the total number of species recorded in the communities sampled by almost 90%. A strong reduction of species number at the plot scale resulted in a marked reduction in the total species number at the landscape scale, and in less similarity between invaded and uninvaded vegetation. The decrease in species richness in invaded compared to uninvaded plots is largely driven by the identity of the invading species, whereas the major determinants of the decrease in Shannon diversity and evenness are the cover and height of invading species, and differences between height and cover of invading and dominant native species, independent of species identity. Synthesis. Management decisions based on impact need to distinguish between invasive species, as their effects on diversity and composition of resident vegetation differ largely. Tall invading species capable of forming populations with the cover markedly greater than that of native dominant species exert the most severe effects on species diversity and evenness. Since a strong impact on the community scale is associated with reduction in species diversity at higher scales, invaders with a high impact represent a serious hazard to the landscape.</t>
  </si>
  <si>
    <t>[Pysek, Petr] Acad Sci Czech Republ, Inst Bot, CZ-25243 Pruhonice, Czech Republic; Charles Univ Prague, Fac Sci, Dept Ecol, CZ-12801 Prague 2, Czech Republic</t>
  </si>
  <si>
    <t>pysek@ibot.cas.cz</t>
  </si>
  <si>
    <t>FP6 EU Integrated Project ALARM [GOCE-CT-2003-506675]; FP7 EU project PRATIQUE [KBBE-212459]; Academy of Sciences of the Czech Republic [IAA600050811, AV0Z60050516]; Ministry of Education of the Czech Republic [MSM0021620828, LC06073]</t>
  </si>
  <si>
    <t>FP6 EU Integrated Project ALARM(European Union (EU)); FP7 EU project PRATIQUE; Academy of Sciences of the Czech Republic(Czech Academy of Sciences); Ministry of Education of the Czech Republic(Ministry of Education, Youth &amp; Sports - Czech Republic)</t>
  </si>
  <si>
    <t>We thank Jan Pergl and Zuzana Sixtova for technical assistance, reviewers for helpful suggestions, and Scott Wilson and Andrea Baier for improving our English. This work was supported by the FP6 EU Integrated Project ALARM (GOCE-CT-2003-506675, Settele et al. 2005), FP7 EU project PRATIQUE (KBBE-212459), grant no. IAA600050811 and institutional long-term research plans no. AV0Z60050516 from the Academy of Sciences of the Czech Republic and nos. MSM0021620828 and LC06073 from the Ministry of Education of the Czech Republic.</t>
  </si>
  <si>
    <t>10.1111/j.1365-2745.2009.01480.x</t>
  </si>
  <si>
    <t>431BD</t>
  </si>
  <si>
    <t>WOS:000265035400003</t>
  </si>
  <si>
    <t>Quinn, MA</t>
  </si>
  <si>
    <t>Influence of habitat fragmentation and crop system on Columbia Basin shrubsteppe communities</t>
  </si>
  <si>
    <t>agroecosystem; arthropod communities; Columbia Basin region (US Pacific Northwest); cropping systems; habitat disturbance; habitat fragmentation; landscape level; plant communities; shrubsteppe communities; effects of nearby cropland</t>
  </si>
  <si>
    <t>MIXED-GRASS RANGELAND; AMAZONIAN FOREST FRAGMENTS; AGRICULTURAL LANDSCAPE; BIOLOGICAL-CONTROL; PARASITOID DIVERSITY; ARTHROPOD DIVERSITY; BEETLES COLEOPTERA; EXPERIMENTAL TESTS; SPECIES RESPONSES; PLANT DIVERSITY</t>
  </si>
  <si>
    <t>Crop production in much of the western United States has caused extensive fragmentation of shrubsteppe and other grasslands and has increased regional levels of disturbance through repeated tillage of crop fields and applications of agrochemicals. Although there have been numerous studies of the effects of fragmentation on arthropods in forests, old fields, and cropland, there have been very few studies of fragmentation effects on grassland arthropods. I conducted a two-year study in the Columbia Basin region of the U.S. Pacific Northwest to determine the effects of fragmentation and regional disturbance on shrubsteppe communities. I sampled plants and arthropods in 20 shrubsteppe fragments associated with annual crops, 20 fragments associated with perennial crops, and 20 large sections of shrubsteppe distant from crop fields. Fragments were corners of crop irrigation circles, and only sites that were undisturbed, with an apparent high coverage of shrubs, were included in the study. Results indicated no significant differences in coverages of shrubs, perennial grasses, total perennial forbs, total annual/biennial forbs, and species richness of grasses and shrubs between fragments and large sections of shrubsteppe. Mean percent coverage of the annual grass Bromus tectorum was 18.6% greater in small fragments than in large sections of shrubsteppe distant from crop fields, and mean coverage of bare ground was 22.9% higher and coverage of biological soil crusts was 41.5% lower in the fragments than in large shrubsteppe sections. Shrubsteppe fragments had significantly lower abundances of obligate herbivores, omnivores, total herbivores, obligate predators, total predators, plant detritivores, total detritivores, and butterflies, as well as fewer individuals of numerous other taxa within these trophic groups. Fragmentation had very little effect on species richness within trophic groups, probably because fragments were not that isolated from each other and large sections of shrubsteppe. Shrubsteppe communities that were next to highly disturbed annual crops had greater coverages of total annual/biennial forbs, and lower coverages of total perennial forbs and biological soil crusts when compared to shrubsteppe near perennial crops. Abundances of obligate herbivores, omnivores, total predators, plant detritivores, vertebrate-detritus feeders, and bees were similar in shrubsteppe near annual crops and near perennial crops. However, within these trophic groups, shrubsteppe near annual crops supported fewer obligate shrub-feeding grasshoppers, herbivorous ground beetles, harvestmen, antlions, darkling beetles, and butterflies than did shrubsteppe near perennial crops. The results suggest that a reduction in resources within fragments and regional disturbances caused by the production of annual crops were responsible for changes in arthropod trophic structure in fragments. Changes in trophic structure were probably not due to reductions in habitat heterogeneity or habitat isolation because plant community structure was similar in fragmented and unfragmented shrubsteppe, and fragments were not isolated from large sections of shrubsteppe.</t>
  </si>
  <si>
    <t>Washington State Univ, Dept Crop &amp; Soil Sci, Pullman, WA 99164 USA</t>
  </si>
  <si>
    <t>Washington State University</t>
  </si>
  <si>
    <t>Quinn, MA (corresponding author), Washington State Univ, Dept Crop &amp; Soil Sci, Pullman, WA 99164 USA.</t>
  </si>
  <si>
    <t>quinnm@wsu.edu</t>
  </si>
  <si>
    <t>10.1890/03-5249</t>
  </si>
  <si>
    <t>881IV</t>
  </si>
  <si>
    <t>WOS:000225858000003</t>
  </si>
  <si>
    <t>Golden, DM; Crist, TO</t>
  </si>
  <si>
    <t>Experimental effects of habitat fragmentation on old-field canopy insects: community, guild and species responses</t>
  </si>
  <si>
    <t>field experiment; habitat specificity; diversity; rarity; species richness</t>
  </si>
  <si>
    <t>LANDSCAPE ECOLOGY; FOREST FRAGMENTS; ARTHROPODS; GOLDENROD; ORGANIZATION; ASSEMBLAGES; ASSOCIATION; DISPERSAL; DYNAMICS; SOLIDAGO</t>
  </si>
  <si>
    <t>We examined the effects of habitat fragmentation on the species distributions, guild membership, and community structure of old-field insects using a fine-scale experimental approach. A continuous 1-ha goldenrod field was fragmented into four treatments that varied in both patch size and degree of isolation. Each treatment was replicated four times and arranged in a Latin square design. Canopy insects in fragmented patches were sampled with sweep nets during early and late summer 1995. The species richness of insects was significantly lower in fragmented than in unfragmented treatments during July, but was similar among treatments in September. Overall community abundance showed no treatment effect during either month. We also found significant row and column effects, suggesting there was spatial heterogeneity in species richness and abundance apart from treatment effects. Differences in species richness during July were primarily due to the loss of rare species in highly fragmented plots. Overall abundance was less responsive to community change because deletions of rare species in fragmented areas were not detected in abundance analyses. Four feeding guilds showed different responses to fragmentation: the species richness of sucking herbivores and the abundance of parasitoids were significantly reduced by fragmentation but predators and chewing herbivores were largely unaffected. Analyses of a subset of individual species within guilds suggest that the greater effects of fragmentation on sucking herbivores and parasitoids may be due to the degree of habitat specificity of guild members. The effects of small-scale habitat fragmentation were therefore detectable at the level of community, guild, and individual species. Changes in species richness, guild structure and species distributions were likely due to differential effects of habitat alteration on individual movements and patch selection rather than dispersal or demographic change. Nonetheless, the selective loss of rare species, differential guild effects and changes in species occupancy that we found in this small-scale experiment are also factors that are likely to operate in fragmented habitats over broader spatial scales.</t>
  </si>
  <si>
    <t>Miami Univ, Dept Zool, Oxford, OH 45056 USA</t>
  </si>
  <si>
    <t>University System of Ohio; Miami University</t>
  </si>
  <si>
    <t>Golden, DM (corresponding author), Miami Univ, Dept Zool, Oxford, OH 45056 USA.</t>
  </si>
  <si>
    <t>goldenm@miavx1.muohio.edu</t>
  </si>
  <si>
    <t>SPRINGER VERLAG</t>
  </si>
  <si>
    <t>175 FIFTH AVE, NEW YORK, NY 10010 USA</t>
  </si>
  <si>
    <t>10.1007/s004420050738</t>
  </si>
  <si>
    <t>180NK</t>
  </si>
  <si>
    <t>WOS:000079391900011</t>
  </si>
  <si>
    <t>Bragagnolo, C; Nogueira, AA; Pinto-Da-Rocha, R; Pardini, R</t>
  </si>
  <si>
    <t>Bragagnolo, Cibele; Nogueira, Andre A.; Pinto-da-Rocha, Ricardo; Pardini, Renata</t>
  </si>
  <si>
    <t>Harvestmen in an Atlantic forest fragmented landscape: Evaluating assemblage response to habitat quality and quantity</t>
  </si>
  <si>
    <t>arachnids; assemblage structure; forest fragmentation; forest regeneration; ecological indicators; opiliones</t>
  </si>
  <si>
    <t>ILHAIA-CUSPIDATA OPILIONES; TROPICAL RAIN-FOREST; EUGLOSSINE BEES; BIODIVERSITY CONSERVATION; POPULATION-DYNAMICS; SPIDER DIVERSITY; CENTRAL AMAZONIA; NORTHERN BORNEO; COMMUNITIES; INDICATORS</t>
  </si>
  <si>
    <t>Despite the importance of considering arthropods in monitoring programs and conservation planning given their diversity in terrestrial ecosystems and potential in revealing environmental disturbances, most studies on the effects of habitat disturbances in tropical forests focused on vertebrates, plants and a few arthropod groups. By sampling 16 sites evenly distributed in four habitat categories (continuous mature and secondary forest and large and small secondary forest fragments), we investigated how harvestmen (Opiliones), which represent the third largest order of arachnids and have been poorly studied in tropical forests, are affected by habitat quality and quantity. Richness and abundance of rare species were strongly affected by habitat quality.(first axis of principal component analysis on forest structure), increasing in less disturbed/mature forests. Richness, total abundance, abundance of rare species and of one of the three common species were higher in continuous forest, while only total abundance differed between large and small fragments. Detrended correspondence analysis revealed that just one species increased in abundance in fragments, while several others were associated with continuous and/or mature forest and that harvestman composition did not vary between large and small fragments. Our results suggest that harvestmen (1) are strongly affected by habitat quality and quantity, probably because, compared to other arthropod groups, they are relatively uniform in some relevant biological aspects (nocturnal predators dependent on microclimatic conditions that present low vagility); (2) are probably more indicative of intermediate-level disturbances, given the absence of species associated with highly-disturbed areas. (C) 2007 Elsevier Ltd. All rights reserved.</t>
  </si>
  <si>
    <t>Univ Sao Paulo, Inst Biociencias, Dept Zool, BR-05508900 Sao Paulo, Brazil</t>
  </si>
  <si>
    <t>Universidade de Sao Paulo</t>
  </si>
  <si>
    <t>Pardini, R (corresponding author), Univ Sao Paulo, Inst Biociencias, Dept Zool, Rua Matao,Travessa 14,101, BR-05508900 Sao Paulo, Brazil.</t>
  </si>
  <si>
    <t>cibrag@usp.br; andrearanhas@gmail.com; ricrocha@usp.br; renatapardini@uol.com.br</t>
  </si>
  <si>
    <t>Bragagnolo, Cibele/F-7588-2014; Pinto-da-Rocha, Ricardo/J-6774-2012; Pardini, Renata/C-4095-2012</t>
  </si>
  <si>
    <t>Bragagnolo, Cibele/0000-0003-0996-8635; Pardini, Renata/0000-0002-3769-8401</t>
  </si>
  <si>
    <t>Fundacao de Amparo a Pesquisa do Estado de Sao Paulo (FAPESP) [99/05123-4, 99/05446-8] Funding Source: FAPESP</t>
  </si>
  <si>
    <t>Fundacao de Amparo a Pesquisa do Estado de Sao Paulo (FAPESP)(Fundacao de Amparo a Pesquisa do Estado de Sao Paulo (FAPESP))</t>
  </si>
  <si>
    <t>3-4</t>
  </si>
  <si>
    <t>10.1016/j.biocon.2007.07.008</t>
  </si>
  <si>
    <t>222XE</t>
  </si>
  <si>
    <t>WOS:000250330700014</t>
  </si>
  <si>
    <t>Huberty, LE; Gross, KL; Miller, CJ</t>
  </si>
  <si>
    <t>community structure; fertilization; long-term studies; nitrogen; old-field; plant succession; species composition; species diversity; species turnover</t>
  </si>
  <si>
    <t>PLANT-COMMUNITIES; SOIL RESOURCES; INVASION; FERTILIZATION; COLONIZATION; CONSERVATION; POPULATION; VEGETATION; ECOSYSTEM</t>
  </si>
  <si>
    <t>1 We examined the impact of nitrogen addition on early successional dynamics and plant species diversity in replicate plots of an old-field succession treatment in south-western Michigan, USA, for 7 years following abandonment from agriculture. 2 Nitrogen addition significantly increased above-ground plant biomass, but had no effect on the displacement or persistence of different life-history groups. Annual species made up a similar proportion of community biomass and decreased at equivalent rates in control and nitrogen-addition microplots. Perennial species biomass increased at similar rates in the control and nitrogen-addition microplots. 3 Annual species dominated initially, but declined in abundance over the first 4 years and were replaced by biennials and then herbaceous perennials. The resulting high numbers of species losses and gains were not affected by nitrogen addition. 4 Nitrogen addition did not affect mean species density or the Shannon index of diversity. There was also no temporal change in the similarity of species composition between control and nitrogen-addition microplots, indicating that nitrogen addition did not cause divergence over time in community composition. In year 7, similar species dominated the nitrogen-addition and control microplots, but there were differences in species composition and abundance of the subordinate species in each community. 5 Only in year 6 of this study was there a significant negative relationship between community biomass and the Shannon diversity index. There was no significant relationship between community biomass and species density in any of the first 7 years following abandonment. Thus, the community response to increased biomass due to nitrogen addition was expressed primarily through changes in community structure, not richness. 6 The effects of nitrogen addition on the early successional dynamics, species composition and consequently diversity of a plant community may depend on initial site conditions. The response to nitrogen enrichment may be slower in sites such as ours with fertile soils that become dominated by herbaceous perennial dicots.</t>
  </si>
  <si>
    <t>Michigan State Univ, Wk Kellogg Biol Stn, Hickory Corners, MI 49060 USA; Michigan State Univ, Dept Bot &amp; Plant Pathol, Hickory Corners, MI 49060 USA</t>
  </si>
  <si>
    <t>Michigan State University; Michigan State University</t>
  </si>
  <si>
    <t>Gross, KL (corresponding author), Michigan State Univ, Wk Kellogg Biol Stn, Hickory Corners, MI 49060 USA.</t>
  </si>
  <si>
    <t>Kgross@kbs.msu.edu</t>
  </si>
  <si>
    <t>10.1046/j.1365-2745.1998.8650794.x</t>
  </si>
  <si>
    <t>135CH</t>
  </si>
  <si>
    <t>WOS:000076782200006</t>
  </si>
  <si>
    <t>Su, JQ; Li, XR; Li, XJ; Feng, L</t>
  </si>
  <si>
    <t>Su, Jieqiong; Li, Xinrong; Li, Xiaojun; Feng, Li</t>
  </si>
  <si>
    <t>Desert steppe; Herbaceous plant; N deposition; Plant community composition; Precipitation pattern</t>
  </si>
  <si>
    <t>NITROGEN DEPOSITION; TERRESTRIAL ECOSYSTEMS; PLANT-COMMUNITIES; ANNUAL GRASSLAND; TENGGER DESERT; BIODIVERSITY; WATER; FERTILIZATION; PRECIPITATION; DIVERSITY</t>
  </si>
  <si>
    <t>Human-induced nitrogen (N) enrichment is impacting the structure and function of grassland ecosystems, although few studies have been conducted in arid and semi-arid ecosystems under field conditions. Here, a 4-year multi-level N addition experiment under ambient precipitation in a typical temperate desert steppe in arid regions of China was designed to evaluate the impact of N enrichment on the herbaceous vegetation community in desert ecosystems. The results showed that species richness declined in response to N addition during all 4 years, while aboveground biomass increased in the relatively wet year (2007) and decreased in the relatively dry years (2008-2010) according to N addition level, as compared to the control. Plant community composition differed among plant functional groups (PFGs) based on added N. Perennial grasses (PG) benefited more compared with annuals and perennial forbs (PF) from N enrichment in terms of biomass production under conditions of high precipitation in 2007. In relatively dry years, biomass production of all PFGs was strictly dependent on inter- and intra-annual precipitation, which led PG to dominate in 2008 (with a dry spring) and PF to dominate in 2009 and 2010. Our results demonstrate that the impact of N enrichment on the herbaceous vegetation community in desert steppes may be strongly dependent on natural precipitation patterns characterized by shifts in plant community composition, particularly in terms of biomass production.</t>
  </si>
  <si>
    <t>[Su, Jieqiong; Li, Xinrong; Li, Xiaojun; Feng, Li] Chinese Acad Sci, Cold &amp; Arid Reg Environm &amp; Engn Res Inst, Shapotou Desert Res &amp; Expt Stn, Lanzhou 730000, Peoples R China; [Su, Jieqiong] Chinese Acad Sci, Grad Univ, Beijing 100049, Peoples R China</t>
  </si>
  <si>
    <t>Chinese Academy of Sciences; Cold &amp; Arid Regions Environmental &amp; Engineering Research Institute, CAS; Chinese Academy of Sciences; University of Chinese Academy of Sciences, CAS</t>
  </si>
  <si>
    <t>Su, JQ (corresponding author), Chinese Acad Sci, Cold &amp; Arid Reg Environm &amp; Engn Res Inst, Shapotou Desert Res &amp; Expt Stn, 320 Donggang W Rd, Lanzhou 730000, Peoples R China.</t>
  </si>
  <si>
    <t>sujieqionggs@163.com</t>
  </si>
  <si>
    <t>Li, Xiaojun/Q-2093-2016; Li, Xinrong/GNW-6025-2022</t>
  </si>
  <si>
    <t>Chinese Academy of Science [KZCX2-EW-301]; National Natural Scientific Foundation of China [40825001, 40930636]</t>
  </si>
  <si>
    <t>Chinese Academy of Science(Chinese Academy of Sciences); National Natural Scientific Foundation of China(National Natural Science Foundation of China (NSFC))</t>
  </si>
  <si>
    <t>We thank Haoyu He and Lei Huang for assistance in field work. This research was supported by Main Direction of Knowledge Innovation of Chinese Academy of Science (KZCX2-EW-301) and the National Natural Scientific Foundation of China (40825001, 40930636).</t>
  </si>
  <si>
    <t>SPRINGER JAPAN KK</t>
  </si>
  <si>
    <t>CHIYODA FIRST BLDG EAST, 3-8-1 NISHI-KANDA, CHIYODA-KU, TOKYO, 101-0065, JAPAN</t>
  </si>
  <si>
    <t>10.1007/s11284-012-0994-9</t>
  </si>
  <si>
    <t>076IV</t>
  </si>
  <si>
    <t>WOS:000313951000003</t>
  </si>
  <si>
    <t>Frankovich, TA; Armitage, AR; Wachnicka, AH; Gaiser, EE; Fourqurean, JW</t>
  </si>
  <si>
    <t>Frankovich, Thomas A.; Armitage, Anna R.; Wachnicka, Ania H.; Gaiser, Evelyn E.; Fourqurean, James W.</t>
  </si>
  <si>
    <t>NUTRIENT EFFECTS ON SEAGRASS EPIPHYTE COMMUNITY STRUCTURE IN FLORIDA BAY</t>
  </si>
  <si>
    <t>JOURNAL OF PHYCOLOGY</t>
  </si>
  <si>
    <t>diatoms; epiphytes; fertilization; Florida Bay; nitrogen; nutrients; phosphorus; photopigments; seagrass</t>
  </si>
  <si>
    <t>SUBMERGED AQUATIC VEGETATION; THALASSIA-TESTUDINUM; RELATIVE AVAILABILITY; MICROALGAL COMMUNITY; DIATOM ASSOCIATIONS; MACROALGAL BLOOMS; WATER-QUALITY; ENRICHMENT; BACILLARIOPHYTA; PHOSPHORUS</t>
  </si>
  <si>
    <t>A field experiment was employed in Florida Bay investigating the response of seagrass epiphyte communities to nitrogen (N) and phosphorus (P) additions. While most of the variability in epiphyte community structure was related to uncontrolled temporal and spatial environmental heterogeneity, P additions increased the relative abundance of the red algae-cyanobacterial complex and green algae, with a concomitant decrease in diatoms. When N was added along with P, the observed changes to the diatoms and the red algae-cyanobacterial complex were in the same direction as P-only treatments, but the responses were decreased in magnitude. Within the diatom community, species relative abundances, species richness, and diversity responded weakly to nutrient addition. P additions produced changes in diatom community structure that were limited to summer and were stronger in eastern Florida Bay than in the western bay. These changes were consistent with well-established temporal and spatial patterns of P limitation. Despite the significant change in community structure resulting from P addition, diatom communities from the same site and time, regardless of nutrient treatment, remained more similar to one another than to the diatom communities subject to identical nutrient treatments from different sites and times. Overall, epiphyte communities exhibited responses to P addition that were most evident at the division level.</t>
  </si>
  <si>
    <t>[Frankovich, Thomas A.; Gaiser, Evelyn E.; Fourqurean, James W.] Florida Int Univ, Dept Biol Sci, Miami, FL 33199 USA; [Frankovich, Thomas A.; Wachnicka, Ania H.; Gaiser, Evelyn E.; Fourqurean, James W.] Florida Int Univ, SE Environm Res Ctr, Miami, FL 33199 USA; [Armitage, Anna R.] Texas A&amp;M Univ, Dept Marine Biol, Galveston, TX 77551 USA; [Wachnicka, Ania H.] Florida Int Univ, Dept Earth Sci, Miami, FL 33199 USA</t>
  </si>
  <si>
    <t>State University System of Florida; Florida International University; State University System of Florida; Florida International University; Texas A&amp;M University System; State University System of Florida; Florida International University</t>
  </si>
  <si>
    <t>Frankovich, TA (corresponding author), Florida Int Univ, Dept Biol Sci, Miami, FL 33199 USA.</t>
  </si>
  <si>
    <t>frankovich@virginia.edu</t>
  </si>
  <si>
    <t>Armitage, Anna/X-2773-2019; Gaiser, Evelyn/ABG-2507-2020; Fourqurean, James/AAY-9611-2020</t>
  </si>
  <si>
    <t>Armitage, Anna/0000-0003-1563-8026; Gaiser, Evelyn/0000-0003-2065-4821; Fourqurean, James/0000-0002-0811-8500</t>
  </si>
  <si>
    <t>Everglades National Park [1443 CA528001022]; U.S. National Science Foundation [DEB-9910514]</t>
  </si>
  <si>
    <t>Everglades National Park; U.S. National Science Foundation(National Science Foundation (NSF))</t>
  </si>
  <si>
    <t>This research was funded by a grant from Everglades National Park under cooperative agreement #1443 CA528001022, and by the Florida Coastal Everglades Long Term Ecological Research Program funded by the U.S. National Science Foundation under cooperative agreement #DEB-9910514. Drs. Doug Morrison and Bill Perry facilitated permit issuance and use of ENP facilities. We thank Dr. Jay Zieman for the use of University of Virginia boats and microscope facilities. Agrium Advanced Technologies and The Mosaic Company generously donated the nitrogen and phosphorus fertilizers. This is contribution number 430 from the Southeast Environmental Research Center.</t>
  </si>
  <si>
    <t>0022-3646</t>
  </si>
  <si>
    <t>1529-8817</t>
  </si>
  <si>
    <t>J PHYCOL</t>
  </si>
  <si>
    <t>J. Phycol.</t>
  </si>
  <si>
    <t>10.1111/j.1529-8817.2009.00745.x</t>
  </si>
  <si>
    <t>Plant Sciences; Marine &amp; Freshwater Biology</t>
  </si>
  <si>
    <t>508BM</t>
  </si>
  <si>
    <t>WOS:000270901800003</t>
  </si>
  <si>
    <t>Joshi, J; Stoll, P; Rusterholz, HP; Schmid, B; Dolt, C; Baur, B</t>
  </si>
  <si>
    <t>extinction; fragment size; generalists/specialists; interaction stochasticity; species turnover</t>
  </si>
  <si>
    <t>CALCAREOUS GRASSLANDS; METAPOPULATION DYNAMICS; PLANTS; EXTINCTION; INVERTEBRATES; POPULATIONS; ADAPTATION; DEPRESSION; TURNOVER; REMNANTS</t>
  </si>
  <si>
    <t>Habitat fragmentation is one of the most important threats to biodiversity. Decreasing patch size may lead to a reduction in the size of populations and to an increased extinction risk of remnant populations. Furthermore, colonization rates may be reduced in isolated patches. To investigate the effects of isolation and patch size on extinction and colonization rates of plant species, calcareous grasslands at three sites in the Swiss Jura Mountains were experimentally fragmented into patches of 0.25, 2.25, and 20.25 m(2) by frequent mowing of the surrounding area from 1993 to 1999. Species richness in the fragment plots and adjacent control plots of the same sizes was recorded during these 7 years. In agreement with the theory of island biogeography, colonization rate was reduced by 30% in fragments versus non-isolated controls, and extinction increased in small versus large plots. Habitat specialists, in contrast to generalists, were less likely to invade fragments. In the last 4 years of the experiment, extinction rates tended to be higher in fragment than in control plots at two of the three sites. Despite reduced colonization rates and a tendency of increased extinction rates in fragments, fragmented plots had only marginally fewer species than control plots after 7 years. Hence, rates were a more sensitive measure for community change than changes in species richness per se. From a conservation point of view, the detected reduced colonization rates are particularly problematic in small fragments, which are more likely to suffer from high extinction rates in the long run.</t>
  </si>
  <si>
    <t>Univ Zurich, Inst Environm Sci, CH-8057 Zurich, Switzerland; Univ Basel, Sect Conservat Biol, Dept Environm Sci, CH-4056 Basel, Switzerland</t>
  </si>
  <si>
    <t>University of Zurich; University of Basel</t>
  </si>
  <si>
    <t>Joshi, J (corresponding author), Univ Zurich, Inst Environm Sci, Winterthurerstr 190, CH-8057 Zurich, Switzerland.</t>
  </si>
  <si>
    <t>joshi@uwinst.unizh.ch</t>
  </si>
  <si>
    <t>; Schmid, Bernhard/C-8625-2009; Stoll, Peter/A-8881-2010</t>
  </si>
  <si>
    <t>Joshi, Jasmin/0000-0002-4210-2465; Schmid, Bernhard/0000-0002-8430-3214; Stoll, Peter/0000-0003-1509-1702</t>
  </si>
  <si>
    <t>10.1007/s00442-005-0341-8</t>
  </si>
  <si>
    <t>034ZF</t>
  </si>
  <si>
    <t>WOS:000236968700016</t>
  </si>
  <si>
    <t>Leidner, AK; Haddad, NM; Lovejoy, TE</t>
  </si>
  <si>
    <t>Leidner, Allison K.; Haddad, Nick M.; Lovejoy, Thomas E.</t>
  </si>
  <si>
    <t>Does Tropical Forest Fragmentation Increase Long-Term Variability of Butterfly Communities?</t>
  </si>
  <si>
    <t>PLANT-SPECIES RICHNESS; HABITAT FRAGMENTATION; DEFORESTATION; EXTINCTIONS; LANDSCAPE; ABUNDANCE; RESPONSES; DECAY; BIRDS</t>
  </si>
  <si>
    <t>Habitat fragmentation is a major driver of biodiversity loss. Yet, the overall effects of fragmentation on biodiversity may be obscured by differences in responses among species. These opposing responses to fragmentation may be manifest in higher variability in species richness and abundance (termed hyperdynamism), and in predictable changes in community composition. We tested whether forest fragmentation causes long-term hyperdynamism in butterfly communities, a taxon that naturally displays large variations in species richness and community composition. Using a dataset from an experimentally fragmented landscape in the central Amazon that spanned 11 years, we evaluated the effect of fragmentation on changes in species richness and community composition through time. Overall, adjusted species richness (adjusted for survey duration) did not differ between fragmented forest and intact forest. However, spatial and temporal variation of adjusted species richness was significantly higher in fragmented forests relative to intact forest. This variation was associated with changes in butterfly community composition, specifically lower proportions of understory shade species and higher proportions of edge species in fragmented forest. Analysis of rarefied species richness, estimated using indices of butterfly abundance, showed no differences between fragmented and intact forest plots in spatial or temporal variation. These results do not contradict the results from adjusted species richness, but rather suggest that higher variability in butterfly adjusted species richness may be explained by changes in butterfly abundance. Combined, these results indicate that butterfly communities in fragmented tropical forests are more variable than in intact forest, and that the natural variability of butterflies was not a buffer against the effects of fragmentation on community dynamics.</t>
  </si>
  <si>
    <t>[Leidner, Allison K.; Haddad, Nick M.] N Carolina State Univ, Dept Biol, Raleigh, NC 27695 USA; [Lovejoy, Thomas E.] H John Heinz III Ctr Sci Econ &amp; Environm, Washington, DC USA; [Lovejoy, Thomas E.] Inst Nacl de Pesquisas da Amazonia, Biol Dynam Forest Fragments Project, Manaus, Amazonas, Brazil; [Lovejoy, Thomas E.] Smithsonian Trop Res Inst, Manaus, Amazonas, Brazil; [Lovejoy, Thomas E.] George Mason Univ, Dept Environm Sci &amp; Policy, Fairfax, VA 22030 USA</t>
  </si>
  <si>
    <t>North Carolina State University; Institute Nacional de Pesquisas da Amazonia; Smithsonian Institution; Smithsonian Tropical Research Institute; George Mason University</t>
  </si>
  <si>
    <t>Leidner, AK (corresponding author), Univ Maryland, Dept Plant Sci &amp; Landscape Architecture, College Pk, MD 20742 USA.</t>
  </si>
  <si>
    <t>Leidner@umd.edu</t>
  </si>
  <si>
    <t>Leidner, Allison/0009-0000-4337-6743</t>
  </si>
  <si>
    <t>Andrew W. Mellon Foundation; CitiCorp; Smithsonian Institution; Man and the Biosphere Program (MAB); World Wildlife Fund</t>
  </si>
  <si>
    <t>Andrew W. Mellon Foundation; CitiCorp; Smithsonian Institution(Smithsonian Institution); Man and the Biosphere Program (MAB); World Wildlife Fund</t>
  </si>
  <si>
    <t>The Andrew W. Mellon Foundation, CitiCorp, the Smithsonian Institution, the Man and the Biosphere Program (MAB), and World Wildlife Fund helped fund the Biological Dynamics of Forest Fragments Project. The funders had no role in study design, data collection and analysis, decision to publish, or preparation of the manuscript.</t>
  </si>
  <si>
    <t>MAR 10</t>
  </si>
  <si>
    <t>e9534</t>
  </si>
  <si>
    <t>10.1371/journal.pone.0009534</t>
  </si>
  <si>
    <t>565XE</t>
  </si>
  <si>
    <t>WOS:000275328800006</t>
  </si>
  <si>
    <t>Van Bael, SA; Bichier, P; Ochoa, I; Greenberg, R</t>
  </si>
  <si>
    <t>Van Bael, Sunshine A.; Bichier, Peter; Ochoa, Isis; Greenberg, Russell</t>
  </si>
  <si>
    <t>agroecosystem; Bocas del Toro; bird diversity; migratory birds; Theobroma cacao</t>
  </si>
  <si>
    <t>INSECTIVOROUS BIRDS; COFFEE PLANTATIONS; COSTA-RICA; MANAGEMENT INTENSITY; SPECIES RICHNESS; SHADE COFFEE; IMPACT; AGROECOSYSTEMS; CONSERVATION; ASSEMBLAGES</t>
  </si>
  <si>
    <t>Theobroma cacao plantings, when managed under the shade of rainforest trees, provide habitat for many resident and migratory bird species. We compared the bird diversity and community structure in organic cacao farms and nearby forest fragments throughout mainland Bocas del Toro, Panama. We used this dataset to ask the following questions: (1) How do bird communities using cacao habitat compare to communities of nearby forest fragments? (2) To what extent do Northern migratory birds use shaded cacao farms, and do communities of resident birds shift their abundances in cacao farms seasonally? (3) Do small scale changes in shade management of cacao farms affect bird diversity? Using fixed radius point counts and additional observations, we recorded 234 landbird species, with 102 species that were observed in both cacao and forest fragments, 86 species that were only observed in cacao farms, and 46 species that were restricted to forest fragments. Cacao farms were rich in canopy and edge species such as tanagers, flycatchers and migratory warblers, but understory insectivores were nearly absent from cacao farms. We observed 27 migratory species, with 18 species in cacao farms only, two species in forest only, and seven species that occurred in both habitats. In cacao farms, the diversity of birds was significantly greater where there was less intensive management of the canopy shade trees. Shade tree species richness was most important for explaining variance in bird diversity. Our study shows that shaded cacao farms in western Panama provide habitat for a wide variety of resident and migratory bird species. Considering current land use trends in the region, we suggest that action must be taken to prevent conversion away from shaded cacao farms to land uses with lower biodiversity conservation value.</t>
  </si>
  <si>
    <t>Smithsonian Trop Res Inst, Balboa, Ancon, Panama; Smithsonian Inst, Natl Zool Pk, Smithsonian Migratory Bird Ctr, Washington, DC 20008 USA</t>
  </si>
  <si>
    <t>Smithsonian Institution; Smithsonian Tropical Research Institute; Smithsonian Institution; Smithsonian National Zoological Park &amp; Conservation Biology Institute</t>
  </si>
  <si>
    <t>Van Bael, SA (corresponding author), Smithsonian Trop Res Inst, Apartado 0843-03092, Balboa, Ancon, Panama.</t>
  </si>
  <si>
    <t>vanbaels@si.edu</t>
  </si>
  <si>
    <t>Van Bael, Sunshine/K-1930-2019</t>
  </si>
  <si>
    <t>10.1007/s10531-007-9193-3</t>
  </si>
  <si>
    <t>188PQ</t>
  </si>
  <si>
    <t>WOS:000247932200002</t>
  </si>
  <si>
    <t>Perkin, JS; Gido, KB</t>
  </si>
  <si>
    <t>Perkin, Joshuah S.; Gido, Keith B.</t>
  </si>
  <si>
    <t>conservation biology; dendritic connectivity index, DCI; dendritic ecological networks; Great Plains, USA, stream fish community structure; metacommunity theory; riverine landscapes; road-crossing fragmentation; stream fish ecology; stream fragmentation</t>
  </si>
  <si>
    <t>ECOSYSTEM FUNCTION RESEARCH; GREAT-PLAINS; FRESH-WATER; ASSEMBLAGE STRUCTURE; SPATIAL STRUCTURE; SPECIES RICHNESS; EXTINCTION RISK; PRAIRIE STREAM; RIVER-BASIN; CONNECTIVITY</t>
  </si>
  <si>
    <t>Effects of fragmentation on the ecology of organisms occupying dendritic ecological networks (DENs) have recently been described through both conceptual and mathematical models, but few hypotheses have been tested in complex, real-world ecosystems. Stream fishes provide a model system for assessing effects of fragmentation on the structure of communities occurring within DENs, including how fragmentation alters metacommunity dynamics and biodiversity. A recently developed habitat-availability measure, the dendritic connectivity index'' (DCI), allows for assigning quantitative measures of connectivity in DENs regardless of network extent or complexity, and might be used to predict fish community response to fragmentation. We characterized stream fish community structure in 12 DENs in the Great Plains, USA, during periods of dynamic (summer) and muted (fall) discharge regimes to test the DCI as a predictive model of fish community response to fragmentation imposed by road crossings. Results indicated that fish communities in stream segments isolated by road crossings had reduced species richness (alpha diversity) relative to communities that maintained connectivity with the surrounding DEN during summer and fall. Furthermore, isolated communities had greater dissimilarity (beta diversity) to downstream sites not isolated by road crossings during summer and fall. Finally, dissimilarity among communities within DENs decreased as a function of increased habitat connectivity (measured using the DCI) for summer and fall, suggesting that communities within highly connected DENs tend to be more homogeneous. Our results indicate that the DCI is sensitive to community effects of fragmentation in riverscapes and might be used by managers to predict ecological responses to changes in habitat connectivity. Moreover, our findings illustrate that relating structural connectivity of riverscapes to functional connectivity among communities might aid in maintaining metacommunity dynamics and biodiversity in complex dendritic ecosystems.</t>
  </si>
  <si>
    <t>[Perkin, Joshuah S.; Gido, Keith B.] Kansas State Univ, Div Biol, Manhattan, KS 66506 USA</t>
  </si>
  <si>
    <t>Kansas State University</t>
  </si>
  <si>
    <t>Perkin, JS (corresponding author), Kansas State Univ, Div Biol, 116 Ackert Hall, Manhattan, KS 66506 USA.</t>
  </si>
  <si>
    <t>jperkin@ksu.edu</t>
  </si>
  <si>
    <t>Gido, Keith/B-5151-2013</t>
  </si>
  <si>
    <t>Kansas Department of Wildlife, Parks, and Tourism (KDWPT); Division of Biology at Kansas State University</t>
  </si>
  <si>
    <t>This research was supported by funding from the Kansas Department of Wildlife, Parks, and Tourism (KDWPT) and the Division of Biology at Kansas State University. We thank Amanda Alexander, Andrew Dellet, Joseph Gerken, Kristy Kollaus, Josiah Maine, Kirk Mammoliti, Jeff Rogosch, Dustin Shaw, Trevor Starks, Matt Troia, and James Whitney for field and laboratory assistance. We thank Brian Obermeyer with The Nature Conservancy as well as Eric Johnson and Ed Miller with the KDWPT for logistical support, and numerous private landowners for stream access. The manuscript was improved by the contributions of the LAB journal club and two anonymous reviewers. Fish collections were conducted with permission from the KDWPT (permit number SC-103-2010) and the United States Fish and Wildlife Service (permit number TE136943-0).</t>
  </si>
  <si>
    <t>10.1890/12-0318.1</t>
  </si>
  <si>
    <t>057TQ</t>
  </si>
  <si>
    <t>WOS:000312587300011</t>
  </si>
  <si>
    <t>Quintero, I; Roslin, T</t>
  </si>
  <si>
    <t>Rapid recovery of dung beetle communities following habitat fragmentation in central Amazonia</t>
  </si>
  <si>
    <t>Amazonas; Brazil; dung beetle; forest fragmentalion; matrix habitat; rain forest; recovery; secondary vegetation</t>
  </si>
  <si>
    <t>FOREST FRAGMENTATION; SPECIES RICHNESS; CARRION BEETLES; DIVERSITY; CONSERVATION; COLEOPTERA; DYNAMICS; LAND</t>
  </si>
  <si>
    <t>Few studies have directly assessed how rapidly functionally important insect communities recover following rain forest loss and fragmentation. In 1986, B. Klein compared the dung and carrion beetle assemblages of clearcuts, fragmented, and non-fragmented forests in central Amazonia, reporting drastic short-term changes in community composition. Fifteen years later, we resampled the same sites using identical techniques and found that, with the regrowth of secondary vegetation between forest fragments, the initial differences had largely disappeared. As the secondary vegetation itself supports dung beetle assemblages similar to those of continuous forest, we conclude that, from the perspective of the dung beetles, the experimentally fragmented area had returned to a continuous state within approximately one decade. These results offer some good news for the conservation of tropical ecosystems, since they suggest that conditions favorable for functionally important arthropods may be quickly restored by secondary regrowth. They also suggest that the preservation of forest fragments and secondary vegetation may provide an important complement to the conservation of intact mature forest.</t>
  </si>
  <si>
    <t>BDFFP, BR-69060001 Manaus, Amazonas, Brazil; INPA, BR-69083000 Manaus, Amazonas, Brazil; Univ Helsinki, Dept Biol &amp; Environm Sci, Metapopulat Res Grp, FI-00014 Helsinki, Finland</t>
  </si>
  <si>
    <t>Institute Nacional de Pesquisas da Amazonia; University of Helsinki</t>
  </si>
  <si>
    <t>Quintero, I (corresponding author), Inst Invest Recursos Biol Alexander Humboldt, Inventories Program, Plaza Ricaurte,Apartado Aereo 048, Villa De Leyva, Boyaca, Colombia.</t>
  </si>
  <si>
    <t>iquintero@humboldt.org.co; tomas.roslin@helsinki.fi</t>
  </si>
  <si>
    <t>; Roslin, Tomas/E-8648-2016</t>
  </si>
  <si>
    <t>Quintero, Ingrid/0009-0008-6339-7320; Roslin, Tomas/0000-0002-2957-4791</t>
  </si>
  <si>
    <t>10.1890/04-1960</t>
  </si>
  <si>
    <t>994YI</t>
  </si>
  <si>
    <t>WOS:000234066700022</t>
  </si>
  <si>
    <t>Hassall, M; Jones, DT; Taiti, S; Latipi, Z; Sutton, SL; Mohammed, M</t>
  </si>
  <si>
    <t>Hassall, M.; Jones, D. T.; Taiti, S.; Latipi, Z.; Sutton, S. L.; Mohammed, M.</t>
  </si>
  <si>
    <t>EUROPEAN JOURNAL OF SOIL BIOLOGY</t>
  </si>
  <si>
    <t>14th International Colloquium on Soil Zoology - Soil Animals and Ecosystems Services</t>
  </si>
  <si>
    <t>AUG 30-SEP 03, 2004</t>
  </si>
  <si>
    <t>Univ Rouen, Mt St Aignan, FRANCE</t>
  </si>
  <si>
    <t>Univ Rouen</t>
  </si>
  <si>
    <t>diversity; species richness; equitability; tropical rain forest; logging; deforestation; dynamic equilibrium hypothesis</t>
  </si>
  <si>
    <t>FORAGING ANT COMMUNITIES; TROPICAL RAIN-FOREST; SPECIES-DIVERSITY; LAND-USE; PHILOSCIIDAE CRUSTACEA; BUTTERFLY COMMUNITIES; POPULATION-DYNAMICS; TERMITE ASSEMBLAGE; SOUTHERN CAMEROON; SRI-LANKA</t>
  </si>
  <si>
    <t>Connell's intermediate disturbance. hypothesis predicts that the highest diversity is maintained at intermediate levels of disturbance; We have examined this hypothesis by observing differences in biodiversity of terrestrial isopods along a gradient of disturbance from two undisturbed primary tropical rainforest sites, to a logged site, a mixed native fruit orchard and a commercial oil palm plantation, in Sabah, East Malaysia. We describe a standardised protocol for the rapid assessment of isopod biodiversity on tropical forest floor sites and for measuring environmental variables to which we have related differences in species richness and relative abundance of the isopods:. The results do not support Connell's hypothesis because there were no significant differences in diversity, species richness or equitability between disturbed sites and the nearest primary forests. The relative abundance of individual species was highest in the most disturbed environment. We suggest that this may be because particular species are well adapted to exploiting resources under the more 'r' selection conditions created by disturbance. Possible reasons for why the observations do not conform with predictions from the intermediate disturbance hypothesis are discussed. We conclude that Huston's dynamic equilibrium model is more appropriate than the intermediate disturbance hypothesis in predicting the effects of disturbance of tropical rainforests on these arthropod macro-decomposers. (c) 2006 Published by Elsevier Masson SAS.</t>
  </si>
  <si>
    <t>Univ E Anglia, Sch Environm Sci, Ctr Ecol Evolut &amp; Conservat, Norwich NR4 7JT, Norfolk, England; British Museum Nat Hist, Dept Entomol, Soil Biodivers Res Grp, London SW7 5BD, England; CNR, Ist Studio Ecosist, I-50019 Florence, Italy; Univ Malaysia Sabah, Trop Biol &amp; Conservat Inst, Sabah, Malaysia</t>
  </si>
  <si>
    <t>University of East Anglia; British Museum of Natural History; Consiglio Nazionale delle Ricerche (CNR); Istituto per lo Studio degli Ecosistemi (ISE-CNR); Universiti Malaysia Sabah</t>
  </si>
  <si>
    <t>Hassall, M (corresponding author), Univ E Anglia, Sch Environm Sci, Ctr Ecol Evolut &amp; Conservat, Norwich NR4 7JT, Norfolk, England.</t>
  </si>
  <si>
    <t>m.hassall@uea.ac.uk</t>
  </si>
  <si>
    <t>TAITI, STEFANO/O-2202-2019; Mohammed, Murad/AAB-7116-2022</t>
  </si>
  <si>
    <t>TAITI, STEFANO/0000-0002-4909-6037;</t>
  </si>
  <si>
    <t>ELSEVIER FRANCE-EDITIONS SCIENTIFIQUES MEDICALES ELSEVIER</t>
  </si>
  <si>
    <t>PARIS</t>
  </si>
  <si>
    <t>23 RUE LINOIS, 75724 PARIS, FRANCE</t>
  </si>
  <si>
    <t>1164-5563</t>
  </si>
  <si>
    <t>EUR J SOIL BIOL</t>
  </si>
  <si>
    <t>Eur. J. Soil Biol.</t>
  </si>
  <si>
    <t>S197</t>
  </si>
  <si>
    <t>S207</t>
  </si>
  <si>
    <t>10.1016/j.ejsobi.2006.07.002</t>
  </si>
  <si>
    <t>Ecology; Soil Science</t>
  </si>
  <si>
    <t>Conference Proceedings Citation Index - Science (CPCI-S); Science Citation Index Expanded (SCI-EXPANDED)</t>
  </si>
  <si>
    <t>Environmental Sciences &amp; Ecology; Agriculture</t>
  </si>
  <si>
    <t>122YP</t>
  </si>
  <si>
    <t>WOS:000243263800027</t>
  </si>
  <si>
    <t>Braschler, B; Lampel, G; Baur, B</t>
  </si>
  <si>
    <t>Experimental small-scale grassland fragmentation alters aphid population dynamics</t>
  </si>
  <si>
    <t>HABITAT FRAGMENTATION; SPECIES LOSS; ANTS; SUBDIVISION; ASSOCIATION; COMPETITION; MUTUALISTS; RESOURCE; IMPACTS; QUALITY</t>
  </si>
  <si>
    <t>Theory predicts that at higher trophic levels species are especially vulnerable to habitat fragmentation due to small population size and dependence on particular prey species. Using aphids as model organism, we tested the hypothesis that herbivore abundance increases in fragmented habitats Lis a result Of reduced predator and parasitoid densities. In a 3 year-study, we examined the population dynamics of aphids with respect to host plant abundance and ant nest density in experimentally fragmented calcareous grasslands at two sites in the northern Jura mountains. Fragments of different size (area: 20.25 m(2). 2.25 m(2) and 0.25 m(2)) were isolated by a 5 in wide strip of frequently mown vegetation and corresponding control plots were situated in the adjacent undisturbed grassland. Aphid density was higher in fragments than in control plots. This was a combined result of a higher frequency of aphid-infested plants and larger aphid colonies in fragments than in control plots. Furthermore, a larger proportion of aphid colonies was ant-attended in fragments than in control plots. Aphid colonies were also more frequently visited by ants in fragments than in control plots in one of the 3 years. Parasitoid pressure on aphids was not influenced by the experimental fragmentation. Neither were aphid species richness and diversity affected by the fragmentation. Our study shows that even small-scale habitat fragmentation can have profound effects on the abundance of herbivorous insects. The effect on aphid density was consistent over 3 years and two sites with slightly different aphid communities.</t>
  </si>
  <si>
    <t>Univ Basel, Dept Integrat Biol, NLU, CH-4056 Basel, Switzerland; Univ Fribourg, Inst Zool, CH-1700 Fribourg, Switzerland</t>
  </si>
  <si>
    <t>University of Basel; University of Fribourg</t>
  </si>
  <si>
    <t>Braschler, B (corresponding author), Univ Basel, Dept Integrat Biol, NLU, St Johanns Vorstadt 10, CH-4056 Basel, Switzerland.</t>
  </si>
  <si>
    <t>brigitte.braschler@unibas.ch</t>
  </si>
  <si>
    <t>Braschler, Brigitte/N-6953-2017</t>
  </si>
  <si>
    <t>Braschler, Brigitte/0000-0003-0088-3651</t>
  </si>
  <si>
    <t>10.1034/j.1600-0706.2003.12220.x</t>
  </si>
  <si>
    <t>662TD</t>
  </si>
  <si>
    <t>WOS:000181963700018</t>
  </si>
  <si>
    <t>Ramula, S; Pihlaja, K</t>
  </si>
  <si>
    <t>Ramula, Satu; Pihlaja, Kati</t>
  </si>
  <si>
    <t>Community composition; Invasive species; Lupinus polyphyllus; Plant traits; Reproductive success; Species richness</t>
  </si>
  <si>
    <t>IMPATIENS-GLANDULIFERA; COMPARATIVE DEMOGRAPHY; LUPINUS-POLYPHYLLUS; RIPARIAN VEGETATION; LYTHRUM-SALICARIA; SPECIES RICHNESS; ROAD VERGES; METAANALYSIS; POLLINATION; DIVERSITY</t>
  </si>
  <si>
    <t>The effects of plant invasions on plant communities are often assessed at a few sites or in a particular type of habitat, while studies in different habitat types are scarce. We investigated plant communities in the presence and absence of the invasive ornamental herb, Lupinus polyphyllus, in four habitat types: meadow, forest, road verge and wasteland, in two geographic regions by comparing vascular plant species richness, vegetation structure based on species traits, community composition and the reproductive success of native plant species at invaded and non-invaded locations. The invader was associated with declines in the number of vascular plant species in all habitat types but was unassociated with differences in plant community composition in terms of species identity or species relative cover. However, sites with large lupin invasions (a parts per thousand yen1,000 m(2)) contained fewer vascular plant species, a larger proportion of clonal species and more lighter-seeded species than sites with small invasions. The reproductive output of native plants varied across habitats from declines to increases in the presence of L. polyphyllus, and depended on species status (meadow, non-meadow species) rather than species identity, with meadow species generally showing an increase in the reproductive output in the presence of the invader. Overall, our results demonstrate that lupin invasions are associated with declines in local plant species richness across habitats. Although we did not detect systematic differences in species composition between invaded and non-invaded locations, species with particular traits may still be more persistent in invaded plant communities than others.</t>
  </si>
  <si>
    <t>[Ramula, Satu] Lund Univ, Dept Biol, Biodivers Unit, S-22362 Lund, Sweden; [Ramula, Satu; Pihlaja, Kati] Univ Turku, Dept Biol, Sect Ecol, Turku 20014, Finland</t>
  </si>
  <si>
    <t>Lund University; University of Turku</t>
  </si>
  <si>
    <t>Ramula, S (corresponding author), Lund Univ, Dept Biol, Biodivers Unit, S-22362 Lund, Sweden.</t>
  </si>
  <si>
    <t>satu.ramula@biol.lu.se</t>
  </si>
  <si>
    <t>Ramula, Satu/0000-0001-7795-0352</t>
  </si>
  <si>
    <t>Academy of Finland</t>
  </si>
  <si>
    <t>Academy of Finland(Research Council of Finland)</t>
  </si>
  <si>
    <t>We thank the Academy of Finland for funding, Tuija Hakkila for assistance in the field, and three anonymous reviewers for valuable comments.</t>
  </si>
  <si>
    <t>10.1007/s10530-012-0215-z</t>
  </si>
  <si>
    <t>995UE</t>
  </si>
  <si>
    <t>WOS:000308037700010</t>
  </si>
  <si>
    <t>McLaren, JR; Turkington, R</t>
  </si>
  <si>
    <t>McLaren, Jennie R.; Turkington, Roy</t>
  </si>
  <si>
    <t>JOURNAL OF VEGETATION SCIENCE</t>
  </si>
  <si>
    <t>Biodiversity; Context dependence; Ecosystem function; Fertilization; Rare species; Removal experiment</t>
  </si>
  <si>
    <t>INTERSPECIFIC COMPETITION; SPECIES REMOVAL; SOIL RESPONSES; ALPINE TUNDRA; COMMUNITIES; GRASSLAND; DIVERSITY; NITROGEN; FERTILIZATION; BIODIVERSITY</t>
  </si>
  <si>
    <t>Question What is the role of functional group identity in determining community composition and dynamics? Location A natural grassland in Yukon Territory, Canada. Methods We selectively removed single plant functional groups (graminoids, forbs, legumes) to examine their effects on biomass compensation, the distribution of biomass among common and rare colonizing species, and plant species richness and diversity. Removals were conducted across two environmental treatments (fertilization and fungicide) to test if biomass compensation was context-dependent. Biomass was estimated non-destructively using point-intercept sampling. Results When graminoids or legumes were continuously removed, there was full biomass compensation by the remaining functional groups after 5 years, but only partial compensation when forbs were removed. Biomass compensation depended on the colonizing functional group; forbs showed no increase in biomass until 5 years after the removal of any functional group, but graminoids colonized quickly after removals. After any removal, the dominant species within each remaining functional group showed no compensatory growth, whereas the first subdominant forb and graminoid both increased in biomass. Rare species had a delayed response to removals; rare species biomass only increased beginning 5 years after removals. Context dependence was observed only in the response of subdominant species to removals, and these responses did not translate into context-dependent effects on total estimated biomass. Conclusion We show that the effects of losing a plant functional group depends both on the identity of the group removed and on the species remaining. In this northern grassland, most compensatory growth was by the subdominant species, which may determine the direction of community development in the long term.</t>
  </si>
  <si>
    <t>[McLaren, Jennie R.; Turkington, Roy] Univ British Columbia, Dept Bot, Vancouver, BC, Canada; [McLaren, Jennie R.; Turkington, Roy] Univ British Columbia, Biodivers Res Ctr, Vancouver, BC V5Z 1M9, Canada</t>
  </si>
  <si>
    <t>University of British Columbia; University of British Columbia</t>
  </si>
  <si>
    <t>McLaren, JR (corresponding author), Univ Texas Arlington, Dept Biol, Arlington, TX 76019 USA.</t>
  </si>
  <si>
    <t>jennie.mclaren@gmail.com; royt@interchange.ubc.ca</t>
  </si>
  <si>
    <t>McLaren, Jennie/U-9130-2019</t>
  </si>
  <si>
    <t>Natural Sciences and Engineering Research Council of Canada; Killam Foundation; Mountain Equipment Co-op Environment Fund; Sigma-Xi; Yukon College</t>
  </si>
  <si>
    <t>Natural Sciences and Engineering Research Council of Canada(Natural Sciences and Engineering Research Council of Canada (NSERC)CGIAR); Killam Foundation; Mountain Equipment Co-op Environment Fund; Sigma-Xi; Yukon College</t>
  </si>
  <si>
    <t>This research was supported by the Natural Sciences and Engineering Research Council of Canada (Discovery grant to R. T. and scholarship to J.R.M.), the Killam Foundation (fellowship to J.R.M.), Mountain Equipment Co-op Environment Fund, Sigma-Xi Grant-in-Aid and Yukon College Northern Exploration Fund. We thank the Arctic Institute of North America staff for logistical and other support at the Kluane Lake Research Station. We thank numerous field assistants for assistance in collecting cover data. We are especially grateful to the Kluane First Nation and Champagne-Aishihik First Nation for permission to conduct research on their traditional lands. Comments from S. Bret-Harte and J.C. Cahill greatly improved a previous version of this manuscript.</t>
  </si>
  <si>
    <t>1100-9233</t>
  </si>
  <si>
    <t>1654-1103</t>
  </si>
  <si>
    <t>J VEG SCI</t>
  </si>
  <si>
    <t>J. Veg. Sci.</t>
  </si>
  <si>
    <t>10.1111/j.1654-1103.2011.01263.x</t>
  </si>
  <si>
    <t>752XG</t>
  </si>
  <si>
    <t>WOS:000289728200012</t>
  </si>
  <si>
    <t>Feer, F; Hingrat, Y</t>
  </si>
  <si>
    <t>fragmentation; islands; rainforest; Scarabaeidae</t>
  </si>
  <si>
    <t>TROPICAL RAIN-FOREST; MONKEYS ALOUATTA-PALLIATA; SEED DISPERSAL; LOS-TUXTLAS; CARRION BEETLES; EUGLOSSINE BEES; SCARABAEIDAE; POPULATION; COLEOPTERA; DIVERSITY</t>
  </si>
  <si>
    <t>Fragmentation is the most common disturbance induced by humans in tropical forests. Some insect groups are particularly suitable for studying the effects of fragmentation on animal communities because they are taxonomically and ecologically homogenous. We investigated the effects of forest fragmentation on a dung beetle species community in the forest archipelago created in 1994-1995 by the dam of Petit Saut, French Guiana. We set and baited an equal number of pitfall traps for dung beetles on three mainland sites and seven island sites. The sites ranged from 1.1 to 38 ha. In 250 trap days, we captured 50 species in 19 genera. Diversity indices were high (2.18-4.06). The lowest diversity was on the small islands and one mainland site. Species richness and abundance were positively related to fragment area but not to distance from mainland or distance to the larger island. The islands had lower species richness and population than mainland forest, but rarefied species richness was relatively invariant across sites. There was a marked change in species composition with decreasing fragment that was not caused by the presence of a common fauna of disturbed area species on islands. Small islands differed from larger islands, which did not differ significantly from mainland sites. Partial correlation analyses suggested that species richness and abundance of dung beetle species were positively related to the number of species of nonflying mammals and the density index of howler monkeys (Alouatta seniculus), two parameters positively related to fragment area.</t>
  </si>
  <si>
    <t>Museum Natl Hist Nat, Ecol Lab, CNRS, UMR 5176, F-91800 Brunoy, France; Emirats Ctr Wildlife Propagat, Missour, Boulemane, Morocco</t>
  </si>
  <si>
    <t>Museum National d'Histoire Naturelle (MNHN); Centre National de la Recherche Scientifique (CNRS)</t>
  </si>
  <si>
    <t>Feer, F (corresponding author), Museum Natl Hist Nat, Ecol Lab, CNRS, UMR 5176, 4 Ave Petit Chateau, F-91800 Brunoy, France.</t>
  </si>
  <si>
    <t>feer@mnhn.fr</t>
  </si>
  <si>
    <t>Hingrat, Yves/AAR-3275-2021</t>
  </si>
  <si>
    <t>Hingrat, Yves/0000-0003-2388-8826</t>
  </si>
  <si>
    <t>10.1111/j.1523-1739.2005.00087.x</t>
  </si>
  <si>
    <t>953XL</t>
  </si>
  <si>
    <t>WOS:000231118600017</t>
  </si>
  <si>
    <t>Stoll, P; Dolt, C; Goverde, M; Baur, B</t>
  </si>
  <si>
    <t>Stoll, Peter; Dolt, Claudine; Goverde, Marcel; Baur, Bruno</t>
  </si>
  <si>
    <t>Betonica officinalis; gastropods; grasshoppers; herbivory; invertebrates</t>
  </si>
  <si>
    <t>CALCAREOUS GRASSLANDS; COMMUNITY STRUCTURE; SCALE; PLANT; PERFORMANCE; BUTTERFLIES; ARTHROPOD; RESPONSES; ECOSYSTEM; RICHNESS</t>
  </si>
  <si>
    <t>A field experiment was conducted to examine the effects of habitat fragmentation on herbivore damage to individually tagged leaves of Betonica officinalis rosettes. Fragments of different size and corresponding control plots were established at three study sites in nutrient-poor calcareous grasslands in the northern Swiss Jura mountains. Leaf damage was recorded three times over the growing season (late spring, summer and early autumn). Five years after the initiation of the fragmentation, the density of rosettes did not differ between fragments and control plots. The number of leaves per rosette was higher in fragments than in control plots in summer but not in late spring and early autumn. The extent of leaf damage, expressed as proportion of leaf area removed by invertebrate herbivores, increased over the vegetation period. Leaf damage was greater in fragments than in control plots at two study sites, whereas the opposite (less strongly expressed) was found at the third site. Number of species and density (individuals per m(2)) of potential herbivores (gastropods and grasshoppers) were recorded in all. fragments and control plots. Effects of fragmentation on the number of species and densities depended on plot size and differed between gastropods and grasshoppers. Leaf damage in fragments increased with increasing density of gastropods if the third site, which had lowest leaf damage, was excluded. Such a positive relationship was neither found in control plots nor for grasshopper densities. Thus, movement of gastropods in fragments was probably restricted which resulted in increased feeding pressure at least in two sites. However, even if our fragmentation experiment was well designed and replicated, the interpretation of these experimental results remains difficutt because there was large site-to-site and seasonal variation. (c) 2005 Gesellschaft fur bkologie. Published by Elsevier GmbH. All rights reserved.</t>
  </si>
  <si>
    <t>Univ Basel, Sect Conservat Biol, Dept Integrat Biol, CH-4056 Basel, Switzerland</t>
  </si>
  <si>
    <t>University of Basel</t>
  </si>
  <si>
    <t>Stoll, P (corresponding author), Univ Basel, Sect Conservat Biol, Dept Integrat Biol, St Johanns Vorstadt 10, CH-4056 Basel, Switzerland.</t>
  </si>
  <si>
    <t>Peter.Stoll@unibas.ch</t>
  </si>
  <si>
    <t>; Stoll, Peter/A-8881-2010</t>
  </si>
  <si>
    <t>Goverde, Marcel/0000-0002-7591-0557; Stoll, Peter/0000-0003-1509-1702</t>
  </si>
  <si>
    <t>10.1016/j.baae.2005.09.001</t>
  </si>
  <si>
    <t>065ZT</t>
  </si>
  <si>
    <t>WOS:000239199700003</t>
  </si>
  <si>
    <t>Forrest, J; Arnott, SE</t>
  </si>
  <si>
    <t>Forrest, Jessica; Arnott, Shelley E.</t>
  </si>
  <si>
    <t>colonisation; dispersal; disturbance; eutrophication; invasibility</t>
  </si>
  <si>
    <t>FRESH-WATER ZOOPLANKTON; SPECIES RICHNESS; CRUSTACEAN ZOOPLANKTON; PLANT-COMMUNITIES; DISPERSAL; LAKE; RECOVERY; POPULATIONS; PRODUCTIVITY; CLADOCERAN</t>
  </si>
  <si>
    <t>Dispersal can be an important determinant of local diversity and species composition, but evidence for effects of the regional species pool on local zooplankton communities has been mixed. Theory and experiments suggest that immigration will be necessary for maintenance of community diversity and functioning during periods of environmental change; conversely, fluctuating resource levels may increase the likelihood of invasion success. We conducted a factorial-design mesocosm experiment to test the effects of a nutrient pulse and weekly immigration from other lakes on the diversity and composition of a pelagic zooplankton community. Contrary to expectations, there were no interactive effects of nutrient enrichment and immigration on any measure of diversity, and the initial shift in community composition in response to the nutrient pulse did not depend on the introduction of new species or genotypes from more productive lakes. Although immigration increased species richness in enclosures, success of most colonising species was poor. However, the dispersal treatment appears to have enabled a stronger predator response to increased herbivore numbers in nutrient-pulsed enclosures, leading to an eventual decline in the abundance of some herbivorous species in response to immigration. We conclude that community invasibility was not influenced by productivity, and that dispersal limitation did not strongly constrain the response of the zooplankton community to our applied disturbance. This indicates an unexpected resistance to change in species composition and diversity in spite of disturbance, and suggests that, in our study system, changes in the abundance of resident species are more important than introductions of new species in the community response to short-term environmental change.</t>
  </si>
  <si>
    <t>Queens Univ, Dept Biol, Kingston, ON K7L 3N6, Canada</t>
  </si>
  <si>
    <t>Queens University - Canada</t>
  </si>
  <si>
    <t>Arnott, SE (corresponding author), Queens Univ, Dept Biol, Kingston, ON K7L 3N6, Canada.</t>
  </si>
  <si>
    <t>arnotts@biology.queensu.ca</t>
  </si>
  <si>
    <t>; Forrest, Jessica/A-6290-2010</t>
  </si>
  <si>
    <t>Arnott, Shelley/0000-0002-3834-703X; Forrest, Jessica/0000-0002-5273-9339</t>
  </si>
  <si>
    <t>10.1007/s00442-006-0490-4</t>
  </si>
  <si>
    <t>098WB</t>
  </si>
  <si>
    <t>WOS:000241552400013</t>
  </si>
  <si>
    <t>Gonzalez, A</t>
  </si>
  <si>
    <t>Community relaxation in fragmented landscapes: the relation between species richness, area and age</t>
  </si>
  <si>
    <t>community relaxation; extinction debt; extinction; habitat fragmentation; landscape; moss microcosm; species-area relation</t>
  </si>
  <si>
    <t>INSULAR BIOGEOGRAPHY; FOREST FRAGMENTATION; HABITAT DESTRUCTION; EXTINCTION DEBT; MICROECOSYSTEM; VARIABILITY; RESPONSES; MAMMALS; BIOLOGY; ECOLOGY</t>
  </si>
  <si>
    <t>Estimates of species loss due to habitat destruction are normally based on calculations employing the species-area relation, S = cA(z). The validity of this approach is based on the assumption that the value of the exponent (z) defining the slope of the species-area relation in nonfragmented communities is at a steady state and that z is thus a constant. However, departure from such an assumption renders this approach unreliable. Here I report the results from a natural field experiment using model bryophyte-based microlandscapes designed to follow the species richness dynamics of microarthropod communities postfragmentation. Community isolation due to fragmentation initiated a delayed community relaxation process and resulted in substantial local extinction. Over the period of the experiment z declined in the control communities and yet remained fairly stable in the fragmented communities. I conclude that predictions of species loss due to habitat fragmentation that do not take into account the fact that often z may not be a constant may lead to error-prone predictions of future species loss.</t>
  </si>
  <si>
    <t>Univ London Imperial Coll Sci Technol &amp; Med, NERC, Ctr Populat Biol, Ascot SL5 7PY, Berks, England; Ecole Normale Super, CNRS, URA 258, Lab Ecol Fonct &amp; Evolut Syst Ecol, F-75230 Paris 05, France</t>
  </si>
  <si>
    <t>UK Research &amp; Innovation (UKRI); Natural Environment Research Council (NERC); Imperial College London; Universite PSL; Ecole Normale Superieure (ENS); Centre National de la Recherche Scientifique (CNRS)</t>
  </si>
  <si>
    <t>Gonzalez, A (corresponding author), Univ London Imperial Coll Sci Technol &amp; Med, NERC, Ctr Populat Biol, Silwood Pk, Ascot SL5 7PY, Berks, England.</t>
  </si>
  <si>
    <t>gonzalez@biologie.ens.fr</t>
  </si>
  <si>
    <t>10.1046/j.1461-0248.2000.00171.x</t>
  </si>
  <si>
    <t>361HY</t>
  </si>
  <si>
    <t>WOS:000089718700009</t>
  </si>
  <si>
    <t>Magura, T; Horváth, R; Tóthmérész, B</t>
  </si>
  <si>
    <t>Magura, Tibor; Horvath, Roland; Tothmeresz, Bela</t>
  </si>
  <si>
    <t>Araneae; Disturbance; Diversity; Forest species; Fragmentation; Habitat affinity</t>
  </si>
  <si>
    <t>CARABID BEETLE ASSEMBLAGES; URBAN-RURAL GRADIENT; HABITAT FRAGMENTATION; COMMUNITY STRUCTURE; FLANDERS BELGIUM; OLD-GROWTH; DIVERSITY; PATTERNS; INDICATORS; COLEOPTERA</t>
  </si>
  <si>
    <t>Effects of urbanization on ground-dwelling spiders (Araneae) were studied using pitfall traps along an urban-suburban-rural forest gradient in Debrecen (Hungary). We found that overall spider species richness was significantly higher in the urban sites compared to the suburban and rural ones. The increased diversity was due to the significantly more open-habitat species in the assemblages at the urban sites. This suggests that species from the surrounding matrix (grasslands and arable lands) penetrated the disturbed urban sites. The ratio of forest species was significantly higher in the rural sites than in the suburban and urban ones, suggesting that forest species are indeed sensitive to the disturbance caused by urbanization. Canonical correspondence analysis revealed that the species composition changed remarkably along the urbanization gradient. Open-habitat spiders were associated with the urban sites of higher ground and air temperature. Forest spiders were characteristic of the rural sites with higher amount of decaying woods. Our findings suggest that the overall diversity was not the most appropriate indicator of disturbance; species with different habitat affinity should be analyzed separately to get an ecologically relevant picture of the effect of urbanization.</t>
  </si>
  <si>
    <t>[Horvath, Roland; Tothmeresz, Bela] Univ Debrecen, Dept Ecol, H-4010 Debrecen, Hungary; [Magura, Tibor] Hortobagy Natl Pk Directorate, H-4002 Debrecen, Hungary</t>
  </si>
  <si>
    <t>University of Debrecen</t>
  </si>
  <si>
    <t>Horváth, R (corresponding author), Univ Debrecen, Dept Ecol, POB 71, H-4010 Debrecen, Hungary.</t>
  </si>
  <si>
    <t>horvathr@tigris.unideb.hu</t>
  </si>
  <si>
    <t>Tóthmérész, Béla/A-5114-2009; Magura, Tibor/I-4383-2019</t>
  </si>
  <si>
    <t>Tóthmérész, Béla/0000-0002-4766-7668; Magura, Tibor/0000-0002-9130-6122</t>
  </si>
  <si>
    <t>Hungarian Scientific Research Fund [F61651]; Janos Bolyai Research Scholarship of the Hungarian Academy of Sciences</t>
  </si>
  <si>
    <t>Hungarian Scientific Research Fund(Orszagos Tudomanyos Kutatasi Alapprogramok (OTKA)); Janos Bolyai Research Scholarship of the Hungarian Academy of Sciences(Hungarian Academy of Sciences)</t>
  </si>
  <si>
    <t>We are grateful to Csaba Szinetar for his help during the taxonomic identification of the spiders and for the advice in determining the habitat affinity of the spider species. We are also thankful for Tivadar Molnar and Zoltan Elek for their help during the field work. TM was supported by the Hungarian Scientific Research Fund (OTKA grant no. F61651). TM and RH were supported by the Janos Bolyai Research Scholarship of the Hungarian Academy of Sciences.</t>
  </si>
  <si>
    <t>10.1007/s10980-009-9445-6</t>
  </si>
  <si>
    <t>567JY</t>
  </si>
  <si>
    <t>WOS:000275444100010</t>
  </si>
  <si>
    <t>Wickham, SA; Nagel, S; Hillebrand, H</t>
  </si>
  <si>
    <t>AQUATIC MICROBIAL ECOLOGY</t>
  </si>
  <si>
    <t>benthic; ciliate; top-down; bottom-up; diversity</t>
  </si>
  <si>
    <t>FOOD-WEB; SPECIES-DIVERSITY; GRAZING RATES; GROWTH; PRODUCTIVITY; PERIPHYTON; MEIOFAUNA; BACTERIA; STOICHIOMETRY; SEDIMENTS</t>
  </si>
  <si>
    <t>Four in situ experiments were conducted to examine the potential top-down and bottom-up control of epibenthic ciliate communities. The experiments were run in the littoral of Lake Erken and at a brackish water site on the island of Vaddo on the Baltic coast of Sweden, during the spring of 2000. The experimental manipulations were the presence/absence of the natural macro-zoobenthos grazer community, cross-classified with the presence/absence of additional nutrients. Epibenthic ciliates responded to both manipulation of grazers and resources, but the response was group specific. Total ciliate abundance decreased when macrozoobenthos (largely chironomids, gastropods, trichopteran larvae, isopods and amphipods) were removed, thus excluding a direct predation effect of the macrozoobenthos community on ciliates. Total ciliate biomass, but not abundance, tended to increase in the presence of additional nutrients; an effect weakly dependent on season and site. The disparity between effects of nutrients on biomass and abundance was due to effects on heterotrichs, a group of large but relatively rare algivorous ciliates. The manipulations altered the ciliate community composition, and between lakes there were differences in species richness and diversity and experiments. However, neither the removal of macrozoobenthos nor the addition of nutrients changed species richness or diversity. This runs counter to work with other taxonomic groups, which shows maximal diversity at an intermediate level of resources or predation. This can only be partially explained by the lack of direct predation effects and the open nature of the experimental system.</t>
  </si>
  <si>
    <t>Univ Cologne, Inst Zool, D-50923 Cologne, Germany; Uppsala Univ, Evolutionary Biol Ctr, Dept Limnol, Erken Lab, S-76173 Norrtalje, Sweden</t>
  </si>
  <si>
    <t>University of Cologne; Uppsala University</t>
  </si>
  <si>
    <t>Wickham, SA (corresponding author), Univ Cologne, Inst Zool, Weyertal 119, D-50923 Cologne, Germany.</t>
  </si>
  <si>
    <t>steve.wickham@sbg.ac.at</t>
  </si>
  <si>
    <t>0948-3055</t>
  </si>
  <si>
    <t>AQUAT MICROB ECOL</t>
  </si>
  <si>
    <t>Aquat. Microb. Ecol.</t>
  </si>
  <si>
    <t>APR 28</t>
  </si>
  <si>
    <t>10.3354/ame035153</t>
  </si>
  <si>
    <t>Ecology; Marine &amp; Freshwater Biology; Microbiology</t>
  </si>
  <si>
    <t>Environmental Sciences &amp; Ecology; Marine &amp; Freshwater Biology; Microbiology</t>
  </si>
  <si>
    <t>823IG</t>
  </si>
  <si>
    <t>WOS:000221603500005</t>
  </si>
  <si>
    <t>Violin, CR; Cada, P; Sudduth, EB; Hassett, BA; Penrose, DL; Bernhardt, ES</t>
  </si>
  <si>
    <t>Violin, Christy R.; Cada, Peter; Sudduth, Elizabeth B.; Hassett, Brooke A.; Penrose, David L.; Bernhardt, Emily S.</t>
  </si>
  <si>
    <t>benthic macroinvertebrate; biotic recovery; habitat restoration; species composition; stream restoration; urbanization</t>
  </si>
  <si>
    <t>LAND-USE; RIVER RESTORATION; CATCHMENT URBANIZATION; HABITAT HETEROGENEITY; INSECT COMMUNITIES; SPECIES-DIVERSITY; INSTREAM HABITAT; WATER-QUALITY; MACROINVERTEBRATES; DISTURBANCE</t>
  </si>
  <si>
    <t>Streams, as low-lying points in the landscape, are strongly influenced by the stormwaters, pollutants, and warming that characterize catchment urbanization. River restoration projects are an increasingly popular method for mitigating urban insults. Despite the growing frequency and high expense of urban stream restoration projects, very few projects have been evaluated to determine whether they can successfully enhance habitat structure or support the stream biota characteristic of reference sites. We compared the physical and biological structure of four urban degraded, four urban restored, and four forested streams in the Piedmont region of North Carolina to quantify the ability of reach-scale stream restoration to restore physical and biological structure to urban streams and to examine the assumption that providing habitat is sufficient for biological recovery. To be successful at mitigating urban impacts, the habitat structure and biological communities found in restored streams should be more similar to forested reference sites than to their urban degraded counterparts. For every measured reach-and patch-scale attribute, we found that restored streams were indistinguishable from their degraded urban stream counterparts. Forested streams were shallower, had greater habitat complexity and median sediment size, and contained less-tolerant communities with higher sensitive taxa richness than streams in either urban category. Because heavy machinery is used to regrade and reconfigure restored channels, restored streams had less canopy cover than either forested or urban streams. Channel habitat complexity and watershed impervious surface cover (ISC) were the best predictors of sensitive taxa richness and biotic index at the reach and catchment scale, respectively. Macroinvertebrate communities in restored channels were compositionally similar to the communities in urban degraded channels, and both were dissimilar to communities in forested streams. The macroinvertebrate communities of both restored and urban degraded streams were correlated with environmental variables characteristic of degraded urban systems. Our study suggests that reach-scale restoration is not successfully mitigating for the factors causing physical and biological degradation.</t>
  </si>
  <si>
    <t>[Violin, Christy R.] Univ N Carolina, Dept Biol, Chapel Hill, NC 27599 USA; [Cada, Peter] Duke Univ, Nicholas Sch Environm, Durham, NC 27708 USA; [Sudduth, Elizabeth B.; Hassett, Brooke A.; Bernhardt, Emily S.] Duke Univ, Dept Biol, Durham, NC 27708 USA; [Penrose, David L.] N Carolina State Univ, Dept Biol &amp; Agr Engn, Raleigh, NC 27695 USA</t>
  </si>
  <si>
    <t>University of North Carolina; University of North Carolina Chapel Hill; Duke University; Duke University; North Carolina State University</t>
  </si>
  <si>
    <t>Violin, CR (corresponding author), Univ N Carolina, Dept Biol, CB 3280, Chapel Hill, NC 27599 USA.</t>
  </si>
  <si>
    <t>croyer@email.unc.edu</t>
  </si>
  <si>
    <t>Sudduth, Elizabeth/AGJ-9377-2022; Bernhardt, Emily/B-4541-2010</t>
  </si>
  <si>
    <t>Sudduth, Elizabeth/0000-0001-8274-8159;</t>
  </si>
  <si>
    <t>NSF [DEB 0546251]; North Carolina Water Resources Research Institute; NC Department of Natural Resources; University of North Carolina Center for the Study of the American South; John and Lucile Packard Foundation</t>
  </si>
  <si>
    <t>NSF(National Science Foundation (NSF)); North Carolina Water Resources Research Institute; NC Department of Natural Resources; University of North Carolina Center for the Study of the American South; John and Lucile Packard Foundation</t>
  </si>
  <si>
    <t>The authors thank N. Lesios, D. Golterman, I. Warren, and R. Jackson for help in both the field and the lab. We also thank staff of the North Carolina Ecosystem Enhancement Program and of the North Carolina Stream Restoration Institute (particularly Mac Haupt and Greg Jennings) for their assistance with site selection. We also thank staff of the Duke Forest and Umstead State park for providing us with access to reference sites. This paper benefited greatly from comments by S. Reice, L. D'Anna, M. Ardon, J. Morse, and two anonymous reviewers. This research was supported by funds from NSF DEB 0546251, the North Carolina Water Resources Research Institute, the NC Department of Natural Resources, the University of North Carolina Center for the Study of the American South, and the John and Lucile Packard Foundation.</t>
  </si>
  <si>
    <t>10.1890/10-1551.1</t>
  </si>
  <si>
    <t>WOS:000294155900006</t>
  </si>
  <si>
    <t>Hoyle, M; Gilbert, F</t>
  </si>
  <si>
    <t>Species richness of moss landscapes unaffected by short-term fragmentation</t>
  </si>
  <si>
    <t>FOOD WEBS; CORRIDORS; EXTINCTION; MICROECOSYSTEM; CONNECTIVITY; DISPERSAL; DYNAMICS; METACOMMUNITIES; CONSERVATION; COMMUNITIES</t>
  </si>
  <si>
    <t>Theory predicts that habitat fragmentation and varying corridor length and width will affect animal populations in adjoining habitat patches due to varying migration rates. Previous work on the moss/microarthropod microcosm showed that connecting moss patches with moss corridors maintained species richness and individual species abundance. By contrast, in this study there was little evidence for differences in species richness between landscapes of varying connectivity and corridor length and width. The gamma diversity, the cumulative species richness of entire connected systems, followed the same pattern. Similar non-significant results were obtained for species abundance. Contrary to a previous study, I found no evidence that populations of predators were more affected by fragmentation than non-predators. Since this experiment ran during temperate environmental conditions and the previous experiments ran during more extreme conditions, I hypothesise that corridors may be more useful in reducing species extinction during extreme environmental conditions.</t>
  </si>
  <si>
    <t>Univ Nottingham, Sch Life &amp; Environm Sci, Nottingham NG7 2RD, England</t>
  </si>
  <si>
    <t>University of Nottingham</t>
  </si>
  <si>
    <t>Hoyle, M (corresponding author), Univ Nottingham, Sch Life &amp; Environm Sci, Univ Pk, Nottingham NG7 2RD, England.</t>
  </si>
  <si>
    <t>plxmh@nottingham.ac.uk</t>
  </si>
  <si>
    <t>Gilbert, Francis/K-3817-2013</t>
  </si>
  <si>
    <t>Gilbert, Francis/0000-0002-2727-4103; Hoyle, Martin/0000-0001-5593-9777</t>
  </si>
  <si>
    <t>10.1111/j.0030-1299.2004.12832.x</t>
  </si>
  <si>
    <t>805RJ</t>
  </si>
  <si>
    <t>WOS:000220383100015</t>
  </si>
  <si>
    <t>Nielsen, A; Steffan-Dewenter, I; Westphal, C; Messinger, O; Potts, SG; Roberts, SPM; Settele, J; Szentgyörgyi, H; Vaissière, BE; Vaitis, M; Woyciechowski, M; Bazos, I; Biesmeijer, JC; Bommarco, R; Kunin, WE; Tscheulin, T; Lamborn, E; Petanidou, T</t>
  </si>
  <si>
    <t>Nielsen, Anders; Steffan-Dewenter, Ingolf; Westphal, Catrin; Messinger, Olivia; Potts, Simon G.; Roberts, Stuart P. M.; Settele, Josef; Szentgyoergyi, Hajnalka; Vaissiere, Bernard E.; Vaitis, Michalis; Woyciechowski, Michal; Bazos, Ioannis; Biesmeijer, Jacobus C.; Bommarco, Riccardo; Kunin, William E.; Tscheulin, Thomas; Lamborn, Ellen; Petanidou, Theodora</t>
  </si>
  <si>
    <t>Hymenoptera; Apoidea; Sampling methods; Pan traps; Transect walks; Abundance-based Coverage Estimator (ACE); Subunit-based rarefaction curves; Olive groves; Phrygana; Mediterranean scrub; Biodiversity hotspot</t>
  </si>
  <si>
    <t>POLLINATION SERVICES; PAN TRAP; HYMENOPTERA; PLANT; DIVERSITY; APIFORMES; LANDSCAPE; LAND; BIODIVERSITY; SIMILARITY</t>
  </si>
  <si>
    <t>The decline of bees has raised concerns regarding their conservation and the maintenance of ecosystem services they provide to bee-pollinated wild flowers and crops. Although the Mediterranean region is a hotspot for bee species richness, their status remains poorly studied. There is an urgent need for cost-effective, reliable, and unbiased sampling methods that give good bee species richness estimates. This study aims: (a) to assess bee species richness in two common Mediterranean habitat types: semi-natural scrub (phrygana) and managed olive groves; (b) to compare species richness in those systems to that of other biogeographic regions, and (c) to assess whether six different sampling methods (pan traps, variable and standardized transect walks, observation plots and trap nests), previously tested in other European biogeographic regions, are suitable in Mediterranean communities. Eight study sites, four per habitat type, were selected on the island of Lesvos, Greece. The species richness observed was high compared to other habitat types worldwide for which comparable data exist. Pan traps collected the highest proportion of the total bee species richness across all methods at the scale of a study site. Variable and standardized transect walks detected the highest total richness over all eight study sites. Trap nests and observation plots detected only a limited fraction of the bee species richness. To assess the total bee species richness in bee diversity hotspots, such as the studied habitats, we suggest a combination of transect walks conducted by trained bee collectors and pan trap sampling.</t>
  </si>
  <si>
    <t>[Nielsen, Anders; Messinger, Olivia; Vaitis, Michalis; Tscheulin, Thomas; Lamborn, Ellen; Petanidou, Theodora] Univ Aegean, Dept Geog, Lab Biogeog &amp; Ecol, Mitilini 81100, Lesvos, Greece; [Nielsen, Anders] Norwegian Univ Life Sci, Dept Ecol &amp; Nat Resource Management, N-1432 As, Norway; [Steffan-Dewenter, Ingolf; Westphal, Catrin] Univ Bayreuth, Dept Anim Ecol 1, D-95447 Bayreuth, Germany; [Westphal, Catrin] Univ Gottingen, Dept Crop Sci, D-37073 Gottingen, Germany; [Messinger, Olivia] So Illinois Univ, Dept Plant Biol, Carbondale, IL 62966 USA; [Potts, Simon G.; Roberts, Stuart P. M.] Univ Reading, Sch Agr Policy &amp; Dev, Ctr Agrienvironm Res, Reading RG6 6AR, Berks, England; [Settele, Josef] UFZ Helmholtz Ctr Environm Res, Helmholtz Ctr Environm Res, Dept Community Ecol, D-06120 Halle, Germany; [Szentgyoergyi, Hajnalka; Woyciechowski, Michal] Jagiellonian Univ, Inst Environm Sci, PL-30387 Krakow, Poland; [Vaissiere, Bernard E.; Lamborn, Ellen] INRA, UMR Abeilles &amp; Environm INRA UAPV 406, F-84914 Avignon 9, France; [Bazos, Ioannis] Univ Athens, Fac Biol, Dept Ecol &amp; Taxon, Athens 15784, Greece; [Biesmeijer, Jacobus C.; Kunin, William E.] Univ Leeds, Biol &amp; Earth &amp; Biosphere Inst, Inst Integrat &amp; Comparat, Leeds LS2 9JT, W Yorkshire, England; [Bommarco, Riccardo] Swedish Univ Agr Sci, Dept Ecol, S-75007 Uppsala, Sweden</t>
  </si>
  <si>
    <t>University of Aegean; Norwegian University of Life Sciences; University of Bayreuth; University of Gottingen; Southern Illinois University System; Southern Illinois University; University of Reading; Helmholtz Association; Helmholtz Center for Environmental Research (UFZ); Jagiellonian University; INRAE; Avignon Universite; National &amp; Kapodistrian University of Athens; University of Leeds; Swedish University of Agricultural Sciences</t>
  </si>
  <si>
    <t>Nielsen, A (corresponding author), Univ Oslo, Ctr Ecol End Evolutionary Synth CEES, Dept Biol, POB 1066, N-0316 Oslo, Norway.</t>
  </si>
  <si>
    <t>anders.nielsen@bio.uio.no</t>
  </si>
  <si>
    <t>Nielsen, Anders/B-9689-2014; Woyciechowski, Michał/KBB-2951-2024; Kunin, William/ADG-8874-2022; Settele, Josef/A-6371-2009; Bommarco, Riccardo/E-7109-2016; Steffan-Dewenter, Ingolf/AFJ-8134-2022; Petanidou, Theodora/C-9399-2011; Westphal, Catrin/F-9560-2015; Lamborn, Ellen/JNR-1448-2023; Bazos, Ioannis/AAM-3330-2021; Szentgyörgyi, Hajnalka/AAK-2579-2020; Tscheulin, Thomas/B-9722-2011; Potts, Simon/C-7250-2008</t>
  </si>
  <si>
    <t>Settele, Josef/0000-0002-8624-4983; Bommarco, Riccardo/0000-0001-8888-0476; Steffan-Dewenter, Ingolf/0000-0003-1359-3944; Petanidou, Theodora/0000-0003-1883-0945; Westphal, Catrin/0000-0002-2615-1339; Lamborn, Ellen/0009-0006-8713-4686; Bazos, Ioannis/0000-0002-8498-7505; Szentgyörgyi, Hajnalka/0000-0002-5753-800X; Tscheulin, Thomas/0000-0002-9901-1521; Potts, Simon/0000-0002-2045-980X</t>
  </si>
  <si>
    <t>EU [GOCE-CT-2003-506675, 226852, 244090-STEP-CP-FP]; Swedish Research Council for Environment, Agricultural Sciences and Spatial planning (FORMAS)</t>
  </si>
  <si>
    <t>EU(European Union (EU)); Swedish Research Council for Environment, Agricultural Sciences and Spatial planning (FORMAS)(Swedish Research Council Formas)</t>
  </si>
  <si>
    <t>Our cordial thanks to all taxonomists for their great help with bee identification: Holger Dathe, Andreas Ebmer, George Else, Andrew Grace, Peter Hartmann, Andreas Muller, Andrew Polaszek, Stephan Risch, Erwin Scheuchl, Max Schwarz, and Paul Williams. Many thanks also to Hjalmar Dahm, Michael Greenwell, and Marios Apostolopoulos for fieldwork assistance and all those that sporadically helped during the collection period. We acknowledge Aristeidis Sifnaios and Aliki Mitsou for allowing fieldwork in their properties. Financial support for all authors was received through the EU FP 6 Integrated Project ALARM (Assessing LArge scale environmental Risks for biodiversity with tested Methods: GOCE-CT-2003-506675; http://www.alarmproject.net (Settele et al. 2005), the EU FP7 project SCALES (Securing the Conservation of biodiversity across Administrative Levels and spatial, temporal and Ecological Scales: 226852), the EU FP7 project STEP (Status and Trends of European Pollinators, http://www.step-project.net, 244090-STEP-CP-FP), and by the Swedish Research Council for Environment, Agricultural Sciences and Spatial planning (FORMAS).</t>
  </si>
  <si>
    <t>1440-1703</t>
  </si>
  <si>
    <t>SI</t>
  </si>
  <si>
    <t>10.1007/s11284-011-0852-1</t>
  </si>
  <si>
    <t>850OD</t>
  </si>
  <si>
    <t>WOS:000297204000013</t>
  </si>
  <si>
    <t>Khanaposhtani, MG; Kaboli, M; Karami, M; Etemad, V; Baniasadi, S</t>
  </si>
  <si>
    <t>Khanaposhtani, Maryam Ghadiri; Kaboli, Mohammad; Karami, Mahmoud; Etemad, Vahid; Baniasadi, Saeedeh</t>
  </si>
  <si>
    <t>Effects of Logged and Unlogged Forest Patches on Avifaunal Diversity</t>
  </si>
  <si>
    <t>ENVIRONMENTAL MANAGEMENT</t>
  </si>
  <si>
    <t>Forest structure; Bird community; Richness; Abundance; Diversity; Silvicultural treatment</t>
  </si>
  <si>
    <t>BIRD COMMUNITIES; AVIAN COMMUNITIES; HABITAT; SELECTION; VEGETATION; RICHNESS</t>
  </si>
  <si>
    <t>In the Hyrcanian forests of northern Iran, reduced-impact silviculture systems, (single-tree and group-tree selection) were applied over a large area, which generated different local habitat structures. The aim of this study was to assess the differences between treated and untreated areas of forest and their effect on avian richness, abundance and diversity (R.A.D). Birds were surveyed during the breeding season in 2009 by 100-point counts, equally distributed in the treated and untreated area. Avian R.A.D was significantly different and higher in the untreated area. Generally, forestry practices cause noticeable changes in canopy percentage, tree composition, snags and shrub number. Treated forest habitats in the area of study had a much more developed understory, fewer snags and fewer large diameter trees. The results highlighted the importance of forest maturity and showed that preventing silvicultural disturbances may not be the best solution for conserving and enhancing biodiversity. Rather, methods such as selective cutting seem an appropriate and sustainable way of forest management. It is suggested that forests should be managed to conserve structural elements which create favorable habitat for bird species, preventing future species losses due to logging practices.</t>
  </si>
  <si>
    <t>[Khanaposhtani, Maryam Ghadiri; Kaboli, Mohammad; Karami, Mahmoud; Etemad, Vahid; Baniasadi, Saeedeh] Univ Tehran, Fac Nat Resources, Dept Environm Sci, Karaj, Iran</t>
  </si>
  <si>
    <t>University of Tehran</t>
  </si>
  <si>
    <t>Khanaposhtani, MG (corresponding author), Univ Tehran, Fac Nat Resources, Dept Environm Sci, Daneshkadeh St,POB 41111, Karaj, Iran.</t>
  </si>
  <si>
    <t>mghadiri@purdue.edu</t>
  </si>
  <si>
    <t>etemad, vahid/0000-0001-6560-7653</t>
  </si>
  <si>
    <t>Department of Environmental Sciences, Tehran University, Iran</t>
  </si>
  <si>
    <t>The authors wish to thank A. Ebrahimpour and M. Shariati for their help with bird surveys, B. Hosseinzade and M. Tohidifar for their constructive comments and also I. Beheshti Tabar and A. C. Miller for their help in preparing the final version of the manuscript. The research was supported by the Department of Environmental Sciences, Tehran University, Iran.</t>
  </si>
  <si>
    <t>0364-152X</t>
  </si>
  <si>
    <t>1432-1009</t>
  </si>
  <si>
    <t>ENVIRON MANAGE</t>
  </si>
  <si>
    <t>Environ. Manage.</t>
  </si>
  <si>
    <t>10.1007/s00267-012-9979-2</t>
  </si>
  <si>
    <t>096PO</t>
  </si>
  <si>
    <t>WOS:000315416900018</t>
  </si>
  <si>
    <t>Fischer, LK; von der Lippe, M; Kowarik, I</t>
  </si>
  <si>
    <t>Fischer, Leonie K.; von der Lippe, Moritz; Kowarik, Ingo</t>
  </si>
  <si>
    <t>JOURNAL OF BIOGEOGRAPHY</t>
  </si>
  <si>
    <t>Cinchona calisaya; Cinchona pubescens; facilitation; habitat model; Hawai'i; impact; invasive plant species; plantation; quinine; tropical montane forest</t>
  </si>
  <si>
    <t>CINCHONA-PUBESCENS; PLANT INVASIONS; IMPACTS; REGENERATION; PLANTATIONS; VEGETATION; RESTORATION; BENEATH; PINE</t>
  </si>
  <si>
    <t>Aim To determine whether different abundances of introduced species of Cinchona (Rubiaceae) affect species composition and facilitate species richness in managed tropical forests, to test whether any facilitative effects on understorey species depend on forest type, and to investigate whether facilitative effects can be attributed to the 'substitutive facilitation model'. Location Makawao Forest Reserve on Maui, Hawai'i, USA. Methods Cinchona species (Cinchona pubescens and Cinchona calisaya) were mapped within various forest types. In three forest types (ageing Eucalyptus and Pinus plantations, and near-natural Acacia koa forests), we analysed environmental parameters (e.g. canopy cover, litter cover, pH value and soil depth) and the species composition of Cinchona-invaded and non-invaded plots; data were compared based on Cinchona cover and forest types. Habitat modelling for several endemic species and tree ferns was carried out to test whether Cinchona cover is an important variable for the probability of occurrence of these endemics. Results Cinchona species have naturalized mainly in Eucalyptus and Pinus plantations and Acacia koa forests and here add an additional shrub layer. In contrast to other studies, we revealed facilitative effects of Cinchona on native species within all forest types. Species richness is about 20% higher in invaded plots than in non-invaded plots, and these show a nearly 50% higher proportion of endemic species, including tree ferns. The proportion of endemics even increases with increasing Cinchona cover. For several endemics, Cinchona is found to be an important variable for the probability of occurrence, and the removal of Cinchona cover as an explanatory variable lowers the model fit. In addition to Cinchona, variables delineating vegetation structure and light availability have a strong effect on the model fit. Main conclusions In the structurally simplified Hawaiian forests studied, Cinchona facilitated endemic species in accordance with the 'substitutive facilitation model'. This contrasts with the results of an earlier study in the naturally treeless Galapagos highlands, which revealed a sharp decrease in the abundance of endemics under Cinchona canopy. These results illustrate that, through the same structural change (addition of a vegetation layer), an invasive species may exert divergent effects across different ecosystem types. The facilitation of endemic understorey species by invasive tree species in managed forests leads to a dilemma in conservation but also to new perspectives for ecosystem restoration.</t>
  </si>
  <si>
    <t>[Fischer, Leonie K.; von der Lippe, Moritz; Kowarik, Ingo] Tech Univ Berlin, Dept Ecol, D-12165 Berlin, Germany</t>
  </si>
  <si>
    <t>Technical University of Berlin</t>
  </si>
  <si>
    <t>Fischer, LK (corresponding author), Tech Univ Berlin, Dept Ecol, Rothenburgstr 12, D-12165 Berlin, Germany.</t>
  </si>
  <si>
    <t>leonie_fischer@mailbox.tu-berlin.de</t>
  </si>
  <si>
    <t>; Kowarik, Ingo/MIO-3099-2025</t>
  </si>
  <si>
    <t>Fischer, Leonie Katharina/0000-0003-4282-7201; von der Lippe, Moritz/0000-0003-4760-1420</t>
  </si>
  <si>
    <t>Deutscher Akademischer Austauschdienst (DAAD) [D/06/43799]</t>
  </si>
  <si>
    <t>Deutscher Akademischer Austauschdienst (DAAD)(Deutscher Akademischer Austausch Dienst (DAAD))</t>
  </si>
  <si>
    <t>The Deutscher Akademischer Austauschdienst (DAAD) funded parts of the field study (D/06/43799). We thank L. Loope (Haleakala Field Station, Makawao) and G. Shishido (Division of Forestry and Wildlife, Wailuku) for supporting the field study and providing scientific assistance on Maui, and H. Jager (Technische Universitat Berlin) for sharing her broad knowledge on Cinchona and for discussing earlier versions. We also thank P. Pysek, D. M. Benitez, M. C. Wichmann and J. Westermann for helpful comments on a previous version, and K. Vargas for improving the English.</t>
  </si>
  <si>
    <t>0305-0270</t>
  </si>
  <si>
    <t>1365-2699</t>
  </si>
  <si>
    <t>J BIOGEOGR</t>
  </si>
  <si>
    <t>J. Biogeogr.</t>
  </si>
  <si>
    <t>10.1111/j.1365-2699.2009.02173.x</t>
  </si>
  <si>
    <t>Ecology; Geography, Physical</t>
  </si>
  <si>
    <t>Environmental Sciences &amp; Ecology; Physical Geography</t>
  </si>
  <si>
    <t>521EE</t>
  </si>
  <si>
    <t>WOS:000271902200007</t>
  </si>
  <si>
    <t>Foster, BL; Gross, KL</t>
  </si>
  <si>
    <t>Andropogon gerardi; competition; diversity; establishment; litter addition and removal; litter biomass; living biomass; nitrogen enrichment; productivity; species richness; successional grassland</t>
  </si>
  <si>
    <t>HERBACEOUS VEGETATION; PRODUCTIVITY GRADIENTS; COMMUNITY; COMPETITION; DIVERSITY; ESTABLISHMENT; FERTILIZATION; GERMINATION; BIOMASS; PRAIRIE</t>
  </si>
  <si>
    <t>We conducted a field experiment in a successional grassland to investigate the short-term effects of nitrogen enrichment and plant litter on plant species richness and on the establishment of a native grass (Andropogon gerardi) that was experimentally introduced to the study site as seed. Additions of nitrogen fertilizer to experimental plots over two growing seasons increased plant production as indicated by increases in both living plant biomass and litter biomass. Increased productivity reduced species richness by effectively preventing the seedling establishment of the subordinate forb species and reduced the recruitment of Andropogon gerardi by inhibiting both germination and survival. Litter removals carried out at each of two levels of nitrogen enrichment (no nitrogen, nitrogen added) showed that litter significantly reduced species richness by the same amount in fertilized and unfertilized plots, suggesting that living biomass and litter were purely additive, rather than interactive in their effects. In contrast, the results of litter additions suggested that the declines in richness associated with fertilization could largely be due to the suppressive effects of increased litter biomass alone. As a whole, the results indicate that litter and living biomass are largely substitutable in their inhibitory effects on species richness in highly productive successional grasslands due to their independent and equivalent capacities to attenuate light to very low levels. This study highlights the combined roles of competition and plant litter in influencing the diversity of grasslands through effects on seedling establishment.</t>
  </si>
  <si>
    <t>Michigan State Univ, Hickory Corners, MI 49060 USA; WK Kellogg Biol Stn, Hickory Corners, MI 49060 USA</t>
  </si>
  <si>
    <t>Michigan State University</t>
  </si>
  <si>
    <t>Foster, BL (corresponding author), Univ Minnesota, Dept Ecol Evolut &amp; Behav, St Paul, MN 55108 USA.</t>
  </si>
  <si>
    <t>foster@swan.lter.umn.edu</t>
  </si>
  <si>
    <t>10.1890/0012-9658(1998)079[2593:SRIASG]2.0.CO;2</t>
  </si>
  <si>
    <t>148JF</t>
  </si>
  <si>
    <t>WOS:000077501000002</t>
  </si>
  <si>
    <t>González-Gómez, PL; Estades, CF; Simonetti, JA</t>
  </si>
  <si>
    <t>avian foraging intensity; food web; habitat perturbation; insectivorous birds; larvae predation</t>
  </si>
  <si>
    <t>NEST PREDATION; BIRDS; COMMUNITIES; UNDERSTORY</t>
  </si>
  <si>
    <t>Habitat fragmentation modifies ecological patterns and processes through changes in species richness and abundance. In the coastal Maulino forest, central Chile, both species richness and abundance of insectivorous birds increases in forest fragments compared to continuous forest. Through a field experiment, we examined larvae predation in fragmented forests. Higher richness and abundance of birds foraging at forest fragments translated into more insect larvae preyed upon in forest fragments than in continuous forest. The assessed level of insectivory in forest fragments agrees with lower herbivory levels in forest fragments. This pattern strongly suggests the strengthening of food interactions web in forest fragments of coastal Maulino forest.</t>
  </si>
  <si>
    <t>Univ Chile, Fac Ciencias, Dept Ciencias Ecol, Santiago, Chile; Univ Chile, Fac Ciencias Forestales, Dept Manejo Recursos Forestales, Santiago, Chile</t>
  </si>
  <si>
    <t>Universidad de Chile; Universidad de Chile</t>
  </si>
  <si>
    <t>González-Gómez, PL (corresponding author), Univ Chile, Fac Ciencias, Dept Ciencias Ecol, Casilla 653, Santiago, Chile.</t>
  </si>
  <si>
    <t>pauligonzalez@yahoo.com</t>
  </si>
  <si>
    <t>Gonzalez-Gomez, Paulina/B-2979-2012; Simonetti, Javier A/A-4658-2008; Estades, Cristian/A-5221-2008; , Paulina/B-2979-2012</t>
  </si>
  <si>
    <t>Simonetti, Javier A/0000-0002-7238-4133; Estades, Cristian/0000-0002-4479-7774; , Paulina/0000-0002-1219-8881</t>
  </si>
  <si>
    <t>10.1007/s00442-005-0338-3</t>
  </si>
  <si>
    <t>WOS:000236968700015</t>
  </si>
  <si>
    <t>Horner-Devine, MC; Daily, GC; Ehrlich, PR; Boggs, CL</t>
  </si>
  <si>
    <t>TEMPORAL DIMENSIONS; SPECIES-DIVERSITY; BIODIVERSITY; HABITAT; MATRIX; LEPIDOPTERA; LANDSCAPE; RICHNESS; SYSTEMS</t>
  </si>
  <si>
    <t>Although most conservation efforts focus on preserving biodiversity in relatively pristine ecosystems, we investigated possible conservation opportunities in human-dominated landscapes. We evaluated butterfly diversity in a tropical countryside that was converted about four decades ago from continuous forest to a mosaic of coffee farms, pasture, and forest fragments. We compared the butterfly fauna in coffee plantations with that in a forest remnant, the Las Cruces Reserve (227 ha). We used coffee plantation sites located near (&lt;2.5 km) and far (&gt;6 km) from the large forest remnant to test the effects of distance from the remnant on butterfly diversity. We also tested the effects of immediately adjacent habitat by selecting coffee plantation sites that were either contiguous with small (2.5-9.5 ha) forest fragments (coffee/forest) or lacking adjacent forest (coffee). Both coffee/forest and coffee habitats near the Las Cruces Reserve differed from those far from the reserve in species composition but not in species richness. Overall, coffee/forest habitats had significantly higher mean species richness and higher mean abundance of species than coffee and reserve sites. Further, butterflies with narrow geographic ranges were less likely to be found in coffee plantations than were those with larger geographic ranges. Area of forest cover within a radius of 50 to 100 m of the sampling site was significantly correlated with species richness of frugivorous butterflies during the dry season but was not correlated with richness of frugivorous butterflies in the wet season or of nonfrugivorous butterflies in either season. Nonetheless, species richness of frugivorous and nonfrugivorous butterflies was positively correlated overall; thus, frugivorous butterflies may be good indicators of the status of the entire butterfly community in a region. Our work suggests that small, isolated forest fragments may help retain butterfly diversity in the tropical countryside and increase the conservation value of agricultural landscapes. Relatively large tracts of forest remain important, however, because they maintain rare and endemic species.</t>
  </si>
  <si>
    <t>Stanford Univ, Dept Biol Sci, Ctr Conservat Biol, Stanford, CA 94305 USA</t>
  </si>
  <si>
    <t>Stanford University</t>
  </si>
  <si>
    <t>Horner-Devine, MC (corresponding author), Stanford Univ, Dept Biol Sci, Ctr Conservat Biol, 371 Serra Mall, Stanford, CA 94305 USA.</t>
  </si>
  <si>
    <t>mcdevine@stanford.edu</t>
  </si>
  <si>
    <t>Boggs, Carol/KPB-4459-2024</t>
  </si>
  <si>
    <t>Boggs, Carol/0000-0001-7601-6277; Horner-Devine, Claire/0000-0002-0783-3406</t>
  </si>
  <si>
    <t>10.1046/j.1523-1739.2003.01310.x</t>
  </si>
  <si>
    <t>643DG</t>
  </si>
  <si>
    <t>WOS:000180846200021</t>
  </si>
  <si>
    <t>Michiels, IC; Traunspurger, W</t>
  </si>
  <si>
    <t>competitive exclusion; functional diversity; meiobenthos; species richness; trophic dynamics</t>
  </si>
  <si>
    <t>VERTICAL-DISTRIBUTION; EXPERIMENTAL GRADIENT; COMPETITION; BIODIVERSITY; CONSEQUENCES; COMMUNITY; DYNAMICS; REMOVAL; DENSITY; DIFFER</t>
  </si>
  <si>
    <t>This study investigates the long-term effects of resource availability in a freshwater nematode community. We carried out a mesocosm experiment where natural nematode communities were exposed to nutrient addition/ depletion over 2 years. Compared to the nutrient-addition treatment, species richness and diversity were strongly reduced upon nutrient depletion. The functional group of bacterial feeders particularly suffered severely from nutrient depletion. The decrease in diversity of bacterial feeders was linked to reduced species richness and diversity of large omnivorous species, as predicted by trophic-dynamic models. Tilman's ( 1976) statement, that under low nutrient levels the best competitor dominates the system, was applicable in our system. Upon nutrient depletion, resource depletion led to a monoculture of 1 small bacterial feeder, but even after 2 years of resource depletion, up to 16 species still coexisted. Our results provide strong evidence that freshwater nematode systems can be regulated by nutrient competition.</t>
  </si>
  <si>
    <t>Univ Bielefeld, Dept Anim Ecol, D-33615 Bielefeld, Germany</t>
  </si>
  <si>
    <t>Michiels, IC (corresponding author), Univ Bielefeld, Dept Anim Ecol, Morgenbreede 45, D-33615 Bielefeld, Germany.</t>
  </si>
  <si>
    <t>traunspurger@uni-bielefeld.de</t>
  </si>
  <si>
    <t>Traunspurger, Walter/KGL-7190-2024</t>
  </si>
  <si>
    <t>Traunspurger, Walter/0000-0002-9828-8430</t>
  </si>
  <si>
    <t>10.1007/s00442-004-1700-6</t>
  </si>
  <si>
    <t>876CA</t>
  </si>
  <si>
    <t>WOS:000225472100011</t>
  </si>
  <si>
    <t>Talley, TS; Nguyen, KC; Nguyen, A</t>
  </si>
  <si>
    <t>Talley, Theresa Sinicrope; Nguyen, Kim-Chi; Nguyen, Anthony</t>
  </si>
  <si>
    <t>Testing the Effects of an Introduced Palm on a Riparian Invertebrate Community in Southern California</t>
  </si>
  <si>
    <t>HABITATS; ECOLOGY; LITTER; HETEROGENEITY; COLONIZATION; ASSEMBLAGES; MANAGEMENT; DIVERSITY; ABUNDANCE; QUALITY</t>
  </si>
  <si>
    <t>Despite the iconic association of palms with semi-arid regions, most are introduced and can invade natural areas. Along the San Diego River (San Diego, California, USA), the introduced Canary Island date palm (Phoenix canariensis) forms dense patches among native riparian shrubs like arroyo willow (Salix lasiolepis). The structural differences between the palm and native shrubs are visually obvious, but little is known about palm's effects on the ecosystem. We tested for the effects of the palm on a riparian invertebrate community in June 2011 by comparing the faunal and environmental variables associated with palm and willow canopies, trunks and ground beneath each species. The palm invertebrate community had lower abundance and diversity, fewer taxa feeding on the host (e.g., specialized hemipterans), and more taxa likely using only the plant's physical structure (e.g., web-builders, oak moths, willow hemipterans). There were no observed effects on the ground-dwelling fauna. Faunal differences were due to the physical and trophic changes associated with palm presence, namely increased canopy density, unpalatable leaves, trunk rugosity, and litter accumulations. Palm presence and resulting community shifts may have further ecosystem-level effects through alteration of physical properties, food, and structural resources. These results were consistent with a recent study of invasive palm effects on desert spring arthropods, illustrating that effects may be relatively generalizable. Since spread of the palm is largely localized, but effects are dramatic where it does occur, we recommend combining our results with several further investigations in order to prioritize management decisions.</t>
  </si>
  <si>
    <t>[Talley, Theresa Sinicrope; Nguyen, Kim-Chi] Univ Calif San Diego, Scripps Inst Oceanog, La Jolla, CA 92093 USA; [Nguyen, Anthony] Univ Calif San Diego, Dept Biol, San Diego, CA 92103 USA</t>
  </si>
  <si>
    <t>University of California System; University of California San Diego; Scripps Institution of Oceanography; University of California System; University of California San Diego</t>
  </si>
  <si>
    <t>Talley, TS (corresponding author), Univ Calif San Diego, Scripps Inst Oceanog, La Jolla, CA 92093 USA.</t>
  </si>
  <si>
    <t>tstalley@ucsd.edu</t>
  </si>
  <si>
    <t>NOAA [NA08OAR4170669, NA10OAR4170060]; California Sea Grant Project via NOAA's National Sea Grant College Program, U.S. Dept. of Commerce [R/ENV-209]</t>
  </si>
  <si>
    <t>NOAA(National Oceanic Atmospheric Admin (NOAA) - USA); California Sea Grant Project via NOAA's National Sea Grant College Program, U.S. Dept. of Commerce</t>
  </si>
  <si>
    <t>No external funding was received for this study. Some resources (supplies and research assistance) were donated by Paul Dayton through NOAA Grant nos. NA08OAR4170669 and NA10OAR4170060, California Sea Grant Project R/ENV-209, via NOAA's National Sea Grant College Program, U.S. Dept. of Commerce. The statements, findings, conclusions and recommendations are those of the researchers and do not necessarily reflect the views of the aforementioned organizations. The funders had no role in study design, data collection and analysis, decision to publish, or preparation of the manuscript.</t>
  </si>
  <si>
    <t>AUG 3</t>
  </si>
  <si>
    <t>e42460</t>
  </si>
  <si>
    <t>10.1371/journal.pone.0042460</t>
  </si>
  <si>
    <t>985QT</t>
  </si>
  <si>
    <t>WOS:000307284100099</t>
  </si>
  <si>
    <t>Vasconcelos, HL; Vilhena, JMS; Magnusson, WE; Albernaz, ALKM</t>
  </si>
  <si>
    <t>Vasconcelos, Heraldo L.; Vilhena, Jose M. S.; Magnusson, William E.; Albernaz, Ana L. K. M.</t>
  </si>
  <si>
    <t>Long-term effects of forest fragmentation on Amazonian ant communities</t>
  </si>
  <si>
    <t>Amazon forest; ants; area effects; distance effects; habitat fragmentation; shape effects</t>
  </si>
  <si>
    <t>HABITAT FRAGMENTATION; RAIN-FOREST; CONSERVATION; EXTINCTION; MATRIX</t>
  </si>
  <si>
    <t>Aim: To analyse the effects of forest fragmentation on ant communities in an Amazonian landscape that has been fragmented for over a century. Location: The region surrounding the village of Alter do Chao in the Brazilian Amazonian state of Para (2 degrees 30' S, 54 degrees 57' W). Methods: Collection of ants and measurements of tree density were performed along transects established in eight sites in continuous forest and in 24 forest fragments surrounded by savanna vegetation. Data on size, perimeter, and degree of isolation (distance to continuous forest and distance to nearest area of forest &gt; 5 ha) of each fragment were obtained from a georeferenced Landsat image of the study area. Results: There were significant differences in species richness and composition between fragments and continuous forest, and these differences were not related to intersite variation in vegetation structure (tree density). Fragments supported fewer ant species per plot, and these species tended to represent a nested subset of those found in continuous forests. Fragments had significantly fewer rare species and fewer ant genera. However, fragments and continuous forest had similar numbers of species that also occur in the savanna matrix (i.e. that are not forest specialists). Multiple linear regression analyses indicated that species richness and composition in the fragments are significantly affected by fragment area, but not by fragment shape and degree of isolation. More species were found in larger fragments. Main conclusions: Forest fragmentation influences the organization of ant communities in Amazonian savanna/forest landscapes. Forest fragments harboured, on average, 85% of the species found in continuous forest. That these fragments, despite their long history of isolation, support a relatively large complement of the species found in continuous forest is surprising, especially given that in some recently fragmented landscapes the proportion of species surviving in the fragments is lower. Differences in inter-fragment distance and type of matrix between Alter do Chao and these other landscapes may be involved. The fact that fragments at Alter do Chao are surrounded by a natural (rather than an anthropogenic) habitat, and that most of them are less than 300 m from another forest area, may have helped to ameliorate the adverse effects of forest fragmentation.</t>
  </si>
  <si>
    <t>Univ Fed Uberlandia, Inst Biol, BR-38400902 Uberlandia, MG, Brazil; Inst Nacl de Pesquisas da Amazonia, Coordenacao Pesquisas Ecol, BR-69011970 Manaus, Amazonas, Brazil; Museu Paraense Emilio Goeldi, Coordenacao Ciencias Terra &amp; Ecol, BR-66077530 Belem, Para, Brazil</t>
  </si>
  <si>
    <t>Universidade Federal de Uberlandia; Institute Nacional de Pesquisas da Amazonia; Museu Paraense Emilio Goeldi</t>
  </si>
  <si>
    <t>Vasconcelos, HL (corresponding author), Univ Fed Uberlandia, Inst Biol, CP 593, BR-38400902 Uberlandia, MG, Brazil.</t>
  </si>
  <si>
    <t>heraldo@umuarama.ufu.br</t>
  </si>
  <si>
    <t>Vasconcelos, Heraldo/C-3353-2013; Albernaz, Ana Luisa/JBJ-7378-2023; Magnusson, William/J-9408-2014</t>
  </si>
  <si>
    <t>Albernaz, Ana Luisa/0000-0001-9299-4361;</t>
  </si>
  <si>
    <t>10.1111/j.1365-2699.2006.01516.x</t>
  </si>
  <si>
    <t>061QQ</t>
  </si>
  <si>
    <t>WOS:000238887900004</t>
  </si>
  <si>
    <t>BOBBINK, R</t>
  </si>
  <si>
    <t>EFFECTS OF NUTRIENT ENRICHMENT IN DUTCH CHALK GRASSLAND</t>
  </si>
  <si>
    <t>SHORT-LIVED FORBS; ATMOSPHERIC AMMONIUM; WESTERN-EUROPE; VEGETATION; ECOSYSTEM; DYNAMICS</t>
  </si>
  <si>
    <t>(1) The sharp increase in dominance of Brachypodium pinnatum in Dutch chalk grasslands during the past decade was hypothesized to have resulted from increased atmospheric nitrogen inputs. To test this, N, P, K were applied at 10, 3 and 10 g m-2 year-1, respectively, in a 3-year experiment at two Dutch chalk grassland sites, plus an NPK addition. (2) After 3 years, peak standing crop increased significantly with added N and NPK. Phytomass of legumes increased after P addition and B. pinnatum mass more than doubled with added N. NPK addition also sharply increased the dry weight of other graminoids. (3) Total below-ground phytomass increased only with added NPK. Addition of N increased the below-ground dry wt of B. pinnatum, but decreased that of other species. (4) B. pinnatum acquired N and P efficiently, and produced more phytomass per unit time after N application even without enhanced P uptake, while its shoot N:P ratio increased to &gt; 30. (5) The vertical structure of the vegetation was affected by N and NPK additions, and light penetration in the canopy was considerably reduced, decreasing species density and diversity. (6) It is concluded that B. pinnatim benefits more from atmospheric N inputs than other chalk grassland species. Its ability to cope with decreasing concentrations of P caused by N-induced stimulated growth largely explains its success with long-term N enrichment.</t>
  </si>
  <si>
    <t>BOBBINK, R (corresponding author), STATE UNIV UTRECHT, DEPT PLANT ECOL &amp; EVOLUT BIOL, LANGE NIEUWSTR 106, 3512 PN UTRECHT, NETHERLANDS.</t>
  </si>
  <si>
    <t>Bobbink, Roland/MZR-3839-2025</t>
  </si>
  <si>
    <t>Bobbink, Roland/0000-0003-1994-6085</t>
  </si>
  <si>
    <t>10.2307/2404111</t>
  </si>
  <si>
    <t>FN208</t>
  </si>
  <si>
    <t>WOS:A1991FN20800003</t>
  </si>
  <si>
    <t>Walker, JS; Grimm, NB; Briggs, JM; Gries, C; Dugan, L</t>
  </si>
  <si>
    <t>Walker, Jason S.; Grimm, Nancy B.; Briggs, John M.; Gries, Corinna; Dugan, Laura</t>
  </si>
  <si>
    <t>FRONTIERS IN ECOLOGY AND THE ENVIRONMENT</t>
  </si>
  <si>
    <t>ECOSYSTEMS; PHOENIX; ECOLOGY</t>
  </si>
  <si>
    <t>Modern urban development provides an excellent laboratory for examining the interplay among socioecological relationships. We analyzed how the rapidly urbanizing Phoenix, Arizona metropolis has affected plant species diversity and community composition at a regional scale. Species diversity and plant density probably result from abiotic sorting in undeveloped desert sites, but not in urban sites. We found that species richness at the plot scale was higher for desert as opposed to urban sites; however, the estimated total species pool in the urban ecosystem is higher than that in the desert, as a result of the increased importation of introduced species through the nursery trade. Ordination of plant communities suggests three unique groupings of species based on land-use type of the site (desert, urban, and agriculture) and two unique groupings of urban sites based on landscaping aesthetics (mesic or xeric). We therefore recognize both bottom-up and top-down controls of plant biodiversity within the urban ecosystem.</t>
  </si>
  <si>
    <t>[Walker, Jason S.; Grimm, Nancy B.; Briggs, John M.] Arizona State Univ, Sch Life Sci, Tempe, AZ 85287 USA; [Gries, Corinna] Arizona State Univ, Global Inst Sustainabil, Tempe, AZ USA; [Dugan, Laura] Univ Texas Austin, Sch Biol Sci, Austin, TX 78712 USA</t>
  </si>
  <si>
    <t>Arizona State University; Arizona State University-Tempe; Arizona State University; Arizona State University-Tempe; University of Texas System; University of Texas Austin</t>
  </si>
  <si>
    <t>Walker, JS (corresponding author), Arizona State Univ, Sch Life Sci, Tempe, AZ 85287 USA.</t>
  </si>
  <si>
    <t>urbanecologist@gmail.com</t>
  </si>
  <si>
    <t>Grimm, Nancy/D-2840-2009</t>
  </si>
  <si>
    <t>Grimm, Nancy/0000-0001-9374-660X; Gries, Corinna/0000-0002-9091-6543</t>
  </si>
  <si>
    <t>1540-9295</t>
  </si>
  <si>
    <t>1540-9309</t>
  </si>
  <si>
    <t>FRONT ECOL ENVIRON</t>
  </si>
  <si>
    <t>Front. Ecol. Environ.</t>
  </si>
  <si>
    <t>10.1890/080084</t>
  </si>
  <si>
    <t>516RB</t>
  </si>
  <si>
    <t>WOS:000271559000014</t>
  </si>
  <si>
    <t>Husa, V; Sjotun, K; Brattenborg, N; Lein, TE</t>
  </si>
  <si>
    <t>Husa, Vivian; Sjotun, Kjersti; Brattenborg, Narve; Lein, Tor Eiliv</t>
  </si>
  <si>
    <t>Changes of macroalgal biodiversity in sublittoral sites in southwest Norway: impact of an introduced species or higher temperature?</t>
  </si>
  <si>
    <t>MARINE BIOLOGY RESEARCH</t>
  </si>
  <si>
    <t>Biodiversity; introduced species; 'Heterosiphonia japonica'; climate variations; temporal changes</t>
  </si>
  <si>
    <t>SARGASSUM-MUTICUM; RED ALGA; CAULERPA-TAXIFOLIA; RHODOPHYTA; COMMUNITIES; CERAMIALES; DASYACEAE; REPRODUCTION; ASSEMBLAGES; INVASION</t>
  </si>
  <si>
    <t>The Pacific red alga Heterosiphonia japonica has dispersed rapidly along European shores. Due to the species' high abundance in many habitats, an impact on species richness and composition of local macroalgal communities might be expected. Higher sea temperatures may also influence local macroalgal composition, by providing more favourable conditions for species requiring higher temperatures. Macroalgal composition at 22 sublittoral sites along the south-western coast of Norway investigated prior to the establishment of H. japonica (1994-1995) were reinvestigated in 2003-2004, using similar methods. The total number of species collected in the area was approximately the same in the present investigation as in the previous study. With regard to number and composition of species at each site, there were no significant differences between sites with high abundance of H. japonica and sites with low or no abundance. Similarity percentage analysis (SIMPER) showed that there were temporal changes in composition of the macroalgal communities, mainly caused by higher frequency of 'southern species' (species with a northern limit on our coast). There was a significant increase in the percentage share of such species in the reinvestigations. The temporal differences observed are most likely caused by several warm summers/autumns and mild winters since the first investigation, which may favour a higher abundance of 'southern species'. Heterosiphonia japonica was the most important species contributing to temporal dissimilarity in the area. This paper concludes that H. japonica has caused no negative impact on regional algal species richness in the relatively short time span since its introduction.</t>
  </si>
  <si>
    <t>[Husa, Vivian] Inst Marine Res, N-5817 Bergen, Norway; [Sjotun, Kjersti; Brattenborg, Narve] Univ Bergen, Dept Biol, Bergen, Norway; [Lein, Tor Eiliv] Myntevikvegen, Blomsterdalen, Norway</t>
  </si>
  <si>
    <t>Institute of Marine Research - Norway; University of Bergen</t>
  </si>
  <si>
    <t>Husa, V (corresponding author), Inst Marine Res, POB 1870, N-5817 Bergen, Norway.</t>
  </si>
  <si>
    <t>vivianh@imr.no</t>
  </si>
  <si>
    <t>Husa, Vivian/0000-0001-7008-456X</t>
  </si>
  <si>
    <t>The Norwegian Research Council</t>
  </si>
  <si>
    <t>The Norwegian Research Council(Research Council of Norway)</t>
  </si>
  <si>
    <t>We thank Professor Jan Rueness at the University of Oslo for identifying/verifying difficult species, Vera Ronningen for assistance in the laboratory, Amund Ulfsnes for statistical assistance and two anonymous referees for valuable comments for improvement of the manuscript. Additionally we thank the crew at 'RV Hans Brattstrom' and 'RV Fangst' for valuable help during the fieldwork. The Norwegian Research Council supported the study.</t>
  </si>
  <si>
    <t>TAYLOR &amp; FRANCIS LTD</t>
  </si>
  <si>
    <t>ABINGDON</t>
  </si>
  <si>
    <t>2-4 PARK SQUARE, MILTON PARK, ABINGDON OR14 4RN, OXON, ENGLAND</t>
  </si>
  <si>
    <t>1745-1000</t>
  </si>
  <si>
    <t>1745-1019</t>
  </si>
  <si>
    <t>MAR BIOL RES</t>
  </si>
  <si>
    <t>Mar. Biol. Res.</t>
  </si>
  <si>
    <t>PII 901878643</t>
  </si>
  <si>
    <t>378CQ</t>
  </si>
  <si>
    <t>WOS:000261299100002</t>
  </si>
  <si>
    <t>source</t>
  </si>
  <si>
    <t>eligbility</t>
  </si>
  <si>
    <t>murphy et al</t>
  </si>
  <si>
    <t>["ELIGIBLE"]</t>
  </si>
  <si>
    <t>Returns 181 reocrds</t>
  </si>
  <si>
    <t>Returns 142 / 181</t>
  </si>
  <si>
    <t>TI = (</t>
  </si>
  <si>
    <t>DT=(Article)</t>
  </si>
  <si>
    <t>"Soil biota can change after exotic plant invasion: does this affect ecosystem processes" OR</t>
  </si>
  <si>
    <t>AND WC=(</t>
  </si>
  <si>
    <t>"Harvestmen in an Atlantic forest fragmented landscape: Evaluating assemblage response to habitat quality" OR</t>
  </si>
  <si>
    <t>Biodiversity Conservation OR</t>
  </si>
  <si>
    <t>"Impact of logging and plantation development on species diversity: a case study from Sumatra" OR</t>
  </si>
  <si>
    <t>Ecology OR</t>
  </si>
  <si>
    <t>"Do birds and beetles show similar responses to urbanization" OR</t>
  </si>
  <si>
    <t>Environmental Sciences OR</t>
  </si>
  <si>
    <t>"Increased frequency of drought reduces species richness of enchytraeid communities in both wet and dry heathland soils" OR</t>
  </si>
  <si>
    <t>Environmental Studies OR</t>
  </si>
  <si>
    <t>"Replacement of littoral native vegetation with the ponded pasture grass Hymenachne amplexicaulis: effects on plant, macroinvertebrate and fish biodiversity of backwaters in the Fitzroy River" OR</t>
  </si>
  <si>
    <t>Marine &amp; Freshwater Biology OR</t>
  </si>
  <si>
    <t>"Species richness of moss-landscapes unaffected by short-term fragmentation" OR</t>
  </si>
  <si>
    <t>Fisheries OR</t>
  </si>
  <si>
    <t>Oceanography OR</t>
  </si>
  <si>
    <t>"Is there a relationship between herbaceous species richness and buffel grass (Cenchrus ciliaris)" OR</t>
  </si>
  <si>
    <t>Forestry OR</t>
  </si>
  <si>
    <t>"A comparison of the diversity and structure of butterfly communities in semi-natural and human-modified grassland habitats at the foot of Mt. Fuji, central Japan" OR</t>
  </si>
  <si>
    <t>Water Resources OR</t>
  </si>
  <si>
    <t>"Does tropical forest fragmentation increase long-term variability of butterfly communities" OR</t>
  </si>
  <si>
    <t>Agronomy OR</t>
  </si>
  <si>
    <t>"Responses of primary productivity to increased temperature and phytoplankton diversity" OR</t>
  </si>
  <si>
    <t>Geosciences, Multidisciplinary OR</t>
  </si>
  <si>
    <t>"Does urbanization decrease diversity in ground beetle assemblages" OR</t>
  </si>
  <si>
    <t>Meteorology &amp; Atmospheric Sciences OR</t>
  </si>
  <si>
    <t>"Invasion of the Portuguese dune ecosystems by the exotic species Acacia longifolia (Andrews) Willd: effects at the community level" OR</t>
  </si>
  <si>
    <t>Plant Sciences OR</t>
  </si>
  <si>
    <t>"An introducer predator alters Aluetian Island plant communities by thwarting nutrient subsidies" OR</t>
  </si>
  <si>
    <t>Zoology OR</t>
  </si>
  <si>
    <t>"How important is climate? Effects of warming, nutrient, and fish on phytoplankton in shallow lake microcosms" OR</t>
  </si>
  <si>
    <t>Remote Sensing OR</t>
  </si>
  <si>
    <t>"Assessing bee species richness in two Mediterranean communities: importance of habitat type and sampling techniques" OR</t>
  </si>
  <si>
    <t>"Effects of habitat fragmentation and degradation on flocks of African ant-following birds" OR</t>
  </si>
  <si>
    <t>)</t>
  </si>
  <si>
    <t>"Conversion of the Amazon rainforest to agriculture results in biotic homogenization of soil bacterial communities" OR</t>
  </si>
  <si>
    <t>"Do nutrients and invertebrate herbivory interact in a artificial plant community" OR</t>
  </si>
  <si>
    <t>AND TS=(</t>
  </si>
  <si>
    <t>"Are soil mite assemblages structured by the identity of native and invasive alien grasses" OR</t>
  </si>
  <si>
    <t>(</t>
  </si>
  <si>
    <t>"Size-dependant impacts of invasive alien crayfish on a littoral marsh community" OR</t>
  </si>
  <si>
    <t>"Bird diversity in cacao farms and forest fragments of western Panama" OR</t>
  </si>
  <si>
    <t>loss* NEAR/3 (habitat* OR biodiversit* OR species OR population*</t>
  </si>
  <si>
    <t>"Zebra mussel colonisation of soft sediments facilitates invertebrate communities" OR</t>
  </si>
  <si>
    <t>OR "ecosystem service*" OR ecosystem* OR forest* OR coral*</t>
  </si>
  <si>
    <t>"Willow (Salix x rubens) invasion of the riparian zone in south-eastern Australia: reduced abundance and altered composition of terrestrial arthropods" OR</t>
  </si>
  <si>
    <t>OR mangrove* OR reef* OR wetland* OR bird* OR mammal* OR plant*)</t>
  </si>
  <si>
    <t>"What is the impact of Impatiens glandulifera on species diversity of invaded riparian vegetation" OR</t>
  </si>
  <si>
    <t>"Warming reduces the growth and diversity of biological soil crusts in a semi-aric environment: implications for ecosystem structure and functioning" OR</t>
  </si>
  <si>
    <t>OR</t>
  </si>
  <si>
    <t>"Variation in the response of crustacean zooplankton species richness and composition to the invasive predator Bythotrephes longimanus" OR</t>
  </si>
  <si>
    <t>change* OR reference*   OR indicator* OR impact* OR effect*  OR pressure* OR trend* OR response* OR status  OR pattern* OR assessment* OR monitor*  OR risk* OR driver*</t>
  </si>
  <si>
    <t>"Variable sensitivity of plant communities in Iceland to experimental warming" OR</t>
  </si>
  <si>
    <t>"Variable bottom-up and top-down effects on diversity of different prey assemblages in an estuarine saltimarsh" OR</t>
  </si>
  <si>
    <t>"Using plant functional types to compare vegetation structure of alien-invaded and uninvaded Acacia nilotica savannas" OR</t>
  </si>
  <si>
    <t>AND</t>
  </si>
  <si>
    <t>"Urbanization and wetland communities: applying metacommunitiy theory to understand the local and landscape effects" OR</t>
  </si>
  <si>
    <t>"Understanding the biodiversity consequences of habitat change: the value of secondary and plantation forests for neotropical dung beetles" OR</t>
  </si>
  <si>
    <t>"Tree seedling dynamics in two abandoned tropical dry forests of differing successional status in Yucaton, Mexico: A field experiment with N and P fertilization" OR</t>
  </si>
  <si>
    <t>(“land use chang*” OR “land cover chang*” OR “land* system* chang*” OR “land*</t>
  </si>
  <si>
    <t>"Tree invasion in naturally treeless environments: Impacts of quinine (Cinchona pubescans) trees on native vegetation in Galapagos" OR</t>
  </si>
  <si>
    <t>chang*” OR “land* degradation” OR “land* conversion” OR “land management”) OR</t>
  </si>
  <si>
    <t>"Tree invasion in managed tropical forests facilitates endemic species" OR</t>
  </si>
  <si>
    <t>((marine OR ocean OR sea*) AND use AND change*) OR (“habitat loss*” OR “habitat</t>
  </si>
  <si>
    <t>"Traits explain community disassembly and trophic contraction following experimental environmental change" OR</t>
  </si>
  <si>
    <t>degradation*” OR “habitat chang*” OR “habitat conversion” OR “habitat modification*” OR</t>
  </si>
  <si>
    <t>"The relative role of dispersal and local interactions for alpine plant community diversity under simluated climate warming" OR</t>
  </si>
  <si>
    <t>“habitat fragmentation” OR “habitat management”) OR (biofuel* OR biogas*) OR</t>
  </si>
  <si>
    <t>"The importance of tropical rainforest fragments to the conservation of plant species diversity in Los Tuxtlas, Mexico" OR</t>
  </si>
  <si>
    <t>((residential OR urban* OR cities OR housing OR commercial OR industrial OR touris* OR</t>
  </si>
  <si>
    <t>"The impacts of forest clearance on lizard, small mammal, and bird communities in the arid spiny forest, souther Madagascar" OR</t>
  </si>
  <si>
    <t>recreation*) AND (extent OR area OR cover* OR proportion* OR percentage*) AND</t>
  </si>
  <si>
    <t>"The impact of the weed Chrysanthemoides monilifera ssp. rotundata on coastal leaf litter invertebrates" OR</t>
  </si>
  <si>
    <t>(develop* OR expan* OR increas*)) OR (deforestation OR afforestation OR “wood</t>
  </si>
  <si>
    <t>"The impact of the invasive alien grass Cortaderia jubata (Lemoine) Stapf on an endangered mediterranean-type shrubland in California" OR</t>
  </si>
  <si>
    <t>plantation*” OR “forest* plantation*” OR “pulp* plantation*”) OR ((aquaculture* OR</t>
  </si>
  <si>
    <t>"The impact of land-use change on larval insect communities: Testing the role of habitat elements in conservation" OR</t>
  </si>
  <si>
    <t>agricultur* OR crop* OR “cultivated area*” OR farmland OR pasture) AND (develop* OR</t>
  </si>
  <si>
    <t>"The effet of eelgrass habitat loss on estuarine fish communities of Southern New England" OR</t>
  </si>
  <si>
    <t>expan* OR increas* OR intensification OR extensification OR abandon* OR chang*)) OR</t>
  </si>
  <si>
    <t>"The effects of land-use change on arthropod richness and abundance on Santa Maria Island (Azores): unmanaged plantations favour endemic beetles" OR</t>
  </si>
  <si>
    <t>(livestock AND (farm* OR ranch* OR graz* OR densit*)) OR (energy AND (drill* OR min*</t>
  </si>
  <si>
    <t>"Testing the effects of an introduced palm on a riparian invertebrate community in Southern California" OR</t>
  </si>
  <si>
    <t>OR quarry*)) OR (((transport* OR service) AND (network* OR corridor* OR</t>
  </si>
  <si>
    <t>"Temperature- and moisture induced changes in the structure of the nematode fauna of a semiarid grassland --patterns and mechanisms" OR</t>
  </si>
  <si>
    <t>infrastructure*)) OR road* OR rail* OR “ship* lane*” OR “flight path*”) OR (“system*</t>
  </si>
  <si>
    <t>"Temperature mediates competitive exclusion and diversity in benthic microalgae under different N:P stoichiometry" OR</t>
  </si>
  <si>
    <t>modification*” OR (dams OR (water AND (management OR use))))</t>
  </si>
  <si>
    <t>"Strengthened insectivory in a temperate fragmented forest" OR</t>
  </si>
  <si>
    <t>"Species richness in a successional grassland: Effects of nitrogen enrichment and plant litter" OR</t>
  </si>
  <si>
    <t>"Species richness and food web structure of soil decomposer community as affected by the size of habitat fragment and habitat corridors" OR</t>
  </si>
  <si>
    <t>"Species groups occupying different trophic levels respond differently to the invasion of semi-natural vegetation by Solidago canadensis" OR</t>
  </si>
  <si>
    <t>((((natur* AND resource*) OR material* OR (biomass OR “fossil fuel*” OR ore* OR</t>
  </si>
  <si>
    <t>"Soil nematode community structure as affected by temperature and moisture in a temperate semiarid shrubland" OR</t>
  </si>
  <si>
    <t>mineral*)) OR ((biological AND resource*) OR wildlife OR animal* OR plant* OR</t>
  </si>
  <si>
    <t>"Small-sized fish assemblages do not differ between a native and a recently established non-indigenous macrophyte in a neotropical ecosystem" OR</t>
  </si>
  <si>
    <t>population*) OR water) AND ((overextraction OR overexploitation) OR (extraction OR</t>
  </si>
  <si>
    <t>"Small-scale experimental habitat fragmentation reduces colonization rates in species-rich grasslands" OR</t>
  </si>
  <si>
    <t>exploitation OR withdraw*) OR depletion OR (hunting OR collect* OR gather* OR poaching</t>
  </si>
  <si>
    <t>"Small mammals in a mosaic of forest remnants and anthropogenic habitats--evaluating matrix quality in an Atlantic forest landscape" OR</t>
  </si>
  <si>
    <t>OR “bush meat*”))) OR ((forest* OR wood OR timber*) AND (harvest* OR logging*)) OR</t>
  </si>
  <si>
    <t>"Simulated climate change altered dominance hierarchies and diversity of an apline biodiversity hotspot" OR</t>
  </si>
  <si>
    <t>(soil* AND (erosion OR acidification OR degradation)) OR (fisher* OR fishing OR (bycatch</t>
  </si>
  <si>
    <t>"Sensitivity of three grassland communities to simulated extreme temperature and rainfall events" OR</t>
  </si>
  <si>
    <t>OR by-catch))</t>
  </si>
  <si>
    <t>"Sediment diatom species and community response to nitrogen addition in Oregon (USA) estuarine tidal wetlands" OR</t>
  </si>
  <si>
    <t>"Seasonal exposure to drought and air warming affects soil collembola and mites" OR</t>
  </si>
  <si>
    <t>"Seagrass habitat disturbance: how loss and fragmentation of eelgrass Zostera marina influences epifaunal abundance and diversity" OR</t>
  </si>
  <si>
    <t>"Richness and species composition of arboreal arthropods affected by nutrients and predators: a press experiment" OR</t>
  </si>
  <si>
    <t>“climat* change” OR “chang* climat*” OR (“increase* temperature*” OR “thermal</t>
  </si>
  <si>
    <t>"Responses of a subarctic dwarf shrub heath community to simulated environmental change" OR</t>
  </si>
  <si>
    <t>alteration” OR “global warming”) OR (chang* AND precipitation*) OR ((extreme OR</t>
  </si>
  <si>
    <t>"Response of termite community and wood decomposition rates to habitat fragmentation in a subtropical dry forest" OR</t>
  </si>
  <si>
    <t>severe) AND (weather OR temperature OR precipitation OR climat*)) OR heatwave* OR</t>
  </si>
  <si>
    <t>"Relationship between the presence of House Sparrows (Passer domesticus) and Neotropical bird community structure and diversity" OR</t>
  </si>
  <si>
    <t>drought* OR storm* OR flood* OR (UV OR ultraviolet) OR “sea level rise” OR “soil</t>
  </si>
  <si>
    <t>"Relationship between the abundance of Lythrum salicaria (purple loosestrife) and plant species richness along the Bar River, Canada" OR</t>
  </si>
  <si>
    <t>salinization” OR (“habitat shift*” AND climate) OR (“habitat alteration” AND climate) OR</t>
  </si>
  <si>
    <t>"Relationship between scotch broom, soil nutrients, and plant diversity in the Garry oak savannah ecosystem" OR</t>
  </si>
  <si>
    <t>((consumptive OR human OR agricultural) AND “water stress”)</t>
  </si>
  <si>
    <t>"Relating microarthropod community structure and diversity to soil fertility manipulations in temperate grassland" OR</t>
  </si>
  <si>
    <t>"Refugia and local controls: Benthic invertebrate dynamics in lower Green Bay, Lake Michigan following zebra mussel invasion" OR</t>
  </si>
  <si>
    <t>"Reduction of riparian arthropod abundance and diversity as a consequence of giant reed (Arundo donax) invasion" OR</t>
  </si>
  <si>
    <t>"Rapid recovery of dung beetle communities following habitat fragmentation in Central Amazonia" OR</t>
  </si>
  <si>
    <t>(pollut* OR contamin* OR emission* OR spill-over* OR disposal* OR deposition* OR</t>
  </si>
  <si>
    <t>"Predicted levels of future ocean acidification and temperature rise could alter community structure and biodiversity in marine benthic communities" OR</t>
  </si>
  <si>
    <t>load* OR dump* OR discharge*) OR ((noise OR light OR gas* OR particle* OR particulate*</t>
  </si>
  <si>
    <t>"Plant species richness, productivitiy, and nitrogen and phosphorus limitations across a snowpack gradient in Alpine Tundra, Colorado, USA" OR</t>
  </si>
  <si>
    <t>OR nitrogen OR sulphur* OR phosphor* OR waste* OR garbage OR sewage OR pesticide*</t>
  </si>
  <si>
    <t>"Plant invasion impacts on arthropod abundance, diversity and feeding consistent across environmental and geographic gradients" OR</t>
  </si>
  <si>
    <t>OR fertilizer* OR nutrient* OR “oil spill*” OR metal OR salinization OR salinisation OR</t>
  </si>
  <si>
    <t>"Plant diversity and insect herbivores: effects of environmental change in contrasting model systems" OR</t>
  </si>
  <si>
    <t>acidification OR solid OR plastic OR mercury OR nutrient* OR pollutant*) AND (soil OR</t>
  </si>
  <si>
    <t>"Plant communities and the reproductive success of native plants after the invasion of an ornamental herb" OR</t>
  </si>
  <si>
    <t>water OR ocean OR marine OR atmosphere OR air)) OR ((industrial OR military OR</t>
  </si>
  <si>
    <t>"Physical and biological disturbances interact differently with productivity: effects on floral and faunal richness. 2010" OR</t>
  </si>
  <si>
    <t>agricultur* OR forest*) AND effluent*)</t>
  </si>
  <si>
    <t>"Patterns in fish assemblages 25 years after major seagrass loss" OR</t>
  </si>
  <si>
    <t>"Nutrient effects on seagrass epiphyte community structure in Florida Bay" OR</t>
  </si>
  <si>
    <t>"Norway Maple (Acer platanoides) invasion of a natural forest stand: understory consequence and regeneration pattern" OR</t>
  </si>
  <si>
    <t>"Non-native grass invasion alters native plant composition in experimental communities" OR</t>
  </si>
  <si>
    <t>((invasive OR invasion) AND (alien OR exotic OR non-native OR pest* OR disease) AND</t>
  </si>
  <si>
    <t>"Non-flying mammals and landscape changes in the tropical rainforest region of Los Tuxtlas, Mexico" OR</t>
  </si>
  <si>
    <t>species) OR “biological invasion*” OR (introduc* AND (species OR material))</t>
  </si>
  <si>
    <t>"Nitrogen availability alters macrofungal basidiomycete community structure in optimally fertilized loblolly pine forests" OR</t>
  </si>
  <si>
    <t>"Negative responses of Collembola in a forest soil (Alptal, Switzerland) under experimentally increased N deposition" OR</t>
  </si>
  <si>
    <t>"Native plant community composition and genetic diversity associated with long-term weed invasions" OR</t>
  </si>
  <si>
    <t>"Native fish and anuran assemblages differ between impoundments with and without non-native centrarchids and bullfrogs" OR</t>
  </si>
  <si>
    <t>"Native and invasive plant interactions in wetlands and the minimal role of invasiveness" OR</t>
  </si>
  <si>
    <t>"Multiple stressors in agricultural streams: a mesocosm study of interactions among raised water temperature, sediment addition, and nutrient enrichment" OR</t>
  </si>
  <si>
    <t>AND (TI = (</t>
  </si>
  <si>
    <t>"Multi-scale impacts of crested wheatgrass invasion in mixed-grass prairie" OR</t>
  </si>
  <si>
    <t>Soil biota can change after exotic plant invasion: does this affect ecosystem processes OR</t>
  </si>
  <si>
    <t>"Mixed effects of habitat fragmentation on species richness and community structure in a microarthropod microecosystem" OR</t>
  </si>
  <si>
    <t>"Marine microbenthic community structure regulated by nitrogen loading and grazing pressure" OR</t>
  </si>
  <si>
    <t>Harvestmen in an Atlantic forest fragmented landscape: Evaluating assemblage response to habitat quality OR</t>
  </si>
  <si>
    <t>"Macrozooplankter responses to simulated climate warming in experimental freshwater microcosms" OR</t>
  </si>
  <si>
    <t>Impact of logging and plantation development on species diversity: a case study from Sumatra OR</t>
  </si>
  <si>
    <t>"Macroinvertebrate diversity in fragmented alpine streams: implications for freshwater conservation" OR</t>
  </si>
  <si>
    <t>Do birds and beetles show similar responses to urbanization OR</t>
  </si>
  <si>
    <t>"Long-tern assessment of the effect of introduced predatory fish on minnow diversity in a regional protected area" OR</t>
  </si>
  <si>
    <t>Increased frequency of drought reduces species richness of enchytraeid communities in both wet and dry heathland soils OR</t>
  </si>
  <si>
    <t>"Long-term nitrogen addition leads to loss of species richness due to litter accumulation and soil acidification in a temperate steppe" OR</t>
  </si>
  <si>
    <t>Replacement of littoral native vegetation with the ponded pasture grass Hymenachne amplexicaulis: effects on plant, macroinvertebrate and fish biodiversity of backwaters in the Fitzroy River OR</t>
  </si>
  <si>
    <t>"Long-term ecosystem impacts of an introduced grass in the northern Great Plains" OR</t>
  </si>
  <si>
    <t>Species richness of moss-landscapes unaffected by short-term fragmentation OR</t>
  </si>
  <si>
    <t>"Long term effects of forest fragmentation on Amazonian ant communities" OR</t>
  </si>
  <si>
    <t>"Local and regional assessments of the impacts of plant invaders on vegetations structure and soil properties of Mediterranean islands" OR</t>
  </si>
  <si>
    <t>Is there a relationship between herbaceous species richness and buffel grass (Cenchrus ciliaris) OR</t>
  </si>
  <si>
    <t>"Invasive shrub alters native forest amphibian communities" OR</t>
  </si>
  <si>
    <t>A comparison of the diversity and structure of butterfly communities in semi-natural and human-modified grassland habitats at the foot of Mt. Fuji, central Japan OR</t>
  </si>
  <si>
    <t>"Invasive Salix fragilis alters benthic invertebrate communities and litter decomposition in northern Patagonian streams" OR</t>
  </si>
  <si>
    <t>Does tropical forest fragmentation increase long-term variability of butterfly communities OR</t>
  </si>
  <si>
    <t>"Invasive alien goldenrods negatively affect grassland bird communities in Eastern Europe" OR</t>
  </si>
  <si>
    <t>Responses of primary productivity to increased temperature and phytoplankton diversity OR</t>
  </si>
  <si>
    <t>"Invasion of Heracleum mantegazzianum in different habitats in the Czech Republic" OR</t>
  </si>
  <si>
    <t>Does urbanization decrease diversity in ground beetle assemblages OR</t>
  </si>
  <si>
    <t>"Invasion of alien macroalgae in different Mediterranean habitats" OR</t>
  </si>
  <si>
    <t>Invasion of the Portuguese dune ecosystems by the exotic species Acacia longifolia (Andrews) Willd: effects at the community level OR</t>
  </si>
  <si>
    <t>"Invasion and management of alien Hedychium gardnerianum alter plant species composition of a montane rainforest on the island of Hawai'i" OR</t>
  </si>
  <si>
    <t>An introducer predator alters Aluetian Island plant communities by thwarting nutrient subsidies OR</t>
  </si>
  <si>
    <t>"Interactive effects of nitrogen deposition, fire and grazing on diversity and composition of low-alpine prostrate Calluna vulgaris heathland" OR</t>
  </si>
  <si>
    <t>How important is climate? Effects of warming, nutrient, and fish on phytoplankton in shallow lake microcosms OR</t>
  </si>
  <si>
    <t>"Insect diversity responses to forest conversion and agroforestry management" OR</t>
  </si>
  <si>
    <t>Assessing bee species richness in two Mediterranean communities: importance of habitat type and sampling techniques OR</t>
  </si>
  <si>
    <t>"Influence of the invasive herb garlic mustard (Alliaria petiolata) on ground beetle (Coleoptera: Carabidae) assemblages" OR</t>
  </si>
  <si>
    <t>Effects of habitat fragmentation and degradation on flocks of African ant-following birds OR</t>
  </si>
  <si>
    <t>"Influence of habitat fragmentation and crop system on columbia basin shrubsteppe communities" OR</t>
  </si>
  <si>
    <t>Conversion of the Amazon rainforest to agriculture results in biotic homogenization of soil bacterial communities OR</t>
  </si>
  <si>
    <t>"Increased primary productivity shifts the stucture and composition of a terrestrial arthropod community" OR</t>
  </si>
  <si>
    <t>Do nutrients and invertebrate herbivory interact in a artificial plant community OR</t>
  </si>
  <si>
    <t>Are soil mite assemblages structured by the identity of native and invasive alien grasses OR</t>
  </si>
  <si>
    <t>"Impacts of an invasive willow on riparian bird assemblages in south-eastern Australia" OR</t>
  </si>
  <si>
    <t>Size-dependant impacts of invasive alien crayfish on a littoral marsh community OR</t>
  </si>
  <si>
    <t>"Impacts of a woody invader vary in different vegetation communities" OR</t>
  </si>
  <si>
    <t>Bird diversity in cacao farms and forest fragments of western Panama OR</t>
  </si>
  <si>
    <t>"Impacts of a simulated heat wave on composition of a marine community" OR</t>
  </si>
  <si>
    <t>Zebra mussel colonisation of soft sediments facilitates invertebrate communities OR</t>
  </si>
  <si>
    <t>"Impact of resource availability on species composition and diversity in freshwater nematodes" OR</t>
  </si>
  <si>
    <t>Willow (Salix x rubens) invasion of the riparian zone in south-eastern Australia: reduced abundance and altered composition of terrestrial arthropods OR</t>
  </si>
  <si>
    <t>"Impact of Prunus serotina invasion on understory functional diversity in a European temperate forest" OR</t>
  </si>
  <si>
    <t>What is the impact of Impatiens glandulifera on species diversity of invaded riparian vegetation OR</t>
  </si>
  <si>
    <t>"Impact of Parthenium hysterophorus L. invasion on plant species composition and soil properties of grassland communities in Nepal" OR</t>
  </si>
  <si>
    <t>Warming reduces the growth and diversity of biological soil crusts in a semi-aric environment: implications for ecosystem structure and functioning OR</t>
  </si>
  <si>
    <t>"Impact of invasive plants on the species richness, diversity, and composition of invaded communities" OR</t>
  </si>
  <si>
    <t>Variation in the response of crustacean zooplankton species richness and composition to the invasive predator Bythotrephes longimanus OR</t>
  </si>
  <si>
    <t>"Impact of forest fragmentation on understorey plant species richness in Amazonia" OR</t>
  </si>
  <si>
    <t>Variable sensitivity of plant communities in Iceland to experimental warming OR</t>
  </si>
  <si>
    <t>"Immigration and zooplankton community responses to nutrient enrichment: a mesocosm experiment" OR</t>
  </si>
  <si>
    <t>Variable bottom-up and top-down effects on diversity of different prey assemblages in an estuarine saltimarsh OR</t>
  </si>
  <si>
    <t>Using plant functional types to compare vegetation structure of alien-invaded and uninvaded Acacia nilotica savannas OR</t>
  </si>
  <si>
    <t>"How deforestation pattern in the Amazon influences vertebrate richness and community composition" OR</t>
  </si>
  <si>
    <t>Urbanization and wetland communities: applying metacommunitiy theory to understand the local and landscape effects OR</t>
  </si>
  <si>
    <t>"Higher abundance and diversity in faunal assemblages with the invasion of Codium fragile ssp. fragile in eelgrass meadows" OR</t>
  </si>
  <si>
    <t>Understanding the biodiversity consequences of habitat change: the value of secondary and plantation forests for neotropical dung beetles OR</t>
  </si>
  <si>
    <t>"High Arctic plant community resists 15 years of climate warming" OR</t>
  </si>
  <si>
    <t>Tree seedling dynamics in two abandoned tropical dry forests of differing successional status in Yucaton, Mexico: A field experiment with N and P fertilization OR</t>
  </si>
  <si>
    <t>"Heterotroph species extinction, abundance, and biomass dynamics in an experimentally fragmented microecosystem" OR</t>
  </si>
  <si>
    <t>Tree invasion in naturally treeless environments: Impacts of quinine (Cinchona pubescans) trees on native vegetation in Galapagos OR</t>
  </si>
  <si>
    <t>"Habitat fragmentation impacts on epiphyllous bryophyte communities in central amazonia" OR</t>
  </si>
  <si>
    <t>Tree invasion in managed tropical forests facilitates endemic species OR</t>
  </si>
  <si>
    <t>"Habitat fragmentation and arthropod community change: Carrion beetles, phoeretic mites, and flies" OR</t>
  </si>
  <si>
    <t>Traits explain community disassembly and trophic contraction following experimental environmental change OR</t>
  </si>
  <si>
    <t>"Ground beetle assemblages along an urbanization gradient near Soro, Zealand, Denmark" OR</t>
  </si>
  <si>
    <t>The relative role of dispersal and local interactions for alpine plant community diversity under simluated climate warming OR</t>
  </si>
  <si>
    <t>"Grassland invasibility and diversity: responses to nutrients, seed input, and disturbance" OR</t>
  </si>
  <si>
    <t>The importance of tropical rainforest fragments to the conservation of plant species diversity in Los Tuxtlas, Mexico OR</t>
  </si>
  <si>
    <t>"Gardening in the desert changes bee communities and pollination network characteristics" OR</t>
  </si>
  <si>
    <t>The impacts of forest clearance on lizard, small mammal, and bird communities in the arid spiny forest, souther Madagascar OR</t>
  </si>
  <si>
    <t>"Fragmentation and alteration of seed dispersal processes: An initial evaluation of dung beetles, seed fate, and seedling diversity" OR</t>
  </si>
  <si>
    <t>The impact of the weed Chrysanthemoides monilifera ssp. rotundata on coastal leaf litter invertebrates OR</t>
  </si>
  <si>
    <t>"Fragmentation alters stream fish community structure in dendritic ecological networks" OR</t>
  </si>
  <si>
    <t>The impact of the invasive alien grass Cortaderia jubata (Lemoine) Stapf on an endangered mediterranean-type shrubland in California OR</t>
  </si>
  <si>
    <t>"Flora and lepidoptera fauna adversely affected by invasive Lupinus polyphyllus along road verges" OR</t>
  </si>
  <si>
    <t>The impact of land-use change on larval insect communities: Testing the role of habitat elements in conservation OR</t>
  </si>
  <si>
    <t>"Fish responses to experimental fragmentation of seagrass habitat" OR</t>
  </si>
  <si>
    <t>The effet of eelgrass habitat loss on estuarine fish communities of Southern New England OR</t>
  </si>
  <si>
    <t>"Fertilization with nitrogen and phosphorus increases abundance of non-native species in Hawaiian montane forests" OR</t>
  </si>
  <si>
    <t>The effects of land-use change on arthropod richness and abundance on Santa Maria Island (Azores): unmanaged plantations favour endemic beetles OR</t>
  </si>
  <si>
    <t>"Fertilization and litter effects on the functional group biomass, species diversity of plants, microbial biomass, and enxyme activity of two alpine meadow communities" OR</t>
  </si>
  <si>
    <t>Testing the effects of an introduced palm on a riparian invertebrate community in Southern California OR</t>
  </si>
  <si>
    <t>"Experimental warming causes rapid loss of plant diversity in New England salt marshes" OR</t>
  </si>
  <si>
    <t>Temperature- and moisture induced changes in the structure of the nematode fauna of a semiarid grassland --patterns and mechanisms OR</t>
  </si>
  <si>
    <t>"Experimental warming causes large and rapid species loss, dampened by simulated grazing, on the Tibetan Plateau" OR</t>
  </si>
  <si>
    <t>Temperature mediates competitive exclusion and diversity in benthic microalgae under different N:P stoichiometry OR</t>
  </si>
  <si>
    <t>"Experimental small scale grassland fragmentation alters aphid population dynamics" OR</t>
  </si>
  <si>
    <t>Strengthened insectivory in a temperate fragmented forest OR</t>
  </si>
  <si>
    <t>"Experimental removal of a dominant species at two levels of soil fertility" OR</t>
  </si>
  <si>
    <t>Species richness in a successional grassland: Effects of nitrogen enrichment and plant litter OR</t>
  </si>
  <si>
    <t>"Experimental plant invasion reduces arthropod abundance and richness across multiple trophic levels" OR</t>
  </si>
  <si>
    <t>Species richness and food web structure of soil decomposer community as affected by the size of habitat fragment and habitat corridors OR</t>
  </si>
  <si>
    <t>"Experimental introduction of the alien plant Hieracium lepidulum reveals no significant impact on Montane plant communities in New Zealand" OR</t>
  </si>
  <si>
    <t>Species groups occupying different trophic levels respond differently to the invasion of semi-natural vegetation by Solidago canadensis OR</t>
  </si>
  <si>
    <t>"Experimental habitat fragmentation and invertebrate grazing in a herbaceous grassland species" OR</t>
  </si>
  <si>
    <t>Soil nematode community structure as affected by temperature and moisture in a temperate semiarid shrubland OR</t>
  </si>
  <si>
    <t>"Experimental evidence of reduced diversity of seedlings due to climate modification in a Mediterranean-type community" OR</t>
  </si>
  <si>
    <t>Small-sized fish assemblages do not differ between a native and a recently established non-indigenous macrophyte in a neotropical ecosystem OR</t>
  </si>
  <si>
    <t>"Experimental evidence for positive effects of invasive seaweed on native invertebrates via habitat-formation in a seagrass bed" OR</t>
  </si>
  <si>
    <t>Small-scale experimental habitat fragmentation reduces colonization rates in species-rich grasslands OR</t>
  </si>
  <si>
    <t>"Experimental evidence for interactive impact of human activities on lake algal species richness" OR</t>
  </si>
  <si>
    <t>Small mammals in a mosaic of forest remnants and anthropogenic habitats--evaluating matrix quality in an Atlantic forest landscape OR</t>
  </si>
  <si>
    <t>"Experimental effects of habitat fragmentation on old-field canopy insects: community, guild, and species responses" OR</t>
  </si>
  <si>
    <t>Simulated climate change altered dominance hierarchies and diversity of an apline biodiversity hotspot OR</t>
  </si>
  <si>
    <t>"Experimental drought and warming decrease diversity and slow down post-fire succession in a Mediterranean shrubland" OR</t>
  </si>
  <si>
    <t>Sensitivity of three grassland communities to simulated extreme temperature and rainfall events OR</t>
  </si>
  <si>
    <t>"Exotic invasive knotweeds (Fallopia spp.) negatively affect native plant and invertebrate assemblages in European riparian habitats" OR</t>
  </si>
  <si>
    <t>Sediment diatom species and community response to nitrogen addition in Oregon (USA) estuarine tidal wetlands OR</t>
  </si>
  <si>
    <t>"Elevated air temperature alters an old-field insect community in a multifactor climate change experiment" OR</t>
  </si>
  <si>
    <t>Seasonal exposure to drought and air warming affects soil collembola and mites OR</t>
  </si>
  <si>
    <t>"Effects of urbanization on plant species diversity in central Arizona" OR</t>
  </si>
  <si>
    <t>Seagrass habitat disturbance: how loss and fragmentation of eelgrass Zostera marina influences epifaunal abundance and diversity OR</t>
  </si>
  <si>
    <t>"Effects of urbanization on ground-dwelling spiders in forest patches, in Hungary" OR</t>
  </si>
  <si>
    <t>Richness and species composition of arboreal arthropods affected by nutrients and predators: a press experiment OR</t>
  </si>
  <si>
    <t>"Effects of urbanization and urban stream restoration on the physical and biological structure of stream ecosystems" OR</t>
  </si>
  <si>
    <t>Responses of a subarctic dwarf shrub heath community to simulated environmental change OR</t>
  </si>
  <si>
    <t>"Effects of the exotic macrophyte, para grass (Urochloa mutica), on benthic and epiphytic macroinvertebrates of a tropical floodplain" OR</t>
  </si>
  <si>
    <t>Response of termite community and wood decomposition rates to habitat fragmentation in a subtropical dry forest OR</t>
  </si>
  <si>
    <t>"Effects of small-scale habitat fragmentation, habitat corridors and mainland dispersal on soil decomposer organisms" OR</t>
  </si>
  <si>
    <t>Relationship between the presence of House Sparrows (Passer domesticus) and Neotropical bird community structure and diversity OR</t>
  </si>
  <si>
    <t>"Effects of road salt and Phragmites australis invasion on the vegetation of a Western Massacheusetts calcareous lake-basin fen" OR</t>
  </si>
  <si>
    <t>Relationship between the abundance of Lythrum salicaria (purple loosestrife) and plant species richness along the Bar River, Canada OR</t>
  </si>
  <si>
    <t>"Effects of point-source nutrient addtiion and mussel removal on epibiotic assemblages in Perumytilus purpuratus beds" OR</t>
  </si>
  <si>
    <t>Relationship between scotch broom, soil nutrients, and plant diversity in the Garry oak savannah ecosystem OR</t>
  </si>
  <si>
    <t>"Effects of nutrient enrichment in Dutch chalk grassland" OR</t>
  </si>
  <si>
    <t>Relating microarthropod community structure and diversity to soil fertility manipulations in temperate grassland OR</t>
  </si>
  <si>
    <t>"Effects of nutrient addition and acidification on plant species diversity and seed germination in heathland" OR</t>
  </si>
  <si>
    <t>Refugia and local controls: Benthic invertebrate dynamics in lower Green Bay, Lake Michigan following zebra mussel invasion OR</t>
  </si>
  <si>
    <t>"Effects of non-native plants on the native insect community of Delaware" OR</t>
  </si>
  <si>
    <t>Reduction of riparian arthropod abundance and diversity as a consequence of giant reed (Arundo donax) invasion OR</t>
  </si>
  <si>
    <t>"Effects of nitrogen and phosphorus additions on primary production and invertebrate densities in a Georgia (USA) tidal freshwater marsh" OR</t>
  </si>
  <si>
    <t>Rapid recovery of dung beetle communities following habitat fragmentation in Central Amazonia OR</t>
  </si>
  <si>
    <t>"Effects of nitrogen addition on successional dynamics and species diversity in Michigan old-fields" OR</t>
  </si>
  <si>
    <t>Predicted levels of future ocean acidification and temperature rise could alter community structure and biodiversity in marine benthic communities OR</t>
  </si>
  <si>
    <t>"Effects of long-term nutrient fertilisation and irrigation on the microarthropod community in a boreal Norway spruce stand" OR</t>
  </si>
  <si>
    <t>Plant species richness, productivitiy, and nitrogen and phosphorus limitations across a snowpack gradient in Alpine Tundra, Colorado, USA OR</t>
  </si>
  <si>
    <t>"Effects of logged and unlogged forest patches on avifaunal diversity" OR</t>
  </si>
  <si>
    <t>Plant invasion impacts on arthropod abundance, diversity and feeding consistent across environmental and geographic gradients OR</t>
  </si>
  <si>
    <t>"Effects of land usage on dung beetle assemblage structure: Kruger National Park vesus adjacent farmland in South Africa" OR</t>
  </si>
  <si>
    <t>Plant diversity and insect herbivores: effects of environmental change in contrasting model systems OR</t>
  </si>
  <si>
    <t>"Effects of habitat-modifying invasive macroalgae on epiphytic algal communities" OR</t>
  </si>
  <si>
    <t>Plant communities and the reproductive success of native plants after the invasion of an ornamental herb OR</t>
  </si>
  <si>
    <t>"Effects of habitat loss, habitat fragmentation, and isolation on the density, species richness, and distribution of ladybeetles in manipulated alfalfa landscapes" OR</t>
  </si>
  <si>
    <t>Physical and biological disturbances interact differently with productivity: effects on floral and faunal richness. 2010 OR</t>
  </si>
  <si>
    <t>"Effects of habitat loss and fragmentation on the abundance and species richness of aphidophagous beetles and aphids in experimental alfalfa landscapes" OR</t>
  </si>
  <si>
    <t>Patterns in fish assemblages 25 years after major seagrass loss OR</t>
  </si>
  <si>
    <t>"Effects of habitat fragmentation on carabid beetles: experimental evidence" OR</t>
  </si>
  <si>
    <t>Nutrient effects on seagrass epiphyte community structure in Florida Bay OR</t>
  </si>
  <si>
    <t>"Effects of grassland fragmentation on insect species loss, colonization, and movement patterns" OR</t>
  </si>
  <si>
    <t>Norway Maple (Acer platanoides) invasion of a natural forest stand: understory consequence and regeneration pattern OR</t>
  </si>
  <si>
    <t>"Effects of forest fragmentation on the beetle assemblage at the relict forest of Fray Jorge, Chile" OR</t>
  </si>
  <si>
    <t>Non-native grass invasion alters native plant composition in experimental communities OR</t>
  </si>
  <si>
    <t>"Effects of forest fragmentation on a dung beetle community in French Guiana" OR</t>
  </si>
  <si>
    <t>Non-flying mammals and landscape changes in the tropical rainforest region of Los Tuxtlas, Mexico OR</t>
  </si>
  <si>
    <t>"Effects of fertilizer and land-use type on soil properties and ground beetle assemblages" OR</t>
  </si>
  <si>
    <t>Nitrogen availability alters macrofungal basidiomycete community structure in optimally fertilized loblolly pine forests OR</t>
  </si>
  <si>
    <t>"Effects of experimental nitrogen additions on plant diversity in an old-growth tropical forest" OR</t>
  </si>
  <si>
    <t>Negative responses of Collembola in a forest soil (Alptal, Switzerland) under experimentally increased N deposition OR</t>
  </si>
  <si>
    <t>"Effects of English ivy (Hedera helix) on seed bank formation and germination" OR</t>
  </si>
  <si>
    <t>Native plant community composition and genetic diversity associated with long-term weed invasions OR</t>
  </si>
  <si>
    <t>"Effects of elevated nitrogen and exotic plant invasion on soil seed bank composition in Joshua Tree National Park" OR</t>
  </si>
  <si>
    <t>Native fish and anuran assemblages differ between impoundments with and without non-native centrarchids and bullfrogs OR</t>
  </si>
  <si>
    <t>"Effects of anthropogenic activities on lizard communities in northern Madagascar" OR</t>
  </si>
  <si>
    <t>Native and invasive plant interactions in wetlands and the minimal role of invasiveness OR</t>
  </si>
  <si>
    <t>"Effects of an invasive cattail species (Typha x glauca) on sediment nitrogen and microbial community composition in a freshwater wetland" OR</t>
  </si>
  <si>
    <t>Multiple stressors in agricultural streams: a mesocosm study of interactions among raised water temperature, sediment addition, and nutrient enrichment OR</t>
  </si>
  <si>
    <t>"Effects of additional N on herbaceous species of desertified steppe in arid regions of China: a four-year field study" OR</t>
  </si>
  <si>
    <t>Multi-scale impacts of crested wheatgrass invasion in mixed-grass prairie OR</t>
  </si>
  <si>
    <t>"Effect of weeds Lantan camara and Chronelina odorata growth on the species diversity, regeneration and stem density of tree and shrub layer in BRT sanctuary" OR</t>
  </si>
  <si>
    <t>Mixed effects of habitat fragmentation on species richness and community structure in a microarthropod microecosystem OR</t>
  </si>
  <si>
    <t>"Effect of simulated environmental change on alpine soil arthropods" OR</t>
  </si>
  <si>
    <t>Marine microbenthic community structure regulated by nitrogen loading and grazing pressure OR</t>
  </si>
  <si>
    <t>"Effect of land use on anuran species composition in north-eastern KwaZulu-Natal, South Africa" OR</t>
  </si>
  <si>
    <t>Macrozooplankter responses to simulated climate warming in experimental freshwater microcosms OR</t>
  </si>
  <si>
    <t>"Effect of deforestation on a Southwest Ghana dung beetle assemblage (Coleoptera:Scarabaediae) at the periphery of Ankasa conservation area" OR</t>
  </si>
  <si>
    <t>Macroinvertebrate diversity in fragmented alpine streams: implications for freshwater conservation OR</t>
  </si>
  <si>
    <t>"Effect of catchment urbanization on ant diversity in remnant riparian corridors" OR</t>
  </si>
  <si>
    <t>Long-tern assessment of the effect of introduced predatory fish on minnow diversity in a regional protected area OR</t>
  </si>
  <si>
    <t>"Ecological impacts of the invasive grass Sorghum halepense on native tallgrass prairie" OR</t>
  </si>
  <si>
    <t>Long-term nitrogen addition leads to loss of species richness due to litter accumulation and soil acidification in a temperate steppe OR</t>
  </si>
  <si>
    <t>"Dung beetles of the Kabale forest, Uganda: comparison between virgin and managed forests" OR</t>
  </si>
  <si>
    <t>Long-term ecosystem impacts of an introduced grass in the northern Great Plains OR</t>
  </si>
  <si>
    <t>"Dung beetles in continuous forest, forest fragments and in a agricultural mosaic habitat island at Los Tuxtlas, Mexico" OR</t>
  </si>
  <si>
    <t>Long term effects of forest fragmentation on Amazonian ant communities OR</t>
  </si>
  <si>
    <t>"Dung beetles as indicators of change in the forests of northern Borneo" OR</t>
  </si>
  <si>
    <t>Local and regional assessments of the impacts of plant invaders on vegetations structure and soil properties of Mediterranean islands OR</t>
  </si>
  <si>
    <t>"Dung beetle diversity in continous forest, forest fragments, and cattle pastures in a landscape of Chiapas, Mexico: the effects of anthropogenic changes" OR</t>
  </si>
  <si>
    <t>Invasive shrub alters native forest amphibian communities OR</t>
  </si>
  <si>
    <t>"Dung beetle diversity and community structure across three disturbance regimes in Eastern Amazonia" OR</t>
  </si>
  <si>
    <t>Invasive Salix fragilis alters benthic invertebrate communities and litter decomposition in northern Patagonian streams OR</t>
  </si>
  <si>
    <t>"Dung beetle community (Coleoptera:Scarabaedae:Scarabaeinae) in a tropical landscape at the Lachua Region, Guatemala" OR</t>
  </si>
  <si>
    <t>Invasive alien goldenrods negatively affect grassland bird communities in Eastern Europe OR</t>
  </si>
  <si>
    <t>"Dung beetle assemblages in primary forest and disturbed habitats in a tropical dry forest landscape in western Mexico" OR</t>
  </si>
  <si>
    <t>Invasion of Heracleum mantegazzianum in different habitats in the Czech Republic OR</t>
  </si>
  <si>
    <t>"Dung and carrion beetles in tropical rain forest fragments and agricultural habitats at Los Tuxtlas, Mexico" OR</t>
  </si>
  <si>
    <t>Invasion of alien macroalgae in different Mediterranean habitats OR</t>
  </si>
  <si>
    <t>"Dug beetle community and functions along a habitat-disturbance gradient in the Amazon: A rapid assessment of ecological functions associated to biodiversity" OR</t>
  </si>
  <si>
    <t>Invasion and management of alien Hedychium gardnerianum alter plant species composition of a montane rainforest on the island of Hawai'i OR</t>
  </si>
  <si>
    <t>"Dry heath arctic tundra responses to long-term nutrient and light manipulation" OR</t>
  </si>
  <si>
    <t>Interactive effects of nitrogen deposition, fire and grazing on diversity and composition of low-alpine prostrate Calluna vulgaris heathland OR</t>
  </si>
  <si>
    <t>"Diversity of neotropical migratory landbird species assemblages in forest fragments and man-made vegetation in Los Tuxtlas, Mexico" OR</t>
  </si>
  <si>
    <t>Insect diversity responses to forest conversion and agroforestry management OR</t>
  </si>
  <si>
    <t>"Diversity declines in Microstegium vimineum (Japanese stiltgrass) patches" OR</t>
  </si>
  <si>
    <t>Influence of the invasive herb garlic mustard (Alliaria petiolata) on ground beetle (Coleoptera: Carabidae) assemblages OR</t>
  </si>
  <si>
    <t>"Diversity and distribution of macroinvertebrates in lentic habitats in massively altered landscapes in south-eastern Australia" OR</t>
  </si>
  <si>
    <t>Influence of habitat fragmentation and crop system on columbia basin shrubsteppe communities OR</t>
  </si>
  <si>
    <t>"Disturbance effects on species diversity and functional diversity in riparian and upland plant communities" OR</t>
  </si>
  <si>
    <t>Increased primary productivity shifts the stucture and composition of a terrestrial arthropod community OR</t>
  </si>
  <si>
    <t>"Direct versus indirect effects of habitat fragmentation on community patterns in experimental landscapes" OR</t>
  </si>
  <si>
    <t>"Diminished plant richness and abundance below Lonicera maackii, an invasive shrub" OR</t>
  </si>
  <si>
    <t>Impacts of an invasive willow on riparian bird assemblages in south-eastern Australia OR</t>
  </si>
  <si>
    <t>"Differential effects of native and invasive algal wrack on macrofaunal assemblages inhabiting exposed sandy beaches" OR</t>
  </si>
  <si>
    <t>Impacts of a woody invader vary in different vegetation communities OR</t>
  </si>
  <si>
    <t>"Differences in the effects of selective logging on apmphibian assemblages in three west African forest types" OR</t>
  </si>
  <si>
    <t>Impacts of a simulated heat wave on composition of a marine community OR</t>
  </si>
  <si>
    <t>"Density-dependant impacts of exotic conifer invasion on grassland invertebrate assemblages" OR</t>
  </si>
  <si>
    <t>Impact of resource availability on species composition and diversity in freshwater nematodes OR</t>
  </si>
  <si>
    <t>"Countryside biogeography of tropical butterflies" OR</t>
  </si>
  <si>
    <t>Impact of Prunus serotina invasion on understory functional diversity in a European temperate forest OR</t>
  </si>
  <si>
    <t>"Countryside biogeography of neotropical mammals: Conservation opportunities in agricultural landscapes of Costa Rica" OR</t>
  </si>
  <si>
    <t>Impact of Parthenium hysterophorus L. invasion on plant species composition and soil properties of grassland communities in Nepal OR</t>
  </si>
  <si>
    <t>"Countryside biogeography of moths in a fragmented landscape: biodiversity in native and agricultural habitats" OR</t>
  </si>
  <si>
    <t>Impact of invasive plants on the species richness, diversity, and composition of invaded communities OR</t>
  </si>
  <si>
    <t>"Corridors maintain species richness in the fragmented landscapes of a microecosystem" OR</t>
  </si>
  <si>
    <t>Impact of forest fragmentation on understorey plant species richness in Amazonia OR</t>
  </si>
  <si>
    <t>"Control of epibenthic ciliate communities by grazers and nutrients" OR</t>
  </si>
  <si>
    <t>Immigration and zooplankton community responses to nutrient enrichment: a mesocosm experiment OR</t>
  </si>
  <si>
    <t>"Contrasting landscape effects on species diversity and invasion success within a predator community" OR</t>
  </si>
  <si>
    <t>"Contrasting effects of invasive plants in plant-pollinator networks" OR</t>
  </si>
  <si>
    <t>How deforestation pattern in the Amazon influences vertebrate richness and community composition OR</t>
  </si>
  <si>
    <t>"Contrasting effects of habitat loss and fragmentation on coral-associated reef fishes" OR</t>
  </si>
  <si>
    <t>Higher abundance and diversity in faunal assemblages with the invasion of Codium fragile ssp. fragile in eelgrass meadows OR</t>
  </si>
  <si>
    <t>"Consequences of invasion by the alien plant Mimulus guttatus on the species composition and soil properties of riparian plant communities in Scotland" OR</t>
  </si>
  <si>
    <t>High Arctic plant community resists 15 years of climate warming OR</t>
  </si>
  <si>
    <t>"Connectivity, non-random extinction, and ecosystem function in experimental meta-communities" OR</t>
  </si>
  <si>
    <t>Heterotroph species extinction, abundance, and biomass dynamics in an experimentally fragmented microecosystem OR</t>
  </si>
  <si>
    <t>"Compositional and functional stability of arthropod communities in the face of ant invasions" OR</t>
  </si>
  <si>
    <t>Habitat fragmentation impacts on epiphyllous bryophyte communities in central amazonia OR</t>
  </si>
  <si>
    <t>"Complex responses within a desert bee guild (Hymenoptera: Apiformes) to urban habitat fragmentation" OR</t>
  </si>
  <si>
    <t>Habitat fragmentation and arthropod community change: Carrion beetles, phoeretic mites, and flies OR</t>
  </si>
  <si>
    <t>"Competitive abilities of native and introduced grasses" OR</t>
  </si>
  <si>
    <t>Ground beetle assemblages along an urbanization gradient near Soro, Zealand, Denmark OR</t>
  </si>
  <si>
    <t>"Comparison of plant diversity in protected and communal lands in the Bushbuckridge lowveld savanna, South Africa" OR</t>
  </si>
  <si>
    <t>Grassland invasibility and diversity: responses to nutrients, seed input, and disturbance OR</t>
  </si>
  <si>
    <t>"Comparison of medusahead-invaded and noninvaded Wyoming big sagebrush steppe in Southeastern Oregon" OR</t>
  </si>
  <si>
    <t>Gardening in the desert changes bee communities and pollination network characteristics OR</t>
  </si>
  <si>
    <t>"Comparison between amphipod assemblages associated with Caulerpa racemosa var. cylindracea and those of other Mediterannean habitats on soft substrate" OR</t>
  </si>
  <si>
    <t>Fragmentation and alteration of seed dispersal processes: An initial evaluation of dung beetles, seed fate, and seedling diversity OR</t>
  </si>
  <si>
    <t>"Comparing bird assemblages in large and small fragments of the Atlantic forest hotspots" OR</t>
  </si>
  <si>
    <t>Fragmentation alters stream fish community structure in dendritic ecological networks OR</t>
  </si>
  <si>
    <t>"Community-level consequences of invasion: impacts of exotic clonal plants on riparian vegetaion" OR</t>
  </si>
  <si>
    <t>Flora and lepidoptera fauna adversely affected by invasive Lupinus polyphyllus along road verges OR</t>
  </si>
  <si>
    <t>"Community-level consequences of a plant invasion: Effects on three habitats in coastal California" OR</t>
  </si>
  <si>
    <t>Fish responses to experimental fragmentation of seagrass habitat OR</t>
  </si>
  <si>
    <t>"Community structure and composition in response to climate change in a temperate steppe" OR</t>
  </si>
  <si>
    <t>Fertilization with nitrogen and phosphorus increases abundance of non-native species in Hawaiian montane forests OR</t>
  </si>
  <si>
    <t>"Community relaxation in fragmented landscapes: The relation between species richness, area, and age" OR</t>
  </si>
  <si>
    <t>Fertilization and litter effects on the functional group biomass, species diversity of plants, microbial biomass, and enxyme activity of two alpine meadow communities OR</t>
  </si>
  <si>
    <t>"Community impacts of Prospis juliflora invasion: Biogeographic and congeneric comparisons" OR</t>
  </si>
  <si>
    <t>Experimental warming causes rapid loss of plant diversity in New England salt marshes OR</t>
  </si>
  <si>
    <t>"Climate change effects on soil microarthropod abundance and community structure" OR</t>
  </si>
  <si>
    <t>Experimental warming causes large and rapid species loss, dampened by simulated grazing, on the Tibetan Plateau OR</t>
  </si>
  <si>
    <t>"Changes in species diversity following habitat disturbance and dependent on spatial scale: theoretical and empirical evidence" OR</t>
  </si>
  <si>
    <t>Experimental small scale grassland fragmentation alters aphid population dynamics OR</t>
  </si>
  <si>
    <t>"Changes in carabid beetles assemblages along an urbanization gradient in the city of Debrecen, Hungary" OR</t>
  </si>
  <si>
    <t>Experimental removal of a dominant species at two levels of soil fertility OR</t>
  </si>
  <si>
    <t>"Changes in carabid beetles assemblages across an urban-rural gradient in Japan" OR</t>
  </si>
  <si>
    <t>Experimental plant invasion reduces arthropod abundance and richness across multiple trophic levels OR</t>
  </si>
  <si>
    <t>"Changes in bird communities following conversion of lowland forest to oil palm and rubber plantations in southern Thailand" OR</t>
  </si>
  <si>
    <t>Experimental introduction of the alien plant Hieracium lepidulum reveals no significant impact on Montane plant communities in New Zealand OR</t>
  </si>
  <si>
    <t>"Changes in arthropod assemblages along a wide gradient of disturbance in Gabon" OR</t>
  </si>
  <si>
    <t>Experimental habitat fragmentation and invertebrate grazing in a herbaceous grassland species OR</t>
  </si>
  <si>
    <t>"Carabid beetle assemblages across urban-rural gradients: an international comparison" OR</t>
  </si>
  <si>
    <t>Experimental evidence of reduced diversity of seedlings due to climate modification in a Mediterranean-type community OR</t>
  </si>
  <si>
    <t>"Carabid beetle and spider assemblages along a forested urban-rural gradient in southern Finland" OR</t>
  </si>
  <si>
    <t>Experimental evidence for positive effects of invasive seaweed on native invertebrates via habitat-formation in a seagrass bed OR</t>
  </si>
  <si>
    <t>"Canopy effects of the invasive shrub Pyracantha angustifolia on a seed bank composition, richness and density in a montane shrubland (Cordoba, Argentina)" OR</t>
  </si>
  <si>
    <t>Experimental evidence for interactive impact of human activities on lake algal species richness OR</t>
  </si>
  <si>
    <t>"Bromus inermus invasion of a native grassland: diversity and resource reduction" OR</t>
  </si>
  <si>
    <t>Experimental effects of habitat fragmentation on old-field canopy insects: community, guild, and species responses OR</t>
  </si>
  <si>
    <t>"Biomass compensation and plant responses to 7 years of plant functional group removals" OR</t>
  </si>
  <si>
    <t>Experimental drought and warming decrease diversity and slow down post-fire succession in a Mediterranean shrubland OR</t>
  </si>
  <si>
    <t>"Biodiversity and ecosystem function of tropical forest dung beetles under contrasting logging regimes" OR</t>
  </si>
  <si>
    <t>Exotic invasive knotweeds (Fallopia spp.) negatively affect native plant and invertebrate assemblages in European riparian habitats OR</t>
  </si>
  <si>
    <t>"Biodiversity and abundance of terrestrial isopods along a gradient of disturbance in Sabah, East Malaysia" OR</t>
  </si>
  <si>
    <t>Elevated air temperature alters an old-field insect community in a multifactor climate change experiment OR</t>
  </si>
  <si>
    <t>"Bats in continous forest, forest fragments, and in an agricultural mosaic habitat-island at Los Tuxtlas, Mexico" OR</t>
  </si>
  <si>
    <t>Effects of urbanization on plant species diversity in central Arizona OR</t>
  </si>
  <si>
    <t>"Avian assemblages in native Acacia and alien Prosopis drainage line woodland in the Kalahari, South Africa" OR</t>
  </si>
  <si>
    <t>Effects of urbanization on ground-dwelling spiders in forest patches, in Hungary OR</t>
  </si>
  <si>
    <t>"Assessing urban impacts on water quality, benthic communities, and fish in streams of the Andes Mountains, Patagonia (Argentina)" OR</t>
  </si>
  <si>
    <t>Effects of urbanization and urban stream restoration on the physical and biological structure of stream ecosystems OR</t>
  </si>
  <si>
    <t>"Anthropogenic landscape changes and avian diversity at Los Tuxtlas, Mexico" OR</t>
  </si>
  <si>
    <t>Effects of the exotic macrophyte, para grass (Urochloa mutica), on benthic and epiphytic macroinvertebrates of a tropical floodplain OR</t>
  </si>
  <si>
    <t>"An invasive crab alters interaction webs in a marine community" OR</t>
  </si>
  <si>
    <t>Effects of small-scale habitat fragmentation, habitat corridors and mainland dispersal on soil decomposer organisms OR</t>
  </si>
  <si>
    <t>"A preliminary assessment of the response of a native reptile assemblage to spot-spraying invasive Bitou Bush with glyphosate herbicide" OR</t>
  </si>
  <si>
    <t>Effects of road salt and Phragmites australis invasion on the vegetation of a Western Massacheusetts calcareous lake-basin fen OR</t>
  </si>
  <si>
    <t>"A comparison of epifauna and epiphytes on native kelps (Laminaria species) and an invasive alga (Codium fraglie ssp. Tomentosoides) in Nova Scotia, Canada" OR</t>
  </si>
  <si>
    <t>Effects of point-source nutrient addtiion and mussel removal on epibiotic assemblages in Perumytilus purpuratus beds OR</t>
  </si>
  <si>
    <t>"Assessing impacts of introduced aquaculture species on native fish communities: Nile tilapia and major carps in SE Asian freshwaters" OR</t>
  </si>
  <si>
    <t>Effects of nutrient enrichment in Dutch chalk grassland OR</t>
  </si>
  <si>
    <t>Effects of nutrient addition and acidification on plant species diversity and seed germination in heathland OR</t>
  </si>
  <si>
    <t>Effects of non-native plants on the native insect community of Delaware OR</t>
  </si>
  <si>
    <t>Effects of nitrogen and phosphorus additions on primary production and invertebrate densities in a Georgia (USA) tidal freshwater marsh OR</t>
  </si>
  <si>
    <t>DO = (</t>
  </si>
  <si>
    <t>Effects of nitrogen addition on successional dynamics and species diversity in Michigan old-fields OR</t>
  </si>
  <si>
    <t>Effects of long-term nutrient fertilisation and irrigation on the microarthropod community in a boreal Norway spruce stand OR</t>
  </si>
  <si>
    <t>Effects of logged and unlogged forest patches on avifaunal diversity OR</t>
  </si>
  <si>
    <t>Effects of land usage on dung beetle assemblage structure: Kruger National Park vesus adjacent farmland in South Africa OR</t>
  </si>
  <si>
    <t>Effects of habitat-modifying invasive macroalgae on epiphytic algal communities OR</t>
  </si>
  <si>
    <t>Effects of habitat loss, habitat fragmentation, and isolation on the density, species richness, and distribution of ladybeetles in manipulated alfalfa landscapes OR</t>
  </si>
  <si>
    <t>Effects of habitat loss and fragmentation on the abundance and species richness of aphidophagous beetles and aphids in experimental alfalfa landscapes OR</t>
  </si>
  <si>
    <t>Effects of habitat fragmentation on carabid beetles: experimental evidence OR</t>
  </si>
  <si>
    <t>Effects of grassland fragmentation on insect species loss, colonization, and movement patterns OR</t>
  </si>
  <si>
    <t>Effects of forest fragmentation on the beetle assemblage at the relict forest of Fray Jorge, Chile OR</t>
  </si>
  <si>
    <t>Effects of forest fragmentation on a dung beetle community in French Guiana OR</t>
  </si>
  <si>
    <t>Effects of fertilizer and land-use type on soil properties and ground beetle assemblages OR</t>
  </si>
  <si>
    <t>Effects of experimental nitrogen additions on plant diversity in an old-growth tropical forest OR</t>
  </si>
  <si>
    <t>Effects of English ivy (Hedera helix) on seed bank formation and germination OR</t>
  </si>
  <si>
    <t>Effects of elevated nitrogen and exotic plant invasion on soil seed bank composition in Joshua Tree National Park OR</t>
  </si>
  <si>
    <t>Effects of anthropogenic activities on lizard communities in northern Madagascar OR</t>
  </si>
  <si>
    <t>Effects of an invasive cattail species (Typha x glauca) on sediment nitrogen and microbial community composition in a freshwater wetland OR</t>
  </si>
  <si>
    <t>Effects of additional N on herbaceous species of desertified steppe in arid regions of China: a four-year field study OR</t>
  </si>
  <si>
    <t>Effect of weeds Lantan camara and Chronelina odorata growth on the species diversity, regeneration and stem density of tree and shrub layer in BRT sanctuary OR</t>
  </si>
  <si>
    <t>Effect of simulated environmental change on alpine soil arthropods OR</t>
  </si>
  <si>
    <t>Effect of land use on anuran species composition in north-eastern KwaZulu-Natal, South Africa OR</t>
  </si>
  <si>
    <t>Effect of deforestation on a Southwest Ghana dung beetle assemblage (Coleoptera:Scarabaediae) at the periphery of Ankasa conservation area OR</t>
  </si>
  <si>
    <t>Effect of catchment urbanization on ant diversity in remnant riparian corridors OR</t>
  </si>
  <si>
    <t>Ecological impacts of the invasive grass Sorghum halepense on native tallgrass prairie OR</t>
  </si>
  <si>
    <t>Dung beetles of the Kabale forest, Uganda: comparison between virgin and managed forests OR</t>
  </si>
  <si>
    <t>Dung beetles in continuous forest, forest fragments and in a agricultural mosaic habitat island at Los Tuxtlas, Mexico OR</t>
  </si>
  <si>
    <t>Dung beetles as indicators of change in the forests of northern Borneo OR</t>
  </si>
  <si>
    <t>Dung beetle diversity in continous forest, forest fragments, and cattle pastures in a landscape of Chiapas, Mexico: the effects of anthropogenic changes OR</t>
  </si>
  <si>
    <t>Dung beetle diversity and community structure across three disturbance regimes in Eastern Amazonia OR</t>
  </si>
  <si>
    <t>Dung beetle community (Coleoptera:Scarabaedae:Scarabaeinae) in a tropical landscape at the Lachua Region, Guatemala OR</t>
  </si>
  <si>
    <t>Dung beetle assemblages in primary forest and disturbed habitats in a tropical dry forest landscape in western Mexico OR</t>
  </si>
  <si>
    <t>Dung and carrion beetles in tropical rain forest fragments and agricultural habitats at Los Tuxtlas, Mexico OR</t>
  </si>
  <si>
    <t>Dug beetle community and functions along a habitat-disturbance gradient in the Amazon: A rapid assessment of ecological functions associated to biodiversity OR</t>
  </si>
  <si>
    <t>Dry heath arctic tundra responses to long-term nutrient and light manipulation OR</t>
  </si>
  <si>
    <t>Diversity of neotropical migratory landbird species assemblages in forest fragments and man-made vegetation in Los Tuxtlas, Mexico OR</t>
  </si>
  <si>
    <t>Diversity declines in Microstegium vimineum (Japanese stiltgrass) patches OR</t>
  </si>
  <si>
    <t>Diversity and distribution of macroinvertebrates in lentic habitats in massively altered landscapes in south-eastern Australia OR</t>
  </si>
  <si>
    <t>Disturbance effects on species diversity and functional diversity in riparian and upland plant communities OR</t>
  </si>
  <si>
    <t>Direct versus indirect effects of habitat fragmentation on community patterns in experimental landscapes OR</t>
  </si>
  <si>
    <t>Diminished plant richness and abundance below Lonicera maackii, an invasive shrub OR</t>
  </si>
  <si>
    <t>Differential effects of native and invasive algal wrack on macrofaunal assemblages inhabiting exposed sandy beaches OR</t>
  </si>
  <si>
    <t>Differences in the effects of selective logging on apmphibian assemblages in three west African forest types OR</t>
  </si>
  <si>
    <t>Density-dependant impacts of exotic conifer invasion on grassland invertebrate assemblages OR</t>
  </si>
  <si>
    <t>Countryside biogeography of tropical butterflies OR</t>
  </si>
  <si>
    <t>Countryside biogeography of neotropical mammals: Conservation opportunities in agricultural landscapes of Costa Rica OR</t>
  </si>
  <si>
    <t>Countryside biogeography of moths in a fragmented landscape: biodiversity in native and agricultural habitats OR</t>
  </si>
  <si>
    <t>Corridors maintain species richness in the fragmented landscapes of a microecosystem OR</t>
  </si>
  <si>
    <t>Control of epibenthic ciliate communities by grazers and nutrients OR</t>
  </si>
  <si>
    <t>Contrasting landscape effects on species diversity and invasion success within a predator community OR</t>
  </si>
  <si>
    <t>Contrasting effects of invasive plants in plant-pollinator networks OR</t>
  </si>
  <si>
    <t>Contrasting effects of habitat loss and fragmentation on coral-associated reef fishes OR</t>
  </si>
  <si>
    <t>Consequences of invasion by the alien plant Mimulus guttatus on the species composition and soil properties of riparian plant communities in Scotland OR</t>
  </si>
  <si>
    <t>Connectivity, non-random extinction, and ecosystem function in experimental meta-communities OR</t>
  </si>
  <si>
    <t>Compositional and functional stability of arthropod communities in the face of ant invasions OR</t>
  </si>
  <si>
    <t>Complex responses within a desert bee guild (Hymenoptera: Apiformes) to urban habitat fragmentation OR</t>
  </si>
  <si>
    <t>Competitive abilities of native and introduced grasses OR</t>
  </si>
  <si>
    <t>Comparison of plant diversity in protected and communal lands in the Bushbuckridge lowveld savanna, South Africa OR</t>
  </si>
  <si>
    <t>Comparison of medusahead-invaded and noninvaded Wyoming big sagebrush steppe in Southeastern Oregon OR</t>
  </si>
  <si>
    <t>Comparison between amphipod assemblages associated with Caulerpa racemosa var. cylindracea and those of other Mediterannean habitats on soft substrate OR</t>
  </si>
  <si>
    <t>Comparing bird assemblages in large and small fragments of the Atlantic forest hotspots OR</t>
  </si>
  <si>
    <t>Community-level consequences of invasion: impacts of exotic clonal plants on riparian vegetaion OR</t>
  </si>
  <si>
    <t>Community-level consequences of a plant invasion: Effects on three habitats in coastal California OR</t>
  </si>
  <si>
    <t>Community structure and composition in response to climate change in a temperate steppe OR</t>
  </si>
  <si>
    <t>Community relaxation in fragmented landscapes: The relation between species richness, area, and age OR</t>
  </si>
  <si>
    <t>Community impacts of Prospis juliflora invasion: Biogeographic and congeneric comparisons OR</t>
  </si>
  <si>
    <t>Climate change effects on soil microarthropod abundance and community structure OR</t>
  </si>
  <si>
    <t>Changes in species diversity following habitat disturbance and dependent on spatial scale: theoretical and empirical evidence OR</t>
  </si>
  <si>
    <t>Changes in carabid beetles assemblages along an urbanization gradient in the city of Debrecen, Hungary OR</t>
  </si>
  <si>
    <t>Changes in carabid beetles assemblages across an urban-rural gradient in Japan OR</t>
  </si>
  <si>
    <t>Changes in bird communities following conversion of lowland forest to oil palm and rubber plantations in southern Thailand OR</t>
  </si>
  <si>
    <t>Changes in arthropod assemblages along a wide gradient of disturbance in Gabon OR</t>
  </si>
  <si>
    <t>Carabid beetle assemblages across urban-rural gradients: an international comparison OR</t>
  </si>
  <si>
    <t>Carabid beetle and spider assemblages along a forested urban-rural gradient in southern Finland OR</t>
  </si>
  <si>
    <t>Canopy effects of the invasive shrub Pyracantha angustifolia on a seed bank composition, richness and density in a montane shrubland (Cordoba, Argentina) OR</t>
  </si>
  <si>
    <t>Bromus inermus invasion of a native grassland: diversity and resource reduction OR</t>
  </si>
  <si>
    <t>Biomass compensation and plant responses to 7 years of plant functional group removals OR</t>
  </si>
  <si>
    <t>Biodiversity and ecosystem function of tropical forest dung beetles under contrasting logging regimes OR</t>
  </si>
  <si>
    <t>Biodiversity and abundance of terrestrial isopods along a gradient of disturbance in Sabah, East Malaysia OR</t>
  </si>
  <si>
    <t>Bats in continous forest, forest fragments, and in an agricultural mosaic habitat-island at Los Tuxtlas, Mexico OR</t>
  </si>
  <si>
    <t>Avian assemblages in native Acacia and alien Prosopis drainage line woodland in the Kalahari, South Africa OR</t>
  </si>
  <si>
    <t>Assessing urban impacts on water quality, benthic communities, and fish in streams of the Andes Mountains, Patagonia (Argentina) OR</t>
  </si>
  <si>
    <t>Anthropogenic landscape changes and avian diversity at Los Tuxtlas, Mexico OR</t>
  </si>
  <si>
    <t>An invasive crab alters interaction webs in a marine community OR</t>
  </si>
  <si>
    <t>A preliminary assessment of the response of a native reptile assemblage to spot-spraying invasive Bitou Bush with glyphosate herbicide OR</t>
  </si>
  <si>
    <t>A comparison of epifauna and epiphytes on native kelps (Laminaria species) and an invasive alga (Codium fraglie ssp. Tomentosoides) in Nova Scotia, Canada OR</t>
  </si>
  <si>
    <t>Assessing impacts of introduced aquaculture species on native fish communities: Nile tilapia and major carps in SE Asian freshwaters OR</t>
  </si>
  <si>
    <t>))</t>
  </si>
</sst>
</file>

<file path=xl/styles.xml><?xml version="1.0" encoding="utf-8"?>
<styleSheet xmlns="http://schemas.openxmlformats.org/spreadsheetml/2006/main" xmlns:x14ac="http://schemas.microsoft.com/office/spreadsheetml/2009/9/ac" xmlns:mc="http://schemas.openxmlformats.org/markup-compatibility/2006">
  <numFmts count="2">
    <numFmt numFmtId="164" formatCode="0.000"/>
    <numFmt numFmtId="165" formatCode="0.0000"/>
  </numFmts>
  <fonts count="9">
    <font>
      <sz val="10.0"/>
      <color rgb="FF000000"/>
      <name val="Arial"/>
      <scheme val="minor"/>
    </font>
    <font>
      <u/>
      <color rgb="FF0000FF"/>
    </font>
    <font>
      <color theme="1"/>
      <name val="Arial"/>
      <scheme val="minor"/>
    </font>
    <font>
      <b/>
      <sz val="8.0"/>
      <color theme="1"/>
      <name val="Arial"/>
    </font>
    <font>
      <sz val="8.0"/>
      <color theme="1"/>
      <name val="Arial"/>
    </font>
    <font>
      <sz val="8.0"/>
      <color rgb="FF000000"/>
      <name val="Arial"/>
    </font>
    <font>
      <color rgb="FF1F1F1F"/>
      <name val="ElsevierGulliver"/>
    </font>
    <font>
      <u/>
      <color rgb="FF0000FF"/>
    </font>
    <font>
      <b/>
      <color theme="1"/>
      <name val="Arial"/>
      <scheme val="minor"/>
    </font>
  </fonts>
  <fills count="2">
    <fill>
      <patternFill patternType="none"/>
    </fill>
    <fill>
      <patternFill patternType="lightGray"/>
    </fill>
  </fills>
  <borders count="1">
    <border/>
  </borders>
  <cellStyleXfs count="1">
    <xf borderId="0" fillId="0" fontId="0" numFmtId="0" applyAlignment="1" applyFont="1"/>
  </cellStyleXfs>
  <cellXfs count="24">
    <xf borderId="0" fillId="0" fontId="0" numFmtId="0" xfId="0" applyAlignment="1" applyFont="1">
      <alignment readingOrder="0" shrinkToFit="0" vertical="bottom" wrapText="0"/>
    </xf>
    <xf borderId="0" fillId="0" fontId="1" numFmtId="0" xfId="0" applyAlignment="1" applyFont="1">
      <alignment readingOrder="0"/>
    </xf>
    <xf borderId="0" fillId="0" fontId="2" numFmtId="0" xfId="0" applyAlignment="1" applyFont="1">
      <alignment readingOrder="0"/>
    </xf>
    <xf quotePrefix="1" borderId="0" fillId="0" fontId="2" numFmtId="0" xfId="0" applyAlignment="1" applyFont="1">
      <alignment readingOrder="0"/>
    </xf>
    <xf borderId="0" fillId="0" fontId="3" numFmtId="0" xfId="0" applyAlignment="1" applyFont="1">
      <alignment horizontal="center" shrinkToFit="0" vertical="center" wrapText="1"/>
    </xf>
    <xf borderId="0" fillId="0" fontId="3" numFmtId="164" xfId="0" applyAlignment="1" applyFont="1" applyNumberFormat="1">
      <alignment horizontal="center" shrinkToFit="0" vertical="center" wrapText="1"/>
    </xf>
    <xf borderId="0" fillId="0" fontId="3" numFmtId="2" xfId="0" applyAlignment="1" applyFont="1" applyNumberFormat="1">
      <alignment horizontal="center" shrinkToFit="0" vertical="center" wrapText="1"/>
    </xf>
    <xf borderId="0" fillId="0" fontId="4" numFmtId="0" xfId="0" applyAlignment="1" applyFont="1">
      <alignment horizontal="center" shrinkToFit="0" vertical="center" wrapText="1"/>
    </xf>
    <xf borderId="0" fillId="0" fontId="4" numFmtId="164" xfId="0" applyAlignment="1" applyFont="1" applyNumberFormat="1">
      <alignment horizontal="center" shrinkToFit="0" vertical="center" wrapText="1"/>
    </xf>
    <xf quotePrefix="1" borderId="0" fillId="0" fontId="4" numFmtId="0" xfId="0" applyAlignment="1" applyFont="1">
      <alignment horizontal="center" shrinkToFit="0" vertical="center" wrapText="1"/>
    </xf>
    <xf borderId="0" fillId="0" fontId="4" numFmtId="2" xfId="0" applyAlignment="1" applyFont="1" applyNumberFormat="1">
      <alignment horizontal="center" shrinkToFit="0" vertical="center" wrapText="1"/>
    </xf>
    <xf borderId="0" fillId="0" fontId="4" numFmtId="165" xfId="0" applyAlignment="1" applyFont="1" applyNumberFormat="1">
      <alignment horizontal="center" vertical="center"/>
    </xf>
    <xf borderId="0" fillId="0" fontId="4" numFmtId="0" xfId="0" applyFont="1"/>
    <xf quotePrefix="1" borderId="0" fillId="0" fontId="4" numFmtId="164" xfId="0" applyAlignment="1" applyFont="1" applyNumberFormat="1">
      <alignment horizontal="center" shrinkToFit="0" vertical="center" wrapText="1"/>
    </xf>
    <xf borderId="0" fillId="0" fontId="4" numFmtId="164" xfId="0" applyAlignment="1" applyFont="1" applyNumberFormat="1">
      <alignment horizontal="center" vertical="center"/>
    </xf>
    <xf borderId="0" fillId="0" fontId="4" numFmtId="164" xfId="0" applyFont="1" applyNumberFormat="1"/>
    <xf borderId="0" fillId="0" fontId="4" numFmtId="10" xfId="0" applyAlignment="1" applyFont="1" applyNumberFormat="1">
      <alignment horizontal="center" shrinkToFit="0" vertical="center" wrapText="1"/>
    </xf>
    <xf borderId="0" fillId="0" fontId="4" numFmtId="0" xfId="0" applyAlignment="1" applyFont="1">
      <alignment horizontal="center" vertical="center"/>
    </xf>
    <xf quotePrefix="1" borderId="0" fillId="0" fontId="4" numFmtId="0" xfId="0" applyAlignment="1" applyFont="1">
      <alignment horizontal="center" vertical="center"/>
    </xf>
    <xf borderId="0" fillId="0" fontId="5" numFmtId="0" xfId="0" applyAlignment="1" applyFont="1">
      <alignment horizontal="center" shrinkToFit="0" vertical="center" wrapText="1"/>
    </xf>
    <xf borderId="0" fillId="0" fontId="2" numFmtId="0" xfId="0" applyFont="1"/>
    <xf borderId="0" fillId="0" fontId="6" numFmtId="0" xfId="0" applyAlignment="1" applyFont="1">
      <alignment readingOrder="0"/>
    </xf>
    <xf borderId="0" fillId="0" fontId="7" numFmtId="0" xfId="0" applyFont="1"/>
    <xf borderId="0" fillId="0" fontId="8" numFmtId="0" xfId="0" applyAlignment="1" applyFont="1">
      <alignment readingOrder="0"/>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10" Type="http://schemas.openxmlformats.org/officeDocument/2006/relationships/worksheet" Target="worksheets/sheet6.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hyperlink" Target="https://onlinelibrary.wiley.com/doi/10.1002/ece3.909" TargetMode="External"/><Relationship Id="rId2"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2.xml"/><Relationship Id="rId3"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27.75"/>
  </cols>
  <sheetData>
    <row r="2">
      <c r="B2" s="1" t="s">
        <v>0</v>
      </c>
    </row>
    <row r="3">
      <c r="B3" s="2" t="s">
        <v>1</v>
      </c>
      <c r="C3" s="2" t="s">
        <v>2</v>
      </c>
    </row>
    <row r="4">
      <c r="B4" s="2" t="s">
        <v>3</v>
      </c>
      <c r="C4" s="2" t="s">
        <v>4</v>
      </c>
    </row>
    <row r="5">
      <c r="B5" s="2" t="s">
        <v>5</v>
      </c>
      <c r="C5" s="3" t="s">
        <v>6</v>
      </c>
    </row>
    <row r="6">
      <c r="B6" s="2" t="s">
        <v>7</v>
      </c>
      <c r="C6" s="3" t="s">
        <v>8</v>
      </c>
    </row>
  </sheetData>
  <hyperlinks>
    <hyperlink r:id="rId1" ref="B2"/>
  </hyperlinks>
  <drawing r:id="rId2"/>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10.25"/>
    <col customWidth="1" min="2" max="2" width="21.38"/>
    <col customWidth="1" min="3" max="3" width="11.63"/>
    <col customWidth="1" min="4" max="4" width="32.38"/>
    <col customWidth="1" min="5" max="5" width="64.5"/>
    <col customWidth="1" min="6" max="6" width="18.75"/>
    <col customWidth="1" min="7" max="7" width="20.0"/>
    <col customWidth="1" min="8" max="8" width="18.0"/>
    <col customWidth="1" min="9" max="9" width="15.75"/>
    <col customWidth="1" min="10" max="10" width="14.0"/>
    <col customWidth="1" min="11" max="11" width="15.13"/>
    <col customWidth="1" min="12" max="13" width="10.25"/>
    <col customWidth="1" min="14" max="14" width="8.0"/>
    <col customWidth="1" min="15" max="17" width="8.63"/>
    <col customWidth="1" min="18" max="18" width="7.5"/>
    <col customWidth="1" min="19" max="19" width="8.0"/>
    <col customWidth="1" min="20" max="23" width="10.5"/>
    <col customWidth="1" min="24" max="24" width="108.13"/>
    <col customWidth="1" min="25" max="25" width="14.63"/>
    <col customWidth="1" min="26" max="27" width="10.25"/>
  </cols>
  <sheetData>
    <row r="1" ht="22.5" customHeight="1">
      <c r="A1" s="4" t="s">
        <v>9</v>
      </c>
      <c r="B1" s="5" t="s">
        <v>10</v>
      </c>
      <c r="C1" s="5" t="s">
        <v>11</v>
      </c>
      <c r="D1" s="5" t="s">
        <v>12</v>
      </c>
      <c r="E1" s="5" t="s">
        <v>13</v>
      </c>
      <c r="F1" s="5" t="s">
        <v>14</v>
      </c>
      <c r="G1" s="5" t="s">
        <v>15</v>
      </c>
      <c r="H1" s="5" t="s">
        <v>16</v>
      </c>
      <c r="I1" s="5" t="s">
        <v>17</v>
      </c>
      <c r="J1" s="4" t="s">
        <v>18</v>
      </c>
      <c r="K1" s="5" t="s">
        <v>19</v>
      </c>
      <c r="L1" s="4" t="s">
        <v>20</v>
      </c>
      <c r="M1" s="6" t="s">
        <v>21</v>
      </c>
      <c r="N1" s="4" t="s">
        <v>22</v>
      </c>
      <c r="O1" s="4" t="s">
        <v>23</v>
      </c>
      <c r="P1" s="6" t="s">
        <v>24</v>
      </c>
      <c r="Q1" s="6" t="s">
        <v>25</v>
      </c>
      <c r="R1" s="4" t="s">
        <v>26</v>
      </c>
      <c r="S1" s="4" t="s">
        <v>27</v>
      </c>
      <c r="T1" s="5" t="s">
        <v>28</v>
      </c>
      <c r="U1" s="5" t="s">
        <v>29</v>
      </c>
      <c r="V1" s="5" t="s">
        <v>30</v>
      </c>
      <c r="W1" s="4" t="s">
        <v>31</v>
      </c>
      <c r="X1" s="5" t="s">
        <v>32</v>
      </c>
      <c r="Y1" s="7"/>
      <c r="Z1" s="7"/>
      <c r="AA1" s="7"/>
    </row>
    <row r="2" ht="19.5" customHeight="1">
      <c r="A2" s="7">
        <v>1.0</v>
      </c>
      <c r="B2" s="8" t="s">
        <v>33</v>
      </c>
      <c r="C2" s="8" t="s">
        <v>34</v>
      </c>
      <c r="D2" s="8" t="s">
        <v>35</v>
      </c>
      <c r="E2" s="8" t="s">
        <v>36</v>
      </c>
      <c r="F2" s="8" t="s">
        <v>37</v>
      </c>
      <c r="G2" s="8" t="s">
        <v>37</v>
      </c>
      <c r="H2" s="8" t="s">
        <v>38</v>
      </c>
      <c r="I2" s="8" t="s">
        <v>39</v>
      </c>
      <c r="J2" s="9" t="s">
        <v>40</v>
      </c>
      <c r="K2" s="8" t="s">
        <v>41</v>
      </c>
      <c r="L2" s="8" t="s">
        <v>42</v>
      </c>
      <c r="M2" s="10">
        <f t="shared" ref="M2:M328" si="1">LOG(N2)</f>
        <v>1.364926034</v>
      </c>
      <c r="N2" s="7">
        <v>23.17</v>
      </c>
      <c r="O2" s="7">
        <v>18.47</v>
      </c>
      <c r="P2" s="10">
        <v>5.315392741839496</v>
      </c>
      <c r="Q2" s="10">
        <v>6.442158023519758</v>
      </c>
      <c r="R2" s="7">
        <v>6.0</v>
      </c>
      <c r="S2" s="7">
        <v>6.0</v>
      </c>
      <c r="T2" s="8">
        <f t="shared" ref="T2:T328" si="2">O2/N2</f>
        <v>0.797151489</v>
      </c>
      <c r="U2" s="8">
        <f t="shared" ref="U2:U328" si="3">LN(T2)</f>
        <v>-0.2267105442</v>
      </c>
      <c r="V2" s="11">
        <v>0.02904715571344884</v>
      </c>
      <c r="W2" s="7">
        <f t="shared" ref="W2:W328" si="4">R2+S2</f>
        <v>12</v>
      </c>
      <c r="X2" s="7" t="s">
        <v>43</v>
      </c>
      <c r="Y2" s="12"/>
      <c r="Z2" s="12"/>
      <c r="AA2" s="12"/>
    </row>
    <row r="3" ht="19.5" customHeight="1">
      <c r="A3" s="7">
        <v>2.0</v>
      </c>
      <c r="B3" s="7" t="s">
        <v>44</v>
      </c>
      <c r="C3" s="8" t="s">
        <v>34</v>
      </c>
      <c r="D3" s="7" t="s">
        <v>45</v>
      </c>
      <c r="E3" s="7" t="s">
        <v>46</v>
      </c>
      <c r="F3" s="7" t="s">
        <v>47</v>
      </c>
      <c r="G3" s="7" t="s">
        <v>47</v>
      </c>
      <c r="H3" s="7" t="s">
        <v>38</v>
      </c>
      <c r="I3" s="7" t="s">
        <v>39</v>
      </c>
      <c r="J3" s="9" t="s">
        <v>40</v>
      </c>
      <c r="K3" s="7" t="s">
        <v>48</v>
      </c>
      <c r="L3" s="7" t="s">
        <v>49</v>
      </c>
      <c r="M3" s="10">
        <f t="shared" si="1"/>
        <v>0.8169038394</v>
      </c>
      <c r="N3" s="7">
        <v>6.56</v>
      </c>
      <c r="O3" s="7">
        <v>5.87</v>
      </c>
      <c r="P3" s="10">
        <v>3.2178253526255896</v>
      </c>
      <c r="Q3" s="10">
        <v>2.244994432064365</v>
      </c>
      <c r="R3" s="7">
        <v>14.0</v>
      </c>
      <c r="S3" s="7">
        <v>14.0</v>
      </c>
      <c r="T3" s="8">
        <f t="shared" si="2"/>
        <v>0.8948170732</v>
      </c>
      <c r="U3" s="8">
        <f t="shared" si="3"/>
        <v>-0.1111359691</v>
      </c>
      <c r="V3" s="11">
        <v>0.02763440532509374</v>
      </c>
      <c r="W3" s="7">
        <f t="shared" si="4"/>
        <v>28</v>
      </c>
      <c r="X3" s="7" t="s">
        <v>50</v>
      </c>
      <c r="Y3" s="7"/>
      <c r="Z3" s="7"/>
      <c r="AA3" s="7"/>
    </row>
    <row r="4" ht="19.5" customHeight="1">
      <c r="A4" s="7">
        <v>3.0</v>
      </c>
      <c r="B4" s="7" t="s">
        <v>51</v>
      </c>
      <c r="C4" s="7" t="s">
        <v>52</v>
      </c>
      <c r="D4" s="7" t="s">
        <v>53</v>
      </c>
      <c r="E4" s="7" t="s">
        <v>54</v>
      </c>
      <c r="F4" s="7" t="s">
        <v>47</v>
      </c>
      <c r="G4" s="9" t="s">
        <v>40</v>
      </c>
      <c r="H4" s="7" t="s">
        <v>38</v>
      </c>
      <c r="I4" s="7" t="s">
        <v>39</v>
      </c>
      <c r="J4" s="9" t="s">
        <v>40</v>
      </c>
      <c r="K4" s="7" t="s">
        <v>55</v>
      </c>
      <c r="L4" s="8" t="s">
        <v>56</v>
      </c>
      <c r="M4" s="10">
        <f t="shared" si="1"/>
        <v>1.322219295</v>
      </c>
      <c r="N4" s="7">
        <v>21.0</v>
      </c>
      <c r="O4" s="7">
        <v>20.43</v>
      </c>
      <c r="P4" s="10">
        <v>13.914021704740872</v>
      </c>
      <c r="Q4" s="10">
        <v>11.700427342623005</v>
      </c>
      <c r="R4" s="7">
        <v>40.0</v>
      </c>
      <c r="S4" s="7">
        <v>40.0</v>
      </c>
      <c r="T4" s="8">
        <f t="shared" si="2"/>
        <v>0.9728571429</v>
      </c>
      <c r="U4" s="8">
        <f t="shared" si="3"/>
        <v>-0.02751802889</v>
      </c>
      <c r="V4" s="11">
        <v>0.019174922089360474</v>
      </c>
      <c r="W4" s="7">
        <f t="shared" si="4"/>
        <v>80</v>
      </c>
      <c r="X4" s="7" t="s">
        <v>57</v>
      </c>
      <c r="Y4" s="7"/>
      <c r="Z4" s="7"/>
      <c r="AA4" s="7"/>
    </row>
    <row r="5" ht="19.5" customHeight="1">
      <c r="A5" s="7">
        <v>4.0</v>
      </c>
      <c r="B5" s="8" t="s">
        <v>58</v>
      </c>
      <c r="C5" s="8" t="s">
        <v>34</v>
      </c>
      <c r="D5" s="8" t="s">
        <v>59</v>
      </c>
      <c r="E5" s="8" t="s">
        <v>60</v>
      </c>
      <c r="F5" s="8" t="s">
        <v>37</v>
      </c>
      <c r="G5" s="8" t="s">
        <v>37</v>
      </c>
      <c r="H5" s="8" t="s">
        <v>38</v>
      </c>
      <c r="I5" s="8" t="s">
        <v>39</v>
      </c>
      <c r="J5" s="9" t="s">
        <v>40</v>
      </c>
      <c r="K5" s="8" t="s">
        <v>41</v>
      </c>
      <c r="L5" s="8" t="s">
        <v>61</v>
      </c>
      <c r="M5" s="10">
        <f t="shared" si="1"/>
        <v>0.5987905068</v>
      </c>
      <c r="N5" s="7">
        <v>3.97</v>
      </c>
      <c r="O5" s="7">
        <v>2.56</v>
      </c>
      <c r="P5" s="10">
        <v>1.5178932768808222</v>
      </c>
      <c r="Q5" s="10">
        <v>0.9486832980505138</v>
      </c>
      <c r="R5" s="7">
        <v>10.0</v>
      </c>
      <c r="S5" s="7">
        <v>10.0</v>
      </c>
      <c r="T5" s="8">
        <f t="shared" si="2"/>
        <v>0.644836272</v>
      </c>
      <c r="U5" s="8">
        <f t="shared" si="3"/>
        <v>-0.4387588362</v>
      </c>
      <c r="V5" s="11">
        <v>0.028351364686130906</v>
      </c>
      <c r="W5" s="7">
        <f t="shared" si="4"/>
        <v>20</v>
      </c>
      <c r="X5" s="8" t="s">
        <v>62</v>
      </c>
      <c r="Y5" s="12"/>
      <c r="Z5" s="12"/>
      <c r="AA5" s="12"/>
    </row>
    <row r="6" ht="19.5" customHeight="1">
      <c r="A6" s="7">
        <v>5.0</v>
      </c>
      <c r="B6" s="8" t="s">
        <v>63</v>
      </c>
      <c r="C6" s="8" t="s">
        <v>52</v>
      </c>
      <c r="D6" s="8" t="s">
        <v>64</v>
      </c>
      <c r="E6" s="8" t="s">
        <v>65</v>
      </c>
      <c r="F6" s="8" t="s">
        <v>47</v>
      </c>
      <c r="G6" s="13" t="s">
        <v>40</v>
      </c>
      <c r="H6" s="7" t="s">
        <v>38</v>
      </c>
      <c r="I6" s="7" t="s">
        <v>39</v>
      </c>
      <c r="J6" s="9" t="s">
        <v>40</v>
      </c>
      <c r="K6" s="8" t="s">
        <v>66</v>
      </c>
      <c r="L6" s="8" t="s">
        <v>67</v>
      </c>
      <c r="M6" s="10">
        <f t="shared" si="1"/>
        <v>0.8280150642</v>
      </c>
      <c r="N6" s="7">
        <v>6.73</v>
      </c>
      <c r="O6" s="7">
        <v>6.5</v>
      </c>
      <c r="P6" s="10">
        <v>1.44</v>
      </c>
      <c r="Q6" s="10">
        <v>1.04</v>
      </c>
      <c r="R6" s="7">
        <v>4.0</v>
      </c>
      <c r="S6" s="7">
        <v>4.0</v>
      </c>
      <c r="T6" s="8">
        <f t="shared" si="2"/>
        <v>0.9658246657</v>
      </c>
      <c r="U6" s="8">
        <f t="shared" si="3"/>
        <v>-0.03477296676</v>
      </c>
      <c r="V6" s="11">
        <v>0.01784550249597619</v>
      </c>
      <c r="W6" s="7">
        <f t="shared" si="4"/>
        <v>8</v>
      </c>
      <c r="X6" s="8" t="s">
        <v>68</v>
      </c>
      <c r="Y6" s="7"/>
      <c r="Z6" s="7"/>
      <c r="AA6" s="7"/>
    </row>
    <row r="7" ht="19.5" customHeight="1">
      <c r="A7" s="7">
        <v>6.0</v>
      </c>
      <c r="B7" s="7" t="s">
        <v>69</v>
      </c>
      <c r="C7" s="8" t="s">
        <v>34</v>
      </c>
      <c r="D7" s="7" t="s">
        <v>70</v>
      </c>
      <c r="E7" s="7" t="s">
        <v>71</v>
      </c>
      <c r="F7" s="9" t="s">
        <v>40</v>
      </c>
      <c r="G7" s="7" t="s">
        <v>37</v>
      </c>
      <c r="H7" s="7" t="s">
        <v>38</v>
      </c>
      <c r="I7" s="7" t="s">
        <v>72</v>
      </c>
      <c r="J7" s="9" t="s">
        <v>40</v>
      </c>
      <c r="K7" s="7" t="s">
        <v>73</v>
      </c>
      <c r="L7" s="8" t="s">
        <v>74</v>
      </c>
      <c r="M7" s="10">
        <f t="shared" si="1"/>
        <v>1.73239376</v>
      </c>
      <c r="N7" s="7">
        <v>54.0</v>
      </c>
      <c r="O7" s="7">
        <v>68.4</v>
      </c>
      <c r="P7" s="10">
        <v>10.08</v>
      </c>
      <c r="Q7" s="10">
        <v>5.13</v>
      </c>
      <c r="R7" s="7">
        <v>9.0</v>
      </c>
      <c r="S7" s="7">
        <v>9.0</v>
      </c>
      <c r="T7" s="8">
        <f t="shared" si="2"/>
        <v>1.266666667</v>
      </c>
      <c r="U7" s="8">
        <f t="shared" si="3"/>
        <v>0.2363887781</v>
      </c>
      <c r="V7" s="11">
        <v>0.004496604938271605</v>
      </c>
      <c r="W7" s="7">
        <f t="shared" si="4"/>
        <v>18</v>
      </c>
      <c r="X7" s="7" t="s">
        <v>75</v>
      </c>
      <c r="Y7" s="12"/>
      <c r="Z7" s="12"/>
      <c r="AA7" s="12"/>
    </row>
    <row r="8" ht="19.5" customHeight="1">
      <c r="A8" s="7">
        <v>7.0</v>
      </c>
      <c r="B8" s="7" t="s">
        <v>76</v>
      </c>
      <c r="C8" s="7" t="s">
        <v>52</v>
      </c>
      <c r="D8" s="7" t="s">
        <v>64</v>
      </c>
      <c r="E8" s="7" t="s">
        <v>77</v>
      </c>
      <c r="F8" s="7" t="s">
        <v>78</v>
      </c>
      <c r="G8" s="9" t="s">
        <v>40</v>
      </c>
      <c r="H8" s="7" t="s">
        <v>38</v>
      </c>
      <c r="I8" s="7" t="s">
        <v>72</v>
      </c>
      <c r="J8" s="9" t="s">
        <v>40</v>
      </c>
      <c r="K8" s="7" t="s">
        <v>66</v>
      </c>
      <c r="L8" s="8" t="s">
        <v>79</v>
      </c>
      <c r="M8" s="10">
        <f t="shared" si="1"/>
        <v>1.354108439</v>
      </c>
      <c r="N8" s="7">
        <v>22.6</v>
      </c>
      <c r="O8" s="7">
        <v>8.95</v>
      </c>
      <c r="P8" s="10">
        <v>5.6963145980537275</v>
      </c>
      <c r="Q8" s="10">
        <v>5.860631365305278</v>
      </c>
      <c r="R8" s="7">
        <v>30.0</v>
      </c>
      <c r="S8" s="7">
        <v>30.0</v>
      </c>
      <c r="T8" s="8">
        <f t="shared" si="2"/>
        <v>0.3960176991</v>
      </c>
      <c r="U8" s="8">
        <f t="shared" si="3"/>
        <v>-0.926296374</v>
      </c>
      <c r="V8" s="11">
        <v>0.016410565806088247</v>
      </c>
      <c r="W8" s="7">
        <f t="shared" si="4"/>
        <v>60</v>
      </c>
      <c r="X8" s="7" t="s">
        <v>80</v>
      </c>
      <c r="Y8" s="7"/>
      <c r="Z8" s="7"/>
      <c r="AA8" s="7"/>
    </row>
    <row r="9" ht="19.5" customHeight="1">
      <c r="A9" s="7">
        <v>8.0</v>
      </c>
      <c r="B9" s="8" t="s">
        <v>81</v>
      </c>
      <c r="C9" s="8" t="s">
        <v>82</v>
      </c>
      <c r="D9" s="8" t="s">
        <v>83</v>
      </c>
      <c r="E9" s="8" t="s">
        <v>84</v>
      </c>
      <c r="F9" s="8" t="s">
        <v>37</v>
      </c>
      <c r="G9" s="13" t="s">
        <v>40</v>
      </c>
      <c r="H9" s="8" t="s">
        <v>38</v>
      </c>
      <c r="I9" s="8" t="s">
        <v>72</v>
      </c>
      <c r="J9" s="9" t="s">
        <v>40</v>
      </c>
      <c r="K9" s="8" t="s">
        <v>66</v>
      </c>
      <c r="L9" s="8" t="s">
        <v>85</v>
      </c>
      <c r="M9" s="10">
        <f t="shared" si="1"/>
        <v>1.041392685</v>
      </c>
      <c r="N9" s="7">
        <v>11.0</v>
      </c>
      <c r="O9" s="7">
        <v>16.35</v>
      </c>
      <c r="P9" s="10">
        <v>7.273238618387272</v>
      </c>
      <c r="Q9" s="10">
        <v>11.036349033987646</v>
      </c>
      <c r="R9" s="7">
        <v>10.0</v>
      </c>
      <c r="S9" s="7">
        <v>10.0</v>
      </c>
      <c r="T9" s="14">
        <f t="shared" si="2"/>
        <v>1.486363636</v>
      </c>
      <c r="U9" s="14">
        <f t="shared" si="3"/>
        <v>0.3963326245</v>
      </c>
      <c r="V9" s="11">
        <v>0.08928232597995628</v>
      </c>
      <c r="W9" s="7">
        <f t="shared" si="4"/>
        <v>20</v>
      </c>
      <c r="X9" s="7" t="s">
        <v>86</v>
      </c>
      <c r="Y9" s="12"/>
      <c r="Z9" s="15"/>
      <c r="AA9" s="12"/>
    </row>
    <row r="10" ht="19.5" customHeight="1">
      <c r="A10" s="7">
        <v>9.0</v>
      </c>
      <c r="B10" s="8" t="s">
        <v>87</v>
      </c>
      <c r="C10" s="8" t="s">
        <v>34</v>
      </c>
      <c r="D10" s="8" t="s">
        <v>88</v>
      </c>
      <c r="E10" s="8" t="s">
        <v>89</v>
      </c>
      <c r="F10" s="8" t="s">
        <v>47</v>
      </c>
      <c r="G10" s="8" t="s">
        <v>47</v>
      </c>
      <c r="H10" s="8" t="s">
        <v>90</v>
      </c>
      <c r="I10" s="8" t="s">
        <v>39</v>
      </c>
      <c r="J10" s="7">
        <f>365*2</f>
        <v>730</v>
      </c>
      <c r="K10" s="8" t="s">
        <v>48</v>
      </c>
      <c r="L10" s="8" t="s">
        <v>91</v>
      </c>
      <c r="M10" s="10">
        <f t="shared" si="1"/>
        <v>0.8790958795</v>
      </c>
      <c r="N10" s="7">
        <v>7.57</v>
      </c>
      <c r="O10" s="7">
        <v>6.7</v>
      </c>
      <c r="P10" s="10">
        <v>2.619160170741759</v>
      </c>
      <c r="Q10" s="10">
        <v>1.7585789717837523</v>
      </c>
      <c r="R10" s="7">
        <v>14.0</v>
      </c>
      <c r="S10" s="7">
        <v>14.0</v>
      </c>
      <c r="T10" s="8">
        <f t="shared" si="2"/>
        <v>0.8850726552</v>
      </c>
      <c r="U10" s="8">
        <f t="shared" si="3"/>
        <v>-0.1220855411</v>
      </c>
      <c r="V10" s="11">
        <v>0.013471670003500646</v>
      </c>
      <c r="W10" s="7">
        <f t="shared" si="4"/>
        <v>28</v>
      </c>
      <c r="X10" s="7" t="s">
        <v>92</v>
      </c>
      <c r="Y10" s="12"/>
      <c r="Z10" s="12"/>
      <c r="AA10" s="12"/>
    </row>
    <row r="11" ht="19.5" customHeight="1">
      <c r="A11" s="7">
        <v>9.0</v>
      </c>
      <c r="B11" s="8" t="s">
        <v>87</v>
      </c>
      <c r="C11" s="8" t="s">
        <v>34</v>
      </c>
      <c r="D11" s="8" t="s">
        <v>88</v>
      </c>
      <c r="E11" s="8" t="s">
        <v>93</v>
      </c>
      <c r="F11" s="8" t="s">
        <v>47</v>
      </c>
      <c r="G11" s="8" t="s">
        <v>47</v>
      </c>
      <c r="H11" s="8" t="s">
        <v>38</v>
      </c>
      <c r="I11" s="8" t="s">
        <v>39</v>
      </c>
      <c r="J11" s="9" t="s">
        <v>40</v>
      </c>
      <c r="K11" s="8" t="s">
        <v>48</v>
      </c>
      <c r="L11" s="8" t="s">
        <v>91</v>
      </c>
      <c r="M11" s="10">
        <f t="shared" si="1"/>
        <v>0.7839035793</v>
      </c>
      <c r="N11" s="7">
        <v>6.08</v>
      </c>
      <c r="O11" s="7">
        <v>6.78</v>
      </c>
      <c r="P11" s="10">
        <v>3.9325818491164295</v>
      </c>
      <c r="Q11" s="10">
        <v>5.898872773674644</v>
      </c>
      <c r="R11" s="7">
        <v>23.0</v>
      </c>
      <c r="S11" s="7">
        <v>23.0</v>
      </c>
      <c r="T11" s="8">
        <f t="shared" si="2"/>
        <v>1.115131579</v>
      </c>
      <c r="U11" s="8">
        <f t="shared" si="3"/>
        <v>0.108972406</v>
      </c>
      <c r="V11" s="11">
        <v>0.051101230366013675</v>
      </c>
      <c r="W11" s="7">
        <f t="shared" si="4"/>
        <v>46</v>
      </c>
      <c r="X11" s="7" t="s">
        <v>94</v>
      </c>
      <c r="Y11" s="12"/>
      <c r="Z11" s="12"/>
      <c r="AA11" s="12"/>
    </row>
    <row r="12" ht="19.5" customHeight="1">
      <c r="A12" s="7">
        <v>10.0</v>
      </c>
      <c r="B12" s="7" t="s">
        <v>95</v>
      </c>
      <c r="C12" s="8" t="s">
        <v>52</v>
      </c>
      <c r="D12" s="7" t="s">
        <v>64</v>
      </c>
      <c r="E12" s="7" t="s">
        <v>96</v>
      </c>
      <c r="F12" s="9" t="s">
        <v>47</v>
      </c>
      <c r="G12" s="9" t="s">
        <v>40</v>
      </c>
      <c r="H12" s="8" t="s">
        <v>38</v>
      </c>
      <c r="I12" s="7" t="s">
        <v>39</v>
      </c>
      <c r="J12" s="9" t="s">
        <v>40</v>
      </c>
      <c r="K12" s="7" t="s">
        <v>66</v>
      </c>
      <c r="L12" s="8" t="s">
        <v>97</v>
      </c>
      <c r="M12" s="10">
        <f t="shared" si="1"/>
        <v>1.296006669</v>
      </c>
      <c r="N12" s="7">
        <v>19.77</v>
      </c>
      <c r="O12" s="7">
        <v>8.24</v>
      </c>
      <c r="P12" s="10">
        <v>1.4981655449248592</v>
      </c>
      <c r="Q12" s="10">
        <v>2.1242645786248002</v>
      </c>
      <c r="R12" s="7">
        <v>5.0</v>
      </c>
      <c r="S12" s="7">
        <v>5.0</v>
      </c>
      <c r="T12" s="8">
        <f t="shared" si="2"/>
        <v>0.4167931209</v>
      </c>
      <c r="U12" s="8">
        <f t="shared" si="3"/>
        <v>-0.8751652933</v>
      </c>
      <c r="V12" s="11">
        <v>0.014440589054303208</v>
      </c>
      <c r="W12" s="7">
        <f t="shared" si="4"/>
        <v>10</v>
      </c>
      <c r="X12" s="8" t="s">
        <v>98</v>
      </c>
      <c r="Y12" s="7"/>
      <c r="Z12" s="7"/>
      <c r="AA12" s="7"/>
    </row>
    <row r="13" ht="19.5" customHeight="1">
      <c r="A13" s="7">
        <v>10.0</v>
      </c>
      <c r="B13" s="8" t="s">
        <v>95</v>
      </c>
      <c r="C13" s="8" t="s">
        <v>82</v>
      </c>
      <c r="D13" s="8" t="s">
        <v>99</v>
      </c>
      <c r="E13" s="8" t="s">
        <v>100</v>
      </c>
      <c r="F13" s="13" t="s">
        <v>47</v>
      </c>
      <c r="G13" s="13" t="s">
        <v>40</v>
      </c>
      <c r="H13" s="8" t="s">
        <v>38</v>
      </c>
      <c r="I13" s="7" t="s">
        <v>39</v>
      </c>
      <c r="J13" s="9" t="s">
        <v>40</v>
      </c>
      <c r="K13" s="8" t="s">
        <v>66</v>
      </c>
      <c r="L13" s="8" t="s">
        <v>101</v>
      </c>
      <c r="M13" s="10">
        <f t="shared" si="1"/>
        <v>1.296006669</v>
      </c>
      <c r="N13" s="7">
        <v>19.77</v>
      </c>
      <c r="O13" s="7">
        <v>15.04</v>
      </c>
      <c r="P13" s="10">
        <v>2.23606797749979</v>
      </c>
      <c r="Q13" s="10">
        <v>2.3478713763747794</v>
      </c>
      <c r="R13" s="7">
        <v>5.0</v>
      </c>
      <c r="S13" s="7">
        <v>5.0</v>
      </c>
      <c r="T13" s="14">
        <f t="shared" si="2"/>
        <v>0.760748609</v>
      </c>
      <c r="U13" s="14">
        <f t="shared" si="3"/>
        <v>-0.2734523187</v>
      </c>
      <c r="V13" s="11">
        <v>0.007432478134994724</v>
      </c>
      <c r="W13" s="7">
        <f t="shared" si="4"/>
        <v>10</v>
      </c>
      <c r="X13" s="8" t="s">
        <v>98</v>
      </c>
      <c r="Y13" s="12"/>
      <c r="Z13" s="15"/>
      <c r="AA13" s="12"/>
    </row>
    <row r="14" ht="19.5" customHeight="1">
      <c r="A14" s="7">
        <v>11.0</v>
      </c>
      <c r="B14" s="7" t="s">
        <v>102</v>
      </c>
      <c r="C14" s="8" t="s">
        <v>34</v>
      </c>
      <c r="D14" s="7" t="s">
        <v>103</v>
      </c>
      <c r="E14" s="7" t="s">
        <v>104</v>
      </c>
      <c r="F14" s="7" t="s">
        <v>37</v>
      </c>
      <c r="G14" s="7" t="s">
        <v>37</v>
      </c>
      <c r="H14" s="7" t="s">
        <v>90</v>
      </c>
      <c r="I14" s="7" t="s">
        <v>72</v>
      </c>
      <c r="J14" s="7">
        <f>4*30</f>
        <v>120</v>
      </c>
      <c r="K14" s="7" t="s">
        <v>105</v>
      </c>
      <c r="L14" s="8" t="s">
        <v>106</v>
      </c>
      <c r="M14" s="10">
        <f t="shared" si="1"/>
        <v>1.004321374</v>
      </c>
      <c r="N14" s="7">
        <v>10.1</v>
      </c>
      <c r="O14" s="7">
        <v>6.4</v>
      </c>
      <c r="P14" s="10">
        <v>1.697056274847714</v>
      </c>
      <c r="Q14" s="10">
        <v>1.9798989873223332</v>
      </c>
      <c r="R14" s="7">
        <v>8.0</v>
      </c>
      <c r="S14" s="7">
        <v>8.0</v>
      </c>
      <c r="T14" s="8">
        <f t="shared" si="2"/>
        <v>0.6336633663</v>
      </c>
      <c r="U14" s="8">
        <f t="shared" si="3"/>
        <v>-0.4562374335</v>
      </c>
      <c r="V14" s="11">
        <v>0.015491956402864913</v>
      </c>
      <c r="W14" s="7">
        <f t="shared" si="4"/>
        <v>16</v>
      </c>
      <c r="X14" s="7" t="s">
        <v>107</v>
      </c>
      <c r="Y14" s="12"/>
      <c r="Z14" s="12"/>
      <c r="AA14" s="12"/>
    </row>
    <row r="15" ht="19.5" customHeight="1">
      <c r="A15" s="7">
        <v>12.0</v>
      </c>
      <c r="B15" s="7" t="s">
        <v>108</v>
      </c>
      <c r="C15" s="7" t="s">
        <v>109</v>
      </c>
      <c r="D15" s="7" t="s">
        <v>110</v>
      </c>
      <c r="E15" s="7" t="s">
        <v>111</v>
      </c>
      <c r="F15" s="9" t="s">
        <v>47</v>
      </c>
      <c r="G15" s="9" t="s">
        <v>40</v>
      </c>
      <c r="H15" s="7" t="s">
        <v>90</v>
      </c>
      <c r="I15" s="7" t="s">
        <v>39</v>
      </c>
      <c r="J15" s="7">
        <f>3.5*30</f>
        <v>105</v>
      </c>
      <c r="K15" s="7" t="s">
        <v>105</v>
      </c>
      <c r="L15" s="8" t="s">
        <v>112</v>
      </c>
      <c r="M15" s="10">
        <f t="shared" si="1"/>
        <v>1.949877704</v>
      </c>
      <c r="N15" s="7">
        <v>89.1</v>
      </c>
      <c r="O15" s="7">
        <v>92.0</v>
      </c>
      <c r="P15" s="10">
        <v>12.93330584189518</v>
      </c>
      <c r="Q15" s="10">
        <v>20.208290377961216</v>
      </c>
      <c r="R15" s="7">
        <v>6.0</v>
      </c>
      <c r="S15" s="7">
        <v>6.0</v>
      </c>
      <c r="T15" s="8">
        <f t="shared" si="2"/>
        <v>1.032547699</v>
      </c>
      <c r="U15" s="8">
        <f t="shared" si="3"/>
        <v>0.03202924257</v>
      </c>
      <c r="V15" s="11">
        <v>0.011553070488485404</v>
      </c>
      <c r="W15" s="7">
        <f t="shared" si="4"/>
        <v>12</v>
      </c>
      <c r="X15" s="8" t="s">
        <v>113</v>
      </c>
      <c r="Y15" s="7"/>
      <c r="Z15" s="7"/>
      <c r="AA15" s="7"/>
    </row>
    <row r="16" ht="19.5" customHeight="1">
      <c r="A16" s="7">
        <v>13.0</v>
      </c>
      <c r="B16" s="7" t="s">
        <v>114</v>
      </c>
      <c r="C16" s="7" t="s">
        <v>109</v>
      </c>
      <c r="D16" s="7" t="s">
        <v>110</v>
      </c>
      <c r="E16" s="7" t="s">
        <v>115</v>
      </c>
      <c r="F16" s="9" t="s">
        <v>47</v>
      </c>
      <c r="G16" s="9" t="s">
        <v>40</v>
      </c>
      <c r="H16" s="7" t="s">
        <v>90</v>
      </c>
      <c r="I16" s="7" t="s">
        <v>72</v>
      </c>
      <c r="J16" s="7">
        <f>2*365</f>
        <v>730</v>
      </c>
      <c r="K16" s="7" t="s">
        <v>105</v>
      </c>
      <c r="L16" s="8" t="s">
        <v>112</v>
      </c>
      <c r="M16" s="10">
        <f t="shared" si="1"/>
        <v>1.354108439</v>
      </c>
      <c r="N16" s="7">
        <v>22.6</v>
      </c>
      <c r="O16" s="7">
        <v>22.3</v>
      </c>
      <c r="P16" s="10">
        <v>4.676537180435969</v>
      </c>
      <c r="Q16" s="10">
        <v>3.2908965343808667</v>
      </c>
      <c r="R16" s="7">
        <v>3.0</v>
      </c>
      <c r="S16" s="7">
        <v>3.0</v>
      </c>
      <c r="T16" s="8">
        <f t="shared" si="2"/>
        <v>0.9867256637</v>
      </c>
      <c r="U16" s="8">
        <f t="shared" si="3"/>
        <v>-0.01336322781</v>
      </c>
      <c r="V16" s="11">
        <v>0.02153219395792908</v>
      </c>
      <c r="W16" s="7">
        <f t="shared" si="4"/>
        <v>6</v>
      </c>
      <c r="X16" s="8" t="s">
        <v>116</v>
      </c>
      <c r="Y16" s="7"/>
      <c r="Z16" s="7"/>
      <c r="AA16" s="7"/>
    </row>
    <row r="17" ht="19.5" customHeight="1">
      <c r="A17" s="7">
        <v>14.0</v>
      </c>
      <c r="B17" s="8" t="s">
        <v>117</v>
      </c>
      <c r="C17" s="8" t="s">
        <v>82</v>
      </c>
      <c r="D17" s="8" t="s">
        <v>118</v>
      </c>
      <c r="E17" s="8" t="s">
        <v>119</v>
      </c>
      <c r="F17" s="8" t="s">
        <v>47</v>
      </c>
      <c r="G17" s="13" t="s">
        <v>40</v>
      </c>
      <c r="H17" s="8" t="s">
        <v>38</v>
      </c>
      <c r="I17" s="8" t="s">
        <v>39</v>
      </c>
      <c r="J17" s="9" t="s">
        <v>40</v>
      </c>
      <c r="K17" s="8" t="s">
        <v>66</v>
      </c>
      <c r="L17" s="8" t="s">
        <v>120</v>
      </c>
      <c r="M17" s="10">
        <f t="shared" si="1"/>
        <v>0.5276299009</v>
      </c>
      <c r="N17" s="7">
        <v>3.37</v>
      </c>
      <c r="O17" s="7">
        <v>3.06</v>
      </c>
      <c r="P17" s="10">
        <v>0.8215838362577491</v>
      </c>
      <c r="Q17" s="10">
        <v>1.1502173707608487</v>
      </c>
      <c r="R17" s="7">
        <v>30.0</v>
      </c>
      <c r="S17" s="7">
        <v>30.0</v>
      </c>
      <c r="T17" s="14">
        <f t="shared" si="2"/>
        <v>0.9080118694</v>
      </c>
      <c r="U17" s="14">
        <f t="shared" si="3"/>
        <v>-0.0964978284</v>
      </c>
      <c r="V17" s="11">
        <v>0.006690901468274281</v>
      </c>
      <c r="W17" s="7">
        <f t="shared" si="4"/>
        <v>60</v>
      </c>
      <c r="X17" s="8" t="s">
        <v>121</v>
      </c>
      <c r="Y17" s="12"/>
      <c r="Z17" s="15"/>
      <c r="AA17" s="12"/>
    </row>
    <row r="18" ht="19.5" customHeight="1">
      <c r="A18" s="7">
        <v>15.0</v>
      </c>
      <c r="B18" s="7" t="s">
        <v>122</v>
      </c>
      <c r="C18" s="8" t="s">
        <v>34</v>
      </c>
      <c r="D18" s="7" t="s">
        <v>123</v>
      </c>
      <c r="E18" s="7" t="s">
        <v>124</v>
      </c>
      <c r="F18" s="7" t="s">
        <v>47</v>
      </c>
      <c r="G18" s="7" t="s">
        <v>37</v>
      </c>
      <c r="H18" s="7" t="s">
        <v>38</v>
      </c>
      <c r="I18" s="7" t="s">
        <v>72</v>
      </c>
      <c r="J18" s="9" t="s">
        <v>40</v>
      </c>
      <c r="K18" s="7" t="s">
        <v>105</v>
      </c>
      <c r="L18" s="8" t="s">
        <v>125</v>
      </c>
      <c r="M18" s="10">
        <f t="shared" si="1"/>
        <v>1.467312063</v>
      </c>
      <c r="N18" s="7">
        <v>29.33</v>
      </c>
      <c r="O18" s="7">
        <v>20.33</v>
      </c>
      <c r="P18" s="10">
        <v>6.425908496080535</v>
      </c>
      <c r="Q18" s="10">
        <v>2.0957814771583414</v>
      </c>
      <c r="R18" s="7">
        <v>3.0</v>
      </c>
      <c r="S18" s="7">
        <v>3.0</v>
      </c>
      <c r="T18" s="8">
        <f t="shared" si="2"/>
        <v>0.6931469485</v>
      </c>
      <c r="U18" s="8">
        <f t="shared" si="3"/>
        <v>-0.3665132553</v>
      </c>
      <c r="V18" s="11">
        <v>0.019542523524745312</v>
      </c>
      <c r="W18" s="7">
        <f t="shared" si="4"/>
        <v>6</v>
      </c>
      <c r="X18" s="7" t="s">
        <v>126</v>
      </c>
      <c r="Y18" s="12"/>
      <c r="Z18" s="12"/>
      <c r="AA18" s="12"/>
    </row>
    <row r="19" ht="19.5" customHeight="1">
      <c r="A19" s="7">
        <v>15.0</v>
      </c>
      <c r="B19" s="7" t="s">
        <v>122</v>
      </c>
      <c r="C19" s="8" t="s">
        <v>34</v>
      </c>
      <c r="D19" s="7" t="s">
        <v>127</v>
      </c>
      <c r="E19" s="7" t="s">
        <v>128</v>
      </c>
      <c r="F19" s="7" t="s">
        <v>47</v>
      </c>
      <c r="G19" s="7" t="s">
        <v>37</v>
      </c>
      <c r="H19" s="7" t="s">
        <v>38</v>
      </c>
      <c r="I19" s="7" t="s">
        <v>72</v>
      </c>
      <c r="J19" s="9" t="s">
        <v>40</v>
      </c>
      <c r="K19" s="7" t="s">
        <v>105</v>
      </c>
      <c r="L19" s="8" t="s">
        <v>125</v>
      </c>
      <c r="M19" s="10">
        <f t="shared" si="1"/>
        <v>1.374198258</v>
      </c>
      <c r="N19" s="7">
        <v>23.67</v>
      </c>
      <c r="O19" s="7">
        <v>21.0</v>
      </c>
      <c r="P19" s="10">
        <v>2.0784609690826525</v>
      </c>
      <c r="Q19" s="10">
        <v>3.4641016151377544</v>
      </c>
      <c r="R19" s="7">
        <v>3.0</v>
      </c>
      <c r="S19" s="7">
        <v>3.0</v>
      </c>
      <c r="T19" s="8">
        <f t="shared" si="2"/>
        <v>0.8871989861</v>
      </c>
      <c r="U19" s="8">
        <f t="shared" si="3"/>
        <v>-0.1196859858</v>
      </c>
      <c r="V19" s="11">
        <v>0.01164048920372459</v>
      </c>
      <c r="W19" s="7">
        <f t="shared" si="4"/>
        <v>6</v>
      </c>
      <c r="X19" s="7" t="s">
        <v>126</v>
      </c>
      <c r="Y19" s="12"/>
      <c r="Z19" s="12"/>
      <c r="AA19" s="12"/>
    </row>
    <row r="20" ht="19.5" customHeight="1">
      <c r="A20" s="7">
        <v>15.0</v>
      </c>
      <c r="B20" s="7" t="s">
        <v>122</v>
      </c>
      <c r="C20" s="8" t="s">
        <v>34</v>
      </c>
      <c r="D20" s="7" t="s">
        <v>129</v>
      </c>
      <c r="E20" s="7" t="s">
        <v>130</v>
      </c>
      <c r="F20" s="7" t="s">
        <v>37</v>
      </c>
      <c r="G20" s="7" t="s">
        <v>37</v>
      </c>
      <c r="H20" s="7" t="s">
        <v>38</v>
      </c>
      <c r="I20" s="7" t="s">
        <v>72</v>
      </c>
      <c r="J20" s="9" t="s">
        <v>40</v>
      </c>
      <c r="K20" s="7" t="s">
        <v>105</v>
      </c>
      <c r="L20" s="8" t="s">
        <v>125</v>
      </c>
      <c r="M20" s="10">
        <f t="shared" si="1"/>
        <v>1.079181246</v>
      </c>
      <c r="N20" s="7">
        <v>12.0</v>
      </c>
      <c r="O20" s="7">
        <v>10.3</v>
      </c>
      <c r="P20" s="10">
        <v>3.9837168574084174</v>
      </c>
      <c r="Q20" s="10">
        <v>1.212435565298214</v>
      </c>
      <c r="R20" s="7">
        <v>3.0</v>
      </c>
      <c r="S20" s="7">
        <v>3.0</v>
      </c>
      <c r="T20" s="8">
        <f t="shared" si="2"/>
        <v>0.8583333333</v>
      </c>
      <c r="U20" s="8">
        <f t="shared" si="3"/>
        <v>-0.1527627546</v>
      </c>
      <c r="V20" s="11">
        <v>0.0413548310658665</v>
      </c>
      <c r="W20" s="7">
        <f t="shared" si="4"/>
        <v>6</v>
      </c>
      <c r="X20" s="7" t="s">
        <v>126</v>
      </c>
      <c r="Y20" s="12"/>
      <c r="Z20" s="12"/>
      <c r="AA20" s="12"/>
    </row>
    <row r="21" ht="19.5" customHeight="1">
      <c r="A21" s="7">
        <v>15.0</v>
      </c>
      <c r="B21" s="7" t="s">
        <v>122</v>
      </c>
      <c r="C21" s="8" t="s">
        <v>34</v>
      </c>
      <c r="D21" s="7" t="s">
        <v>131</v>
      </c>
      <c r="E21" s="7" t="s">
        <v>132</v>
      </c>
      <c r="F21" s="7" t="s">
        <v>37</v>
      </c>
      <c r="G21" s="7" t="s">
        <v>37</v>
      </c>
      <c r="H21" s="7" t="s">
        <v>38</v>
      </c>
      <c r="I21" s="7" t="s">
        <v>72</v>
      </c>
      <c r="J21" s="9" t="s">
        <v>40</v>
      </c>
      <c r="K21" s="7" t="s">
        <v>105</v>
      </c>
      <c r="L21" s="8" t="s">
        <v>125</v>
      </c>
      <c r="M21" s="10">
        <f t="shared" si="1"/>
        <v>1.012837225</v>
      </c>
      <c r="N21" s="7">
        <v>10.3</v>
      </c>
      <c r="O21" s="7">
        <v>10.3</v>
      </c>
      <c r="P21" s="10">
        <v>1.3856406460551018</v>
      </c>
      <c r="Q21" s="10">
        <v>2.25166604983954</v>
      </c>
      <c r="R21" s="7">
        <v>3.0</v>
      </c>
      <c r="S21" s="7">
        <v>3.0</v>
      </c>
      <c r="T21" s="8">
        <f t="shared" si="2"/>
        <v>1</v>
      </c>
      <c r="U21" s="8">
        <f t="shared" si="3"/>
        <v>0</v>
      </c>
      <c r="V21" s="11">
        <v>0.02196248468281647</v>
      </c>
      <c r="W21" s="7">
        <f t="shared" si="4"/>
        <v>6</v>
      </c>
      <c r="X21" s="7" t="s">
        <v>126</v>
      </c>
      <c r="Y21" s="12"/>
      <c r="Z21" s="12"/>
      <c r="AA21" s="12"/>
    </row>
    <row r="22" ht="19.5" customHeight="1">
      <c r="A22" s="7">
        <v>16.0</v>
      </c>
      <c r="B22" s="7" t="s">
        <v>133</v>
      </c>
      <c r="C22" s="7" t="s">
        <v>52</v>
      </c>
      <c r="D22" s="7" t="s">
        <v>64</v>
      </c>
      <c r="E22" s="7" t="s">
        <v>134</v>
      </c>
      <c r="F22" s="7" t="s">
        <v>47</v>
      </c>
      <c r="G22" s="9" t="s">
        <v>40</v>
      </c>
      <c r="H22" s="8" t="s">
        <v>38</v>
      </c>
      <c r="I22" s="7" t="s">
        <v>39</v>
      </c>
      <c r="J22" s="9" t="s">
        <v>40</v>
      </c>
      <c r="K22" s="7" t="s">
        <v>66</v>
      </c>
      <c r="L22" s="8" t="s">
        <v>135</v>
      </c>
      <c r="M22" s="10">
        <f t="shared" si="1"/>
        <v>2.330616667</v>
      </c>
      <c r="N22" s="7">
        <v>214.1</v>
      </c>
      <c r="O22" s="7">
        <v>278.77</v>
      </c>
      <c r="P22" s="10">
        <v>29.271658647914023</v>
      </c>
      <c r="Q22" s="10">
        <v>53.676254526559504</v>
      </c>
      <c r="R22" s="7">
        <v>3.0</v>
      </c>
      <c r="S22" s="7">
        <v>3.0</v>
      </c>
      <c r="T22" s="8">
        <f t="shared" si="2"/>
        <v>1.302055114</v>
      </c>
      <c r="U22" s="8">
        <f t="shared" si="3"/>
        <v>0.2639438735</v>
      </c>
      <c r="V22" s="11">
        <v>0.01858882866870653</v>
      </c>
      <c r="W22" s="7">
        <f t="shared" si="4"/>
        <v>6</v>
      </c>
      <c r="X22" s="7" t="s">
        <v>136</v>
      </c>
      <c r="Y22" s="7"/>
      <c r="Z22" s="7"/>
      <c r="AA22" s="7"/>
    </row>
    <row r="23" ht="19.5" customHeight="1">
      <c r="A23" s="7">
        <v>17.0</v>
      </c>
      <c r="B23" s="8" t="s">
        <v>137</v>
      </c>
      <c r="C23" s="8" t="s">
        <v>34</v>
      </c>
      <c r="D23" s="8" t="s">
        <v>138</v>
      </c>
      <c r="E23" s="8" t="s">
        <v>139</v>
      </c>
      <c r="F23" s="8" t="s">
        <v>47</v>
      </c>
      <c r="G23" s="8" t="s">
        <v>47</v>
      </c>
      <c r="H23" s="8" t="s">
        <v>90</v>
      </c>
      <c r="I23" s="8" t="s">
        <v>39</v>
      </c>
      <c r="J23" s="9" t="s">
        <v>40</v>
      </c>
      <c r="K23" s="8" t="s">
        <v>48</v>
      </c>
      <c r="L23" s="8" t="s">
        <v>140</v>
      </c>
      <c r="M23" s="10">
        <f t="shared" si="1"/>
        <v>0.8208579894</v>
      </c>
      <c r="N23" s="7">
        <v>6.62</v>
      </c>
      <c r="O23" s="7">
        <v>11.99</v>
      </c>
      <c r="P23" s="10">
        <v>1.6668233259706922</v>
      </c>
      <c r="Q23" s="10">
        <v>2.91032644217105</v>
      </c>
      <c r="R23" s="7">
        <v>7.0</v>
      </c>
      <c r="S23" s="7">
        <v>7.0</v>
      </c>
      <c r="T23" s="8">
        <f t="shared" si="2"/>
        <v>1.811178248</v>
      </c>
      <c r="U23" s="8">
        <f t="shared" si="3"/>
        <v>0.5939775991</v>
      </c>
      <c r="V23" s="11">
        <v>0.017473398539834213</v>
      </c>
      <c r="W23" s="7">
        <f t="shared" si="4"/>
        <v>14</v>
      </c>
      <c r="X23" s="8" t="s">
        <v>141</v>
      </c>
      <c r="Y23" s="12"/>
      <c r="Z23" s="12"/>
      <c r="AA23" s="12"/>
    </row>
    <row r="24" ht="19.5" customHeight="1">
      <c r="A24" s="7">
        <v>17.0</v>
      </c>
      <c r="B24" s="8" t="s">
        <v>137</v>
      </c>
      <c r="C24" s="8" t="s">
        <v>34</v>
      </c>
      <c r="D24" s="8" t="s">
        <v>142</v>
      </c>
      <c r="E24" s="8" t="s">
        <v>143</v>
      </c>
      <c r="F24" s="8" t="s">
        <v>47</v>
      </c>
      <c r="G24" s="8" t="s">
        <v>47</v>
      </c>
      <c r="H24" s="8" t="s">
        <v>38</v>
      </c>
      <c r="I24" s="8" t="s">
        <v>39</v>
      </c>
      <c r="J24" s="9" t="s">
        <v>40</v>
      </c>
      <c r="K24" s="8" t="s">
        <v>48</v>
      </c>
      <c r="L24" s="8" t="s">
        <v>140</v>
      </c>
      <c r="M24" s="10">
        <f t="shared" si="1"/>
        <v>0.7474118079</v>
      </c>
      <c r="N24" s="7">
        <v>5.59</v>
      </c>
      <c r="O24" s="7">
        <v>14.11</v>
      </c>
      <c r="P24" s="10">
        <v>2.4607315985291853</v>
      </c>
      <c r="Q24" s="10">
        <v>3.3375440072005045</v>
      </c>
      <c r="R24" s="7">
        <v>8.0</v>
      </c>
      <c r="S24" s="7">
        <v>8.0</v>
      </c>
      <c r="T24" s="8">
        <f t="shared" si="2"/>
        <v>2.524150268</v>
      </c>
      <c r="U24" s="8">
        <f t="shared" si="3"/>
        <v>0.9259044787</v>
      </c>
      <c r="V24" s="11">
        <v>0.0312160208337699</v>
      </c>
      <c r="W24" s="7">
        <f t="shared" si="4"/>
        <v>16</v>
      </c>
      <c r="X24" s="8" t="s">
        <v>141</v>
      </c>
      <c r="Y24" s="12"/>
      <c r="Z24" s="12"/>
      <c r="AA24" s="12"/>
    </row>
    <row r="25" ht="19.5" customHeight="1">
      <c r="A25" s="7">
        <v>18.0</v>
      </c>
      <c r="B25" s="7" t="s">
        <v>144</v>
      </c>
      <c r="C25" s="8" t="s">
        <v>34</v>
      </c>
      <c r="D25" s="7" t="s">
        <v>145</v>
      </c>
      <c r="E25" s="7" t="s">
        <v>146</v>
      </c>
      <c r="F25" s="7" t="s">
        <v>37</v>
      </c>
      <c r="G25" s="7" t="s">
        <v>37</v>
      </c>
      <c r="H25" s="7" t="s">
        <v>38</v>
      </c>
      <c r="I25" s="7" t="s">
        <v>72</v>
      </c>
      <c r="J25" s="9" t="s">
        <v>40</v>
      </c>
      <c r="K25" s="7" t="s">
        <v>105</v>
      </c>
      <c r="L25" s="8" t="s">
        <v>147</v>
      </c>
      <c r="M25" s="10">
        <f t="shared" si="1"/>
        <v>1.064457989</v>
      </c>
      <c r="N25" s="7">
        <v>11.6</v>
      </c>
      <c r="O25" s="7">
        <v>6.21</v>
      </c>
      <c r="P25" s="10">
        <v>1.1777945491468367</v>
      </c>
      <c r="Q25" s="10">
        <v>1.7666918237202547</v>
      </c>
      <c r="R25" s="7">
        <v>3.0</v>
      </c>
      <c r="S25" s="7">
        <v>3.0</v>
      </c>
      <c r="T25" s="8">
        <f t="shared" si="2"/>
        <v>0.5353448276</v>
      </c>
      <c r="U25" s="8">
        <f t="shared" si="3"/>
        <v>-0.6248442022</v>
      </c>
      <c r="V25" s="11">
        <v>0.030414844496237083</v>
      </c>
      <c r="W25" s="7">
        <f t="shared" si="4"/>
        <v>6</v>
      </c>
      <c r="X25" s="7" t="s">
        <v>148</v>
      </c>
      <c r="Y25" s="7"/>
      <c r="Z25" s="7"/>
      <c r="AA25" s="7"/>
    </row>
    <row r="26" ht="19.5" customHeight="1">
      <c r="A26" s="7">
        <v>19.0</v>
      </c>
      <c r="B26" s="7" t="s">
        <v>149</v>
      </c>
      <c r="C26" s="7" t="s">
        <v>150</v>
      </c>
      <c r="D26" s="7" t="s">
        <v>151</v>
      </c>
      <c r="E26" s="7" t="s">
        <v>152</v>
      </c>
      <c r="F26" s="7" t="s">
        <v>37</v>
      </c>
      <c r="G26" s="7" t="s">
        <v>37</v>
      </c>
      <c r="H26" s="7" t="s">
        <v>38</v>
      </c>
      <c r="I26" s="7" t="s">
        <v>72</v>
      </c>
      <c r="J26" s="9" t="s">
        <v>40</v>
      </c>
      <c r="K26" s="7" t="s">
        <v>153</v>
      </c>
      <c r="L26" s="7" t="s">
        <v>154</v>
      </c>
      <c r="M26" s="10">
        <f t="shared" si="1"/>
        <v>1.33243846</v>
      </c>
      <c r="N26" s="7">
        <v>21.5</v>
      </c>
      <c r="O26" s="7">
        <v>14.57</v>
      </c>
      <c r="P26" s="10">
        <v>16.93280839081338</v>
      </c>
      <c r="Q26" s="10">
        <v>11.561933229352261</v>
      </c>
      <c r="R26" s="7">
        <v>7.0</v>
      </c>
      <c r="S26" s="7">
        <v>7.0</v>
      </c>
      <c r="T26" s="8">
        <f t="shared" si="2"/>
        <v>0.6776744186</v>
      </c>
      <c r="U26" s="8">
        <f t="shared" si="3"/>
        <v>-0.3890883149</v>
      </c>
      <c r="V26" s="11">
        <v>0.1785688836943748</v>
      </c>
      <c r="W26" s="7">
        <f t="shared" si="4"/>
        <v>14</v>
      </c>
      <c r="X26" s="7" t="s">
        <v>155</v>
      </c>
      <c r="Y26" s="7"/>
      <c r="Z26" s="7"/>
      <c r="AA26" s="7"/>
    </row>
    <row r="27" ht="19.5" customHeight="1">
      <c r="A27" s="7">
        <v>20.0</v>
      </c>
      <c r="B27" s="8" t="s">
        <v>156</v>
      </c>
      <c r="C27" s="8" t="s">
        <v>82</v>
      </c>
      <c r="D27" s="8" t="s">
        <v>118</v>
      </c>
      <c r="E27" s="8" t="s">
        <v>157</v>
      </c>
      <c r="F27" s="7" t="s">
        <v>37</v>
      </c>
      <c r="G27" s="13" t="s">
        <v>40</v>
      </c>
      <c r="H27" s="8" t="s">
        <v>38</v>
      </c>
      <c r="I27" s="8" t="s">
        <v>39</v>
      </c>
      <c r="J27" s="9" t="s">
        <v>40</v>
      </c>
      <c r="K27" s="8" t="s">
        <v>66</v>
      </c>
      <c r="L27" s="8" t="s">
        <v>158</v>
      </c>
      <c r="M27" s="10">
        <f t="shared" si="1"/>
        <v>1.382737266</v>
      </c>
      <c r="N27" s="7">
        <v>24.14</v>
      </c>
      <c r="O27" s="7">
        <v>14.78</v>
      </c>
      <c r="P27" s="10">
        <v>2.7860007178749973</v>
      </c>
      <c r="Q27" s="10">
        <v>2.101903898849802</v>
      </c>
      <c r="R27" s="7">
        <v>2.0</v>
      </c>
      <c r="S27" s="7">
        <v>5.0</v>
      </c>
      <c r="T27" s="14">
        <f t="shared" si="2"/>
        <v>0.6122618061</v>
      </c>
      <c r="U27" s="14">
        <f t="shared" si="3"/>
        <v>-0.4905953001</v>
      </c>
      <c r="V27" s="11">
        <v>0.010704641062806698</v>
      </c>
      <c r="W27" s="7">
        <f t="shared" si="4"/>
        <v>7</v>
      </c>
      <c r="X27" s="8" t="s">
        <v>159</v>
      </c>
      <c r="Y27" s="12"/>
      <c r="Z27" s="15"/>
      <c r="AA27" s="12"/>
    </row>
    <row r="28" ht="19.5" customHeight="1">
      <c r="A28" s="7">
        <v>21.0</v>
      </c>
      <c r="B28" s="7" t="s">
        <v>160</v>
      </c>
      <c r="C28" s="8" t="s">
        <v>34</v>
      </c>
      <c r="D28" s="7" t="s">
        <v>161</v>
      </c>
      <c r="E28" s="7" t="s">
        <v>162</v>
      </c>
      <c r="F28" s="7" t="s">
        <v>37</v>
      </c>
      <c r="G28" s="7" t="s">
        <v>37</v>
      </c>
      <c r="H28" s="7" t="s">
        <v>38</v>
      </c>
      <c r="I28" s="7" t="s">
        <v>72</v>
      </c>
      <c r="J28" s="9" t="s">
        <v>40</v>
      </c>
      <c r="K28" s="7" t="s">
        <v>41</v>
      </c>
      <c r="L28" s="8" t="s">
        <v>163</v>
      </c>
      <c r="M28" s="10">
        <f t="shared" si="1"/>
        <v>0.278753601</v>
      </c>
      <c r="N28" s="7">
        <v>1.9</v>
      </c>
      <c r="O28" s="7">
        <v>2.0</v>
      </c>
      <c r="P28" s="10">
        <v>1.264911064067352</v>
      </c>
      <c r="Q28" s="10">
        <v>0.9486832980505138</v>
      </c>
      <c r="R28" s="7">
        <v>10.0</v>
      </c>
      <c r="S28" s="7">
        <v>10.0</v>
      </c>
      <c r="T28" s="8">
        <f t="shared" si="2"/>
        <v>1.052631579</v>
      </c>
      <c r="U28" s="8">
        <f t="shared" si="3"/>
        <v>0.05129329439</v>
      </c>
      <c r="V28" s="11">
        <v>0.06682132963988921</v>
      </c>
      <c r="W28" s="7">
        <f t="shared" si="4"/>
        <v>20</v>
      </c>
      <c r="X28" s="7" t="s">
        <v>164</v>
      </c>
      <c r="Y28" s="7"/>
      <c r="Z28" s="7"/>
      <c r="AA28" s="7"/>
    </row>
    <row r="29" ht="19.5" customHeight="1">
      <c r="A29" s="7">
        <v>22.0</v>
      </c>
      <c r="B29" s="8" t="s">
        <v>165</v>
      </c>
      <c r="C29" s="8" t="s">
        <v>82</v>
      </c>
      <c r="D29" s="8" t="s">
        <v>83</v>
      </c>
      <c r="E29" s="8" t="s">
        <v>166</v>
      </c>
      <c r="F29" s="7" t="s">
        <v>37</v>
      </c>
      <c r="G29" s="13" t="s">
        <v>40</v>
      </c>
      <c r="H29" s="8" t="s">
        <v>38</v>
      </c>
      <c r="I29" s="8" t="s">
        <v>39</v>
      </c>
      <c r="J29" s="9" t="s">
        <v>40</v>
      </c>
      <c r="K29" s="8" t="s">
        <v>41</v>
      </c>
      <c r="L29" s="8" t="s">
        <v>167</v>
      </c>
      <c r="M29" s="10">
        <f t="shared" si="1"/>
        <v>1.008174184</v>
      </c>
      <c r="N29" s="7">
        <v>10.19</v>
      </c>
      <c r="O29" s="7">
        <v>9.28</v>
      </c>
      <c r="P29" s="10">
        <v>1.9606121493043953</v>
      </c>
      <c r="Q29" s="10">
        <v>1.1700427342623003</v>
      </c>
      <c r="R29" s="7">
        <v>10.0</v>
      </c>
      <c r="S29" s="7">
        <v>10.0</v>
      </c>
      <c r="T29" s="14">
        <f t="shared" si="2"/>
        <v>0.9106967615</v>
      </c>
      <c r="U29" s="14">
        <f t="shared" si="3"/>
        <v>-0.09354530044</v>
      </c>
      <c r="V29" s="11">
        <v>0.005291659930494944</v>
      </c>
      <c r="W29" s="7">
        <f t="shared" si="4"/>
        <v>20</v>
      </c>
      <c r="X29" s="8" t="s">
        <v>168</v>
      </c>
      <c r="Y29" s="12"/>
      <c r="Z29" s="15"/>
      <c r="AA29" s="12"/>
    </row>
    <row r="30" ht="19.5" customHeight="1">
      <c r="A30" s="7">
        <v>23.0</v>
      </c>
      <c r="B30" s="7" t="s">
        <v>169</v>
      </c>
      <c r="C30" s="7" t="s">
        <v>170</v>
      </c>
      <c r="D30" s="7" t="s">
        <v>171</v>
      </c>
      <c r="E30" s="7" t="s">
        <v>172</v>
      </c>
      <c r="F30" s="7" t="s">
        <v>37</v>
      </c>
      <c r="G30" s="9" t="s">
        <v>40</v>
      </c>
      <c r="H30" s="7" t="s">
        <v>90</v>
      </c>
      <c r="I30" s="7" t="s">
        <v>72</v>
      </c>
      <c r="J30" s="7">
        <f>3*365</f>
        <v>1095</v>
      </c>
      <c r="K30" s="7" t="s">
        <v>105</v>
      </c>
      <c r="L30" s="8" t="s">
        <v>173</v>
      </c>
      <c r="M30" s="10">
        <f t="shared" si="1"/>
        <v>1.434568904</v>
      </c>
      <c r="N30" s="7">
        <v>27.2</v>
      </c>
      <c r="O30" s="7">
        <v>16.5</v>
      </c>
      <c r="P30" s="10">
        <v>3.0405591591021546</v>
      </c>
      <c r="Q30" s="10">
        <v>3.2526911934581184</v>
      </c>
      <c r="R30" s="7">
        <v>2.0</v>
      </c>
      <c r="S30" s="7">
        <v>2.0</v>
      </c>
      <c r="T30" s="8">
        <f t="shared" si="2"/>
        <v>0.6066176471</v>
      </c>
      <c r="U30" s="8">
        <f t="shared" si="3"/>
        <v>-0.4998565924</v>
      </c>
      <c r="V30" s="11">
        <v>0.02567864287436332</v>
      </c>
      <c r="W30" s="7">
        <f t="shared" si="4"/>
        <v>4</v>
      </c>
      <c r="X30" s="7" t="s">
        <v>174</v>
      </c>
      <c r="Y30" s="7"/>
      <c r="Z30" s="7"/>
      <c r="AA30" s="7"/>
    </row>
    <row r="31" ht="19.5" customHeight="1">
      <c r="A31" s="7">
        <v>24.0</v>
      </c>
      <c r="B31" s="8" t="s">
        <v>175</v>
      </c>
      <c r="C31" s="8" t="s">
        <v>82</v>
      </c>
      <c r="D31" s="8" t="s">
        <v>176</v>
      </c>
      <c r="E31" s="8" t="s">
        <v>177</v>
      </c>
      <c r="F31" s="8" t="s">
        <v>47</v>
      </c>
      <c r="G31" s="9" t="s">
        <v>40</v>
      </c>
      <c r="H31" s="8" t="s">
        <v>90</v>
      </c>
      <c r="I31" s="8" t="s">
        <v>39</v>
      </c>
      <c r="J31" s="7">
        <v>112.0</v>
      </c>
      <c r="K31" s="8" t="s">
        <v>178</v>
      </c>
      <c r="L31" s="8" t="s">
        <v>179</v>
      </c>
      <c r="M31" s="10">
        <f t="shared" si="1"/>
        <v>0.1139433523</v>
      </c>
      <c r="N31" s="7">
        <v>1.3</v>
      </c>
      <c r="O31" s="7">
        <v>2.6</v>
      </c>
      <c r="P31" s="10">
        <v>1.739252713092609</v>
      </c>
      <c r="Q31" s="10">
        <v>1.5205262246998572</v>
      </c>
      <c r="R31" s="7">
        <v>10.0</v>
      </c>
      <c r="S31" s="7">
        <v>5.0</v>
      </c>
      <c r="T31" s="14">
        <f t="shared" si="2"/>
        <v>2</v>
      </c>
      <c r="U31" s="14">
        <f t="shared" si="3"/>
        <v>0.6931471806</v>
      </c>
      <c r="V31" s="11">
        <v>0.2473964497041421</v>
      </c>
      <c r="W31" s="7">
        <f t="shared" si="4"/>
        <v>15</v>
      </c>
      <c r="X31" s="8" t="s">
        <v>180</v>
      </c>
      <c r="Y31" s="12"/>
      <c r="Z31" s="15"/>
      <c r="AA31" s="12"/>
    </row>
    <row r="32" ht="19.5" customHeight="1">
      <c r="A32" s="7">
        <v>24.0</v>
      </c>
      <c r="B32" s="8" t="s">
        <v>175</v>
      </c>
      <c r="C32" s="8" t="s">
        <v>82</v>
      </c>
      <c r="D32" s="8" t="s">
        <v>118</v>
      </c>
      <c r="E32" s="8" t="s">
        <v>181</v>
      </c>
      <c r="F32" s="8" t="s">
        <v>47</v>
      </c>
      <c r="G32" s="9" t="s">
        <v>40</v>
      </c>
      <c r="H32" s="8" t="s">
        <v>90</v>
      </c>
      <c r="I32" s="8" t="s">
        <v>39</v>
      </c>
      <c r="J32" s="7">
        <f>16*7</f>
        <v>112</v>
      </c>
      <c r="K32" s="8" t="s">
        <v>178</v>
      </c>
      <c r="L32" s="8" t="s">
        <v>179</v>
      </c>
      <c r="M32" s="10">
        <f t="shared" si="1"/>
        <v>0.1139433523</v>
      </c>
      <c r="N32" s="7">
        <v>1.3</v>
      </c>
      <c r="O32" s="7">
        <v>0.5</v>
      </c>
      <c r="P32" s="10">
        <v>1.739252713092609</v>
      </c>
      <c r="Q32" s="10">
        <v>0.8083316151184488</v>
      </c>
      <c r="R32" s="7">
        <v>10.0</v>
      </c>
      <c r="S32" s="7">
        <v>6.0</v>
      </c>
      <c r="T32" s="14">
        <f t="shared" si="2"/>
        <v>0.3846153846</v>
      </c>
      <c r="U32" s="14">
        <f t="shared" si="3"/>
        <v>-0.955511445</v>
      </c>
      <c r="V32" s="11">
        <v>0.6145940828402368</v>
      </c>
      <c r="W32" s="7">
        <f t="shared" si="4"/>
        <v>16</v>
      </c>
      <c r="X32" s="8" t="s">
        <v>180</v>
      </c>
      <c r="Y32" s="12"/>
      <c r="Z32" s="12"/>
      <c r="AA32" s="12"/>
    </row>
    <row r="33" ht="19.5" customHeight="1">
      <c r="A33" s="7">
        <v>25.0</v>
      </c>
      <c r="B33" s="7" t="s">
        <v>182</v>
      </c>
      <c r="C33" s="7" t="s">
        <v>52</v>
      </c>
      <c r="D33" s="7" t="s">
        <v>64</v>
      </c>
      <c r="E33" s="7" t="s">
        <v>183</v>
      </c>
      <c r="F33" s="7" t="s">
        <v>47</v>
      </c>
      <c r="G33" s="9" t="s">
        <v>40</v>
      </c>
      <c r="H33" s="7" t="s">
        <v>38</v>
      </c>
      <c r="I33" s="7" t="s">
        <v>72</v>
      </c>
      <c r="J33" s="9" t="s">
        <v>40</v>
      </c>
      <c r="K33" s="7" t="s">
        <v>66</v>
      </c>
      <c r="L33" s="8" t="s">
        <v>184</v>
      </c>
      <c r="M33" s="10">
        <f t="shared" si="1"/>
        <v>0.9283958523</v>
      </c>
      <c r="N33" s="7">
        <v>8.48</v>
      </c>
      <c r="O33" s="7">
        <v>12.78</v>
      </c>
      <c r="P33" s="10">
        <v>3.48</v>
      </c>
      <c r="Q33" s="10">
        <v>8.002074730968213</v>
      </c>
      <c r="R33" s="7">
        <v>4.0</v>
      </c>
      <c r="S33" s="7">
        <v>12.0</v>
      </c>
      <c r="T33" s="8">
        <f t="shared" si="2"/>
        <v>1.507075472</v>
      </c>
      <c r="U33" s="8">
        <f t="shared" si="3"/>
        <v>0.4101709991</v>
      </c>
      <c r="V33" s="11">
        <v>0.07477338088757587</v>
      </c>
      <c r="W33" s="7">
        <f t="shared" si="4"/>
        <v>16</v>
      </c>
      <c r="X33" s="7" t="s">
        <v>185</v>
      </c>
      <c r="Y33" s="7"/>
      <c r="Z33" s="7"/>
      <c r="AA33" s="7"/>
    </row>
    <row r="34" ht="19.5" customHeight="1">
      <c r="A34" s="7">
        <v>26.0</v>
      </c>
      <c r="B34" s="7" t="s">
        <v>186</v>
      </c>
      <c r="C34" s="7" t="s">
        <v>187</v>
      </c>
      <c r="D34" s="7" t="s">
        <v>64</v>
      </c>
      <c r="E34" s="7" t="s">
        <v>188</v>
      </c>
      <c r="F34" s="7" t="s">
        <v>47</v>
      </c>
      <c r="G34" s="9" t="s">
        <v>40</v>
      </c>
      <c r="H34" s="7" t="s">
        <v>38</v>
      </c>
      <c r="I34" s="7" t="s">
        <v>39</v>
      </c>
      <c r="J34" s="9" t="s">
        <v>40</v>
      </c>
      <c r="K34" s="7" t="s">
        <v>66</v>
      </c>
      <c r="L34" s="7" t="s">
        <v>189</v>
      </c>
      <c r="M34" s="10">
        <f t="shared" si="1"/>
        <v>1.061075324</v>
      </c>
      <c r="N34" s="7">
        <v>11.51</v>
      </c>
      <c r="O34" s="7">
        <v>1.53</v>
      </c>
      <c r="P34" s="10">
        <v>3.52441484504875</v>
      </c>
      <c r="Q34" s="10">
        <v>1.161895003862225</v>
      </c>
      <c r="R34" s="7">
        <v>15.0</v>
      </c>
      <c r="S34" s="7">
        <v>15.0</v>
      </c>
      <c r="T34" s="8">
        <f t="shared" si="2"/>
        <v>0.1329278888</v>
      </c>
      <c r="U34" s="8">
        <f t="shared" si="3"/>
        <v>-2.017948487</v>
      </c>
      <c r="V34" s="11">
        <v>0.044697501362177844</v>
      </c>
      <c r="W34" s="7">
        <f t="shared" si="4"/>
        <v>30</v>
      </c>
      <c r="X34" s="7" t="s">
        <v>190</v>
      </c>
      <c r="Y34" s="7"/>
      <c r="Z34" s="7"/>
      <c r="AA34" s="7"/>
    </row>
    <row r="35" ht="19.5" customHeight="1">
      <c r="A35" s="7">
        <v>27.0</v>
      </c>
      <c r="B35" s="8" t="s">
        <v>191</v>
      </c>
      <c r="C35" s="8" t="s">
        <v>82</v>
      </c>
      <c r="D35" s="8" t="s">
        <v>118</v>
      </c>
      <c r="E35" s="8" t="s">
        <v>192</v>
      </c>
      <c r="F35" s="8" t="s">
        <v>47</v>
      </c>
      <c r="G35" s="9" t="s">
        <v>40</v>
      </c>
      <c r="H35" s="8" t="s">
        <v>38</v>
      </c>
      <c r="I35" s="8" t="s">
        <v>72</v>
      </c>
      <c r="J35" s="9" t="s">
        <v>40</v>
      </c>
      <c r="K35" s="8" t="s">
        <v>66</v>
      </c>
      <c r="L35" s="8" t="s">
        <v>193</v>
      </c>
      <c r="M35" s="10">
        <f t="shared" si="1"/>
        <v>1.105510185</v>
      </c>
      <c r="N35" s="7">
        <v>12.75</v>
      </c>
      <c r="O35" s="7">
        <v>6.5</v>
      </c>
      <c r="P35" s="10">
        <v>2.22</v>
      </c>
      <c r="Q35" s="10">
        <v>1.8667619023324857</v>
      </c>
      <c r="R35" s="7">
        <v>4.0</v>
      </c>
      <c r="S35" s="7">
        <v>8.0</v>
      </c>
      <c r="T35" s="14">
        <f t="shared" si="2"/>
        <v>0.5098039216</v>
      </c>
      <c r="U35" s="14">
        <f t="shared" si="3"/>
        <v>-0.6737290947</v>
      </c>
      <c r="V35" s="11">
        <v>0.017889297925922896</v>
      </c>
      <c r="W35" s="7">
        <f t="shared" si="4"/>
        <v>12</v>
      </c>
      <c r="X35" s="8" t="s">
        <v>194</v>
      </c>
      <c r="Y35" s="12"/>
      <c r="Z35" s="12"/>
      <c r="AA35" s="12"/>
    </row>
    <row r="36" ht="19.5" customHeight="1">
      <c r="A36" s="7">
        <v>28.0</v>
      </c>
      <c r="B36" s="8" t="s">
        <v>195</v>
      </c>
      <c r="C36" s="8" t="s">
        <v>82</v>
      </c>
      <c r="D36" s="8" t="s">
        <v>176</v>
      </c>
      <c r="E36" s="8" t="s">
        <v>196</v>
      </c>
      <c r="F36" s="8" t="s">
        <v>47</v>
      </c>
      <c r="G36" s="9" t="s">
        <v>40</v>
      </c>
      <c r="H36" s="8" t="s">
        <v>90</v>
      </c>
      <c r="I36" s="8" t="s">
        <v>72</v>
      </c>
      <c r="J36" s="7">
        <f>365*3</f>
        <v>1095</v>
      </c>
      <c r="K36" s="8" t="s">
        <v>105</v>
      </c>
      <c r="L36" s="8" t="s">
        <v>197</v>
      </c>
      <c r="M36" s="10">
        <f t="shared" si="1"/>
        <v>0.492760389</v>
      </c>
      <c r="N36" s="7">
        <v>3.11</v>
      </c>
      <c r="O36" s="7">
        <v>4.11</v>
      </c>
      <c r="P36" s="10">
        <v>4.2299999999999995</v>
      </c>
      <c r="Q36" s="10">
        <v>3.9000000000000004</v>
      </c>
      <c r="R36" s="7">
        <v>9.0</v>
      </c>
      <c r="S36" s="7">
        <v>9.0</v>
      </c>
      <c r="T36" s="14">
        <f t="shared" si="2"/>
        <v>1.321543408</v>
      </c>
      <c r="U36" s="14">
        <f t="shared" si="3"/>
        <v>0.2788003023</v>
      </c>
      <c r="V36" s="11">
        <v>0.30559675139834996</v>
      </c>
      <c r="W36" s="7">
        <f t="shared" si="4"/>
        <v>18</v>
      </c>
      <c r="X36" s="8" t="s">
        <v>198</v>
      </c>
      <c r="Y36" s="12"/>
      <c r="Z36" s="12"/>
      <c r="AA36" s="12"/>
    </row>
    <row r="37" ht="19.5" customHeight="1">
      <c r="A37" s="7">
        <v>29.0</v>
      </c>
      <c r="B37" s="7" t="s">
        <v>199</v>
      </c>
      <c r="C37" s="7" t="s">
        <v>170</v>
      </c>
      <c r="D37" s="7" t="s">
        <v>171</v>
      </c>
      <c r="E37" s="7" t="s">
        <v>200</v>
      </c>
      <c r="F37" s="9" t="s">
        <v>40</v>
      </c>
      <c r="G37" s="9" t="s">
        <v>40</v>
      </c>
      <c r="H37" s="7" t="s">
        <v>90</v>
      </c>
      <c r="I37" s="7" t="s">
        <v>201</v>
      </c>
      <c r="J37" s="7">
        <f>5*365</f>
        <v>1825</v>
      </c>
      <c r="K37" s="7" t="s">
        <v>55</v>
      </c>
      <c r="L37" s="8" t="s">
        <v>202</v>
      </c>
      <c r="M37" s="10">
        <f t="shared" si="1"/>
        <v>0.9360107957</v>
      </c>
      <c r="N37" s="7">
        <v>8.63</v>
      </c>
      <c r="O37" s="7">
        <v>7.39</v>
      </c>
      <c r="P37" s="10">
        <v>0.5633826408401309</v>
      </c>
      <c r="Q37" s="10">
        <v>0.6368673331236263</v>
      </c>
      <c r="R37" s="7">
        <v>6.0</v>
      </c>
      <c r="S37" s="7">
        <v>6.0</v>
      </c>
      <c r="T37" s="8">
        <f t="shared" si="2"/>
        <v>0.8563151796</v>
      </c>
      <c r="U37" s="8">
        <f t="shared" si="3"/>
        <v>-0.1551167701</v>
      </c>
      <c r="V37" s="11">
        <v>0.0019481082733125753</v>
      </c>
      <c r="W37" s="7">
        <f t="shared" si="4"/>
        <v>12</v>
      </c>
      <c r="X37" s="7" t="s">
        <v>203</v>
      </c>
      <c r="Y37" s="7"/>
      <c r="Z37" s="7"/>
      <c r="AA37" s="7"/>
    </row>
    <row r="38" ht="19.5" customHeight="1">
      <c r="A38" s="7">
        <v>30.0</v>
      </c>
      <c r="B38" s="7" t="s">
        <v>204</v>
      </c>
      <c r="C38" s="8" t="s">
        <v>34</v>
      </c>
      <c r="D38" s="7" t="s">
        <v>205</v>
      </c>
      <c r="E38" s="7" t="s">
        <v>206</v>
      </c>
      <c r="F38" s="7" t="s">
        <v>47</v>
      </c>
      <c r="G38" s="7" t="s">
        <v>47</v>
      </c>
      <c r="H38" s="7" t="s">
        <v>38</v>
      </c>
      <c r="I38" s="7" t="s">
        <v>72</v>
      </c>
      <c r="J38" s="9" t="s">
        <v>40</v>
      </c>
      <c r="K38" s="7" t="s">
        <v>48</v>
      </c>
      <c r="L38" s="8" t="s">
        <v>207</v>
      </c>
      <c r="M38" s="10">
        <f t="shared" si="1"/>
        <v>0.4913616938</v>
      </c>
      <c r="N38" s="7">
        <v>3.1</v>
      </c>
      <c r="O38" s="7">
        <v>2.3</v>
      </c>
      <c r="P38" s="10">
        <v>3.605551275463989</v>
      </c>
      <c r="Q38" s="10">
        <v>3.605551275463989</v>
      </c>
      <c r="R38" s="7">
        <v>13.0</v>
      </c>
      <c r="S38" s="7">
        <v>13.0</v>
      </c>
      <c r="T38" s="8">
        <f t="shared" si="2"/>
        <v>0.7419354839</v>
      </c>
      <c r="U38" s="8">
        <f t="shared" si="3"/>
        <v>-0.2984929886</v>
      </c>
      <c r="V38" s="11">
        <v>0.2930941894568709</v>
      </c>
      <c r="W38" s="7">
        <f t="shared" si="4"/>
        <v>26</v>
      </c>
      <c r="X38" s="7" t="s">
        <v>208</v>
      </c>
      <c r="Y38" s="7"/>
      <c r="Z38" s="7"/>
      <c r="AA38" s="7"/>
    </row>
    <row r="39" ht="19.5" customHeight="1">
      <c r="A39" s="7">
        <v>30.0</v>
      </c>
      <c r="B39" s="7" t="s">
        <v>204</v>
      </c>
      <c r="C39" s="8" t="s">
        <v>34</v>
      </c>
      <c r="D39" s="7" t="s">
        <v>209</v>
      </c>
      <c r="E39" s="7" t="s">
        <v>210</v>
      </c>
      <c r="F39" s="7" t="s">
        <v>47</v>
      </c>
      <c r="G39" s="7" t="s">
        <v>47</v>
      </c>
      <c r="H39" s="7" t="s">
        <v>38</v>
      </c>
      <c r="I39" s="7" t="s">
        <v>72</v>
      </c>
      <c r="J39" s="9" t="s">
        <v>40</v>
      </c>
      <c r="K39" s="7" t="s">
        <v>48</v>
      </c>
      <c r="L39" s="8" t="s">
        <v>207</v>
      </c>
      <c r="M39" s="10">
        <f t="shared" si="1"/>
        <v>0.7923916895</v>
      </c>
      <c r="N39" s="7">
        <v>6.2</v>
      </c>
      <c r="O39" s="7">
        <v>4.9</v>
      </c>
      <c r="P39" s="10">
        <v>6.850547423381579</v>
      </c>
      <c r="Q39" s="10">
        <v>10.095543571299169</v>
      </c>
      <c r="R39" s="7">
        <v>13.0</v>
      </c>
      <c r="S39" s="7">
        <v>13.0</v>
      </c>
      <c r="T39" s="8">
        <f t="shared" si="2"/>
        <v>0.7903225806</v>
      </c>
      <c r="U39" s="8">
        <f t="shared" si="3"/>
        <v>-0.2353140869</v>
      </c>
      <c r="V39" s="11">
        <v>0.42044320329588636</v>
      </c>
      <c r="W39" s="7">
        <f t="shared" si="4"/>
        <v>26</v>
      </c>
      <c r="X39" s="7" t="s">
        <v>208</v>
      </c>
      <c r="Y39" s="7"/>
      <c r="Z39" s="7"/>
      <c r="AA39" s="7"/>
    </row>
    <row r="40" ht="19.5" customHeight="1">
      <c r="A40" s="7">
        <v>31.0</v>
      </c>
      <c r="B40" s="8" t="s">
        <v>211</v>
      </c>
      <c r="C40" s="8" t="s">
        <v>82</v>
      </c>
      <c r="D40" s="8" t="s">
        <v>118</v>
      </c>
      <c r="E40" s="8" t="s">
        <v>212</v>
      </c>
      <c r="F40" s="8" t="s">
        <v>47</v>
      </c>
      <c r="G40" s="13" t="s">
        <v>40</v>
      </c>
      <c r="H40" s="8" t="s">
        <v>38</v>
      </c>
      <c r="I40" s="8" t="s">
        <v>39</v>
      </c>
      <c r="J40" s="9" t="s">
        <v>40</v>
      </c>
      <c r="K40" s="8" t="s">
        <v>213</v>
      </c>
      <c r="L40" s="8" t="s">
        <v>214</v>
      </c>
      <c r="M40" s="10">
        <f t="shared" si="1"/>
        <v>0.620136055</v>
      </c>
      <c r="N40" s="7">
        <v>4.17</v>
      </c>
      <c r="O40" s="7">
        <v>5.57</v>
      </c>
      <c r="P40" s="10">
        <v>2.0091789367798976</v>
      </c>
      <c r="Q40" s="10">
        <v>2.598076211353316</v>
      </c>
      <c r="R40" s="7">
        <v>12.0</v>
      </c>
      <c r="S40" s="7">
        <v>12.0</v>
      </c>
      <c r="T40" s="14">
        <f t="shared" si="2"/>
        <v>1.335731415</v>
      </c>
      <c r="U40" s="14">
        <f t="shared" si="3"/>
        <v>0.2894790181</v>
      </c>
      <c r="V40" s="11">
        <v>0.03747627286536592</v>
      </c>
      <c r="W40" s="7">
        <f t="shared" si="4"/>
        <v>24</v>
      </c>
      <c r="X40" s="8" t="s">
        <v>215</v>
      </c>
      <c r="Y40" s="12"/>
      <c r="Z40" s="12"/>
      <c r="AA40" s="12"/>
    </row>
    <row r="41" ht="19.5" customHeight="1">
      <c r="A41" s="7">
        <v>32.0</v>
      </c>
      <c r="B41" s="7" t="s">
        <v>216</v>
      </c>
      <c r="C41" s="7" t="s">
        <v>170</v>
      </c>
      <c r="D41" s="7" t="s">
        <v>217</v>
      </c>
      <c r="E41" s="7" t="s">
        <v>218</v>
      </c>
      <c r="F41" s="7" t="s">
        <v>37</v>
      </c>
      <c r="G41" s="9" t="s">
        <v>40</v>
      </c>
      <c r="H41" s="7" t="s">
        <v>90</v>
      </c>
      <c r="I41" s="7" t="s">
        <v>72</v>
      </c>
      <c r="J41" s="7">
        <f>28*30</f>
        <v>840</v>
      </c>
      <c r="K41" s="7" t="s">
        <v>66</v>
      </c>
      <c r="L41" s="8" t="s">
        <v>219</v>
      </c>
      <c r="M41" s="10">
        <f t="shared" si="1"/>
        <v>0.9484129658</v>
      </c>
      <c r="N41" s="7">
        <v>8.88</v>
      </c>
      <c r="O41" s="7">
        <v>10.25</v>
      </c>
      <c r="P41" s="10">
        <v>2.7</v>
      </c>
      <c r="Q41" s="10">
        <v>6.2</v>
      </c>
      <c r="R41" s="7">
        <v>4.0</v>
      </c>
      <c r="S41" s="7">
        <v>4.0</v>
      </c>
      <c r="T41" s="8">
        <f t="shared" si="2"/>
        <v>1.154279279</v>
      </c>
      <c r="U41" s="8">
        <f t="shared" si="3"/>
        <v>0.1434761486</v>
      </c>
      <c r="V41" s="11">
        <v>0.11458158042079897</v>
      </c>
      <c r="W41" s="7">
        <f t="shared" si="4"/>
        <v>8</v>
      </c>
      <c r="X41" s="7" t="s">
        <v>220</v>
      </c>
      <c r="Y41" s="7"/>
      <c r="Z41" s="7"/>
      <c r="AA41" s="7"/>
    </row>
    <row r="42" ht="19.5" customHeight="1">
      <c r="A42" s="7">
        <v>33.0</v>
      </c>
      <c r="B42" s="7" t="s">
        <v>221</v>
      </c>
      <c r="C42" s="8" t="s">
        <v>34</v>
      </c>
      <c r="D42" s="7" t="s">
        <v>222</v>
      </c>
      <c r="E42" s="7" t="s">
        <v>104</v>
      </c>
      <c r="F42" s="7" t="s">
        <v>37</v>
      </c>
      <c r="G42" s="7" t="s">
        <v>37</v>
      </c>
      <c r="H42" s="7" t="s">
        <v>38</v>
      </c>
      <c r="I42" s="7" t="s">
        <v>72</v>
      </c>
      <c r="J42" s="9" t="s">
        <v>40</v>
      </c>
      <c r="K42" s="7" t="s">
        <v>41</v>
      </c>
      <c r="L42" s="8" t="s">
        <v>106</v>
      </c>
      <c r="M42" s="10">
        <f t="shared" si="1"/>
        <v>1.537819095</v>
      </c>
      <c r="N42" s="7">
        <v>34.5</v>
      </c>
      <c r="O42" s="7">
        <v>29.6</v>
      </c>
      <c r="P42" s="10">
        <v>16.970562748477143</v>
      </c>
      <c r="Q42" s="10">
        <v>12.445079348883239</v>
      </c>
      <c r="R42" s="7">
        <v>32.0</v>
      </c>
      <c r="S42" s="7">
        <v>32.0</v>
      </c>
      <c r="T42" s="8">
        <f t="shared" si="2"/>
        <v>0.8579710145</v>
      </c>
      <c r="U42" s="8">
        <f t="shared" si="3"/>
        <v>-0.1531849627</v>
      </c>
      <c r="V42" s="11">
        <v>0.013085541859235215</v>
      </c>
      <c r="W42" s="7">
        <f t="shared" si="4"/>
        <v>64</v>
      </c>
      <c r="X42" s="7" t="s">
        <v>223</v>
      </c>
      <c r="Y42" s="7"/>
      <c r="Z42" s="7"/>
      <c r="AA42" s="7"/>
    </row>
    <row r="43" ht="19.5" customHeight="1">
      <c r="A43" s="7">
        <v>34.0</v>
      </c>
      <c r="B43" s="8" t="s">
        <v>224</v>
      </c>
      <c r="C43" s="8" t="s">
        <v>82</v>
      </c>
      <c r="D43" s="8" t="s">
        <v>176</v>
      </c>
      <c r="E43" s="8" t="s">
        <v>225</v>
      </c>
      <c r="F43" s="8" t="s">
        <v>47</v>
      </c>
      <c r="G43" s="13" t="s">
        <v>40</v>
      </c>
      <c r="H43" s="8" t="s">
        <v>38</v>
      </c>
      <c r="I43" s="8" t="s">
        <v>72</v>
      </c>
      <c r="J43" s="9" t="s">
        <v>40</v>
      </c>
      <c r="K43" s="8" t="s">
        <v>66</v>
      </c>
      <c r="L43" s="8" t="s">
        <v>226</v>
      </c>
      <c r="M43" s="10">
        <f t="shared" si="1"/>
        <v>1.812913357</v>
      </c>
      <c r="N43" s="7">
        <v>65.0</v>
      </c>
      <c r="O43" s="7">
        <v>25.0</v>
      </c>
      <c r="P43" s="10">
        <v>46.778542089295605</v>
      </c>
      <c r="Q43" s="10">
        <v>39.22063232534631</v>
      </c>
      <c r="R43" s="7">
        <v>20.0</v>
      </c>
      <c r="S43" s="7">
        <v>20.0</v>
      </c>
      <c r="T43" s="14">
        <f t="shared" si="2"/>
        <v>0.3846153846</v>
      </c>
      <c r="U43" s="14">
        <f t="shared" si="3"/>
        <v>-0.955511445</v>
      </c>
      <c r="V43" s="11">
        <v>0.14895687668639052</v>
      </c>
      <c r="W43" s="7">
        <f t="shared" si="4"/>
        <v>40</v>
      </c>
      <c r="X43" s="8" t="s">
        <v>227</v>
      </c>
      <c r="Y43" s="12"/>
      <c r="Z43" s="12"/>
      <c r="AA43" s="12"/>
    </row>
    <row r="44" ht="19.5" customHeight="1">
      <c r="A44" s="7">
        <v>35.0</v>
      </c>
      <c r="B44" s="7" t="s">
        <v>228</v>
      </c>
      <c r="C44" s="8" t="s">
        <v>34</v>
      </c>
      <c r="D44" s="7" t="s">
        <v>229</v>
      </c>
      <c r="E44" s="7" t="s">
        <v>230</v>
      </c>
      <c r="F44" s="7" t="s">
        <v>37</v>
      </c>
      <c r="G44" s="7" t="s">
        <v>37</v>
      </c>
      <c r="H44" s="7" t="s">
        <v>38</v>
      </c>
      <c r="I44" s="7" t="s">
        <v>39</v>
      </c>
      <c r="J44" s="9" t="s">
        <v>40</v>
      </c>
      <c r="K44" s="7" t="s">
        <v>105</v>
      </c>
      <c r="L44" s="8" t="s">
        <v>106</v>
      </c>
      <c r="M44" s="10">
        <f t="shared" si="1"/>
        <v>1.009450896</v>
      </c>
      <c r="N44" s="7">
        <v>10.22</v>
      </c>
      <c r="O44" s="7">
        <v>5.74</v>
      </c>
      <c r="P44" s="10">
        <v>4.47213595499958</v>
      </c>
      <c r="Q44" s="10">
        <v>5.724334022399462</v>
      </c>
      <c r="R44" s="7">
        <v>5.0</v>
      </c>
      <c r="S44" s="7">
        <v>5.0</v>
      </c>
      <c r="T44" s="8">
        <f t="shared" si="2"/>
        <v>0.5616438356</v>
      </c>
      <c r="U44" s="8">
        <f t="shared" si="3"/>
        <v>-0.5768873744</v>
      </c>
      <c r="V44" s="11">
        <v>0.2372062059859832</v>
      </c>
      <c r="W44" s="7">
        <f t="shared" si="4"/>
        <v>10</v>
      </c>
      <c r="X44" s="7" t="s">
        <v>231</v>
      </c>
      <c r="Y44" s="7"/>
      <c r="Z44" s="7"/>
      <c r="AA44" s="7"/>
    </row>
    <row r="45" ht="19.5" customHeight="1">
      <c r="A45" s="7">
        <v>36.0</v>
      </c>
      <c r="B45" s="8" t="s">
        <v>232</v>
      </c>
      <c r="C45" s="8" t="s">
        <v>170</v>
      </c>
      <c r="D45" s="7" t="s">
        <v>233</v>
      </c>
      <c r="E45" s="8" t="s">
        <v>234</v>
      </c>
      <c r="F45" s="8" t="s">
        <v>47</v>
      </c>
      <c r="G45" s="13" t="s">
        <v>40</v>
      </c>
      <c r="H45" s="8" t="s">
        <v>90</v>
      </c>
      <c r="I45" s="8" t="s">
        <v>72</v>
      </c>
      <c r="J45" s="7">
        <v>365.0</v>
      </c>
      <c r="K45" s="8" t="s">
        <v>105</v>
      </c>
      <c r="L45" s="8" t="s">
        <v>235</v>
      </c>
      <c r="M45" s="10">
        <f t="shared" si="1"/>
        <v>1.481442629</v>
      </c>
      <c r="N45" s="7">
        <v>30.3</v>
      </c>
      <c r="O45" s="7">
        <v>32.7</v>
      </c>
      <c r="P45" s="10">
        <v>4.516857314549576</v>
      </c>
      <c r="Q45" s="10">
        <v>4.673382072974561</v>
      </c>
      <c r="R45" s="7">
        <v>5.0</v>
      </c>
      <c r="S45" s="7">
        <v>5.0</v>
      </c>
      <c r="T45" s="8">
        <f t="shared" si="2"/>
        <v>1.079207921</v>
      </c>
      <c r="U45" s="8">
        <f t="shared" si="3"/>
        <v>0.07622736539</v>
      </c>
      <c r="V45" s="11">
        <v>0.008529491531764069</v>
      </c>
      <c r="W45" s="7">
        <f t="shared" si="4"/>
        <v>10</v>
      </c>
      <c r="X45" s="7" t="s">
        <v>236</v>
      </c>
      <c r="Y45" s="7"/>
      <c r="Z45" s="7"/>
      <c r="AA45" s="7"/>
    </row>
    <row r="46" ht="19.5" customHeight="1">
      <c r="A46" s="7">
        <v>37.0</v>
      </c>
      <c r="B46" s="7" t="s">
        <v>237</v>
      </c>
      <c r="C46" s="8" t="s">
        <v>34</v>
      </c>
      <c r="D46" s="7" t="s">
        <v>238</v>
      </c>
      <c r="E46" s="7" t="s">
        <v>239</v>
      </c>
      <c r="F46" s="7" t="s">
        <v>37</v>
      </c>
      <c r="G46" s="7" t="s">
        <v>37</v>
      </c>
      <c r="H46" s="7" t="s">
        <v>38</v>
      </c>
      <c r="I46" s="7" t="s">
        <v>72</v>
      </c>
      <c r="J46" s="9" t="s">
        <v>40</v>
      </c>
      <c r="K46" s="7" t="s">
        <v>41</v>
      </c>
      <c r="L46" s="8" t="s">
        <v>240</v>
      </c>
      <c r="M46" s="10">
        <f t="shared" si="1"/>
        <v>0.982271233</v>
      </c>
      <c r="N46" s="7">
        <v>9.6</v>
      </c>
      <c r="O46" s="7">
        <v>4.5</v>
      </c>
      <c r="P46" s="10">
        <v>1.161895003862225</v>
      </c>
      <c r="Q46" s="10">
        <v>0.3872983346207417</v>
      </c>
      <c r="R46" s="7">
        <v>15.0</v>
      </c>
      <c r="S46" s="7">
        <v>15.0</v>
      </c>
      <c r="T46" s="8">
        <f t="shared" si="2"/>
        <v>0.46875</v>
      </c>
      <c r="U46" s="8">
        <f t="shared" si="3"/>
        <v>-0.7576857017</v>
      </c>
      <c r="V46" s="11">
        <v>0.0014703896604938275</v>
      </c>
      <c r="W46" s="7">
        <f t="shared" si="4"/>
        <v>30</v>
      </c>
      <c r="X46" s="7" t="s">
        <v>241</v>
      </c>
      <c r="Y46" s="7"/>
      <c r="Z46" s="7"/>
      <c r="AA46" s="7"/>
    </row>
    <row r="47" ht="19.5" customHeight="1">
      <c r="A47" s="7">
        <v>38.0</v>
      </c>
      <c r="B47" s="8" t="s">
        <v>242</v>
      </c>
      <c r="C47" s="8" t="s">
        <v>82</v>
      </c>
      <c r="D47" s="8" t="s">
        <v>176</v>
      </c>
      <c r="E47" s="8" t="s">
        <v>243</v>
      </c>
      <c r="F47" s="8" t="s">
        <v>47</v>
      </c>
      <c r="G47" s="13" t="s">
        <v>40</v>
      </c>
      <c r="H47" s="8" t="s">
        <v>90</v>
      </c>
      <c r="I47" s="8" t="s">
        <v>39</v>
      </c>
      <c r="J47" s="7">
        <f>3*365</f>
        <v>1095</v>
      </c>
      <c r="K47" s="8" t="s">
        <v>105</v>
      </c>
      <c r="L47" s="8" t="s">
        <v>244</v>
      </c>
      <c r="M47" s="10">
        <f t="shared" si="1"/>
        <v>1.13289977</v>
      </c>
      <c r="N47" s="7">
        <v>13.58</v>
      </c>
      <c r="O47" s="7">
        <v>9.28</v>
      </c>
      <c r="P47" s="10">
        <v>5.854280485251795</v>
      </c>
      <c r="Q47" s="10">
        <v>5.388877434122992</v>
      </c>
      <c r="R47" s="7">
        <v>6.0</v>
      </c>
      <c r="S47" s="7">
        <v>6.0</v>
      </c>
      <c r="T47" s="14">
        <f t="shared" si="2"/>
        <v>0.6833578792</v>
      </c>
      <c r="U47" s="14">
        <f t="shared" si="3"/>
        <v>-0.3807365753</v>
      </c>
      <c r="V47" s="11">
        <v>0.08717562080841655</v>
      </c>
      <c r="W47" s="7">
        <f t="shared" si="4"/>
        <v>12</v>
      </c>
      <c r="X47" s="8" t="s">
        <v>245</v>
      </c>
      <c r="Y47" s="12"/>
      <c r="Z47" s="12"/>
      <c r="AA47" s="12"/>
    </row>
    <row r="48" ht="19.5" customHeight="1">
      <c r="A48" s="7">
        <v>39.0</v>
      </c>
      <c r="B48" s="7" t="s">
        <v>246</v>
      </c>
      <c r="C48" s="8" t="s">
        <v>34</v>
      </c>
      <c r="D48" s="7" t="s">
        <v>247</v>
      </c>
      <c r="E48" s="7" t="s">
        <v>248</v>
      </c>
      <c r="F48" s="7" t="s">
        <v>47</v>
      </c>
      <c r="G48" s="7" t="s">
        <v>37</v>
      </c>
      <c r="H48" s="7" t="s">
        <v>38</v>
      </c>
      <c r="I48" s="7" t="s">
        <v>39</v>
      </c>
      <c r="J48" s="9" t="s">
        <v>40</v>
      </c>
      <c r="K48" s="7" t="s">
        <v>48</v>
      </c>
      <c r="L48" s="8" t="s">
        <v>249</v>
      </c>
      <c r="M48" s="10">
        <f t="shared" si="1"/>
        <v>0.5693739096</v>
      </c>
      <c r="N48" s="7">
        <v>3.71</v>
      </c>
      <c r="O48" s="7">
        <v>3.37</v>
      </c>
      <c r="P48" s="10">
        <v>1.8013328398716324</v>
      </c>
      <c r="Q48" s="10">
        <v>2.1823840175367852</v>
      </c>
      <c r="R48" s="7">
        <v>12.0</v>
      </c>
      <c r="S48" s="7">
        <v>12.0</v>
      </c>
      <c r="T48" s="8">
        <f t="shared" si="2"/>
        <v>0.9083557951</v>
      </c>
      <c r="U48" s="8">
        <f t="shared" si="3"/>
        <v>-0.09611913226</v>
      </c>
      <c r="V48" s="11">
        <v>0.05459322629913721</v>
      </c>
      <c r="W48" s="7">
        <f t="shared" si="4"/>
        <v>24</v>
      </c>
      <c r="X48" s="7" t="s">
        <v>250</v>
      </c>
      <c r="Y48" s="7"/>
      <c r="Z48" s="7"/>
      <c r="AA48" s="7"/>
    </row>
    <row r="49" ht="19.5" customHeight="1">
      <c r="A49" s="7">
        <v>40.0</v>
      </c>
      <c r="B49" s="7" t="s">
        <v>251</v>
      </c>
      <c r="C49" s="8" t="s">
        <v>34</v>
      </c>
      <c r="D49" s="7" t="s">
        <v>252</v>
      </c>
      <c r="E49" s="7" t="s">
        <v>253</v>
      </c>
      <c r="F49" s="7" t="s">
        <v>37</v>
      </c>
      <c r="G49" s="7" t="s">
        <v>37</v>
      </c>
      <c r="H49" s="7" t="s">
        <v>38</v>
      </c>
      <c r="I49" s="7" t="s">
        <v>39</v>
      </c>
      <c r="J49" s="9" t="s">
        <v>40</v>
      </c>
      <c r="K49" s="7" t="s">
        <v>41</v>
      </c>
      <c r="L49" s="8" t="s">
        <v>254</v>
      </c>
      <c r="M49" s="10">
        <f t="shared" si="1"/>
        <v>0.8208579894</v>
      </c>
      <c r="N49" s="7">
        <v>6.62</v>
      </c>
      <c r="O49" s="7">
        <v>5.05</v>
      </c>
      <c r="P49" s="10">
        <v>1.5879231719450408</v>
      </c>
      <c r="Q49" s="10">
        <v>0.8520563361656317</v>
      </c>
      <c r="R49" s="7">
        <v>15.0</v>
      </c>
      <c r="S49" s="7">
        <v>15.0</v>
      </c>
      <c r="T49" s="8">
        <f t="shared" si="2"/>
        <v>0.7628398792</v>
      </c>
      <c r="U49" s="8">
        <f t="shared" si="3"/>
        <v>-0.2707071267</v>
      </c>
      <c r="V49" s="11">
        <v>0.0057336158774392585</v>
      </c>
      <c r="W49" s="7">
        <f t="shared" si="4"/>
        <v>30</v>
      </c>
      <c r="X49" s="7" t="s">
        <v>255</v>
      </c>
      <c r="Y49" s="7"/>
      <c r="Z49" s="7"/>
      <c r="AA49" s="7"/>
    </row>
    <row r="50" ht="19.5" customHeight="1">
      <c r="A50" s="7">
        <v>40.0</v>
      </c>
      <c r="B50" s="7" t="s">
        <v>251</v>
      </c>
      <c r="C50" s="8" t="s">
        <v>34</v>
      </c>
      <c r="D50" s="7" t="s">
        <v>256</v>
      </c>
      <c r="E50" s="7" t="s">
        <v>257</v>
      </c>
      <c r="F50" s="7" t="s">
        <v>37</v>
      </c>
      <c r="G50" s="7" t="s">
        <v>37</v>
      </c>
      <c r="H50" s="7" t="s">
        <v>38</v>
      </c>
      <c r="I50" s="7" t="s">
        <v>39</v>
      </c>
      <c r="J50" s="9" t="s">
        <v>40</v>
      </c>
      <c r="K50" s="7" t="s">
        <v>41</v>
      </c>
      <c r="L50" s="8" t="s">
        <v>254</v>
      </c>
      <c r="M50" s="10">
        <f t="shared" si="1"/>
        <v>1.006037955</v>
      </c>
      <c r="N50" s="7">
        <v>10.14</v>
      </c>
      <c r="O50" s="7">
        <v>1.98</v>
      </c>
      <c r="P50" s="10">
        <v>0.6222539674441618</v>
      </c>
      <c r="Q50" s="10">
        <v>0.7212489168102786</v>
      </c>
      <c r="R50" s="7">
        <v>2.0</v>
      </c>
      <c r="S50" s="7">
        <v>2.0</v>
      </c>
      <c r="T50" s="8">
        <f t="shared" si="2"/>
        <v>0.1952662722</v>
      </c>
      <c r="U50" s="8">
        <f t="shared" si="3"/>
        <v>-1.633391153</v>
      </c>
      <c r="V50" s="11">
        <v>0.0682281803749094</v>
      </c>
      <c r="W50" s="7">
        <f t="shared" si="4"/>
        <v>4</v>
      </c>
      <c r="X50" s="7" t="s">
        <v>255</v>
      </c>
      <c r="Y50" s="7"/>
      <c r="Z50" s="7"/>
      <c r="AA50" s="7"/>
    </row>
    <row r="51" ht="19.5" customHeight="1">
      <c r="A51" s="7">
        <v>40.0</v>
      </c>
      <c r="B51" s="7" t="s">
        <v>251</v>
      </c>
      <c r="C51" s="8" t="s">
        <v>34</v>
      </c>
      <c r="D51" s="7" t="s">
        <v>258</v>
      </c>
      <c r="E51" s="7" t="s">
        <v>259</v>
      </c>
      <c r="F51" s="7" t="s">
        <v>37</v>
      </c>
      <c r="G51" s="7" t="s">
        <v>37</v>
      </c>
      <c r="H51" s="7" t="s">
        <v>38</v>
      </c>
      <c r="I51" s="7" t="s">
        <v>39</v>
      </c>
      <c r="J51" s="9" t="s">
        <v>40</v>
      </c>
      <c r="K51" s="7" t="s">
        <v>41</v>
      </c>
      <c r="L51" s="8" t="s">
        <v>254</v>
      </c>
      <c r="M51" s="10">
        <f t="shared" si="1"/>
        <v>1.006037955</v>
      </c>
      <c r="N51" s="7">
        <v>10.14</v>
      </c>
      <c r="O51" s="7">
        <v>0.62</v>
      </c>
      <c r="P51" s="10">
        <v>0.6222539674441618</v>
      </c>
      <c r="Q51" s="10">
        <v>0.2545584412271571</v>
      </c>
      <c r="R51" s="7">
        <v>2.0</v>
      </c>
      <c r="S51" s="7">
        <v>2.0</v>
      </c>
      <c r="T51" s="8">
        <f t="shared" si="2"/>
        <v>0.06114398422</v>
      </c>
      <c r="U51" s="8">
        <f t="shared" si="3"/>
        <v>-2.794523799</v>
      </c>
      <c r="V51" s="11">
        <v>0.08617011031665012</v>
      </c>
      <c r="W51" s="7">
        <f t="shared" si="4"/>
        <v>4</v>
      </c>
      <c r="X51" s="7" t="s">
        <v>255</v>
      </c>
      <c r="Y51" s="7"/>
      <c r="Z51" s="7"/>
      <c r="AA51" s="7"/>
    </row>
    <row r="52" ht="19.5" customHeight="1">
      <c r="A52" s="7">
        <v>41.0</v>
      </c>
      <c r="B52" s="7" t="s">
        <v>260</v>
      </c>
      <c r="C52" s="8" t="s">
        <v>52</v>
      </c>
      <c r="D52" s="7" t="s">
        <v>64</v>
      </c>
      <c r="E52" s="7" t="s">
        <v>261</v>
      </c>
      <c r="F52" s="7" t="s">
        <v>47</v>
      </c>
      <c r="G52" s="9" t="s">
        <v>40</v>
      </c>
      <c r="H52" s="7" t="s">
        <v>38</v>
      </c>
      <c r="I52" s="7" t="s">
        <v>72</v>
      </c>
      <c r="J52" s="9" t="s">
        <v>40</v>
      </c>
      <c r="K52" s="8" t="s">
        <v>66</v>
      </c>
      <c r="L52" s="8" t="s">
        <v>262</v>
      </c>
      <c r="M52" s="10">
        <f t="shared" si="1"/>
        <v>0.1818435879</v>
      </c>
      <c r="N52" s="7">
        <v>1.52</v>
      </c>
      <c r="O52" s="7">
        <v>1.6</v>
      </c>
      <c r="P52" s="10">
        <v>2.0611404610069637</v>
      </c>
      <c r="Q52" s="10">
        <v>1.5761662348876784</v>
      </c>
      <c r="R52" s="7">
        <v>3.0</v>
      </c>
      <c r="S52" s="7">
        <v>3.0</v>
      </c>
      <c r="T52" s="8">
        <f t="shared" si="2"/>
        <v>1.052631579</v>
      </c>
      <c r="U52" s="8">
        <f t="shared" si="3"/>
        <v>0.05129329439</v>
      </c>
      <c r="V52" s="11">
        <v>0.9364007314750689</v>
      </c>
      <c r="W52" s="7">
        <f t="shared" si="4"/>
        <v>6</v>
      </c>
      <c r="X52" s="8" t="s">
        <v>263</v>
      </c>
      <c r="Y52" s="7"/>
      <c r="Z52" s="7"/>
      <c r="AA52" s="7"/>
    </row>
    <row r="53" ht="19.5" customHeight="1">
      <c r="A53" s="7">
        <v>41.0</v>
      </c>
      <c r="B53" s="8" t="s">
        <v>260</v>
      </c>
      <c r="C53" s="8" t="s">
        <v>82</v>
      </c>
      <c r="D53" s="8" t="s">
        <v>83</v>
      </c>
      <c r="E53" s="8" t="s">
        <v>264</v>
      </c>
      <c r="F53" s="8" t="s">
        <v>47</v>
      </c>
      <c r="G53" s="9" t="s">
        <v>40</v>
      </c>
      <c r="H53" s="8" t="s">
        <v>38</v>
      </c>
      <c r="I53" s="8" t="s">
        <v>72</v>
      </c>
      <c r="J53" s="9" t="s">
        <v>40</v>
      </c>
      <c r="K53" s="8" t="s">
        <v>66</v>
      </c>
      <c r="L53" s="8" t="s">
        <v>262</v>
      </c>
      <c r="M53" s="10">
        <f t="shared" si="1"/>
        <v>0.1818435879</v>
      </c>
      <c r="N53" s="7">
        <v>1.52</v>
      </c>
      <c r="O53" s="7">
        <v>0.56</v>
      </c>
      <c r="P53" s="10">
        <v>2.0611404610069637</v>
      </c>
      <c r="Q53" s="10">
        <v>1.0045894683899488</v>
      </c>
      <c r="R53" s="7">
        <v>3.0</v>
      </c>
      <c r="S53" s="7">
        <v>3.0</v>
      </c>
      <c r="T53" s="14">
        <f t="shared" si="2"/>
        <v>0.3684210526</v>
      </c>
      <c r="U53" s="14">
        <f t="shared" si="3"/>
        <v>-0.9985288301</v>
      </c>
      <c r="V53" s="11">
        <v>1.6856282506077216</v>
      </c>
      <c r="W53" s="7">
        <f t="shared" si="4"/>
        <v>6</v>
      </c>
      <c r="X53" s="8" t="s">
        <v>263</v>
      </c>
      <c r="Y53" s="12"/>
      <c r="Z53" s="12"/>
      <c r="AA53" s="12"/>
    </row>
    <row r="54" ht="19.5" customHeight="1">
      <c r="A54" s="7">
        <v>42.0</v>
      </c>
      <c r="B54" s="8" t="s">
        <v>265</v>
      </c>
      <c r="C54" s="8" t="s">
        <v>52</v>
      </c>
      <c r="D54" s="8" t="s">
        <v>64</v>
      </c>
      <c r="E54" s="8" t="s">
        <v>266</v>
      </c>
      <c r="F54" s="8" t="s">
        <v>78</v>
      </c>
      <c r="G54" s="9" t="s">
        <v>40</v>
      </c>
      <c r="H54" s="7" t="s">
        <v>38</v>
      </c>
      <c r="I54" s="7" t="s">
        <v>39</v>
      </c>
      <c r="J54" s="9" t="s">
        <v>40</v>
      </c>
      <c r="K54" s="8" t="s">
        <v>66</v>
      </c>
      <c r="L54" s="8" t="s">
        <v>267</v>
      </c>
      <c r="M54" s="10">
        <f t="shared" si="1"/>
        <v>0.8887409607</v>
      </c>
      <c r="N54" s="7">
        <v>7.74</v>
      </c>
      <c r="O54" s="7">
        <v>3.36</v>
      </c>
      <c r="P54" s="10">
        <v>2.064751801064719</v>
      </c>
      <c r="Q54" s="10">
        <v>12.1004793293489</v>
      </c>
      <c r="R54" s="7">
        <v>2.0</v>
      </c>
      <c r="S54" s="7">
        <v>24.0</v>
      </c>
      <c r="T54" s="14">
        <f t="shared" si="2"/>
        <v>0.4341085271</v>
      </c>
      <c r="U54" s="14">
        <f t="shared" si="3"/>
        <v>-0.8344607136</v>
      </c>
      <c r="V54" s="11">
        <v>0.5759814762906647</v>
      </c>
      <c r="W54" s="7">
        <f t="shared" si="4"/>
        <v>26</v>
      </c>
      <c r="X54" s="8" t="s">
        <v>268</v>
      </c>
      <c r="Y54" s="7"/>
      <c r="Z54" s="7"/>
      <c r="AA54" s="7"/>
    </row>
    <row r="55" ht="19.5" customHeight="1">
      <c r="A55" s="7">
        <v>43.0</v>
      </c>
      <c r="B55" s="7" t="s">
        <v>269</v>
      </c>
      <c r="C55" s="7" t="s">
        <v>52</v>
      </c>
      <c r="D55" s="7" t="s">
        <v>64</v>
      </c>
      <c r="E55" s="7" t="s">
        <v>270</v>
      </c>
      <c r="F55" s="7" t="s">
        <v>78</v>
      </c>
      <c r="G55" s="9" t="s">
        <v>40</v>
      </c>
      <c r="H55" s="7" t="s">
        <v>38</v>
      </c>
      <c r="I55" s="7" t="s">
        <v>72</v>
      </c>
      <c r="J55" s="9" t="s">
        <v>40</v>
      </c>
      <c r="K55" s="7" t="s">
        <v>66</v>
      </c>
      <c r="L55" s="8" t="s">
        <v>271</v>
      </c>
      <c r="M55" s="10">
        <f t="shared" si="1"/>
        <v>1.531478917</v>
      </c>
      <c r="N55" s="7">
        <v>34.0</v>
      </c>
      <c r="O55" s="7">
        <v>17.75</v>
      </c>
      <c r="P55" s="10">
        <v>3.5</v>
      </c>
      <c r="Q55" s="10">
        <v>1.78</v>
      </c>
      <c r="R55" s="7">
        <v>4.0</v>
      </c>
      <c r="S55" s="7">
        <v>4.0</v>
      </c>
      <c r="T55" s="8">
        <f t="shared" si="2"/>
        <v>0.5220588235</v>
      </c>
      <c r="U55" s="8">
        <f t="shared" si="3"/>
        <v>-0.6499750087</v>
      </c>
      <c r="V55" s="11">
        <v>0.005163325797663313</v>
      </c>
      <c r="W55" s="7">
        <f t="shared" si="4"/>
        <v>8</v>
      </c>
      <c r="X55" s="7" t="s">
        <v>272</v>
      </c>
      <c r="Y55" s="7"/>
      <c r="Z55" s="7"/>
      <c r="AA55" s="7"/>
    </row>
    <row r="56" ht="19.5" customHeight="1">
      <c r="A56" s="7">
        <v>43.0</v>
      </c>
      <c r="B56" s="7" t="s">
        <v>269</v>
      </c>
      <c r="C56" s="7" t="s">
        <v>82</v>
      </c>
      <c r="D56" s="7" t="s">
        <v>83</v>
      </c>
      <c r="E56" s="7" t="s">
        <v>273</v>
      </c>
      <c r="F56" s="7" t="s">
        <v>78</v>
      </c>
      <c r="G56" s="9" t="s">
        <v>40</v>
      </c>
      <c r="H56" s="7" t="s">
        <v>38</v>
      </c>
      <c r="I56" s="7" t="s">
        <v>72</v>
      </c>
      <c r="J56" s="9" t="s">
        <v>40</v>
      </c>
      <c r="K56" s="7" t="s">
        <v>66</v>
      </c>
      <c r="L56" s="8" t="s">
        <v>271</v>
      </c>
      <c r="M56" s="10">
        <f t="shared" si="1"/>
        <v>1.531478917</v>
      </c>
      <c r="N56" s="7">
        <v>34.0</v>
      </c>
      <c r="O56" s="7">
        <v>36.2</v>
      </c>
      <c r="P56" s="10">
        <v>3.5</v>
      </c>
      <c r="Q56" s="10">
        <v>4.5</v>
      </c>
      <c r="R56" s="7">
        <v>4.0</v>
      </c>
      <c r="S56" s="7">
        <v>4.0</v>
      </c>
      <c r="T56" s="8">
        <f t="shared" si="2"/>
        <v>1.064705882</v>
      </c>
      <c r="U56" s="8">
        <f t="shared" si="3"/>
        <v>0.06269859422</v>
      </c>
      <c r="V56" s="11">
        <v>0.006512427704622625</v>
      </c>
      <c r="W56" s="7">
        <f t="shared" si="4"/>
        <v>8</v>
      </c>
      <c r="X56" s="7" t="s">
        <v>272</v>
      </c>
      <c r="Y56" s="12"/>
      <c r="Z56" s="12"/>
      <c r="AA56" s="12"/>
    </row>
    <row r="57" ht="19.5" customHeight="1">
      <c r="A57" s="7">
        <v>44.0</v>
      </c>
      <c r="B57" s="7" t="s">
        <v>274</v>
      </c>
      <c r="C57" s="8" t="s">
        <v>34</v>
      </c>
      <c r="D57" s="7" t="s">
        <v>275</v>
      </c>
      <c r="E57" s="7" t="s">
        <v>276</v>
      </c>
      <c r="F57" s="7" t="s">
        <v>37</v>
      </c>
      <c r="G57" s="7" t="s">
        <v>37</v>
      </c>
      <c r="H57" s="7" t="s">
        <v>38</v>
      </c>
      <c r="I57" s="7" t="s">
        <v>39</v>
      </c>
      <c r="J57" s="9" t="s">
        <v>40</v>
      </c>
      <c r="K57" s="7" t="s">
        <v>41</v>
      </c>
      <c r="L57" s="8" t="s">
        <v>277</v>
      </c>
      <c r="M57" s="10">
        <f t="shared" si="1"/>
        <v>0.383815366</v>
      </c>
      <c r="N57" s="7">
        <v>2.42</v>
      </c>
      <c r="O57" s="7">
        <v>3.46</v>
      </c>
      <c r="P57" s="10">
        <v>0.6603786792439623</v>
      </c>
      <c r="Q57" s="10">
        <v>0.6603786792439623</v>
      </c>
      <c r="R57" s="7">
        <v>89.0</v>
      </c>
      <c r="S57" s="7">
        <v>89.0</v>
      </c>
      <c r="T57" s="8">
        <f t="shared" si="2"/>
        <v>1.429752066</v>
      </c>
      <c r="U57" s="8">
        <f t="shared" si="3"/>
        <v>0.3575010489</v>
      </c>
      <c r="V57" s="11">
        <v>0.0012459934975904965</v>
      </c>
      <c r="W57" s="7">
        <f t="shared" si="4"/>
        <v>178</v>
      </c>
      <c r="X57" s="7" t="s">
        <v>278</v>
      </c>
      <c r="Y57" s="7"/>
      <c r="Z57" s="7"/>
      <c r="AA57" s="7"/>
    </row>
    <row r="58" ht="19.5" customHeight="1">
      <c r="A58" s="7">
        <v>45.0</v>
      </c>
      <c r="B58" s="8" t="s">
        <v>279</v>
      </c>
      <c r="C58" s="8" t="s">
        <v>82</v>
      </c>
      <c r="D58" s="8" t="s">
        <v>176</v>
      </c>
      <c r="E58" s="8" t="s">
        <v>280</v>
      </c>
      <c r="F58" s="8" t="s">
        <v>47</v>
      </c>
      <c r="G58" s="13" t="s">
        <v>40</v>
      </c>
      <c r="H58" s="8" t="s">
        <v>90</v>
      </c>
      <c r="I58" s="8" t="s">
        <v>39</v>
      </c>
      <c r="J58" s="7">
        <f>365*6</f>
        <v>2190</v>
      </c>
      <c r="K58" s="8" t="s">
        <v>281</v>
      </c>
      <c r="L58" s="8" t="s">
        <v>282</v>
      </c>
      <c r="M58" s="10">
        <f t="shared" si="1"/>
        <v>1.347330015</v>
      </c>
      <c r="N58" s="7">
        <v>22.25</v>
      </c>
      <c r="O58" s="7">
        <v>24.67</v>
      </c>
      <c r="P58" s="10">
        <v>8.17415439051649</v>
      </c>
      <c r="Q58" s="10">
        <v>9.62</v>
      </c>
      <c r="R58" s="7">
        <v>2.0</v>
      </c>
      <c r="S58" s="7">
        <v>4.0</v>
      </c>
      <c r="T58" s="14">
        <f t="shared" si="2"/>
        <v>1.108764045</v>
      </c>
      <c r="U58" s="14">
        <f t="shared" si="3"/>
        <v>0.1032459219</v>
      </c>
      <c r="V58" s="11">
        <v>0.105497921621869</v>
      </c>
      <c r="W58" s="7">
        <f t="shared" si="4"/>
        <v>6</v>
      </c>
      <c r="X58" s="8" t="s">
        <v>283</v>
      </c>
      <c r="Y58" s="12"/>
      <c r="Z58" s="12"/>
      <c r="AA58" s="12"/>
    </row>
    <row r="59" ht="19.5" customHeight="1">
      <c r="A59" s="7">
        <v>46.0</v>
      </c>
      <c r="B59" s="7" t="s">
        <v>284</v>
      </c>
      <c r="C59" s="8" t="s">
        <v>34</v>
      </c>
      <c r="D59" s="7" t="s">
        <v>285</v>
      </c>
      <c r="E59" s="7" t="s">
        <v>286</v>
      </c>
      <c r="F59" s="7" t="s">
        <v>37</v>
      </c>
      <c r="G59" s="7" t="s">
        <v>37</v>
      </c>
      <c r="H59" s="7" t="s">
        <v>38</v>
      </c>
      <c r="I59" s="7" t="s">
        <v>72</v>
      </c>
      <c r="J59" s="9" t="s">
        <v>40</v>
      </c>
      <c r="K59" s="7" t="s">
        <v>41</v>
      </c>
      <c r="L59" s="8" t="s">
        <v>287</v>
      </c>
      <c r="M59" s="10">
        <f t="shared" si="1"/>
        <v>1.322219295</v>
      </c>
      <c r="N59" s="7">
        <v>21.0</v>
      </c>
      <c r="O59" s="7">
        <v>12.0</v>
      </c>
      <c r="P59" s="10">
        <v>4.358898943540674</v>
      </c>
      <c r="Q59" s="10">
        <v>3.0512292604784714</v>
      </c>
      <c r="R59" s="7">
        <v>19.0</v>
      </c>
      <c r="S59" s="7">
        <v>19.0</v>
      </c>
      <c r="T59" s="8">
        <f t="shared" si="2"/>
        <v>0.5714285714</v>
      </c>
      <c r="U59" s="8">
        <f t="shared" si="3"/>
        <v>-0.5596157879</v>
      </c>
      <c r="V59" s="11">
        <v>0.005670351473922903</v>
      </c>
      <c r="W59" s="7">
        <f t="shared" si="4"/>
        <v>38</v>
      </c>
      <c r="X59" s="7" t="s">
        <v>288</v>
      </c>
      <c r="Y59" s="7"/>
      <c r="Z59" s="7"/>
      <c r="AA59" s="7"/>
    </row>
    <row r="60" ht="19.5" customHeight="1">
      <c r="A60" s="7">
        <v>47.0</v>
      </c>
      <c r="B60" s="7" t="s">
        <v>289</v>
      </c>
      <c r="C60" s="8" t="s">
        <v>52</v>
      </c>
      <c r="D60" s="7" t="s">
        <v>64</v>
      </c>
      <c r="E60" s="7" t="s">
        <v>290</v>
      </c>
      <c r="F60" s="7" t="s">
        <v>47</v>
      </c>
      <c r="G60" s="9" t="s">
        <v>40</v>
      </c>
      <c r="H60" s="8" t="s">
        <v>38</v>
      </c>
      <c r="I60" s="7" t="s">
        <v>72</v>
      </c>
      <c r="J60" s="9" t="s">
        <v>40</v>
      </c>
      <c r="K60" s="7" t="s">
        <v>66</v>
      </c>
      <c r="L60" s="8" t="s">
        <v>291</v>
      </c>
      <c r="M60" s="10">
        <f t="shared" si="1"/>
        <v>0.9867717343</v>
      </c>
      <c r="N60" s="7">
        <v>9.7</v>
      </c>
      <c r="O60" s="7">
        <v>7.65</v>
      </c>
      <c r="P60" s="10">
        <v>5.7</v>
      </c>
      <c r="Q60" s="10">
        <v>4.2</v>
      </c>
      <c r="R60" s="7">
        <v>4.0</v>
      </c>
      <c r="S60" s="7">
        <v>4.0</v>
      </c>
      <c r="T60" s="8">
        <f t="shared" si="2"/>
        <v>0.7886597938</v>
      </c>
      <c r="U60" s="8">
        <f t="shared" si="3"/>
        <v>-0.2374202377</v>
      </c>
      <c r="V60" s="11">
        <v>0.16168255348211152</v>
      </c>
      <c r="W60" s="7">
        <f t="shared" si="4"/>
        <v>8</v>
      </c>
      <c r="X60" s="8" t="s">
        <v>292</v>
      </c>
      <c r="Y60" s="7"/>
      <c r="Z60" s="7"/>
      <c r="AA60" s="7"/>
    </row>
    <row r="61" ht="19.5" customHeight="1">
      <c r="A61" s="7">
        <v>47.0</v>
      </c>
      <c r="B61" s="8" t="s">
        <v>289</v>
      </c>
      <c r="C61" s="8" t="s">
        <v>82</v>
      </c>
      <c r="D61" s="8" t="s">
        <v>83</v>
      </c>
      <c r="E61" s="8" t="s">
        <v>293</v>
      </c>
      <c r="F61" s="8" t="s">
        <v>47</v>
      </c>
      <c r="G61" s="13" t="s">
        <v>40</v>
      </c>
      <c r="H61" s="8" t="s">
        <v>38</v>
      </c>
      <c r="I61" s="8" t="s">
        <v>72</v>
      </c>
      <c r="J61" s="9" t="s">
        <v>40</v>
      </c>
      <c r="K61" s="8" t="s">
        <v>66</v>
      </c>
      <c r="L61" s="8" t="s">
        <v>291</v>
      </c>
      <c r="M61" s="10">
        <f t="shared" si="1"/>
        <v>0.9867717343</v>
      </c>
      <c r="N61" s="7">
        <v>9.7</v>
      </c>
      <c r="O61" s="7">
        <v>10.75</v>
      </c>
      <c r="P61" s="10">
        <v>5.7</v>
      </c>
      <c r="Q61" s="10">
        <v>5.1</v>
      </c>
      <c r="R61" s="7">
        <v>4.0</v>
      </c>
      <c r="S61" s="7">
        <v>4.0</v>
      </c>
      <c r="T61" s="14">
        <f t="shared" si="2"/>
        <v>1.108247423</v>
      </c>
      <c r="U61" s="14">
        <f t="shared" si="3"/>
        <v>0.1027798691</v>
      </c>
      <c r="V61" s="11">
        <v>0.14259517414284256</v>
      </c>
      <c r="W61" s="7">
        <f t="shared" si="4"/>
        <v>8</v>
      </c>
      <c r="X61" s="8" t="s">
        <v>292</v>
      </c>
      <c r="Y61" s="12"/>
      <c r="Z61" s="12"/>
      <c r="AA61" s="12"/>
    </row>
    <row r="62" ht="19.5" customHeight="1">
      <c r="A62" s="7">
        <v>48.0</v>
      </c>
      <c r="B62" s="7" t="s">
        <v>294</v>
      </c>
      <c r="C62" s="8" t="s">
        <v>52</v>
      </c>
      <c r="D62" s="7" t="s">
        <v>64</v>
      </c>
      <c r="E62" s="7" t="s">
        <v>295</v>
      </c>
      <c r="F62" s="8" t="s">
        <v>47</v>
      </c>
      <c r="G62" s="13" t="s">
        <v>40</v>
      </c>
      <c r="H62" s="8" t="s">
        <v>38</v>
      </c>
      <c r="I62" s="7" t="s">
        <v>72</v>
      </c>
      <c r="J62" s="9" t="s">
        <v>40</v>
      </c>
      <c r="K62" s="7" t="s">
        <v>66</v>
      </c>
      <c r="L62" s="8" t="s">
        <v>296</v>
      </c>
      <c r="M62" s="10">
        <f t="shared" si="1"/>
        <v>1.595496222</v>
      </c>
      <c r="N62" s="7">
        <v>39.4</v>
      </c>
      <c r="O62" s="7">
        <v>24.0</v>
      </c>
      <c r="P62" s="10">
        <v>3.8460369212996386</v>
      </c>
      <c r="Q62" s="10">
        <v>9.543599949704513</v>
      </c>
      <c r="R62" s="7">
        <v>5.0</v>
      </c>
      <c r="S62" s="7">
        <v>3.0</v>
      </c>
      <c r="T62" s="8">
        <f t="shared" si="2"/>
        <v>0.6091370558</v>
      </c>
      <c r="U62" s="8">
        <f t="shared" si="3"/>
        <v>-0.495711986</v>
      </c>
      <c r="V62" s="11">
        <v>0.054614250457547066</v>
      </c>
      <c r="W62" s="7">
        <f t="shared" si="4"/>
        <v>8</v>
      </c>
      <c r="X62" s="7" t="s">
        <v>297</v>
      </c>
      <c r="Y62" s="7"/>
      <c r="Z62" s="7"/>
      <c r="AA62" s="7"/>
    </row>
    <row r="63" ht="19.5" customHeight="1">
      <c r="A63" s="7">
        <v>48.0</v>
      </c>
      <c r="B63" s="7" t="s">
        <v>294</v>
      </c>
      <c r="C63" s="8" t="s">
        <v>82</v>
      </c>
      <c r="D63" s="7" t="s">
        <v>83</v>
      </c>
      <c r="E63" s="7" t="s">
        <v>298</v>
      </c>
      <c r="F63" s="8" t="s">
        <v>47</v>
      </c>
      <c r="G63" s="13" t="s">
        <v>40</v>
      </c>
      <c r="H63" s="8" t="s">
        <v>38</v>
      </c>
      <c r="I63" s="7" t="s">
        <v>72</v>
      </c>
      <c r="J63" s="9" t="s">
        <v>40</v>
      </c>
      <c r="K63" s="7" t="s">
        <v>66</v>
      </c>
      <c r="L63" s="8" t="s">
        <v>296</v>
      </c>
      <c r="M63" s="10">
        <f t="shared" si="1"/>
        <v>1.595496222</v>
      </c>
      <c r="N63" s="7">
        <v>39.4</v>
      </c>
      <c r="O63" s="7">
        <v>44.75</v>
      </c>
      <c r="P63" s="10">
        <v>3.8460369212996386</v>
      </c>
      <c r="Q63" s="10">
        <v>6.6</v>
      </c>
      <c r="R63" s="7">
        <v>5.0</v>
      </c>
      <c r="S63" s="7">
        <v>4.0</v>
      </c>
      <c r="T63" s="8">
        <f t="shared" si="2"/>
        <v>1.135786802</v>
      </c>
      <c r="U63" s="8">
        <f t="shared" si="3"/>
        <v>0.1273256284</v>
      </c>
      <c r="V63" s="11">
        <v>0.0073437760339353135</v>
      </c>
      <c r="W63" s="7">
        <f t="shared" si="4"/>
        <v>9</v>
      </c>
      <c r="X63" s="7" t="s">
        <v>297</v>
      </c>
      <c r="Y63" s="7"/>
      <c r="Z63" s="7"/>
      <c r="AA63" s="7"/>
    </row>
    <row r="64" ht="19.5" customHeight="1">
      <c r="A64" s="7">
        <v>49.0</v>
      </c>
      <c r="B64" s="7" t="s">
        <v>299</v>
      </c>
      <c r="C64" s="7" t="s">
        <v>187</v>
      </c>
      <c r="D64" s="7" t="s">
        <v>64</v>
      </c>
      <c r="E64" s="7" t="s">
        <v>300</v>
      </c>
      <c r="F64" s="7" t="s">
        <v>47</v>
      </c>
      <c r="G64" s="13" t="s">
        <v>40</v>
      </c>
      <c r="H64" s="7" t="s">
        <v>38</v>
      </c>
      <c r="I64" s="7" t="s">
        <v>72</v>
      </c>
      <c r="J64" s="9" t="s">
        <v>40</v>
      </c>
      <c r="K64" s="7" t="s">
        <v>301</v>
      </c>
      <c r="L64" s="7" t="s">
        <v>302</v>
      </c>
      <c r="M64" s="10">
        <f t="shared" si="1"/>
        <v>1.653212514</v>
      </c>
      <c r="N64" s="7">
        <v>45.0</v>
      </c>
      <c r="O64" s="7">
        <v>37.08</v>
      </c>
      <c r="P64" s="10">
        <v>11.341137509086114</v>
      </c>
      <c r="Q64" s="10">
        <v>11.831035457642749</v>
      </c>
      <c r="R64" s="7">
        <v>6.0</v>
      </c>
      <c r="S64" s="7">
        <v>6.0</v>
      </c>
      <c r="T64" s="8">
        <f t="shared" si="2"/>
        <v>0.824</v>
      </c>
      <c r="U64" s="8">
        <f t="shared" si="3"/>
        <v>-0.1935847491</v>
      </c>
      <c r="V64" s="11">
        <v>0.027553504401690153</v>
      </c>
      <c r="W64" s="7">
        <f t="shared" si="4"/>
        <v>12</v>
      </c>
      <c r="X64" s="7" t="s">
        <v>303</v>
      </c>
      <c r="Y64" s="7"/>
      <c r="Z64" s="7"/>
      <c r="AA64" s="7"/>
    </row>
    <row r="65" ht="19.5" customHeight="1">
      <c r="A65" s="7">
        <v>50.0</v>
      </c>
      <c r="B65" s="7" t="s">
        <v>304</v>
      </c>
      <c r="C65" s="8" t="s">
        <v>34</v>
      </c>
      <c r="D65" s="7" t="s">
        <v>305</v>
      </c>
      <c r="E65" s="7" t="s">
        <v>306</v>
      </c>
      <c r="F65" s="7" t="s">
        <v>47</v>
      </c>
      <c r="G65" s="7" t="s">
        <v>37</v>
      </c>
      <c r="H65" s="7" t="s">
        <v>38</v>
      </c>
      <c r="I65" s="7" t="s">
        <v>39</v>
      </c>
      <c r="J65" s="9" t="s">
        <v>40</v>
      </c>
      <c r="K65" s="7" t="s">
        <v>105</v>
      </c>
      <c r="L65" s="8" t="s">
        <v>307</v>
      </c>
      <c r="M65" s="10">
        <f t="shared" si="1"/>
        <v>0.5763413502</v>
      </c>
      <c r="N65" s="7">
        <v>3.77</v>
      </c>
      <c r="O65" s="7">
        <v>3.07</v>
      </c>
      <c r="P65" s="10">
        <v>1.3509996299037244</v>
      </c>
      <c r="Q65" s="10">
        <v>1.1604740410711478</v>
      </c>
      <c r="R65" s="7">
        <v>3.0</v>
      </c>
      <c r="S65" s="7">
        <v>3.0</v>
      </c>
      <c r="T65" s="8">
        <f t="shared" si="2"/>
        <v>0.8143236074</v>
      </c>
      <c r="U65" s="8">
        <f t="shared" si="3"/>
        <v>-0.2053974399</v>
      </c>
      <c r="V65" s="11">
        <v>0.09043533567929182</v>
      </c>
      <c r="W65" s="7">
        <f t="shared" si="4"/>
        <v>6</v>
      </c>
      <c r="X65" s="7" t="s">
        <v>308</v>
      </c>
      <c r="Y65" s="7"/>
      <c r="Z65" s="7"/>
      <c r="AA65" s="7"/>
    </row>
    <row r="66" ht="19.5" customHeight="1">
      <c r="A66" s="7">
        <v>50.0</v>
      </c>
      <c r="B66" s="7" t="s">
        <v>304</v>
      </c>
      <c r="C66" s="8" t="s">
        <v>34</v>
      </c>
      <c r="D66" s="7" t="s">
        <v>309</v>
      </c>
      <c r="E66" s="7" t="s">
        <v>310</v>
      </c>
      <c r="F66" s="7" t="s">
        <v>37</v>
      </c>
      <c r="G66" s="7" t="s">
        <v>37</v>
      </c>
      <c r="H66" s="7" t="s">
        <v>38</v>
      </c>
      <c r="I66" s="7" t="s">
        <v>39</v>
      </c>
      <c r="J66" s="9" t="s">
        <v>40</v>
      </c>
      <c r="K66" s="7" t="s">
        <v>105</v>
      </c>
      <c r="L66" s="8" t="s">
        <v>307</v>
      </c>
      <c r="M66" s="10">
        <f t="shared" si="1"/>
        <v>1.055378331</v>
      </c>
      <c r="N66" s="7">
        <v>11.36</v>
      </c>
      <c r="O66" s="7">
        <v>4.72</v>
      </c>
      <c r="P66" s="10">
        <v>7.118728819108086</v>
      </c>
      <c r="Q66" s="10">
        <v>2.5114736709748717</v>
      </c>
      <c r="R66" s="7">
        <v>3.0</v>
      </c>
      <c r="S66" s="7">
        <v>3.0</v>
      </c>
      <c r="T66" s="8">
        <f t="shared" si="2"/>
        <v>0.4154929577</v>
      </c>
      <c r="U66" s="8">
        <f t="shared" si="3"/>
        <v>-0.8782896137</v>
      </c>
      <c r="V66" s="11">
        <v>0.22527010527642022</v>
      </c>
      <c r="W66" s="7">
        <f t="shared" si="4"/>
        <v>6</v>
      </c>
      <c r="X66" s="7" t="s">
        <v>308</v>
      </c>
      <c r="Y66" s="7"/>
      <c r="Z66" s="7"/>
      <c r="AA66" s="7"/>
    </row>
    <row r="67" ht="19.5" customHeight="1">
      <c r="A67" s="7">
        <v>51.0</v>
      </c>
      <c r="B67" s="7" t="s">
        <v>311</v>
      </c>
      <c r="C67" s="8" t="s">
        <v>34</v>
      </c>
      <c r="D67" s="7" t="s">
        <v>312</v>
      </c>
      <c r="E67" s="7" t="s">
        <v>313</v>
      </c>
      <c r="F67" s="7" t="s">
        <v>78</v>
      </c>
      <c r="G67" s="7" t="s">
        <v>37</v>
      </c>
      <c r="H67" s="7" t="s">
        <v>38</v>
      </c>
      <c r="I67" s="7" t="s">
        <v>72</v>
      </c>
      <c r="J67" s="9" t="s">
        <v>40</v>
      </c>
      <c r="K67" s="7" t="s">
        <v>301</v>
      </c>
      <c r="L67" s="8" t="s">
        <v>314</v>
      </c>
      <c r="M67" s="10">
        <f t="shared" si="1"/>
        <v>1.345765693</v>
      </c>
      <c r="N67" s="7">
        <v>22.17</v>
      </c>
      <c r="O67" s="7">
        <v>10.67</v>
      </c>
      <c r="P67" s="10">
        <v>7.079025356643385</v>
      </c>
      <c r="Q67" s="10">
        <v>3.012872383623309</v>
      </c>
      <c r="R67" s="7">
        <v>6.0</v>
      </c>
      <c r="S67" s="7">
        <v>6.0</v>
      </c>
      <c r="T67" s="8">
        <f t="shared" si="2"/>
        <v>0.4812810104</v>
      </c>
      <c r="U67" s="8">
        <f t="shared" si="3"/>
        <v>-0.7313039583</v>
      </c>
      <c r="V67" s="11">
        <v>0.03028144064079937</v>
      </c>
      <c r="W67" s="7">
        <f t="shared" si="4"/>
        <v>12</v>
      </c>
      <c r="X67" s="7" t="s">
        <v>315</v>
      </c>
      <c r="Y67" s="7"/>
      <c r="Z67" s="7"/>
      <c r="AA67" s="7"/>
    </row>
    <row r="68" ht="19.5" customHeight="1">
      <c r="A68" s="7">
        <v>52.0</v>
      </c>
      <c r="B68" s="7" t="s">
        <v>316</v>
      </c>
      <c r="C68" s="8" t="s">
        <v>34</v>
      </c>
      <c r="D68" s="7" t="s">
        <v>317</v>
      </c>
      <c r="E68" s="7" t="s">
        <v>318</v>
      </c>
      <c r="F68" s="7" t="s">
        <v>47</v>
      </c>
      <c r="G68" s="7" t="s">
        <v>37</v>
      </c>
      <c r="H68" s="7" t="s">
        <v>38</v>
      </c>
      <c r="I68" s="7" t="s">
        <v>39</v>
      </c>
      <c r="J68" s="9" t="s">
        <v>40</v>
      </c>
      <c r="K68" s="7" t="s">
        <v>48</v>
      </c>
      <c r="L68" s="8" t="s">
        <v>319</v>
      </c>
      <c r="M68" s="10">
        <f t="shared" si="1"/>
        <v>1.323045735</v>
      </c>
      <c r="N68" s="7">
        <v>21.04</v>
      </c>
      <c r="O68" s="7">
        <v>22.87</v>
      </c>
      <c r="P68" s="10">
        <v>2.54</v>
      </c>
      <c r="Q68" s="10">
        <v>1.92</v>
      </c>
      <c r="R68" s="7">
        <v>4.0</v>
      </c>
      <c r="S68" s="7">
        <v>4.0</v>
      </c>
      <c r="T68" s="8">
        <f t="shared" si="2"/>
        <v>1.086977186</v>
      </c>
      <c r="U68" s="8">
        <f t="shared" si="3"/>
        <v>0.08340062017</v>
      </c>
      <c r="V68" s="11">
        <v>0.005405493658297563</v>
      </c>
      <c r="W68" s="7">
        <f t="shared" si="4"/>
        <v>8</v>
      </c>
      <c r="X68" s="7" t="s">
        <v>320</v>
      </c>
      <c r="Y68" s="7"/>
      <c r="Z68" s="7"/>
      <c r="AA68" s="7"/>
    </row>
    <row r="69" ht="19.5" customHeight="1">
      <c r="A69" s="7">
        <v>53.0</v>
      </c>
      <c r="B69" s="8" t="s">
        <v>321</v>
      </c>
      <c r="C69" s="8" t="s">
        <v>34</v>
      </c>
      <c r="D69" s="8" t="s">
        <v>322</v>
      </c>
      <c r="E69" s="8" t="s">
        <v>323</v>
      </c>
      <c r="F69" s="8" t="s">
        <v>47</v>
      </c>
      <c r="G69" s="8" t="s">
        <v>37</v>
      </c>
      <c r="H69" s="8" t="s">
        <v>90</v>
      </c>
      <c r="I69" s="8" t="s">
        <v>39</v>
      </c>
      <c r="J69" s="7">
        <v>63.0</v>
      </c>
      <c r="K69" s="8" t="s">
        <v>178</v>
      </c>
      <c r="L69" s="8" t="s">
        <v>324</v>
      </c>
      <c r="M69" s="10">
        <f t="shared" si="1"/>
        <v>1.140508043</v>
      </c>
      <c r="N69" s="7">
        <v>13.82</v>
      </c>
      <c r="O69" s="7">
        <v>13.93</v>
      </c>
      <c r="P69" s="10">
        <v>1.81121506177483</v>
      </c>
      <c r="Q69" s="10">
        <v>2.3255106965997814</v>
      </c>
      <c r="R69" s="7">
        <v>5.0</v>
      </c>
      <c r="S69" s="7">
        <v>5.0</v>
      </c>
      <c r="T69" s="8">
        <f t="shared" si="2"/>
        <v>1.007959479</v>
      </c>
      <c r="U69" s="8">
        <f t="shared" si="3"/>
        <v>0.007927969452</v>
      </c>
      <c r="V69" s="11">
        <v>0.009009182897715375</v>
      </c>
      <c r="W69" s="7">
        <f t="shared" si="4"/>
        <v>10</v>
      </c>
      <c r="X69" s="8" t="s">
        <v>325</v>
      </c>
      <c r="Y69" s="7"/>
      <c r="Z69" s="7"/>
      <c r="AA69" s="7"/>
    </row>
    <row r="70" ht="19.5" customHeight="1">
      <c r="A70" s="7">
        <v>53.0</v>
      </c>
      <c r="B70" s="8" t="s">
        <v>321</v>
      </c>
      <c r="C70" s="8" t="s">
        <v>34</v>
      </c>
      <c r="D70" s="8" t="s">
        <v>326</v>
      </c>
      <c r="E70" s="8" t="s">
        <v>327</v>
      </c>
      <c r="F70" s="8" t="s">
        <v>47</v>
      </c>
      <c r="G70" s="8" t="s">
        <v>37</v>
      </c>
      <c r="H70" s="8" t="s">
        <v>90</v>
      </c>
      <c r="I70" s="8" t="s">
        <v>39</v>
      </c>
      <c r="J70" s="7">
        <v>63.0</v>
      </c>
      <c r="K70" s="8" t="s">
        <v>178</v>
      </c>
      <c r="L70" s="8" t="s">
        <v>324</v>
      </c>
      <c r="M70" s="10">
        <f t="shared" si="1"/>
        <v>0.5899496013</v>
      </c>
      <c r="N70" s="7">
        <v>3.89</v>
      </c>
      <c r="O70" s="7">
        <v>4.36</v>
      </c>
      <c r="P70" s="10">
        <v>0.8720665112249181</v>
      </c>
      <c r="Q70" s="10">
        <v>0.8273451516749222</v>
      </c>
      <c r="R70" s="7">
        <v>5.0</v>
      </c>
      <c r="S70" s="7">
        <v>5.0</v>
      </c>
      <c r="T70" s="8">
        <f t="shared" si="2"/>
        <v>1.120822622</v>
      </c>
      <c r="U70" s="8">
        <f t="shared" si="3"/>
        <v>0.1140628997</v>
      </c>
      <c r="V70" s="11">
        <v>0.017253104408815986</v>
      </c>
      <c r="W70" s="7">
        <f t="shared" si="4"/>
        <v>10</v>
      </c>
      <c r="X70" s="8" t="s">
        <v>328</v>
      </c>
      <c r="Y70" s="7"/>
      <c r="Z70" s="7"/>
      <c r="AA70" s="7"/>
    </row>
    <row r="71" ht="19.5" customHeight="1">
      <c r="A71" s="7">
        <v>54.0</v>
      </c>
      <c r="B71" s="8" t="s">
        <v>329</v>
      </c>
      <c r="C71" s="8" t="s">
        <v>82</v>
      </c>
      <c r="D71" s="8" t="s">
        <v>83</v>
      </c>
      <c r="E71" s="8" t="s">
        <v>330</v>
      </c>
      <c r="F71" s="8" t="s">
        <v>47</v>
      </c>
      <c r="G71" s="13" t="s">
        <v>40</v>
      </c>
      <c r="H71" s="8" t="s">
        <v>38</v>
      </c>
      <c r="I71" s="8" t="s">
        <v>72</v>
      </c>
      <c r="J71" s="9" t="s">
        <v>40</v>
      </c>
      <c r="K71" s="8" t="s">
        <v>66</v>
      </c>
      <c r="L71" s="8" t="s">
        <v>331</v>
      </c>
      <c r="M71" s="10">
        <f t="shared" si="1"/>
        <v>1.165541077</v>
      </c>
      <c r="N71" s="7">
        <v>14.64</v>
      </c>
      <c r="O71" s="7">
        <v>13.44</v>
      </c>
      <c r="P71" s="10">
        <v>3.5999999999999996</v>
      </c>
      <c r="Q71" s="10">
        <v>3.4000000000000004</v>
      </c>
      <c r="R71" s="7">
        <v>25.0</v>
      </c>
      <c r="S71" s="7">
        <v>25.0</v>
      </c>
      <c r="T71" s="14">
        <f t="shared" si="2"/>
        <v>0.9180327869</v>
      </c>
      <c r="U71" s="14">
        <f t="shared" si="3"/>
        <v>-0.08552217344</v>
      </c>
      <c r="V71" s="11">
        <v>0.004978582767201659</v>
      </c>
      <c r="W71" s="7">
        <f t="shared" si="4"/>
        <v>50</v>
      </c>
      <c r="X71" s="8" t="s">
        <v>332</v>
      </c>
      <c r="Y71" s="12"/>
      <c r="Z71" s="12"/>
      <c r="AA71" s="12"/>
    </row>
    <row r="72" ht="19.5" customHeight="1">
      <c r="A72" s="7">
        <v>55.0</v>
      </c>
      <c r="B72" s="7" t="s">
        <v>333</v>
      </c>
      <c r="C72" s="7" t="s">
        <v>170</v>
      </c>
      <c r="D72" s="7" t="s">
        <v>217</v>
      </c>
      <c r="E72" s="7" t="s">
        <v>334</v>
      </c>
      <c r="F72" s="9" t="s">
        <v>40</v>
      </c>
      <c r="G72" s="9" t="s">
        <v>40</v>
      </c>
      <c r="H72" s="7" t="s">
        <v>90</v>
      </c>
      <c r="I72" s="7" t="s">
        <v>72</v>
      </c>
      <c r="J72" s="7">
        <f>10*365</f>
        <v>3650</v>
      </c>
      <c r="K72" s="7" t="s">
        <v>41</v>
      </c>
      <c r="L72" s="8" t="s">
        <v>335</v>
      </c>
      <c r="M72" s="10">
        <f t="shared" si="1"/>
        <v>1.294466226</v>
      </c>
      <c r="N72" s="7">
        <v>19.7</v>
      </c>
      <c r="O72" s="7">
        <v>15.7</v>
      </c>
      <c r="P72" s="10">
        <v>16.122034611053284</v>
      </c>
      <c r="Q72" s="10">
        <v>11.313708498984761</v>
      </c>
      <c r="R72" s="7">
        <v>8.0</v>
      </c>
      <c r="S72" s="7">
        <v>8.0</v>
      </c>
      <c r="T72" s="8">
        <f t="shared" si="2"/>
        <v>0.7969543147</v>
      </c>
      <c r="U72" s="8">
        <f t="shared" si="3"/>
        <v>-0.2269579234</v>
      </c>
      <c r="V72" s="11">
        <v>0.14862904977948949</v>
      </c>
      <c r="W72" s="7">
        <f t="shared" si="4"/>
        <v>16</v>
      </c>
      <c r="X72" s="7" t="s">
        <v>336</v>
      </c>
      <c r="Y72" s="7"/>
      <c r="Z72" s="7"/>
      <c r="AA72" s="7"/>
    </row>
    <row r="73" ht="19.5" customHeight="1">
      <c r="A73" s="7">
        <v>56.0</v>
      </c>
      <c r="B73" s="7" t="s">
        <v>337</v>
      </c>
      <c r="C73" s="7" t="s">
        <v>52</v>
      </c>
      <c r="D73" s="7" t="s">
        <v>53</v>
      </c>
      <c r="E73" s="7" t="s">
        <v>338</v>
      </c>
      <c r="F73" s="7" t="s">
        <v>47</v>
      </c>
      <c r="G73" s="13" t="s">
        <v>40</v>
      </c>
      <c r="H73" s="7" t="s">
        <v>38</v>
      </c>
      <c r="I73" s="7" t="s">
        <v>39</v>
      </c>
      <c r="J73" s="9" t="s">
        <v>40</v>
      </c>
      <c r="K73" s="7" t="s">
        <v>55</v>
      </c>
      <c r="L73" s="8" t="s">
        <v>339</v>
      </c>
      <c r="M73" s="10">
        <f t="shared" si="1"/>
        <v>0.4517864355</v>
      </c>
      <c r="N73" s="7">
        <v>2.83</v>
      </c>
      <c r="O73" s="7">
        <v>2.19</v>
      </c>
      <c r="P73" s="10">
        <v>0.58</v>
      </c>
      <c r="Q73" s="10">
        <v>0.76</v>
      </c>
      <c r="R73" s="7">
        <v>4.0</v>
      </c>
      <c r="S73" s="7">
        <v>4.0</v>
      </c>
      <c r="T73" s="8">
        <f t="shared" si="2"/>
        <v>0.7738515901</v>
      </c>
      <c r="U73" s="8">
        <f t="shared" si="3"/>
        <v>-0.2563751678</v>
      </c>
      <c r="V73" s="11">
        <v>0.040608613757669144</v>
      </c>
      <c r="W73" s="7">
        <f t="shared" si="4"/>
        <v>8</v>
      </c>
      <c r="X73" s="7" t="s">
        <v>340</v>
      </c>
      <c r="Y73" s="7"/>
      <c r="Z73" s="7"/>
      <c r="AA73" s="7"/>
    </row>
    <row r="74" ht="19.5" customHeight="1">
      <c r="A74" s="7">
        <v>57.0</v>
      </c>
      <c r="B74" s="7" t="s">
        <v>341</v>
      </c>
      <c r="C74" s="7" t="s">
        <v>342</v>
      </c>
      <c r="D74" s="7" t="s">
        <v>110</v>
      </c>
      <c r="E74" s="7" t="s">
        <v>343</v>
      </c>
      <c r="F74" s="9" t="s">
        <v>40</v>
      </c>
      <c r="G74" s="9" t="s">
        <v>40</v>
      </c>
      <c r="H74" s="7" t="s">
        <v>90</v>
      </c>
      <c r="I74" s="7" t="s">
        <v>72</v>
      </c>
      <c r="J74" s="7">
        <v>1095.0</v>
      </c>
      <c r="K74" s="8" t="s">
        <v>153</v>
      </c>
      <c r="L74" s="7" t="s">
        <v>344</v>
      </c>
      <c r="M74" s="10">
        <f t="shared" si="1"/>
        <v>0.7054360466</v>
      </c>
      <c r="N74" s="7">
        <v>5.074999999999999</v>
      </c>
      <c r="O74" s="7">
        <v>3.585</v>
      </c>
      <c r="P74" s="10">
        <v>1.264911064067352</v>
      </c>
      <c r="Q74" s="10">
        <v>1.3597793938724032</v>
      </c>
      <c r="R74" s="7">
        <v>10.0</v>
      </c>
      <c r="S74" s="7">
        <v>10.0</v>
      </c>
      <c r="T74" s="8">
        <f t="shared" si="2"/>
        <v>0.7064039409</v>
      </c>
      <c r="U74" s="8">
        <f t="shared" si="3"/>
        <v>-0.3475680509</v>
      </c>
      <c r="V74" s="11">
        <v>0.020598849182304358</v>
      </c>
      <c r="W74" s="7">
        <f t="shared" si="4"/>
        <v>20</v>
      </c>
      <c r="X74" s="7" t="s">
        <v>345</v>
      </c>
      <c r="Y74" s="7"/>
      <c r="Z74" s="7"/>
      <c r="AA74" s="7"/>
    </row>
    <row r="75" ht="19.5" customHeight="1">
      <c r="A75" s="7">
        <v>58.0</v>
      </c>
      <c r="B75" s="8" t="s">
        <v>346</v>
      </c>
      <c r="C75" s="8" t="s">
        <v>52</v>
      </c>
      <c r="D75" s="8" t="s">
        <v>64</v>
      </c>
      <c r="E75" s="8" t="s">
        <v>347</v>
      </c>
      <c r="F75" s="8" t="s">
        <v>78</v>
      </c>
      <c r="G75" s="13" t="s">
        <v>40</v>
      </c>
      <c r="H75" s="7" t="s">
        <v>38</v>
      </c>
      <c r="I75" s="7" t="s">
        <v>72</v>
      </c>
      <c r="J75" s="9" t="s">
        <v>40</v>
      </c>
      <c r="K75" s="8" t="s">
        <v>301</v>
      </c>
      <c r="L75" s="8" t="s">
        <v>348</v>
      </c>
      <c r="M75" s="10">
        <f t="shared" si="1"/>
        <v>0.69019608</v>
      </c>
      <c r="N75" s="7">
        <v>4.9</v>
      </c>
      <c r="O75" s="7">
        <v>2.76</v>
      </c>
      <c r="P75" s="10">
        <v>20.506096654409877</v>
      </c>
      <c r="Q75" s="10">
        <v>5.122889809472775</v>
      </c>
      <c r="R75" s="7">
        <v>50.0</v>
      </c>
      <c r="S75" s="7">
        <v>40.0</v>
      </c>
      <c r="T75" s="14">
        <f t="shared" si="2"/>
        <v>0.5632653061</v>
      </c>
      <c r="U75" s="14">
        <f t="shared" si="3"/>
        <v>-0.5740045254</v>
      </c>
      <c r="V75" s="11">
        <v>0.4364002101361357</v>
      </c>
      <c r="W75" s="7">
        <f t="shared" si="4"/>
        <v>90</v>
      </c>
      <c r="X75" s="8" t="s">
        <v>349</v>
      </c>
      <c r="Y75" s="7"/>
      <c r="Z75" s="7"/>
      <c r="AA75" s="7"/>
    </row>
    <row r="76" ht="19.5" customHeight="1">
      <c r="A76" s="7">
        <v>59.0</v>
      </c>
      <c r="B76" s="8" t="s">
        <v>350</v>
      </c>
      <c r="C76" s="8" t="s">
        <v>52</v>
      </c>
      <c r="D76" s="8" t="s">
        <v>64</v>
      </c>
      <c r="E76" s="8" t="s">
        <v>351</v>
      </c>
      <c r="F76" s="8" t="s">
        <v>47</v>
      </c>
      <c r="G76" s="9" t="s">
        <v>40</v>
      </c>
      <c r="H76" s="7" t="s">
        <v>38</v>
      </c>
      <c r="I76" s="7" t="s">
        <v>72</v>
      </c>
      <c r="J76" s="9" t="s">
        <v>40</v>
      </c>
      <c r="K76" s="8" t="s">
        <v>301</v>
      </c>
      <c r="L76" s="8" t="s">
        <v>85</v>
      </c>
      <c r="M76" s="10">
        <f t="shared" si="1"/>
        <v>1.08278537</v>
      </c>
      <c r="N76" s="7">
        <v>12.1</v>
      </c>
      <c r="O76" s="7">
        <v>10.6</v>
      </c>
      <c r="P76" s="10">
        <v>5.5</v>
      </c>
      <c r="Q76" s="10">
        <v>4.0</v>
      </c>
      <c r="R76" s="7">
        <v>50.0</v>
      </c>
      <c r="S76" s="7">
        <v>50.0</v>
      </c>
      <c r="T76" s="14">
        <f t="shared" si="2"/>
        <v>0.8760330579</v>
      </c>
      <c r="U76" s="14">
        <f t="shared" si="3"/>
        <v>-0.1323514515</v>
      </c>
      <c r="V76" s="11">
        <v>0.006980220013004246</v>
      </c>
      <c r="W76" s="7">
        <f t="shared" si="4"/>
        <v>100</v>
      </c>
      <c r="X76" s="7" t="s">
        <v>352</v>
      </c>
      <c r="Y76" s="7"/>
      <c r="Z76" s="7"/>
      <c r="AA76" s="7"/>
    </row>
    <row r="77" ht="19.5" customHeight="1">
      <c r="A77" s="7">
        <v>59.0</v>
      </c>
      <c r="B77" s="8" t="s">
        <v>350</v>
      </c>
      <c r="C77" s="8" t="s">
        <v>82</v>
      </c>
      <c r="D77" s="8" t="s">
        <v>118</v>
      </c>
      <c r="E77" s="8" t="s">
        <v>353</v>
      </c>
      <c r="F77" s="8" t="s">
        <v>47</v>
      </c>
      <c r="G77" s="13" t="s">
        <v>40</v>
      </c>
      <c r="H77" s="8" t="s">
        <v>38</v>
      </c>
      <c r="I77" s="8" t="s">
        <v>72</v>
      </c>
      <c r="J77" s="9" t="s">
        <v>40</v>
      </c>
      <c r="K77" s="8" t="s">
        <v>301</v>
      </c>
      <c r="L77" s="8" t="s">
        <v>85</v>
      </c>
      <c r="M77" s="10">
        <f t="shared" si="1"/>
        <v>1.08278537</v>
      </c>
      <c r="N77" s="7">
        <v>12.1</v>
      </c>
      <c r="O77" s="7">
        <v>8.5</v>
      </c>
      <c r="P77" s="10">
        <v>5.5</v>
      </c>
      <c r="Q77" s="10">
        <v>4.4</v>
      </c>
      <c r="R77" s="7">
        <v>50.0</v>
      </c>
      <c r="S77" s="7">
        <v>50.0</v>
      </c>
      <c r="T77" s="14">
        <f t="shared" si="2"/>
        <v>0.7024793388</v>
      </c>
      <c r="U77" s="14">
        <f t="shared" si="3"/>
        <v>-0.3531392891</v>
      </c>
      <c r="V77" s="11">
        <v>0.00949140095513169</v>
      </c>
      <c r="W77" s="7">
        <f t="shared" si="4"/>
        <v>100</v>
      </c>
      <c r="X77" s="7" t="s">
        <v>352</v>
      </c>
      <c r="Y77" s="12"/>
      <c r="Z77" s="12"/>
      <c r="AA77" s="12"/>
    </row>
    <row r="78" ht="19.5" customHeight="1">
      <c r="A78" s="7">
        <v>60.0</v>
      </c>
      <c r="B78" s="8" t="s">
        <v>354</v>
      </c>
      <c r="C78" s="8" t="s">
        <v>52</v>
      </c>
      <c r="D78" s="8" t="s">
        <v>64</v>
      </c>
      <c r="E78" s="8" t="s">
        <v>355</v>
      </c>
      <c r="F78" s="8" t="s">
        <v>78</v>
      </c>
      <c r="G78" s="9" t="s">
        <v>40</v>
      </c>
      <c r="H78" s="7" t="s">
        <v>38</v>
      </c>
      <c r="I78" s="7" t="s">
        <v>72</v>
      </c>
      <c r="J78" s="9" t="s">
        <v>40</v>
      </c>
      <c r="K78" s="8" t="s">
        <v>301</v>
      </c>
      <c r="L78" s="8" t="s">
        <v>85</v>
      </c>
      <c r="M78" s="10">
        <f t="shared" si="1"/>
        <v>1.008600172</v>
      </c>
      <c r="N78" s="7">
        <v>10.2</v>
      </c>
      <c r="O78" s="7">
        <v>14.0</v>
      </c>
      <c r="P78" s="10">
        <v>4.8</v>
      </c>
      <c r="Q78" s="10">
        <v>4.0</v>
      </c>
      <c r="R78" s="7">
        <v>16.0</v>
      </c>
      <c r="S78" s="7">
        <v>16.0</v>
      </c>
      <c r="T78" s="14">
        <f t="shared" si="2"/>
        <v>1.37254902</v>
      </c>
      <c r="U78" s="14">
        <f t="shared" si="3"/>
        <v>0.3166696093</v>
      </c>
      <c r="V78" s="11">
        <v>0.01894287126615352</v>
      </c>
      <c r="W78" s="7">
        <f t="shared" si="4"/>
        <v>32</v>
      </c>
      <c r="X78" s="7" t="s">
        <v>356</v>
      </c>
      <c r="Y78" s="7"/>
      <c r="Z78" s="7"/>
      <c r="AA78" s="7"/>
    </row>
    <row r="79" ht="19.5" customHeight="1">
      <c r="A79" s="7">
        <v>60.0</v>
      </c>
      <c r="B79" s="8" t="s">
        <v>354</v>
      </c>
      <c r="C79" s="8" t="s">
        <v>82</v>
      </c>
      <c r="D79" s="8" t="s">
        <v>118</v>
      </c>
      <c r="E79" s="8" t="s">
        <v>357</v>
      </c>
      <c r="F79" s="8" t="s">
        <v>78</v>
      </c>
      <c r="G79" s="13" t="s">
        <v>40</v>
      </c>
      <c r="H79" s="8" t="s">
        <v>38</v>
      </c>
      <c r="I79" s="8" t="s">
        <v>72</v>
      </c>
      <c r="J79" s="9" t="s">
        <v>40</v>
      </c>
      <c r="K79" s="8" t="s">
        <v>301</v>
      </c>
      <c r="L79" s="8" t="s">
        <v>85</v>
      </c>
      <c r="M79" s="10">
        <f t="shared" si="1"/>
        <v>1.008600172</v>
      </c>
      <c r="N79" s="7">
        <v>10.2</v>
      </c>
      <c r="O79" s="7">
        <v>10.0</v>
      </c>
      <c r="P79" s="10">
        <v>4.8</v>
      </c>
      <c r="Q79" s="10">
        <v>3.2</v>
      </c>
      <c r="R79" s="7">
        <v>16.0</v>
      </c>
      <c r="S79" s="7">
        <v>16.0</v>
      </c>
      <c r="T79" s="14">
        <f t="shared" si="2"/>
        <v>0.9803921569</v>
      </c>
      <c r="U79" s="14">
        <f t="shared" si="3"/>
        <v>-0.0198026273</v>
      </c>
      <c r="V79" s="11">
        <v>0.02024083044982699</v>
      </c>
      <c r="W79" s="7">
        <f t="shared" si="4"/>
        <v>32</v>
      </c>
      <c r="X79" s="7" t="s">
        <v>356</v>
      </c>
      <c r="Y79" s="12"/>
      <c r="Z79" s="12"/>
      <c r="AA79" s="12"/>
    </row>
    <row r="80" ht="19.5" customHeight="1">
      <c r="A80" s="7">
        <v>61.0</v>
      </c>
      <c r="B80" s="8" t="s">
        <v>358</v>
      </c>
      <c r="C80" s="8" t="s">
        <v>52</v>
      </c>
      <c r="D80" s="8" t="s">
        <v>64</v>
      </c>
      <c r="E80" s="8" t="s">
        <v>359</v>
      </c>
      <c r="F80" s="8" t="s">
        <v>78</v>
      </c>
      <c r="G80" s="9" t="s">
        <v>40</v>
      </c>
      <c r="H80" s="7" t="s">
        <v>38</v>
      </c>
      <c r="I80" s="7" t="s">
        <v>72</v>
      </c>
      <c r="J80" s="9" t="s">
        <v>40</v>
      </c>
      <c r="K80" s="8" t="s">
        <v>301</v>
      </c>
      <c r="L80" s="8" t="s">
        <v>348</v>
      </c>
      <c r="M80" s="10">
        <f t="shared" si="1"/>
        <v>0.1139433523</v>
      </c>
      <c r="N80" s="7">
        <v>1.3</v>
      </c>
      <c r="O80" s="7">
        <v>1.04</v>
      </c>
      <c r="P80" s="10">
        <v>2.29128784747792</v>
      </c>
      <c r="Q80" s="10">
        <v>2.41594701928664</v>
      </c>
      <c r="R80" s="7">
        <v>21.0</v>
      </c>
      <c r="S80" s="7">
        <v>57.0</v>
      </c>
      <c r="T80" s="14">
        <f t="shared" si="2"/>
        <v>0.8</v>
      </c>
      <c r="U80" s="14">
        <f t="shared" si="3"/>
        <v>-0.2231435513</v>
      </c>
      <c r="V80" s="11">
        <v>0.24260355029585795</v>
      </c>
      <c r="W80" s="7">
        <f t="shared" si="4"/>
        <v>78</v>
      </c>
      <c r="X80" s="8" t="s">
        <v>360</v>
      </c>
      <c r="Y80" s="7"/>
      <c r="Z80" s="7"/>
      <c r="AA80" s="7"/>
    </row>
    <row r="81" ht="19.5" customHeight="1">
      <c r="A81" s="7">
        <v>62.0</v>
      </c>
      <c r="B81" s="8" t="s">
        <v>361</v>
      </c>
      <c r="C81" s="8" t="s">
        <v>52</v>
      </c>
      <c r="D81" s="8" t="s">
        <v>64</v>
      </c>
      <c r="E81" s="8" t="s">
        <v>362</v>
      </c>
      <c r="F81" s="8" t="s">
        <v>78</v>
      </c>
      <c r="G81" s="9" t="s">
        <v>40</v>
      </c>
      <c r="H81" s="7" t="s">
        <v>38</v>
      </c>
      <c r="I81" s="7" t="s">
        <v>72</v>
      </c>
      <c r="J81" s="9" t="s">
        <v>40</v>
      </c>
      <c r="K81" s="8" t="s">
        <v>301</v>
      </c>
      <c r="L81" s="8" t="s">
        <v>85</v>
      </c>
      <c r="M81" s="10">
        <f t="shared" si="1"/>
        <v>1.033423755</v>
      </c>
      <c r="N81" s="7">
        <v>10.8</v>
      </c>
      <c r="O81" s="7">
        <v>4.5</v>
      </c>
      <c r="P81" s="10">
        <v>6.8</v>
      </c>
      <c r="Q81" s="10">
        <v>1.05</v>
      </c>
      <c r="R81" s="7">
        <v>35.0</v>
      </c>
      <c r="S81" s="7">
        <v>35.0</v>
      </c>
      <c r="T81" s="14">
        <f t="shared" si="2"/>
        <v>0.4166666667</v>
      </c>
      <c r="U81" s="14">
        <f t="shared" si="3"/>
        <v>-0.8754687374</v>
      </c>
      <c r="V81" s="11">
        <v>0.012882226141485396</v>
      </c>
      <c r="W81" s="7">
        <f t="shared" si="4"/>
        <v>70</v>
      </c>
      <c r="X81" s="8" t="s">
        <v>363</v>
      </c>
      <c r="Y81" s="7"/>
      <c r="Z81" s="7"/>
      <c r="AA81" s="7"/>
    </row>
    <row r="82" ht="19.5" customHeight="1">
      <c r="A82" s="7">
        <v>63.0</v>
      </c>
      <c r="B82" s="8" t="s">
        <v>364</v>
      </c>
      <c r="C82" s="8" t="s">
        <v>52</v>
      </c>
      <c r="D82" s="8" t="s">
        <v>64</v>
      </c>
      <c r="E82" s="8" t="s">
        <v>365</v>
      </c>
      <c r="F82" s="8" t="s">
        <v>47</v>
      </c>
      <c r="G82" s="9" t="s">
        <v>40</v>
      </c>
      <c r="H82" s="7" t="s">
        <v>38</v>
      </c>
      <c r="I82" s="7" t="s">
        <v>72</v>
      </c>
      <c r="J82" s="9" t="s">
        <v>40</v>
      </c>
      <c r="K82" s="8" t="s">
        <v>301</v>
      </c>
      <c r="L82" s="8" t="s">
        <v>85</v>
      </c>
      <c r="M82" s="10">
        <f t="shared" si="1"/>
        <v>0.9731278536</v>
      </c>
      <c r="N82" s="7">
        <v>9.4</v>
      </c>
      <c r="O82" s="7">
        <v>8.31</v>
      </c>
      <c r="P82" s="10">
        <v>4.449719092257397</v>
      </c>
      <c r="Q82" s="10">
        <v>8.818163074019441</v>
      </c>
      <c r="R82" s="7">
        <v>55.0</v>
      </c>
      <c r="S82" s="7">
        <v>24.0</v>
      </c>
      <c r="T82" s="14">
        <f t="shared" si="2"/>
        <v>0.8840425532</v>
      </c>
      <c r="U82" s="14">
        <f t="shared" si="3"/>
        <v>-0.1232500804</v>
      </c>
      <c r="V82" s="11">
        <v>0.050992616798620216</v>
      </c>
      <c r="W82" s="7">
        <f t="shared" si="4"/>
        <v>79</v>
      </c>
      <c r="X82" s="8" t="s">
        <v>366</v>
      </c>
      <c r="Y82" s="7"/>
      <c r="Z82" s="7"/>
      <c r="AA82" s="7"/>
    </row>
    <row r="83" ht="19.5" customHeight="1">
      <c r="A83" s="7">
        <v>64.0</v>
      </c>
      <c r="B83" s="8" t="s">
        <v>367</v>
      </c>
      <c r="C83" s="8" t="s">
        <v>368</v>
      </c>
      <c r="D83" s="8" t="s">
        <v>369</v>
      </c>
      <c r="E83" s="8" t="s">
        <v>370</v>
      </c>
      <c r="F83" s="8" t="s">
        <v>37</v>
      </c>
      <c r="G83" s="9" t="s">
        <v>40</v>
      </c>
      <c r="H83" s="8" t="s">
        <v>90</v>
      </c>
      <c r="I83" s="16" t="s">
        <v>39</v>
      </c>
      <c r="J83" s="7">
        <f>7*365</f>
        <v>2555</v>
      </c>
      <c r="K83" s="8" t="s">
        <v>41</v>
      </c>
      <c r="L83" s="8" t="s">
        <v>371</v>
      </c>
      <c r="M83" s="10">
        <f t="shared" si="1"/>
        <v>1.13481437</v>
      </c>
      <c r="N83" s="7">
        <v>13.64</v>
      </c>
      <c r="O83" s="7">
        <v>8.8</v>
      </c>
      <c r="P83" s="10">
        <v>1.725340546095176</v>
      </c>
      <c r="Q83" s="10">
        <v>2.149604614807105</v>
      </c>
      <c r="R83" s="7">
        <v>8.0</v>
      </c>
      <c r="S83" s="7">
        <v>8.0</v>
      </c>
      <c r="T83" s="8">
        <f t="shared" si="2"/>
        <v>0.6451612903</v>
      </c>
      <c r="U83" s="8">
        <f t="shared" si="3"/>
        <v>-0.4382549309</v>
      </c>
      <c r="V83" s="11">
        <v>0.009458681985879036</v>
      </c>
      <c r="W83" s="7">
        <f t="shared" si="4"/>
        <v>16</v>
      </c>
      <c r="X83" s="7" t="s">
        <v>372</v>
      </c>
      <c r="Y83" s="7"/>
      <c r="Z83" s="8"/>
      <c r="AA83" s="7"/>
    </row>
    <row r="84" ht="19.5" customHeight="1">
      <c r="A84" s="7">
        <v>65.0</v>
      </c>
      <c r="B84" s="8" t="s">
        <v>373</v>
      </c>
      <c r="C84" s="8" t="s">
        <v>82</v>
      </c>
      <c r="D84" s="8" t="s">
        <v>118</v>
      </c>
      <c r="E84" s="8" t="s">
        <v>374</v>
      </c>
      <c r="F84" s="8" t="s">
        <v>47</v>
      </c>
      <c r="G84" s="9" t="s">
        <v>40</v>
      </c>
      <c r="H84" s="8" t="s">
        <v>38</v>
      </c>
      <c r="I84" s="8" t="s">
        <v>72</v>
      </c>
      <c r="J84" s="9" t="s">
        <v>40</v>
      </c>
      <c r="K84" s="8" t="s">
        <v>66</v>
      </c>
      <c r="L84" s="8" t="s">
        <v>375</v>
      </c>
      <c r="M84" s="10">
        <f t="shared" si="1"/>
        <v>1.495544338</v>
      </c>
      <c r="N84" s="7">
        <v>31.3</v>
      </c>
      <c r="O84" s="7">
        <v>22.14</v>
      </c>
      <c r="P84" s="10">
        <v>3.048409421321224</v>
      </c>
      <c r="Q84" s="10">
        <v>7.30227361853827</v>
      </c>
      <c r="R84" s="7">
        <v>3.0</v>
      </c>
      <c r="S84" s="7">
        <v>7.0</v>
      </c>
      <c r="T84" s="14">
        <f t="shared" si="2"/>
        <v>0.7073482428</v>
      </c>
      <c r="U84" s="14">
        <f t="shared" si="3"/>
        <v>-0.3462321703</v>
      </c>
      <c r="V84" s="11">
        <v>0.01870224289994636</v>
      </c>
      <c r="W84" s="7">
        <f t="shared" si="4"/>
        <v>10</v>
      </c>
      <c r="X84" s="8" t="s">
        <v>376</v>
      </c>
      <c r="Y84" s="12"/>
      <c r="Z84" s="12"/>
      <c r="AA84" s="12"/>
    </row>
    <row r="85" ht="19.5" customHeight="1">
      <c r="A85" s="7">
        <v>65.0</v>
      </c>
      <c r="B85" s="8" t="s">
        <v>373</v>
      </c>
      <c r="C85" s="8" t="s">
        <v>82</v>
      </c>
      <c r="D85" s="8" t="s">
        <v>118</v>
      </c>
      <c r="E85" s="8" t="s">
        <v>377</v>
      </c>
      <c r="F85" s="8" t="s">
        <v>78</v>
      </c>
      <c r="G85" s="9" t="s">
        <v>40</v>
      </c>
      <c r="H85" s="8" t="s">
        <v>38</v>
      </c>
      <c r="I85" s="8" t="s">
        <v>72</v>
      </c>
      <c r="J85" s="9" t="s">
        <v>40</v>
      </c>
      <c r="K85" s="8" t="s">
        <v>66</v>
      </c>
      <c r="L85" s="8" t="s">
        <v>375</v>
      </c>
      <c r="M85" s="10">
        <f t="shared" si="1"/>
        <v>1.204119983</v>
      </c>
      <c r="N85" s="7">
        <v>16.0</v>
      </c>
      <c r="O85" s="7">
        <v>5.86</v>
      </c>
      <c r="P85" s="10">
        <v>0.0</v>
      </c>
      <c r="Q85" s="10">
        <v>3.7569668617117187</v>
      </c>
      <c r="R85" s="7">
        <v>3.0</v>
      </c>
      <c r="S85" s="7">
        <v>7.0</v>
      </c>
      <c r="T85" s="14">
        <f t="shared" si="2"/>
        <v>0.36625</v>
      </c>
      <c r="U85" s="14">
        <f t="shared" si="3"/>
        <v>-1.004439119</v>
      </c>
      <c r="V85" s="11">
        <v>0.05871937937541497</v>
      </c>
      <c r="W85" s="7">
        <f t="shared" si="4"/>
        <v>10</v>
      </c>
      <c r="X85" s="8" t="s">
        <v>376</v>
      </c>
      <c r="Y85" s="12"/>
      <c r="Z85" s="12"/>
      <c r="AA85" s="12"/>
    </row>
    <row r="86" ht="19.5" customHeight="1">
      <c r="A86" s="7">
        <v>66.0</v>
      </c>
      <c r="B86" s="7" t="s">
        <v>378</v>
      </c>
      <c r="C86" s="8" t="s">
        <v>34</v>
      </c>
      <c r="D86" s="7" t="s">
        <v>379</v>
      </c>
      <c r="E86" s="7" t="s">
        <v>380</v>
      </c>
      <c r="F86" s="7" t="s">
        <v>37</v>
      </c>
      <c r="G86" s="7" t="s">
        <v>37</v>
      </c>
      <c r="H86" s="7" t="s">
        <v>38</v>
      </c>
      <c r="I86" s="7" t="s">
        <v>72</v>
      </c>
      <c r="J86" s="9" t="s">
        <v>40</v>
      </c>
      <c r="K86" s="7" t="s">
        <v>105</v>
      </c>
      <c r="L86" s="8" t="s">
        <v>381</v>
      </c>
      <c r="M86" s="10">
        <f t="shared" si="1"/>
        <v>0.5051499783</v>
      </c>
      <c r="N86" s="7">
        <v>3.2</v>
      </c>
      <c r="O86" s="7">
        <v>4.3</v>
      </c>
      <c r="P86" s="10">
        <v>1.3281566172707193</v>
      </c>
      <c r="Q86" s="10">
        <v>1.6443843832875573</v>
      </c>
      <c r="R86" s="7">
        <v>10.0</v>
      </c>
      <c r="S86" s="7">
        <v>10.0</v>
      </c>
      <c r="T86" s="8">
        <f t="shared" si="2"/>
        <v>1.34375</v>
      </c>
      <c r="U86" s="8">
        <f t="shared" si="3"/>
        <v>0.2954642129</v>
      </c>
      <c r="V86" s="11">
        <v>0.03185068364656571</v>
      </c>
      <c r="W86" s="7">
        <f t="shared" si="4"/>
        <v>20</v>
      </c>
      <c r="X86" s="7" t="s">
        <v>382</v>
      </c>
      <c r="Y86" s="7"/>
      <c r="Z86" s="7"/>
      <c r="AA86" s="7"/>
    </row>
    <row r="87" ht="19.5" customHeight="1">
      <c r="A87" s="7">
        <v>67.0</v>
      </c>
      <c r="B87" s="8" t="s">
        <v>383</v>
      </c>
      <c r="C87" s="8" t="s">
        <v>34</v>
      </c>
      <c r="D87" s="8" t="s">
        <v>384</v>
      </c>
      <c r="E87" s="8" t="s">
        <v>385</v>
      </c>
      <c r="F87" s="7" t="s">
        <v>37</v>
      </c>
      <c r="G87" s="8" t="s">
        <v>37</v>
      </c>
      <c r="H87" s="8" t="s">
        <v>38</v>
      </c>
      <c r="I87" s="8" t="s">
        <v>39</v>
      </c>
      <c r="J87" s="9" t="s">
        <v>40</v>
      </c>
      <c r="K87" s="8" t="s">
        <v>66</v>
      </c>
      <c r="L87" s="8" t="s">
        <v>386</v>
      </c>
      <c r="M87" s="10">
        <f t="shared" si="1"/>
        <v>0.9201233263</v>
      </c>
      <c r="N87" s="7">
        <v>8.32</v>
      </c>
      <c r="O87" s="7">
        <v>10.73</v>
      </c>
      <c r="P87" s="10">
        <v>2.7515813635071744</v>
      </c>
      <c r="Q87" s="10">
        <v>3.307189138830738</v>
      </c>
      <c r="R87" s="7">
        <v>7.0</v>
      </c>
      <c r="S87" s="7">
        <v>7.0</v>
      </c>
      <c r="T87" s="8">
        <f t="shared" si="2"/>
        <v>1.289663462</v>
      </c>
      <c r="U87" s="8">
        <f t="shared" si="3"/>
        <v>0.2543813018</v>
      </c>
      <c r="V87" s="11">
        <v>0.029196272850766376</v>
      </c>
      <c r="W87" s="7">
        <f t="shared" si="4"/>
        <v>14</v>
      </c>
      <c r="X87" s="8" t="s">
        <v>387</v>
      </c>
      <c r="Y87" s="7"/>
      <c r="Z87" s="7"/>
      <c r="AA87" s="7"/>
    </row>
    <row r="88" ht="19.5" customHeight="1">
      <c r="A88" s="7">
        <v>68.0</v>
      </c>
      <c r="B88" s="8" t="s">
        <v>388</v>
      </c>
      <c r="C88" s="8" t="s">
        <v>34</v>
      </c>
      <c r="D88" s="8" t="s">
        <v>389</v>
      </c>
      <c r="E88" s="8" t="s">
        <v>390</v>
      </c>
      <c r="F88" s="8" t="s">
        <v>37</v>
      </c>
      <c r="G88" s="8" t="s">
        <v>37</v>
      </c>
      <c r="H88" s="8" t="s">
        <v>90</v>
      </c>
      <c r="I88" s="8" t="s">
        <v>39</v>
      </c>
      <c r="J88" s="7">
        <v>1095.0</v>
      </c>
      <c r="K88" s="8" t="s">
        <v>105</v>
      </c>
      <c r="L88" s="8" t="s">
        <v>391</v>
      </c>
      <c r="M88" s="10">
        <f t="shared" si="1"/>
        <v>1.176958981</v>
      </c>
      <c r="N88" s="7">
        <v>15.03</v>
      </c>
      <c r="O88" s="7">
        <v>8.64</v>
      </c>
      <c r="P88" s="10">
        <v>3.52</v>
      </c>
      <c r="Q88" s="10">
        <v>2.92</v>
      </c>
      <c r="R88" s="7">
        <v>16.0</v>
      </c>
      <c r="S88" s="7">
        <v>16.0</v>
      </c>
      <c r="T88" s="8">
        <f t="shared" si="2"/>
        <v>0.5748502994</v>
      </c>
      <c r="U88" s="8">
        <f t="shared" si="3"/>
        <v>-0.5536456209</v>
      </c>
      <c r="V88" s="11">
        <v>0.01056673712905686</v>
      </c>
      <c r="W88" s="7">
        <f t="shared" si="4"/>
        <v>32</v>
      </c>
      <c r="X88" s="8" t="s">
        <v>392</v>
      </c>
      <c r="Y88" s="7"/>
      <c r="Z88" s="7"/>
      <c r="AA88" s="7"/>
    </row>
    <row r="89" ht="19.5" customHeight="1">
      <c r="A89" s="7">
        <v>69.0</v>
      </c>
      <c r="B89" s="7" t="s">
        <v>393</v>
      </c>
      <c r="C89" s="7" t="s">
        <v>170</v>
      </c>
      <c r="D89" s="7" t="s">
        <v>217</v>
      </c>
      <c r="E89" s="7" t="s">
        <v>394</v>
      </c>
      <c r="F89" s="7" t="s">
        <v>47</v>
      </c>
      <c r="G89" s="9" t="s">
        <v>40</v>
      </c>
      <c r="H89" s="7" t="s">
        <v>90</v>
      </c>
      <c r="I89" s="7" t="s">
        <v>39</v>
      </c>
      <c r="J89" s="7">
        <f>6*7</f>
        <v>42</v>
      </c>
      <c r="K89" s="7" t="s">
        <v>178</v>
      </c>
      <c r="L89" s="8" t="s">
        <v>395</v>
      </c>
      <c r="M89" s="10">
        <f t="shared" si="1"/>
        <v>1.335658452</v>
      </c>
      <c r="N89" s="7">
        <v>21.66</v>
      </c>
      <c r="O89" s="7">
        <v>20.39</v>
      </c>
      <c r="P89" s="10">
        <v>1.2162236636408619</v>
      </c>
      <c r="Q89" s="10">
        <v>1.1879393923933999</v>
      </c>
      <c r="R89" s="7">
        <v>8.0</v>
      </c>
      <c r="S89" s="7">
        <v>8.0</v>
      </c>
      <c r="T89" s="8">
        <f t="shared" si="2"/>
        <v>0.9413665743</v>
      </c>
      <c r="U89" s="8">
        <f t="shared" si="3"/>
        <v>-0.06042265699</v>
      </c>
      <c r="V89" s="11">
        <v>8.184036182658906E-4</v>
      </c>
      <c r="W89" s="7">
        <f t="shared" si="4"/>
        <v>16</v>
      </c>
      <c r="X89" s="7" t="s">
        <v>396</v>
      </c>
      <c r="Y89" s="7"/>
      <c r="Z89" s="7"/>
      <c r="AA89" s="7"/>
    </row>
    <row r="90" ht="19.5" customHeight="1">
      <c r="A90" s="7">
        <v>70.0</v>
      </c>
      <c r="B90" s="7" t="s">
        <v>397</v>
      </c>
      <c r="C90" s="7" t="s">
        <v>170</v>
      </c>
      <c r="D90" s="7" t="s">
        <v>233</v>
      </c>
      <c r="E90" s="7" t="s">
        <v>398</v>
      </c>
      <c r="F90" s="7" t="s">
        <v>37</v>
      </c>
      <c r="G90" s="9" t="s">
        <v>40</v>
      </c>
      <c r="H90" s="7" t="s">
        <v>90</v>
      </c>
      <c r="I90" s="7" t="s">
        <v>39</v>
      </c>
      <c r="J90" s="7">
        <v>365.0</v>
      </c>
      <c r="K90" s="7" t="s">
        <v>105</v>
      </c>
      <c r="L90" s="8" t="s">
        <v>399</v>
      </c>
      <c r="M90" s="10">
        <f t="shared" si="1"/>
        <v>0.9867717343</v>
      </c>
      <c r="N90" s="7">
        <v>9.7</v>
      </c>
      <c r="O90" s="7">
        <v>5.82</v>
      </c>
      <c r="P90" s="10">
        <v>1.9840866916543742</v>
      </c>
      <c r="Q90" s="10">
        <v>1.3717142559585798</v>
      </c>
      <c r="R90" s="7">
        <v>6.0</v>
      </c>
      <c r="S90" s="7">
        <v>6.0</v>
      </c>
      <c r="T90" s="8">
        <f t="shared" si="2"/>
        <v>0.6</v>
      </c>
      <c r="U90" s="8">
        <f t="shared" si="3"/>
        <v>-0.5108256238</v>
      </c>
      <c r="V90" s="11">
        <v>0.016231386025200457</v>
      </c>
      <c r="W90" s="7">
        <f t="shared" si="4"/>
        <v>12</v>
      </c>
      <c r="X90" s="7" t="s">
        <v>400</v>
      </c>
      <c r="Y90" s="7"/>
      <c r="Z90" s="7"/>
      <c r="AA90" s="7"/>
    </row>
    <row r="91" ht="19.5" customHeight="1">
      <c r="A91" s="7">
        <v>71.0</v>
      </c>
      <c r="B91" s="7" t="s">
        <v>401</v>
      </c>
      <c r="C91" s="7" t="s">
        <v>170</v>
      </c>
      <c r="D91" s="7" t="s">
        <v>217</v>
      </c>
      <c r="E91" s="7" t="s">
        <v>402</v>
      </c>
      <c r="F91" s="7" t="s">
        <v>37</v>
      </c>
      <c r="G91" s="9" t="s">
        <v>40</v>
      </c>
      <c r="H91" s="7" t="s">
        <v>90</v>
      </c>
      <c r="I91" s="7" t="s">
        <v>39</v>
      </c>
      <c r="J91" s="7">
        <f>1.5*365</f>
        <v>547.5</v>
      </c>
      <c r="K91" s="7" t="s">
        <v>73</v>
      </c>
      <c r="L91" s="8" t="s">
        <v>403</v>
      </c>
      <c r="M91" s="10">
        <f t="shared" si="1"/>
        <v>1.532627001</v>
      </c>
      <c r="N91" s="7">
        <v>34.09</v>
      </c>
      <c r="O91" s="7">
        <v>33.75</v>
      </c>
      <c r="P91" s="10">
        <v>5.486857023834319</v>
      </c>
      <c r="Q91" s="10">
        <v>9.626494689137889</v>
      </c>
      <c r="R91" s="7">
        <v>6.0</v>
      </c>
      <c r="S91" s="7">
        <v>6.0</v>
      </c>
      <c r="T91" s="8">
        <f t="shared" si="2"/>
        <v>0.9900264007</v>
      </c>
      <c r="U91" s="8">
        <f t="shared" si="3"/>
        <v>-0.01002366883</v>
      </c>
      <c r="V91" s="11">
        <v>0.017876904955152827</v>
      </c>
      <c r="W91" s="7">
        <f t="shared" si="4"/>
        <v>12</v>
      </c>
      <c r="X91" s="7" t="s">
        <v>404</v>
      </c>
      <c r="Y91" s="7"/>
      <c r="Z91" s="7"/>
      <c r="AA91" s="7"/>
    </row>
    <row r="92" ht="19.5" customHeight="1">
      <c r="A92" s="7">
        <v>72.0</v>
      </c>
      <c r="B92" s="7" t="s">
        <v>405</v>
      </c>
      <c r="C92" s="7" t="s">
        <v>170</v>
      </c>
      <c r="D92" s="7" t="s">
        <v>217</v>
      </c>
      <c r="E92" s="7" t="s">
        <v>406</v>
      </c>
      <c r="F92" s="7" t="s">
        <v>47</v>
      </c>
      <c r="G92" s="9" t="s">
        <v>40</v>
      </c>
      <c r="H92" s="7" t="s">
        <v>90</v>
      </c>
      <c r="I92" s="7" t="s">
        <v>39</v>
      </c>
      <c r="J92" s="7">
        <f>730</f>
        <v>730</v>
      </c>
      <c r="K92" s="7" t="s">
        <v>73</v>
      </c>
      <c r="L92" s="8" t="s">
        <v>407</v>
      </c>
      <c r="M92" s="10">
        <f t="shared" si="1"/>
        <v>0.4857214265</v>
      </c>
      <c r="N92" s="7">
        <v>3.06</v>
      </c>
      <c r="O92" s="7">
        <v>4.66</v>
      </c>
      <c r="P92" s="10">
        <v>0.8</v>
      </c>
      <c r="Q92" s="10">
        <v>0.48</v>
      </c>
      <c r="R92" s="7">
        <v>4.0</v>
      </c>
      <c r="S92" s="7">
        <v>4.0</v>
      </c>
      <c r="T92" s="8">
        <f t="shared" si="2"/>
        <v>1.522875817</v>
      </c>
      <c r="U92" s="8">
        <f t="shared" si="3"/>
        <v>0.4206005322</v>
      </c>
      <c r="V92" s="11">
        <v>0.019739916034434313</v>
      </c>
      <c r="W92" s="7">
        <f t="shared" si="4"/>
        <v>8</v>
      </c>
      <c r="X92" s="7" t="s">
        <v>408</v>
      </c>
      <c r="Y92" s="7"/>
      <c r="Z92" s="7"/>
      <c r="AA92" s="7"/>
    </row>
    <row r="93" ht="19.5" customHeight="1">
      <c r="A93" s="7">
        <v>73.0</v>
      </c>
      <c r="B93" s="7" t="s">
        <v>409</v>
      </c>
      <c r="C93" s="7" t="s">
        <v>52</v>
      </c>
      <c r="D93" s="7" t="s">
        <v>53</v>
      </c>
      <c r="E93" s="7" t="s">
        <v>410</v>
      </c>
      <c r="F93" s="7" t="s">
        <v>47</v>
      </c>
      <c r="G93" s="9" t="s">
        <v>40</v>
      </c>
      <c r="H93" s="7" t="s">
        <v>38</v>
      </c>
      <c r="I93" s="7" t="s">
        <v>72</v>
      </c>
      <c r="J93" s="9" t="s">
        <v>40</v>
      </c>
      <c r="K93" s="7" t="s">
        <v>41</v>
      </c>
      <c r="L93" s="8" t="s">
        <v>411</v>
      </c>
      <c r="M93" s="10">
        <f t="shared" si="1"/>
        <v>0.3521825181</v>
      </c>
      <c r="N93" s="7">
        <v>2.25</v>
      </c>
      <c r="O93" s="7">
        <v>11.38</v>
      </c>
      <c r="P93" s="10">
        <v>1.9</v>
      </c>
      <c r="Q93" s="10">
        <v>3.98</v>
      </c>
      <c r="R93" s="7">
        <v>4.0</v>
      </c>
      <c r="S93" s="7">
        <v>4.0</v>
      </c>
      <c r="T93" s="8">
        <f t="shared" si="2"/>
        <v>5.057777778</v>
      </c>
      <c r="U93" s="8">
        <f t="shared" si="3"/>
        <v>1.620927212</v>
      </c>
      <c r="V93" s="11">
        <v>0.2088504887445361</v>
      </c>
      <c r="W93" s="7">
        <f t="shared" si="4"/>
        <v>8</v>
      </c>
      <c r="X93" s="7" t="s">
        <v>412</v>
      </c>
      <c r="Y93" s="7"/>
      <c r="Z93" s="7"/>
      <c r="AA93" s="7"/>
    </row>
    <row r="94" ht="19.5" customHeight="1">
      <c r="A94" s="7">
        <v>73.0</v>
      </c>
      <c r="B94" s="7" t="s">
        <v>409</v>
      </c>
      <c r="C94" s="7" t="s">
        <v>52</v>
      </c>
      <c r="D94" s="7" t="s">
        <v>53</v>
      </c>
      <c r="E94" s="7" t="s">
        <v>413</v>
      </c>
      <c r="F94" s="7" t="s">
        <v>78</v>
      </c>
      <c r="G94" s="9" t="s">
        <v>40</v>
      </c>
      <c r="H94" s="7" t="s">
        <v>38</v>
      </c>
      <c r="I94" s="7" t="s">
        <v>72</v>
      </c>
      <c r="J94" s="9" t="s">
        <v>40</v>
      </c>
      <c r="K94" s="7" t="s">
        <v>41</v>
      </c>
      <c r="L94" s="8" t="s">
        <v>411</v>
      </c>
      <c r="M94" s="10">
        <f t="shared" si="1"/>
        <v>1.462397998</v>
      </c>
      <c r="N94" s="7">
        <v>29.0</v>
      </c>
      <c r="O94" s="7">
        <v>16.0</v>
      </c>
      <c r="P94" s="10">
        <v>5.48</v>
      </c>
      <c r="Q94" s="10">
        <v>3.0</v>
      </c>
      <c r="R94" s="7">
        <v>4.0</v>
      </c>
      <c r="S94" s="7">
        <v>4.0</v>
      </c>
      <c r="T94" s="8">
        <f t="shared" si="2"/>
        <v>0.5517241379</v>
      </c>
      <c r="U94" s="8">
        <f t="shared" si="3"/>
        <v>-0.5947071077</v>
      </c>
      <c r="V94" s="11">
        <v>0.017716054176575506</v>
      </c>
      <c r="W94" s="7">
        <f t="shared" si="4"/>
        <v>8</v>
      </c>
      <c r="X94" s="7" t="s">
        <v>412</v>
      </c>
      <c r="Y94" s="7"/>
      <c r="Z94" s="7"/>
      <c r="AA94" s="7"/>
    </row>
    <row r="95" ht="19.5" customHeight="1">
      <c r="A95" s="7">
        <v>74.0</v>
      </c>
      <c r="B95" s="7" t="s">
        <v>414</v>
      </c>
      <c r="C95" s="8" t="s">
        <v>52</v>
      </c>
      <c r="D95" s="7" t="s">
        <v>64</v>
      </c>
      <c r="E95" s="7" t="s">
        <v>415</v>
      </c>
      <c r="F95" s="7" t="s">
        <v>47</v>
      </c>
      <c r="G95" s="9" t="s">
        <v>40</v>
      </c>
      <c r="H95" s="8" t="s">
        <v>38</v>
      </c>
      <c r="I95" s="7" t="s">
        <v>72</v>
      </c>
      <c r="J95" s="9" t="s">
        <v>40</v>
      </c>
      <c r="K95" s="7" t="s">
        <v>66</v>
      </c>
      <c r="L95" s="8" t="s">
        <v>416</v>
      </c>
      <c r="M95" s="10">
        <f t="shared" si="1"/>
        <v>1.643452676</v>
      </c>
      <c r="N95" s="7">
        <v>44.0</v>
      </c>
      <c r="O95" s="7">
        <v>16.4</v>
      </c>
      <c r="P95" s="10">
        <v>4.002561679724624</v>
      </c>
      <c r="Q95" s="10">
        <v>7.736795202149272</v>
      </c>
      <c r="R95" s="7">
        <v>5.0</v>
      </c>
      <c r="S95" s="7">
        <v>5.0</v>
      </c>
      <c r="T95" s="8">
        <f t="shared" si="2"/>
        <v>0.3727272727</v>
      </c>
      <c r="U95" s="8">
        <f t="shared" si="3"/>
        <v>-0.9869082991</v>
      </c>
      <c r="V95" s="11">
        <v>0.04616571824253568</v>
      </c>
      <c r="W95" s="7">
        <f t="shared" si="4"/>
        <v>10</v>
      </c>
      <c r="X95" s="7" t="s">
        <v>417</v>
      </c>
      <c r="Y95" s="7"/>
      <c r="Z95" s="7"/>
      <c r="AA95" s="7"/>
    </row>
    <row r="96" ht="19.5" customHeight="1">
      <c r="A96" s="7">
        <v>75.0</v>
      </c>
      <c r="B96" s="7" t="s">
        <v>418</v>
      </c>
      <c r="C96" s="7" t="s">
        <v>109</v>
      </c>
      <c r="D96" s="7" t="s">
        <v>110</v>
      </c>
      <c r="E96" s="7" t="s">
        <v>419</v>
      </c>
      <c r="F96" s="7" t="s">
        <v>37</v>
      </c>
      <c r="G96" s="9" t="s">
        <v>40</v>
      </c>
      <c r="H96" s="7" t="s">
        <v>90</v>
      </c>
      <c r="I96" s="7" t="s">
        <v>39</v>
      </c>
      <c r="J96" s="7">
        <v>730.0</v>
      </c>
      <c r="K96" s="7" t="s">
        <v>73</v>
      </c>
      <c r="L96" s="8" t="s">
        <v>420</v>
      </c>
      <c r="M96" s="10">
        <f t="shared" si="1"/>
        <v>0.6493348587</v>
      </c>
      <c r="N96" s="7">
        <v>4.46</v>
      </c>
      <c r="O96" s="7">
        <v>3.58</v>
      </c>
      <c r="P96" s="10">
        <v>1.085080642164443</v>
      </c>
      <c r="Q96" s="10">
        <v>0.9354143466934853</v>
      </c>
      <c r="R96" s="7">
        <v>14.0</v>
      </c>
      <c r="S96" s="7">
        <v>14.0</v>
      </c>
      <c r="T96" s="8">
        <f t="shared" si="2"/>
        <v>0.802690583</v>
      </c>
      <c r="U96" s="8">
        <f t="shared" si="3"/>
        <v>-0.2197859656</v>
      </c>
      <c r="V96" s="11">
        <v>0.009104479702791164</v>
      </c>
      <c r="W96" s="7">
        <f t="shared" si="4"/>
        <v>28</v>
      </c>
      <c r="X96" s="8" t="s">
        <v>421</v>
      </c>
      <c r="Y96" s="7"/>
      <c r="Z96" s="7"/>
      <c r="AA96" s="7"/>
    </row>
    <row r="97" ht="19.5" customHeight="1">
      <c r="A97" s="7">
        <v>76.0</v>
      </c>
      <c r="B97" s="8" t="s">
        <v>422</v>
      </c>
      <c r="C97" s="8" t="s">
        <v>82</v>
      </c>
      <c r="D97" s="8" t="s">
        <v>118</v>
      </c>
      <c r="E97" s="8" t="s">
        <v>423</v>
      </c>
      <c r="F97" s="8" t="s">
        <v>47</v>
      </c>
      <c r="G97" s="9" t="s">
        <v>40</v>
      </c>
      <c r="H97" s="8" t="s">
        <v>38</v>
      </c>
      <c r="I97" s="8" t="s">
        <v>72</v>
      </c>
      <c r="J97" s="9" t="s">
        <v>40</v>
      </c>
      <c r="K97" s="8" t="s">
        <v>66</v>
      </c>
      <c r="L97" s="8" t="s">
        <v>424</v>
      </c>
      <c r="M97" s="10">
        <f t="shared" si="1"/>
        <v>0.6989700043</v>
      </c>
      <c r="N97" s="7">
        <v>5.0</v>
      </c>
      <c r="O97" s="7">
        <v>4.5</v>
      </c>
      <c r="P97" s="10">
        <v>1.7320508075688772</v>
      </c>
      <c r="Q97" s="10">
        <v>1.8359738560230099</v>
      </c>
      <c r="R97" s="7">
        <v>3.0</v>
      </c>
      <c r="S97" s="7">
        <v>12.0</v>
      </c>
      <c r="T97" s="14">
        <f t="shared" si="2"/>
        <v>0.9</v>
      </c>
      <c r="U97" s="14">
        <f t="shared" si="3"/>
        <v>-0.1053605157</v>
      </c>
      <c r="V97" s="11">
        <v>0.0538716049382716</v>
      </c>
      <c r="W97" s="7">
        <f t="shared" si="4"/>
        <v>15</v>
      </c>
      <c r="X97" s="8" t="s">
        <v>425</v>
      </c>
      <c r="Y97" s="12"/>
      <c r="Z97" s="12"/>
      <c r="AA97" s="12"/>
    </row>
    <row r="98" ht="19.5" customHeight="1">
      <c r="A98" s="7">
        <v>77.0</v>
      </c>
      <c r="B98" s="7" t="s">
        <v>426</v>
      </c>
      <c r="C98" s="8" t="s">
        <v>34</v>
      </c>
      <c r="D98" s="7" t="s">
        <v>427</v>
      </c>
      <c r="E98" s="7" t="s">
        <v>428</v>
      </c>
      <c r="F98" s="7" t="s">
        <v>37</v>
      </c>
      <c r="G98" s="7" t="s">
        <v>37</v>
      </c>
      <c r="H98" s="7" t="s">
        <v>38</v>
      </c>
      <c r="I98" s="7" t="s">
        <v>39</v>
      </c>
      <c r="J98" s="9" t="s">
        <v>40</v>
      </c>
      <c r="K98" s="7" t="s">
        <v>41</v>
      </c>
      <c r="L98" s="8" t="s">
        <v>429</v>
      </c>
      <c r="M98" s="10">
        <f t="shared" si="1"/>
        <v>1.051923916</v>
      </c>
      <c r="N98" s="7">
        <v>11.27</v>
      </c>
      <c r="O98" s="7">
        <v>6.6</v>
      </c>
      <c r="P98" s="10">
        <v>2.8849956672411143</v>
      </c>
      <c r="Q98" s="10">
        <v>3.1112698372208096</v>
      </c>
      <c r="R98" s="7">
        <v>8.0</v>
      </c>
      <c r="S98" s="7">
        <v>8.0</v>
      </c>
      <c r="T98" s="8">
        <f t="shared" si="2"/>
        <v>0.5856255546</v>
      </c>
      <c r="U98" s="8">
        <f t="shared" si="3"/>
        <v>-0.535074679</v>
      </c>
      <c r="V98" s="11">
        <v>0.03596907173295873</v>
      </c>
      <c r="W98" s="7">
        <f t="shared" si="4"/>
        <v>16</v>
      </c>
      <c r="X98" s="7" t="s">
        <v>430</v>
      </c>
      <c r="Y98" s="7"/>
      <c r="Z98" s="7"/>
      <c r="AA98" s="7"/>
    </row>
    <row r="99" ht="19.5" customHeight="1">
      <c r="A99" s="7">
        <v>77.0</v>
      </c>
      <c r="B99" s="7" t="s">
        <v>426</v>
      </c>
      <c r="C99" s="8" t="s">
        <v>34</v>
      </c>
      <c r="D99" s="7" t="s">
        <v>431</v>
      </c>
      <c r="E99" s="7" t="s">
        <v>432</v>
      </c>
      <c r="F99" s="7" t="s">
        <v>47</v>
      </c>
      <c r="G99" s="7" t="s">
        <v>37</v>
      </c>
      <c r="H99" s="7" t="s">
        <v>38</v>
      </c>
      <c r="I99" s="7" t="s">
        <v>39</v>
      </c>
      <c r="J99" s="9" t="s">
        <v>40</v>
      </c>
      <c r="K99" s="7" t="s">
        <v>41</v>
      </c>
      <c r="L99" s="8" t="s">
        <v>429</v>
      </c>
      <c r="M99" s="10">
        <f t="shared" si="1"/>
        <v>1.652149605</v>
      </c>
      <c r="N99" s="7">
        <v>44.89</v>
      </c>
      <c r="O99" s="7">
        <v>33.72</v>
      </c>
      <c r="P99" s="10">
        <v>20.392959569420032</v>
      </c>
      <c r="Q99" s="10">
        <v>18.4130605820977</v>
      </c>
      <c r="R99" s="7">
        <v>8.0</v>
      </c>
      <c r="S99" s="7">
        <v>8.0</v>
      </c>
      <c r="T99" s="8">
        <f t="shared" si="2"/>
        <v>0.7511695255</v>
      </c>
      <c r="U99" s="8">
        <f t="shared" si="3"/>
        <v>-0.2861239197</v>
      </c>
      <c r="V99" s="11">
        <v>0.06306948160209379</v>
      </c>
      <c r="W99" s="7">
        <f t="shared" si="4"/>
        <v>16</v>
      </c>
      <c r="X99" s="7" t="s">
        <v>430</v>
      </c>
      <c r="Y99" s="7"/>
      <c r="Z99" s="7"/>
      <c r="AA99" s="7"/>
    </row>
    <row r="100" ht="19.5" customHeight="1">
      <c r="A100" s="7">
        <v>78.0</v>
      </c>
      <c r="B100" s="7" t="s">
        <v>433</v>
      </c>
      <c r="C100" s="8" t="s">
        <v>34</v>
      </c>
      <c r="D100" s="7" t="s">
        <v>434</v>
      </c>
      <c r="E100" s="7" t="s">
        <v>435</v>
      </c>
      <c r="F100" s="7" t="s">
        <v>37</v>
      </c>
      <c r="G100" s="7" t="s">
        <v>37</v>
      </c>
      <c r="H100" s="7" t="s">
        <v>38</v>
      </c>
      <c r="I100" s="7" t="s">
        <v>72</v>
      </c>
      <c r="J100" s="9" t="s">
        <v>40</v>
      </c>
      <c r="K100" s="7" t="s">
        <v>213</v>
      </c>
      <c r="L100" s="8" t="s">
        <v>436</v>
      </c>
      <c r="M100" s="10">
        <f t="shared" si="1"/>
        <v>1.238297068</v>
      </c>
      <c r="N100" s="7">
        <v>17.31</v>
      </c>
      <c r="O100" s="7">
        <v>17.25</v>
      </c>
      <c r="P100" s="10">
        <v>3.96</v>
      </c>
      <c r="Q100" s="10">
        <v>2.8</v>
      </c>
      <c r="R100" s="7">
        <v>16.0</v>
      </c>
      <c r="S100" s="7">
        <v>16.0</v>
      </c>
      <c r="T100" s="8">
        <f t="shared" si="2"/>
        <v>0.9965337955</v>
      </c>
      <c r="U100" s="8">
        <f t="shared" si="3"/>
        <v>-0.003472225711</v>
      </c>
      <c r="V100" s="11">
        <v>0.004917680559246785</v>
      </c>
      <c r="W100" s="7">
        <f t="shared" si="4"/>
        <v>32</v>
      </c>
      <c r="X100" s="7" t="s">
        <v>437</v>
      </c>
      <c r="Y100" s="7"/>
      <c r="Z100" s="7"/>
      <c r="AA100" s="7"/>
    </row>
    <row r="101" ht="19.5" customHeight="1">
      <c r="A101" s="7">
        <v>79.0</v>
      </c>
      <c r="B101" s="8" t="s">
        <v>438</v>
      </c>
      <c r="C101" s="8" t="s">
        <v>82</v>
      </c>
      <c r="D101" s="8" t="s">
        <v>118</v>
      </c>
      <c r="E101" s="8" t="s">
        <v>439</v>
      </c>
      <c r="F101" s="8" t="s">
        <v>47</v>
      </c>
      <c r="G101" s="13" t="s">
        <v>40</v>
      </c>
      <c r="H101" s="8" t="s">
        <v>38</v>
      </c>
      <c r="I101" s="8" t="s">
        <v>72</v>
      </c>
      <c r="J101" s="9" t="s">
        <v>40</v>
      </c>
      <c r="K101" s="8" t="s">
        <v>41</v>
      </c>
      <c r="L101" s="8" t="s">
        <v>440</v>
      </c>
      <c r="M101" s="10">
        <f t="shared" si="1"/>
        <v>0.8195439355</v>
      </c>
      <c r="N101" s="7">
        <v>6.6</v>
      </c>
      <c r="O101" s="7">
        <v>3.21</v>
      </c>
      <c r="P101" s="10">
        <v>1.0435516278555652</v>
      </c>
      <c r="Q101" s="10">
        <v>1.6837458240482737</v>
      </c>
      <c r="R101" s="7">
        <v>10.0</v>
      </c>
      <c r="S101" s="7">
        <v>14.0</v>
      </c>
      <c r="T101" s="14">
        <f t="shared" si="2"/>
        <v>0.4863636364</v>
      </c>
      <c r="U101" s="14">
        <f t="shared" si="3"/>
        <v>-0.7207987119</v>
      </c>
      <c r="V101" s="11">
        <v>0.02215237138614726</v>
      </c>
      <c r="W101" s="7">
        <f t="shared" si="4"/>
        <v>24</v>
      </c>
      <c r="X101" s="7" t="s">
        <v>441</v>
      </c>
      <c r="Y101" s="12"/>
      <c r="Z101" s="12"/>
      <c r="AA101" s="12"/>
    </row>
    <row r="102" ht="19.5" customHeight="1">
      <c r="A102" s="7">
        <v>80.0</v>
      </c>
      <c r="B102" s="8" t="s">
        <v>442</v>
      </c>
      <c r="C102" s="8" t="s">
        <v>82</v>
      </c>
      <c r="D102" s="8" t="s">
        <v>176</v>
      </c>
      <c r="E102" s="8" t="s">
        <v>443</v>
      </c>
      <c r="F102" s="8" t="s">
        <v>47</v>
      </c>
      <c r="G102" s="13" t="s">
        <v>40</v>
      </c>
      <c r="H102" s="8" t="s">
        <v>90</v>
      </c>
      <c r="I102" s="8" t="s">
        <v>39</v>
      </c>
      <c r="J102" s="7">
        <f>6*30</f>
        <v>180</v>
      </c>
      <c r="K102" s="8" t="s">
        <v>41</v>
      </c>
      <c r="L102" s="8" t="s">
        <v>444</v>
      </c>
      <c r="M102" s="10">
        <f t="shared" si="1"/>
        <v>1.369772289</v>
      </c>
      <c r="N102" s="7">
        <v>23.43</v>
      </c>
      <c r="O102" s="7">
        <v>14.41</v>
      </c>
      <c r="P102" s="10">
        <v>2.72</v>
      </c>
      <c r="Q102" s="10">
        <v>1.42</v>
      </c>
      <c r="R102" s="7">
        <v>4.0</v>
      </c>
      <c r="S102" s="7">
        <v>4.0</v>
      </c>
      <c r="T102" s="14">
        <f t="shared" si="2"/>
        <v>0.6150234742</v>
      </c>
      <c r="U102" s="14">
        <f t="shared" si="3"/>
        <v>-0.4860948425</v>
      </c>
      <c r="V102" s="11">
        <v>0.005796914900559457</v>
      </c>
      <c r="W102" s="7">
        <f t="shared" si="4"/>
        <v>8</v>
      </c>
      <c r="X102" s="8" t="s">
        <v>445</v>
      </c>
      <c r="Y102" s="12"/>
      <c r="Z102" s="12"/>
      <c r="AA102" s="12"/>
    </row>
    <row r="103" ht="19.5" customHeight="1">
      <c r="A103" s="7">
        <v>81.0</v>
      </c>
      <c r="B103" s="8" t="s">
        <v>446</v>
      </c>
      <c r="C103" s="8" t="s">
        <v>82</v>
      </c>
      <c r="D103" s="8" t="s">
        <v>118</v>
      </c>
      <c r="E103" s="8" t="s">
        <v>447</v>
      </c>
      <c r="F103" s="8" t="s">
        <v>78</v>
      </c>
      <c r="G103" s="13" t="s">
        <v>40</v>
      </c>
      <c r="H103" s="8" t="s">
        <v>38</v>
      </c>
      <c r="I103" s="8" t="s">
        <v>72</v>
      </c>
      <c r="J103" s="9" t="s">
        <v>40</v>
      </c>
      <c r="K103" s="8" t="s">
        <v>66</v>
      </c>
      <c r="L103" s="8" t="s">
        <v>448</v>
      </c>
      <c r="M103" s="10">
        <f t="shared" si="1"/>
        <v>0.1673173347</v>
      </c>
      <c r="N103" s="7">
        <v>1.47</v>
      </c>
      <c r="O103" s="7">
        <v>1.26</v>
      </c>
      <c r="P103" s="10">
        <v>1.1914696806885183</v>
      </c>
      <c r="Q103" s="10">
        <v>0.9003888049059695</v>
      </c>
      <c r="R103" s="7">
        <v>84.0</v>
      </c>
      <c r="S103" s="7">
        <v>67.0</v>
      </c>
      <c r="T103" s="14">
        <f t="shared" si="2"/>
        <v>0.8571428571</v>
      </c>
      <c r="U103" s="14">
        <f t="shared" si="3"/>
        <v>-0.1541506798</v>
      </c>
      <c r="V103" s="11">
        <v>0.015442382546366996</v>
      </c>
      <c r="W103" s="7">
        <f t="shared" si="4"/>
        <v>151</v>
      </c>
      <c r="X103" s="8" t="s">
        <v>449</v>
      </c>
      <c r="Y103" s="12"/>
      <c r="Z103" s="12"/>
      <c r="AA103" s="12"/>
    </row>
    <row r="104" ht="19.5" customHeight="1">
      <c r="A104" s="7">
        <v>82.0</v>
      </c>
      <c r="B104" s="8" t="s">
        <v>450</v>
      </c>
      <c r="C104" s="8" t="s">
        <v>82</v>
      </c>
      <c r="D104" s="8" t="s">
        <v>176</v>
      </c>
      <c r="E104" s="8" t="s">
        <v>451</v>
      </c>
      <c r="F104" s="8" t="s">
        <v>47</v>
      </c>
      <c r="G104" s="13" t="s">
        <v>40</v>
      </c>
      <c r="H104" s="8" t="s">
        <v>90</v>
      </c>
      <c r="I104" s="8" t="s">
        <v>39</v>
      </c>
      <c r="J104" s="7">
        <f>4*30</f>
        <v>120</v>
      </c>
      <c r="K104" s="8" t="s">
        <v>41</v>
      </c>
      <c r="L104" s="8" t="s">
        <v>452</v>
      </c>
      <c r="M104" s="10">
        <f t="shared" si="1"/>
        <v>1.477699928</v>
      </c>
      <c r="N104" s="7">
        <v>30.04</v>
      </c>
      <c r="O104" s="7">
        <v>32.55</v>
      </c>
      <c r="P104" s="10">
        <v>3.76</v>
      </c>
      <c r="Q104" s="10">
        <v>2.86</v>
      </c>
      <c r="R104" s="7">
        <v>4.0</v>
      </c>
      <c r="S104" s="7">
        <v>4.0</v>
      </c>
      <c r="T104" s="14">
        <f t="shared" si="2"/>
        <v>1.08355526</v>
      </c>
      <c r="U104" s="14">
        <f t="shared" si="3"/>
        <v>0.08024754176</v>
      </c>
      <c r="V104" s="11">
        <v>0.00584671651775885</v>
      </c>
      <c r="W104" s="7">
        <f t="shared" si="4"/>
        <v>8</v>
      </c>
      <c r="X104" s="8" t="s">
        <v>453</v>
      </c>
      <c r="Y104" s="12"/>
      <c r="Z104" s="12"/>
      <c r="AA104" s="12"/>
    </row>
    <row r="105" ht="19.5" customHeight="1">
      <c r="A105" s="7">
        <v>83.0</v>
      </c>
      <c r="B105" s="8" t="s">
        <v>454</v>
      </c>
      <c r="C105" s="8" t="s">
        <v>82</v>
      </c>
      <c r="D105" s="8" t="s">
        <v>176</v>
      </c>
      <c r="E105" s="8" t="s">
        <v>455</v>
      </c>
      <c r="F105" s="8" t="s">
        <v>47</v>
      </c>
      <c r="G105" s="13" t="s">
        <v>40</v>
      </c>
      <c r="H105" s="8" t="s">
        <v>90</v>
      </c>
      <c r="I105" s="8" t="s">
        <v>39</v>
      </c>
      <c r="J105" s="7">
        <v>365.0</v>
      </c>
      <c r="K105" s="8" t="s">
        <v>41</v>
      </c>
      <c r="L105" s="8" t="s">
        <v>456</v>
      </c>
      <c r="M105" s="10">
        <f t="shared" si="1"/>
        <v>1.215901813</v>
      </c>
      <c r="N105" s="7">
        <v>16.44</v>
      </c>
      <c r="O105" s="7">
        <v>10.17</v>
      </c>
      <c r="P105" s="10">
        <v>3.394112549695428</v>
      </c>
      <c r="Q105" s="10">
        <v>1.9516147160748711</v>
      </c>
      <c r="R105" s="7">
        <v>8.0</v>
      </c>
      <c r="S105" s="7">
        <v>8.0</v>
      </c>
      <c r="T105" s="14">
        <f t="shared" si="2"/>
        <v>0.6186131387</v>
      </c>
      <c r="U105" s="14">
        <f t="shared" si="3"/>
        <v>-0.4802751796</v>
      </c>
      <c r="V105" s="11">
        <v>0.009931096532123554</v>
      </c>
      <c r="W105" s="7">
        <f t="shared" si="4"/>
        <v>16</v>
      </c>
      <c r="X105" s="8" t="s">
        <v>457</v>
      </c>
      <c r="Y105" s="12"/>
      <c r="Z105" s="12"/>
      <c r="AA105" s="12"/>
    </row>
    <row r="106" ht="19.5" customHeight="1">
      <c r="A106" s="7">
        <v>84.0</v>
      </c>
      <c r="B106" s="8" t="s">
        <v>458</v>
      </c>
      <c r="C106" s="8" t="s">
        <v>82</v>
      </c>
      <c r="D106" s="8" t="s">
        <v>118</v>
      </c>
      <c r="E106" s="8" t="s">
        <v>459</v>
      </c>
      <c r="F106" s="8" t="s">
        <v>47</v>
      </c>
      <c r="G106" s="13" t="s">
        <v>40</v>
      </c>
      <c r="H106" s="8" t="s">
        <v>38</v>
      </c>
      <c r="I106" s="8" t="s">
        <v>39</v>
      </c>
      <c r="J106" s="9" t="s">
        <v>40</v>
      </c>
      <c r="K106" s="8" t="s">
        <v>281</v>
      </c>
      <c r="L106" s="8" t="s">
        <v>460</v>
      </c>
      <c r="M106" s="10">
        <f t="shared" si="1"/>
        <v>0.8305886687</v>
      </c>
      <c r="N106" s="7">
        <v>6.77</v>
      </c>
      <c r="O106" s="7">
        <v>11.29</v>
      </c>
      <c r="P106" s="10">
        <v>0.6</v>
      </c>
      <c r="Q106" s="10">
        <v>2.529822128134704</v>
      </c>
      <c r="R106" s="7">
        <v>1.0</v>
      </c>
      <c r="S106" s="7">
        <v>10.0</v>
      </c>
      <c r="T106" s="14">
        <f t="shared" si="2"/>
        <v>1.667651403</v>
      </c>
      <c r="U106" s="14">
        <f t="shared" si="3"/>
        <v>0.5114162912</v>
      </c>
      <c r="V106" s="11">
        <v>0.012875641321703655</v>
      </c>
      <c r="W106" s="7">
        <f t="shared" si="4"/>
        <v>11</v>
      </c>
      <c r="X106" s="8" t="s">
        <v>461</v>
      </c>
      <c r="Y106" s="12"/>
      <c r="Z106" s="12"/>
      <c r="AA106" s="12"/>
    </row>
    <row r="107" ht="19.5" customHeight="1">
      <c r="A107" s="7">
        <v>85.0</v>
      </c>
      <c r="B107" s="8" t="s">
        <v>462</v>
      </c>
      <c r="C107" s="8" t="s">
        <v>82</v>
      </c>
      <c r="D107" s="8" t="s">
        <v>176</v>
      </c>
      <c r="E107" s="8" t="s">
        <v>463</v>
      </c>
      <c r="F107" s="8" t="s">
        <v>47</v>
      </c>
      <c r="G107" s="13" t="s">
        <v>40</v>
      </c>
      <c r="H107" s="8" t="s">
        <v>90</v>
      </c>
      <c r="I107" s="8" t="s">
        <v>72</v>
      </c>
      <c r="J107" s="7">
        <v>365.0</v>
      </c>
      <c r="K107" s="8" t="s">
        <v>41</v>
      </c>
      <c r="L107" s="8" t="s">
        <v>456</v>
      </c>
      <c r="M107" s="10">
        <f t="shared" si="1"/>
        <v>1.322219295</v>
      </c>
      <c r="N107" s="7">
        <v>21.0</v>
      </c>
      <c r="O107" s="7">
        <v>14.4</v>
      </c>
      <c r="P107" s="10">
        <v>4.2262039704680605</v>
      </c>
      <c r="Q107" s="10">
        <v>3.3601785666836217</v>
      </c>
      <c r="R107" s="7">
        <v>12.0</v>
      </c>
      <c r="S107" s="7">
        <v>12.0</v>
      </c>
      <c r="T107" s="14">
        <f t="shared" si="2"/>
        <v>0.6857142857</v>
      </c>
      <c r="U107" s="14">
        <f t="shared" si="3"/>
        <v>-0.3772942311</v>
      </c>
      <c r="V107" s="11">
        <v>0.007912575979465859</v>
      </c>
      <c r="W107" s="7">
        <f t="shared" si="4"/>
        <v>24</v>
      </c>
      <c r="X107" s="7" t="s">
        <v>464</v>
      </c>
      <c r="Y107" s="12"/>
      <c r="Z107" s="12"/>
      <c r="AA107" s="12"/>
    </row>
    <row r="108" ht="19.5" customHeight="1">
      <c r="A108" s="7">
        <v>86.0</v>
      </c>
      <c r="B108" s="7" t="s">
        <v>465</v>
      </c>
      <c r="C108" s="7" t="s">
        <v>52</v>
      </c>
      <c r="D108" s="7" t="s">
        <v>53</v>
      </c>
      <c r="E108" s="7" t="s">
        <v>466</v>
      </c>
      <c r="F108" s="7" t="s">
        <v>47</v>
      </c>
      <c r="G108" s="13" t="s">
        <v>40</v>
      </c>
      <c r="H108" s="7" t="s">
        <v>38</v>
      </c>
      <c r="I108" s="7" t="s">
        <v>72</v>
      </c>
      <c r="J108" s="9" t="s">
        <v>40</v>
      </c>
      <c r="K108" s="7" t="s">
        <v>213</v>
      </c>
      <c r="L108" s="8" t="s">
        <v>467</v>
      </c>
      <c r="M108" s="10">
        <f t="shared" si="1"/>
        <v>1.414973348</v>
      </c>
      <c r="N108" s="7">
        <v>26.0</v>
      </c>
      <c r="O108" s="7">
        <v>27.8</v>
      </c>
      <c r="P108" s="10">
        <v>5.4</v>
      </c>
      <c r="Q108" s="10">
        <v>5.6</v>
      </c>
      <c r="R108" s="7">
        <v>4.0</v>
      </c>
      <c r="S108" s="7">
        <v>4.0</v>
      </c>
      <c r="T108" s="8">
        <f t="shared" si="2"/>
        <v>1.069230769</v>
      </c>
      <c r="U108" s="8">
        <f t="shared" si="3"/>
        <v>0.06693948268</v>
      </c>
      <c r="V108" s="11">
        <v>0.020928426132279652</v>
      </c>
      <c r="W108" s="7">
        <f t="shared" si="4"/>
        <v>8</v>
      </c>
      <c r="X108" s="7" t="s">
        <v>468</v>
      </c>
      <c r="Y108" s="7"/>
      <c r="Z108" s="7"/>
      <c r="AA108" s="7"/>
    </row>
    <row r="109" ht="19.5" customHeight="1">
      <c r="A109" s="7">
        <v>87.0</v>
      </c>
      <c r="B109" s="7" t="s">
        <v>469</v>
      </c>
      <c r="C109" s="7" t="s">
        <v>170</v>
      </c>
      <c r="D109" s="7" t="s">
        <v>217</v>
      </c>
      <c r="E109" s="7" t="s">
        <v>470</v>
      </c>
      <c r="F109" s="7" t="s">
        <v>37</v>
      </c>
      <c r="G109" s="13" t="s">
        <v>40</v>
      </c>
      <c r="H109" s="7" t="s">
        <v>90</v>
      </c>
      <c r="I109" s="7" t="s">
        <v>72</v>
      </c>
      <c r="J109" s="7">
        <f>2*365</f>
        <v>730</v>
      </c>
      <c r="K109" s="7" t="s">
        <v>471</v>
      </c>
      <c r="L109" s="8" t="s">
        <v>472</v>
      </c>
      <c r="M109" s="10">
        <f t="shared" si="1"/>
        <v>0.8864907252</v>
      </c>
      <c r="N109" s="7">
        <v>7.7</v>
      </c>
      <c r="O109" s="7">
        <v>5.0</v>
      </c>
      <c r="P109" s="10">
        <v>0.5196152422706631</v>
      </c>
      <c r="Q109" s="10">
        <v>1.0392304845413263</v>
      </c>
      <c r="R109" s="7">
        <v>3.0</v>
      </c>
      <c r="S109" s="7">
        <v>3.0</v>
      </c>
      <c r="T109" s="8">
        <f t="shared" si="2"/>
        <v>0.6493506494</v>
      </c>
      <c r="U109" s="8">
        <f t="shared" si="3"/>
        <v>-0.4317824164</v>
      </c>
      <c r="V109" s="11">
        <v>0.015917962556923595</v>
      </c>
      <c r="W109" s="7">
        <f t="shared" si="4"/>
        <v>6</v>
      </c>
      <c r="X109" s="7" t="s">
        <v>473</v>
      </c>
      <c r="Y109" s="7"/>
      <c r="Z109" s="7"/>
      <c r="AA109" s="7"/>
    </row>
    <row r="110" ht="19.5" customHeight="1">
      <c r="A110" s="7">
        <v>88.0</v>
      </c>
      <c r="B110" s="7" t="s">
        <v>474</v>
      </c>
      <c r="C110" s="8" t="s">
        <v>34</v>
      </c>
      <c r="D110" s="7" t="s">
        <v>475</v>
      </c>
      <c r="E110" s="7" t="s">
        <v>476</v>
      </c>
      <c r="F110" s="7" t="s">
        <v>47</v>
      </c>
      <c r="G110" s="7" t="s">
        <v>37</v>
      </c>
      <c r="H110" s="7" t="s">
        <v>38</v>
      </c>
      <c r="I110" s="7" t="s">
        <v>39</v>
      </c>
      <c r="J110" s="9" t="s">
        <v>40</v>
      </c>
      <c r="K110" s="7" t="s">
        <v>281</v>
      </c>
      <c r="L110" s="8" t="s">
        <v>477</v>
      </c>
      <c r="M110" s="10">
        <f t="shared" si="1"/>
        <v>0.6665179806</v>
      </c>
      <c r="N110" s="7">
        <v>4.64</v>
      </c>
      <c r="O110" s="7">
        <v>0.35</v>
      </c>
      <c r="P110" s="10">
        <v>3.0857738089497095</v>
      </c>
      <c r="Q110" s="10">
        <v>0.35777087639996635</v>
      </c>
      <c r="R110" s="7">
        <v>5.0</v>
      </c>
      <c r="S110" s="7">
        <v>5.0</v>
      </c>
      <c r="T110" s="8">
        <f t="shared" si="2"/>
        <v>0.07543103448</v>
      </c>
      <c r="U110" s="8">
        <f t="shared" si="3"/>
        <v>-2.584536491</v>
      </c>
      <c r="V110" s="11">
        <v>0.29743455616491543</v>
      </c>
      <c r="W110" s="7">
        <f t="shared" si="4"/>
        <v>10</v>
      </c>
      <c r="X110" s="7" t="s">
        <v>478</v>
      </c>
      <c r="Y110" s="7"/>
      <c r="Z110" s="7"/>
      <c r="AA110" s="7"/>
    </row>
    <row r="111" ht="19.5" customHeight="1">
      <c r="A111" s="7">
        <v>89.0</v>
      </c>
      <c r="B111" s="8" t="s">
        <v>479</v>
      </c>
      <c r="C111" s="8" t="s">
        <v>82</v>
      </c>
      <c r="D111" s="8" t="s">
        <v>176</v>
      </c>
      <c r="E111" s="8" t="s">
        <v>480</v>
      </c>
      <c r="F111" s="8" t="s">
        <v>47</v>
      </c>
      <c r="G111" s="13" t="s">
        <v>40</v>
      </c>
      <c r="H111" s="8" t="s">
        <v>90</v>
      </c>
      <c r="I111" s="8" t="s">
        <v>39</v>
      </c>
      <c r="J111" s="7">
        <v>119.0</v>
      </c>
      <c r="K111" s="8" t="s">
        <v>281</v>
      </c>
      <c r="L111" s="8" t="s">
        <v>481</v>
      </c>
      <c r="M111" s="10">
        <f t="shared" si="1"/>
        <v>-0.1674910873</v>
      </c>
      <c r="N111" s="7">
        <v>0.68</v>
      </c>
      <c r="O111" s="7">
        <v>0.78</v>
      </c>
      <c r="P111" s="10">
        <v>0.17888543819998318</v>
      </c>
      <c r="Q111" s="10">
        <v>0.2683281572999748</v>
      </c>
      <c r="R111" s="7">
        <v>5.0</v>
      </c>
      <c r="S111" s="7">
        <v>5.0</v>
      </c>
      <c r="T111" s="14">
        <f t="shared" si="2"/>
        <v>1.147058824</v>
      </c>
      <c r="U111" s="14">
        <f t="shared" si="3"/>
        <v>0.1372011215</v>
      </c>
      <c r="V111" s="11">
        <v>0.03750946950308143</v>
      </c>
      <c r="W111" s="7">
        <f t="shared" si="4"/>
        <v>10</v>
      </c>
      <c r="X111" s="7" t="s">
        <v>482</v>
      </c>
      <c r="Y111" s="12"/>
      <c r="Z111" s="12"/>
      <c r="AA111" s="12"/>
    </row>
    <row r="112" ht="19.5" customHeight="1">
      <c r="A112" s="7">
        <v>90.0</v>
      </c>
      <c r="B112" s="7" t="s">
        <v>483</v>
      </c>
      <c r="C112" s="7" t="s">
        <v>170</v>
      </c>
      <c r="D112" s="7" t="s">
        <v>217</v>
      </c>
      <c r="E112" s="7" t="s">
        <v>484</v>
      </c>
      <c r="F112" s="7" t="s">
        <v>37</v>
      </c>
      <c r="G112" s="13" t="s">
        <v>40</v>
      </c>
      <c r="H112" s="7" t="s">
        <v>90</v>
      </c>
      <c r="I112" s="7" t="s">
        <v>39</v>
      </c>
      <c r="J112" s="7">
        <v>730.0</v>
      </c>
      <c r="K112" s="7" t="s">
        <v>105</v>
      </c>
      <c r="L112" s="8" t="s">
        <v>485</v>
      </c>
      <c r="M112" s="10">
        <f t="shared" si="1"/>
        <v>1.146128036</v>
      </c>
      <c r="N112" s="7">
        <v>14.0</v>
      </c>
      <c r="O112" s="7">
        <v>12.5</v>
      </c>
      <c r="P112" s="10">
        <v>4.751757569573599</v>
      </c>
      <c r="Q112" s="10">
        <v>4.29920922961421</v>
      </c>
      <c r="R112" s="7">
        <v>8.0</v>
      </c>
      <c r="S112" s="7">
        <v>8.0</v>
      </c>
      <c r="T112" s="8">
        <f t="shared" si="2"/>
        <v>0.8928571429</v>
      </c>
      <c r="U112" s="8">
        <f t="shared" si="3"/>
        <v>-0.1133286853</v>
      </c>
      <c r="V112" s="11">
        <v>0.029186560000000007</v>
      </c>
      <c r="W112" s="7">
        <f t="shared" si="4"/>
        <v>16</v>
      </c>
      <c r="X112" s="7" t="s">
        <v>486</v>
      </c>
      <c r="Y112" s="7"/>
      <c r="Z112" s="7"/>
      <c r="AA112" s="7"/>
    </row>
    <row r="113" ht="19.5" customHeight="1">
      <c r="A113" s="7">
        <v>91.0</v>
      </c>
      <c r="B113" s="8" t="s">
        <v>487</v>
      </c>
      <c r="C113" s="8" t="s">
        <v>170</v>
      </c>
      <c r="D113" s="7" t="s">
        <v>217</v>
      </c>
      <c r="E113" s="8" t="s">
        <v>488</v>
      </c>
      <c r="F113" s="8" t="s">
        <v>47</v>
      </c>
      <c r="G113" s="13" t="s">
        <v>40</v>
      </c>
      <c r="H113" s="8" t="s">
        <v>90</v>
      </c>
      <c r="I113" s="8" t="s">
        <v>39</v>
      </c>
      <c r="J113" s="7">
        <v>730.0</v>
      </c>
      <c r="K113" s="8" t="s">
        <v>66</v>
      </c>
      <c r="L113" s="8" t="s">
        <v>489</v>
      </c>
      <c r="M113" s="10">
        <f t="shared" si="1"/>
        <v>1.238798563</v>
      </c>
      <c r="N113" s="7">
        <v>17.33</v>
      </c>
      <c r="O113" s="7">
        <v>17.33</v>
      </c>
      <c r="P113" s="10">
        <v>3.790092347159895</v>
      </c>
      <c r="Q113" s="10">
        <v>4.723473298326137</v>
      </c>
      <c r="R113" s="7">
        <v>8.0</v>
      </c>
      <c r="S113" s="7">
        <v>8.0</v>
      </c>
      <c r="T113" s="8">
        <f t="shared" si="2"/>
        <v>1</v>
      </c>
      <c r="U113" s="8">
        <f t="shared" si="3"/>
        <v>0</v>
      </c>
      <c r="V113" s="11">
        <v>0.015264931213746002</v>
      </c>
      <c r="W113" s="7">
        <f t="shared" si="4"/>
        <v>16</v>
      </c>
      <c r="X113" s="8" t="s">
        <v>490</v>
      </c>
      <c r="Y113" s="7"/>
      <c r="Z113" s="7"/>
      <c r="AA113" s="7"/>
    </row>
    <row r="114" ht="19.5" customHeight="1">
      <c r="A114" s="7">
        <v>92.0</v>
      </c>
      <c r="B114" s="7" t="s">
        <v>491</v>
      </c>
      <c r="C114" s="7" t="s">
        <v>170</v>
      </c>
      <c r="D114" s="7" t="s">
        <v>217</v>
      </c>
      <c r="E114" s="7" t="s">
        <v>492</v>
      </c>
      <c r="F114" s="7" t="s">
        <v>37</v>
      </c>
      <c r="G114" s="13" t="s">
        <v>40</v>
      </c>
      <c r="H114" s="7" t="s">
        <v>90</v>
      </c>
      <c r="I114" s="7" t="s">
        <v>39</v>
      </c>
      <c r="J114" s="7">
        <f>12*30</f>
        <v>360</v>
      </c>
      <c r="K114" s="7" t="s">
        <v>41</v>
      </c>
      <c r="L114" s="8" t="s">
        <v>493</v>
      </c>
      <c r="M114" s="10">
        <f t="shared" si="1"/>
        <v>1.168202747</v>
      </c>
      <c r="N114" s="7">
        <v>14.73</v>
      </c>
      <c r="O114" s="7">
        <v>6.16</v>
      </c>
      <c r="P114" s="10">
        <v>2.593838853899756</v>
      </c>
      <c r="Q114" s="10">
        <v>1.788854381999832</v>
      </c>
      <c r="R114" s="7">
        <v>5.0</v>
      </c>
      <c r="S114" s="7">
        <v>5.0</v>
      </c>
      <c r="T114" s="8">
        <f t="shared" si="2"/>
        <v>0.4181941616</v>
      </c>
      <c r="U114" s="8">
        <f t="shared" si="3"/>
        <v>-0.8718094529</v>
      </c>
      <c r="V114" s="11">
        <v>0.023067946789009017</v>
      </c>
      <c r="W114" s="7">
        <f t="shared" si="4"/>
        <v>10</v>
      </c>
      <c r="X114" s="7" t="s">
        <v>494</v>
      </c>
      <c r="Y114" s="7"/>
      <c r="Z114" s="7"/>
      <c r="AA114" s="7"/>
    </row>
    <row r="115" ht="19.5" customHeight="1">
      <c r="A115" s="7">
        <v>93.0</v>
      </c>
      <c r="B115" s="7" t="s">
        <v>495</v>
      </c>
      <c r="C115" s="7" t="s">
        <v>109</v>
      </c>
      <c r="D115" s="7" t="s">
        <v>110</v>
      </c>
      <c r="E115" s="7" t="s">
        <v>496</v>
      </c>
      <c r="F115" s="7" t="s">
        <v>47</v>
      </c>
      <c r="G115" s="13" t="s">
        <v>40</v>
      </c>
      <c r="H115" s="7" t="s">
        <v>90</v>
      </c>
      <c r="I115" s="7" t="s">
        <v>39</v>
      </c>
      <c r="J115" s="7">
        <f t="shared" ref="J115:J116" si="5">4*365</f>
        <v>1460</v>
      </c>
      <c r="K115" s="7" t="s">
        <v>497</v>
      </c>
      <c r="L115" s="8" t="s">
        <v>498</v>
      </c>
      <c r="M115" s="10">
        <f t="shared" si="1"/>
        <v>1.061452479</v>
      </c>
      <c r="N115" s="7">
        <v>11.52</v>
      </c>
      <c r="O115" s="7">
        <v>11.62</v>
      </c>
      <c r="P115" s="10">
        <v>2.2768399153212333</v>
      </c>
      <c r="Q115" s="10">
        <v>2.150348808914498</v>
      </c>
      <c r="R115" s="7">
        <v>10.0</v>
      </c>
      <c r="S115" s="7">
        <v>10.0</v>
      </c>
      <c r="T115" s="8">
        <f t="shared" si="2"/>
        <v>1.008680556</v>
      </c>
      <c r="U115" s="8">
        <f t="shared" si="3"/>
        <v>0.008643096156</v>
      </c>
      <c r="V115" s="11">
        <v>0.0073308162265486865</v>
      </c>
      <c r="W115" s="7">
        <f t="shared" si="4"/>
        <v>20</v>
      </c>
      <c r="X115" s="8" t="s">
        <v>499</v>
      </c>
      <c r="Y115" s="7"/>
      <c r="Z115" s="7"/>
      <c r="AA115" s="7"/>
    </row>
    <row r="116" ht="19.5" customHeight="1">
      <c r="A116" s="7">
        <v>93.0</v>
      </c>
      <c r="B116" s="7" t="s">
        <v>495</v>
      </c>
      <c r="C116" s="7" t="s">
        <v>170</v>
      </c>
      <c r="D116" s="7" t="s">
        <v>369</v>
      </c>
      <c r="E116" s="7" t="s">
        <v>496</v>
      </c>
      <c r="F116" s="7" t="s">
        <v>47</v>
      </c>
      <c r="G116" s="13" t="s">
        <v>40</v>
      </c>
      <c r="H116" s="7" t="s">
        <v>90</v>
      </c>
      <c r="I116" s="7" t="s">
        <v>39</v>
      </c>
      <c r="J116" s="7">
        <f t="shared" si="5"/>
        <v>1460</v>
      </c>
      <c r="K116" s="7" t="s">
        <v>497</v>
      </c>
      <c r="L116" s="8" t="s">
        <v>500</v>
      </c>
      <c r="M116" s="10">
        <f t="shared" si="1"/>
        <v>1.061452479</v>
      </c>
      <c r="N116" s="7">
        <v>11.52</v>
      </c>
      <c r="O116" s="7">
        <v>11.58</v>
      </c>
      <c r="P116" s="10">
        <v>2.2768399153212333</v>
      </c>
      <c r="Q116" s="10">
        <v>1.3281566172707193</v>
      </c>
      <c r="R116" s="7">
        <v>10.0</v>
      </c>
      <c r="S116" s="7">
        <v>10.0</v>
      </c>
      <c r="T116" s="8">
        <f t="shared" si="2"/>
        <v>1.005208333</v>
      </c>
      <c r="U116" s="8">
        <f t="shared" si="3"/>
        <v>0.005194816877</v>
      </c>
      <c r="V116" s="11">
        <v>0.005221721556283392</v>
      </c>
      <c r="W116" s="7">
        <f t="shared" si="4"/>
        <v>20</v>
      </c>
      <c r="X116" s="7" t="s">
        <v>499</v>
      </c>
      <c r="Y116" s="7"/>
      <c r="Z116" s="7"/>
      <c r="AA116" s="7"/>
    </row>
    <row r="117" ht="19.5" customHeight="1">
      <c r="A117" s="7">
        <v>94.0</v>
      </c>
      <c r="B117" s="7" t="s">
        <v>501</v>
      </c>
      <c r="C117" s="7" t="s">
        <v>109</v>
      </c>
      <c r="D117" s="7" t="s">
        <v>110</v>
      </c>
      <c r="E117" s="7" t="s">
        <v>502</v>
      </c>
      <c r="F117" s="7" t="s">
        <v>47</v>
      </c>
      <c r="G117" s="13" t="s">
        <v>40</v>
      </c>
      <c r="H117" s="7" t="s">
        <v>90</v>
      </c>
      <c r="I117" s="7" t="s">
        <v>39</v>
      </c>
      <c r="J117" s="7">
        <v>61.0</v>
      </c>
      <c r="K117" s="7" t="s">
        <v>178</v>
      </c>
      <c r="L117" s="8" t="s">
        <v>503</v>
      </c>
      <c r="M117" s="10">
        <f t="shared" si="1"/>
        <v>1.557867962</v>
      </c>
      <c r="N117" s="7">
        <v>36.13</v>
      </c>
      <c r="O117" s="7">
        <v>47.73</v>
      </c>
      <c r="P117" s="10">
        <v>10.375355415599024</v>
      </c>
      <c r="Q117" s="10">
        <v>14.825130690823606</v>
      </c>
      <c r="R117" s="7">
        <v>5.0</v>
      </c>
      <c r="S117" s="7">
        <v>5.0</v>
      </c>
      <c r="T117" s="8">
        <f t="shared" si="2"/>
        <v>1.321062829</v>
      </c>
      <c r="U117" s="8">
        <f t="shared" si="3"/>
        <v>0.2784365859</v>
      </c>
      <c r="V117" s="11">
        <v>0.03578798796567721</v>
      </c>
      <c r="W117" s="7">
        <f t="shared" si="4"/>
        <v>10</v>
      </c>
      <c r="X117" s="7" t="s">
        <v>504</v>
      </c>
      <c r="Y117" s="7"/>
      <c r="Z117" s="7"/>
      <c r="AA117" s="7"/>
    </row>
    <row r="118" ht="19.5" customHeight="1">
      <c r="A118" s="7">
        <v>95.0</v>
      </c>
      <c r="B118" s="7" t="s">
        <v>505</v>
      </c>
      <c r="C118" s="7" t="s">
        <v>368</v>
      </c>
      <c r="D118" s="7" t="s">
        <v>369</v>
      </c>
      <c r="E118" s="7" t="s">
        <v>506</v>
      </c>
      <c r="F118" s="7" t="s">
        <v>37</v>
      </c>
      <c r="G118" s="13" t="s">
        <v>40</v>
      </c>
      <c r="H118" s="7" t="s">
        <v>90</v>
      </c>
      <c r="I118" s="7" t="s">
        <v>72</v>
      </c>
      <c r="J118" s="7">
        <f>2*365</f>
        <v>730</v>
      </c>
      <c r="K118" s="7" t="s">
        <v>73</v>
      </c>
      <c r="L118" s="8" t="s">
        <v>507</v>
      </c>
      <c r="M118" s="10">
        <f t="shared" si="1"/>
        <v>1.602059991</v>
      </c>
      <c r="N118" s="7">
        <v>40.0</v>
      </c>
      <c r="O118" s="7">
        <v>34.9</v>
      </c>
      <c r="P118" s="10">
        <v>3.3</v>
      </c>
      <c r="Q118" s="10">
        <v>2.8</v>
      </c>
      <c r="R118" s="7">
        <v>4.0</v>
      </c>
      <c r="S118" s="7">
        <v>4.0</v>
      </c>
      <c r="T118" s="8">
        <f t="shared" si="2"/>
        <v>0.8725</v>
      </c>
      <c r="U118" s="8">
        <f t="shared" si="3"/>
        <v>-0.1363926249</v>
      </c>
      <c r="V118" s="11">
        <v>0.0033107446906224082</v>
      </c>
      <c r="W118" s="7">
        <f t="shared" si="4"/>
        <v>8</v>
      </c>
      <c r="X118" s="7" t="s">
        <v>508</v>
      </c>
      <c r="Y118" s="7"/>
      <c r="Z118" s="7"/>
      <c r="AA118" s="7"/>
    </row>
    <row r="119" ht="19.5" customHeight="1">
      <c r="A119" s="7">
        <v>96.0</v>
      </c>
      <c r="B119" s="7" t="s">
        <v>509</v>
      </c>
      <c r="C119" s="7" t="s">
        <v>170</v>
      </c>
      <c r="D119" s="7" t="s">
        <v>233</v>
      </c>
      <c r="E119" s="7" t="s">
        <v>492</v>
      </c>
      <c r="F119" s="7" t="s">
        <v>37</v>
      </c>
      <c r="G119" s="13" t="s">
        <v>40</v>
      </c>
      <c r="H119" s="7" t="s">
        <v>90</v>
      </c>
      <c r="I119" s="7" t="s">
        <v>39</v>
      </c>
      <c r="J119" s="7">
        <f>6*365</f>
        <v>2190</v>
      </c>
      <c r="K119" s="7" t="s">
        <v>55</v>
      </c>
      <c r="L119" s="8" t="s">
        <v>510</v>
      </c>
      <c r="M119" s="10">
        <f t="shared" si="1"/>
        <v>1.257678575</v>
      </c>
      <c r="N119" s="7">
        <v>18.1</v>
      </c>
      <c r="O119" s="7">
        <v>21.58</v>
      </c>
      <c r="P119" s="10">
        <v>2.3758787847867997</v>
      </c>
      <c r="Q119" s="10">
        <v>5.939696961967</v>
      </c>
      <c r="R119" s="7">
        <v>8.0</v>
      </c>
      <c r="S119" s="7">
        <v>8.0</v>
      </c>
      <c r="T119" s="8">
        <f t="shared" si="2"/>
        <v>1.192265193</v>
      </c>
      <c r="U119" s="8">
        <f t="shared" si="3"/>
        <v>0.1758550216</v>
      </c>
      <c r="V119" s="11">
        <v>0.01162346924553594</v>
      </c>
      <c r="W119" s="7">
        <f t="shared" si="4"/>
        <v>16</v>
      </c>
      <c r="X119" s="7" t="s">
        <v>511</v>
      </c>
      <c r="Y119" s="7"/>
      <c r="Z119" s="7"/>
      <c r="AA119" s="7"/>
    </row>
    <row r="120" ht="19.5" customHeight="1">
      <c r="A120" s="7">
        <v>97.0</v>
      </c>
      <c r="B120" s="7" t="s">
        <v>512</v>
      </c>
      <c r="C120" s="7" t="s">
        <v>52</v>
      </c>
      <c r="D120" s="7" t="s">
        <v>64</v>
      </c>
      <c r="E120" s="7" t="s">
        <v>513</v>
      </c>
      <c r="F120" s="7" t="s">
        <v>47</v>
      </c>
      <c r="G120" s="13" t="s">
        <v>40</v>
      </c>
      <c r="H120" s="7" t="s">
        <v>38</v>
      </c>
      <c r="I120" s="7" t="s">
        <v>39</v>
      </c>
      <c r="J120" s="9" t="s">
        <v>40</v>
      </c>
      <c r="K120" s="7" t="s">
        <v>66</v>
      </c>
      <c r="L120" s="8" t="s">
        <v>514</v>
      </c>
      <c r="M120" s="10">
        <f t="shared" si="1"/>
        <v>0.367355921</v>
      </c>
      <c r="N120" s="7">
        <v>2.33</v>
      </c>
      <c r="O120" s="7">
        <v>1.92</v>
      </c>
      <c r="P120" s="10">
        <v>0.3801315561749643</v>
      </c>
      <c r="Q120" s="10">
        <v>0.49193495504995377</v>
      </c>
      <c r="R120" s="7">
        <v>5.0</v>
      </c>
      <c r="S120" s="7">
        <v>5.0</v>
      </c>
      <c r="T120" s="8">
        <f t="shared" si="2"/>
        <v>0.8240343348</v>
      </c>
      <c r="U120" s="8">
        <f t="shared" si="3"/>
        <v>-0.1935430815</v>
      </c>
      <c r="V120" s="11">
        <v>0.018452702284814198</v>
      </c>
      <c r="W120" s="7">
        <f t="shared" si="4"/>
        <v>10</v>
      </c>
      <c r="X120" s="7" t="s">
        <v>515</v>
      </c>
      <c r="Y120" s="7"/>
      <c r="Z120" s="7"/>
      <c r="AA120" s="7"/>
    </row>
    <row r="121" ht="19.5" customHeight="1">
      <c r="A121" s="7">
        <v>97.0</v>
      </c>
      <c r="B121" s="8" t="s">
        <v>512</v>
      </c>
      <c r="C121" s="8" t="s">
        <v>82</v>
      </c>
      <c r="D121" s="8" t="s">
        <v>83</v>
      </c>
      <c r="E121" s="8" t="s">
        <v>516</v>
      </c>
      <c r="F121" s="8" t="s">
        <v>47</v>
      </c>
      <c r="G121" s="13" t="s">
        <v>40</v>
      </c>
      <c r="H121" s="8" t="s">
        <v>38</v>
      </c>
      <c r="I121" s="7" t="s">
        <v>39</v>
      </c>
      <c r="J121" s="9" t="s">
        <v>40</v>
      </c>
      <c r="K121" s="8" t="s">
        <v>66</v>
      </c>
      <c r="L121" s="8" t="s">
        <v>514</v>
      </c>
      <c r="M121" s="10">
        <f t="shared" si="1"/>
        <v>0.367355921</v>
      </c>
      <c r="N121" s="7">
        <v>2.33</v>
      </c>
      <c r="O121" s="7">
        <v>2.95</v>
      </c>
      <c r="P121" s="10">
        <v>0.3801315561749643</v>
      </c>
      <c r="Q121" s="10">
        <v>0.40249223594996214</v>
      </c>
      <c r="R121" s="7">
        <v>5.0</v>
      </c>
      <c r="S121" s="7">
        <v>5.0</v>
      </c>
      <c r="T121" s="14">
        <f t="shared" si="2"/>
        <v>1.266094421</v>
      </c>
      <c r="U121" s="14">
        <f t="shared" si="3"/>
        <v>0.2359369028</v>
      </c>
      <c r="V121" s="11">
        <v>0.00904643009092036</v>
      </c>
      <c r="W121" s="7">
        <f t="shared" si="4"/>
        <v>10</v>
      </c>
      <c r="X121" s="7" t="s">
        <v>515</v>
      </c>
      <c r="Y121" s="12"/>
      <c r="Z121" s="12"/>
      <c r="AA121" s="12"/>
    </row>
    <row r="122" ht="19.5" customHeight="1">
      <c r="A122" s="7">
        <v>98.0</v>
      </c>
      <c r="B122" s="8" t="s">
        <v>517</v>
      </c>
      <c r="C122" s="8" t="s">
        <v>34</v>
      </c>
      <c r="D122" s="8" t="s">
        <v>518</v>
      </c>
      <c r="E122" s="8" t="s">
        <v>380</v>
      </c>
      <c r="F122" s="8" t="s">
        <v>37</v>
      </c>
      <c r="G122" s="8" t="s">
        <v>37</v>
      </c>
      <c r="H122" s="8" t="s">
        <v>38</v>
      </c>
      <c r="I122" s="8" t="s">
        <v>72</v>
      </c>
      <c r="J122" s="9" t="s">
        <v>40</v>
      </c>
      <c r="K122" s="8" t="s">
        <v>41</v>
      </c>
      <c r="L122" s="8" t="s">
        <v>519</v>
      </c>
      <c r="M122" s="10">
        <f t="shared" si="1"/>
        <v>0.9637878273</v>
      </c>
      <c r="N122" s="7">
        <v>9.2</v>
      </c>
      <c r="O122" s="7">
        <v>9.0</v>
      </c>
      <c r="P122" s="10">
        <v>16.97939928266015</v>
      </c>
      <c r="Q122" s="10">
        <v>15.883954167649817</v>
      </c>
      <c r="R122" s="7">
        <v>30.0</v>
      </c>
      <c r="S122" s="7">
        <v>30.0</v>
      </c>
      <c r="T122" s="8">
        <f t="shared" si="2"/>
        <v>0.9782608696</v>
      </c>
      <c r="U122" s="8">
        <f t="shared" si="3"/>
        <v>-0.02197890672</v>
      </c>
      <c r="V122" s="11">
        <v>0.21736685803636024</v>
      </c>
      <c r="W122" s="7">
        <f t="shared" si="4"/>
        <v>60</v>
      </c>
      <c r="X122" s="8" t="s">
        <v>520</v>
      </c>
      <c r="Y122" s="7"/>
      <c r="Z122" s="7"/>
      <c r="AA122" s="7"/>
    </row>
    <row r="123" ht="19.5" customHeight="1">
      <c r="A123" s="7">
        <v>99.0</v>
      </c>
      <c r="B123" s="7" t="s">
        <v>521</v>
      </c>
      <c r="C123" s="8" t="s">
        <v>34</v>
      </c>
      <c r="D123" s="7" t="s">
        <v>522</v>
      </c>
      <c r="E123" s="7" t="s">
        <v>380</v>
      </c>
      <c r="F123" s="8" t="s">
        <v>37</v>
      </c>
      <c r="G123" s="8" t="s">
        <v>37</v>
      </c>
      <c r="H123" s="7" t="s">
        <v>38</v>
      </c>
      <c r="I123" s="7" t="s">
        <v>72</v>
      </c>
      <c r="J123" s="9" t="s">
        <v>40</v>
      </c>
      <c r="K123" s="7" t="s">
        <v>55</v>
      </c>
      <c r="L123" s="8" t="s">
        <v>523</v>
      </c>
      <c r="M123" s="10">
        <f t="shared" si="1"/>
        <v>1.123851641</v>
      </c>
      <c r="N123" s="7">
        <v>13.3</v>
      </c>
      <c r="O123" s="7">
        <v>1.8</v>
      </c>
      <c r="P123" s="10">
        <v>15.495160534825061</v>
      </c>
      <c r="Q123" s="10">
        <v>5.059644256269408</v>
      </c>
      <c r="R123" s="7">
        <v>10.0</v>
      </c>
      <c r="S123" s="7">
        <v>10.0</v>
      </c>
      <c r="T123" s="8">
        <f t="shared" si="2"/>
        <v>0.1353383459</v>
      </c>
      <c r="U123" s="8">
        <f t="shared" si="3"/>
        <v>-1.99997737</v>
      </c>
      <c r="V123" s="11">
        <v>0.9258575288122843</v>
      </c>
      <c r="W123" s="7">
        <f t="shared" si="4"/>
        <v>20</v>
      </c>
      <c r="X123" s="7" t="s">
        <v>524</v>
      </c>
      <c r="Y123" s="7"/>
      <c r="Z123" s="7"/>
      <c r="AA123" s="7"/>
    </row>
    <row r="124" ht="19.5" customHeight="1">
      <c r="A124" s="7">
        <v>99.0</v>
      </c>
      <c r="B124" s="7" t="s">
        <v>521</v>
      </c>
      <c r="C124" s="8" t="s">
        <v>34</v>
      </c>
      <c r="D124" s="7" t="s">
        <v>525</v>
      </c>
      <c r="E124" s="7" t="s">
        <v>380</v>
      </c>
      <c r="F124" s="8" t="s">
        <v>37</v>
      </c>
      <c r="G124" s="8" t="s">
        <v>37</v>
      </c>
      <c r="H124" s="7" t="s">
        <v>38</v>
      </c>
      <c r="I124" s="7" t="s">
        <v>72</v>
      </c>
      <c r="J124" s="9" t="s">
        <v>40</v>
      </c>
      <c r="K124" s="7" t="s">
        <v>55</v>
      </c>
      <c r="L124" s="8" t="s">
        <v>526</v>
      </c>
      <c r="M124" s="10">
        <f t="shared" si="1"/>
        <v>1.08278537</v>
      </c>
      <c r="N124" s="7">
        <v>12.1</v>
      </c>
      <c r="O124" s="7">
        <v>3.3</v>
      </c>
      <c r="P124" s="10">
        <v>11.067971810589329</v>
      </c>
      <c r="Q124" s="10">
        <v>8.854377448471462</v>
      </c>
      <c r="R124" s="7">
        <v>10.0</v>
      </c>
      <c r="S124" s="7">
        <v>10.0</v>
      </c>
      <c r="T124" s="8">
        <f t="shared" si="2"/>
        <v>0.2727272727</v>
      </c>
      <c r="U124" s="8">
        <f t="shared" si="3"/>
        <v>-1.299282984</v>
      </c>
      <c r="V124" s="11">
        <v>0.8035956863905775</v>
      </c>
      <c r="W124" s="7">
        <f t="shared" si="4"/>
        <v>20</v>
      </c>
      <c r="X124" s="7" t="s">
        <v>524</v>
      </c>
      <c r="Y124" s="7"/>
      <c r="Z124" s="7"/>
      <c r="AA124" s="7"/>
    </row>
    <row r="125" ht="19.5" customHeight="1">
      <c r="A125" s="7">
        <v>99.0</v>
      </c>
      <c r="B125" s="7" t="s">
        <v>521</v>
      </c>
      <c r="C125" s="8" t="s">
        <v>34</v>
      </c>
      <c r="D125" s="7" t="s">
        <v>527</v>
      </c>
      <c r="E125" s="7" t="s">
        <v>380</v>
      </c>
      <c r="F125" s="8" t="s">
        <v>37</v>
      </c>
      <c r="G125" s="8" t="s">
        <v>37</v>
      </c>
      <c r="H125" s="7" t="s">
        <v>38</v>
      </c>
      <c r="I125" s="7" t="s">
        <v>72</v>
      </c>
      <c r="J125" s="9" t="s">
        <v>40</v>
      </c>
      <c r="K125" s="7" t="s">
        <v>55</v>
      </c>
      <c r="L125" s="8" t="s">
        <v>528</v>
      </c>
      <c r="M125" s="10">
        <f t="shared" si="1"/>
        <v>1.170261715</v>
      </c>
      <c r="N125" s="7">
        <v>14.8</v>
      </c>
      <c r="O125" s="7">
        <v>5.4</v>
      </c>
      <c r="P125" s="10">
        <v>23.08462691922917</v>
      </c>
      <c r="Q125" s="10">
        <v>15.811388300841898</v>
      </c>
      <c r="R125" s="7">
        <v>10.0</v>
      </c>
      <c r="S125" s="7">
        <v>10.0</v>
      </c>
      <c r="T125" s="8">
        <f t="shared" si="2"/>
        <v>0.3648648649</v>
      </c>
      <c r="U125" s="8">
        <f t="shared" si="3"/>
        <v>-1.008228227</v>
      </c>
      <c r="V125" s="11">
        <v>1.1006277173068966</v>
      </c>
      <c r="W125" s="7">
        <f t="shared" si="4"/>
        <v>20</v>
      </c>
      <c r="X125" s="7" t="s">
        <v>524</v>
      </c>
      <c r="Y125" s="7"/>
      <c r="Z125" s="7"/>
      <c r="AA125" s="7"/>
    </row>
    <row r="126" ht="19.5" customHeight="1">
      <c r="A126" s="7">
        <v>99.0</v>
      </c>
      <c r="B126" s="7" t="s">
        <v>521</v>
      </c>
      <c r="C126" s="8" t="s">
        <v>34</v>
      </c>
      <c r="D126" s="7" t="s">
        <v>529</v>
      </c>
      <c r="E126" s="7" t="s">
        <v>380</v>
      </c>
      <c r="F126" s="8" t="s">
        <v>37</v>
      </c>
      <c r="G126" s="8" t="s">
        <v>37</v>
      </c>
      <c r="H126" s="7" t="s">
        <v>38</v>
      </c>
      <c r="I126" s="7" t="s">
        <v>72</v>
      </c>
      <c r="J126" s="9" t="s">
        <v>40</v>
      </c>
      <c r="K126" s="7" t="s">
        <v>55</v>
      </c>
      <c r="L126" s="8" t="s">
        <v>526</v>
      </c>
      <c r="M126" s="10">
        <f t="shared" si="1"/>
        <v>1.222716471</v>
      </c>
      <c r="N126" s="7">
        <v>16.7</v>
      </c>
      <c r="O126" s="7">
        <v>7.4</v>
      </c>
      <c r="P126" s="10">
        <v>14.230249470757707</v>
      </c>
      <c r="Q126" s="10">
        <v>9.803060746521977</v>
      </c>
      <c r="R126" s="7">
        <v>10.0</v>
      </c>
      <c r="S126" s="7">
        <v>10.0</v>
      </c>
      <c r="T126" s="8">
        <f t="shared" si="2"/>
        <v>0.4431137725</v>
      </c>
      <c r="U126" s="8">
        <f t="shared" si="3"/>
        <v>-0.8139287192</v>
      </c>
      <c r="V126" s="11">
        <v>0.24810233310121385</v>
      </c>
      <c r="W126" s="7">
        <f t="shared" si="4"/>
        <v>20</v>
      </c>
      <c r="X126" s="7" t="s">
        <v>524</v>
      </c>
      <c r="Y126" s="7"/>
      <c r="Z126" s="7"/>
      <c r="AA126" s="7"/>
    </row>
    <row r="127" ht="19.5" customHeight="1">
      <c r="A127" s="7">
        <v>99.0</v>
      </c>
      <c r="B127" s="7" t="s">
        <v>521</v>
      </c>
      <c r="C127" s="8" t="s">
        <v>34</v>
      </c>
      <c r="D127" s="7" t="s">
        <v>530</v>
      </c>
      <c r="E127" s="7" t="s">
        <v>380</v>
      </c>
      <c r="F127" s="8" t="s">
        <v>37</v>
      </c>
      <c r="G127" s="8" t="s">
        <v>37</v>
      </c>
      <c r="H127" s="7" t="s">
        <v>38</v>
      </c>
      <c r="I127" s="7" t="s">
        <v>72</v>
      </c>
      <c r="J127" s="9" t="s">
        <v>40</v>
      </c>
      <c r="K127" s="7" t="s">
        <v>55</v>
      </c>
      <c r="L127" s="8" t="s">
        <v>531</v>
      </c>
      <c r="M127" s="10">
        <f t="shared" si="1"/>
        <v>1.100370545</v>
      </c>
      <c r="N127" s="7">
        <v>12.6</v>
      </c>
      <c r="O127" s="7">
        <v>7.7</v>
      </c>
      <c r="P127" s="10">
        <v>7.905694150420949</v>
      </c>
      <c r="Q127" s="10">
        <v>7.58946638440411</v>
      </c>
      <c r="R127" s="7">
        <v>10.0</v>
      </c>
      <c r="S127" s="7">
        <v>10.0</v>
      </c>
      <c r="T127" s="8">
        <f t="shared" si="2"/>
        <v>0.6111111111</v>
      </c>
      <c r="U127" s="8">
        <f t="shared" si="3"/>
        <v>-0.4924764851</v>
      </c>
      <c r="V127" s="11">
        <v>0.13651720253451854</v>
      </c>
      <c r="W127" s="7">
        <f t="shared" si="4"/>
        <v>20</v>
      </c>
      <c r="X127" s="7" t="s">
        <v>524</v>
      </c>
      <c r="Y127" s="7"/>
      <c r="Z127" s="7"/>
      <c r="AA127" s="7"/>
    </row>
    <row r="128" ht="19.5" customHeight="1">
      <c r="A128" s="7">
        <v>99.0</v>
      </c>
      <c r="B128" s="7" t="s">
        <v>521</v>
      </c>
      <c r="C128" s="8" t="s">
        <v>34</v>
      </c>
      <c r="D128" s="7" t="s">
        <v>532</v>
      </c>
      <c r="E128" s="7" t="s">
        <v>380</v>
      </c>
      <c r="F128" s="8" t="s">
        <v>37</v>
      </c>
      <c r="G128" s="8" t="s">
        <v>37</v>
      </c>
      <c r="H128" s="7" t="s">
        <v>38</v>
      </c>
      <c r="I128" s="7" t="s">
        <v>72</v>
      </c>
      <c r="J128" s="9" t="s">
        <v>40</v>
      </c>
      <c r="K128" s="7" t="s">
        <v>55</v>
      </c>
      <c r="L128" s="8" t="s">
        <v>533</v>
      </c>
      <c r="M128" s="10">
        <f t="shared" si="1"/>
        <v>1.149219113</v>
      </c>
      <c r="N128" s="7">
        <v>14.1</v>
      </c>
      <c r="O128" s="7">
        <v>8.9</v>
      </c>
      <c r="P128" s="10">
        <v>15.17893276880822</v>
      </c>
      <c r="Q128" s="10">
        <v>19.92234925906079</v>
      </c>
      <c r="R128" s="7">
        <v>10.0</v>
      </c>
      <c r="S128" s="7">
        <v>10.0</v>
      </c>
      <c r="T128" s="8">
        <f t="shared" si="2"/>
        <v>0.6312056738</v>
      </c>
      <c r="U128" s="8">
        <f t="shared" si="3"/>
        <v>-0.4601235206</v>
      </c>
      <c r="V128" s="11">
        <v>0.6169626396107464</v>
      </c>
      <c r="W128" s="7">
        <f t="shared" si="4"/>
        <v>20</v>
      </c>
      <c r="X128" s="7" t="s">
        <v>524</v>
      </c>
      <c r="Y128" s="7"/>
      <c r="Z128" s="7"/>
      <c r="AA128" s="7"/>
    </row>
    <row r="129" ht="19.5" customHeight="1">
      <c r="A129" s="7">
        <v>99.0</v>
      </c>
      <c r="B129" s="7" t="s">
        <v>521</v>
      </c>
      <c r="C129" s="8" t="s">
        <v>34</v>
      </c>
      <c r="D129" s="7" t="s">
        <v>534</v>
      </c>
      <c r="E129" s="7" t="s">
        <v>380</v>
      </c>
      <c r="F129" s="8" t="s">
        <v>37</v>
      </c>
      <c r="G129" s="8" t="s">
        <v>37</v>
      </c>
      <c r="H129" s="7" t="s">
        <v>38</v>
      </c>
      <c r="I129" s="7" t="s">
        <v>72</v>
      </c>
      <c r="J129" s="9" t="s">
        <v>40</v>
      </c>
      <c r="K129" s="7" t="s">
        <v>55</v>
      </c>
      <c r="L129" s="8" t="s">
        <v>535</v>
      </c>
      <c r="M129" s="10">
        <f t="shared" si="1"/>
        <v>1.103803721</v>
      </c>
      <c r="N129" s="7">
        <v>12.7</v>
      </c>
      <c r="O129" s="7">
        <v>8.0</v>
      </c>
      <c r="P129" s="10">
        <v>20.554804791094465</v>
      </c>
      <c r="Q129" s="10">
        <v>15.495160534825061</v>
      </c>
      <c r="R129" s="7">
        <v>10.0</v>
      </c>
      <c r="S129" s="7">
        <v>10.0</v>
      </c>
      <c r="T129" s="8">
        <f t="shared" si="2"/>
        <v>0.6299212598</v>
      </c>
      <c r="U129" s="8">
        <f t="shared" si="3"/>
        <v>-0.4621604518</v>
      </c>
      <c r="V129" s="11">
        <v>0.637106773901048</v>
      </c>
      <c r="W129" s="7">
        <f t="shared" si="4"/>
        <v>20</v>
      </c>
      <c r="X129" s="7" t="s">
        <v>524</v>
      </c>
      <c r="Y129" s="7"/>
      <c r="Z129" s="7"/>
      <c r="AA129" s="7"/>
    </row>
    <row r="130" ht="19.5" customHeight="1">
      <c r="A130" s="7">
        <v>99.0</v>
      </c>
      <c r="B130" s="7" t="s">
        <v>521</v>
      </c>
      <c r="C130" s="8" t="s">
        <v>34</v>
      </c>
      <c r="D130" s="7" t="s">
        <v>536</v>
      </c>
      <c r="E130" s="7" t="s">
        <v>380</v>
      </c>
      <c r="F130" s="8" t="s">
        <v>37</v>
      </c>
      <c r="G130" s="8" t="s">
        <v>37</v>
      </c>
      <c r="H130" s="7" t="s">
        <v>38</v>
      </c>
      <c r="I130" s="7" t="s">
        <v>72</v>
      </c>
      <c r="J130" s="9" t="s">
        <v>40</v>
      </c>
      <c r="K130" s="7" t="s">
        <v>55</v>
      </c>
      <c r="L130" s="8" t="s">
        <v>535</v>
      </c>
      <c r="M130" s="10">
        <f t="shared" si="1"/>
        <v>1.025305865</v>
      </c>
      <c r="N130" s="7">
        <v>10.6</v>
      </c>
      <c r="O130" s="7">
        <v>6.9</v>
      </c>
      <c r="P130" s="10">
        <v>8.221921916437788</v>
      </c>
      <c r="Q130" s="10">
        <v>9.486832980505138</v>
      </c>
      <c r="R130" s="7">
        <v>10.0</v>
      </c>
      <c r="S130" s="7">
        <v>10.0</v>
      </c>
      <c r="T130" s="8">
        <f t="shared" si="2"/>
        <v>0.6509433962</v>
      </c>
      <c r="U130" s="8">
        <f t="shared" si="3"/>
        <v>-0.4293325895</v>
      </c>
      <c r="V130" s="11">
        <v>0.24919967616915922</v>
      </c>
      <c r="W130" s="7">
        <f t="shared" si="4"/>
        <v>20</v>
      </c>
      <c r="X130" s="7" t="s">
        <v>524</v>
      </c>
      <c r="Y130" s="7"/>
      <c r="Z130" s="7"/>
      <c r="AA130" s="7"/>
    </row>
    <row r="131" ht="19.5" customHeight="1">
      <c r="A131" s="7">
        <v>99.0</v>
      </c>
      <c r="B131" s="7" t="s">
        <v>521</v>
      </c>
      <c r="C131" s="8" t="s">
        <v>34</v>
      </c>
      <c r="D131" s="7" t="s">
        <v>537</v>
      </c>
      <c r="E131" s="7" t="s">
        <v>380</v>
      </c>
      <c r="F131" s="8" t="s">
        <v>37</v>
      </c>
      <c r="G131" s="8" t="s">
        <v>37</v>
      </c>
      <c r="H131" s="7" t="s">
        <v>38</v>
      </c>
      <c r="I131" s="7" t="s">
        <v>72</v>
      </c>
      <c r="J131" s="9" t="s">
        <v>40</v>
      </c>
      <c r="K131" s="7" t="s">
        <v>55</v>
      </c>
      <c r="L131" s="8" t="s">
        <v>538</v>
      </c>
      <c r="M131" s="10">
        <f t="shared" si="1"/>
        <v>1.214843848</v>
      </c>
      <c r="N131" s="7">
        <v>16.4</v>
      </c>
      <c r="O131" s="7">
        <v>12.0</v>
      </c>
      <c r="P131" s="10">
        <v>21.187260323128143</v>
      </c>
      <c r="Q131" s="10">
        <v>19.92234925906079</v>
      </c>
      <c r="R131" s="7">
        <v>10.0</v>
      </c>
      <c r="S131" s="7">
        <v>10.0</v>
      </c>
      <c r="T131" s="8">
        <f t="shared" si="2"/>
        <v>0.7317073171</v>
      </c>
      <c r="U131" s="8">
        <f t="shared" si="3"/>
        <v>-0.312374685</v>
      </c>
      <c r="V131" s="11">
        <v>0.4425271415823915</v>
      </c>
      <c r="W131" s="7">
        <f t="shared" si="4"/>
        <v>20</v>
      </c>
      <c r="X131" s="7" t="s">
        <v>524</v>
      </c>
      <c r="Y131" s="7"/>
      <c r="Z131" s="7"/>
      <c r="AA131" s="7"/>
    </row>
    <row r="132" ht="19.5" customHeight="1">
      <c r="A132" s="7">
        <v>99.0</v>
      </c>
      <c r="B132" s="7" t="s">
        <v>521</v>
      </c>
      <c r="C132" s="8" t="s">
        <v>34</v>
      </c>
      <c r="D132" s="7" t="s">
        <v>539</v>
      </c>
      <c r="E132" s="7" t="s">
        <v>380</v>
      </c>
      <c r="F132" s="8" t="s">
        <v>37</v>
      </c>
      <c r="G132" s="8" t="s">
        <v>37</v>
      </c>
      <c r="H132" s="7" t="s">
        <v>38</v>
      </c>
      <c r="I132" s="7" t="s">
        <v>72</v>
      </c>
      <c r="J132" s="9" t="s">
        <v>40</v>
      </c>
      <c r="K132" s="7" t="s">
        <v>55</v>
      </c>
      <c r="L132" s="8" t="s">
        <v>531</v>
      </c>
      <c r="M132" s="10">
        <f t="shared" si="1"/>
        <v>1.155336037</v>
      </c>
      <c r="N132" s="7">
        <v>14.3</v>
      </c>
      <c r="O132" s="7">
        <v>9.9</v>
      </c>
      <c r="P132" s="10">
        <v>17.708754896942924</v>
      </c>
      <c r="Q132" s="10">
        <v>8.221921916437788</v>
      </c>
      <c r="R132" s="7">
        <v>10.0</v>
      </c>
      <c r="S132" s="7">
        <v>10.0</v>
      </c>
      <c r="T132" s="8">
        <f t="shared" si="2"/>
        <v>0.6923076923</v>
      </c>
      <c r="U132" s="8">
        <f t="shared" si="3"/>
        <v>-0.3677247801</v>
      </c>
      <c r="V132" s="11">
        <v>0.2223296861991501</v>
      </c>
      <c r="W132" s="7">
        <f t="shared" si="4"/>
        <v>20</v>
      </c>
      <c r="X132" s="7" t="s">
        <v>524</v>
      </c>
      <c r="Y132" s="7"/>
      <c r="Z132" s="7"/>
      <c r="AA132" s="7"/>
    </row>
    <row r="133" ht="19.5" customHeight="1">
      <c r="A133" s="7">
        <v>99.0</v>
      </c>
      <c r="B133" s="7" t="s">
        <v>521</v>
      </c>
      <c r="C133" s="8" t="s">
        <v>34</v>
      </c>
      <c r="D133" s="7" t="s">
        <v>540</v>
      </c>
      <c r="E133" s="7" t="s">
        <v>380</v>
      </c>
      <c r="F133" s="8" t="s">
        <v>37</v>
      </c>
      <c r="G133" s="8" t="s">
        <v>37</v>
      </c>
      <c r="H133" s="7" t="s">
        <v>38</v>
      </c>
      <c r="I133" s="7" t="s">
        <v>72</v>
      </c>
      <c r="J133" s="9" t="s">
        <v>40</v>
      </c>
      <c r="K133" s="7" t="s">
        <v>55</v>
      </c>
      <c r="L133" s="8" t="s">
        <v>541</v>
      </c>
      <c r="M133" s="10">
        <f t="shared" si="1"/>
        <v>1.324282455</v>
      </c>
      <c r="N133" s="7">
        <v>21.1</v>
      </c>
      <c r="O133" s="7">
        <v>16.4</v>
      </c>
      <c r="P133" s="10">
        <v>7.273238618387272</v>
      </c>
      <c r="Q133" s="10">
        <v>12.016655108639842</v>
      </c>
      <c r="R133" s="7">
        <v>10.0</v>
      </c>
      <c r="S133" s="7">
        <v>10.0</v>
      </c>
      <c r="T133" s="8">
        <f t="shared" si="2"/>
        <v>0.7772511848</v>
      </c>
      <c r="U133" s="8">
        <f t="shared" si="3"/>
        <v>-0.2519917057</v>
      </c>
      <c r="V133" s="11">
        <v>0.06557031398306364</v>
      </c>
      <c r="W133" s="7">
        <f t="shared" si="4"/>
        <v>20</v>
      </c>
      <c r="X133" s="7" t="s">
        <v>524</v>
      </c>
      <c r="Y133" s="7"/>
      <c r="Z133" s="7"/>
      <c r="AA133" s="7"/>
    </row>
    <row r="134" ht="19.5" customHeight="1">
      <c r="A134" s="7">
        <v>99.0</v>
      </c>
      <c r="B134" s="7" t="s">
        <v>521</v>
      </c>
      <c r="C134" s="8" t="s">
        <v>34</v>
      </c>
      <c r="D134" s="7" t="s">
        <v>542</v>
      </c>
      <c r="E134" s="7" t="s">
        <v>380</v>
      </c>
      <c r="F134" s="8" t="s">
        <v>37</v>
      </c>
      <c r="G134" s="8" t="s">
        <v>37</v>
      </c>
      <c r="H134" s="7" t="s">
        <v>38</v>
      </c>
      <c r="I134" s="7" t="s">
        <v>72</v>
      </c>
      <c r="J134" s="9" t="s">
        <v>40</v>
      </c>
      <c r="K134" s="7" t="s">
        <v>55</v>
      </c>
      <c r="L134" s="8" t="s">
        <v>528</v>
      </c>
      <c r="M134" s="10">
        <f t="shared" si="1"/>
        <v>1.037426498</v>
      </c>
      <c r="N134" s="7">
        <v>10.9</v>
      </c>
      <c r="O134" s="7">
        <v>9.5</v>
      </c>
      <c r="P134" s="10">
        <v>23.40085468524601</v>
      </c>
      <c r="Q134" s="10">
        <v>24.033310217279684</v>
      </c>
      <c r="R134" s="7">
        <v>10.0</v>
      </c>
      <c r="S134" s="7">
        <v>10.0</v>
      </c>
      <c r="T134" s="8">
        <f t="shared" si="2"/>
        <v>0.871559633</v>
      </c>
      <c r="U134" s="8">
        <f t="shared" si="3"/>
        <v>-0.1374709906</v>
      </c>
      <c r="V134" s="11">
        <v>1.1009039643127685</v>
      </c>
      <c r="W134" s="7">
        <f t="shared" si="4"/>
        <v>20</v>
      </c>
      <c r="X134" s="7" t="s">
        <v>524</v>
      </c>
      <c r="Y134" s="7"/>
      <c r="Z134" s="7"/>
      <c r="AA134" s="7"/>
    </row>
    <row r="135" ht="19.5" customHeight="1">
      <c r="A135" s="7">
        <v>99.0</v>
      </c>
      <c r="B135" s="7" t="s">
        <v>521</v>
      </c>
      <c r="C135" s="8" t="s">
        <v>34</v>
      </c>
      <c r="D135" s="7" t="s">
        <v>543</v>
      </c>
      <c r="E135" s="7" t="s">
        <v>380</v>
      </c>
      <c r="F135" s="8" t="s">
        <v>37</v>
      </c>
      <c r="G135" s="8" t="s">
        <v>37</v>
      </c>
      <c r="H135" s="7" t="s">
        <v>38</v>
      </c>
      <c r="I135" s="7" t="s">
        <v>72</v>
      </c>
      <c r="J135" s="9" t="s">
        <v>40</v>
      </c>
      <c r="K135" s="7" t="s">
        <v>55</v>
      </c>
      <c r="L135" s="8" t="s">
        <v>544</v>
      </c>
      <c r="M135" s="10">
        <f t="shared" si="1"/>
        <v>1.235528447</v>
      </c>
      <c r="N135" s="7">
        <v>17.2</v>
      </c>
      <c r="O135" s="7">
        <v>17.1</v>
      </c>
      <c r="P135" s="10">
        <v>23.40085468524601</v>
      </c>
      <c r="Q135" s="10">
        <v>24.033310217279684</v>
      </c>
      <c r="R135" s="7">
        <v>10.0</v>
      </c>
      <c r="S135" s="7">
        <v>10.0</v>
      </c>
      <c r="T135" s="8">
        <f t="shared" si="2"/>
        <v>0.9941860465</v>
      </c>
      <c r="U135" s="8">
        <f t="shared" si="3"/>
        <v>-0.005830920311</v>
      </c>
      <c r="V135" s="11">
        <v>0.3826309182808192</v>
      </c>
      <c r="W135" s="7">
        <f t="shared" si="4"/>
        <v>20</v>
      </c>
      <c r="X135" s="7" t="s">
        <v>524</v>
      </c>
      <c r="Y135" s="7"/>
      <c r="Z135" s="7"/>
      <c r="AA135" s="7"/>
    </row>
    <row r="136" ht="19.5" customHeight="1">
      <c r="A136" s="7">
        <v>100.0</v>
      </c>
      <c r="B136" s="7" t="s">
        <v>545</v>
      </c>
      <c r="C136" s="8" t="s">
        <v>34</v>
      </c>
      <c r="D136" s="7" t="s">
        <v>546</v>
      </c>
      <c r="E136" s="7" t="s">
        <v>547</v>
      </c>
      <c r="F136" s="7" t="s">
        <v>37</v>
      </c>
      <c r="G136" s="8" t="s">
        <v>37</v>
      </c>
      <c r="H136" s="7" t="s">
        <v>38</v>
      </c>
      <c r="I136" s="7" t="s">
        <v>39</v>
      </c>
      <c r="J136" s="9" t="s">
        <v>40</v>
      </c>
      <c r="K136" s="7" t="s">
        <v>105</v>
      </c>
      <c r="L136" s="8" t="s">
        <v>548</v>
      </c>
      <c r="M136" s="10">
        <f t="shared" si="1"/>
        <v>0.5954962218</v>
      </c>
      <c r="N136" s="7">
        <v>3.94</v>
      </c>
      <c r="O136" s="7">
        <v>3.24</v>
      </c>
      <c r="P136" s="10">
        <v>1.697056274847714</v>
      </c>
      <c r="Q136" s="10">
        <v>1.3010764773832475</v>
      </c>
      <c r="R136" s="7">
        <v>8.0</v>
      </c>
      <c r="S136" s="7">
        <v>8.0</v>
      </c>
      <c r="T136" s="8">
        <f t="shared" si="2"/>
        <v>0.8223350254</v>
      </c>
      <c r="U136" s="8">
        <f t="shared" si="3"/>
        <v>-0.1956073935</v>
      </c>
      <c r="V136" s="11">
        <v>0.04334748531363758</v>
      </c>
      <c r="W136" s="7">
        <f t="shared" si="4"/>
        <v>16</v>
      </c>
      <c r="X136" s="7" t="s">
        <v>549</v>
      </c>
      <c r="Y136" s="7"/>
      <c r="Z136" s="7"/>
      <c r="AA136" s="7"/>
    </row>
    <row r="137" ht="19.5" customHeight="1">
      <c r="A137" s="7">
        <v>101.0</v>
      </c>
      <c r="B137" s="7" t="s">
        <v>550</v>
      </c>
      <c r="C137" s="8" t="s">
        <v>34</v>
      </c>
      <c r="D137" s="7" t="s">
        <v>551</v>
      </c>
      <c r="E137" s="7" t="s">
        <v>552</v>
      </c>
      <c r="F137" s="7" t="s">
        <v>47</v>
      </c>
      <c r="G137" s="8" t="s">
        <v>37</v>
      </c>
      <c r="H137" s="7" t="s">
        <v>38</v>
      </c>
      <c r="I137" s="7" t="s">
        <v>39</v>
      </c>
      <c r="J137" s="9" t="s">
        <v>40</v>
      </c>
      <c r="K137" s="7" t="s">
        <v>41</v>
      </c>
      <c r="L137" s="8" t="s">
        <v>254</v>
      </c>
      <c r="M137" s="10">
        <f t="shared" si="1"/>
        <v>0.9642596302</v>
      </c>
      <c r="N137" s="7">
        <v>9.21</v>
      </c>
      <c r="O137" s="7">
        <v>7.54</v>
      </c>
      <c r="P137" s="10">
        <v>1.922576396401454</v>
      </c>
      <c r="Q137" s="10">
        <v>1.922576396401454</v>
      </c>
      <c r="R137" s="7">
        <v>3.0</v>
      </c>
      <c r="S137" s="7">
        <v>3.0</v>
      </c>
      <c r="T137" s="8">
        <f t="shared" si="2"/>
        <v>0.8186753529</v>
      </c>
      <c r="U137" s="8">
        <f t="shared" si="3"/>
        <v>-0.2000676682</v>
      </c>
      <c r="V137" s="11">
        <v>0.036197566325186316</v>
      </c>
      <c r="W137" s="7">
        <f t="shared" si="4"/>
        <v>6</v>
      </c>
      <c r="X137" s="7" t="s">
        <v>553</v>
      </c>
      <c r="Y137" s="7"/>
      <c r="Z137" s="7"/>
      <c r="AA137" s="7"/>
    </row>
    <row r="138" ht="19.5" customHeight="1">
      <c r="A138" s="7">
        <v>102.0</v>
      </c>
      <c r="B138" s="7" t="s">
        <v>554</v>
      </c>
      <c r="C138" s="7" t="s">
        <v>109</v>
      </c>
      <c r="D138" s="7" t="s">
        <v>110</v>
      </c>
      <c r="E138" s="7" t="s">
        <v>555</v>
      </c>
      <c r="F138" s="7" t="s">
        <v>37</v>
      </c>
      <c r="G138" s="9" t="s">
        <v>40</v>
      </c>
      <c r="H138" s="7" t="s">
        <v>90</v>
      </c>
      <c r="I138" s="7" t="s">
        <v>39</v>
      </c>
      <c r="J138" s="7">
        <f>7*7</f>
        <v>49</v>
      </c>
      <c r="K138" s="7" t="s">
        <v>178</v>
      </c>
      <c r="L138" s="8" t="s">
        <v>556</v>
      </c>
      <c r="M138" s="10">
        <f t="shared" si="1"/>
        <v>0.7528164312</v>
      </c>
      <c r="N138" s="7">
        <v>5.66</v>
      </c>
      <c r="O138" s="7">
        <v>3.39</v>
      </c>
      <c r="P138" s="10">
        <v>0.0</v>
      </c>
      <c r="Q138" s="10">
        <v>0.762102355330306</v>
      </c>
      <c r="R138" s="7">
        <v>3.0</v>
      </c>
      <c r="S138" s="7">
        <v>3.0</v>
      </c>
      <c r="T138" s="8">
        <f t="shared" si="2"/>
        <v>0.5989399293</v>
      </c>
      <c r="U138" s="8">
        <f t="shared" si="3"/>
        <v>-0.5125939708</v>
      </c>
      <c r="V138" s="11">
        <v>0.016846355322351875</v>
      </c>
      <c r="W138" s="7">
        <f t="shared" si="4"/>
        <v>6</v>
      </c>
      <c r="X138" s="8" t="s">
        <v>557</v>
      </c>
      <c r="Y138" s="7"/>
      <c r="Z138" s="7"/>
      <c r="AA138" s="7"/>
    </row>
    <row r="139" ht="19.5" customHeight="1">
      <c r="A139" s="7">
        <v>103.0</v>
      </c>
      <c r="B139" s="7" t="s">
        <v>558</v>
      </c>
      <c r="C139" s="7" t="s">
        <v>170</v>
      </c>
      <c r="D139" s="7" t="s">
        <v>369</v>
      </c>
      <c r="E139" s="7" t="s">
        <v>559</v>
      </c>
      <c r="F139" s="7" t="s">
        <v>47</v>
      </c>
      <c r="G139" s="9" t="s">
        <v>40</v>
      </c>
      <c r="H139" s="7" t="s">
        <v>90</v>
      </c>
      <c r="I139" s="7" t="s">
        <v>39</v>
      </c>
      <c r="J139" s="7">
        <v>23.0</v>
      </c>
      <c r="K139" s="7" t="s">
        <v>73</v>
      </c>
      <c r="L139" s="8" t="s">
        <v>560</v>
      </c>
      <c r="M139" s="10">
        <f t="shared" si="1"/>
        <v>1.284205068</v>
      </c>
      <c r="N139" s="7">
        <v>19.24</v>
      </c>
      <c r="O139" s="7">
        <v>21.29</v>
      </c>
      <c r="P139" s="10">
        <v>4.24</v>
      </c>
      <c r="Q139" s="10">
        <v>3.92</v>
      </c>
      <c r="R139" s="7">
        <v>16.0</v>
      </c>
      <c r="S139" s="7">
        <v>16.0</v>
      </c>
      <c r="T139" s="8">
        <f t="shared" si="2"/>
        <v>1.106548857</v>
      </c>
      <c r="U139" s="8">
        <f t="shared" si="3"/>
        <v>0.1012460337</v>
      </c>
      <c r="V139" s="11">
        <v>0.005154152817088489</v>
      </c>
      <c r="W139" s="7">
        <f t="shared" si="4"/>
        <v>32</v>
      </c>
      <c r="X139" s="7" t="s">
        <v>561</v>
      </c>
      <c r="Y139" s="7"/>
      <c r="Z139" s="7"/>
      <c r="AA139" s="7"/>
    </row>
    <row r="140" ht="19.5" customHeight="1">
      <c r="A140" s="7">
        <v>104.0</v>
      </c>
      <c r="B140" s="7" t="s">
        <v>562</v>
      </c>
      <c r="C140" s="7" t="s">
        <v>187</v>
      </c>
      <c r="D140" s="7" t="s">
        <v>64</v>
      </c>
      <c r="E140" s="7" t="s">
        <v>563</v>
      </c>
      <c r="F140" s="7" t="s">
        <v>47</v>
      </c>
      <c r="G140" s="9" t="s">
        <v>40</v>
      </c>
      <c r="H140" s="7" t="s">
        <v>38</v>
      </c>
      <c r="I140" s="7" t="s">
        <v>39</v>
      </c>
      <c r="J140" s="9" t="s">
        <v>40</v>
      </c>
      <c r="K140" s="8" t="s">
        <v>153</v>
      </c>
      <c r="L140" s="8" t="s">
        <v>564</v>
      </c>
      <c r="M140" s="10">
        <f t="shared" si="1"/>
        <v>1.098989639</v>
      </c>
      <c r="N140" s="7">
        <v>12.56</v>
      </c>
      <c r="O140" s="7">
        <v>11.0</v>
      </c>
      <c r="P140" s="10">
        <v>1.5256146302392357</v>
      </c>
      <c r="Q140" s="10">
        <v>4.17612260356422</v>
      </c>
      <c r="R140" s="7">
        <v>19.0</v>
      </c>
      <c r="S140" s="7">
        <v>109.0</v>
      </c>
      <c r="T140" s="8">
        <f t="shared" si="2"/>
        <v>0.8757961783</v>
      </c>
      <c r="U140" s="8">
        <f t="shared" si="3"/>
        <v>-0.1326218882</v>
      </c>
      <c r="V140" s="11">
        <v>0.002098841494919245</v>
      </c>
      <c r="W140" s="7">
        <f t="shared" si="4"/>
        <v>128</v>
      </c>
      <c r="X140" s="7" t="s">
        <v>565</v>
      </c>
      <c r="Y140" s="7"/>
      <c r="Z140" s="7"/>
      <c r="AA140" s="7"/>
    </row>
    <row r="141" ht="19.5" customHeight="1">
      <c r="A141" s="7">
        <v>105.0</v>
      </c>
      <c r="B141" s="7" t="s">
        <v>566</v>
      </c>
      <c r="C141" s="8" t="s">
        <v>34</v>
      </c>
      <c r="D141" s="7" t="s">
        <v>567</v>
      </c>
      <c r="E141" s="7" t="s">
        <v>568</v>
      </c>
      <c r="F141" s="7" t="s">
        <v>78</v>
      </c>
      <c r="G141" s="7" t="s">
        <v>37</v>
      </c>
      <c r="H141" s="7" t="s">
        <v>38</v>
      </c>
      <c r="I141" s="7" t="s">
        <v>39</v>
      </c>
      <c r="J141" s="9" t="s">
        <v>40</v>
      </c>
      <c r="K141" s="7" t="s">
        <v>153</v>
      </c>
      <c r="L141" s="8" t="s">
        <v>569</v>
      </c>
      <c r="M141" s="10">
        <f t="shared" si="1"/>
        <v>1.104828404</v>
      </c>
      <c r="N141" s="7">
        <v>12.73</v>
      </c>
      <c r="O141" s="7">
        <v>6.86</v>
      </c>
      <c r="P141" s="10">
        <v>1.4758048651498614</v>
      </c>
      <c r="Q141" s="10">
        <v>0.6931810730249348</v>
      </c>
      <c r="R141" s="7">
        <v>5.0</v>
      </c>
      <c r="S141" s="7">
        <v>5.0</v>
      </c>
      <c r="T141" s="8">
        <f t="shared" si="2"/>
        <v>0.5388845247</v>
      </c>
      <c r="U141" s="8">
        <f t="shared" si="3"/>
        <v>-0.6182539708</v>
      </c>
      <c r="V141" s="11">
        <v>0.004730102442597455</v>
      </c>
      <c r="W141" s="7">
        <f t="shared" si="4"/>
        <v>10</v>
      </c>
      <c r="X141" s="7" t="s">
        <v>570</v>
      </c>
      <c r="Y141" s="7"/>
      <c r="Z141" s="7"/>
      <c r="AA141" s="7"/>
    </row>
    <row r="142" ht="19.5" customHeight="1">
      <c r="A142" s="7">
        <v>106.0</v>
      </c>
      <c r="B142" s="8" t="s">
        <v>571</v>
      </c>
      <c r="C142" s="8" t="s">
        <v>34</v>
      </c>
      <c r="D142" s="8" t="s">
        <v>572</v>
      </c>
      <c r="E142" s="8" t="s">
        <v>573</v>
      </c>
      <c r="F142" s="8" t="s">
        <v>47</v>
      </c>
      <c r="G142" s="8" t="s">
        <v>47</v>
      </c>
      <c r="H142" s="7" t="s">
        <v>90</v>
      </c>
      <c r="I142" s="8" t="s">
        <v>39</v>
      </c>
      <c r="J142" s="7">
        <f>12*7</f>
        <v>84</v>
      </c>
      <c r="K142" s="8" t="s">
        <v>178</v>
      </c>
      <c r="L142" s="8" t="s">
        <v>574</v>
      </c>
      <c r="M142" s="10">
        <f t="shared" si="1"/>
        <v>1.201943063</v>
      </c>
      <c r="N142" s="7">
        <v>15.92</v>
      </c>
      <c r="O142" s="7">
        <v>16.2</v>
      </c>
      <c r="P142" s="10">
        <v>2.0871032557111304</v>
      </c>
      <c r="Q142" s="10">
        <v>2.0871032557111304</v>
      </c>
      <c r="R142" s="7">
        <v>10.0</v>
      </c>
      <c r="S142" s="7">
        <v>10.0</v>
      </c>
      <c r="T142" s="8">
        <f t="shared" si="2"/>
        <v>1.01758794</v>
      </c>
      <c r="U142" s="8">
        <f t="shared" si="3"/>
        <v>0.01743506182</v>
      </c>
      <c r="V142" s="11">
        <v>0.0033785145544224767</v>
      </c>
      <c r="W142" s="7">
        <f t="shared" si="4"/>
        <v>20</v>
      </c>
      <c r="X142" s="8" t="s">
        <v>575</v>
      </c>
      <c r="Y142" s="7"/>
      <c r="Z142" s="7"/>
      <c r="AA142" s="7"/>
    </row>
    <row r="143" ht="19.5" customHeight="1">
      <c r="A143" s="7">
        <v>106.0</v>
      </c>
      <c r="B143" s="8" t="s">
        <v>571</v>
      </c>
      <c r="C143" s="8" t="s">
        <v>34</v>
      </c>
      <c r="D143" s="8" t="s">
        <v>576</v>
      </c>
      <c r="E143" s="8" t="s">
        <v>577</v>
      </c>
      <c r="F143" s="8" t="s">
        <v>47</v>
      </c>
      <c r="G143" s="8" t="s">
        <v>47</v>
      </c>
      <c r="H143" s="7" t="s">
        <v>90</v>
      </c>
      <c r="I143" s="8" t="s">
        <v>39</v>
      </c>
      <c r="J143" s="7">
        <v>84.0</v>
      </c>
      <c r="K143" s="8" t="s">
        <v>178</v>
      </c>
      <c r="L143" s="8" t="s">
        <v>574</v>
      </c>
      <c r="M143" s="10">
        <f t="shared" si="1"/>
        <v>1.105510185</v>
      </c>
      <c r="N143" s="7">
        <v>12.75</v>
      </c>
      <c r="O143" s="7">
        <v>12.68</v>
      </c>
      <c r="P143" s="10">
        <v>2.616199533674754</v>
      </c>
      <c r="Q143" s="10">
        <v>0.8049844718999243</v>
      </c>
      <c r="R143" s="7">
        <v>5.0</v>
      </c>
      <c r="S143" s="7">
        <v>5.0</v>
      </c>
      <c r="T143" s="8">
        <f t="shared" si="2"/>
        <v>0.9945098039</v>
      </c>
      <c r="U143" s="8">
        <f t="shared" si="3"/>
        <v>-0.005505322595</v>
      </c>
      <c r="V143" s="11">
        <v>0.0092268196202232</v>
      </c>
      <c r="W143" s="7">
        <f t="shared" si="4"/>
        <v>10</v>
      </c>
      <c r="X143" s="8" t="s">
        <v>575</v>
      </c>
      <c r="Y143" s="7"/>
      <c r="Z143" s="7"/>
      <c r="AA143" s="7"/>
    </row>
    <row r="144" ht="19.5" customHeight="1">
      <c r="A144" s="7">
        <v>107.0</v>
      </c>
      <c r="B144" s="7" t="s">
        <v>578</v>
      </c>
      <c r="C144" s="7" t="s">
        <v>342</v>
      </c>
      <c r="D144" s="7" t="s">
        <v>110</v>
      </c>
      <c r="E144" s="17" t="s">
        <v>579</v>
      </c>
      <c r="F144" s="17" t="s">
        <v>47</v>
      </c>
      <c r="G144" s="18" t="s">
        <v>40</v>
      </c>
      <c r="H144" s="7" t="s">
        <v>90</v>
      </c>
      <c r="I144" s="7" t="s">
        <v>39</v>
      </c>
      <c r="J144" s="7">
        <f t="shared" ref="J144:J146" si="6">13*365</f>
        <v>4745</v>
      </c>
      <c r="K144" s="7" t="s">
        <v>105</v>
      </c>
      <c r="L144" s="7" t="s">
        <v>580</v>
      </c>
      <c r="M144" s="10">
        <f t="shared" si="1"/>
        <v>0.4996870826</v>
      </c>
      <c r="N144" s="7">
        <v>3.16</v>
      </c>
      <c r="O144" s="7">
        <v>4.45</v>
      </c>
      <c r="P144" s="10">
        <v>0.6235382907247957</v>
      </c>
      <c r="Q144" s="10">
        <v>0.6928203230275509</v>
      </c>
      <c r="R144" s="7">
        <v>3.0</v>
      </c>
      <c r="S144" s="7">
        <v>3.0</v>
      </c>
      <c r="T144" s="8">
        <f t="shared" si="2"/>
        <v>1.408227848</v>
      </c>
      <c r="U144" s="8">
        <f t="shared" si="3"/>
        <v>0.3423320686</v>
      </c>
      <c r="V144" s="11">
        <v>0.02105847721817763</v>
      </c>
      <c r="W144" s="7">
        <f t="shared" si="4"/>
        <v>6</v>
      </c>
      <c r="X144" s="7" t="s">
        <v>581</v>
      </c>
      <c r="Y144" s="7"/>
      <c r="Z144" s="7"/>
      <c r="AA144" s="7"/>
    </row>
    <row r="145" ht="19.5" customHeight="1">
      <c r="A145" s="7">
        <v>107.0</v>
      </c>
      <c r="B145" s="7" t="s">
        <v>578</v>
      </c>
      <c r="C145" s="7" t="s">
        <v>342</v>
      </c>
      <c r="D145" s="7" t="s">
        <v>110</v>
      </c>
      <c r="E145" s="17" t="s">
        <v>582</v>
      </c>
      <c r="F145" s="17" t="s">
        <v>47</v>
      </c>
      <c r="G145" s="18" t="s">
        <v>40</v>
      </c>
      <c r="H145" s="7" t="s">
        <v>90</v>
      </c>
      <c r="I145" s="7" t="s">
        <v>39</v>
      </c>
      <c r="J145" s="7">
        <f t="shared" si="6"/>
        <v>4745</v>
      </c>
      <c r="K145" s="7" t="s">
        <v>105</v>
      </c>
      <c r="L145" s="7" t="s">
        <v>583</v>
      </c>
      <c r="M145" s="10">
        <f t="shared" si="1"/>
        <v>0.4265112614</v>
      </c>
      <c r="N145" s="7">
        <v>2.67</v>
      </c>
      <c r="O145" s="7">
        <v>2.33</v>
      </c>
      <c r="P145" s="10">
        <v>0.6928203230275509</v>
      </c>
      <c r="Q145" s="10">
        <v>0.7101408311032396</v>
      </c>
      <c r="R145" s="7">
        <v>3.0</v>
      </c>
      <c r="S145" s="7">
        <v>3.0</v>
      </c>
      <c r="T145" s="8">
        <f t="shared" si="2"/>
        <v>0.872659176</v>
      </c>
      <c r="U145" s="8">
        <f t="shared" si="3"/>
        <v>-0.1362102048</v>
      </c>
      <c r="V145" s="11">
        <v>0.05340777063520913</v>
      </c>
      <c r="W145" s="7">
        <f t="shared" si="4"/>
        <v>6</v>
      </c>
      <c r="X145" s="7" t="s">
        <v>584</v>
      </c>
      <c r="Y145" s="7"/>
      <c r="Z145" s="7"/>
      <c r="AA145" s="7"/>
    </row>
    <row r="146" ht="19.5" customHeight="1">
      <c r="A146" s="7">
        <v>107.0</v>
      </c>
      <c r="B146" s="7" t="s">
        <v>578</v>
      </c>
      <c r="C146" s="7" t="s">
        <v>342</v>
      </c>
      <c r="D146" s="7" t="s">
        <v>110</v>
      </c>
      <c r="E146" s="17" t="s">
        <v>585</v>
      </c>
      <c r="F146" s="17" t="s">
        <v>47</v>
      </c>
      <c r="G146" s="18" t="s">
        <v>40</v>
      </c>
      <c r="H146" s="7" t="s">
        <v>90</v>
      </c>
      <c r="I146" s="7" t="s">
        <v>39</v>
      </c>
      <c r="J146" s="7">
        <f t="shared" si="6"/>
        <v>4745</v>
      </c>
      <c r="K146" s="7" t="s">
        <v>105</v>
      </c>
      <c r="L146" s="19" t="s">
        <v>586</v>
      </c>
      <c r="M146" s="10">
        <f t="shared" si="1"/>
        <v>0.1958996524</v>
      </c>
      <c r="N146" s="7">
        <v>1.57</v>
      </c>
      <c r="O146" s="7">
        <v>1.22</v>
      </c>
      <c r="P146" s="10">
        <v>0.6928203230275509</v>
      </c>
      <c r="Q146" s="10">
        <v>0.7101408311032396</v>
      </c>
      <c r="R146" s="7">
        <v>3.0</v>
      </c>
      <c r="S146" s="7">
        <v>3.0</v>
      </c>
      <c r="T146" s="8">
        <f t="shared" si="2"/>
        <v>0.7770700637</v>
      </c>
      <c r="U146" s="8">
        <f t="shared" si="3"/>
        <v>-0.2522247606</v>
      </c>
      <c r="V146" s="11">
        <v>0.17785142530393042</v>
      </c>
      <c r="W146" s="7">
        <f t="shared" si="4"/>
        <v>6</v>
      </c>
      <c r="X146" s="7" t="s">
        <v>584</v>
      </c>
      <c r="Y146" s="7"/>
      <c r="Z146" s="7"/>
      <c r="AA146" s="7"/>
    </row>
    <row r="147" ht="19.5" customHeight="1">
      <c r="A147" s="7">
        <v>108.0</v>
      </c>
      <c r="B147" s="8" t="s">
        <v>587</v>
      </c>
      <c r="C147" s="8" t="s">
        <v>52</v>
      </c>
      <c r="D147" s="8" t="s">
        <v>64</v>
      </c>
      <c r="E147" s="8" t="s">
        <v>588</v>
      </c>
      <c r="F147" s="17" t="s">
        <v>47</v>
      </c>
      <c r="G147" s="18" t="s">
        <v>40</v>
      </c>
      <c r="H147" s="7" t="s">
        <v>38</v>
      </c>
      <c r="I147" s="7" t="s">
        <v>39</v>
      </c>
      <c r="J147" s="9" t="s">
        <v>40</v>
      </c>
      <c r="K147" s="8" t="s">
        <v>66</v>
      </c>
      <c r="L147" s="8" t="s">
        <v>267</v>
      </c>
      <c r="M147" s="10">
        <f t="shared" si="1"/>
        <v>1.603144373</v>
      </c>
      <c r="N147" s="7">
        <v>40.1</v>
      </c>
      <c r="O147" s="7">
        <v>43.56</v>
      </c>
      <c r="P147" s="10">
        <v>6.495190528383289</v>
      </c>
      <c r="Q147" s="10">
        <v>9.976612651596731</v>
      </c>
      <c r="R147" s="7">
        <v>3.0</v>
      </c>
      <c r="S147" s="7">
        <v>12.0</v>
      </c>
      <c r="T147" s="14">
        <f t="shared" si="2"/>
        <v>1.086284289</v>
      </c>
      <c r="U147" s="14">
        <f t="shared" si="3"/>
        <v>0.08276296375</v>
      </c>
      <c r="V147" s="11">
        <v>0.013116567549153395</v>
      </c>
      <c r="W147" s="7">
        <f t="shared" si="4"/>
        <v>15</v>
      </c>
      <c r="X147" s="8" t="s">
        <v>589</v>
      </c>
      <c r="Y147" s="7"/>
      <c r="Z147" s="7"/>
      <c r="AA147" s="7"/>
    </row>
    <row r="148" ht="19.5" customHeight="1">
      <c r="A148" s="7">
        <v>109.0</v>
      </c>
      <c r="B148" s="7" t="s">
        <v>590</v>
      </c>
      <c r="C148" s="8" t="s">
        <v>34</v>
      </c>
      <c r="D148" s="7" t="s">
        <v>591</v>
      </c>
      <c r="E148" s="7" t="s">
        <v>592</v>
      </c>
      <c r="F148" s="7" t="s">
        <v>47</v>
      </c>
      <c r="G148" s="7" t="s">
        <v>37</v>
      </c>
      <c r="H148" s="7" t="s">
        <v>38</v>
      </c>
      <c r="I148" s="7" t="s">
        <v>72</v>
      </c>
      <c r="J148" s="9" t="s">
        <v>40</v>
      </c>
      <c r="K148" s="7" t="s">
        <v>48</v>
      </c>
      <c r="L148" s="8" t="s">
        <v>593</v>
      </c>
      <c r="M148" s="10">
        <f t="shared" si="1"/>
        <v>1.338456494</v>
      </c>
      <c r="N148" s="7">
        <v>21.8</v>
      </c>
      <c r="O148" s="7">
        <v>25.27</v>
      </c>
      <c r="P148" s="10">
        <v>2.6</v>
      </c>
      <c r="Q148" s="10">
        <v>3.7</v>
      </c>
      <c r="R148" s="7">
        <v>12.0</v>
      </c>
      <c r="S148" s="7">
        <v>12.0</v>
      </c>
      <c r="T148" s="8">
        <f t="shared" si="2"/>
        <v>1.159174312</v>
      </c>
      <c r="U148" s="8">
        <f t="shared" si="3"/>
        <v>0.1477079516</v>
      </c>
      <c r="V148" s="11">
        <v>0.002971901769491303</v>
      </c>
      <c r="W148" s="7">
        <f t="shared" si="4"/>
        <v>24</v>
      </c>
      <c r="X148" s="7" t="s">
        <v>594</v>
      </c>
      <c r="Y148" s="7"/>
      <c r="Z148" s="7"/>
      <c r="AA148" s="7"/>
    </row>
    <row r="149" ht="19.5" customHeight="1">
      <c r="A149" s="7">
        <v>109.0</v>
      </c>
      <c r="B149" s="7" t="s">
        <v>590</v>
      </c>
      <c r="C149" s="8" t="s">
        <v>34</v>
      </c>
      <c r="D149" s="7" t="s">
        <v>595</v>
      </c>
      <c r="E149" s="7" t="s">
        <v>596</v>
      </c>
      <c r="F149" s="7" t="s">
        <v>37</v>
      </c>
      <c r="G149" s="7" t="s">
        <v>37</v>
      </c>
      <c r="H149" s="7" t="s">
        <v>38</v>
      </c>
      <c r="I149" s="7" t="s">
        <v>72</v>
      </c>
      <c r="J149" s="9" t="s">
        <v>40</v>
      </c>
      <c r="K149" s="7" t="s">
        <v>48</v>
      </c>
      <c r="L149" s="8" t="s">
        <v>593</v>
      </c>
      <c r="M149" s="10">
        <f t="shared" si="1"/>
        <v>0.9542425094</v>
      </c>
      <c r="N149" s="7">
        <v>9.0</v>
      </c>
      <c r="O149" s="7">
        <v>5.0</v>
      </c>
      <c r="P149" s="10">
        <v>1.0</v>
      </c>
      <c r="Q149" s="10">
        <v>0.0</v>
      </c>
      <c r="R149" s="7">
        <v>3.0</v>
      </c>
      <c r="S149" s="7">
        <v>3.0</v>
      </c>
      <c r="T149" s="8">
        <f t="shared" si="2"/>
        <v>0.5555555556</v>
      </c>
      <c r="U149" s="8">
        <f t="shared" si="3"/>
        <v>-0.5877866649</v>
      </c>
      <c r="V149" s="11">
        <v>0.00411522633744856</v>
      </c>
      <c r="W149" s="7">
        <f t="shared" si="4"/>
        <v>6</v>
      </c>
      <c r="X149" s="7" t="s">
        <v>594</v>
      </c>
      <c r="Y149" s="7"/>
      <c r="Z149" s="7"/>
      <c r="AA149" s="7"/>
    </row>
    <row r="150" ht="19.5" customHeight="1">
      <c r="A150" s="7">
        <v>109.0</v>
      </c>
      <c r="B150" s="7" t="s">
        <v>590</v>
      </c>
      <c r="C150" s="8" t="s">
        <v>34</v>
      </c>
      <c r="D150" s="7" t="s">
        <v>597</v>
      </c>
      <c r="E150" s="7" t="s">
        <v>598</v>
      </c>
      <c r="F150" s="7" t="s">
        <v>47</v>
      </c>
      <c r="G150" s="7" t="s">
        <v>37</v>
      </c>
      <c r="H150" s="7" t="s">
        <v>38</v>
      </c>
      <c r="I150" s="7" t="s">
        <v>72</v>
      </c>
      <c r="J150" s="9" t="s">
        <v>40</v>
      </c>
      <c r="K150" s="7" t="s">
        <v>48</v>
      </c>
      <c r="L150" s="8" t="s">
        <v>593</v>
      </c>
      <c r="M150" s="10">
        <f t="shared" si="1"/>
        <v>0.6020599913</v>
      </c>
      <c r="N150" s="7">
        <v>4.0</v>
      </c>
      <c r="O150" s="7">
        <v>2.3</v>
      </c>
      <c r="P150" s="10">
        <v>2.8284271247461903</v>
      </c>
      <c r="Q150" s="10">
        <v>4.242640687119286</v>
      </c>
      <c r="R150" s="7">
        <v>8.0</v>
      </c>
      <c r="S150" s="7">
        <v>8.0</v>
      </c>
      <c r="T150" s="8">
        <f t="shared" si="2"/>
        <v>0.575</v>
      </c>
      <c r="U150" s="8">
        <f t="shared" si="3"/>
        <v>-0.5533852382</v>
      </c>
      <c r="V150" s="11">
        <v>0.4878308128544425</v>
      </c>
      <c r="W150" s="7">
        <f t="shared" si="4"/>
        <v>16</v>
      </c>
      <c r="X150" s="7" t="s">
        <v>594</v>
      </c>
      <c r="Y150" s="7"/>
      <c r="Z150" s="7"/>
      <c r="AA150" s="7"/>
    </row>
    <row r="151" ht="19.5" customHeight="1">
      <c r="A151" s="7">
        <v>110.0</v>
      </c>
      <c r="B151" s="8" t="s">
        <v>599</v>
      </c>
      <c r="C151" s="8" t="s">
        <v>82</v>
      </c>
      <c r="D151" s="8" t="s">
        <v>176</v>
      </c>
      <c r="E151" s="8" t="s">
        <v>600</v>
      </c>
      <c r="F151" s="7" t="s">
        <v>47</v>
      </c>
      <c r="G151" s="13" t="s">
        <v>40</v>
      </c>
      <c r="H151" s="8" t="s">
        <v>90</v>
      </c>
      <c r="I151" s="8" t="s">
        <v>39</v>
      </c>
      <c r="J151" s="7">
        <v>180.0</v>
      </c>
      <c r="K151" s="8" t="s">
        <v>55</v>
      </c>
      <c r="L151" s="8" t="s">
        <v>444</v>
      </c>
      <c r="M151" s="10">
        <f t="shared" si="1"/>
        <v>0.5078558717</v>
      </c>
      <c r="N151" s="7">
        <v>3.22</v>
      </c>
      <c r="O151" s="7">
        <v>3.38</v>
      </c>
      <c r="P151" s="10">
        <v>0.08</v>
      </c>
      <c r="Q151" s="10">
        <v>0.08</v>
      </c>
      <c r="R151" s="7">
        <v>4.0</v>
      </c>
      <c r="S151" s="7">
        <v>4.0</v>
      </c>
      <c r="T151" s="14">
        <f t="shared" si="2"/>
        <v>1.049689441</v>
      </c>
      <c r="U151" s="14">
        <f t="shared" si="3"/>
        <v>0.04849434994</v>
      </c>
      <c r="V151" s="11">
        <v>2.943661528005116E-4</v>
      </c>
      <c r="W151" s="7">
        <f t="shared" si="4"/>
        <v>8</v>
      </c>
      <c r="X151" s="8" t="s">
        <v>601</v>
      </c>
      <c r="Y151" s="12"/>
      <c r="Z151" s="12"/>
      <c r="AA151" s="12"/>
    </row>
    <row r="152" ht="19.5" customHeight="1">
      <c r="A152" s="7">
        <v>111.0</v>
      </c>
      <c r="B152" s="8" t="s">
        <v>602</v>
      </c>
      <c r="C152" s="8" t="s">
        <v>82</v>
      </c>
      <c r="D152" s="8" t="s">
        <v>176</v>
      </c>
      <c r="E152" s="8" t="s">
        <v>603</v>
      </c>
      <c r="F152" s="8" t="s">
        <v>47</v>
      </c>
      <c r="G152" s="13" t="s">
        <v>40</v>
      </c>
      <c r="H152" s="8" t="s">
        <v>90</v>
      </c>
      <c r="I152" s="8" t="s">
        <v>39</v>
      </c>
      <c r="J152" s="7">
        <f>6*30</f>
        <v>180</v>
      </c>
      <c r="K152" s="8" t="s">
        <v>55</v>
      </c>
      <c r="L152" s="8" t="s">
        <v>604</v>
      </c>
      <c r="M152" s="10">
        <f t="shared" si="1"/>
        <v>0.5092025223</v>
      </c>
      <c r="N152" s="7">
        <v>3.23</v>
      </c>
      <c r="O152" s="7">
        <v>3.36</v>
      </c>
      <c r="P152" s="10">
        <v>0.16970562748477142</v>
      </c>
      <c r="Q152" s="10">
        <v>0.22627416997969524</v>
      </c>
      <c r="R152" s="7">
        <v>8.0</v>
      </c>
      <c r="S152" s="7">
        <v>8.0</v>
      </c>
      <c r="T152" s="14">
        <f t="shared" si="2"/>
        <v>1.040247678</v>
      </c>
      <c r="U152" s="14">
        <f t="shared" si="3"/>
        <v>0.03945883674</v>
      </c>
      <c r="V152" s="11">
        <v>9.119556790181178E-4</v>
      </c>
      <c r="W152" s="7">
        <f t="shared" si="4"/>
        <v>16</v>
      </c>
      <c r="X152" s="8" t="s">
        <v>605</v>
      </c>
      <c r="Y152" s="12"/>
      <c r="Z152" s="12"/>
      <c r="AA152" s="12"/>
    </row>
    <row r="153" ht="19.5" customHeight="1">
      <c r="A153" s="7">
        <v>112.0</v>
      </c>
      <c r="B153" s="7" t="s">
        <v>606</v>
      </c>
      <c r="C153" s="7" t="s">
        <v>368</v>
      </c>
      <c r="D153" s="7" t="s">
        <v>369</v>
      </c>
      <c r="E153" s="7" t="s">
        <v>607</v>
      </c>
      <c r="F153" s="7" t="s">
        <v>37</v>
      </c>
      <c r="G153" s="13" t="s">
        <v>40</v>
      </c>
      <c r="H153" s="7" t="s">
        <v>90</v>
      </c>
      <c r="I153" s="7" t="s">
        <v>39</v>
      </c>
      <c r="J153" s="7">
        <f>8*7</f>
        <v>56</v>
      </c>
      <c r="K153" s="7" t="s">
        <v>73</v>
      </c>
      <c r="L153" s="19" t="s">
        <v>608</v>
      </c>
      <c r="M153" s="10">
        <f t="shared" si="1"/>
        <v>1.62283548</v>
      </c>
      <c r="N153" s="7">
        <v>41.96</v>
      </c>
      <c r="O153" s="7">
        <v>39.11</v>
      </c>
      <c r="P153" s="10">
        <v>1.7391377173760563</v>
      </c>
      <c r="Q153" s="10">
        <v>4.360091742154057</v>
      </c>
      <c r="R153" s="7">
        <v>6.0</v>
      </c>
      <c r="S153" s="7">
        <v>6.0</v>
      </c>
      <c r="T153" s="8">
        <f t="shared" si="2"/>
        <v>0.9320781697</v>
      </c>
      <c r="U153" s="8">
        <f t="shared" si="3"/>
        <v>-0.07033859476</v>
      </c>
      <c r="V153" s="11">
        <v>0.002357717990980153</v>
      </c>
      <c r="W153" s="7">
        <f t="shared" si="4"/>
        <v>12</v>
      </c>
      <c r="X153" s="7" t="s">
        <v>609</v>
      </c>
      <c r="Y153" s="7"/>
      <c r="Z153" s="7"/>
      <c r="AA153" s="7"/>
    </row>
    <row r="154" ht="19.5" customHeight="1">
      <c r="A154" s="7">
        <v>112.0</v>
      </c>
      <c r="B154" s="7" t="s">
        <v>606</v>
      </c>
      <c r="C154" s="7" t="s">
        <v>368</v>
      </c>
      <c r="D154" s="7" t="s">
        <v>369</v>
      </c>
      <c r="E154" s="7" t="s">
        <v>610</v>
      </c>
      <c r="F154" s="7" t="s">
        <v>47</v>
      </c>
      <c r="G154" s="13" t="s">
        <v>40</v>
      </c>
      <c r="H154" s="7" t="s">
        <v>90</v>
      </c>
      <c r="I154" s="7" t="s">
        <v>39</v>
      </c>
      <c r="J154" s="7">
        <v>56.0</v>
      </c>
      <c r="K154" s="7" t="s">
        <v>73</v>
      </c>
      <c r="L154" s="19" t="s">
        <v>608</v>
      </c>
      <c r="M154" s="10">
        <f t="shared" si="1"/>
        <v>1.135768515</v>
      </c>
      <c r="N154" s="7">
        <v>13.67</v>
      </c>
      <c r="O154" s="7">
        <v>13.5</v>
      </c>
      <c r="P154" s="10">
        <v>2.0330764865100375</v>
      </c>
      <c r="Q154" s="10">
        <v>2.0330764865100375</v>
      </c>
      <c r="R154" s="7">
        <v>6.0</v>
      </c>
      <c r="S154" s="7">
        <v>6.0</v>
      </c>
      <c r="T154" s="8">
        <f t="shared" si="2"/>
        <v>0.9875640088</v>
      </c>
      <c r="U154" s="8">
        <f t="shared" si="3"/>
        <v>-0.01251396529</v>
      </c>
      <c r="V154" s="11">
        <v>0.007466514306453382</v>
      </c>
      <c r="W154" s="7">
        <f t="shared" si="4"/>
        <v>12</v>
      </c>
      <c r="X154" s="7" t="s">
        <v>609</v>
      </c>
      <c r="Y154" s="7"/>
      <c r="Z154" s="7"/>
      <c r="AA154" s="7"/>
    </row>
    <row r="155" ht="19.5" customHeight="1">
      <c r="A155" s="7">
        <v>113.0</v>
      </c>
      <c r="B155" s="7" t="s">
        <v>611</v>
      </c>
      <c r="C155" s="7" t="s">
        <v>170</v>
      </c>
      <c r="D155" s="7" t="s">
        <v>233</v>
      </c>
      <c r="E155" s="7" t="s">
        <v>612</v>
      </c>
      <c r="F155" s="7" t="s">
        <v>37</v>
      </c>
      <c r="G155" s="13" t="s">
        <v>40</v>
      </c>
      <c r="H155" s="7" t="s">
        <v>90</v>
      </c>
      <c r="I155" s="7" t="s">
        <v>39</v>
      </c>
      <c r="J155" s="7">
        <f>7*365</f>
        <v>2555</v>
      </c>
      <c r="K155" s="7" t="s">
        <v>41</v>
      </c>
      <c r="L155" s="8" t="s">
        <v>399</v>
      </c>
      <c r="M155" s="10">
        <f t="shared" si="1"/>
        <v>1.119255889</v>
      </c>
      <c r="N155" s="7">
        <v>13.16</v>
      </c>
      <c r="O155" s="7">
        <v>12.81</v>
      </c>
      <c r="P155" s="10">
        <v>4.360091742154057</v>
      </c>
      <c r="Q155" s="10">
        <v>2.0330764865100375</v>
      </c>
      <c r="R155" s="7">
        <v>6.0</v>
      </c>
      <c r="S155" s="7">
        <v>6.0</v>
      </c>
      <c r="T155" s="8">
        <f t="shared" si="2"/>
        <v>0.9734042553</v>
      </c>
      <c r="U155" s="8">
        <f t="shared" si="3"/>
        <v>-0.02695580999</v>
      </c>
      <c r="V155" s="11">
        <v>0.02249297333084653</v>
      </c>
      <c r="W155" s="7">
        <f t="shared" si="4"/>
        <v>12</v>
      </c>
      <c r="X155" s="7" t="s">
        <v>613</v>
      </c>
      <c r="Y155" s="7"/>
      <c r="Z155" s="7"/>
      <c r="AA155" s="7"/>
    </row>
    <row r="156" ht="19.5" customHeight="1">
      <c r="A156" s="7">
        <v>114.0</v>
      </c>
      <c r="B156" s="7" t="s">
        <v>614</v>
      </c>
      <c r="C156" s="7" t="s">
        <v>109</v>
      </c>
      <c r="D156" s="7" t="s">
        <v>110</v>
      </c>
      <c r="E156" s="7" t="s">
        <v>615</v>
      </c>
      <c r="F156" s="7" t="s">
        <v>37</v>
      </c>
      <c r="G156" s="13" t="s">
        <v>40</v>
      </c>
      <c r="H156" s="7" t="s">
        <v>90</v>
      </c>
      <c r="I156" s="7" t="s">
        <v>72</v>
      </c>
      <c r="J156" s="7">
        <f>15*365</f>
        <v>5475</v>
      </c>
      <c r="K156" s="7" t="s">
        <v>471</v>
      </c>
      <c r="L156" s="8" t="s">
        <v>616</v>
      </c>
      <c r="M156" s="10">
        <f t="shared" si="1"/>
        <v>1.195899652</v>
      </c>
      <c r="N156" s="7">
        <v>15.7</v>
      </c>
      <c r="O156" s="7">
        <v>16.4</v>
      </c>
      <c r="P156" s="10">
        <v>5.5154328932550705</v>
      </c>
      <c r="Q156" s="10">
        <v>5.939696961966998</v>
      </c>
      <c r="R156" s="7">
        <v>18.0</v>
      </c>
      <c r="S156" s="7">
        <v>18.0</v>
      </c>
      <c r="T156" s="8">
        <f t="shared" si="2"/>
        <v>1.044585987</v>
      </c>
      <c r="U156" s="8">
        <f t="shared" si="3"/>
        <v>0.04362062248</v>
      </c>
      <c r="V156" s="11">
        <v>0.014143590888169844</v>
      </c>
      <c r="W156" s="7">
        <f t="shared" si="4"/>
        <v>36</v>
      </c>
      <c r="X156" s="8" t="s">
        <v>617</v>
      </c>
      <c r="Y156" s="7"/>
      <c r="Z156" s="7"/>
      <c r="AA156" s="7"/>
    </row>
    <row r="157" ht="19.5" customHeight="1">
      <c r="A157" s="7">
        <v>115.0</v>
      </c>
      <c r="B157" s="8" t="s">
        <v>618</v>
      </c>
      <c r="C157" s="8" t="s">
        <v>82</v>
      </c>
      <c r="D157" s="8" t="s">
        <v>118</v>
      </c>
      <c r="E157" s="8" t="s">
        <v>619</v>
      </c>
      <c r="F157" s="8" t="s">
        <v>47</v>
      </c>
      <c r="G157" s="13" t="s">
        <v>40</v>
      </c>
      <c r="H157" s="8" t="s">
        <v>38</v>
      </c>
      <c r="I157" s="8" t="s">
        <v>39</v>
      </c>
      <c r="J157" s="9" t="s">
        <v>40</v>
      </c>
      <c r="K157" s="8" t="s">
        <v>178</v>
      </c>
      <c r="L157" s="8" t="s">
        <v>620</v>
      </c>
      <c r="M157" s="10">
        <f t="shared" si="1"/>
        <v>0.8998205024</v>
      </c>
      <c r="N157" s="7">
        <v>7.94</v>
      </c>
      <c r="O157" s="7">
        <v>4.42</v>
      </c>
      <c r="P157" s="10">
        <v>1.8520259177452134</v>
      </c>
      <c r="Q157" s="10">
        <v>2.969848480983499</v>
      </c>
      <c r="R157" s="7">
        <v>28.0</v>
      </c>
      <c r="S157" s="7">
        <v>72.0</v>
      </c>
      <c r="T157" s="14">
        <f t="shared" si="2"/>
        <v>0.556675063</v>
      </c>
      <c r="U157" s="14">
        <f t="shared" si="3"/>
        <v>-0.5857735792</v>
      </c>
      <c r="V157" s="11">
        <v>0.008213446331082626</v>
      </c>
      <c r="W157" s="7">
        <f t="shared" si="4"/>
        <v>100</v>
      </c>
      <c r="X157" s="8" t="s">
        <v>621</v>
      </c>
      <c r="Y157" s="12"/>
      <c r="Z157" s="12"/>
      <c r="AA157" s="12"/>
    </row>
    <row r="158" ht="19.5" customHeight="1">
      <c r="A158" s="7">
        <v>116.0</v>
      </c>
      <c r="B158" s="7" t="s">
        <v>622</v>
      </c>
      <c r="C158" s="8" t="s">
        <v>34</v>
      </c>
      <c r="D158" s="7" t="s">
        <v>623</v>
      </c>
      <c r="E158" s="7" t="s">
        <v>624</v>
      </c>
      <c r="F158" s="7" t="s">
        <v>37</v>
      </c>
      <c r="G158" s="7" t="s">
        <v>37</v>
      </c>
      <c r="H158" s="7" t="s">
        <v>38</v>
      </c>
      <c r="I158" s="7" t="s">
        <v>39</v>
      </c>
      <c r="J158" s="9" t="s">
        <v>40</v>
      </c>
      <c r="K158" s="7" t="s">
        <v>178</v>
      </c>
      <c r="L158" s="8" t="s">
        <v>625</v>
      </c>
      <c r="M158" s="10">
        <f t="shared" si="1"/>
        <v>1.594503044</v>
      </c>
      <c r="N158" s="7">
        <v>39.31</v>
      </c>
      <c r="O158" s="7">
        <v>37.01</v>
      </c>
      <c r="P158" s="10">
        <v>9.24</v>
      </c>
      <c r="Q158" s="10">
        <v>4.074272941274307</v>
      </c>
      <c r="R158" s="7">
        <v>9.0</v>
      </c>
      <c r="S158" s="7">
        <v>13.0</v>
      </c>
      <c r="T158" s="8">
        <f t="shared" si="2"/>
        <v>0.9414907148</v>
      </c>
      <c r="U158" s="8">
        <f t="shared" si="3"/>
        <v>-0.06029079304</v>
      </c>
      <c r="V158" s="11">
        <v>0.007071188302986266</v>
      </c>
      <c r="W158" s="7">
        <f t="shared" si="4"/>
        <v>22</v>
      </c>
      <c r="X158" s="7" t="s">
        <v>626</v>
      </c>
      <c r="Y158" s="7"/>
      <c r="Z158" s="7"/>
      <c r="AA158" s="7"/>
    </row>
    <row r="159" ht="19.5" customHeight="1">
      <c r="A159" s="7">
        <v>117.0</v>
      </c>
      <c r="B159" s="7" t="s">
        <v>627</v>
      </c>
      <c r="C159" s="7" t="s">
        <v>52</v>
      </c>
      <c r="D159" s="7" t="s">
        <v>53</v>
      </c>
      <c r="E159" s="7" t="s">
        <v>628</v>
      </c>
      <c r="F159" s="7" t="s">
        <v>47</v>
      </c>
      <c r="G159" s="9" t="s">
        <v>40</v>
      </c>
      <c r="H159" s="7" t="s">
        <v>38</v>
      </c>
      <c r="I159" s="7" t="s">
        <v>72</v>
      </c>
      <c r="J159" s="9" t="s">
        <v>40</v>
      </c>
      <c r="K159" s="7" t="s">
        <v>41</v>
      </c>
      <c r="L159" s="8" t="s">
        <v>629</v>
      </c>
      <c r="M159" s="10">
        <f t="shared" si="1"/>
        <v>1.197280558</v>
      </c>
      <c r="N159" s="7">
        <v>15.75</v>
      </c>
      <c r="O159" s="7">
        <v>11.63</v>
      </c>
      <c r="P159" s="10">
        <v>2.24</v>
      </c>
      <c r="Q159" s="10">
        <v>1.96</v>
      </c>
      <c r="R159" s="7">
        <v>4.0</v>
      </c>
      <c r="S159" s="7">
        <v>4.0</v>
      </c>
      <c r="T159" s="8">
        <f t="shared" si="2"/>
        <v>0.7384126984</v>
      </c>
      <c r="U159" s="8">
        <f t="shared" si="3"/>
        <v>-0.3032523987</v>
      </c>
      <c r="V159" s="11">
        <v>0.012157352091090232</v>
      </c>
      <c r="W159" s="7">
        <f t="shared" si="4"/>
        <v>8</v>
      </c>
      <c r="X159" s="7" t="s">
        <v>630</v>
      </c>
      <c r="Y159" s="7"/>
      <c r="Z159" s="7"/>
      <c r="AA159" s="7"/>
    </row>
    <row r="160" ht="19.5" customHeight="1">
      <c r="A160" s="7">
        <v>118.0</v>
      </c>
      <c r="B160" s="7" t="s">
        <v>631</v>
      </c>
      <c r="C160" s="7" t="s">
        <v>187</v>
      </c>
      <c r="D160" s="7" t="s">
        <v>632</v>
      </c>
      <c r="E160" s="7" t="s">
        <v>633</v>
      </c>
      <c r="F160" s="7" t="s">
        <v>47</v>
      </c>
      <c r="G160" s="9" t="s">
        <v>40</v>
      </c>
      <c r="H160" s="7" t="s">
        <v>38</v>
      </c>
      <c r="I160" s="7" t="s">
        <v>72</v>
      </c>
      <c r="J160" s="9" t="s">
        <v>40</v>
      </c>
      <c r="K160" s="7" t="s">
        <v>281</v>
      </c>
      <c r="L160" s="8" t="s">
        <v>634</v>
      </c>
      <c r="M160" s="10">
        <f t="shared" si="1"/>
        <v>1.267171728</v>
      </c>
      <c r="N160" s="7">
        <v>18.5</v>
      </c>
      <c r="O160" s="7">
        <v>15.8</v>
      </c>
      <c r="P160" s="10">
        <v>7.3</v>
      </c>
      <c r="Q160" s="10">
        <v>2.7</v>
      </c>
      <c r="R160" s="7">
        <v>60.0</v>
      </c>
      <c r="S160" s="7">
        <v>60.0</v>
      </c>
      <c r="T160" s="8">
        <f t="shared" si="2"/>
        <v>0.8540540541</v>
      </c>
      <c r="U160" s="8">
        <f t="shared" si="3"/>
        <v>-0.1577607921</v>
      </c>
      <c r="V160" s="11">
        <v>0.0030817824172774217</v>
      </c>
      <c r="W160" s="7">
        <f t="shared" si="4"/>
        <v>120</v>
      </c>
      <c r="X160" s="7" t="s">
        <v>635</v>
      </c>
      <c r="Y160" s="7"/>
      <c r="Z160" s="7"/>
      <c r="AA160" s="7"/>
    </row>
    <row r="161" ht="19.5" customHeight="1">
      <c r="A161" s="7">
        <v>119.0</v>
      </c>
      <c r="B161" s="7" t="s">
        <v>636</v>
      </c>
      <c r="C161" s="8" t="s">
        <v>34</v>
      </c>
      <c r="D161" s="7" t="s">
        <v>637</v>
      </c>
      <c r="E161" s="7" t="s">
        <v>638</v>
      </c>
      <c r="F161" s="7" t="s">
        <v>37</v>
      </c>
      <c r="G161" s="7" t="s">
        <v>37</v>
      </c>
      <c r="H161" s="7" t="s">
        <v>38</v>
      </c>
      <c r="I161" s="7" t="s">
        <v>72</v>
      </c>
      <c r="J161" s="7" t="s">
        <v>639</v>
      </c>
      <c r="K161" s="7" t="s">
        <v>301</v>
      </c>
      <c r="L161" s="8" t="s">
        <v>640</v>
      </c>
      <c r="M161" s="10">
        <f t="shared" si="1"/>
        <v>1.602059991</v>
      </c>
      <c r="N161" s="7">
        <v>40.0</v>
      </c>
      <c r="O161" s="7">
        <v>21.0</v>
      </c>
      <c r="P161" s="10">
        <v>11.100000000000001</v>
      </c>
      <c r="Q161" s="10">
        <v>5.291502622129181</v>
      </c>
      <c r="R161" s="7">
        <v>9.0</v>
      </c>
      <c r="S161" s="7">
        <v>7.0</v>
      </c>
      <c r="T161" s="8">
        <f t="shared" si="2"/>
        <v>0.525</v>
      </c>
      <c r="U161" s="8">
        <f t="shared" si="3"/>
        <v>-0.6443570164</v>
      </c>
      <c r="V161" s="11">
        <v>0.017626544784580506</v>
      </c>
      <c r="W161" s="7">
        <f t="shared" si="4"/>
        <v>16</v>
      </c>
      <c r="X161" s="7" t="s">
        <v>641</v>
      </c>
      <c r="Y161" s="7"/>
      <c r="Z161" s="7"/>
      <c r="AA161" s="7"/>
    </row>
    <row r="162" ht="19.5" customHeight="1">
      <c r="A162" s="7">
        <v>120.0</v>
      </c>
      <c r="B162" s="7" t="s">
        <v>642</v>
      </c>
      <c r="C162" s="8" t="s">
        <v>34</v>
      </c>
      <c r="D162" s="7" t="s">
        <v>643</v>
      </c>
      <c r="E162" s="7" t="s">
        <v>644</v>
      </c>
      <c r="F162" s="7" t="s">
        <v>37</v>
      </c>
      <c r="G162" s="7" t="s">
        <v>37</v>
      </c>
      <c r="H162" s="7" t="s">
        <v>38</v>
      </c>
      <c r="I162" s="7" t="s">
        <v>72</v>
      </c>
      <c r="J162" s="9" t="s">
        <v>40</v>
      </c>
      <c r="K162" s="7" t="s">
        <v>66</v>
      </c>
      <c r="L162" s="8" t="s">
        <v>645</v>
      </c>
      <c r="M162" s="10">
        <f t="shared" si="1"/>
        <v>0.9148718175</v>
      </c>
      <c r="N162" s="7">
        <v>8.22</v>
      </c>
      <c r="O162" s="7">
        <v>5.76</v>
      </c>
      <c r="P162" s="10">
        <v>0.7672678802087313</v>
      </c>
      <c r="Q162" s="10">
        <v>0.7672678802087313</v>
      </c>
      <c r="R162" s="7">
        <v>7.0</v>
      </c>
      <c r="S162" s="7">
        <v>7.0</v>
      </c>
      <c r="T162" s="8">
        <f t="shared" si="2"/>
        <v>0.700729927</v>
      </c>
      <c r="U162" s="8">
        <f t="shared" si="3"/>
        <v>-0.3556327344</v>
      </c>
      <c r="V162" s="11">
        <v>0.0037795074512251454</v>
      </c>
      <c r="W162" s="7">
        <f t="shared" si="4"/>
        <v>14</v>
      </c>
      <c r="X162" s="7" t="s">
        <v>646</v>
      </c>
      <c r="Y162" s="7"/>
      <c r="Z162" s="7"/>
      <c r="AA162" s="7"/>
    </row>
    <row r="163" ht="19.5" customHeight="1">
      <c r="A163" s="7">
        <v>121.0</v>
      </c>
      <c r="B163" s="7" t="s">
        <v>647</v>
      </c>
      <c r="C163" s="7" t="s">
        <v>187</v>
      </c>
      <c r="D163" s="7" t="s">
        <v>64</v>
      </c>
      <c r="E163" s="7" t="s">
        <v>648</v>
      </c>
      <c r="F163" s="7" t="s">
        <v>47</v>
      </c>
      <c r="G163" s="9" t="s">
        <v>40</v>
      </c>
      <c r="H163" s="7" t="s">
        <v>38</v>
      </c>
      <c r="I163" s="7" t="s">
        <v>39</v>
      </c>
      <c r="J163" s="9" t="s">
        <v>40</v>
      </c>
      <c r="K163" s="7" t="s">
        <v>73</v>
      </c>
      <c r="L163" s="8" t="s">
        <v>649</v>
      </c>
      <c r="M163" s="10">
        <f t="shared" si="1"/>
        <v>0.2671717284</v>
      </c>
      <c r="N163" s="7">
        <v>1.85</v>
      </c>
      <c r="O163" s="7">
        <v>1.04</v>
      </c>
      <c r="P163" s="10">
        <v>1.3386560424545209</v>
      </c>
      <c r="Q163" s="10">
        <v>1.3386560424545209</v>
      </c>
      <c r="R163" s="7">
        <v>70.0</v>
      </c>
      <c r="S163" s="7">
        <v>70.0</v>
      </c>
      <c r="T163" s="8">
        <f t="shared" si="2"/>
        <v>0.5621621622</v>
      </c>
      <c r="U163" s="8">
        <f t="shared" si="3"/>
        <v>-0.5759649259</v>
      </c>
      <c r="V163" s="11">
        <v>0.031148551398031646</v>
      </c>
      <c r="W163" s="7">
        <f t="shared" si="4"/>
        <v>140</v>
      </c>
      <c r="X163" s="7" t="s">
        <v>650</v>
      </c>
      <c r="Y163" s="7"/>
      <c r="Z163" s="7"/>
      <c r="AA163" s="7"/>
    </row>
    <row r="164" ht="19.5" customHeight="1">
      <c r="A164" s="7">
        <v>121.0</v>
      </c>
      <c r="B164" s="7" t="s">
        <v>647</v>
      </c>
      <c r="C164" s="7" t="s">
        <v>187</v>
      </c>
      <c r="D164" s="7" t="s">
        <v>632</v>
      </c>
      <c r="E164" s="7" t="s">
        <v>651</v>
      </c>
      <c r="F164" s="7" t="s">
        <v>47</v>
      </c>
      <c r="G164" s="9" t="s">
        <v>40</v>
      </c>
      <c r="H164" s="7" t="s">
        <v>38</v>
      </c>
      <c r="I164" s="7" t="s">
        <v>39</v>
      </c>
      <c r="J164" s="9" t="s">
        <v>40</v>
      </c>
      <c r="K164" s="7" t="s">
        <v>73</v>
      </c>
      <c r="L164" s="8" t="s">
        <v>649</v>
      </c>
      <c r="M164" s="10">
        <f t="shared" si="1"/>
        <v>0.2671717284</v>
      </c>
      <c r="N164" s="7">
        <v>1.85</v>
      </c>
      <c r="O164" s="7">
        <v>0.62</v>
      </c>
      <c r="P164" s="10">
        <v>1.3386560424545209</v>
      </c>
      <c r="Q164" s="10">
        <v>1.1713240371477058</v>
      </c>
      <c r="R164" s="7">
        <v>70.0</v>
      </c>
      <c r="S164" s="7">
        <v>70.0</v>
      </c>
      <c r="T164" s="8">
        <f t="shared" si="2"/>
        <v>0.3351351351</v>
      </c>
      <c r="U164" s="8">
        <f t="shared" si="3"/>
        <v>-1.09322144</v>
      </c>
      <c r="V164" s="11">
        <v>0.05846846593478762</v>
      </c>
      <c r="W164" s="7">
        <f t="shared" si="4"/>
        <v>140</v>
      </c>
      <c r="X164" s="7" t="s">
        <v>650</v>
      </c>
      <c r="Y164" s="7"/>
      <c r="Z164" s="7"/>
      <c r="AA164" s="7"/>
    </row>
    <row r="165" ht="19.5" customHeight="1">
      <c r="A165" s="7">
        <v>121.0</v>
      </c>
      <c r="B165" s="7" t="s">
        <v>647</v>
      </c>
      <c r="C165" s="7" t="s">
        <v>187</v>
      </c>
      <c r="D165" s="7" t="s">
        <v>64</v>
      </c>
      <c r="E165" s="7" t="s">
        <v>652</v>
      </c>
      <c r="F165" s="7" t="s">
        <v>47</v>
      </c>
      <c r="G165" s="9" t="s">
        <v>40</v>
      </c>
      <c r="H165" s="7" t="s">
        <v>38</v>
      </c>
      <c r="I165" s="7" t="s">
        <v>39</v>
      </c>
      <c r="J165" s="9" t="s">
        <v>40</v>
      </c>
      <c r="K165" s="7" t="s">
        <v>73</v>
      </c>
      <c r="L165" s="8" t="s">
        <v>649</v>
      </c>
      <c r="M165" s="10">
        <f t="shared" si="1"/>
        <v>0.8115750059</v>
      </c>
      <c r="N165" s="7">
        <v>6.48</v>
      </c>
      <c r="O165" s="7">
        <v>5.55</v>
      </c>
      <c r="P165" s="10">
        <v>2.6773120849090417</v>
      </c>
      <c r="Q165" s="10">
        <v>2.5936460822556344</v>
      </c>
      <c r="R165" s="7">
        <v>70.0</v>
      </c>
      <c r="S165" s="7">
        <v>70.0</v>
      </c>
      <c r="T165" s="8">
        <f t="shared" si="2"/>
        <v>0.8564814815</v>
      </c>
      <c r="U165" s="8">
        <f t="shared" si="3"/>
        <v>-0.1549225826</v>
      </c>
      <c r="V165" s="11">
        <v>0.005558529277804109</v>
      </c>
      <c r="W165" s="7">
        <f t="shared" si="4"/>
        <v>140</v>
      </c>
      <c r="X165" s="7" t="s">
        <v>650</v>
      </c>
      <c r="Y165" s="7"/>
      <c r="Z165" s="7"/>
      <c r="AA165" s="7"/>
    </row>
    <row r="166" ht="19.5" customHeight="1">
      <c r="A166" s="7">
        <v>121.0</v>
      </c>
      <c r="B166" s="7" t="s">
        <v>647</v>
      </c>
      <c r="C166" s="7" t="s">
        <v>187</v>
      </c>
      <c r="D166" s="7" t="s">
        <v>632</v>
      </c>
      <c r="E166" s="7" t="s">
        <v>653</v>
      </c>
      <c r="F166" s="7" t="s">
        <v>47</v>
      </c>
      <c r="G166" s="9" t="s">
        <v>40</v>
      </c>
      <c r="H166" s="7" t="s">
        <v>38</v>
      </c>
      <c r="I166" s="7" t="s">
        <v>39</v>
      </c>
      <c r="J166" s="9" t="s">
        <v>40</v>
      </c>
      <c r="K166" s="7" t="s">
        <v>73</v>
      </c>
      <c r="L166" s="8" t="s">
        <v>649</v>
      </c>
      <c r="M166" s="10">
        <f t="shared" si="1"/>
        <v>0.8115750059</v>
      </c>
      <c r="N166" s="7">
        <v>6.48</v>
      </c>
      <c r="O166" s="7">
        <v>4.45</v>
      </c>
      <c r="P166" s="10">
        <v>2.6773120849090417</v>
      </c>
      <c r="Q166" s="10">
        <v>2.9283100928692645</v>
      </c>
      <c r="R166" s="7">
        <v>70.0</v>
      </c>
      <c r="S166" s="7">
        <v>70.0</v>
      </c>
      <c r="T166" s="8">
        <f t="shared" si="2"/>
        <v>0.6867283951</v>
      </c>
      <c r="U166" s="8">
        <f t="shared" si="3"/>
        <v>-0.3758164142</v>
      </c>
      <c r="V166" s="11">
        <v>0.008624740259614062</v>
      </c>
      <c r="W166" s="7">
        <f t="shared" si="4"/>
        <v>140</v>
      </c>
      <c r="X166" s="7" t="s">
        <v>650</v>
      </c>
      <c r="Y166" s="7"/>
      <c r="Z166" s="7"/>
      <c r="AA166" s="7"/>
    </row>
    <row r="167" ht="19.5" customHeight="1">
      <c r="A167" s="7">
        <v>122.0</v>
      </c>
      <c r="B167" s="7" t="s">
        <v>654</v>
      </c>
      <c r="C167" s="8" t="s">
        <v>34</v>
      </c>
      <c r="D167" s="7" t="s">
        <v>655</v>
      </c>
      <c r="E167" s="7" t="s">
        <v>656</v>
      </c>
      <c r="F167" s="7" t="s">
        <v>37</v>
      </c>
      <c r="G167" s="7" t="s">
        <v>37</v>
      </c>
      <c r="H167" s="7" t="s">
        <v>38</v>
      </c>
      <c r="I167" s="7" t="s">
        <v>39</v>
      </c>
      <c r="J167" s="9" t="s">
        <v>40</v>
      </c>
      <c r="K167" s="7" t="s">
        <v>178</v>
      </c>
      <c r="L167" s="8" t="s">
        <v>125</v>
      </c>
      <c r="M167" s="10">
        <f t="shared" si="1"/>
        <v>0.5440680444</v>
      </c>
      <c r="N167" s="7">
        <v>3.5</v>
      </c>
      <c r="O167" s="7">
        <v>4.73</v>
      </c>
      <c r="P167" s="10">
        <v>3.3541019662496847</v>
      </c>
      <c r="Q167" s="10">
        <v>3.7565942021996466</v>
      </c>
      <c r="R167" s="7">
        <v>20.0</v>
      </c>
      <c r="S167" s="7">
        <v>20.0</v>
      </c>
      <c r="T167" s="8">
        <f t="shared" si="2"/>
        <v>1.351428571</v>
      </c>
      <c r="U167" s="8">
        <f t="shared" si="3"/>
        <v>0.301162234</v>
      </c>
      <c r="V167" s="11">
        <v>0.07745652288332432</v>
      </c>
      <c r="W167" s="7">
        <f t="shared" si="4"/>
        <v>40</v>
      </c>
      <c r="X167" s="7" t="s">
        <v>657</v>
      </c>
      <c r="Y167" s="7"/>
      <c r="Z167" s="7"/>
      <c r="AA167" s="7"/>
    </row>
    <row r="168" ht="19.5" customHeight="1">
      <c r="A168" s="7">
        <v>123.0</v>
      </c>
      <c r="B168" s="7" t="s">
        <v>658</v>
      </c>
      <c r="C168" s="7" t="s">
        <v>109</v>
      </c>
      <c r="D168" s="7" t="s">
        <v>110</v>
      </c>
      <c r="E168" s="7" t="s">
        <v>659</v>
      </c>
      <c r="F168" s="7" t="s">
        <v>37</v>
      </c>
      <c r="G168" s="9" t="s">
        <v>40</v>
      </c>
      <c r="H168" s="7" t="s">
        <v>90</v>
      </c>
      <c r="I168" s="7" t="s">
        <v>72</v>
      </c>
      <c r="J168" s="7">
        <f>4*365</f>
        <v>1460</v>
      </c>
      <c r="K168" s="7" t="s">
        <v>497</v>
      </c>
      <c r="L168" s="8" t="s">
        <v>660</v>
      </c>
      <c r="M168" s="10">
        <f t="shared" si="1"/>
        <v>0.9518230353</v>
      </c>
      <c r="N168" s="7">
        <v>8.95</v>
      </c>
      <c r="O168" s="7">
        <v>9.05</v>
      </c>
      <c r="P168" s="10">
        <v>2.529822128134704</v>
      </c>
      <c r="Q168" s="10">
        <v>1.8973665961010275</v>
      </c>
      <c r="R168" s="7">
        <v>10.0</v>
      </c>
      <c r="S168" s="7">
        <v>10.0</v>
      </c>
      <c r="T168" s="8">
        <f t="shared" si="2"/>
        <v>1.011173184</v>
      </c>
      <c r="U168" s="8">
        <f t="shared" si="3"/>
        <v>0.01111122543</v>
      </c>
      <c r="V168" s="11">
        <v>0.012385233339749262</v>
      </c>
      <c r="W168" s="7">
        <f t="shared" si="4"/>
        <v>20</v>
      </c>
      <c r="X168" s="8" t="s">
        <v>661</v>
      </c>
      <c r="Y168" s="7"/>
      <c r="Z168" s="7"/>
      <c r="AA168" s="7"/>
    </row>
    <row r="169" ht="19.5" customHeight="1">
      <c r="A169" s="7">
        <v>124.0</v>
      </c>
      <c r="B169" s="8" t="s">
        <v>662</v>
      </c>
      <c r="C169" s="8" t="s">
        <v>82</v>
      </c>
      <c r="D169" s="8" t="s">
        <v>176</v>
      </c>
      <c r="E169" s="8" t="s">
        <v>663</v>
      </c>
      <c r="F169" s="8" t="s">
        <v>37</v>
      </c>
      <c r="G169" s="9" t="s">
        <v>40</v>
      </c>
      <c r="H169" s="8" t="s">
        <v>90</v>
      </c>
      <c r="I169" s="8" t="s">
        <v>72</v>
      </c>
      <c r="J169" s="7">
        <f>365*7</f>
        <v>2555</v>
      </c>
      <c r="K169" s="8" t="s">
        <v>105</v>
      </c>
      <c r="L169" s="8" t="s">
        <v>664</v>
      </c>
      <c r="M169" s="10">
        <f t="shared" si="1"/>
        <v>1.554246808</v>
      </c>
      <c r="N169" s="7">
        <v>35.83</v>
      </c>
      <c r="O169" s="7">
        <v>35.52</v>
      </c>
      <c r="P169" s="10">
        <v>53.17395979236453</v>
      </c>
      <c r="Q169" s="10">
        <v>55.11385669684167</v>
      </c>
      <c r="R169" s="7">
        <v>12.0</v>
      </c>
      <c r="S169" s="7">
        <v>12.0</v>
      </c>
      <c r="T169" s="14">
        <f t="shared" si="2"/>
        <v>0.9913480324</v>
      </c>
      <c r="U169" s="14">
        <f t="shared" si="3"/>
        <v>-0.008689613193</v>
      </c>
      <c r="V169" s="11">
        <v>0.3841661351511404</v>
      </c>
      <c r="W169" s="7">
        <f t="shared" si="4"/>
        <v>24</v>
      </c>
      <c r="X169" s="8" t="s">
        <v>665</v>
      </c>
      <c r="Y169" s="12"/>
      <c r="Z169" s="12"/>
      <c r="AA169" s="12"/>
    </row>
    <row r="170" ht="19.5" customHeight="1">
      <c r="A170" s="7">
        <v>125.0</v>
      </c>
      <c r="B170" s="7" t="s">
        <v>666</v>
      </c>
      <c r="C170" s="7" t="s">
        <v>109</v>
      </c>
      <c r="D170" s="7" t="s">
        <v>110</v>
      </c>
      <c r="E170" s="7" t="s">
        <v>667</v>
      </c>
      <c r="F170" s="7" t="s">
        <v>47</v>
      </c>
      <c r="G170" s="9" t="s">
        <v>40</v>
      </c>
      <c r="H170" s="7" t="s">
        <v>90</v>
      </c>
      <c r="I170" s="7" t="s">
        <v>39</v>
      </c>
      <c r="J170" s="7">
        <f>5*365</f>
        <v>1825</v>
      </c>
      <c r="K170" s="7" t="s">
        <v>41</v>
      </c>
      <c r="L170" s="8" t="s">
        <v>668</v>
      </c>
      <c r="M170" s="10">
        <f t="shared" si="1"/>
        <v>0.846955325</v>
      </c>
      <c r="N170" s="7">
        <v>7.03</v>
      </c>
      <c r="O170" s="7">
        <v>5.97</v>
      </c>
      <c r="P170" s="10">
        <v>3.550704155516198</v>
      </c>
      <c r="Q170" s="10">
        <v>1.0738715006927038</v>
      </c>
      <c r="R170" s="7">
        <v>3.0</v>
      </c>
      <c r="S170" s="7">
        <v>3.0</v>
      </c>
      <c r="T170" s="8">
        <f t="shared" si="2"/>
        <v>0.8492176387</v>
      </c>
      <c r="U170" s="8">
        <f t="shared" si="3"/>
        <v>-0.1634397784</v>
      </c>
      <c r="V170" s="11">
        <v>0.09582023567096841</v>
      </c>
      <c r="W170" s="7">
        <f t="shared" si="4"/>
        <v>6</v>
      </c>
      <c r="X170" s="8" t="s">
        <v>669</v>
      </c>
      <c r="Y170" s="7"/>
      <c r="Z170" s="7"/>
      <c r="AA170" s="7"/>
    </row>
    <row r="171" ht="19.5" customHeight="1">
      <c r="A171" s="7">
        <v>126.0</v>
      </c>
      <c r="B171" s="7" t="s">
        <v>670</v>
      </c>
      <c r="C171" s="7" t="s">
        <v>150</v>
      </c>
      <c r="D171" s="7" t="s">
        <v>671</v>
      </c>
      <c r="E171" s="7" t="s">
        <v>672</v>
      </c>
      <c r="F171" s="7" t="s">
        <v>37</v>
      </c>
      <c r="G171" s="7" t="s">
        <v>37</v>
      </c>
      <c r="H171" s="7" t="s">
        <v>38</v>
      </c>
      <c r="I171" s="7" t="s">
        <v>39</v>
      </c>
      <c r="J171" s="9" t="s">
        <v>40</v>
      </c>
      <c r="K171" s="7" t="s">
        <v>66</v>
      </c>
      <c r="L171" s="7" t="s">
        <v>673</v>
      </c>
      <c r="M171" s="10">
        <f t="shared" si="1"/>
        <v>0.9647309211</v>
      </c>
      <c r="N171" s="7">
        <v>9.22</v>
      </c>
      <c r="O171" s="7">
        <v>3.7</v>
      </c>
      <c r="P171" s="10">
        <v>1.9289893727027114</v>
      </c>
      <c r="Q171" s="10">
        <v>2.3400854685246006</v>
      </c>
      <c r="R171" s="7">
        <v>10.0</v>
      </c>
      <c r="S171" s="7">
        <v>10.0</v>
      </c>
      <c r="T171" s="8">
        <f t="shared" si="2"/>
        <v>0.4013015184</v>
      </c>
      <c r="U171" s="8">
        <f t="shared" si="3"/>
        <v>-0.9130422179</v>
      </c>
      <c r="V171" s="11">
        <v>0.04437721448703893</v>
      </c>
      <c r="W171" s="7">
        <f t="shared" si="4"/>
        <v>20</v>
      </c>
      <c r="X171" s="7" t="s">
        <v>674</v>
      </c>
      <c r="Y171" s="7"/>
      <c r="Z171" s="7"/>
      <c r="AA171" s="7"/>
    </row>
    <row r="172" ht="19.5" customHeight="1">
      <c r="A172" s="7">
        <v>127.0</v>
      </c>
      <c r="B172" s="7" t="s">
        <v>675</v>
      </c>
      <c r="C172" s="7" t="s">
        <v>676</v>
      </c>
      <c r="D172" s="7" t="s">
        <v>83</v>
      </c>
      <c r="E172" s="7" t="s">
        <v>677</v>
      </c>
      <c r="F172" s="7" t="s">
        <v>78</v>
      </c>
      <c r="G172" s="9" t="s">
        <v>40</v>
      </c>
      <c r="H172" s="7" t="s">
        <v>38</v>
      </c>
      <c r="I172" s="7" t="s">
        <v>72</v>
      </c>
      <c r="J172" s="9" t="s">
        <v>40</v>
      </c>
      <c r="K172" s="7" t="s">
        <v>41</v>
      </c>
      <c r="L172" s="7" t="s">
        <v>678</v>
      </c>
      <c r="M172" s="10">
        <f t="shared" si="1"/>
        <v>0.6711728427</v>
      </c>
      <c r="N172" s="7">
        <v>4.69</v>
      </c>
      <c r="O172" s="7">
        <v>3.09</v>
      </c>
      <c r="P172" s="10">
        <v>0.03</v>
      </c>
      <c r="Q172" s="10">
        <v>0.03</v>
      </c>
      <c r="R172" s="7">
        <v>50.0</v>
      </c>
      <c r="S172" s="7">
        <v>50.0</v>
      </c>
      <c r="T172" s="8">
        <f t="shared" si="2"/>
        <v>0.6588486141</v>
      </c>
      <c r="U172" s="8">
        <f t="shared" si="3"/>
        <v>-0.4172614915</v>
      </c>
      <c r="V172" s="11">
        <v>2.7035187034880708E-6</v>
      </c>
      <c r="W172" s="7">
        <f t="shared" si="4"/>
        <v>100</v>
      </c>
      <c r="X172" s="7" t="s">
        <v>679</v>
      </c>
      <c r="Y172" s="7"/>
      <c r="Z172" s="7"/>
      <c r="AA172" s="7"/>
    </row>
    <row r="173" ht="19.5" customHeight="1">
      <c r="A173" s="7">
        <v>128.0</v>
      </c>
      <c r="B173" s="7" t="s">
        <v>680</v>
      </c>
      <c r="C173" s="7" t="s">
        <v>52</v>
      </c>
      <c r="D173" s="7" t="s">
        <v>681</v>
      </c>
      <c r="E173" s="7" t="s">
        <v>682</v>
      </c>
      <c r="F173" s="7" t="s">
        <v>47</v>
      </c>
      <c r="G173" s="9" t="s">
        <v>40</v>
      </c>
      <c r="H173" s="7" t="s">
        <v>38</v>
      </c>
      <c r="I173" s="7" t="s">
        <v>72</v>
      </c>
      <c r="J173" s="9" t="s">
        <v>40</v>
      </c>
      <c r="K173" s="7" t="s">
        <v>41</v>
      </c>
      <c r="L173" s="8" t="s">
        <v>683</v>
      </c>
      <c r="M173" s="10">
        <f t="shared" si="1"/>
        <v>1.457427693</v>
      </c>
      <c r="N173" s="7">
        <v>28.67</v>
      </c>
      <c r="O173" s="7">
        <v>17.33</v>
      </c>
      <c r="P173" s="10">
        <v>2.0784609690826525</v>
      </c>
      <c r="Q173" s="10">
        <v>6.512511036458978</v>
      </c>
      <c r="R173" s="7">
        <v>3.0</v>
      </c>
      <c r="S173" s="7">
        <v>3.0</v>
      </c>
      <c r="T173" s="8">
        <f t="shared" si="2"/>
        <v>0.6044645971</v>
      </c>
      <c r="U173" s="8">
        <f t="shared" si="3"/>
        <v>-0.5034121762</v>
      </c>
      <c r="V173" s="11">
        <v>0.04882561593919688</v>
      </c>
      <c r="W173" s="7">
        <f t="shared" si="4"/>
        <v>6</v>
      </c>
      <c r="X173" s="7" t="s">
        <v>684</v>
      </c>
      <c r="Y173" s="7"/>
      <c r="Z173" s="7"/>
      <c r="AA173" s="7"/>
    </row>
    <row r="174" ht="19.5" customHeight="1">
      <c r="A174" s="7">
        <v>129.0</v>
      </c>
      <c r="B174" s="8" t="s">
        <v>685</v>
      </c>
      <c r="C174" s="8" t="s">
        <v>109</v>
      </c>
      <c r="D174" s="7" t="s">
        <v>110</v>
      </c>
      <c r="E174" s="8" t="s">
        <v>686</v>
      </c>
      <c r="F174" s="8" t="s">
        <v>37</v>
      </c>
      <c r="G174" s="9" t="s">
        <v>40</v>
      </c>
      <c r="H174" s="8" t="s">
        <v>90</v>
      </c>
      <c r="I174" s="8" t="s">
        <v>72</v>
      </c>
      <c r="J174" s="7">
        <v>1460.0</v>
      </c>
      <c r="K174" s="8" t="s">
        <v>497</v>
      </c>
      <c r="L174" s="8" t="s">
        <v>687</v>
      </c>
      <c r="M174" s="10">
        <f t="shared" si="1"/>
        <v>1.556302501</v>
      </c>
      <c r="N174" s="7">
        <v>36.0</v>
      </c>
      <c r="O174" s="7">
        <v>34.1</v>
      </c>
      <c r="P174" s="10">
        <v>8.221921916437788</v>
      </c>
      <c r="Q174" s="10">
        <v>5.375872022286245</v>
      </c>
      <c r="R174" s="7">
        <v>10.0</v>
      </c>
      <c r="S174" s="7">
        <v>10.0</v>
      </c>
      <c r="T174" s="14">
        <f t="shared" si="2"/>
        <v>0.9472222222</v>
      </c>
      <c r="U174" s="14">
        <f t="shared" si="3"/>
        <v>-0.05422155417</v>
      </c>
      <c r="V174" s="11">
        <v>0.007701408125760916</v>
      </c>
      <c r="W174" s="7">
        <f t="shared" si="4"/>
        <v>20</v>
      </c>
      <c r="X174" s="8" t="s">
        <v>688</v>
      </c>
      <c r="Y174" s="7"/>
      <c r="Z174" s="7"/>
      <c r="AA174" s="7"/>
    </row>
    <row r="175" ht="19.5" customHeight="1">
      <c r="A175" s="7">
        <v>129.0</v>
      </c>
      <c r="B175" s="8" t="s">
        <v>685</v>
      </c>
      <c r="C175" s="8" t="s">
        <v>170</v>
      </c>
      <c r="D175" s="7" t="s">
        <v>369</v>
      </c>
      <c r="E175" s="8" t="s">
        <v>686</v>
      </c>
      <c r="F175" s="8" t="s">
        <v>37</v>
      </c>
      <c r="G175" s="9" t="s">
        <v>40</v>
      </c>
      <c r="H175" s="8" t="s">
        <v>90</v>
      </c>
      <c r="I175" s="8" t="s">
        <v>72</v>
      </c>
      <c r="J175" s="7">
        <v>1460.0</v>
      </c>
      <c r="K175" s="8" t="s">
        <v>497</v>
      </c>
      <c r="L175" s="8" t="s">
        <v>689</v>
      </c>
      <c r="M175" s="10">
        <f t="shared" si="1"/>
        <v>1.556302501</v>
      </c>
      <c r="N175" s="7">
        <v>36.0</v>
      </c>
      <c r="O175" s="7">
        <v>37.3</v>
      </c>
      <c r="P175" s="10">
        <v>8.221921916437788</v>
      </c>
      <c r="Q175" s="10">
        <v>6.957010852370436</v>
      </c>
      <c r="R175" s="7">
        <v>10.0</v>
      </c>
      <c r="S175" s="7">
        <v>10.0</v>
      </c>
      <c r="T175" s="8">
        <f t="shared" si="2"/>
        <v>1.036111111</v>
      </c>
      <c r="U175" s="8">
        <f t="shared" si="3"/>
        <v>0.03547438819</v>
      </c>
      <c r="V175" s="11">
        <v>0.008694835257695389</v>
      </c>
      <c r="W175" s="7">
        <f t="shared" si="4"/>
        <v>20</v>
      </c>
      <c r="X175" s="8" t="s">
        <v>688</v>
      </c>
      <c r="Y175" s="7"/>
      <c r="Z175" s="7"/>
      <c r="AA175" s="7"/>
    </row>
    <row r="176" ht="19.5" customHeight="1">
      <c r="A176" s="7">
        <v>130.0</v>
      </c>
      <c r="B176" s="7" t="s">
        <v>690</v>
      </c>
      <c r="C176" s="7" t="s">
        <v>109</v>
      </c>
      <c r="D176" s="7" t="s">
        <v>110</v>
      </c>
      <c r="E176" s="7" t="s">
        <v>691</v>
      </c>
      <c r="F176" s="7" t="s">
        <v>37</v>
      </c>
      <c r="G176" s="9" t="s">
        <v>40</v>
      </c>
      <c r="H176" s="7" t="s">
        <v>90</v>
      </c>
      <c r="I176" s="7" t="s">
        <v>39</v>
      </c>
      <c r="J176" s="7">
        <f t="shared" ref="J176:J177" si="7">4*365</f>
        <v>1460</v>
      </c>
      <c r="K176" s="7" t="s">
        <v>497</v>
      </c>
      <c r="L176" s="8" t="s">
        <v>687</v>
      </c>
      <c r="M176" s="10">
        <f t="shared" si="1"/>
        <v>1.210853365</v>
      </c>
      <c r="N176" s="7">
        <v>16.25</v>
      </c>
      <c r="O176" s="7">
        <v>14.75</v>
      </c>
      <c r="P176" s="10">
        <v>5.303300858899107</v>
      </c>
      <c r="Q176" s="10">
        <v>3.4</v>
      </c>
      <c r="R176" s="7">
        <v>2.0</v>
      </c>
      <c r="S176" s="7">
        <v>4.0</v>
      </c>
      <c r="T176" s="8">
        <f t="shared" si="2"/>
        <v>0.9076923077</v>
      </c>
      <c r="U176" s="8">
        <f t="shared" si="3"/>
        <v>-0.09684982599</v>
      </c>
      <c r="V176" s="11">
        <v>0.06653797708269235</v>
      </c>
      <c r="W176" s="7">
        <f t="shared" si="4"/>
        <v>6</v>
      </c>
      <c r="X176" s="8" t="s">
        <v>692</v>
      </c>
      <c r="Y176" s="7"/>
      <c r="Z176" s="7"/>
      <c r="AA176" s="7"/>
    </row>
    <row r="177" ht="19.5" customHeight="1">
      <c r="A177" s="7">
        <v>131.0</v>
      </c>
      <c r="B177" s="8" t="s">
        <v>693</v>
      </c>
      <c r="C177" s="8" t="s">
        <v>109</v>
      </c>
      <c r="D177" s="7" t="s">
        <v>110</v>
      </c>
      <c r="E177" s="8" t="s">
        <v>694</v>
      </c>
      <c r="F177" s="8" t="s">
        <v>37</v>
      </c>
      <c r="G177" s="9" t="s">
        <v>40</v>
      </c>
      <c r="H177" s="8" t="s">
        <v>90</v>
      </c>
      <c r="I177" s="8" t="s">
        <v>39</v>
      </c>
      <c r="J177" s="7">
        <f t="shared" si="7"/>
        <v>1460</v>
      </c>
      <c r="K177" s="8" t="s">
        <v>497</v>
      </c>
      <c r="L177" s="8" t="s">
        <v>695</v>
      </c>
      <c r="M177" s="10">
        <f t="shared" si="1"/>
        <v>1.542825427</v>
      </c>
      <c r="N177" s="7">
        <v>34.9</v>
      </c>
      <c r="O177" s="7">
        <v>26.04</v>
      </c>
      <c r="P177" s="10">
        <v>2.68</v>
      </c>
      <c r="Q177" s="10">
        <v>2.68</v>
      </c>
      <c r="R177" s="7">
        <v>4.0</v>
      </c>
      <c r="S177" s="7">
        <v>4.0</v>
      </c>
      <c r="T177" s="14">
        <f t="shared" si="2"/>
        <v>0.7461318052</v>
      </c>
      <c r="U177" s="14">
        <f t="shared" si="3"/>
        <v>-0.2928530119</v>
      </c>
      <c r="V177" s="11">
        <v>0.004122266806017114</v>
      </c>
      <c r="W177" s="7">
        <f t="shared" si="4"/>
        <v>8</v>
      </c>
      <c r="X177" s="8" t="s">
        <v>696</v>
      </c>
      <c r="Y177" s="7"/>
      <c r="Z177" s="7"/>
      <c r="AA177" s="7"/>
    </row>
    <row r="178" ht="19.5" customHeight="1">
      <c r="A178" s="7">
        <v>132.0</v>
      </c>
      <c r="B178" s="7" t="s">
        <v>697</v>
      </c>
      <c r="C178" s="8" t="s">
        <v>34</v>
      </c>
      <c r="D178" s="7" t="s">
        <v>698</v>
      </c>
      <c r="E178" s="7" t="s">
        <v>699</v>
      </c>
      <c r="F178" s="7" t="s">
        <v>47</v>
      </c>
      <c r="G178" s="7" t="s">
        <v>47</v>
      </c>
      <c r="H178" s="7" t="s">
        <v>38</v>
      </c>
      <c r="I178" s="7" t="s">
        <v>72</v>
      </c>
      <c r="J178" s="9" t="s">
        <v>40</v>
      </c>
      <c r="K178" s="7" t="s">
        <v>66</v>
      </c>
      <c r="L178" s="8" t="s">
        <v>700</v>
      </c>
      <c r="M178" s="10">
        <f t="shared" si="1"/>
        <v>1.160768562</v>
      </c>
      <c r="N178" s="7">
        <v>14.48</v>
      </c>
      <c r="O178" s="7">
        <v>9.36</v>
      </c>
      <c r="P178" s="10">
        <v>2.6</v>
      </c>
      <c r="Q178" s="10">
        <v>1.98</v>
      </c>
      <c r="R178" s="7">
        <v>5.0</v>
      </c>
      <c r="S178" s="7">
        <v>5.0</v>
      </c>
      <c r="T178" s="8">
        <f t="shared" si="2"/>
        <v>0.6464088398</v>
      </c>
      <c r="U178" s="8">
        <f t="shared" si="3"/>
        <v>-0.4363230965</v>
      </c>
      <c r="V178" s="11">
        <v>0.01539792000843838</v>
      </c>
      <c r="W178" s="7">
        <f t="shared" si="4"/>
        <v>10</v>
      </c>
      <c r="X178" s="7" t="s">
        <v>701</v>
      </c>
      <c r="Y178" s="7"/>
      <c r="Z178" s="7"/>
      <c r="AA178" s="7"/>
    </row>
    <row r="179" ht="19.5" customHeight="1">
      <c r="A179" s="7">
        <v>133.0</v>
      </c>
      <c r="B179" s="7" t="s">
        <v>702</v>
      </c>
      <c r="C179" s="7" t="s">
        <v>52</v>
      </c>
      <c r="D179" s="7" t="s">
        <v>64</v>
      </c>
      <c r="E179" s="7" t="s">
        <v>703</v>
      </c>
      <c r="F179" s="7" t="s">
        <v>47</v>
      </c>
      <c r="G179" s="9" t="s">
        <v>40</v>
      </c>
      <c r="H179" s="7" t="s">
        <v>38</v>
      </c>
      <c r="I179" s="7" t="s">
        <v>72</v>
      </c>
      <c r="J179" s="9" t="s">
        <v>40</v>
      </c>
      <c r="K179" s="7" t="s">
        <v>48</v>
      </c>
      <c r="L179" s="8" t="s">
        <v>704</v>
      </c>
      <c r="M179" s="10">
        <f t="shared" si="1"/>
        <v>0.6890867704</v>
      </c>
      <c r="N179" s="10">
        <v>4.887499999999999</v>
      </c>
      <c r="O179" s="10">
        <v>4.4725</v>
      </c>
      <c r="P179" s="10">
        <v>2.13</v>
      </c>
      <c r="Q179" s="10">
        <v>1.78</v>
      </c>
      <c r="R179" s="7">
        <v>5.0</v>
      </c>
      <c r="S179" s="7">
        <v>5.0</v>
      </c>
      <c r="T179" s="8">
        <f t="shared" si="2"/>
        <v>0.9150895141</v>
      </c>
      <c r="U179" s="8">
        <f t="shared" si="3"/>
        <v>-0.08873338891</v>
      </c>
      <c r="V179" s="11">
        <v>0.06966415112346613</v>
      </c>
      <c r="W179" s="7">
        <f t="shared" si="4"/>
        <v>10</v>
      </c>
      <c r="X179" s="7" t="s">
        <v>705</v>
      </c>
      <c r="Y179" s="7"/>
      <c r="Z179" s="7"/>
      <c r="AA179" s="7"/>
    </row>
    <row r="180" ht="19.5" customHeight="1">
      <c r="A180" s="7">
        <v>134.0</v>
      </c>
      <c r="B180" s="7" t="s">
        <v>706</v>
      </c>
      <c r="C180" s="8" t="s">
        <v>34</v>
      </c>
      <c r="D180" s="7" t="s">
        <v>707</v>
      </c>
      <c r="E180" s="7" t="s">
        <v>708</v>
      </c>
      <c r="F180" s="7" t="s">
        <v>37</v>
      </c>
      <c r="G180" s="7" t="s">
        <v>37</v>
      </c>
      <c r="H180" s="7" t="s">
        <v>38</v>
      </c>
      <c r="I180" s="7" t="s">
        <v>72</v>
      </c>
      <c r="J180" s="9" t="s">
        <v>40</v>
      </c>
      <c r="K180" s="7" t="s">
        <v>153</v>
      </c>
      <c r="L180" s="8" t="s">
        <v>709</v>
      </c>
      <c r="M180" s="10">
        <f t="shared" si="1"/>
        <v>1.645422269</v>
      </c>
      <c r="N180" s="7">
        <v>44.2</v>
      </c>
      <c r="O180" s="7">
        <v>32.45</v>
      </c>
      <c r="P180" s="10">
        <v>3.26</v>
      </c>
      <c r="Q180" s="10">
        <v>2.16</v>
      </c>
      <c r="R180" s="7">
        <v>5.0</v>
      </c>
      <c r="S180" s="7">
        <v>5.0</v>
      </c>
      <c r="T180" s="8">
        <f t="shared" si="2"/>
        <v>0.7341628959</v>
      </c>
      <c r="U180" s="8">
        <f t="shared" si="3"/>
        <v>-0.3090243459</v>
      </c>
      <c r="V180" s="11">
        <v>0.0019741311038817466</v>
      </c>
      <c r="W180" s="7">
        <f t="shared" si="4"/>
        <v>10</v>
      </c>
      <c r="X180" s="7" t="s">
        <v>710</v>
      </c>
      <c r="Y180" s="7"/>
      <c r="Z180" s="7"/>
      <c r="AA180" s="7"/>
    </row>
    <row r="181" ht="19.5" customHeight="1">
      <c r="A181" s="7">
        <v>135.0</v>
      </c>
      <c r="B181" s="8" t="s">
        <v>711</v>
      </c>
      <c r="C181" s="8" t="s">
        <v>82</v>
      </c>
      <c r="D181" s="8" t="s">
        <v>118</v>
      </c>
      <c r="E181" s="8" t="s">
        <v>712</v>
      </c>
      <c r="F181" s="8" t="s">
        <v>47</v>
      </c>
      <c r="G181" s="13" t="s">
        <v>40</v>
      </c>
      <c r="H181" s="8" t="s">
        <v>90</v>
      </c>
      <c r="I181" s="8" t="s">
        <v>39</v>
      </c>
      <c r="J181" s="7">
        <f>3*360</f>
        <v>1080</v>
      </c>
      <c r="K181" s="8" t="s">
        <v>66</v>
      </c>
      <c r="L181" s="8" t="s">
        <v>713</v>
      </c>
      <c r="M181" s="10">
        <f t="shared" si="1"/>
        <v>1.77815125</v>
      </c>
      <c r="N181" s="7">
        <v>60.0</v>
      </c>
      <c r="O181" s="7">
        <v>70.3</v>
      </c>
      <c r="P181" s="10">
        <v>12.91</v>
      </c>
      <c r="Q181" s="10">
        <v>14.33</v>
      </c>
      <c r="R181" s="7">
        <v>11.0</v>
      </c>
      <c r="S181" s="7">
        <v>11.0</v>
      </c>
      <c r="T181" s="14">
        <f t="shared" si="2"/>
        <v>1.171666667</v>
      </c>
      <c r="U181" s="14">
        <f t="shared" si="3"/>
        <v>0.1584272366</v>
      </c>
      <c r="V181" s="11">
        <v>0.007986156218540307</v>
      </c>
      <c r="W181" s="7">
        <f t="shared" si="4"/>
        <v>22</v>
      </c>
      <c r="X181" s="8" t="s">
        <v>714</v>
      </c>
      <c r="Y181" s="12"/>
      <c r="Z181" s="12"/>
      <c r="AA181" s="12"/>
    </row>
    <row r="182" ht="19.5" customHeight="1">
      <c r="A182" s="7">
        <v>136.0</v>
      </c>
      <c r="B182" s="7" t="s">
        <v>715</v>
      </c>
      <c r="C182" s="7" t="s">
        <v>342</v>
      </c>
      <c r="D182" s="7" t="s">
        <v>110</v>
      </c>
      <c r="E182" s="7" t="s">
        <v>716</v>
      </c>
      <c r="F182" s="7" t="s">
        <v>37</v>
      </c>
      <c r="G182" s="13" t="s">
        <v>40</v>
      </c>
      <c r="H182" s="7" t="s">
        <v>90</v>
      </c>
      <c r="I182" s="7" t="s">
        <v>39</v>
      </c>
      <c r="J182" s="7">
        <v>365.0</v>
      </c>
      <c r="K182" s="7" t="s">
        <v>178</v>
      </c>
      <c r="L182" s="8" t="s">
        <v>717</v>
      </c>
      <c r="M182" s="10">
        <f t="shared" si="1"/>
        <v>1.2219356</v>
      </c>
      <c r="N182" s="7">
        <v>16.67</v>
      </c>
      <c r="O182" s="7">
        <v>16.77</v>
      </c>
      <c r="P182" s="10">
        <v>0.4525483399593905</v>
      </c>
      <c r="Q182" s="10">
        <v>0.7636753236814714</v>
      </c>
      <c r="R182" s="7">
        <v>2.0</v>
      </c>
      <c r="S182" s="7">
        <v>2.0</v>
      </c>
      <c r="T182" s="8">
        <f t="shared" si="2"/>
        <v>1.0059988</v>
      </c>
      <c r="U182" s="8">
        <f t="shared" si="3"/>
        <v>0.005980879072</v>
      </c>
      <c r="V182" s="11">
        <v>0.001405355629497916</v>
      </c>
      <c r="W182" s="7">
        <f t="shared" si="4"/>
        <v>4</v>
      </c>
      <c r="X182" s="7" t="s">
        <v>718</v>
      </c>
      <c r="Y182" s="7"/>
      <c r="Z182" s="7"/>
      <c r="AA182" s="7"/>
    </row>
    <row r="183" ht="19.5" customHeight="1">
      <c r="A183" s="7">
        <v>137.0</v>
      </c>
      <c r="B183" s="8" t="s">
        <v>719</v>
      </c>
      <c r="C183" s="8" t="s">
        <v>170</v>
      </c>
      <c r="D183" s="7" t="s">
        <v>233</v>
      </c>
      <c r="E183" s="8" t="s">
        <v>720</v>
      </c>
      <c r="F183" s="8" t="s">
        <v>47</v>
      </c>
      <c r="G183" s="13" t="s">
        <v>40</v>
      </c>
      <c r="H183" s="8" t="s">
        <v>90</v>
      </c>
      <c r="I183" s="8" t="s">
        <v>72</v>
      </c>
      <c r="J183" s="7">
        <v>4745.0</v>
      </c>
      <c r="K183" s="8" t="s">
        <v>55</v>
      </c>
      <c r="L183" s="8" t="s">
        <v>721</v>
      </c>
      <c r="M183" s="10">
        <f t="shared" si="1"/>
        <v>1.317018101</v>
      </c>
      <c r="N183" s="7">
        <v>20.75</v>
      </c>
      <c r="O183" s="7">
        <v>21.68</v>
      </c>
      <c r="P183" s="10">
        <v>2.3</v>
      </c>
      <c r="Q183" s="10">
        <v>3.1</v>
      </c>
      <c r="R183" s="7">
        <v>4.0</v>
      </c>
      <c r="S183" s="7">
        <v>4.0</v>
      </c>
      <c r="T183" s="8">
        <f t="shared" si="2"/>
        <v>1.044819277</v>
      </c>
      <c r="U183" s="8">
        <f t="shared" si="3"/>
        <v>0.04384392989</v>
      </c>
      <c r="V183" s="11">
        <v>0.008183021879602969</v>
      </c>
      <c r="W183" s="7">
        <f t="shared" si="4"/>
        <v>8</v>
      </c>
      <c r="X183" s="8" t="s">
        <v>722</v>
      </c>
      <c r="Y183" s="7"/>
      <c r="Z183" s="7"/>
      <c r="AA183" s="7"/>
    </row>
    <row r="184" ht="19.5" customHeight="1">
      <c r="A184" s="7">
        <v>138.0</v>
      </c>
      <c r="B184" s="7" t="s">
        <v>723</v>
      </c>
      <c r="C184" s="7" t="s">
        <v>342</v>
      </c>
      <c r="D184" s="7" t="s">
        <v>724</v>
      </c>
      <c r="E184" s="7" t="s">
        <v>725</v>
      </c>
      <c r="F184" s="7" t="s">
        <v>47</v>
      </c>
      <c r="G184" s="13" t="s">
        <v>40</v>
      </c>
      <c r="H184" s="7" t="s">
        <v>90</v>
      </c>
      <c r="I184" s="7" t="s">
        <v>39</v>
      </c>
      <c r="J184" s="7"/>
      <c r="K184" s="7" t="s">
        <v>55</v>
      </c>
      <c r="L184" s="7" t="s">
        <v>726</v>
      </c>
      <c r="M184" s="10">
        <f t="shared" si="1"/>
        <v>-0.3565473235</v>
      </c>
      <c r="N184" s="7">
        <v>0.44</v>
      </c>
      <c r="O184" s="7">
        <v>0.7</v>
      </c>
      <c r="P184" s="10">
        <v>0.08</v>
      </c>
      <c r="Q184" s="10">
        <v>0.07</v>
      </c>
      <c r="R184" s="7">
        <v>8.0</v>
      </c>
      <c r="S184" s="7">
        <v>8.0</v>
      </c>
      <c r="T184" s="8">
        <f t="shared" si="2"/>
        <v>1.590909091</v>
      </c>
      <c r="U184" s="8">
        <f t="shared" si="3"/>
        <v>0.4643056081</v>
      </c>
      <c r="V184" s="11">
        <v>0.005382231404958678</v>
      </c>
      <c r="W184" s="7">
        <f t="shared" si="4"/>
        <v>16</v>
      </c>
      <c r="X184" s="7" t="s">
        <v>727</v>
      </c>
      <c r="Y184" s="7"/>
      <c r="Z184" s="7"/>
      <c r="AA184" s="7"/>
    </row>
    <row r="185" ht="19.5" customHeight="1">
      <c r="A185" s="7">
        <v>139.0</v>
      </c>
      <c r="B185" s="7" t="s">
        <v>728</v>
      </c>
      <c r="C185" s="8" t="s">
        <v>34</v>
      </c>
      <c r="D185" s="7" t="s">
        <v>729</v>
      </c>
      <c r="E185" s="7" t="s">
        <v>730</v>
      </c>
      <c r="F185" s="7" t="s">
        <v>47</v>
      </c>
      <c r="G185" s="7" t="s">
        <v>37</v>
      </c>
      <c r="H185" s="7" t="s">
        <v>38</v>
      </c>
      <c r="I185" s="7" t="s">
        <v>39</v>
      </c>
      <c r="J185" s="9" t="s">
        <v>40</v>
      </c>
      <c r="K185" s="7" t="s">
        <v>153</v>
      </c>
      <c r="L185" s="8" t="s">
        <v>731</v>
      </c>
      <c r="M185" s="10">
        <f t="shared" si="1"/>
        <v>-1.37675071</v>
      </c>
      <c r="N185" s="7">
        <v>0.042</v>
      </c>
      <c r="O185" s="7">
        <v>0.051</v>
      </c>
      <c r="P185" s="10">
        <v>0.006</v>
      </c>
      <c r="Q185" s="10">
        <v>0.01</v>
      </c>
      <c r="R185" s="7">
        <v>4.0</v>
      </c>
      <c r="S185" s="7">
        <v>4.0</v>
      </c>
      <c r="T185" s="8">
        <f t="shared" si="2"/>
        <v>1.214285714</v>
      </c>
      <c r="U185" s="8">
        <f t="shared" si="3"/>
        <v>0.1941560144</v>
      </c>
      <c r="V185" s="11">
        <v>0.014713728628706384</v>
      </c>
      <c r="W185" s="7">
        <f t="shared" si="4"/>
        <v>8</v>
      </c>
      <c r="X185" s="7" t="s">
        <v>732</v>
      </c>
      <c r="Y185" s="7"/>
      <c r="Z185" s="7"/>
      <c r="AA185" s="7"/>
    </row>
    <row r="186" ht="19.5" customHeight="1">
      <c r="A186" s="7">
        <v>140.0</v>
      </c>
      <c r="B186" s="8" t="s">
        <v>733</v>
      </c>
      <c r="C186" s="8" t="s">
        <v>109</v>
      </c>
      <c r="D186" s="7" t="s">
        <v>110</v>
      </c>
      <c r="E186" s="8" t="s">
        <v>734</v>
      </c>
      <c r="F186" s="8" t="s">
        <v>37</v>
      </c>
      <c r="G186" s="13" t="s">
        <v>40</v>
      </c>
      <c r="H186" s="8" t="s">
        <v>90</v>
      </c>
      <c r="I186" s="8" t="s">
        <v>39</v>
      </c>
      <c r="J186" s="7">
        <v>140.0</v>
      </c>
      <c r="K186" s="8" t="s">
        <v>153</v>
      </c>
      <c r="L186" s="8" t="s">
        <v>735</v>
      </c>
      <c r="M186" s="10">
        <f t="shared" si="1"/>
        <v>0.9849771264</v>
      </c>
      <c r="N186" s="7">
        <v>9.66</v>
      </c>
      <c r="O186" s="7">
        <v>9.33</v>
      </c>
      <c r="P186" s="10">
        <v>3.568024663591887</v>
      </c>
      <c r="Q186" s="10">
        <v>2.736640275958826</v>
      </c>
      <c r="R186" s="7">
        <v>3.0</v>
      </c>
      <c r="S186" s="7">
        <v>3.0</v>
      </c>
      <c r="T186" s="14">
        <f t="shared" si="2"/>
        <v>0.9658385093</v>
      </c>
      <c r="U186" s="14">
        <f t="shared" si="3"/>
        <v>-0.03475863337</v>
      </c>
      <c r="V186" s="11">
        <v>0.07415391704053545</v>
      </c>
      <c r="W186" s="7">
        <f t="shared" si="4"/>
        <v>6</v>
      </c>
      <c r="X186" s="8" t="s">
        <v>736</v>
      </c>
      <c r="Y186" s="7"/>
      <c r="Z186" s="7"/>
      <c r="AA186" s="7"/>
    </row>
    <row r="187" ht="19.5" customHeight="1">
      <c r="A187" s="7">
        <v>141.0</v>
      </c>
      <c r="B187" s="7" t="s">
        <v>737</v>
      </c>
      <c r="C187" s="7" t="s">
        <v>170</v>
      </c>
      <c r="D187" s="7" t="s">
        <v>233</v>
      </c>
      <c r="E187" s="7" t="s">
        <v>738</v>
      </c>
      <c r="F187" s="7" t="s">
        <v>37</v>
      </c>
      <c r="G187" s="9" t="s">
        <v>40</v>
      </c>
      <c r="H187" s="7" t="s">
        <v>90</v>
      </c>
      <c r="I187" s="7" t="s">
        <v>201</v>
      </c>
      <c r="J187" s="7">
        <f>5*365</f>
        <v>1825</v>
      </c>
      <c r="K187" s="7" t="s">
        <v>66</v>
      </c>
      <c r="L187" s="8" t="s">
        <v>739</v>
      </c>
      <c r="M187" s="10">
        <f t="shared" si="1"/>
        <v>0.9164539485</v>
      </c>
      <c r="N187" s="7">
        <v>8.25</v>
      </c>
      <c r="O187" s="7">
        <v>2.47</v>
      </c>
      <c r="P187" s="10">
        <v>1.2470765814495914</v>
      </c>
      <c r="Q187" s="10">
        <v>1.5761662348876784</v>
      </c>
      <c r="R187" s="7">
        <v>3.0</v>
      </c>
      <c r="S187" s="7">
        <v>3.0</v>
      </c>
      <c r="T187" s="8">
        <f t="shared" si="2"/>
        <v>0.2993939394</v>
      </c>
      <c r="U187" s="8">
        <f t="shared" si="3"/>
        <v>-1.20599505</v>
      </c>
      <c r="V187" s="11">
        <v>0.14335060094778052</v>
      </c>
      <c r="W187" s="7">
        <f t="shared" si="4"/>
        <v>6</v>
      </c>
      <c r="X187" s="8" t="s">
        <v>740</v>
      </c>
      <c r="Y187" s="7"/>
      <c r="Z187" s="7"/>
      <c r="AA187" s="7"/>
    </row>
    <row r="188" ht="19.5" customHeight="1">
      <c r="A188" s="7">
        <v>142.0</v>
      </c>
      <c r="B188" s="7" t="s">
        <v>741</v>
      </c>
      <c r="C188" s="8" t="s">
        <v>34</v>
      </c>
      <c r="D188" s="7" t="s">
        <v>742</v>
      </c>
      <c r="E188" s="7" t="s">
        <v>104</v>
      </c>
      <c r="F188" s="7" t="s">
        <v>78</v>
      </c>
      <c r="G188" s="7" t="s">
        <v>743</v>
      </c>
      <c r="H188" s="7" t="s">
        <v>38</v>
      </c>
      <c r="I188" s="7" t="s">
        <v>72</v>
      </c>
      <c r="J188" s="9" t="s">
        <v>40</v>
      </c>
      <c r="K188" s="7" t="s">
        <v>66</v>
      </c>
      <c r="L188" s="8" t="s">
        <v>744</v>
      </c>
      <c r="M188" s="10">
        <f t="shared" si="1"/>
        <v>1.531478917</v>
      </c>
      <c r="N188" s="7">
        <v>34.0</v>
      </c>
      <c r="O188" s="7">
        <v>23.0</v>
      </c>
      <c r="P188" s="10">
        <v>16.886562705299145</v>
      </c>
      <c r="Q188" s="10">
        <v>21.09239199332309</v>
      </c>
      <c r="R188" s="7">
        <v>10.0</v>
      </c>
      <c r="S188" s="7">
        <v>10.0</v>
      </c>
      <c r="T188" s="8">
        <f t="shared" si="2"/>
        <v>0.6764705882</v>
      </c>
      <c r="U188" s="8">
        <f t="shared" si="3"/>
        <v>-0.3908663087</v>
      </c>
      <c r="V188" s="11">
        <v>0.1087674740484429</v>
      </c>
      <c r="W188" s="7">
        <f t="shared" si="4"/>
        <v>20</v>
      </c>
      <c r="X188" s="7" t="s">
        <v>745</v>
      </c>
      <c r="Y188" s="7"/>
      <c r="Z188" s="7"/>
      <c r="AA188" s="7"/>
    </row>
    <row r="189" ht="19.5" customHeight="1">
      <c r="A189" s="7">
        <v>143.0</v>
      </c>
      <c r="B189" s="8" t="s">
        <v>746</v>
      </c>
      <c r="C189" s="8" t="s">
        <v>82</v>
      </c>
      <c r="D189" s="8" t="s">
        <v>118</v>
      </c>
      <c r="E189" s="8" t="s">
        <v>747</v>
      </c>
      <c r="F189" s="8" t="s">
        <v>47</v>
      </c>
      <c r="G189" s="13" t="s">
        <v>40</v>
      </c>
      <c r="H189" s="8" t="s">
        <v>90</v>
      </c>
      <c r="I189" s="8" t="s">
        <v>201</v>
      </c>
      <c r="J189" s="7">
        <v>30.0</v>
      </c>
      <c r="K189" s="8" t="s">
        <v>178</v>
      </c>
      <c r="L189" s="8" t="s">
        <v>748</v>
      </c>
      <c r="M189" s="10">
        <f t="shared" si="1"/>
        <v>1.026941628</v>
      </c>
      <c r="N189" s="7">
        <v>10.64</v>
      </c>
      <c r="O189" s="7">
        <v>9.71</v>
      </c>
      <c r="P189" s="10">
        <v>1.818653347947321</v>
      </c>
      <c r="Q189" s="10">
        <v>1.593486742963367</v>
      </c>
      <c r="R189" s="7">
        <v>3.0</v>
      </c>
      <c r="S189" s="7">
        <v>3.0</v>
      </c>
      <c r="T189" s="14">
        <f t="shared" si="2"/>
        <v>0.912593985</v>
      </c>
      <c r="U189" s="14">
        <f t="shared" si="3"/>
        <v>-0.09146420161</v>
      </c>
      <c r="V189" s="11">
        <v>0.01871569680340581</v>
      </c>
      <c r="W189" s="7">
        <f t="shared" si="4"/>
        <v>6</v>
      </c>
      <c r="X189" s="7" t="s">
        <v>749</v>
      </c>
      <c r="Y189" s="12"/>
      <c r="Z189" s="12"/>
      <c r="AA189" s="12"/>
    </row>
    <row r="190" ht="19.5" customHeight="1">
      <c r="A190" s="7">
        <v>144.0</v>
      </c>
      <c r="B190" s="7" t="s">
        <v>750</v>
      </c>
      <c r="C190" s="7" t="s">
        <v>52</v>
      </c>
      <c r="D190" s="7" t="s">
        <v>53</v>
      </c>
      <c r="E190" s="7" t="s">
        <v>628</v>
      </c>
      <c r="F190" s="8" t="s">
        <v>47</v>
      </c>
      <c r="G190" s="13" t="s">
        <v>40</v>
      </c>
      <c r="H190" s="7" t="s">
        <v>38</v>
      </c>
      <c r="I190" s="7" t="s">
        <v>39</v>
      </c>
      <c r="J190" s="9" t="s">
        <v>40</v>
      </c>
      <c r="K190" s="7" t="s">
        <v>41</v>
      </c>
      <c r="L190" s="8" t="s">
        <v>751</v>
      </c>
      <c r="M190" s="10">
        <f t="shared" si="1"/>
        <v>0.7656685548</v>
      </c>
      <c r="N190" s="7">
        <v>5.83</v>
      </c>
      <c r="O190" s="7">
        <v>5.52</v>
      </c>
      <c r="P190" s="10">
        <v>2.529822128134704</v>
      </c>
      <c r="Q190" s="10">
        <v>2.529822128134704</v>
      </c>
      <c r="R190" s="7">
        <v>40.0</v>
      </c>
      <c r="S190" s="7">
        <v>40.0</v>
      </c>
      <c r="T190" s="8">
        <f t="shared" si="2"/>
        <v>0.9468267581</v>
      </c>
      <c r="U190" s="8">
        <f t="shared" si="3"/>
        <v>-0.05463914007</v>
      </c>
      <c r="V190" s="11">
        <v>0.009958416876413198</v>
      </c>
      <c r="W190" s="7">
        <f t="shared" si="4"/>
        <v>80</v>
      </c>
      <c r="X190" s="7" t="s">
        <v>752</v>
      </c>
      <c r="Y190" s="7"/>
      <c r="Z190" s="7"/>
      <c r="AA190" s="7"/>
    </row>
    <row r="191" ht="19.5" customHeight="1">
      <c r="A191" s="7">
        <v>145.0</v>
      </c>
      <c r="B191" s="7" t="s">
        <v>753</v>
      </c>
      <c r="C191" s="7" t="s">
        <v>52</v>
      </c>
      <c r="D191" s="7" t="s">
        <v>53</v>
      </c>
      <c r="E191" s="7" t="s">
        <v>628</v>
      </c>
      <c r="F191" s="8" t="s">
        <v>47</v>
      </c>
      <c r="G191" s="13" t="s">
        <v>40</v>
      </c>
      <c r="H191" s="7" t="s">
        <v>38</v>
      </c>
      <c r="I191" s="7" t="s">
        <v>72</v>
      </c>
      <c r="J191" s="9" t="s">
        <v>40</v>
      </c>
      <c r="K191" s="7" t="s">
        <v>41</v>
      </c>
      <c r="L191" s="8" t="s">
        <v>541</v>
      </c>
      <c r="M191" s="10">
        <f t="shared" si="1"/>
        <v>1.434888121</v>
      </c>
      <c r="N191" s="7">
        <v>27.22</v>
      </c>
      <c r="O191" s="7">
        <v>26.83</v>
      </c>
      <c r="P191" s="10">
        <v>8.25</v>
      </c>
      <c r="Q191" s="10">
        <v>8.370000000000001</v>
      </c>
      <c r="R191" s="7">
        <v>9.0</v>
      </c>
      <c r="S191" s="7">
        <v>9.0</v>
      </c>
      <c r="T191" s="8">
        <f t="shared" si="2"/>
        <v>0.9856722998</v>
      </c>
      <c r="U191" s="8">
        <f t="shared" si="3"/>
        <v>-0.01443133279</v>
      </c>
      <c r="V191" s="11">
        <v>0.021020308549204156</v>
      </c>
      <c r="W191" s="7">
        <f t="shared" si="4"/>
        <v>18</v>
      </c>
      <c r="X191" s="7" t="s">
        <v>754</v>
      </c>
      <c r="Y191" s="7"/>
      <c r="Z191" s="7"/>
      <c r="AA191" s="7"/>
    </row>
    <row r="192" ht="19.5" customHeight="1">
      <c r="A192" s="7">
        <v>146.0</v>
      </c>
      <c r="B192" s="7" t="s">
        <v>755</v>
      </c>
      <c r="C192" s="7" t="s">
        <v>52</v>
      </c>
      <c r="D192" s="7" t="s">
        <v>53</v>
      </c>
      <c r="E192" s="7" t="s">
        <v>628</v>
      </c>
      <c r="F192" s="8" t="s">
        <v>47</v>
      </c>
      <c r="G192" s="13" t="s">
        <v>40</v>
      </c>
      <c r="H192" s="7" t="s">
        <v>38</v>
      </c>
      <c r="I192" s="7" t="s">
        <v>39</v>
      </c>
      <c r="J192" s="9" t="s">
        <v>40</v>
      </c>
      <c r="K192" s="7" t="s">
        <v>41</v>
      </c>
      <c r="L192" s="8" t="s">
        <v>751</v>
      </c>
      <c r="M192" s="10">
        <f t="shared" si="1"/>
        <v>0.5740312677</v>
      </c>
      <c r="N192" s="7">
        <v>3.75</v>
      </c>
      <c r="O192" s="7">
        <v>5.61</v>
      </c>
      <c r="P192" s="10">
        <v>0.5</v>
      </c>
      <c r="Q192" s="10">
        <v>1.18</v>
      </c>
      <c r="R192" s="7">
        <v>4.0</v>
      </c>
      <c r="S192" s="7">
        <v>4.0</v>
      </c>
      <c r="T192" s="8">
        <f t="shared" si="2"/>
        <v>1.496</v>
      </c>
      <c r="U192" s="8">
        <f t="shared" si="3"/>
        <v>0.4027948796</v>
      </c>
      <c r="V192" s="11">
        <v>0.01550503461796321</v>
      </c>
      <c r="W192" s="7">
        <f t="shared" si="4"/>
        <v>8</v>
      </c>
      <c r="X192" s="7" t="s">
        <v>756</v>
      </c>
      <c r="Y192" s="7"/>
      <c r="Z192" s="7"/>
      <c r="AA192" s="7"/>
    </row>
    <row r="193" ht="19.5" customHeight="1">
      <c r="A193" s="7">
        <v>147.0</v>
      </c>
      <c r="B193" s="7" t="s">
        <v>757</v>
      </c>
      <c r="C193" s="8" t="s">
        <v>34</v>
      </c>
      <c r="D193" s="7" t="s">
        <v>758</v>
      </c>
      <c r="E193" s="7" t="s">
        <v>759</v>
      </c>
      <c r="F193" s="7" t="s">
        <v>37</v>
      </c>
      <c r="G193" s="7" t="s">
        <v>37</v>
      </c>
      <c r="H193" s="7" t="s">
        <v>38</v>
      </c>
      <c r="I193" s="7" t="s">
        <v>39</v>
      </c>
      <c r="J193" s="9" t="s">
        <v>40</v>
      </c>
      <c r="K193" s="7" t="s">
        <v>213</v>
      </c>
      <c r="L193" s="8" t="s">
        <v>760</v>
      </c>
      <c r="M193" s="10">
        <f t="shared" si="1"/>
        <v>1.019531685</v>
      </c>
      <c r="N193" s="10">
        <v>10.46</v>
      </c>
      <c r="O193" s="10">
        <v>8.99</v>
      </c>
      <c r="P193" s="10">
        <v>2.041241452319315</v>
      </c>
      <c r="Q193" s="10">
        <v>2.6944387170614954</v>
      </c>
      <c r="R193" s="7">
        <v>6.0</v>
      </c>
      <c r="S193" s="7">
        <v>6.0</v>
      </c>
      <c r="T193" s="8">
        <f t="shared" si="2"/>
        <v>0.8594646272</v>
      </c>
      <c r="U193" s="8">
        <f t="shared" si="3"/>
        <v>-0.1514456102</v>
      </c>
      <c r="V193" s="11">
        <v>0.02131860560715073</v>
      </c>
      <c r="W193" s="7">
        <f t="shared" si="4"/>
        <v>12</v>
      </c>
      <c r="X193" s="7" t="s">
        <v>761</v>
      </c>
      <c r="Y193" s="7"/>
      <c r="Z193" s="7"/>
      <c r="AA193" s="7"/>
    </row>
    <row r="194" ht="19.5" customHeight="1">
      <c r="A194" s="7">
        <v>148.0</v>
      </c>
      <c r="B194" s="7" t="s">
        <v>762</v>
      </c>
      <c r="C194" s="7" t="s">
        <v>170</v>
      </c>
      <c r="D194" s="7" t="s">
        <v>369</v>
      </c>
      <c r="E194" s="7" t="s">
        <v>763</v>
      </c>
      <c r="F194" s="7" t="s">
        <v>37</v>
      </c>
      <c r="G194" s="9" t="s">
        <v>40</v>
      </c>
      <c r="H194" s="7" t="s">
        <v>90</v>
      </c>
      <c r="I194" s="7" t="s">
        <v>39</v>
      </c>
      <c r="J194" s="7">
        <f>2*365</f>
        <v>730</v>
      </c>
      <c r="K194" s="7" t="s">
        <v>55</v>
      </c>
      <c r="L194" s="8" t="s">
        <v>764</v>
      </c>
      <c r="M194" s="10">
        <f t="shared" si="1"/>
        <v>1.039017322</v>
      </c>
      <c r="N194" s="7">
        <v>10.94</v>
      </c>
      <c r="O194" s="7">
        <v>8.26</v>
      </c>
      <c r="P194" s="10">
        <v>1.224744871391589</v>
      </c>
      <c r="Q194" s="10">
        <v>1.6166632302368975</v>
      </c>
      <c r="R194" s="7">
        <v>6.0</v>
      </c>
      <c r="S194" s="7">
        <v>6.0</v>
      </c>
      <c r="T194" s="8">
        <f t="shared" si="2"/>
        <v>0.7550274223</v>
      </c>
      <c r="U194" s="8">
        <f t="shared" si="3"/>
        <v>-0.2810012095</v>
      </c>
      <c r="V194" s="11">
        <v>0.00847335392286343</v>
      </c>
      <c r="W194" s="7">
        <f t="shared" si="4"/>
        <v>12</v>
      </c>
      <c r="X194" s="7" t="s">
        <v>765</v>
      </c>
      <c r="Y194" s="7"/>
      <c r="Z194" s="7"/>
      <c r="AA194" s="7"/>
    </row>
    <row r="195" ht="19.5" customHeight="1">
      <c r="A195" s="7">
        <v>148.0</v>
      </c>
      <c r="B195" s="7" t="s">
        <v>762</v>
      </c>
      <c r="C195" s="7" t="s">
        <v>34</v>
      </c>
      <c r="D195" s="7" t="s">
        <v>766</v>
      </c>
      <c r="E195" s="7" t="s">
        <v>767</v>
      </c>
      <c r="F195" s="7" t="s">
        <v>78</v>
      </c>
      <c r="G195" s="7" t="s">
        <v>743</v>
      </c>
      <c r="H195" s="7" t="s">
        <v>38</v>
      </c>
      <c r="I195" s="7" t="s">
        <v>72</v>
      </c>
      <c r="J195" s="9" t="s">
        <v>40</v>
      </c>
      <c r="K195" s="7" t="s">
        <v>55</v>
      </c>
      <c r="L195" s="8" t="s">
        <v>764</v>
      </c>
      <c r="M195" s="10">
        <f t="shared" si="1"/>
        <v>1.146128036</v>
      </c>
      <c r="N195" s="7">
        <v>14.0</v>
      </c>
      <c r="O195" s="7">
        <v>9.0</v>
      </c>
      <c r="P195" s="10">
        <v>5.699999999999999</v>
      </c>
      <c r="Q195" s="10">
        <v>4.800000000000001</v>
      </c>
      <c r="R195" s="7">
        <v>9.0</v>
      </c>
      <c r="S195" s="7">
        <v>9.0</v>
      </c>
      <c r="T195" s="8">
        <f t="shared" si="2"/>
        <v>0.6428571429</v>
      </c>
      <c r="U195" s="8">
        <f t="shared" si="3"/>
        <v>-0.4418327523</v>
      </c>
      <c r="V195" s="11">
        <v>0.05002330561854372</v>
      </c>
      <c r="W195" s="7">
        <f t="shared" si="4"/>
        <v>18</v>
      </c>
      <c r="X195" s="7" t="s">
        <v>765</v>
      </c>
      <c r="Y195" s="7"/>
      <c r="Z195" s="7"/>
      <c r="AA195" s="7"/>
    </row>
    <row r="196" ht="19.5" customHeight="1">
      <c r="A196" s="7">
        <v>149.0</v>
      </c>
      <c r="B196" s="7" t="s">
        <v>768</v>
      </c>
      <c r="C196" s="8" t="s">
        <v>34</v>
      </c>
      <c r="D196" s="7" t="s">
        <v>769</v>
      </c>
      <c r="E196" s="7" t="s">
        <v>770</v>
      </c>
      <c r="F196" s="7" t="s">
        <v>37</v>
      </c>
      <c r="G196" s="7" t="s">
        <v>37</v>
      </c>
      <c r="H196" s="7" t="s">
        <v>38</v>
      </c>
      <c r="I196" s="7" t="s">
        <v>72</v>
      </c>
      <c r="J196" s="9" t="s">
        <v>40</v>
      </c>
      <c r="K196" s="7" t="s">
        <v>41</v>
      </c>
      <c r="L196" s="8" t="s">
        <v>771</v>
      </c>
      <c r="M196" s="10">
        <f t="shared" si="1"/>
        <v>0.414973348</v>
      </c>
      <c r="N196" s="7">
        <v>2.6</v>
      </c>
      <c r="O196" s="7">
        <v>0.7</v>
      </c>
      <c r="P196" s="10">
        <v>1.85903200617956</v>
      </c>
      <c r="Q196" s="10">
        <v>0.697137002317335</v>
      </c>
      <c r="R196" s="7">
        <v>15.0</v>
      </c>
      <c r="S196" s="7">
        <v>15.0</v>
      </c>
      <c r="T196" s="8">
        <f t="shared" si="2"/>
        <v>0.2692307692</v>
      </c>
      <c r="U196" s="8">
        <f t="shared" si="3"/>
        <v>-1.312186389</v>
      </c>
      <c r="V196" s="11">
        <v>0.10020528921627822</v>
      </c>
      <c r="W196" s="7">
        <f t="shared" si="4"/>
        <v>30</v>
      </c>
      <c r="X196" s="7" t="s">
        <v>772</v>
      </c>
      <c r="Y196" s="7"/>
      <c r="Z196" s="7"/>
      <c r="AA196" s="7"/>
    </row>
    <row r="197" ht="19.5" customHeight="1">
      <c r="A197" s="7">
        <v>150.0</v>
      </c>
      <c r="B197" s="7" t="s">
        <v>773</v>
      </c>
      <c r="C197" s="7" t="s">
        <v>150</v>
      </c>
      <c r="D197" s="7" t="s">
        <v>774</v>
      </c>
      <c r="E197" s="7" t="s">
        <v>775</v>
      </c>
      <c r="F197" s="7" t="s">
        <v>47</v>
      </c>
      <c r="G197" s="7" t="s">
        <v>37</v>
      </c>
      <c r="H197" s="7" t="s">
        <v>38</v>
      </c>
      <c r="I197" s="7" t="s">
        <v>39</v>
      </c>
      <c r="J197" s="9" t="s">
        <v>40</v>
      </c>
      <c r="K197" s="7" t="s">
        <v>281</v>
      </c>
      <c r="L197" s="8" t="s">
        <v>776</v>
      </c>
      <c r="M197" s="10">
        <f t="shared" si="1"/>
        <v>-0.5686362358</v>
      </c>
      <c r="N197" s="7">
        <v>0.27</v>
      </c>
      <c r="O197" s="7">
        <v>0.45</v>
      </c>
      <c r="P197" s="10">
        <v>0.223606797749979</v>
      </c>
      <c r="Q197" s="10">
        <v>0.06928203230275509</v>
      </c>
      <c r="R197" s="7">
        <v>5.0</v>
      </c>
      <c r="S197" s="7">
        <v>3.0</v>
      </c>
      <c r="T197" s="8">
        <f t="shared" si="2"/>
        <v>1.666666667</v>
      </c>
      <c r="U197" s="8">
        <f t="shared" si="3"/>
        <v>0.5108256238</v>
      </c>
      <c r="V197" s="11">
        <v>0.14507544581618656</v>
      </c>
      <c r="W197" s="7">
        <f t="shared" si="4"/>
        <v>8</v>
      </c>
      <c r="X197" s="7" t="s">
        <v>777</v>
      </c>
      <c r="Y197" s="7"/>
      <c r="Z197" s="7"/>
      <c r="AA197" s="7"/>
    </row>
    <row r="198" ht="19.5" customHeight="1">
      <c r="A198" s="7">
        <v>151.0</v>
      </c>
      <c r="B198" s="7" t="s">
        <v>778</v>
      </c>
      <c r="C198" s="8" t="s">
        <v>34</v>
      </c>
      <c r="D198" s="7" t="s">
        <v>779</v>
      </c>
      <c r="E198" s="7" t="s">
        <v>780</v>
      </c>
      <c r="F198" s="7" t="s">
        <v>37</v>
      </c>
      <c r="G198" s="7" t="s">
        <v>37</v>
      </c>
      <c r="H198" s="7" t="s">
        <v>38</v>
      </c>
      <c r="I198" s="7" t="s">
        <v>39</v>
      </c>
      <c r="J198" s="9" t="s">
        <v>40</v>
      </c>
      <c r="K198" s="7" t="s">
        <v>153</v>
      </c>
      <c r="L198" s="8" t="s">
        <v>781</v>
      </c>
      <c r="M198" s="10">
        <f t="shared" si="1"/>
        <v>0.8483430948</v>
      </c>
      <c r="N198" s="10">
        <v>7.0525</v>
      </c>
      <c r="O198" s="10">
        <v>3.2225</v>
      </c>
      <c r="P198" s="10">
        <v>5.042196941810188</v>
      </c>
      <c r="Q198" s="10">
        <v>3.1543045984812563</v>
      </c>
      <c r="R198" s="7">
        <v>22.0</v>
      </c>
      <c r="S198" s="7">
        <v>22.0</v>
      </c>
      <c r="T198" s="8">
        <f t="shared" si="2"/>
        <v>0.4569301666</v>
      </c>
      <c r="U198" s="8">
        <f t="shared" si="3"/>
        <v>-0.7832247081</v>
      </c>
      <c r="V198" s="11">
        <v>0.06678542086206019</v>
      </c>
      <c r="W198" s="7">
        <f t="shared" si="4"/>
        <v>44</v>
      </c>
      <c r="X198" s="7" t="s">
        <v>782</v>
      </c>
      <c r="Y198" s="7"/>
      <c r="Z198" s="7"/>
      <c r="AA198" s="7"/>
    </row>
    <row r="199" ht="19.5" customHeight="1">
      <c r="A199" s="7">
        <v>152.0</v>
      </c>
      <c r="B199" s="7" t="s">
        <v>783</v>
      </c>
      <c r="C199" s="8" t="s">
        <v>34</v>
      </c>
      <c r="D199" s="7" t="s">
        <v>784</v>
      </c>
      <c r="E199" s="7" t="s">
        <v>785</v>
      </c>
      <c r="F199" s="7" t="s">
        <v>37</v>
      </c>
      <c r="G199" s="7" t="s">
        <v>37</v>
      </c>
      <c r="H199" s="7" t="s">
        <v>38</v>
      </c>
      <c r="I199" s="7" t="s">
        <v>39</v>
      </c>
      <c r="J199" s="9" t="s">
        <v>40</v>
      </c>
      <c r="K199" s="7" t="s">
        <v>786</v>
      </c>
      <c r="L199" s="8" t="s">
        <v>787</v>
      </c>
      <c r="M199" s="10">
        <f t="shared" si="1"/>
        <v>0.411619706</v>
      </c>
      <c r="N199" s="7">
        <v>2.58</v>
      </c>
      <c r="O199" s="7">
        <v>3.12</v>
      </c>
      <c r="P199" s="10">
        <v>0.2449489742783178</v>
      </c>
      <c r="Q199" s="10">
        <v>0.2449489742783178</v>
      </c>
      <c r="R199" s="7">
        <v>6.0</v>
      </c>
      <c r="S199" s="7">
        <v>6.0</v>
      </c>
      <c r="T199" s="8">
        <f t="shared" si="2"/>
        <v>1.209302326</v>
      </c>
      <c r="U199" s="8">
        <f t="shared" si="3"/>
        <v>0.1900436029</v>
      </c>
      <c r="V199" s="11">
        <v>0.0025295982440176803</v>
      </c>
      <c r="W199" s="7">
        <f t="shared" si="4"/>
        <v>12</v>
      </c>
      <c r="X199" s="7" t="s">
        <v>788</v>
      </c>
      <c r="Y199" s="7"/>
      <c r="Z199" s="7"/>
      <c r="AA199" s="7"/>
    </row>
    <row r="200" ht="19.5" customHeight="1">
      <c r="A200" s="7">
        <v>152.0</v>
      </c>
      <c r="B200" s="7" t="s">
        <v>783</v>
      </c>
      <c r="C200" s="8" t="s">
        <v>34</v>
      </c>
      <c r="D200" s="7" t="s">
        <v>789</v>
      </c>
      <c r="E200" s="7" t="s">
        <v>790</v>
      </c>
      <c r="F200" s="7" t="s">
        <v>37</v>
      </c>
      <c r="G200" s="7" t="s">
        <v>37</v>
      </c>
      <c r="H200" s="7" t="s">
        <v>38</v>
      </c>
      <c r="I200" s="7" t="s">
        <v>39</v>
      </c>
      <c r="J200" s="9" t="s">
        <v>40</v>
      </c>
      <c r="K200" s="7" t="s">
        <v>786</v>
      </c>
      <c r="L200" s="8" t="s">
        <v>787</v>
      </c>
      <c r="M200" s="10">
        <f t="shared" si="1"/>
        <v>0.411619706</v>
      </c>
      <c r="N200" s="7">
        <v>2.58</v>
      </c>
      <c r="O200" s="7">
        <v>1.6</v>
      </c>
      <c r="P200" s="10">
        <v>0.2449489742783178</v>
      </c>
      <c r="Q200" s="10">
        <v>0.2939387691339813</v>
      </c>
      <c r="R200" s="7">
        <v>6.0</v>
      </c>
      <c r="S200" s="7">
        <v>6.0</v>
      </c>
      <c r="T200" s="8">
        <f t="shared" si="2"/>
        <v>0.6201550388</v>
      </c>
      <c r="U200" s="8">
        <f t="shared" si="3"/>
        <v>-0.4777857697</v>
      </c>
      <c r="V200" s="11">
        <v>0.007127313562886842</v>
      </c>
      <c r="W200" s="7">
        <f t="shared" si="4"/>
        <v>12</v>
      </c>
      <c r="X200" s="7" t="s">
        <v>788</v>
      </c>
      <c r="Y200" s="7"/>
      <c r="Z200" s="7"/>
      <c r="AA200" s="7"/>
    </row>
    <row r="201" ht="19.5" customHeight="1">
      <c r="A201" s="7">
        <v>153.0</v>
      </c>
      <c r="B201" s="7" t="s">
        <v>791</v>
      </c>
      <c r="C201" s="7" t="s">
        <v>170</v>
      </c>
      <c r="D201" s="7" t="s">
        <v>369</v>
      </c>
      <c r="E201" s="7" t="s">
        <v>792</v>
      </c>
      <c r="F201" s="7" t="s">
        <v>47</v>
      </c>
      <c r="G201" s="9" t="s">
        <v>40</v>
      </c>
      <c r="H201" s="7" t="s">
        <v>90</v>
      </c>
      <c r="I201" s="7" t="s">
        <v>39</v>
      </c>
      <c r="J201" s="7">
        <f>2*365</f>
        <v>730</v>
      </c>
      <c r="K201" s="7" t="s">
        <v>48</v>
      </c>
      <c r="L201" s="8" t="s">
        <v>793</v>
      </c>
      <c r="M201" s="10">
        <f t="shared" si="1"/>
        <v>0.8350561017</v>
      </c>
      <c r="N201" s="7">
        <v>6.84</v>
      </c>
      <c r="O201" s="7">
        <v>5.85</v>
      </c>
      <c r="P201" s="10">
        <v>0.78</v>
      </c>
      <c r="Q201" s="10">
        <v>0.72</v>
      </c>
      <c r="R201" s="7">
        <v>4.0</v>
      </c>
      <c r="S201" s="7">
        <v>4.0</v>
      </c>
      <c r="T201" s="8">
        <f t="shared" si="2"/>
        <v>0.8552631579</v>
      </c>
      <c r="U201" s="8">
        <f t="shared" si="3"/>
        <v>-0.1563460704</v>
      </c>
      <c r="V201" s="11">
        <v>0.007037982556307722</v>
      </c>
      <c r="W201" s="7">
        <f t="shared" si="4"/>
        <v>8</v>
      </c>
      <c r="X201" s="7" t="s">
        <v>794</v>
      </c>
      <c r="Y201" s="7"/>
      <c r="Z201" s="7"/>
      <c r="AA201" s="7"/>
    </row>
    <row r="202" ht="19.5" customHeight="1">
      <c r="A202" s="7">
        <v>154.0</v>
      </c>
      <c r="B202" s="7" t="s">
        <v>795</v>
      </c>
      <c r="C202" s="7" t="s">
        <v>170</v>
      </c>
      <c r="D202" s="7" t="s">
        <v>369</v>
      </c>
      <c r="E202" s="7" t="s">
        <v>796</v>
      </c>
      <c r="F202" s="7" t="s">
        <v>37</v>
      </c>
      <c r="G202" s="9" t="s">
        <v>40</v>
      </c>
      <c r="H202" s="7" t="s">
        <v>90</v>
      </c>
      <c r="I202" s="7" t="s">
        <v>39</v>
      </c>
      <c r="J202" s="7">
        <f>7*365</f>
        <v>2555</v>
      </c>
      <c r="K202" s="7" t="s">
        <v>55</v>
      </c>
      <c r="L202" s="8" t="s">
        <v>797</v>
      </c>
      <c r="M202" s="10">
        <f t="shared" si="1"/>
        <v>0.5237464668</v>
      </c>
      <c r="N202" s="7">
        <v>3.34</v>
      </c>
      <c r="O202" s="7">
        <v>3.4</v>
      </c>
      <c r="P202" s="10">
        <v>0.3130495168499706</v>
      </c>
      <c r="Q202" s="10">
        <v>0.3130495168499706</v>
      </c>
      <c r="R202" s="7">
        <v>5.0</v>
      </c>
      <c r="S202" s="7">
        <v>5.0</v>
      </c>
      <c r="T202" s="8">
        <f t="shared" si="2"/>
        <v>1.017964072</v>
      </c>
      <c r="U202" s="8">
        <f t="shared" si="3"/>
        <v>0.01780462463</v>
      </c>
      <c r="V202" s="11">
        <v>0.0034524668417965903</v>
      </c>
      <c r="W202" s="7">
        <f t="shared" si="4"/>
        <v>10</v>
      </c>
      <c r="X202" s="7" t="s">
        <v>798</v>
      </c>
      <c r="Y202" s="7"/>
      <c r="Z202" s="7"/>
      <c r="AA202" s="7"/>
    </row>
    <row r="203" ht="19.5" customHeight="1">
      <c r="A203" s="7">
        <v>155.0</v>
      </c>
      <c r="B203" s="7" t="s">
        <v>799</v>
      </c>
      <c r="C203" s="8" t="s">
        <v>34</v>
      </c>
      <c r="D203" s="7" t="s">
        <v>800</v>
      </c>
      <c r="E203" s="7" t="s">
        <v>801</v>
      </c>
      <c r="F203" s="7" t="s">
        <v>37</v>
      </c>
      <c r="G203" s="7" t="s">
        <v>37</v>
      </c>
      <c r="H203" s="7" t="s">
        <v>38</v>
      </c>
      <c r="I203" s="7" t="s">
        <v>72</v>
      </c>
      <c r="J203" s="9" t="s">
        <v>40</v>
      </c>
      <c r="K203" s="7" t="s">
        <v>105</v>
      </c>
      <c r="L203" s="8" t="s">
        <v>802</v>
      </c>
      <c r="M203" s="10">
        <f t="shared" si="1"/>
        <v>0.84509804</v>
      </c>
      <c r="N203" s="7">
        <v>7.0</v>
      </c>
      <c r="O203" s="7">
        <v>6.4</v>
      </c>
      <c r="P203" s="10">
        <v>1.24</v>
      </c>
      <c r="Q203" s="10">
        <v>1.9</v>
      </c>
      <c r="R203" s="7">
        <v>4.0</v>
      </c>
      <c r="S203" s="7">
        <v>4.0</v>
      </c>
      <c r="T203" s="8">
        <f t="shared" si="2"/>
        <v>0.9142857143</v>
      </c>
      <c r="U203" s="8">
        <f t="shared" si="3"/>
        <v>-0.08961215869</v>
      </c>
      <c r="V203" s="11">
        <v>0.02987858936543367</v>
      </c>
      <c r="W203" s="7">
        <f t="shared" si="4"/>
        <v>8</v>
      </c>
      <c r="X203" s="7" t="s">
        <v>803</v>
      </c>
      <c r="Y203" s="7"/>
      <c r="Z203" s="7"/>
      <c r="AA203" s="7"/>
    </row>
    <row r="204" ht="19.5" customHeight="1">
      <c r="A204" s="7">
        <v>155.0</v>
      </c>
      <c r="B204" s="7" t="s">
        <v>799</v>
      </c>
      <c r="C204" s="8" t="s">
        <v>34</v>
      </c>
      <c r="D204" s="7" t="s">
        <v>804</v>
      </c>
      <c r="E204" s="7" t="s">
        <v>805</v>
      </c>
      <c r="F204" s="7" t="s">
        <v>37</v>
      </c>
      <c r="G204" s="7" t="s">
        <v>37</v>
      </c>
      <c r="H204" s="7" t="s">
        <v>38</v>
      </c>
      <c r="I204" s="7" t="s">
        <v>72</v>
      </c>
      <c r="J204" s="9" t="s">
        <v>40</v>
      </c>
      <c r="K204" s="7" t="s">
        <v>105</v>
      </c>
      <c r="L204" s="8" t="s">
        <v>802</v>
      </c>
      <c r="M204" s="10">
        <f t="shared" si="1"/>
        <v>0.8864907252</v>
      </c>
      <c r="N204" s="7">
        <v>7.7</v>
      </c>
      <c r="O204" s="7">
        <v>6.3</v>
      </c>
      <c r="P204" s="10">
        <v>2.44</v>
      </c>
      <c r="Q204" s="10">
        <v>1.76</v>
      </c>
      <c r="R204" s="7">
        <v>4.0</v>
      </c>
      <c r="S204" s="7">
        <v>4.0</v>
      </c>
      <c r="T204" s="8">
        <f t="shared" si="2"/>
        <v>0.8181818182</v>
      </c>
      <c r="U204" s="8">
        <f t="shared" si="3"/>
        <v>-0.2006706955</v>
      </c>
      <c r="V204" s="11">
        <v>0.04461493933355405</v>
      </c>
      <c r="W204" s="7">
        <f t="shared" si="4"/>
        <v>8</v>
      </c>
      <c r="X204" s="7" t="s">
        <v>803</v>
      </c>
      <c r="Y204" s="7"/>
      <c r="Z204" s="7"/>
      <c r="AA204" s="7"/>
    </row>
    <row r="205" ht="19.5" customHeight="1">
      <c r="A205" s="7">
        <v>156.0</v>
      </c>
      <c r="B205" s="7" t="s">
        <v>806</v>
      </c>
      <c r="C205" s="8" t="s">
        <v>34</v>
      </c>
      <c r="D205" s="7" t="s">
        <v>807</v>
      </c>
      <c r="E205" s="7" t="s">
        <v>808</v>
      </c>
      <c r="F205" s="7" t="s">
        <v>37</v>
      </c>
      <c r="G205" s="7" t="s">
        <v>37</v>
      </c>
      <c r="H205" s="7" t="s">
        <v>90</v>
      </c>
      <c r="I205" s="7" t="s">
        <v>72</v>
      </c>
      <c r="J205" s="7">
        <f>6*365</f>
        <v>2190</v>
      </c>
      <c r="K205" s="7" t="s">
        <v>41</v>
      </c>
      <c r="L205" s="8" t="s">
        <v>809</v>
      </c>
      <c r="M205" s="10">
        <f t="shared" si="1"/>
        <v>0.7493497606</v>
      </c>
      <c r="N205" s="10">
        <v>5.614999999999999</v>
      </c>
      <c r="O205" s="10">
        <v>5.335000000000001</v>
      </c>
      <c r="P205" s="10">
        <v>2.230186838211842</v>
      </c>
      <c r="Q205" s="10">
        <v>1.3824103346450118</v>
      </c>
      <c r="R205" s="7">
        <v>21.0</v>
      </c>
      <c r="S205" s="7">
        <v>21.0</v>
      </c>
      <c r="T205" s="8">
        <f t="shared" si="2"/>
        <v>0.9501335708</v>
      </c>
      <c r="U205" s="8">
        <f t="shared" si="3"/>
        <v>-0.05115270344</v>
      </c>
      <c r="V205" s="11">
        <v>0.010709457906567379</v>
      </c>
      <c r="W205" s="7">
        <f t="shared" si="4"/>
        <v>42</v>
      </c>
      <c r="X205" s="7" t="s">
        <v>810</v>
      </c>
      <c r="Y205" s="7"/>
      <c r="Z205" s="7"/>
      <c r="AA205" s="7"/>
    </row>
    <row r="206" ht="19.5" customHeight="1">
      <c r="A206" s="7">
        <v>157.0</v>
      </c>
      <c r="B206" s="7" t="s">
        <v>811</v>
      </c>
      <c r="C206" s="7" t="s">
        <v>52</v>
      </c>
      <c r="D206" s="7" t="s">
        <v>64</v>
      </c>
      <c r="E206" s="7" t="s">
        <v>812</v>
      </c>
      <c r="F206" s="7" t="s">
        <v>47</v>
      </c>
      <c r="G206" s="9" t="s">
        <v>40</v>
      </c>
      <c r="H206" s="7" t="s">
        <v>38</v>
      </c>
      <c r="I206" s="7" t="s">
        <v>72</v>
      </c>
      <c r="J206" s="9" t="s">
        <v>40</v>
      </c>
      <c r="K206" s="7" t="s">
        <v>41</v>
      </c>
      <c r="L206" s="8" t="s">
        <v>813</v>
      </c>
      <c r="M206" s="10">
        <f t="shared" si="1"/>
        <v>1.198657087</v>
      </c>
      <c r="N206" s="7">
        <v>15.8</v>
      </c>
      <c r="O206" s="7">
        <v>10.4</v>
      </c>
      <c r="P206" s="10">
        <v>1.8</v>
      </c>
      <c r="Q206" s="10">
        <v>1.8</v>
      </c>
      <c r="R206" s="7">
        <v>4.0</v>
      </c>
      <c r="S206" s="7">
        <v>4.0</v>
      </c>
      <c r="T206" s="8">
        <f t="shared" si="2"/>
        <v>0.6582278481</v>
      </c>
      <c r="U206" s="8">
        <f t="shared" si="3"/>
        <v>-0.4182041339</v>
      </c>
      <c r="V206" s="11">
        <v>0.010733577653596327</v>
      </c>
      <c r="W206" s="7">
        <f t="shared" si="4"/>
        <v>8</v>
      </c>
      <c r="X206" s="7" t="s">
        <v>814</v>
      </c>
      <c r="Y206" s="7"/>
      <c r="Z206" s="7"/>
      <c r="AA206" s="7"/>
    </row>
    <row r="207" ht="19.5" customHeight="1">
      <c r="A207" s="7">
        <v>157.0</v>
      </c>
      <c r="B207" s="7" t="s">
        <v>811</v>
      </c>
      <c r="C207" s="8" t="s">
        <v>34</v>
      </c>
      <c r="D207" s="7" t="s">
        <v>815</v>
      </c>
      <c r="E207" s="7" t="s">
        <v>816</v>
      </c>
      <c r="F207" s="7" t="s">
        <v>47</v>
      </c>
      <c r="G207" s="7" t="s">
        <v>37</v>
      </c>
      <c r="H207" s="7" t="s">
        <v>38</v>
      </c>
      <c r="I207" s="7" t="s">
        <v>72</v>
      </c>
      <c r="J207" s="9" t="s">
        <v>40</v>
      </c>
      <c r="K207" s="7" t="s">
        <v>41</v>
      </c>
      <c r="L207" s="8" t="s">
        <v>817</v>
      </c>
      <c r="M207" s="10">
        <f t="shared" si="1"/>
        <v>1.198657087</v>
      </c>
      <c r="N207" s="7">
        <v>15.8</v>
      </c>
      <c r="O207" s="7">
        <v>14.0</v>
      </c>
      <c r="P207" s="10">
        <v>1.8</v>
      </c>
      <c r="Q207" s="10">
        <v>2.2</v>
      </c>
      <c r="R207" s="7">
        <v>4.0</v>
      </c>
      <c r="S207" s="7">
        <v>4.0</v>
      </c>
      <c r="T207" s="8">
        <f t="shared" si="2"/>
        <v>0.8860759494</v>
      </c>
      <c r="U207" s="8">
        <f t="shared" si="3"/>
        <v>-0.1209526104</v>
      </c>
      <c r="V207" s="11">
        <v>0.009418141715907644</v>
      </c>
      <c r="W207" s="7">
        <f t="shared" si="4"/>
        <v>8</v>
      </c>
      <c r="X207" s="7" t="s">
        <v>814</v>
      </c>
      <c r="Y207" s="7"/>
      <c r="Z207" s="7"/>
      <c r="AA207" s="7"/>
    </row>
    <row r="208" ht="19.5" customHeight="1">
      <c r="A208" s="7">
        <v>158.0</v>
      </c>
      <c r="B208" s="7" t="s">
        <v>818</v>
      </c>
      <c r="C208" s="7" t="s">
        <v>170</v>
      </c>
      <c r="D208" s="7" t="s">
        <v>369</v>
      </c>
      <c r="E208" s="7" t="s">
        <v>819</v>
      </c>
      <c r="F208" s="7" t="s">
        <v>47</v>
      </c>
      <c r="G208" s="9" t="s">
        <v>40</v>
      </c>
      <c r="H208" s="7" t="s">
        <v>90</v>
      </c>
      <c r="I208" s="7" t="s">
        <v>72</v>
      </c>
      <c r="J208" s="7">
        <v>730.0</v>
      </c>
      <c r="K208" s="7" t="s">
        <v>48</v>
      </c>
      <c r="L208" s="8" t="s">
        <v>820</v>
      </c>
      <c r="M208" s="10">
        <f t="shared" si="1"/>
        <v>0.9190780924</v>
      </c>
      <c r="N208" s="7">
        <v>8.3</v>
      </c>
      <c r="O208" s="7">
        <v>13.2</v>
      </c>
      <c r="P208" s="10">
        <v>8.273451516749223</v>
      </c>
      <c r="Q208" s="10">
        <v>9.167878707749137</v>
      </c>
      <c r="R208" s="7">
        <v>5.0</v>
      </c>
      <c r="S208" s="7">
        <v>5.0</v>
      </c>
      <c r="T208" s="8">
        <f t="shared" si="2"/>
        <v>1.590361446</v>
      </c>
      <c r="U208" s="8">
        <f t="shared" si="3"/>
        <v>0.4639613148</v>
      </c>
      <c r="V208" s="11">
        <v>0.2951987261335828</v>
      </c>
      <c r="W208" s="7">
        <f t="shared" si="4"/>
        <v>10</v>
      </c>
      <c r="X208" s="7" t="s">
        <v>821</v>
      </c>
      <c r="Y208" s="7"/>
      <c r="Z208" s="7"/>
      <c r="AA208" s="7"/>
    </row>
    <row r="209" ht="19.5" customHeight="1">
      <c r="A209" s="7">
        <v>159.0</v>
      </c>
      <c r="B209" s="7" t="s">
        <v>822</v>
      </c>
      <c r="C209" s="8" t="s">
        <v>34</v>
      </c>
      <c r="D209" s="7" t="s">
        <v>823</v>
      </c>
      <c r="E209" s="7" t="s">
        <v>824</v>
      </c>
      <c r="F209" s="7" t="s">
        <v>37</v>
      </c>
      <c r="G209" s="7" t="s">
        <v>37</v>
      </c>
      <c r="H209" s="7" t="s">
        <v>38</v>
      </c>
      <c r="I209" s="7" t="s">
        <v>72</v>
      </c>
      <c r="J209" s="9" t="s">
        <v>40</v>
      </c>
      <c r="K209" s="7" t="s">
        <v>66</v>
      </c>
      <c r="L209" s="8" t="s">
        <v>825</v>
      </c>
      <c r="M209" s="10">
        <f t="shared" si="1"/>
        <v>1.5774918</v>
      </c>
      <c r="N209" s="7">
        <v>37.8</v>
      </c>
      <c r="O209" s="7">
        <v>19.4</v>
      </c>
      <c r="P209" s="10">
        <v>5.769055381949458</v>
      </c>
      <c r="Q209" s="10">
        <v>3.3541019662496847</v>
      </c>
      <c r="R209" s="7">
        <v>5.0</v>
      </c>
      <c r="S209" s="7">
        <v>5.0</v>
      </c>
      <c r="T209" s="8">
        <f t="shared" si="2"/>
        <v>0.5132275132</v>
      </c>
      <c r="U209" s="8">
        <f t="shared" si="3"/>
        <v>-0.6670360366</v>
      </c>
      <c r="V209" s="11">
        <v>0.010636922813511595</v>
      </c>
      <c r="W209" s="7">
        <f t="shared" si="4"/>
        <v>10</v>
      </c>
      <c r="X209" s="7" t="s">
        <v>826</v>
      </c>
      <c r="Y209" s="7"/>
      <c r="Z209" s="7"/>
      <c r="AA209" s="7"/>
    </row>
    <row r="210" ht="19.5" customHeight="1">
      <c r="A210" s="7">
        <v>160.0</v>
      </c>
      <c r="B210" s="7" t="s">
        <v>827</v>
      </c>
      <c r="C210" s="7" t="s">
        <v>52</v>
      </c>
      <c r="D210" s="7" t="s">
        <v>53</v>
      </c>
      <c r="E210" s="7" t="s">
        <v>828</v>
      </c>
      <c r="F210" s="7" t="s">
        <v>47</v>
      </c>
      <c r="G210" s="9" t="s">
        <v>40</v>
      </c>
      <c r="H210" s="7" t="s">
        <v>38</v>
      </c>
      <c r="I210" s="7" t="s">
        <v>39</v>
      </c>
      <c r="J210" s="9" t="s">
        <v>40</v>
      </c>
      <c r="K210" s="7" t="s">
        <v>48</v>
      </c>
      <c r="L210" s="8" t="s">
        <v>829</v>
      </c>
      <c r="M210" s="10">
        <f t="shared" si="1"/>
        <v>1.281487888</v>
      </c>
      <c r="N210" s="7">
        <v>19.12</v>
      </c>
      <c r="O210" s="7">
        <v>13.99</v>
      </c>
      <c r="P210" s="10">
        <v>3.84</v>
      </c>
      <c r="Q210" s="10">
        <v>7.42</v>
      </c>
      <c r="R210" s="7">
        <v>4.0</v>
      </c>
      <c r="S210" s="7">
        <v>4.0</v>
      </c>
      <c r="T210" s="8">
        <f t="shared" si="2"/>
        <v>0.7316945607</v>
      </c>
      <c r="U210" s="8">
        <f t="shared" si="3"/>
        <v>-0.3123921189</v>
      </c>
      <c r="V210" s="11">
        <v>0.08040928609360792</v>
      </c>
      <c r="W210" s="7">
        <f t="shared" si="4"/>
        <v>8</v>
      </c>
      <c r="X210" s="7" t="s">
        <v>830</v>
      </c>
      <c r="Y210" s="7"/>
      <c r="Z210" s="7"/>
      <c r="AA210" s="7"/>
    </row>
    <row r="211" ht="19.5" customHeight="1">
      <c r="A211" s="7">
        <v>161.0</v>
      </c>
      <c r="B211" s="8" t="s">
        <v>831</v>
      </c>
      <c r="C211" s="8" t="s">
        <v>82</v>
      </c>
      <c r="D211" s="8" t="s">
        <v>176</v>
      </c>
      <c r="E211" s="8" t="s">
        <v>832</v>
      </c>
      <c r="F211" s="8" t="s">
        <v>47</v>
      </c>
      <c r="G211" s="9" t="s">
        <v>40</v>
      </c>
      <c r="H211" s="8" t="s">
        <v>38</v>
      </c>
      <c r="I211" s="8" t="s">
        <v>72</v>
      </c>
      <c r="J211" s="9" t="s">
        <v>40</v>
      </c>
      <c r="K211" s="8" t="s">
        <v>48</v>
      </c>
      <c r="L211" s="8" t="s">
        <v>833</v>
      </c>
      <c r="M211" s="10">
        <f t="shared" si="1"/>
        <v>1.322219295</v>
      </c>
      <c r="N211" s="7">
        <v>21.0</v>
      </c>
      <c r="O211" s="7">
        <v>19.95</v>
      </c>
      <c r="P211" s="10">
        <v>3.5</v>
      </c>
      <c r="Q211" s="10">
        <v>4.35</v>
      </c>
      <c r="R211" s="7">
        <v>3.0</v>
      </c>
      <c r="S211" s="7">
        <v>7.0</v>
      </c>
      <c r="T211" s="14">
        <f t="shared" si="2"/>
        <v>0.95</v>
      </c>
      <c r="U211" s="14">
        <f t="shared" si="3"/>
        <v>-0.05129329439</v>
      </c>
      <c r="V211" s="11">
        <v>0.016051212288987177</v>
      </c>
      <c r="W211" s="7">
        <f t="shared" si="4"/>
        <v>10</v>
      </c>
      <c r="X211" s="8" t="s">
        <v>834</v>
      </c>
      <c r="Y211" s="12"/>
      <c r="Z211" s="12"/>
      <c r="AA211" s="12"/>
    </row>
    <row r="212" ht="19.5" customHeight="1">
      <c r="A212" s="7">
        <v>162.0</v>
      </c>
      <c r="B212" s="8" t="s">
        <v>835</v>
      </c>
      <c r="C212" s="8" t="s">
        <v>109</v>
      </c>
      <c r="D212" s="7" t="s">
        <v>110</v>
      </c>
      <c r="E212" s="8" t="s">
        <v>836</v>
      </c>
      <c r="F212" s="8" t="s">
        <v>37</v>
      </c>
      <c r="G212" s="9" t="s">
        <v>40</v>
      </c>
      <c r="H212" s="8" t="s">
        <v>90</v>
      </c>
      <c r="I212" s="8" t="s">
        <v>72</v>
      </c>
      <c r="J212" s="7">
        <v>730.0</v>
      </c>
      <c r="K212" s="8" t="s">
        <v>48</v>
      </c>
      <c r="L212" s="8" t="s">
        <v>837</v>
      </c>
      <c r="M212" s="10">
        <f t="shared" si="1"/>
        <v>1.45484486</v>
      </c>
      <c r="N212" s="7">
        <v>28.5</v>
      </c>
      <c r="O212" s="7">
        <v>31.5</v>
      </c>
      <c r="P212" s="10">
        <v>6.2</v>
      </c>
      <c r="Q212" s="10">
        <v>3.4</v>
      </c>
      <c r="R212" s="7">
        <v>4.0</v>
      </c>
      <c r="S212" s="7">
        <v>4.0</v>
      </c>
      <c r="T212" s="14">
        <f t="shared" si="2"/>
        <v>1.105263158</v>
      </c>
      <c r="U212" s="14">
        <f t="shared" si="3"/>
        <v>0.1000834586</v>
      </c>
      <c r="V212" s="11">
        <v>0.014743905154141273</v>
      </c>
      <c r="W212" s="7">
        <f t="shared" si="4"/>
        <v>8</v>
      </c>
      <c r="X212" s="8" t="s">
        <v>838</v>
      </c>
      <c r="Y212" s="7"/>
      <c r="Z212" s="7"/>
      <c r="AA212" s="7"/>
    </row>
    <row r="213" ht="19.5" customHeight="1">
      <c r="A213" s="7">
        <v>162.0</v>
      </c>
      <c r="B213" s="8" t="s">
        <v>835</v>
      </c>
      <c r="C213" s="8" t="s">
        <v>170</v>
      </c>
      <c r="D213" s="7" t="s">
        <v>369</v>
      </c>
      <c r="E213" s="8" t="s">
        <v>839</v>
      </c>
      <c r="F213" s="8" t="s">
        <v>37</v>
      </c>
      <c r="G213" s="9" t="s">
        <v>40</v>
      </c>
      <c r="H213" s="8" t="s">
        <v>90</v>
      </c>
      <c r="I213" s="8" t="s">
        <v>72</v>
      </c>
      <c r="J213" s="7">
        <v>730.0</v>
      </c>
      <c r="K213" s="8" t="s">
        <v>48</v>
      </c>
      <c r="L213" s="8" t="s">
        <v>840</v>
      </c>
      <c r="M213" s="10">
        <f t="shared" si="1"/>
        <v>1.45484486</v>
      </c>
      <c r="N213" s="7">
        <v>28.5</v>
      </c>
      <c r="O213" s="7">
        <v>28.8</v>
      </c>
      <c r="P213" s="10">
        <v>6.2</v>
      </c>
      <c r="Q213" s="10">
        <v>5.9</v>
      </c>
      <c r="R213" s="7">
        <v>4.0</v>
      </c>
      <c r="S213" s="7">
        <v>4.0</v>
      </c>
      <c r="T213" s="8">
        <f t="shared" si="2"/>
        <v>1.010526316</v>
      </c>
      <c r="U213" s="8">
        <f t="shared" si="3"/>
        <v>0.01047129987</v>
      </c>
      <c r="V213" s="11">
        <v>0.022323351429179066</v>
      </c>
      <c r="W213" s="7">
        <f t="shared" si="4"/>
        <v>8</v>
      </c>
      <c r="X213" s="8" t="s">
        <v>841</v>
      </c>
      <c r="Y213" s="7"/>
      <c r="Z213" s="7"/>
      <c r="AA213" s="7"/>
    </row>
    <row r="214" ht="19.5" customHeight="1">
      <c r="A214" s="7">
        <v>163.0</v>
      </c>
      <c r="B214" s="7" t="s">
        <v>842</v>
      </c>
      <c r="C214" s="8" t="s">
        <v>34</v>
      </c>
      <c r="D214" s="7" t="s">
        <v>843</v>
      </c>
      <c r="E214" s="7" t="s">
        <v>844</v>
      </c>
      <c r="F214" s="8" t="s">
        <v>37</v>
      </c>
      <c r="G214" s="7" t="s">
        <v>37</v>
      </c>
      <c r="H214" s="7" t="s">
        <v>38</v>
      </c>
      <c r="I214" s="7" t="s">
        <v>72</v>
      </c>
      <c r="J214" s="9" t="s">
        <v>40</v>
      </c>
      <c r="K214" s="7" t="s">
        <v>66</v>
      </c>
      <c r="L214" s="8" t="s">
        <v>845</v>
      </c>
      <c r="M214" s="10">
        <f t="shared" si="1"/>
        <v>1.143951116</v>
      </c>
      <c r="N214" s="7">
        <v>13.93</v>
      </c>
      <c r="O214" s="7">
        <v>16.97</v>
      </c>
      <c r="P214" s="10">
        <v>4.91</v>
      </c>
      <c r="Q214" s="10">
        <v>6.21</v>
      </c>
      <c r="R214" s="7">
        <v>56.0</v>
      </c>
      <c r="S214" s="7">
        <v>77.0</v>
      </c>
      <c r="T214" s="8">
        <f t="shared" si="2"/>
        <v>1.218234027</v>
      </c>
      <c r="U214" s="8">
        <f t="shared" si="3"/>
        <v>0.1974022915</v>
      </c>
      <c r="V214" s="11">
        <v>0.003957684857635478</v>
      </c>
      <c r="W214" s="7">
        <f t="shared" si="4"/>
        <v>133</v>
      </c>
      <c r="X214" s="7" t="s">
        <v>846</v>
      </c>
      <c r="Y214" s="7"/>
      <c r="Z214" s="7"/>
      <c r="AA214" s="7"/>
    </row>
    <row r="215" ht="19.5" customHeight="1">
      <c r="A215" s="7">
        <v>163.0</v>
      </c>
      <c r="B215" s="7" t="s">
        <v>842</v>
      </c>
      <c r="C215" s="8" t="s">
        <v>34</v>
      </c>
      <c r="D215" s="7" t="s">
        <v>847</v>
      </c>
      <c r="E215" s="7" t="s">
        <v>848</v>
      </c>
      <c r="F215" s="8" t="s">
        <v>37</v>
      </c>
      <c r="G215" s="7" t="s">
        <v>37</v>
      </c>
      <c r="H215" s="7" t="s">
        <v>38</v>
      </c>
      <c r="I215" s="7" t="s">
        <v>72</v>
      </c>
      <c r="J215" s="9" t="s">
        <v>40</v>
      </c>
      <c r="K215" s="7" t="s">
        <v>66</v>
      </c>
      <c r="L215" s="8" t="s">
        <v>845</v>
      </c>
      <c r="M215" s="10">
        <f t="shared" si="1"/>
        <v>1.16879202</v>
      </c>
      <c r="N215" s="7">
        <v>14.75</v>
      </c>
      <c r="O215" s="7">
        <v>17.78</v>
      </c>
      <c r="P215" s="10">
        <v>5.34</v>
      </c>
      <c r="Q215" s="10">
        <v>6.43</v>
      </c>
      <c r="R215" s="7">
        <v>78.0</v>
      </c>
      <c r="S215" s="7">
        <v>56.0</v>
      </c>
      <c r="T215" s="8">
        <f t="shared" si="2"/>
        <v>1.205423729</v>
      </c>
      <c r="U215" s="8">
        <f t="shared" si="3"/>
        <v>0.1868311473</v>
      </c>
      <c r="V215" s="11">
        <v>0.004015815037685881</v>
      </c>
      <c r="W215" s="7">
        <f t="shared" si="4"/>
        <v>134</v>
      </c>
      <c r="X215" s="7" t="s">
        <v>846</v>
      </c>
      <c r="Y215" s="7"/>
      <c r="Z215" s="7"/>
      <c r="AA215" s="7"/>
    </row>
    <row r="216" ht="19.5" customHeight="1">
      <c r="A216" s="7">
        <v>164.0</v>
      </c>
      <c r="B216" s="8" t="s">
        <v>849</v>
      </c>
      <c r="C216" s="8" t="s">
        <v>52</v>
      </c>
      <c r="D216" s="8" t="s">
        <v>64</v>
      </c>
      <c r="E216" s="8" t="s">
        <v>850</v>
      </c>
      <c r="F216" s="8" t="s">
        <v>47</v>
      </c>
      <c r="G216" s="13" t="s">
        <v>40</v>
      </c>
      <c r="H216" s="7" t="s">
        <v>38</v>
      </c>
      <c r="I216" s="7" t="s">
        <v>72</v>
      </c>
      <c r="J216" s="9" t="s">
        <v>40</v>
      </c>
      <c r="K216" s="8" t="s">
        <v>66</v>
      </c>
      <c r="L216" s="8" t="s">
        <v>851</v>
      </c>
      <c r="M216" s="10">
        <f t="shared" si="1"/>
        <v>1.416141031</v>
      </c>
      <c r="N216" s="7">
        <v>26.07</v>
      </c>
      <c r="O216" s="7">
        <v>5.8</v>
      </c>
      <c r="P216" s="10">
        <v>3.704240812906202</v>
      </c>
      <c r="Q216" s="10">
        <v>1.6760071598892412</v>
      </c>
      <c r="R216" s="7">
        <v>14.0</v>
      </c>
      <c r="S216" s="7">
        <v>10.0</v>
      </c>
      <c r="T216" s="14">
        <f t="shared" si="2"/>
        <v>0.222477944</v>
      </c>
      <c r="U216" s="14">
        <f t="shared" si="3"/>
        <v>-1.50292731</v>
      </c>
      <c r="V216" s="11">
        <v>0.009792254949386334</v>
      </c>
      <c r="W216" s="7">
        <f t="shared" si="4"/>
        <v>24</v>
      </c>
      <c r="X216" s="8" t="s">
        <v>852</v>
      </c>
      <c r="Y216" s="7"/>
      <c r="Z216" s="7"/>
      <c r="AA216" s="7"/>
    </row>
    <row r="217" ht="19.5" customHeight="1">
      <c r="A217" s="7">
        <v>164.0</v>
      </c>
      <c r="B217" s="8" t="s">
        <v>849</v>
      </c>
      <c r="C217" s="8" t="s">
        <v>82</v>
      </c>
      <c r="D217" s="8" t="s">
        <v>118</v>
      </c>
      <c r="E217" s="8" t="s">
        <v>853</v>
      </c>
      <c r="F217" s="8" t="s">
        <v>47</v>
      </c>
      <c r="G217" s="13" t="s">
        <v>40</v>
      </c>
      <c r="H217" s="8" t="s">
        <v>38</v>
      </c>
      <c r="I217" s="8" t="s">
        <v>72</v>
      </c>
      <c r="J217" s="9" t="s">
        <v>40</v>
      </c>
      <c r="K217" s="8" t="s">
        <v>66</v>
      </c>
      <c r="L217" s="8" t="s">
        <v>851</v>
      </c>
      <c r="M217" s="10">
        <f t="shared" si="1"/>
        <v>1.416141031</v>
      </c>
      <c r="N217" s="7">
        <v>26.07</v>
      </c>
      <c r="O217" s="7">
        <v>23.7</v>
      </c>
      <c r="P217" s="10">
        <v>3.704240812906202</v>
      </c>
      <c r="Q217" s="10">
        <v>5.163487193748039</v>
      </c>
      <c r="R217" s="7">
        <v>14.0</v>
      </c>
      <c r="S217" s="7">
        <v>14.0</v>
      </c>
      <c r="T217" s="14">
        <f t="shared" si="2"/>
        <v>0.9090909091</v>
      </c>
      <c r="U217" s="14">
        <f t="shared" si="3"/>
        <v>-0.0953101798</v>
      </c>
      <c r="V217" s="11">
        <v>0.004832558884794103</v>
      </c>
      <c r="W217" s="7">
        <f t="shared" si="4"/>
        <v>28</v>
      </c>
      <c r="X217" s="8" t="s">
        <v>852</v>
      </c>
      <c r="Y217" s="12"/>
      <c r="Z217" s="12"/>
      <c r="AA217" s="12"/>
    </row>
    <row r="218" ht="19.5" customHeight="1">
      <c r="A218" s="7">
        <v>165.0</v>
      </c>
      <c r="B218" s="7" t="s">
        <v>854</v>
      </c>
      <c r="C218" s="7" t="s">
        <v>52</v>
      </c>
      <c r="D218" s="7" t="s">
        <v>53</v>
      </c>
      <c r="E218" s="7" t="s">
        <v>855</v>
      </c>
      <c r="F218" s="8" t="s">
        <v>47</v>
      </c>
      <c r="G218" s="13" t="s">
        <v>40</v>
      </c>
      <c r="H218" s="8" t="s">
        <v>38</v>
      </c>
      <c r="I218" s="7" t="s">
        <v>72</v>
      </c>
      <c r="J218" s="9" t="s">
        <v>40</v>
      </c>
      <c r="K218" s="7" t="s">
        <v>48</v>
      </c>
      <c r="L218" s="8" t="s">
        <v>856</v>
      </c>
      <c r="M218" s="10">
        <f t="shared" si="1"/>
        <v>0.8808135923</v>
      </c>
      <c r="N218" s="7">
        <v>7.6</v>
      </c>
      <c r="O218" s="7">
        <v>14.0</v>
      </c>
      <c r="P218" s="10">
        <v>3.8013155617496426</v>
      </c>
      <c r="Q218" s="10">
        <v>4.919349550499538</v>
      </c>
      <c r="R218" s="7">
        <v>5.0</v>
      </c>
      <c r="S218" s="7">
        <v>5.0</v>
      </c>
      <c r="T218" s="8">
        <f t="shared" si="2"/>
        <v>1.842105263</v>
      </c>
      <c r="U218" s="8">
        <f t="shared" si="3"/>
        <v>0.6109090823</v>
      </c>
      <c r="V218" s="11">
        <v>0.07472850358980158</v>
      </c>
      <c r="W218" s="7">
        <f t="shared" si="4"/>
        <v>10</v>
      </c>
      <c r="X218" s="7" t="s">
        <v>857</v>
      </c>
      <c r="Y218" s="7"/>
      <c r="Z218" s="7"/>
      <c r="AA218" s="7"/>
    </row>
    <row r="219" ht="19.5" customHeight="1">
      <c r="A219" s="7">
        <v>165.0</v>
      </c>
      <c r="B219" s="7" t="s">
        <v>854</v>
      </c>
      <c r="C219" s="7" t="s">
        <v>52</v>
      </c>
      <c r="D219" s="7" t="s">
        <v>64</v>
      </c>
      <c r="E219" s="7" t="s">
        <v>858</v>
      </c>
      <c r="F219" s="8" t="s">
        <v>47</v>
      </c>
      <c r="G219" s="13" t="s">
        <v>40</v>
      </c>
      <c r="H219" s="8" t="s">
        <v>38</v>
      </c>
      <c r="I219" s="7" t="s">
        <v>72</v>
      </c>
      <c r="J219" s="9" t="s">
        <v>40</v>
      </c>
      <c r="K219" s="7" t="s">
        <v>48</v>
      </c>
      <c r="L219" s="8" t="s">
        <v>856</v>
      </c>
      <c r="M219" s="10">
        <f t="shared" si="1"/>
        <v>0.8808135923</v>
      </c>
      <c r="N219" s="7">
        <v>7.6</v>
      </c>
      <c r="O219" s="7">
        <v>9.3</v>
      </c>
      <c r="P219" s="10">
        <v>3.8013155617496426</v>
      </c>
      <c r="Q219" s="10">
        <v>13.19280106724876</v>
      </c>
      <c r="R219" s="7">
        <v>5.0</v>
      </c>
      <c r="S219" s="7">
        <v>5.0</v>
      </c>
      <c r="T219" s="8">
        <f t="shared" si="2"/>
        <v>1.223684211</v>
      </c>
      <c r="U219" s="8">
        <f t="shared" si="3"/>
        <v>0.2018661529</v>
      </c>
      <c r="V219" s="11">
        <v>0.4525089005213804</v>
      </c>
      <c r="W219" s="7">
        <f t="shared" si="4"/>
        <v>10</v>
      </c>
      <c r="X219" s="7" t="s">
        <v>857</v>
      </c>
      <c r="Y219" s="7"/>
      <c r="Z219" s="7"/>
      <c r="AA219" s="7"/>
    </row>
    <row r="220" ht="19.5" customHeight="1">
      <c r="A220" s="7">
        <v>166.0</v>
      </c>
      <c r="B220" s="8" t="s">
        <v>859</v>
      </c>
      <c r="C220" s="8" t="s">
        <v>52</v>
      </c>
      <c r="D220" s="8" t="s">
        <v>64</v>
      </c>
      <c r="E220" s="8" t="s">
        <v>860</v>
      </c>
      <c r="F220" s="8" t="s">
        <v>47</v>
      </c>
      <c r="G220" s="13" t="s">
        <v>40</v>
      </c>
      <c r="H220" s="7" t="s">
        <v>38</v>
      </c>
      <c r="I220" s="7" t="s">
        <v>72</v>
      </c>
      <c r="J220" s="9" t="s">
        <v>40</v>
      </c>
      <c r="K220" s="8" t="s">
        <v>66</v>
      </c>
      <c r="L220" s="8" t="s">
        <v>861</v>
      </c>
      <c r="M220" s="10">
        <f t="shared" si="1"/>
        <v>1.996949248</v>
      </c>
      <c r="N220" s="7">
        <v>99.3</v>
      </c>
      <c r="O220" s="7">
        <v>111.3</v>
      </c>
      <c r="P220" s="10">
        <v>3.4</v>
      </c>
      <c r="Q220" s="10">
        <v>2.0</v>
      </c>
      <c r="R220" s="7">
        <v>4.0</v>
      </c>
      <c r="S220" s="7">
        <v>4.0</v>
      </c>
      <c r="T220" s="14">
        <f t="shared" si="2"/>
        <v>1.120845921</v>
      </c>
      <c r="U220" s="14">
        <f t="shared" si="3"/>
        <v>0.1140836872</v>
      </c>
      <c r="V220" s="11">
        <v>3.7381418368839195E-4</v>
      </c>
      <c r="W220" s="7">
        <f t="shared" si="4"/>
        <v>8</v>
      </c>
      <c r="X220" s="8" t="s">
        <v>862</v>
      </c>
      <c r="Y220" s="7"/>
      <c r="Z220" s="7"/>
      <c r="AA220" s="7"/>
    </row>
    <row r="221" ht="19.5" customHeight="1">
      <c r="A221" s="7">
        <v>167.0</v>
      </c>
      <c r="B221" s="7" t="s">
        <v>863</v>
      </c>
      <c r="C221" s="7" t="s">
        <v>52</v>
      </c>
      <c r="D221" s="7" t="s">
        <v>53</v>
      </c>
      <c r="E221" s="7" t="s">
        <v>864</v>
      </c>
      <c r="F221" s="8" t="s">
        <v>47</v>
      </c>
      <c r="G221" s="13" t="s">
        <v>40</v>
      </c>
      <c r="H221" s="7" t="s">
        <v>38</v>
      </c>
      <c r="I221" s="7" t="s">
        <v>39</v>
      </c>
      <c r="J221" s="9" t="s">
        <v>40</v>
      </c>
      <c r="K221" s="7" t="s">
        <v>41</v>
      </c>
      <c r="L221" s="8" t="s">
        <v>865</v>
      </c>
      <c r="M221" s="10">
        <f t="shared" si="1"/>
        <v>0.9786369484</v>
      </c>
      <c r="N221" s="7">
        <v>9.52</v>
      </c>
      <c r="O221" s="7">
        <v>8.8</v>
      </c>
      <c r="P221" s="10">
        <v>1.04</v>
      </c>
      <c r="Q221" s="10">
        <v>1.2</v>
      </c>
      <c r="R221" s="7">
        <v>4.0</v>
      </c>
      <c r="S221" s="7">
        <v>4.0</v>
      </c>
      <c r="T221" s="8">
        <f t="shared" si="2"/>
        <v>0.9243697479</v>
      </c>
      <c r="U221" s="8">
        <f t="shared" si="3"/>
        <v>-0.07864312732</v>
      </c>
      <c r="V221" s="11">
        <v>0.00763230669029887</v>
      </c>
      <c r="W221" s="7">
        <f t="shared" si="4"/>
        <v>8</v>
      </c>
      <c r="X221" s="7" t="s">
        <v>866</v>
      </c>
      <c r="Y221" s="7"/>
      <c r="Z221" s="7"/>
      <c r="AA221" s="7"/>
    </row>
    <row r="222" ht="19.5" customHeight="1">
      <c r="A222" s="7">
        <v>167.0</v>
      </c>
      <c r="B222" s="7" t="s">
        <v>863</v>
      </c>
      <c r="C222" s="7" t="s">
        <v>52</v>
      </c>
      <c r="D222" s="7" t="s">
        <v>53</v>
      </c>
      <c r="E222" s="7" t="s">
        <v>867</v>
      </c>
      <c r="F222" s="8" t="s">
        <v>47</v>
      </c>
      <c r="G222" s="13" t="s">
        <v>40</v>
      </c>
      <c r="H222" s="7" t="s">
        <v>38</v>
      </c>
      <c r="I222" s="7" t="s">
        <v>39</v>
      </c>
      <c r="J222" s="9" t="s">
        <v>40</v>
      </c>
      <c r="K222" s="7" t="s">
        <v>41</v>
      </c>
      <c r="L222" s="8" t="s">
        <v>868</v>
      </c>
      <c r="M222" s="10">
        <f t="shared" si="1"/>
        <v>0.8312296939</v>
      </c>
      <c r="N222" s="7">
        <v>6.78</v>
      </c>
      <c r="O222" s="7">
        <v>5.75</v>
      </c>
      <c r="P222" s="10">
        <v>0.64</v>
      </c>
      <c r="Q222" s="10">
        <v>0.62</v>
      </c>
      <c r="R222" s="7">
        <v>4.0</v>
      </c>
      <c r="S222" s="7">
        <v>4.0</v>
      </c>
      <c r="T222" s="8">
        <f t="shared" si="2"/>
        <v>0.8480825959</v>
      </c>
      <c r="U222" s="8">
        <f t="shared" si="3"/>
        <v>-0.1647772471</v>
      </c>
      <c r="V222" s="11">
        <v>0.005134233489796533</v>
      </c>
      <c r="W222" s="7">
        <f t="shared" si="4"/>
        <v>8</v>
      </c>
      <c r="X222" s="7" t="s">
        <v>866</v>
      </c>
      <c r="Y222" s="7"/>
      <c r="Z222" s="7"/>
      <c r="AA222" s="7"/>
    </row>
    <row r="223" ht="19.5" customHeight="1">
      <c r="A223" s="7">
        <v>167.0</v>
      </c>
      <c r="B223" s="7" t="s">
        <v>863</v>
      </c>
      <c r="C223" s="7" t="s">
        <v>52</v>
      </c>
      <c r="D223" s="7" t="s">
        <v>53</v>
      </c>
      <c r="E223" s="7" t="s">
        <v>869</v>
      </c>
      <c r="F223" s="8" t="s">
        <v>47</v>
      </c>
      <c r="G223" s="13" t="s">
        <v>40</v>
      </c>
      <c r="H223" s="7" t="s">
        <v>38</v>
      </c>
      <c r="I223" s="7" t="s">
        <v>39</v>
      </c>
      <c r="J223" s="9" t="s">
        <v>40</v>
      </c>
      <c r="K223" s="7" t="s">
        <v>41</v>
      </c>
      <c r="L223" s="8" t="s">
        <v>56</v>
      </c>
      <c r="M223" s="10">
        <f t="shared" si="1"/>
        <v>0.7201593034</v>
      </c>
      <c r="N223" s="7">
        <v>5.25</v>
      </c>
      <c r="O223" s="7">
        <v>3.38</v>
      </c>
      <c r="P223" s="10">
        <v>0.64</v>
      </c>
      <c r="Q223" s="10">
        <v>0.42</v>
      </c>
      <c r="R223" s="7">
        <v>4.0</v>
      </c>
      <c r="S223" s="7">
        <v>4.0</v>
      </c>
      <c r="T223" s="8">
        <f t="shared" si="2"/>
        <v>0.6438095238</v>
      </c>
      <c r="U223" s="8">
        <f t="shared" si="3"/>
        <v>-0.4403523671</v>
      </c>
      <c r="V223" s="11">
        <v>0.00757535170178385</v>
      </c>
      <c r="W223" s="7">
        <f t="shared" si="4"/>
        <v>8</v>
      </c>
      <c r="X223" s="7" t="s">
        <v>866</v>
      </c>
      <c r="Y223" s="7"/>
      <c r="Z223" s="7"/>
      <c r="AA223" s="7"/>
    </row>
    <row r="224" ht="19.5" customHeight="1">
      <c r="A224" s="7">
        <v>168.0</v>
      </c>
      <c r="B224" s="7" t="s">
        <v>870</v>
      </c>
      <c r="C224" s="8" t="s">
        <v>52</v>
      </c>
      <c r="D224" s="7" t="s">
        <v>64</v>
      </c>
      <c r="E224" s="7" t="s">
        <v>871</v>
      </c>
      <c r="F224" s="8" t="s">
        <v>47</v>
      </c>
      <c r="G224" s="13" t="s">
        <v>40</v>
      </c>
      <c r="H224" s="8" t="s">
        <v>38</v>
      </c>
      <c r="I224" s="7" t="s">
        <v>72</v>
      </c>
      <c r="J224" s="9" t="s">
        <v>40</v>
      </c>
      <c r="K224" s="7" t="s">
        <v>66</v>
      </c>
      <c r="L224" s="8" t="s">
        <v>872</v>
      </c>
      <c r="M224" s="10">
        <f t="shared" si="1"/>
        <v>1.053078443</v>
      </c>
      <c r="N224" s="7">
        <v>11.3</v>
      </c>
      <c r="O224" s="7">
        <v>8.2</v>
      </c>
      <c r="P224" s="10">
        <v>1.5</v>
      </c>
      <c r="Q224" s="10">
        <v>0.65</v>
      </c>
      <c r="R224" s="7">
        <v>2.0</v>
      </c>
      <c r="S224" s="7">
        <v>2.0</v>
      </c>
      <c r="T224" s="8">
        <f t="shared" si="2"/>
        <v>0.7256637168</v>
      </c>
      <c r="U224" s="8">
        <f t="shared" si="3"/>
        <v>-0.3206685714</v>
      </c>
      <c r="V224" s="11">
        <v>0.011952131300388278</v>
      </c>
      <c r="W224" s="7">
        <f t="shared" si="4"/>
        <v>4</v>
      </c>
      <c r="X224" s="7" t="s">
        <v>873</v>
      </c>
      <c r="Y224" s="7"/>
      <c r="Z224" s="7"/>
      <c r="AA224" s="7"/>
    </row>
    <row r="225" ht="19.5" customHeight="1">
      <c r="A225" s="7">
        <v>168.0</v>
      </c>
      <c r="B225" s="8" t="s">
        <v>870</v>
      </c>
      <c r="C225" s="8" t="s">
        <v>82</v>
      </c>
      <c r="D225" s="8" t="s">
        <v>83</v>
      </c>
      <c r="E225" s="8" t="s">
        <v>874</v>
      </c>
      <c r="F225" s="8" t="s">
        <v>47</v>
      </c>
      <c r="G225" s="13" t="s">
        <v>40</v>
      </c>
      <c r="H225" s="8" t="s">
        <v>38</v>
      </c>
      <c r="I225" s="8" t="s">
        <v>72</v>
      </c>
      <c r="J225" s="9" t="s">
        <v>40</v>
      </c>
      <c r="K225" s="8" t="s">
        <v>66</v>
      </c>
      <c r="L225" s="8" t="s">
        <v>872</v>
      </c>
      <c r="M225" s="10">
        <f t="shared" si="1"/>
        <v>1.053078443</v>
      </c>
      <c r="N225" s="7">
        <v>11.3</v>
      </c>
      <c r="O225" s="7">
        <v>10.45</v>
      </c>
      <c r="P225" s="10">
        <v>1.5</v>
      </c>
      <c r="Q225" s="10">
        <v>1.15</v>
      </c>
      <c r="R225" s="7">
        <v>2.0</v>
      </c>
      <c r="S225" s="7">
        <v>2.0</v>
      </c>
      <c r="T225" s="14">
        <f t="shared" si="2"/>
        <v>0.9247787611</v>
      </c>
      <c r="U225" s="14">
        <f t="shared" si="3"/>
        <v>-0.07820074731</v>
      </c>
      <c r="V225" s="11">
        <v>0.014865664490512378</v>
      </c>
      <c r="W225" s="7">
        <f t="shared" si="4"/>
        <v>4</v>
      </c>
      <c r="X225" s="7" t="s">
        <v>873</v>
      </c>
      <c r="Y225" s="12"/>
      <c r="Z225" s="12"/>
      <c r="AA225" s="12"/>
    </row>
    <row r="226" ht="19.5" customHeight="1">
      <c r="A226" s="7">
        <v>169.0</v>
      </c>
      <c r="B226" s="7" t="s">
        <v>875</v>
      </c>
      <c r="C226" s="7" t="s">
        <v>676</v>
      </c>
      <c r="D226" s="7" t="s">
        <v>83</v>
      </c>
      <c r="E226" s="7" t="s">
        <v>876</v>
      </c>
      <c r="F226" s="7" t="s">
        <v>47</v>
      </c>
      <c r="G226" s="13" t="s">
        <v>40</v>
      </c>
      <c r="H226" s="7" t="s">
        <v>38</v>
      </c>
      <c r="I226" s="7" t="s">
        <v>72</v>
      </c>
      <c r="J226" s="9" t="s">
        <v>40</v>
      </c>
      <c r="K226" s="8" t="s">
        <v>66</v>
      </c>
      <c r="L226" s="8" t="s">
        <v>877</v>
      </c>
      <c r="M226" s="10">
        <f t="shared" si="1"/>
        <v>1.007320953</v>
      </c>
      <c r="N226" s="7">
        <v>10.17</v>
      </c>
      <c r="O226" s="7">
        <v>12.17</v>
      </c>
      <c r="P226" s="10">
        <v>3.7314876389986877</v>
      </c>
      <c r="Q226" s="10">
        <v>3.7314876389986877</v>
      </c>
      <c r="R226" s="7">
        <v>10.0</v>
      </c>
      <c r="S226" s="7">
        <v>10.0</v>
      </c>
      <c r="T226" s="8">
        <f t="shared" si="2"/>
        <v>1.196656834</v>
      </c>
      <c r="U226" s="8">
        <f t="shared" si="3"/>
        <v>0.1795316969</v>
      </c>
      <c r="V226" s="11">
        <v>0.022863578782393746</v>
      </c>
      <c r="W226" s="7">
        <f t="shared" si="4"/>
        <v>20</v>
      </c>
      <c r="X226" s="7" t="s">
        <v>878</v>
      </c>
      <c r="Y226" s="7"/>
      <c r="Z226" s="7"/>
      <c r="AA226" s="7"/>
    </row>
    <row r="227" ht="19.5" customHeight="1">
      <c r="A227" s="7">
        <v>170.0</v>
      </c>
      <c r="B227" s="7" t="s">
        <v>879</v>
      </c>
      <c r="C227" s="7" t="s">
        <v>170</v>
      </c>
      <c r="D227" s="7" t="s">
        <v>369</v>
      </c>
      <c r="E227" s="7" t="s">
        <v>880</v>
      </c>
      <c r="F227" s="7" t="s">
        <v>37</v>
      </c>
      <c r="G227" s="13" t="s">
        <v>40</v>
      </c>
      <c r="H227" s="7" t="s">
        <v>90</v>
      </c>
      <c r="I227" s="7" t="s">
        <v>72</v>
      </c>
      <c r="J227" s="9" t="s">
        <v>40</v>
      </c>
      <c r="K227" s="7" t="s">
        <v>66</v>
      </c>
      <c r="L227" s="8" t="s">
        <v>881</v>
      </c>
      <c r="M227" s="10">
        <f t="shared" si="1"/>
        <v>1.118264726</v>
      </c>
      <c r="N227" s="7">
        <v>13.13</v>
      </c>
      <c r="O227" s="7">
        <v>11.88</v>
      </c>
      <c r="P227" s="10">
        <v>2.08</v>
      </c>
      <c r="Q227" s="10">
        <v>2.18</v>
      </c>
      <c r="R227" s="7">
        <v>4.0</v>
      </c>
      <c r="S227" s="7">
        <v>4.0</v>
      </c>
      <c r="T227" s="8">
        <f t="shared" si="2"/>
        <v>0.9047981721</v>
      </c>
      <c r="U227" s="8">
        <f t="shared" si="3"/>
        <v>-0.1000433744</v>
      </c>
      <c r="V227" s="11">
        <v>0.0146921116781923</v>
      </c>
      <c r="W227" s="7">
        <f t="shared" si="4"/>
        <v>8</v>
      </c>
      <c r="X227" s="7" t="s">
        <v>882</v>
      </c>
      <c r="Y227" s="7"/>
      <c r="Z227" s="7"/>
      <c r="AA227" s="7"/>
    </row>
    <row r="228" ht="19.5" customHeight="1">
      <c r="A228" s="7">
        <v>171.0</v>
      </c>
      <c r="B228" s="8" t="s">
        <v>883</v>
      </c>
      <c r="C228" s="8" t="s">
        <v>34</v>
      </c>
      <c r="D228" s="8" t="s">
        <v>884</v>
      </c>
      <c r="E228" s="8" t="s">
        <v>885</v>
      </c>
      <c r="F228" s="8" t="s">
        <v>47</v>
      </c>
      <c r="G228" s="8" t="s">
        <v>37</v>
      </c>
      <c r="H228" s="8" t="s">
        <v>90</v>
      </c>
      <c r="I228" s="8" t="s">
        <v>39</v>
      </c>
      <c r="J228" s="7">
        <v>20.0</v>
      </c>
      <c r="K228" s="8" t="s">
        <v>41</v>
      </c>
      <c r="L228" s="8" t="s">
        <v>886</v>
      </c>
      <c r="M228" s="10">
        <f t="shared" si="1"/>
        <v>1.448397103</v>
      </c>
      <c r="N228" s="7">
        <v>28.08</v>
      </c>
      <c r="O228" s="7">
        <v>21.55</v>
      </c>
      <c r="P228" s="10">
        <v>12.817175976009691</v>
      </c>
      <c r="Q228" s="10">
        <v>8.227241335952167</v>
      </c>
      <c r="R228" s="7">
        <v>3.0</v>
      </c>
      <c r="S228" s="7">
        <v>3.0</v>
      </c>
      <c r="T228" s="8">
        <f t="shared" si="2"/>
        <v>0.7674501425</v>
      </c>
      <c r="U228" s="8">
        <f t="shared" si="3"/>
        <v>-0.2646817626</v>
      </c>
      <c r="V228" s="11">
        <v>0.11803345057357723</v>
      </c>
      <c r="W228" s="7">
        <f t="shared" si="4"/>
        <v>6</v>
      </c>
      <c r="X228" s="8" t="s">
        <v>887</v>
      </c>
      <c r="Y228" s="7"/>
      <c r="Z228" s="7"/>
      <c r="AA228" s="7"/>
    </row>
    <row r="229" ht="19.5" customHeight="1">
      <c r="A229" s="7">
        <v>172.0</v>
      </c>
      <c r="B229" s="7" t="s">
        <v>888</v>
      </c>
      <c r="C229" s="7" t="s">
        <v>676</v>
      </c>
      <c r="D229" s="7" t="s">
        <v>176</v>
      </c>
      <c r="E229" s="7" t="s">
        <v>889</v>
      </c>
      <c r="F229" s="7" t="s">
        <v>47</v>
      </c>
      <c r="G229" s="9" t="s">
        <v>40</v>
      </c>
      <c r="H229" s="7" t="s">
        <v>38</v>
      </c>
      <c r="I229" s="7" t="s">
        <v>72</v>
      </c>
      <c r="J229" s="9" t="s">
        <v>40</v>
      </c>
      <c r="K229" s="7" t="s">
        <v>890</v>
      </c>
      <c r="L229" s="7" t="s">
        <v>891</v>
      </c>
      <c r="M229" s="10">
        <f t="shared" si="1"/>
        <v>1.027349608</v>
      </c>
      <c r="N229" s="7">
        <v>10.65</v>
      </c>
      <c r="O229" s="7">
        <v>7.55</v>
      </c>
      <c r="P229" s="10">
        <v>2.6</v>
      </c>
      <c r="Q229" s="10">
        <v>3.8</v>
      </c>
      <c r="R229" s="7">
        <v>12.0</v>
      </c>
      <c r="S229" s="7">
        <v>12.0</v>
      </c>
      <c r="T229" s="8">
        <f t="shared" si="2"/>
        <v>0.7089201878</v>
      </c>
      <c r="U229" s="8">
        <f t="shared" si="3"/>
        <v>-0.3440123289</v>
      </c>
      <c r="V229" s="11">
        <v>0.026076865852066165</v>
      </c>
      <c r="W229" s="7">
        <f t="shared" si="4"/>
        <v>24</v>
      </c>
      <c r="X229" s="7" t="s">
        <v>892</v>
      </c>
      <c r="Y229" s="7"/>
      <c r="Z229" s="7"/>
      <c r="AA229" s="7"/>
    </row>
    <row r="230" ht="19.5" customHeight="1">
      <c r="A230" s="7">
        <v>173.0</v>
      </c>
      <c r="B230" s="8" t="s">
        <v>893</v>
      </c>
      <c r="C230" s="8" t="s">
        <v>82</v>
      </c>
      <c r="D230" s="8" t="s">
        <v>118</v>
      </c>
      <c r="E230" s="8" t="s">
        <v>894</v>
      </c>
      <c r="F230" s="8" t="s">
        <v>78</v>
      </c>
      <c r="G230" s="9" t="s">
        <v>40</v>
      </c>
      <c r="H230" s="8" t="s">
        <v>38</v>
      </c>
      <c r="I230" s="8" t="s">
        <v>72</v>
      </c>
      <c r="J230" s="9" t="s">
        <v>40</v>
      </c>
      <c r="K230" s="8" t="s">
        <v>66</v>
      </c>
      <c r="L230" s="8" t="s">
        <v>895</v>
      </c>
      <c r="M230" s="10">
        <f t="shared" si="1"/>
        <v>0.3344537512</v>
      </c>
      <c r="N230" s="7">
        <v>2.16</v>
      </c>
      <c r="O230" s="7">
        <v>1.78</v>
      </c>
      <c r="P230" s="10">
        <v>1.38</v>
      </c>
      <c r="Q230" s="10">
        <v>1.25</v>
      </c>
      <c r="R230" s="7">
        <v>1.0</v>
      </c>
      <c r="S230" s="7">
        <v>2.0</v>
      </c>
      <c r="T230" s="14">
        <f t="shared" si="2"/>
        <v>0.8240740741</v>
      </c>
      <c r="U230" s="14">
        <f t="shared" si="3"/>
        <v>-0.1934948574</v>
      </c>
      <c r="V230" s="11">
        <v>0.6547545709872645</v>
      </c>
      <c r="W230" s="7">
        <f t="shared" si="4"/>
        <v>3</v>
      </c>
      <c r="X230" s="8" t="s">
        <v>896</v>
      </c>
      <c r="Y230" s="12"/>
      <c r="Z230" s="12"/>
      <c r="AA230" s="12"/>
    </row>
    <row r="231" ht="19.5" customHeight="1">
      <c r="A231" s="7">
        <v>174.0</v>
      </c>
      <c r="B231" s="8" t="s">
        <v>897</v>
      </c>
      <c r="C231" s="8" t="s">
        <v>34</v>
      </c>
      <c r="D231" s="8" t="s">
        <v>898</v>
      </c>
      <c r="E231" s="8" t="s">
        <v>899</v>
      </c>
      <c r="F231" s="8" t="s">
        <v>37</v>
      </c>
      <c r="G231" s="8" t="s">
        <v>37</v>
      </c>
      <c r="H231" s="8" t="s">
        <v>38</v>
      </c>
      <c r="I231" s="8" t="s">
        <v>39</v>
      </c>
      <c r="J231" s="9" t="s">
        <v>40</v>
      </c>
      <c r="K231" s="8" t="s">
        <v>178</v>
      </c>
      <c r="L231" s="8" t="s">
        <v>900</v>
      </c>
      <c r="M231" s="10">
        <f t="shared" si="1"/>
        <v>1.539076099</v>
      </c>
      <c r="N231" s="10">
        <v>34.6</v>
      </c>
      <c r="O231" s="10">
        <v>19.44666666666667</v>
      </c>
      <c r="P231" s="10">
        <v>3.7477193064582623</v>
      </c>
      <c r="Q231" s="10">
        <v>1.7636326148038877</v>
      </c>
      <c r="R231" s="7">
        <v>6.0</v>
      </c>
      <c r="S231" s="7">
        <v>6.0</v>
      </c>
      <c r="T231" s="8">
        <f t="shared" si="2"/>
        <v>0.5620423892</v>
      </c>
      <c r="U231" s="8">
        <f t="shared" si="3"/>
        <v>-0.5761780063</v>
      </c>
      <c r="V231" s="11">
        <v>0.003326179485308261</v>
      </c>
      <c r="W231" s="7">
        <f t="shared" si="4"/>
        <v>12</v>
      </c>
      <c r="X231" s="8" t="s">
        <v>901</v>
      </c>
      <c r="Y231" s="7"/>
      <c r="Z231" s="7"/>
      <c r="AA231" s="7"/>
    </row>
    <row r="232" ht="19.5" customHeight="1">
      <c r="A232" s="7">
        <v>174.0</v>
      </c>
      <c r="B232" s="8" t="s">
        <v>897</v>
      </c>
      <c r="C232" s="8" t="s">
        <v>34</v>
      </c>
      <c r="D232" s="8" t="s">
        <v>902</v>
      </c>
      <c r="E232" s="8" t="s">
        <v>899</v>
      </c>
      <c r="F232" s="8" t="s">
        <v>37</v>
      </c>
      <c r="G232" s="8" t="s">
        <v>37</v>
      </c>
      <c r="H232" s="8" t="s">
        <v>38</v>
      </c>
      <c r="I232" s="8" t="s">
        <v>39</v>
      </c>
      <c r="J232" s="9" t="s">
        <v>40</v>
      </c>
      <c r="K232" s="8" t="s">
        <v>178</v>
      </c>
      <c r="L232" s="8" t="s">
        <v>900</v>
      </c>
      <c r="M232" s="10">
        <f t="shared" si="1"/>
        <v>1.539076099</v>
      </c>
      <c r="N232" s="10">
        <v>34.6</v>
      </c>
      <c r="O232" s="10">
        <v>20.69333333333333</v>
      </c>
      <c r="P232" s="10">
        <v>3.7477193064582623</v>
      </c>
      <c r="Q232" s="10">
        <v>2.3515101530718505</v>
      </c>
      <c r="R232" s="7">
        <v>6.0</v>
      </c>
      <c r="S232" s="7">
        <v>6.0</v>
      </c>
      <c r="T232" s="8">
        <f t="shared" si="2"/>
        <v>0.5980732177</v>
      </c>
      <c r="U232" s="8">
        <f t="shared" si="3"/>
        <v>-0.5140420949</v>
      </c>
      <c r="V232" s="11">
        <v>0.004107572434483153</v>
      </c>
      <c r="W232" s="7">
        <f t="shared" si="4"/>
        <v>12</v>
      </c>
      <c r="X232" s="8" t="s">
        <v>901</v>
      </c>
      <c r="Y232" s="7"/>
      <c r="Z232" s="7"/>
      <c r="AA232" s="7"/>
    </row>
    <row r="233" ht="19.5" customHeight="1">
      <c r="A233" s="7">
        <v>175.0</v>
      </c>
      <c r="B233" s="7" t="s">
        <v>903</v>
      </c>
      <c r="C233" s="7" t="s">
        <v>342</v>
      </c>
      <c r="D233" s="7" t="s">
        <v>110</v>
      </c>
      <c r="E233" s="7" t="s">
        <v>904</v>
      </c>
      <c r="F233" s="7" t="s">
        <v>47</v>
      </c>
      <c r="G233" s="9" t="s">
        <v>40</v>
      </c>
      <c r="H233" s="7" t="s">
        <v>90</v>
      </c>
      <c r="I233" s="7" t="s">
        <v>39</v>
      </c>
      <c r="J233" s="7">
        <v>30.0</v>
      </c>
      <c r="K233" s="7" t="s">
        <v>48</v>
      </c>
      <c r="L233" s="7" t="s">
        <v>905</v>
      </c>
      <c r="M233" s="10">
        <f t="shared" si="1"/>
        <v>0.9111576087</v>
      </c>
      <c r="N233" s="7">
        <v>8.15</v>
      </c>
      <c r="O233" s="7">
        <v>10.2</v>
      </c>
      <c r="P233" s="10">
        <v>1.8359738560230099</v>
      </c>
      <c r="Q233" s="10">
        <v>1.9398969044771426</v>
      </c>
      <c r="R233" s="7">
        <v>3.0</v>
      </c>
      <c r="S233" s="7">
        <v>3.0</v>
      </c>
      <c r="T233" s="8">
        <f t="shared" si="2"/>
        <v>1.251533742</v>
      </c>
      <c r="U233" s="8">
        <f t="shared" si="3"/>
        <v>0.224369793</v>
      </c>
      <c r="V233" s="11">
        <v>0.02897285587587955</v>
      </c>
      <c r="W233" s="7">
        <f t="shared" si="4"/>
        <v>6</v>
      </c>
      <c r="X233" s="7" t="s">
        <v>906</v>
      </c>
      <c r="Y233" s="7"/>
      <c r="Z233" s="7"/>
      <c r="AA233" s="7"/>
    </row>
    <row r="234" ht="19.5" customHeight="1">
      <c r="A234" s="7">
        <v>175.0</v>
      </c>
      <c r="B234" s="7" t="s">
        <v>903</v>
      </c>
      <c r="C234" s="7" t="s">
        <v>368</v>
      </c>
      <c r="D234" s="7" t="s">
        <v>369</v>
      </c>
      <c r="E234" s="7" t="s">
        <v>907</v>
      </c>
      <c r="F234" s="7" t="s">
        <v>47</v>
      </c>
      <c r="G234" s="9" t="s">
        <v>40</v>
      </c>
      <c r="H234" s="7" t="s">
        <v>90</v>
      </c>
      <c r="I234" s="7" t="s">
        <v>39</v>
      </c>
      <c r="J234" s="7">
        <v>30.0</v>
      </c>
      <c r="K234" s="7" t="s">
        <v>48</v>
      </c>
      <c r="L234" s="7" t="s">
        <v>905</v>
      </c>
      <c r="M234" s="10">
        <f t="shared" si="1"/>
        <v>0.9111576087</v>
      </c>
      <c r="N234" s="7">
        <v>8.15</v>
      </c>
      <c r="O234" s="7">
        <v>8.51</v>
      </c>
      <c r="P234" s="10">
        <v>1.8359738560230099</v>
      </c>
      <c r="Q234" s="10">
        <v>2.0091789367798976</v>
      </c>
      <c r="R234" s="7">
        <v>3.0</v>
      </c>
      <c r="S234" s="7">
        <v>3.0</v>
      </c>
      <c r="T234" s="8">
        <f t="shared" si="2"/>
        <v>1.044171779</v>
      </c>
      <c r="U234" s="8">
        <f t="shared" si="3"/>
        <v>0.04322401533</v>
      </c>
      <c r="V234" s="11">
        <v>0.03549643165106013</v>
      </c>
      <c r="W234" s="7">
        <f t="shared" si="4"/>
        <v>6</v>
      </c>
      <c r="X234" s="7" t="s">
        <v>906</v>
      </c>
      <c r="Y234" s="7"/>
      <c r="Z234" s="7"/>
      <c r="AA234" s="7"/>
    </row>
    <row r="235" ht="19.5" customHeight="1">
      <c r="A235" s="7">
        <v>176.0</v>
      </c>
      <c r="B235" s="7" t="s">
        <v>908</v>
      </c>
      <c r="C235" s="7" t="s">
        <v>109</v>
      </c>
      <c r="D235" s="7" t="s">
        <v>110</v>
      </c>
      <c r="E235" s="7" t="s">
        <v>492</v>
      </c>
      <c r="F235" s="7" t="s">
        <v>37</v>
      </c>
      <c r="G235" s="9" t="s">
        <v>40</v>
      </c>
      <c r="H235" s="7" t="s">
        <v>90</v>
      </c>
      <c r="I235" s="7" t="s">
        <v>39</v>
      </c>
      <c r="J235" s="7">
        <v>1825.0</v>
      </c>
      <c r="K235" s="7" t="s">
        <v>55</v>
      </c>
      <c r="L235" s="8" t="s">
        <v>909</v>
      </c>
      <c r="M235" s="10">
        <f t="shared" si="1"/>
        <v>1.230448921</v>
      </c>
      <c r="N235" s="7">
        <v>17.0</v>
      </c>
      <c r="O235" s="7">
        <v>17.65</v>
      </c>
      <c r="P235" s="10">
        <v>2.504396134799765</v>
      </c>
      <c r="Q235" s="10">
        <v>2.101903898849802</v>
      </c>
      <c r="R235" s="7">
        <v>5.0</v>
      </c>
      <c r="S235" s="7">
        <v>5.0</v>
      </c>
      <c r="T235" s="14">
        <f t="shared" si="2"/>
        <v>1.038235294</v>
      </c>
      <c r="U235" s="14">
        <f t="shared" si="3"/>
        <v>0.03752243932</v>
      </c>
      <c r="V235" s="11">
        <v>0.007176876663976547</v>
      </c>
      <c r="W235" s="7">
        <f t="shared" si="4"/>
        <v>10</v>
      </c>
      <c r="X235" s="8" t="s">
        <v>910</v>
      </c>
      <c r="Y235" s="7"/>
      <c r="Z235" s="7"/>
      <c r="AA235" s="7"/>
    </row>
    <row r="236" ht="19.5" customHeight="1">
      <c r="A236" s="7">
        <v>176.0</v>
      </c>
      <c r="B236" s="7" t="s">
        <v>908</v>
      </c>
      <c r="C236" s="7" t="s">
        <v>170</v>
      </c>
      <c r="D236" s="7" t="s">
        <v>369</v>
      </c>
      <c r="E236" s="7" t="s">
        <v>492</v>
      </c>
      <c r="F236" s="7" t="s">
        <v>37</v>
      </c>
      <c r="G236" s="9" t="s">
        <v>40</v>
      </c>
      <c r="H236" s="7" t="s">
        <v>90</v>
      </c>
      <c r="I236" s="7" t="s">
        <v>39</v>
      </c>
      <c r="J236" s="7">
        <v>1826.0</v>
      </c>
      <c r="K236" s="7" t="s">
        <v>55</v>
      </c>
      <c r="L236" s="8" t="s">
        <v>909</v>
      </c>
      <c r="M236" s="10">
        <f t="shared" si="1"/>
        <v>1.230448921</v>
      </c>
      <c r="N236" s="7">
        <v>17.0</v>
      </c>
      <c r="O236" s="7">
        <v>15.31</v>
      </c>
      <c r="P236" s="10">
        <v>2.504396134799765</v>
      </c>
      <c r="Q236" s="10">
        <v>2.504396134799765</v>
      </c>
      <c r="R236" s="7">
        <v>5.0</v>
      </c>
      <c r="S236" s="7">
        <v>5.0</v>
      </c>
      <c r="T236" s="14">
        <f t="shared" si="2"/>
        <v>0.9005882353</v>
      </c>
      <c r="U236" s="14">
        <f t="shared" si="3"/>
        <v>-0.1047071344</v>
      </c>
      <c r="V236" s="11">
        <v>0.009692109306783422</v>
      </c>
      <c r="W236" s="7">
        <f t="shared" si="4"/>
        <v>10</v>
      </c>
      <c r="X236" s="8" t="s">
        <v>910</v>
      </c>
      <c r="Y236" s="7"/>
      <c r="Z236" s="7"/>
      <c r="AA236" s="7"/>
    </row>
    <row r="237" ht="19.5" customHeight="1">
      <c r="A237" s="7">
        <v>177.0</v>
      </c>
      <c r="B237" s="8" t="s">
        <v>911</v>
      </c>
      <c r="C237" s="8" t="s">
        <v>109</v>
      </c>
      <c r="D237" s="7" t="s">
        <v>110</v>
      </c>
      <c r="E237" s="8" t="s">
        <v>912</v>
      </c>
      <c r="F237" s="8" t="s">
        <v>37</v>
      </c>
      <c r="G237" s="9" t="s">
        <v>40</v>
      </c>
      <c r="H237" s="8" t="s">
        <v>90</v>
      </c>
      <c r="I237" s="8" t="s">
        <v>39</v>
      </c>
      <c r="J237" s="7">
        <v>2555.0</v>
      </c>
      <c r="K237" s="8" t="s">
        <v>153</v>
      </c>
      <c r="L237" s="8" t="s">
        <v>735</v>
      </c>
      <c r="M237" s="10">
        <f t="shared" si="1"/>
        <v>0.8020892579</v>
      </c>
      <c r="N237" s="7">
        <v>6.34</v>
      </c>
      <c r="O237" s="7">
        <v>6.62</v>
      </c>
      <c r="P237" s="10">
        <v>1.3856406460551018</v>
      </c>
      <c r="Q237" s="10">
        <v>1.4202816622064791</v>
      </c>
      <c r="R237" s="7">
        <v>3.0</v>
      </c>
      <c r="S237" s="7">
        <v>3.0</v>
      </c>
      <c r="T237" s="14">
        <f t="shared" si="2"/>
        <v>1.044164038</v>
      </c>
      <c r="U237" s="14">
        <f t="shared" si="3"/>
        <v>0.0432166015</v>
      </c>
      <c r="V237" s="11">
        <v>0.031265191634971226</v>
      </c>
      <c r="W237" s="7">
        <f t="shared" si="4"/>
        <v>6</v>
      </c>
      <c r="X237" s="8" t="s">
        <v>913</v>
      </c>
      <c r="Y237" s="7"/>
      <c r="Z237" s="7"/>
      <c r="AA237" s="7"/>
    </row>
    <row r="238" ht="19.5" customHeight="1">
      <c r="A238" s="7">
        <v>178.0</v>
      </c>
      <c r="B238" s="7" t="s">
        <v>914</v>
      </c>
      <c r="C238" s="7" t="s">
        <v>187</v>
      </c>
      <c r="D238" s="7" t="s">
        <v>64</v>
      </c>
      <c r="E238" s="7" t="s">
        <v>915</v>
      </c>
      <c r="F238" s="7" t="s">
        <v>78</v>
      </c>
      <c r="G238" s="9" t="s">
        <v>40</v>
      </c>
      <c r="H238" s="7" t="s">
        <v>38</v>
      </c>
      <c r="I238" s="7" t="s">
        <v>72</v>
      </c>
      <c r="J238" s="9" t="s">
        <v>40</v>
      </c>
      <c r="K238" s="7" t="s">
        <v>66</v>
      </c>
      <c r="L238" s="7" t="s">
        <v>916</v>
      </c>
      <c r="M238" s="10">
        <f t="shared" si="1"/>
        <v>1.633468456</v>
      </c>
      <c r="N238" s="7">
        <v>43.0</v>
      </c>
      <c r="O238" s="7">
        <v>34.0</v>
      </c>
      <c r="P238" s="10">
        <v>5.8206528843421</v>
      </c>
      <c r="Q238" s="10">
        <v>13.096468989769724</v>
      </c>
      <c r="R238" s="7">
        <v>7.0</v>
      </c>
      <c r="S238" s="7">
        <v>7.0</v>
      </c>
      <c r="T238" s="8">
        <f t="shared" si="2"/>
        <v>0.7906976744</v>
      </c>
      <c r="U238" s="8">
        <f t="shared" si="3"/>
        <v>-0.2348395911</v>
      </c>
      <c r="V238" s="11">
        <v>0.023813565408029404</v>
      </c>
      <c r="W238" s="7">
        <f t="shared" si="4"/>
        <v>14</v>
      </c>
      <c r="X238" s="7" t="s">
        <v>917</v>
      </c>
      <c r="Y238" s="7"/>
      <c r="Z238" s="7"/>
      <c r="AA238" s="7"/>
    </row>
    <row r="239" ht="19.5" customHeight="1">
      <c r="A239" s="7">
        <v>179.0</v>
      </c>
      <c r="B239" s="7" t="s">
        <v>918</v>
      </c>
      <c r="C239" s="7" t="s">
        <v>170</v>
      </c>
      <c r="D239" s="7" t="s">
        <v>369</v>
      </c>
      <c r="E239" s="7" t="s">
        <v>919</v>
      </c>
      <c r="F239" s="7" t="s">
        <v>37</v>
      </c>
      <c r="G239" s="9" t="s">
        <v>40</v>
      </c>
      <c r="H239" s="7" t="s">
        <v>90</v>
      </c>
      <c r="I239" s="8" t="s">
        <v>39</v>
      </c>
      <c r="J239" s="7">
        <v>70.0</v>
      </c>
      <c r="K239" s="7" t="s">
        <v>48</v>
      </c>
      <c r="L239" s="8" t="s">
        <v>920</v>
      </c>
      <c r="M239" s="10">
        <f t="shared" si="1"/>
        <v>1.516667559</v>
      </c>
      <c r="N239" s="7">
        <v>32.86</v>
      </c>
      <c r="O239" s="7">
        <v>9.01</v>
      </c>
      <c r="P239" s="10">
        <v>0.0</v>
      </c>
      <c r="Q239" s="10">
        <v>0.0</v>
      </c>
      <c r="R239" s="7">
        <v>2.0</v>
      </c>
      <c r="S239" s="7">
        <v>2.0</v>
      </c>
      <c r="T239" s="8">
        <f t="shared" si="2"/>
        <v>0.2741935484</v>
      </c>
      <c r="U239" s="8">
        <f t="shared" si="3"/>
        <v>-1.293921041</v>
      </c>
      <c r="V239" s="11">
        <v>0.0</v>
      </c>
      <c r="W239" s="7">
        <f t="shared" si="4"/>
        <v>4</v>
      </c>
      <c r="X239" s="7" t="s">
        <v>921</v>
      </c>
      <c r="Y239" s="7"/>
      <c r="Z239" s="7"/>
      <c r="AA239" s="7"/>
    </row>
    <row r="240" ht="19.5" customHeight="1">
      <c r="A240" s="7">
        <v>180.0</v>
      </c>
      <c r="B240" s="7" t="s">
        <v>922</v>
      </c>
      <c r="C240" s="8" t="s">
        <v>34</v>
      </c>
      <c r="D240" s="7" t="s">
        <v>923</v>
      </c>
      <c r="E240" s="7" t="s">
        <v>924</v>
      </c>
      <c r="F240" s="7" t="s">
        <v>37</v>
      </c>
      <c r="G240" s="7" t="s">
        <v>37</v>
      </c>
      <c r="H240" s="7" t="s">
        <v>38</v>
      </c>
      <c r="I240" s="7" t="s">
        <v>72</v>
      </c>
      <c r="J240" s="9" t="s">
        <v>40</v>
      </c>
      <c r="K240" s="7" t="s">
        <v>41</v>
      </c>
      <c r="L240" s="8" t="s">
        <v>925</v>
      </c>
      <c r="M240" s="10">
        <f t="shared" si="1"/>
        <v>1.10720997</v>
      </c>
      <c r="N240" s="7">
        <v>12.8</v>
      </c>
      <c r="O240" s="7">
        <v>7.46</v>
      </c>
      <c r="P240" s="10">
        <v>5.08</v>
      </c>
      <c r="Q240" s="10">
        <v>3.17</v>
      </c>
      <c r="R240" s="7">
        <v>70.0</v>
      </c>
      <c r="S240" s="7">
        <v>50.0</v>
      </c>
      <c r="T240" s="8">
        <f t="shared" si="2"/>
        <v>0.5828125</v>
      </c>
      <c r="U240" s="8">
        <f t="shared" si="3"/>
        <v>-0.5398897567</v>
      </c>
      <c r="V240" s="11">
        <v>0.00586150018858558</v>
      </c>
      <c r="W240" s="7">
        <f t="shared" si="4"/>
        <v>120</v>
      </c>
      <c r="X240" s="7" t="s">
        <v>926</v>
      </c>
      <c r="Y240" s="7"/>
      <c r="Z240" s="7"/>
      <c r="AA240" s="7"/>
    </row>
    <row r="241" ht="19.5" customHeight="1">
      <c r="A241" s="7">
        <v>181.0</v>
      </c>
      <c r="B241" s="8" t="s">
        <v>927</v>
      </c>
      <c r="C241" s="8" t="s">
        <v>52</v>
      </c>
      <c r="D241" s="8" t="s">
        <v>64</v>
      </c>
      <c r="E241" s="8" t="s">
        <v>928</v>
      </c>
      <c r="F241" s="8" t="s">
        <v>47</v>
      </c>
      <c r="G241" s="13" t="s">
        <v>40</v>
      </c>
      <c r="H241" s="7" t="s">
        <v>38</v>
      </c>
      <c r="I241" s="7" t="s">
        <v>72</v>
      </c>
      <c r="J241" s="9" t="s">
        <v>40</v>
      </c>
      <c r="K241" s="8" t="s">
        <v>105</v>
      </c>
      <c r="L241" s="8" t="s">
        <v>929</v>
      </c>
      <c r="M241" s="10">
        <f t="shared" si="1"/>
        <v>1.115277591</v>
      </c>
      <c r="N241" s="10">
        <v>13.040000000000001</v>
      </c>
      <c r="O241" s="10">
        <v>11.690000000000001</v>
      </c>
      <c r="P241" s="10">
        <v>2.1287367145797997</v>
      </c>
      <c r="Q241" s="10">
        <v>2.605716791978745</v>
      </c>
      <c r="R241" s="7">
        <v>20.0</v>
      </c>
      <c r="S241" s="7">
        <v>40.0</v>
      </c>
      <c r="T241" s="14">
        <f t="shared" si="2"/>
        <v>0.8964723926</v>
      </c>
      <c r="U241" s="14">
        <f t="shared" si="3"/>
        <v>-0.109287781</v>
      </c>
      <c r="V241" s="11">
        <v>0.002574599241575668</v>
      </c>
      <c r="W241" s="7">
        <f t="shared" si="4"/>
        <v>60</v>
      </c>
      <c r="X241" s="7" t="s">
        <v>930</v>
      </c>
      <c r="Y241" s="7"/>
      <c r="Z241" s="7"/>
      <c r="AA241" s="7"/>
    </row>
    <row r="242" ht="19.5" customHeight="1">
      <c r="A242" s="7">
        <v>181.0</v>
      </c>
      <c r="B242" s="8" t="s">
        <v>927</v>
      </c>
      <c r="C242" s="8" t="s">
        <v>52</v>
      </c>
      <c r="D242" s="8" t="s">
        <v>64</v>
      </c>
      <c r="E242" s="8" t="s">
        <v>931</v>
      </c>
      <c r="F242" s="8" t="s">
        <v>37</v>
      </c>
      <c r="G242" s="13" t="s">
        <v>40</v>
      </c>
      <c r="H242" s="7" t="s">
        <v>38</v>
      </c>
      <c r="I242" s="7" t="s">
        <v>72</v>
      </c>
      <c r="J242" s="9" t="s">
        <v>40</v>
      </c>
      <c r="K242" s="8" t="s">
        <v>105</v>
      </c>
      <c r="L242" s="8" t="s">
        <v>929</v>
      </c>
      <c r="M242" s="10">
        <f t="shared" si="1"/>
        <v>0.9731278536</v>
      </c>
      <c r="N242" s="7">
        <v>9.4</v>
      </c>
      <c r="O242" s="7">
        <v>10.98</v>
      </c>
      <c r="P242" s="10">
        <v>1.6546903033498443</v>
      </c>
      <c r="Q242" s="10">
        <v>2.593067681338071</v>
      </c>
      <c r="R242" s="7">
        <v>20.0</v>
      </c>
      <c r="S242" s="7">
        <v>40.0</v>
      </c>
      <c r="T242" s="14">
        <f t="shared" si="2"/>
        <v>1.168085106</v>
      </c>
      <c r="U242" s="14">
        <f t="shared" si="3"/>
        <v>0.1553657468</v>
      </c>
      <c r="V242" s="11">
        <v>0.002943665444679067</v>
      </c>
      <c r="W242" s="7">
        <f t="shared" si="4"/>
        <v>60</v>
      </c>
      <c r="X242" s="8" t="s">
        <v>930</v>
      </c>
      <c r="Y242" s="7"/>
      <c r="Z242" s="7"/>
      <c r="AA242" s="7"/>
    </row>
    <row r="243" ht="19.5" customHeight="1">
      <c r="A243" s="7">
        <v>182.0</v>
      </c>
      <c r="B243" s="8" t="s">
        <v>932</v>
      </c>
      <c r="C243" s="8" t="s">
        <v>82</v>
      </c>
      <c r="D243" s="8" t="s">
        <v>83</v>
      </c>
      <c r="E243" s="8" t="s">
        <v>933</v>
      </c>
      <c r="F243" s="8" t="s">
        <v>47</v>
      </c>
      <c r="G243" s="13" t="s">
        <v>40</v>
      </c>
      <c r="H243" s="8" t="s">
        <v>38</v>
      </c>
      <c r="I243" s="8" t="s">
        <v>72</v>
      </c>
      <c r="J243" s="9" t="s">
        <v>40</v>
      </c>
      <c r="K243" s="8" t="s">
        <v>66</v>
      </c>
      <c r="L243" s="8" t="s">
        <v>158</v>
      </c>
      <c r="M243" s="10">
        <f t="shared" si="1"/>
        <v>1.646697731</v>
      </c>
      <c r="N243" s="7">
        <v>44.33</v>
      </c>
      <c r="O243" s="7">
        <v>44.33</v>
      </c>
      <c r="P243" s="10">
        <v>3.498742631289132</v>
      </c>
      <c r="Q243" s="10">
        <v>5.731805998112636</v>
      </c>
      <c r="R243" s="7">
        <v>3.0</v>
      </c>
      <c r="S243" s="7">
        <v>6.0</v>
      </c>
      <c r="T243" s="14">
        <f t="shared" si="2"/>
        <v>1</v>
      </c>
      <c r="U243" s="14">
        <f t="shared" si="3"/>
        <v>0</v>
      </c>
      <c r="V243" s="11">
        <v>0.004862735846632282</v>
      </c>
      <c r="W243" s="7">
        <f t="shared" si="4"/>
        <v>9</v>
      </c>
      <c r="X243" s="8" t="s">
        <v>934</v>
      </c>
      <c r="Y243" s="12"/>
      <c r="Z243" s="12"/>
      <c r="AA243" s="12"/>
    </row>
    <row r="244" ht="19.5" customHeight="1">
      <c r="A244" s="7">
        <v>183.0</v>
      </c>
      <c r="B244" s="7" t="s">
        <v>935</v>
      </c>
      <c r="C244" s="7" t="s">
        <v>150</v>
      </c>
      <c r="D244" s="7" t="s">
        <v>936</v>
      </c>
      <c r="E244" s="7" t="s">
        <v>937</v>
      </c>
      <c r="F244" s="7" t="s">
        <v>37</v>
      </c>
      <c r="G244" s="13" t="s">
        <v>37</v>
      </c>
      <c r="H244" s="7" t="s">
        <v>38</v>
      </c>
      <c r="I244" s="7" t="s">
        <v>39</v>
      </c>
      <c r="J244" s="9" t="s">
        <v>40</v>
      </c>
      <c r="K244" s="7" t="s">
        <v>55</v>
      </c>
      <c r="L244" s="7" t="s">
        <v>938</v>
      </c>
      <c r="M244" s="10">
        <f t="shared" si="1"/>
        <v>1.035029282</v>
      </c>
      <c r="N244" s="7">
        <v>10.84</v>
      </c>
      <c r="O244" s="7">
        <v>8.54</v>
      </c>
      <c r="P244" s="10">
        <v>3.3093806066996887</v>
      </c>
      <c r="Q244" s="10">
        <v>3.3541019662496847</v>
      </c>
      <c r="R244" s="7">
        <v>20.0</v>
      </c>
      <c r="S244" s="7">
        <v>20.0</v>
      </c>
      <c r="T244" s="8">
        <f t="shared" si="2"/>
        <v>0.7878228782</v>
      </c>
      <c r="U244" s="8">
        <f t="shared" si="3"/>
        <v>-0.2384819882</v>
      </c>
      <c r="V244" s="11">
        <v>0.012372909580668324</v>
      </c>
      <c r="W244" s="7">
        <f t="shared" si="4"/>
        <v>40</v>
      </c>
      <c r="X244" s="7" t="s">
        <v>939</v>
      </c>
      <c r="Y244" s="7"/>
      <c r="Z244" s="7"/>
      <c r="AA244" s="7"/>
    </row>
    <row r="245" ht="19.5" customHeight="1">
      <c r="A245" s="7">
        <v>184.0</v>
      </c>
      <c r="B245" s="8" t="s">
        <v>940</v>
      </c>
      <c r="C245" s="8" t="s">
        <v>82</v>
      </c>
      <c r="D245" s="8" t="s">
        <v>118</v>
      </c>
      <c r="E245" s="8" t="s">
        <v>941</v>
      </c>
      <c r="F245" s="8" t="s">
        <v>47</v>
      </c>
      <c r="G245" s="13" t="s">
        <v>40</v>
      </c>
      <c r="H245" s="8" t="s">
        <v>90</v>
      </c>
      <c r="I245" s="8" t="s">
        <v>39</v>
      </c>
      <c r="J245" s="7">
        <v>913.0</v>
      </c>
      <c r="K245" s="8" t="s">
        <v>55</v>
      </c>
      <c r="L245" s="8" t="s">
        <v>942</v>
      </c>
      <c r="M245" s="10">
        <f t="shared" si="1"/>
        <v>1.397940009</v>
      </c>
      <c r="N245" s="7">
        <v>25.0</v>
      </c>
      <c r="O245" s="7">
        <v>11.67</v>
      </c>
      <c r="P245" s="10">
        <v>3.67</v>
      </c>
      <c r="Q245" s="10">
        <v>2.51</v>
      </c>
      <c r="R245" s="7">
        <v>8.0</v>
      </c>
      <c r="S245" s="7">
        <v>8.0</v>
      </c>
      <c r="T245" s="14">
        <f t="shared" si="2"/>
        <v>0.4668</v>
      </c>
      <c r="U245" s="14">
        <f t="shared" si="3"/>
        <v>-0.7618543786</v>
      </c>
      <c r="V245" s="11">
        <v>0.008476281363914385</v>
      </c>
      <c r="W245" s="7">
        <f t="shared" si="4"/>
        <v>16</v>
      </c>
      <c r="X245" s="8" t="s">
        <v>943</v>
      </c>
      <c r="Y245" s="12"/>
      <c r="Z245" s="12"/>
      <c r="AA245" s="12"/>
    </row>
    <row r="246" ht="19.5" customHeight="1">
      <c r="A246" s="7">
        <v>185.0</v>
      </c>
      <c r="B246" s="8" t="s">
        <v>944</v>
      </c>
      <c r="C246" s="8" t="s">
        <v>82</v>
      </c>
      <c r="D246" s="8" t="s">
        <v>176</v>
      </c>
      <c r="E246" s="8" t="s">
        <v>945</v>
      </c>
      <c r="F246" s="8" t="s">
        <v>47</v>
      </c>
      <c r="G246" s="13" t="s">
        <v>40</v>
      </c>
      <c r="H246" s="8" t="s">
        <v>90</v>
      </c>
      <c r="I246" s="8" t="s">
        <v>72</v>
      </c>
      <c r="J246" s="7">
        <v>850.0</v>
      </c>
      <c r="K246" s="8" t="s">
        <v>55</v>
      </c>
      <c r="L246" s="8" t="s">
        <v>942</v>
      </c>
      <c r="M246" s="10">
        <f t="shared" si="1"/>
        <v>1.041392685</v>
      </c>
      <c r="N246" s="7">
        <v>11.0</v>
      </c>
      <c r="O246" s="7">
        <v>7.5</v>
      </c>
      <c r="P246" s="10">
        <v>3.4</v>
      </c>
      <c r="Q246" s="10">
        <v>3.9</v>
      </c>
      <c r="R246" s="7">
        <v>8.0</v>
      </c>
      <c r="S246" s="7">
        <v>8.0</v>
      </c>
      <c r="T246" s="14">
        <f t="shared" si="2"/>
        <v>0.6818181818</v>
      </c>
      <c r="U246" s="14">
        <f t="shared" si="3"/>
        <v>-0.3829922523</v>
      </c>
      <c r="V246" s="11">
        <v>0.04574214876033057</v>
      </c>
      <c r="W246" s="7">
        <f t="shared" si="4"/>
        <v>16</v>
      </c>
      <c r="X246" s="7" t="s">
        <v>946</v>
      </c>
      <c r="Y246" s="12"/>
      <c r="Z246" s="12"/>
      <c r="AA246" s="12"/>
    </row>
    <row r="247" ht="19.5" customHeight="1">
      <c r="A247" s="7">
        <v>186.0</v>
      </c>
      <c r="B247" s="8" t="s">
        <v>947</v>
      </c>
      <c r="C247" s="8" t="s">
        <v>82</v>
      </c>
      <c r="D247" s="8" t="s">
        <v>118</v>
      </c>
      <c r="E247" s="8" t="s">
        <v>948</v>
      </c>
      <c r="F247" s="8" t="s">
        <v>47</v>
      </c>
      <c r="G247" s="13" t="s">
        <v>40</v>
      </c>
      <c r="H247" s="8" t="s">
        <v>90</v>
      </c>
      <c r="I247" s="8" t="s">
        <v>39</v>
      </c>
      <c r="J247" s="7">
        <f>12*7</f>
        <v>84</v>
      </c>
      <c r="K247" s="8" t="s">
        <v>178</v>
      </c>
      <c r="L247" s="8" t="s">
        <v>949</v>
      </c>
      <c r="M247" s="10">
        <f t="shared" si="1"/>
        <v>1.174641193</v>
      </c>
      <c r="N247" s="7">
        <v>14.95</v>
      </c>
      <c r="O247" s="7">
        <v>15.09</v>
      </c>
      <c r="P247" s="10">
        <v>1.86</v>
      </c>
      <c r="Q247" s="10">
        <v>3.8</v>
      </c>
      <c r="R247" s="7">
        <v>4.0</v>
      </c>
      <c r="S247" s="7">
        <v>4.0</v>
      </c>
      <c r="T247" s="14">
        <f t="shared" si="2"/>
        <v>1.009364548</v>
      </c>
      <c r="U247" s="14">
        <f t="shared" si="3"/>
        <v>0.009320972943</v>
      </c>
      <c r="V247" s="11">
        <v>0.019723385523799597</v>
      </c>
      <c r="W247" s="7">
        <f t="shared" si="4"/>
        <v>8</v>
      </c>
      <c r="X247" s="8" t="s">
        <v>950</v>
      </c>
      <c r="Y247" s="12"/>
      <c r="Z247" s="12"/>
      <c r="AA247" s="12"/>
    </row>
    <row r="248" ht="19.5" customHeight="1">
      <c r="A248" s="7">
        <v>187.0</v>
      </c>
      <c r="B248" s="7" t="s">
        <v>951</v>
      </c>
      <c r="C248" s="8" t="s">
        <v>34</v>
      </c>
      <c r="D248" s="7" t="s">
        <v>952</v>
      </c>
      <c r="E248" s="7" t="s">
        <v>953</v>
      </c>
      <c r="F248" s="7" t="s">
        <v>47</v>
      </c>
      <c r="G248" s="7" t="s">
        <v>47</v>
      </c>
      <c r="H248" s="7" t="s">
        <v>38</v>
      </c>
      <c r="I248" s="7" t="s">
        <v>72</v>
      </c>
      <c r="J248" s="9" t="s">
        <v>40</v>
      </c>
      <c r="K248" s="7" t="s">
        <v>48</v>
      </c>
      <c r="L248" s="8" t="s">
        <v>954</v>
      </c>
      <c r="M248" s="10">
        <f t="shared" si="1"/>
        <v>0.4771212547</v>
      </c>
      <c r="N248" s="7">
        <v>3.0</v>
      </c>
      <c r="O248" s="7">
        <v>8.0</v>
      </c>
      <c r="P248" s="10">
        <v>5.1</v>
      </c>
      <c r="Q248" s="10">
        <v>7.800000000000001</v>
      </c>
      <c r="R248" s="7">
        <v>9.0</v>
      </c>
      <c r="S248" s="7">
        <v>9.0</v>
      </c>
      <c r="T248" s="8">
        <f t="shared" si="2"/>
        <v>2.666666667</v>
      </c>
      <c r="U248" s="8">
        <f t="shared" si="3"/>
        <v>0.980829253</v>
      </c>
      <c r="V248" s="11">
        <v>0.4267361111111111</v>
      </c>
      <c r="W248" s="7">
        <f t="shared" si="4"/>
        <v>18</v>
      </c>
      <c r="X248" s="7" t="s">
        <v>955</v>
      </c>
      <c r="Y248" s="7"/>
      <c r="Z248" s="7"/>
      <c r="AA248" s="7"/>
    </row>
    <row r="249" ht="19.5" customHeight="1">
      <c r="A249" s="7">
        <v>188.0</v>
      </c>
      <c r="B249" s="7" t="s">
        <v>956</v>
      </c>
      <c r="C249" s="8" t="s">
        <v>34</v>
      </c>
      <c r="D249" s="7" t="s">
        <v>957</v>
      </c>
      <c r="E249" s="7" t="s">
        <v>958</v>
      </c>
      <c r="F249" s="7" t="s">
        <v>47</v>
      </c>
      <c r="G249" s="7" t="s">
        <v>37</v>
      </c>
      <c r="H249" s="7" t="s">
        <v>38</v>
      </c>
      <c r="I249" s="7" t="s">
        <v>72</v>
      </c>
      <c r="J249" s="9" t="s">
        <v>40</v>
      </c>
      <c r="K249" s="7" t="s">
        <v>73</v>
      </c>
      <c r="L249" s="8" t="s">
        <v>959</v>
      </c>
      <c r="M249" s="10">
        <f t="shared" si="1"/>
        <v>1.269512944</v>
      </c>
      <c r="N249" s="7">
        <v>18.6</v>
      </c>
      <c r="O249" s="7">
        <v>23.0</v>
      </c>
      <c r="P249" s="10">
        <v>8.291561975888499</v>
      </c>
      <c r="Q249" s="10">
        <v>10.509519494249012</v>
      </c>
      <c r="R249" s="7">
        <v>11.0</v>
      </c>
      <c r="S249" s="7">
        <v>5.0</v>
      </c>
      <c r="T249" s="8">
        <f t="shared" si="2"/>
        <v>1.23655914</v>
      </c>
      <c r="U249" s="8">
        <f t="shared" si="3"/>
        <v>0.2123326352</v>
      </c>
      <c r="V249" s="11">
        <v>0.059823706358526546</v>
      </c>
      <c r="W249" s="7">
        <f t="shared" si="4"/>
        <v>16</v>
      </c>
      <c r="X249" s="7" t="s">
        <v>960</v>
      </c>
      <c r="Y249" s="7"/>
      <c r="Z249" s="7"/>
      <c r="AA249" s="7"/>
    </row>
    <row r="250" ht="19.5" customHeight="1">
      <c r="A250" s="7">
        <v>189.0</v>
      </c>
      <c r="B250" s="8" t="s">
        <v>961</v>
      </c>
      <c r="C250" s="8" t="s">
        <v>52</v>
      </c>
      <c r="D250" s="8" t="s">
        <v>64</v>
      </c>
      <c r="E250" s="8" t="s">
        <v>962</v>
      </c>
      <c r="F250" s="7" t="s">
        <v>47</v>
      </c>
      <c r="G250" s="13" t="s">
        <v>40</v>
      </c>
      <c r="H250" s="8" t="s">
        <v>38</v>
      </c>
      <c r="I250" s="7" t="s">
        <v>39</v>
      </c>
      <c r="J250" s="9" t="s">
        <v>40</v>
      </c>
      <c r="K250" s="8" t="s">
        <v>66</v>
      </c>
      <c r="L250" s="8" t="s">
        <v>963</v>
      </c>
      <c r="M250" s="10">
        <f t="shared" si="1"/>
        <v>2.096910013</v>
      </c>
      <c r="N250" s="7">
        <v>125.0</v>
      </c>
      <c r="O250" s="7">
        <v>71.33</v>
      </c>
      <c r="P250" s="10">
        <v>31.423825355930173</v>
      </c>
      <c r="Q250" s="10">
        <v>5.444722215136417</v>
      </c>
      <c r="R250" s="7">
        <v>2.0</v>
      </c>
      <c r="S250" s="7">
        <v>2.0</v>
      </c>
      <c r="T250" s="14">
        <f t="shared" si="2"/>
        <v>0.57064</v>
      </c>
      <c r="U250" s="14">
        <f t="shared" si="3"/>
        <v>-0.560996741</v>
      </c>
      <c r="V250" s="11">
        <v>0.03451186260823895</v>
      </c>
      <c r="W250" s="7">
        <f t="shared" si="4"/>
        <v>4</v>
      </c>
      <c r="X250" s="8" t="s">
        <v>964</v>
      </c>
      <c r="Y250" s="7"/>
      <c r="Z250" s="7"/>
      <c r="AA250" s="7"/>
    </row>
    <row r="251" ht="19.5" customHeight="1">
      <c r="A251" s="7">
        <v>190.0</v>
      </c>
      <c r="B251" s="8" t="s">
        <v>965</v>
      </c>
      <c r="C251" s="8" t="s">
        <v>34</v>
      </c>
      <c r="D251" s="8" t="s">
        <v>966</v>
      </c>
      <c r="E251" s="8" t="s">
        <v>967</v>
      </c>
      <c r="F251" s="8" t="s">
        <v>47</v>
      </c>
      <c r="G251" s="8" t="s">
        <v>37</v>
      </c>
      <c r="H251" s="8" t="s">
        <v>90</v>
      </c>
      <c r="I251" s="8" t="s">
        <v>39</v>
      </c>
      <c r="J251" s="7">
        <v>21.0</v>
      </c>
      <c r="K251" s="8" t="s">
        <v>178</v>
      </c>
      <c r="L251" s="8" t="s">
        <v>968</v>
      </c>
      <c r="M251" s="10">
        <f t="shared" si="1"/>
        <v>0.727541257</v>
      </c>
      <c r="N251" s="7">
        <v>5.34</v>
      </c>
      <c r="O251" s="7">
        <v>4.36</v>
      </c>
      <c r="P251" s="10">
        <v>0.98</v>
      </c>
      <c r="Q251" s="10">
        <v>1.7</v>
      </c>
      <c r="R251" s="7">
        <v>3.0</v>
      </c>
      <c r="S251" s="7">
        <v>3.0</v>
      </c>
      <c r="T251" s="8">
        <f t="shared" si="2"/>
        <v>0.8164794007</v>
      </c>
      <c r="U251" s="8">
        <f t="shared" si="3"/>
        <v>-0.2027535956</v>
      </c>
      <c r="V251" s="11">
        <v>0.061902753044398386</v>
      </c>
      <c r="W251" s="7">
        <f t="shared" si="4"/>
        <v>6</v>
      </c>
      <c r="X251" s="8" t="s">
        <v>969</v>
      </c>
      <c r="Y251" s="7"/>
      <c r="Z251" s="7"/>
      <c r="AA251" s="7"/>
    </row>
    <row r="252" ht="19.5" customHeight="1">
      <c r="A252" s="7">
        <v>191.0</v>
      </c>
      <c r="B252" s="7" t="s">
        <v>970</v>
      </c>
      <c r="C252" s="7" t="s">
        <v>187</v>
      </c>
      <c r="D252" s="7" t="s">
        <v>64</v>
      </c>
      <c r="E252" s="7" t="s">
        <v>971</v>
      </c>
      <c r="F252" s="9" t="s">
        <v>40</v>
      </c>
      <c r="G252" s="9" t="s">
        <v>40</v>
      </c>
      <c r="H252" s="7" t="s">
        <v>38</v>
      </c>
      <c r="I252" s="7" t="s">
        <v>39</v>
      </c>
      <c r="J252" s="9" t="s">
        <v>40</v>
      </c>
      <c r="K252" s="7" t="s">
        <v>66</v>
      </c>
      <c r="L252" s="7" t="s">
        <v>972</v>
      </c>
      <c r="M252" s="10">
        <f t="shared" si="1"/>
        <v>2.552473531</v>
      </c>
      <c r="N252" s="7">
        <v>356.84</v>
      </c>
      <c r="O252" s="7">
        <v>399.47</v>
      </c>
      <c r="P252" s="10">
        <v>50.89682504832693</v>
      </c>
      <c r="Q252" s="10">
        <v>46.30117493109651</v>
      </c>
      <c r="R252" s="7">
        <v>33.0</v>
      </c>
      <c r="S252" s="7">
        <v>33.0</v>
      </c>
      <c r="T252" s="8">
        <f t="shared" si="2"/>
        <v>1.119465307</v>
      </c>
      <c r="U252" s="8">
        <f t="shared" si="3"/>
        <v>0.1128511665</v>
      </c>
      <c r="V252" s="11">
        <v>0.0010235825759924281</v>
      </c>
      <c r="W252" s="7">
        <f t="shared" si="4"/>
        <v>66</v>
      </c>
      <c r="X252" s="7" t="s">
        <v>973</v>
      </c>
      <c r="Y252" s="7"/>
      <c r="Z252" s="7"/>
      <c r="AA252" s="7"/>
    </row>
    <row r="253" ht="19.5" customHeight="1">
      <c r="A253" s="7">
        <v>192.0</v>
      </c>
      <c r="B253" s="8" t="s">
        <v>974</v>
      </c>
      <c r="C253" s="8" t="s">
        <v>170</v>
      </c>
      <c r="D253" s="7" t="s">
        <v>369</v>
      </c>
      <c r="E253" s="8" t="s">
        <v>975</v>
      </c>
      <c r="F253" s="8" t="s">
        <v>37</v>
      </c>
      <c r="G253" s="13" t="s">
        <v>40</v>
      </c>
      <c r="H253" s="8" t="s">
        <v>90</v>
      </c>
      <c r="I253" s="8" t="s">
        <v>39</v>
      </c>
      <c r="J253" s="7">
        <v>1825.0</v>
      </c>
      <c r="K253" s="8" t="s">
        <v>55</v>
      </c>
      <c r="L253" s="8" t="s">
        <v>976</v>
      </c>
      <c r="M253" s="10">
        <f t="shared" si="1"/>
        <v>0.776701184</v>
      </c>
      <c r="N253" s="7">
        <v>5.98</v>
      </c>
      <c r="O253" s="7">
        <v>5.58</v>
      </c>
      <c r="P253" s="10">
        <v>2.149604614807105</v>
      </c>
      <c r="Q253" s="10">
        <v>1.3576450198781713</v>
      </c>
      <c r="R253" s="7">
        <v>8.0</v>
      </c>
      <c r="S253" s="7">
        <v>8.0</v>
      </c>
      <c r="T253" s="8">
        <f t="shared" si="2"/>
        <v>0.9331103679</v>
      </c>
      <c r="U253" s="8">
        <f t="shared" si="3"/>
        <v>-0.06923179157</v>
      </c>
      <c r="V253" s="11">
        <v>0.023551643996333103</v>
      </c>
      <c r="W253" s="7">
        <f t="shared" si="4"/>
        <v>16</v>
      </c>
      <c r="X253" s="8" t="s">
        <v>977</v>
      </c>
      <c r="Y253" s="7"/>
      <c r="Z253" s="7"/>
      <c r="AA253" s="7"/>
    </row>
    <row r="254" ht="19.5" customHeight="1">
      <c r="A254" s="7">
        <v>193.0</v>
      </c>
      <c r="B254" s="7" t="s">
        <v>978</v>
      </c>
      <c r="C254" s="7" t="s">
        <v>150</v>
      </c>
      <c r="D254" s="7" t="s">
        <v>979</v>
      </c>
      <c r="E254" s="7" t="s">
        <v>980</v>
      </c>
      <c r="F254" s="7" t="s">
        <v>37</v>
      </c>
      <c r="G254" s="7" t="s">
        <v>37</v>
      </c>
      <c r="H254" s="7" t="s">
        <v>38</v>
      </c>
      <c r="I254" s="7" t="s">
        <v>72</v>
      </c>
      <c r="J254" s="9" t="s">
        <v>40</v>
      </c>
      <c r="K254" s="7" t="s">
        <v>105</v>
      </c>
      <c r="L254" s="8" t="s">
        <v>981</v>
      </c>
      <c r="M254" s="10">
        <f t="shared" si="1"/>
        <v>0.9717395909</v>
      </c>
      <c r="N254" s="7">
        <v>9.37</v>
      </c>
      <c r="O254" s="7">
        <v>4.85</v>
      </c>
      <c r="P254" s="10">
        <v>2.8059223082615814</v>
      </c>
      <c r="Q254" s="10">
        <v>1.212435565298214</v>
      </c>
      <c r="R254" s="7">
        <v>12.0</v>
      </c>
      <c r="S254" s="7">
        <v>12.0</v>
      </c>
      <c r="T254" s="8">
        <f t="shared" si="2"/>
        <v>0.5176093917</v>
      </c>
      <c r="U254" s="8">
        <f t="shared" si="3"/>
        <v>-0.6585343913</v>
      </c>
      <c r="V254" s="11">
        <v>0.012680708783944008</v>
      </c>
      <c r="W254" s="7">
        <f t="shared" si="4"/>
        <v>24</v>
      </c>
      <c r="X254" s="7" t="s">
        <v>982</v>
      </c>
      <c r="Y254" s="7"/>
      <c r="Z254" s="7"/>
      <c r="AA254" s="7"/>
    </row>
    <row r="255" ht="19.5" customHeight="1">
      <c r="A255" s="7">
        <v>194.0</v>
      </c>
      <c r="B255" s="7" t="s">
        <v>983</v>
      </c>
      <c r="C255" s="7" t="s">
        <v>187</v>
      </c>
      <c r="D255" s="7" t="s">
        <v>64</v>
      </c>
      <c r="E255" s="7" t="s">
        <v>984</v>
      </c>
      <c r="F255" s="7" t="s">
        <v>47</v>
      </c>
      <c r="G255" s="9" t="s">
        <v>40</v>
      </c>
      <c r="H255" s="7" t="s">
        <v>38</v>
      </c>
      <c r="I255" s="7" t="s">
        <v>72</v>
      </c>
      <c r="J255" s="9" t="s">
        <v>40</v>
      </c>
      <c r="K255" s="7" t="s">
        <v>301</v>
      </c>
      <c r="L255" s="7" t="s">
        <v>985</v>
      </c>
      <c r="M255" s="10">
        <f t="shared" si="1"/>
        <v>1.113943352</v>
      </c>
      <c r="N255" s="7">
        <v>13.0</v>
      </c>
      <c r="O255" s="7">
        <v>3.5</v>
      </c>
      <c r="P255" s="10">
        <v>14.758048651498612</v>
      </c>
      <c r="Q255" s="10">
        <v>2.7</v>
      </c>
      <c r="R255" s="7">
        <v>5.0</v>
      </c>
      <c r="S255" s="7">
        <v>4.0</v>
      </c>
      <c r="T255" s="8">
        <f t="shared" si="2"/>
        <v>0.2692307692</v>
      </c>
      <c r="U255" s="8">
        <f t="shared" si="3"/>
        <v>-1.312186389</v>
      </c>
      <c r="V255" s="11">
        <v>0.4065269894940225</v>
      </c>
      <c r="W255" s="7">
        <f t="shared" si="4"/>
        <v>9</v>
      </c>
      <c r="X255" s="7" t="s">
        <v>986</v>
      </c>
      <c r="Y255" s="7"/>
      <c r="Z255" s="7"/>
      <c r="AA255" s="7"/>
    </row>
    <row r="256" ht="19.5" customHeight="1">
      <c r="A256" s="7">
        <v>195.0</v>
      </c>
      <c r="B256" s="7" t="s">
        <v>987</v>
      </c>
      <c r="C256" s="7" t="s">
        <v>368</v>
      </c>
      <c r="D256" s="7" t="s">
        <v>369</v>
      </c>
      <c r="E256" s="7" t="s">
        <v>988</v>
      </c>
      <c r="F256" s="7" t="s">
        <v>47</v>
      </c>
      <c r="G256" s="9" t="s">
        <v>40</v>
      </c>
      <c r="H256" s="7" t="s">
        <v>90</v>
      </c>
      <c r="I256" s="7" t="s">
        <v>72</v>
      </c>
      <c r="J256" s="7">
        <v>60.0</v>
      </c>
      <c r="K256" s="7" t="s">
        <v>41</v>
      </c>
      <c r="L256" s="8" t="s">
        <v>989</v>
      </c>
      <c r="M256" s="10">
        <f t="shared" si="1"/>
        <v>0.4771212547</v>
      </c>
      <c r="N256" s="7">
        <v>3.0</v>
      </c>
      <c r="O256" s="7">
        <v>13.0</v>
      </c>
      <c r="P256" s="10">
        <v>0.58</v>
      </c>
      <c r="Q256" s="10">
        <v>5.03</v>
      </c>
      <c r="R256" s="7">
        <v>6.0</v>
      </c>
      <c r="S256" s="7">
        <v>6.0</v>
      </c>
      <c r="T256" s="8">
        <f t="shared" si="2"/>
        <v>4.333333333</v>
      </c>
      <c r="U256" s="8">
        <f t="shared" si="3"/>
        <v>1.466337069</v>
      </c>
      <c r="V256" s="11">
        <v>0.03118120753889985</v>
      </c>
      <c r="W256" s="7">
        <f t="shared" si="4"/>
        <v>12</v>
      </c>
      <c r="X256" s="7" t="s">
        <v>990</v>
      </c>
      <c r="Y256" s="7"/>
      <c r="Z256" s="7"/>
      <c r="AA256" s="7"/>
    </row>
    <row r="257" ht="19.5" customHeight="1">
      <c r="A257" s="7">
        <v>196.0</v>
      </c>
      <c r="B257" s="7" t="s">
        <v>991</v>
      </c>
      <c r="C257" s="7" t="s">
        <v>170</v>
      </c>
      <c r="D257" s="7" t="s">
        <v>369</v>
      </c>
      <c r="E257" s="7" t="s">
        <v>992</v>
      </c>
      <c r="F257" s="7" t="s">
        <v>37</v>
      </c>
      <c r="G257" s="9" t="s">
        <v>40</v>
      </c>
      <c r="H257" s="7" t="s">
        <v>90</v>
      </c>
      <c r="I257" s="7" t="s">
        <v>39</v>
      </c>
      <c r="J257" s="7">
        <f>4*30</f>
        <v>120</v>
      </c>
      <c r="K257" s="7" t="s">
        <v>55</v>
      </c>
      <c r="L257" s="8" t="s">
        <v>993</v>
      </c>
      <c r="M257" s="10">
        <f t="shared" si="1"/>
        <v>1.229169703</v>
      </c>
      <c r="N257" s="7">
        <v>16.95</v>
      </c>
      <c r="O257" s="7">
        <v>11.38</v>
      </c>
      <c r="P257" s="10">
        <v>2.414953415699773</v>
      </c>
      <c r="Q257" s="10">
        <v>2.3031500168247834</v>
      </c>
      <c r="R257" s="7">
        <v>5.0</v>
      </c>
      <c r="S257" s="7">
        <v>5.0</v>
      </c>
      <c r="T257" s="8">
        <f t="shared" si="2"/>
        <v>0.6713864307</v>
      </c>
      <c r="U257" s="8">
        <f t="shared" si="3"/>
        <v>-0.3984104051</v>
      </c>
      <c r="V257" s="11">
        <v>0.012251832060675566</v>
      </c>
      <c r="W257" s="7">
        <f t="shared" si="4"/>
        <v>10</v>
      </c>
      <c r="X257" s="7" t="s">
        <v>994</v>
      </c>
      <c r="Y257" s="7"/>
      <c r="Z257" s="7"/>
      <c r="AA257" s="7"/>
    </row>
    <row r="258" ht="19.5" customHeight="1">
      <c r="A258" s="7">
        <v>197.0</v>
      </c>
      <c r="B258" s="7" t="s">
        <v>995</v>
      </c>
      <c r="C258" s="8" t="s">
        <v>52</v>
      </c>
      <c r="D258" s="7" t="s">
        <v>64</v>
      </c>
      <c r="E258" s="7" t="s">
        <v>996</v>
      </c>
      <c r="F258" s="7" t="s">
        <v>47</v>
      </c>
      <c r="G258" s="9" t="s">
        <v>40</v>
      </c>
      <c r="H258" s="8" t="s">
        <v>38</v>
      </c>
      <c r="I258" s="7" t="s">
        <v>72</v>
      </c>
      <c r="J258" s="9" t="s">
        <v>40</v>
      </c>
      <c r="K258" s="7" t="s">
        <v>66</v>
      </c>
      <c r="L258" s="8" t="s">
        <v>997</v>
      </c>
      <c r="M258" s="10">
        <f t="shared" si="1"/>
        <v>1.568201724</v>
      </c>
      <c r="N258" s="7">
        <v>37.0</v>
      </c>
      <c r="O258" s="7">
        <v>13.5</v>
      </c>
      <c r="P258" s="10">
        <v>15.556349186104047</v>
      </c>
      <c r="Q258" s="10">
        <v>2.121320343559643</v>
      </c>
      <c r="R258" s="7">
        <v>2.0</v>
      </c>
      <c r="S258" s="7">
        <v>2.0</v>
      </c>
      <c r="T258" s="8">
        <f t="shared" si="2"/>
        <v>0.3648648649</v>
      </c>
      <c r="U258" s="8">
        <f t="shared" si="3"/>
        <v>-1.008228227</v>
      </c>
      <c r="V258" s="11">
        <v>0.10073136199262327</v>
      </c>
      <c r="W258" s="7">
        <f t="shared" si="4"/>
        <v>4</v>
      </c>
      <c r="X258" s="7" t="s">
        <v>998</v>
      </c>
      <c r="Y258" s="7"/>
      <c r="Z258" s="7"/>
      <c r="AA258" s="7"/>
    </row>
    <row r="259" ht="19.5" customHeight="1">
      <c r="A259" s="7">
        <v>197.0</v>
      </c>
      <c r="B259" s="8" t="s">
        <v>995</v>
      </c>
      <c r="C259" s="8" t="s">
        <v>82</v>
      </c>
      <c r="D259" s="8" t="s">
        <v>83</v>
      </c>
      <c r="E259" s="8" t="s">
        <v>999</v>
      </c>
      <c r="F259" s="8" t="s">
        <v>47</v>
      </c>
      <c r="G259" s="9" t="s">
        <v>40</v>
      </c>
      <c r="H259" s="8" t="s">
        <v>38</v>
      </c>
      <c r="I259" s="8" t="s">
        <v>72</v>
      </c>
      <c r="J259" s="9" t="s">
        <v>40</v>
      </c>
      <c r="K259" s="8" t="s">
        <v>66</v>
      </c>
      <c r="L259" s="8" t="s">
        <v>997</v>
      </c>
      <c r="M259" s="10">
        <f t="shared" si="1"/>
        <v>1.568201724</v>
      </c>
      <c r="N259" s="7">
        <v>37.0</v>
      </c>
      <c r="O259" s="7">
        <v>25.0</v>
      </c>
      <c r="P259" s="10">
        <v>15.556349186104047</v>
      </c>
      <c r="Q259" s="10">
        <v>7.0710678118654755</v>
      </c>
      <c r="R259" s="7">
        <v>2.0</v>
      </c>
      <c r="S259" s="7">
        <v>2.0</v>
      </c>
      <c r="T259" s="14">
        <f t="shared" si="2"/>
        <v>0.6756756757</v>
      </c>
      <c r="U259" s="14">
        <f t="shared" si="3"/>
        <v>-0.3920420878</v>
      </c>
      <c r="V259" s="11">
        <v>0.12838568298027758</v>
      </c>
      <c r="W259" s="7">
        <f t="shared" si="4"/>
        <v>4</v>
      </c>
      <c r="X259" s="7" t="s">
        <v>998</v>
      </c>
      <c r="Y259" s="12"/>
      <c r="Z259" s="12"/>
      <c r="AA259" s="12"/>
    </row>
    <row r="260" ht="19.5" customHeight="1">
      <c r="A260" s="7">
        <v>198.0</v>
      </c>
      <c r="B260" s="7" t="s">
        <v>1000</v>
      </c>
      <c r="C260" s="8" t="s">
        <v>34</v>
      </c>
      <c r="D260" s="7" t="s">
        <v>1001</v>
      </c>
      <c r="E260" s="7" t="s">
        <v>1002</v>
      </c>
      <c r="F260" s="7" t="s">
        <v>37</v>
      </c>
      <c r="G260" s="7" t="s">
        <v>37</v>
      </c>
      <c r="H260" s="7" t="s">
        <v>38</v>
      </c>
      <c r="I260" s="7" t="s">
        <v>39</v>
      </c>
      <c r="J260" s="9" t="s">
        <v>40</v>
      </c>
      <c r="K260" s="7" t="s">
        <v>178</v>
      </c>
      <c r="L260" s="8" t="s">
        <v>1003</v>
      </c>
      <c r="M260" s="10">
        <f t="shared" si="1"/>
        <v>0.5943925504</v>
      </c>
      <c r="N260" s="7">
        <v>3.93</v>
      </c>
      <c r="O260" s="7">
        <v>3.82</v>
      </c>
      <c r="P260" s="10">
        <v>2.2850601742623757</v>
      </c>
      <c r="Q260" s="10">
        <v>1.626653005407115</v>
      </c>
      <c r="R260" s="7">
        <v>15.0</v>
      </c>
      <c r="S260" s="7">
        <v>15.0</v>
      </c>
      <c r="T260" s="8">
        <f t="shared" si="2"/>
        <v>0.9720101781</v>
      </c>
      <c r="U260" s="8">
        <f t="shared" si="3"/>
        <v>-0.02838900326</v>
      </c>
      <c r="V260" s="11">
        <v>0.03462666854204981</v>
      </c>
      <c r="W260" s="7">
        <f t="shared" si="4"/>
        <v>30</v>
      </c>
      <c r="X260" s="7" t="s">
        <v>1004</v>
      </c>
      <c r="Y260" s="7"/>
      <c r="Z260" s="7"/>
      <c r="AA260" s="7"/>
    </row>
    <row r="261" ht="19.5" customHeight="1">
      <c r="A261" s="7">
        <v>199.0</v>
      </c>
      <c r="B261" s="7" t="s">
        <v>1005</v>
      </c>
      <c r="C261" s="7" t="s">
        <v>368</v>
      </c>
      <c r="D261" s="7" t="s">
        <v>369</v>
      </c>
      <c r="E261" s="7" t="s">
        <v>1006</v>
      </c>
      <c r="F261" s="7" t="s">
        <v>37</v>
      </c>
      <c r="G261" s="9" t="s">
        <v>40</v>
      </c>
      <c r="H261" s="7" t="s">
        <v>90</v>
      </c>
      <c r="I261" s="7" t="s">
        <v>39</v>
      </c>
      <c r="J261" s="7">
        <f>3*365</f>
        <v>1095</v>
      </c>
      <c r="K261" s="7" t="s">
        <v>213</v>
      </c>
      <c r="L261" s="7" t="s">
        <v>1007</v>
      </c>
      <c r="M261" s="10">
        <f t="shared" si="1"/>
        <v>0.1702617154</v>
      </c>
      <c r="N261" s="7">
        <v>1.48</v>
      </c>
      <c r="O261" s="7">
        <v>1.29</v>
      </c>
      <c r="P261" s="10">
        <v>0.8538149682454625</v>
      </c>
      <c r="Q261" s="10">
        <v>0.7589466384404111</v>
      </c>
      <c r="R261" s="7">
        <v>10.0</v>
      </c>
      <c r="S261" s="7">
        <v>10.0</v>
      </c>
      <c r="T261" s="8">
        <f t="shared" si="2"/>
        <v>0.8716216216</v>
      </c>
      <c r="U261" s="8">
        <f t="shared" si="3"/>
        <v>-0.1373998694</v>
      </c>
      <c r="V261" s="11">
        <v>0.06789489689212697</v>
      </c>
      <c r="W261" s="7">
        <f t="shared" si="4"/>
        <v>20</v>
      </c>
      <c r="X261" s="7" t="s">
        <v>1008</v>
      </c>
      <c r="Y261" s="7"/>
      <c r="Z261" s="7"/>
      <c r="AA261" s="7"/>
    </row>
    <row r="262" ht="19.5" customHeight="1">
      <c r="A262" s="7">
        <v>200.0</v>
      </c>
      <c r="B262" s="8" t="s">
        <v>1009</v>
      </c>
      <c r="C262" s="8" t="s">
        <v>82</v>
      </c>
      <c r="D262" s="8" t="s">
        <v>83</v>
      </c>
      <c r="E262" s="8" t="s">
        <v>264</v>
      </c>
      <c r="F262" s="8" t="s">
        <v>47</v>
      </c>
      <c r="G262" s="9" t="s">
        <v>40</v>
      </c>
      <c r="H262" s="8" t="s">
        <v>38</v>
      </c>
      <c r="I262" s="8" t="s">
        <v>72</v>
      </c>
      <c r="J262" s="9" t="s">
        <v>40</v>
      </c>
      <c r="K262" s="8" t="s">
        <v>66</v>
      </c>
      <c r="L262" s="8" t="s">
        <v>1010</v>
      </c>
      <c r="M262" s="10">
        <f t="shared" si="1"/>
        <v>0.8555191557</v>
      </c>
      <c r="N262" s="7">
        <v>7.17</v>
      </c>
      <c r="O262" s="7">
        <v>3.5</v>
      </c>
      <c r="P262" s="10">
        <v>0.75</v>
      </c>
      <c r="Q262" s="10">
        <v>0.84</v>
      </c>
      <c r="R262" s="7">
        <v>6.0</v>
      </c>
      <c r="S262" s="7">
        <v>6.0</v>
      </c>
      <c r="T262" s="14">
        <f t="shared" si="2"/>
        <v>0.4881450488</v>
      </c>
      <c r="U262" s="14">
        <f t="shared" si="3"/>
        <v>-0.7171426861</v>
      </c>
      <c r="V262" s="11">
        <v>0.01142361419909782</v>
      </c>
      <c r="W262" s="7">
        <f t="shared" si="4"/>
        <v>12</v>
      </c>
      <c r="X262" s="8" t="s">
        <v>1011</v>
      </c>
      <c r="Y262" s="12"/>
      <c r="Z262" s="12"/>
      <c r="AA262" s="12"/>
    </row>
    <row r="263" ht="19.5" customHeight="1">
      <c r="A263" s="7">
        <v>200.0</v>
      </c>
      <c r="B263" s="8" t="s">
        <v>1009</v>
      </c>
      <c r="C263" s="8" t="s">
        <v>82</v>
      </c>
      <c r="D263" s="8" t="s">
        <v>83</v>
      </c>
      <c r="E263" s="8" t="s">
        <v>1012</v>
      </c>
      <c r="F263" s="8" t="s">
        <v>78</v>
      </c>
      <c r="G263" s="9" t="s">
        <v>40</v>
      </c>
      <c r="H263" s="8" t="s">
        <v>38</v>
      </c>
      <c r="I263" s="8" t="s">
        <v>72</v>
      </c>
      <c r="J263" s="9" t="s">
        <v>40</v>
      </c>
      <c r="K263" s="8" t="s">
        <v>66</v>
      </c>
      <c r="L263" s="8" t="s">
        <v>1010</v>
      </c>
      <c r="M263" s="10">
        <f t="shared" si="1"/>
        <v>0.367355921</v>
      </c>
      <c r="N263" s="7">
        <v>2.33</v>
      </c>
      <c r="O263" s="7">
        <v>1.33</v>
      </c>
      <c r="P263" s="10">
        <v>1.21</v>
      </c>
      <c r="Q263" s="10">
        <v>1.03</v>
      </c>
      <c r="R263" s="7">
        <v>6.0</v>
      </c>
      <c r="S263" s="7">
        <v>6.0</v>
      </c>
      <c r="T263" s="14">
        <f t="shared" si="2"/>
        <v>0.5708154506</v>
      </c>
      <c r="U263" s="14">
        <f t="shared" si="3"/>
        <v>-0.5606893253</v>
      </c>
      <c r="V263" s="11">
        <v>0.14490626105068918</v>
      </c>
      <c r="W263" s="7">
        <f t="shared" si="4"/>
        <v>12</v>
      </c>
      <c r="X263" s="8" t="s">
        <v>1011</v>
      </c>
      <c r="Y263" s="12"/>
      <c r="Z263" s="12"/>
      <c r="AA263" s="12"/>
    </row>
    <row r="264" ht="19.5" customHeight="1">
      <c r="A264" s="7">
        <v>201.0</v>
      </c>
      <c r="B264" s="7" t="s">
        <v>1013</v>
      </c>
      <c r="C264" s="7" t="s">
        <v>170</v>
      </c>
      <c r="D264" s="7" t="s">
        <v>369</v>
      </c>
      <c r="E264" s="7" t="s">
        <v>1014</v>
      </c>
      <c r="F264" s="7" t="s">
        <v>37</v>
      </c>
      <c r="G264" s="9" t="s">
        <v>40</v>
      </c>
      <c r="H264" s="7" t="s">
        <v>90</v>
      </c>
      <c r="I264" s="7" t="s">
        <v>39</v>
      </c>
      <c r="J264" s="7">
        <f>4*365</f>
        <v>1460</v>
      </c>
      <c r="K264" s="7" t="s">
        <v>497</v>
      </c>
      <c r="L264" s="8" t="s">
        <v>207</v>
      </c>
      <c r="M264" s="10">
        <f t="shared" si="1"/>
        <v>1.201123897</v>
      </c>
      <c r="N264" s="10">
        <v>15.89</v>
      </c>
      <c r="O264" s="10">
        <v>12.373333333333335</v>
      </c>
      <c r="P264" s="10">
        <v>1.626666666666667</v>
      </c>
      <c r="Q264" s="10">
        <v>2.5866666666666664</v>
      </c>
      <c r="R264" s="7">
        <v>4.0</v>
      </c>
      <c r="S264" s="7">
        <v>4.0</v>
      </c>
      <c r="T264" s="8">
        <f t="shared" si="2"/>
        <v>0.7786868051</v>
      </c>
      <c r="U264" s="8">
        <f t="shared" si="3"/>
        <v>-0.2501463613</v>
      </c>
      <c r="V264" s="11">
        <v>0.013545583795881994</v>
      </c>
      <c r="W264" s="7">
        <f t="shared" si="4"/>
        <v>8</v>
      </c>
      <c r="X264" s="7" t="s">
        <v>1015</v>
      </c>
      <c r="Y264" s="7"/>
      <c r="Z264" s="7"/>
      <c r="AA264" s="7"/>
    </row>
    <row r="265" ht="19.5" customHeight="1">
      <c r="A265" s="7">
        <v>202.0</v>
      </c>
      <c r="B265" s="7" t="s">
        <v>1016</v>
      </c>
      <c r="C265" s="7" t="s">
        <v>150</v>
      </c>
      <c r="D265" s="7" t="s">
        <v>1017</v>
      </c>
      <c r="E265" s="7" t="s">
        <v>1018</v>
      </c>
      <c r="F265" s="7" t="s">
        <v>37</v>
      </c>
      <c r="G265" s="7" t="s">
        <v>37</v>
      </c>
      <c r="H265" s="7" t="s">
        <v>38</v>
      </c>
      <c r="I265" s="7" t="s">
        <v>72</v>
      </c>
      <c r="J265" s="9" t="s">
        <v>40</v>
      </c>
      <c r="K265" s="7" t="s">
        <v>48</v>
      </c>
      <c r="L265" s="8" t="s">
        <v>1019</v>
      </c>
      <c r="M265" s="10">
        <f t="shared" si="1"/>
        <v>0.4517864355</v>
      </c>
      <c r="N265" s="7">
        <v>2.83</v>
      </c>
      <c r="O265" s="7">
        <v>2.22</v>
      </c>
      <c r="P265" s="10">
        <v>1.36</v>
      </c>
      <c r="Q265" s="10">
        <v>0.88</v>
      </c>
      <c r="R265" s="7">
        <v>4.0</v>
      </c>
      <c r="S265" s="7">
        <v>4.0</v>
      </c>
      <c r="T265" s="8">
        <f t="shared" si="2"/>
        <v>0.7844522968</v>
      </c>
      <c r="U265" s="8">
        <f t="shared" si="3"/>
        <v>-0.2427695158</v>
      </c>
      <c r="V265" s="11">
        <v>0.09701829472604756</v>
      </c>
      <c r="W265" s="7">
        <f t="shared" si="4"/>
        <v>8</v>
      </c>
      <c r="X265" s="7" t="s">
        <v>1020</v>
      </c>
      <c r="Y265" s="7"/>
      <c r="Z265" s="7"/>
      <c r="AA265" s="7"/>
    </row>
    <row r="266" ht="19.5" customHeight="1">
      <c r="A266" s="7">
        <v>202.0</v>
      </c>
      <c r="B266" s="7" t="s">
        <v>1016</v>
      </c>
      <c r="C266" s="7" t="s">
        <v>150</v>
      </c>
      <c r="D266" s="7" t="s">
        <v>1021</v>
      </c>
      <c r="E266" s="7" t="s">
        <v>1022</v>
      </c>
      <c r="F266" s="7" t="s">
        <v>47</v>
      </c>
      <c r="G266" s="7" t="s">
        <v>37</v>
      </c>
      <c r="H266" s="7" t="s">
        <v>38</v>
      </c>
      <c r="I266" s="7" t="s">
        <v>72</v>
      </c>
      <c r="J266" s="9" t="s">
        <v>40</v>
      </c>
      <c r="K266" s="7" t="s">
        <v>48</v>
      </c>
      <c r="L266" s="7" t="s">
        <v>1019</v>
      </c>
      <c r="M266" s="10">
        <f t="shared" si="1"/>
        <v>1.128399269</v>
      </c>
      <c r="N266" s="7">
        <v>13.44</v>
      </c>
      <c r="O266" s="7">
        <v>12.22</v>
      </c>
      <c r="P266" s="10">
        <v>6.36</v>
      </c>
      <c r="Q266" s="10">
        <v>3.92</v>
      </c>
      <c r="R266" s="7">
        <v>4.0</v>
      </c>
      <c r="S266" s="7">
        <v>4.0</v>
      </c>
      <c r="T266" s="8">
        <f t="shared" si="2"/>
        <v>0.9092261905</v>
      </c>
      <c r="U266" s="8">
        <f t="shared" si="3"/>
        <v>-0.09516138135</v>
      </c>
      <c r="V266" s="11">
        <v>0.08170878992284654</v>
      </c>
      <c r="W266" s="7">
        <f t="shared" si="4"/>
        <v>8</v>
      </c>
      <c r="X266" s="7" t="s">
        <v>1020</v>
      </c>
      <c r="Y266" s="7"/>
      <c r="Z266" s="7"/>
      <c r="AA266" s="7"/>
    </row>
    <row r="267" ht="19.5" customHeight="1">
      <c r="A267" s="7">
        <v>203.0</v>
      </c>
      <c r="B267" s="7" t="s">
        <v>1023</v>
      </c>
      <c r="C267" s="8" t="s">
        <v>34</v>
      </c>
      <c r="D267" s="7" t="s">
        <v>1024</v>
      </c>
      <c r="E267" s="7" t="s">
        <v>1025</v>
      </c>
      <c r="F267" s="7" t="s">
        <v>37</v>
      </c>
      <c r="G267" s="7" t="s">
        <v>37</v>
      </c>
      <c r="H267" s="7" t="s">
        <v>38</v>
      </c>
      <c r="I267" s="7" t="s">
        <v>72</v>
      </c>
      <c r="J267" s="9" t="s">
        <v>40</v>
      </c>
      <c r="K267" s="7" t="s">
        <v>301</v>
      </c>
      <c r="L267" s="8" t="s">
        <v>1026</v>
      </c>
      <c r="M267" s="10">
        <f t="shared" si="1"/>
        <v>1.06669855</v>
      </c>
      <c r="N267" s="7">
        <v>11.66</v>
      </c>
      <c r="O267" s="7">
        <v>11.81</v>
      </c>
      <c r="P267" s="10">
        <v>33.54101966249685</v>
      </c>
      <c r="Q267" s="10">
        <v>2.459674775249769</v>
      </c>
      <c r="R267" s="7">
        <v>5.0</v>
      </c>
      <c r="S267" s="7">
        <v>5.0</v>
      </c>
      <c r="T267" s="8">
        <f t="shared" si="2"/>
        <v>1.012864494</v>
      </c>
      <c r="U267" s="8">
        <f t="shared" si="3"/>
        <v>0.01278244929</v>
      </c>
      <c r="V267" s="11">
        <v>1.663627379312718</v>
      </c>
      <c r="W267" s="7">
        <f t="shared" si="4"/>
        <v>10</v>
      </c>
      <c r="X267" s="7" t="s">
        <v>1027</v>
      </c>
      <c r="Y267" s="7"/>
      <c r="Z267" s="7"/>
      <c r="AA267" s="7"/>
    </row>
    <row r="268" ht="19.5" customHeight="1">
      <c r="A268" s="7">
        <v>204.0</v>
      </c>
      <c r="B268" s="7" t="s">
        <v>1028</v>
      </c>
      <c r="C268" s="7" t="s">
        <v>52</v>
      </c>
      <c r="D268" s="7" t="s">
        <v>53</v>
      </c>
      <c r="E268" s="7" t="s">
        <v>1029</v>
      </c>
      <c r="F268" s="7" t="s">
        <v>37</v>
      </c>
      <c r="G268" s="9" t="s">
        <v>40</v>
      </c>
      <c r="H268" s="7" t="s">
        <v>38</v>
      </c>
      <c r="I268" s="7" t="s">
        <v>72</v>
      </c>
      <c r="J268" s="9" t="s">
        <v>40</v>
      </c>
      <c r="K268" s="7" t="s">
        <v>301</v>
      </c>
      <c r="L268" s="8" t="s">
        <v>1030</v>
      </c>
      <c r="M268" s="10">
        <f t="shared" si="1"/>
        <v>1.574609941</v>
      </c>
      <c r="N268" s="7">
        <v>37.55</v>
      </c>
      <c r="O268" s="7">
        <v>42.05</v>
      </c>
      <c r="P268" s="10">
        <v>9.428976614670333</v>
      </c>
      <c r="Q268" s="10">
        <v>10.775973273908951</v>
      </c>
      <c r="R268" s="7">
        <v>14.0</v>
      </c>
      <c r="S268" s="7">
        <v>14.0</v>
      </c>
      <c r="T268" s="8">
        <f t="shared" si="2"/>
        <v>1.119840213</v>
      </c>
      <c r="U268" s="8">
        <f t="shared" si="3"/>
        <v>0.1131860082</v>
      </c>
      <c r="V268" s="11">
        <v>0.00919468724276844</v>
      </c>
      <c r="W268" s="7">
        <f t="shared" si="4"/>
        <v>28</v>
      </c>
      <c r="X268" s="7" t="s">
        <v>1031</v>
      </c>
      <c r="Y268" s="7"/>
      <c r="Z268" s="7"/>
      <c r="AA268" s="7"/>
    </row>
    <row r="269" ht="19.5" customHeight="1">
      <c r="A269" s="7">
        <v>205.0</v>
      </c>
      <c r="B269" s="8" t="s">
        <v>1032</v>
      </c>
      <c r="C269" s="8" t="s">
        <v>34</v>
      </c>
      <c r="D269" s="8" t="s">
        <v>1033</v>
      </c>
      <c r="E269" s="8" t="s">
        <v>1034</v>
      </c>
      <c r="F269" s="8" t="s">
        <v>47</v>
      </c>
      <c r="G269" s="8" t="s">
        <v>37</v>
      </c>
      <c r="H269" s="8" t="s">
        <v>90</v>
      </c>
      <c r="I269" s="8" t="s">
        <v>39</v>
      </c>
      <c r="J269" s="7">
        <v>1095.0</v>
      </c>
      <c r="K269" s="8" t="s">
        <v>41</v>
      </c>
      <c r="L269" s="8" t="s">
        <v>391</v>
      </c>
      <c r="M269" s="10">
        <f t="shared" si="1"/>
        <v>1.597914471</v>
      </c>
      <c r="N269" s="7">
        <v>39.62</v>
      </c>
      <c r="O269" s="7">
        <v>33.77</v>
      </c>
      <c r="P269" s="10">
        <v>7.56</v>
      </c>
      <c r="Q269" s="10">
        <v>7.56</v>
      </c>
      <c r="R269" s="7">
        <v>16.0</v>
      </c>
      <c r="S269" s="7">
        <v>16.0</v>
      </c>
      <c r="T269" s="8">
        <f t="shared" si="2"/>
        <v>0.8523472993</v>
      </c>
      <c r="U269" s="8">
        <f t="shared" si="3"/>
        <v>-0.1597612069</v>
      </c>
      <c r="V269" s="11">
        <v>0.005407879962760249</v>
      </c>
      <c r="W269" s="7">
        <f t="shared" si="4"/>
        <v>32</v>
      </c>
      <c r="X269" s="8" t="s">
        <v>1035</v>
      </c>
      <c r="Y269" s="7"/>
      <c r="Z269" s="7"/>
      <c r="AA269" s="7"/>
    </row>
    <row r="270" ht="19.5" customHeight="1">
      <c r="A270" s="7">
        <v>206.0</v>
      </c>
      <c r="B270" s="7" t="s">
        <v>1036</v>
      </c>
      <c r="C270" s="8" t="s">
        <v>34</v>
      </c>
      <c r="D270" s="7" t="s">
        <v>1037</v>
      </c>
      <c r="E270" s="7" t="s">
        <v>1038</v>
      </c>
      <c r="F270" s="7" t="s">
        <v>78</v>
      </c>
      <c r="G270" s="7" t="s">
        <v>37</v>
      </c>
      <c r="H270" s="7" t="s">
        <v>38</v>
      </c>
      <c r="I270" s="7" t="s">
        <v>72</v>
      </c>
      <c r="J270" s="9" t="s">
        <v>40</v>
      </c>
      <c r="K270" s="7" t="s">
        <v>55</v>
      </c>
      <c r="L270" s="8" t="s">
        <v>541</v>
      </c>
      <c r="M270" s="10">
        <f t="shared" si="1"/>
        <v>0.785329835</v>
      </c>
      <c r="N270" s="7">
        <v>6.1</v>
      </c>
      <c r="O270" s="7">
        <v>2.9</v>
      </c>
      <c r="P270" s="10">
        <v>3.0983866769659336</v>
      </c>
      <c r="Q270" s="10">
        <v>1.5491933384829668</v>
      </c>
      <c r="R270" s="7">
        <v>15.0</v>
      </c>
      <c r="S270" s="7">
        <v>15.0</v>
      </c>
      <c r="T270" s="8">
        <f t="shared" si="2"/>
        <v>0.4754098361</v>
      </c>
      <c r="U270" s="8">
        <f t="shared" si="3"/>
        <v>-0.7435780342</v>
      </c>
      <c r="V270" s="11">
        <v>0.036224647779530716</v>
      </c>
      <c r="W270" s="7">
        <f t="shared" si="4"/>
        <v>30</v>
      </c>
      <c r="X270" s="7" t="s">
        <v>1039</v>
      </c>
      <c r="Y270" s="7"/>
      <c r="Z270" s="7"/>
      <c r="AA270" s="7"/>
    </row>
    <row r="271" ht="19.5" customHeight="1">
      <c r="A271" s="7">
        <v>206.0</v>
      </c>
      <c r="B271" s="7" t="s">
        <v>1036</v>
      </c>
      <c r="C271" s="8" t="s">
        <v>34</v>
      </c>
      <c r="D271" s="7" t="s">
        <v>1040</v>
      </c>
      <c r="E271" s="7" t="s">
        <v>1041</v>
      </c>
      <c r="F271" s="7" t="s">
        <v>37</v>
      </c>
      <c r="G271" s="7" t="s">
        <v>37</v>
      </c>
      <c r="H271" s="7" t="s">
        <v>38</v>
      </c>
      <c r="I271" s="7" t="s">
        <v>72</v>
      </c>
      <c r="J271" s="9" t="s">
        <v>40</v>
      </c>
      <c r="K271" s="7" t="s">
        <v>55</v>
      </c>
      <c r="L271" s="8" t="s">
        <v>541</v>
      </c>
      <c r="M271" s="10">
        <f t="shared" si="1"/>
        <v>1.004321374</v>
      </c>
      <c r="N271" s="7">
        <v>10.1</v>
      </c>
      <c r="O271" s="7">
        <v>5.8</v>
      </c>
      <c r="P271" s="10">
        <v>3.4856850115866753</v>
      </c>
      <c r="Q271" s="10">
        <v>3.0983866769659336</v>
      </c>
      <c r="R271" s="7">
        <v>15.0</v>
      </c>
      <c r="S271" s="7">
        <v>15.0</v>
      </c>
      <c r="T271" s="8">
        <f t="shared" si="2"/>
        <v>0.5742574257</v>
      </c>
      <c r="U271" s="8">
        <f t="shared" si="3"/>
        <v>-0.5546775063</v>
      </c>
      <c r="V271" s="11">
        <v>0.02696536827368001</v>
      </c>
      <c r="W271" s="7">
        <f t="shared" si="4"/>
        <v>30</v>
      </c>
      <c r="X271" s="7" t="s">
        <v>1039</v>
      </c>
      <c r="Y271" s="7"/>
      <c r="Z271" s="7"/>
      <c r="AA271" s="7"/>
    </row>
    <row r="272" ht="19.5" customHeight="1">
      <c r="A272" s="7">
        <v>207.0</v>
      </c>
      <c r="B272" s="8" t="s">
        <v>1042</v>
      </c>
      <c r="C272" s="8" t="s">
        <v>82</v>
      </c>
      <c r="D272" s="8" t="s">
        <v>83</v>
      </c>
      <c r="E272" s="8" t="s">
        <v>1043</v>
      </c>
      <c r="F272" s="8" t="s">
        <v>47</v>
      </c>
      <c r="G272" s="13" t="s">
        <v>40</v>
      </c>
      <c r="H272" s="8" t="s">
        <v>38</v>
      </c>
      <c r="I272" s="8" t="s">
        <v>39</v>
      </c>
      <c r="J272" s="9" t="s">
        <v>40</v>
      </c>
      <c r="K272" s="8" t="s">
        <v>66</v>
      </c>
      <c r="L272" s="8" t="s">
        <v>1044</v>
      </c>
      <c r="M272" s="10">
        <f t="shared" si="1"/>
        <v>1.33725954</v>
      </c>
      <c r="N272" s="7">
        <v>21.74</v>
      </c>
      <c r="O272" s="7">
        <v>21.17</v>
      </c>
      <c r="P272" s="10">
        <v>3.667151483099655</v>
      </c>
      <c r="Q272" s="10">
        <v>2.0348218595248087</v>
      </c>
      <c r="R272" s="7">
        <v>5.0</v>
      </c>
      <c r="S272" s="7">
        <v>5.0</v>
      </c>
      <c r="T272" s="14">
        <f t="shared" si="2"/>
        <v>0.9737810488</v>
      </c>
      <c r="U272" s="14">
        <f t="shared" si="3"/>
        <v>-0.02656879655</v>
      </c>
      <c r="V272" s="11">
        <v>0.0075384792170168705</v>
      </c>
      <c r="W272" s="7">
        <f t="shared" si="4"/>
        <v>10</v>
      </c>
      <c r="X272" s="8" t="s">
        <v>1045</v>
      </c>
      <c r="Y272" s="12"/>
      <c r="Z272" s="12"/>
      <c r="AA272" s="12"/>
    </row>
    <row r="273" ht="19.5" customHeight="1">
      <c r="A273" s="7">
        <v>208.0</v>
      </c>
      <c r="B273" s="7" t="s">
        <v>1046</v>
      </c>
      <c r="C273" s="8" t="s">
        <v>34</v>
      </c>
      <c r="D273" s="7" t="s">
        <v>1047</v>
      </c>
      <c r="E273" s="7" t="s">
        <v>1048</v>
      </c>
      <c r="F273" s="7" t="s">
        <v>37</v>
      </c>
      <c r="G273" s="7" t="s">
        <v>37</v>
      </c>
      <c r="H273" s="7" t="s">
        <v>38</v>
      </c>
      <c r="I273" s="7" t="s">
        <v>72</v>
      </c>
      <c r="J273" s="9" t="s">
        <v>40</v>
      </c>
      <c r="K273" s="7" t="s">
        <v>66</v>
      </c>
      <c r="L273" s="8" t="s">
        <v>1049</v>
      </c>
      <c r="M273" s="10">
        <f t="shared" si="1"/>
        <v>0.2041199827</v>
      </c>
      <c r="N273" s="10">
        <v>1.5999999999999999</v>
      </c>
      <c r="O273" s="10">
        <v>0.9333333333333335</v>
      </c>
      <c r="P273" s="10">
        <v>0.17333333333333334</v>
      </c>
      <c r="Q273" s="10">
        <v>0.21000000000000005</v>
      </c>
      <c r="R273" s="7">
        <v>1.0</v>
      </c>
      <c r="S273" s="7">
        <v>1.0</v>
      </c>
      <c r="T273" s="8">
        <f t="shared" si="2"/>
        <v>0.5833333333</v>
      </c>
      <c r="U273" s="8">
        <f t="shared" si="3"/>
        <v>-0.5389965007</v>
      </c>
      <c r="V273" s="11">
        <v>0.062361111111111124</v>
      </c>
      <c r="W273" s="7">
        <f t="shared" si="4"/>
        <v>2</v>
      </c>
      <c r="X273" s="7" t="s">
        <v>1050</v>
      </c>
      <c r="Y273" s="7"/>
      <c r="Z273" s="7"/>
      <c r="AA273" s="7"/>
    </row>
    <row r="274" ht="19.5" customHeight="1">
      <c r="A274" s="7">
        <v>209.0</v>
      </c>
      <c r="B274" s="7" t="s">
        <v>1051</v>
      </c>
      <c r="C274" s="7" t="s">
        <v>109</v>
      </c>
      <c r="D274" s="7" t="s">
        <v>110</v>
      </c>
      <c r="E274" s="7" t="s">
        <v>1052</v>
      </c>
      <c r="F274" s="7" t="s">
        <v>47</v>
      </c>
      <c r="G274" s="9" t="s">
        <v>40</v>
      </c>
      <c r="H274" s="7" t="s">
        <v>90</v>
      </c>
      <c r="I274" s="7" t="s">
        <v>39</v>
      </c>
      <c r="J274" s="7">
        <v>100.0</v>
      </c>
      <c r="K274" s="7" t="s">
        <v>178</v>
      </c>
      <c r="L274" s="8" t="s">
        <v>1053</v>
      </c>
      <c r="M274" s="10">
        <f t="shared" si="1"/>
        <v>0.8898617213</v>
      </c>
      <c r="N274" s="7">
        <v>7.76</v>
      </c>
      <c r="O274" s="7">
        <v>7.55</v>
      </c>
      <c r="P274" s="10">
        <v>0.8833459118601273</v>
      </c>
      <c r="Q274" s="10">
        <v>0.62</v>
      </c>
      <c r="R274" s="7">
        <v>3.0</v>
      </c>
      <c r="S274" s="7">
        <v>4.0</v>
      </c>
      <c r="T274" s="14">
        <f t="shared" si="2"/>
        <v>0.9729381443</v>
      </c>
      <c r="U274" s="14">
        <f t="shared" si="3"/>
        <v>-0.02743477093</v>
      </c>
      <c r="V274" s="11">
        <v>0.006005226180662533</v>
      </c>
      <c r="W274" s="7">
        <f t="shared" si="4"/>
        <v>7</v>
      </c>
      <c r="X274" s="8" t="s">
        <v>1054</v>
      </c>
      <c r="Y274" s="7"/>
      <c r="Z274" s="7"/>
      <c r="AA274" s="7"/>
    </row>
    <row r="275" ht="19.5" customHeight="1">
      <c r="A275" s="7">
        <v>210.0</v>
      </c>
      <c r="B275" s="7" t="s">
        <v>1055</v>
      </c>
      <c r="C275" s="8" t="s">
        <v>34</v>
      </c>
      <c r="D275" s="7" t="s">
        <v>1056</v>
      </c>
      <c r="E275" s="7" t="s">
        <v>1057</v>
      </c>
      <c r="F275" s="7" t="s">
        <v>47</v>
      </c>
      <c r="G275" s="7" t="s">
        <v>37</v>
      </c>
      <c r="H275" s="7" t="s">
        <v>38</v>
      </c>
      <c r="I275" s="7" t="s">
        <v>39</v>
      </c>
      <c r="J275" s="9" t="s">
        <v>40</v>
      </c>
      <c r="K275" s="7" t="s">
        <v>41</v>
      </c>
      <c r="L275" s="8" t="s">
        <v>1058</v>
      </c>
      <c r="M275" s="10">
        <f t="shared" si="1"/>
        <v>1.379124146</v>
      </c>
      <c r="N275" s="7">
        <v>23.94</v>
      </c>
      <c r="O275" s="7">
        <v>33.82</v>
      </c>
      <c r="P275" s="10">
        <v>9.8</v>
      </c>
      <c r="Q275" s="10">
        <v>9.8</v>
      </c>
      <c r="R275" s="7">
        <v>4.0</v>
      </c>
      <c r="S275" s="7">
        <v>4.0</v>
      </c>
      <c r="T275" s="8">
        <f t="shared" si="2"/>
        <v>1.412698413</v>
      </c>
      <c r="U275" s="8">
        <f t="shared" si="3"/>
        <v>0.3455016433</v>
      </c>
      <c r="V275" s="11">
        <v>0.06288480365302931</v>
      </c>
      <c r="W275" s="7">
        <f t="shared" si="4"/>
        <v>8</v>
      </c>
      <c r="X275" s="7" t="s">
        <v>1059</v>
      </c>
      <c r="Y275" s="7"/>
      <c r="Z275" s="7"/>
      <c r="AA275" s="7"/>
    </row>
    <row r="276" ht="19.5" customHeight="1">
      <c r="A276" s="7">
        <v>211.0</v>
      </c>
      <c r="B276" s="8" t="s">
        <v>1060</v>
      </c>
      <c r="C276" s="8" t="s">
        <v>82</v>
      </c>
      <c r="D276" s="8" t="s">
        <v>176</v>
      </c>
      <c r="E276" s="8" t="s">
        <v>1061</v>
      </c>
      <c r="F276" s="7" t="s">
        <v>47</v>
      </c>
      <c r="G276" s="13" t="s">
        <v>40</v>
      </c>
      <c r="H276" s="8" t="s">
        <v>90</v>
      </c>
      <c r="I276" s="8" t="s">
        <v>39</v>
      </c>
      <c r="J276" s="7">
        <v>315.0</v>
      </c>
      <c r="K276" s="8" t="s">
        <v>55</v>
      </c>
      <c r="L276" s="8" t="s">
        <v>1062</v>
      </c>
      <c r="M276" s="10">
        <f t="shared" si="1"/>
        <v>1.294906911</v>
      </c>
      <c r="N276" s="7">
        <v>19.72</v>
      </c>
      <c r="O276" s="7">
        <v>17.06</v>
      </c>
      <c r="P276" s="10">
        <v>1.4534441853748634</v>
      </c>
      <c r="Q276" s="10">
        <v>1.3416407864998738</v>
      </c>
      <c r="R276" s="7">
        <v>5.0</v>
      </c>
      <c r="S276" s="7">
        <v>5.0</v>
      </c>
      <c r="T276" s="14">
        <f t="shared" si="2"/>
        <v>0.8651115619</v>
      </c>
      <c r="U276" s="14">
        <f t="shared" si="3"/>
        <v>-0.1448968071</v>
      </c>
      <c r="V276" s="11">
        <v>0.0023233859501306823</v>
      </c>
      <c r="W276" s="7">
        <f t="shared" si="4"/>
        <v>10</v>
      </c>
      <c r="X276" s="8" t="s">
        <v>1063</v>
      </c>
      <c r="Y276" s="12"/>
      <c r="Z276" s="12"/>
      <c r="AA276" s="12"/>
    </row>
    <row r="277" ht="19.5" customHeight="1">
      <c r="A277" s="7">
        <v>212.0</v>
      </c>
      <c r="B277" s="8" t="s">
        <v>1064</v>
      </c>
      <c r="C277" s="8" t="s">
        <v>82</v>
      </c>
      <c r="D277" s="8" t="s">
        <v>176</v>
      </c>
      <c r="E277" s="8" t="s">
        <v>1065</v>
      </c>
      <c r="F277" s="8" t="s">
        <v>47</v>
      </c>
      <c r="G277" s="13" t="s">
        <v>40</v>
      </c>
      <c r="H277" s="8" t="s">
        <v>90</v>
      </c>
      <c r="I277" s="8" t="s">
        <v>72</v>
      </c>
      <c r="J277" s="7">
        <v>1825.0</v>
      </c>
      <c r="K277" s="8" t="s">
        <v>41</v>
      </c>
      <c r="L277" s="8" t="s">
        <v>1066</v>
      </c>
      <c r="M277" s="10">
        <f t="shared" si="1"/>
        <v>0.454336616</v>
      </c>
      <c r="N277" s="10">
        <v>2.8466666666666662</v>
      </c>
      <c r="O277" s="10">
        <v>2.581666666666667</v>
      </c>
      <c r="P277" s="10">
        <v>0.6833333333333332</v>
      </c>
      <c r="Q277" s="10">
        <v>0.7833333333333332</v>
      </c>
      <c r="R277" s="7">
        <v>4.0</v>
      </c>
      <c r="S277" s="7">
        <v>4.0</v>
      </c>
      <c r="T277" s="14">
        <f t="shared" si="2"/>
        <v>0.9069086651</v>
      </c>
      <c r="U277" s="14">
        <f t="shared" si="3"/>
        <v>-0.09771353393</v>
      </c>
      <c r="V277" s="11">
        <v>0.03742178227423714</v>
      </c>
      <c r="W277" s="7">
        <f t="shared" si="4"/>
        <v>8</v>
      </c>
      <c r="X277" s="7" t="s">
        <v>1067</v>
      </c>
      <c r="Y277" s="12"/>
      <c r="Z277" s="12"/>
      <c r="AA277" s="12"/>
    </row>
    <row r="278" ht="19.5" customHeight="1">
      <c r="A278" s="7">
        <v>213.0</v>
      </c>
      <c r="B278" s="7" t="s">
        <v>1068</v>
      </c>
      <c r="C278" s="8" t="s">
        <v>34</v>
      </c>
      <c r="D278" s="7" t="s">
        <v>1069</v>
      </c>
      <c r="E278" s="7" t="s">
        <v>1070</v>
      </c>
      <c r="F278" s="7" t="s">
        <v>47</v>
      </c>
      <c r="G278" s="7" t="s">
        <v>47</v>
      </c>
      <c r="H278" s="7" t="s">
        <v>38</v>
      </c>
      <c r="I278" s="7" t="s">
        <v>39</v>
      </c>
      <c r="J278" s="9" t="s">
        <v>40</v>
      </c>
      <c r="K278" s="7" t="s">
        <v>48</v>
      </c>
      <c r="L278" s="8" t="s">
        <v>1071</v>
      </c>
      <c r="M278" s="10">
        <f t="shared" si="1"/>
        <v>1.1752218</v>
      </c>
      <c r="N278" s="7">
        <v>14.97</v>
      </c>
      <c r="O278" s="7">
        <v>11.55</v>
      </c>
      <c r="P278" s="10">
        <v>2.58</v>
      </c>
      <c r="Q278" s="10">
        <v>2.6563132345414386</v>
      </c>
      <c r="R278" s="7">
        <v>4.0</v>
      </c>
      <c r="S278" s="7">
        <v>10.0</v>
      </c>
      <c r="T278" s="8">
        <f t="shared" si="2"/>
        <v>0.7715430862</v>
      </c>
      <c r="U278" s="8">
        <f t="shared" si="3"/>
        <v>-0.2593627615</v>
      </c>
      <c r="V278" s="11">
        <v>0.01271492918761221</v>
      </c>
      <c r="W278" s="7">
        <f t="shared" si="4"/>
        <v>14</v>
      </c>
      <c r="X278" s="7" t="s">
        <v>1072</v>
      </c>
      <c r="Y278" s="7"/>
      <c r="Z278" s="7"/>
      <c r="AA278" s="7"/>
    </row>
    <row r="279" ht="19.5" customHeight="1">
      <c r="A279" s="7">
        <v>214.0</v>
      </c>
      <c r="B279" s="7" t="s">
        <v>1073</v>
      </c>
      <c r="C279" s="7" t="s">
        <v>368</v>
      </c>
      <c r="D279" s="7" t="s">
        <v>369</v>
      </c>
      <c r="E279" s="7" t="s">
        <v>1074</v>
      </c>
      <c r="F279" s="7" t="s">
        <v>37</v>
      </c>
      <c r="G279" s="9" t="s">
        <v>40</v>
      </c>
      <c r="H279" s="7" t="s">
        <v>90</v>
      </c>
      <c r="I279" s="7" t="s">
        <v>39</v>
      </c>
      <c r="J279" s="7">
        <f>4*365</f>
        <v>1460</v>
      </c>
      <c r="K279" s="7" t="s">
        <v>213</v>
      </c>
      <c r="L279" s="19" t="s">
        <v>1075</v>
      </c>
      <c r="M279" s="10">
        <f t="shared" si="1"/>
        <v>0.9175055096</v>
      </c>
      <c r="N279" s="7">
        <v>8.27</v>
      </c>
      <c r="O279" s="7">
        <v>6.19</v>
      </c>
      <c r="P279" s="10">
        <v>0.9899494936611666</v>
      </c>
      <c r="Q279" s="10">
        <v>1.9233304448274096</v>
      </c>
      <c r="R279" s="7">
        <v>8.0</v>
      </c>
      <c r="S279" s="7">
        <v>8.0</v>
      </c>
      <c r="T279" s="8">
        <f t="shared" si="2"/>
        <v>0.7484885127</v>
      </c>
      <c r="U279" s="8">
        <f t="shared" si="3"/>
        <v>-0.2896994223</v>
      </c>
      <c r="V279" s="11">
        <v>0.013859155657040503</v>
      </c>
      <c r="W279" s="7">
        <f t="shared" si="4"/>
        <v>16</v>
      </c>
      <c r="X279" s="7" t="s">
        <v>1076</v>
      </c>
      <c r="Y279" s="7"/>
      <c r="Z279" s="7"/>
      <c r="AA279" s="7"/>
    </row>
    <row r="280" ht="19.5" customHeight="1">
      <c r="A280" s="7">
        <v>215.0</v>
      </c>
      <c r="B280" s="8" t="s">
        <v>1077</v>
      </c>
      <c r="C280" s="8" t="s">
        <v>170</v>
      </c>
      <c r="D280" s="7" t="s">
        <v>369</v>
      </c>
      <c r="E280" s="8" t="s">
        <v>1078</v>
      </c>
      <c r="F280" s="8" t="s">
        <v>37</v>
      </c>
      <c r="G280" s="9" t="s">
        <v>40</v>
      </c>
      <c r="H280" s="8" t="s">
        <v>90</v>
      </c>
      <c r="I280" s="8" t="s">
        <v>39</v>
      </c>
      <c r="J280" s="7">
        <v>119.0</v>
      </c>
      <c r="K280" s="8" t="s">
        <v>48</v>
      </c>
      <c r="L280" s="8" t="s">
        <v>1079</v>
      </c>
      <c r="M280" s="10">
        <f t="shared" si="1"/>
        <v>0.4166405073</v>
      </c>
      <c r="N280" s="7">
        <v>2.61</v>
      </c>
      <c r="O280" s="7">
        <v>5.45</v>
      </c>
      <c r="P280" s="10">
        <v>0.6037383539249432</v>
      </c>
      <c r="Q280" s="10">
        <v>0.894427190999916</v>
      </c>
      <c r="R280" s="7">
        <v>5.0</v>
      </c>
      <c r="S280" s="7">
        <v>5.0</v>
      </c>
      <c r="T280" s="8">
        <f t="shared" si="2"/>
        <v>2.088122605</v>
      </c>
      <c r="U280" s="8">
        <f t="shared" si="3"/>
        <v>0.7362653873</v>
      </c>
      <c r="V280" s="11">
        <v>0.016088297735740706</v>
      </c>
      <c r="W280" s="7">
        <f t="shared" si="4"/>
        <v>10</v>
      </c>
      <c r="X280" s="8" t="s">
        <v>1080</v>
      </c>
      <c r="Y280" s="7"/>
      <c r="Z280" s="7"/>
      <c r="AA280" s="7"/>
    </row>
    <row r="281" ht="19.5" customHeight="1">
      <c r="A281" s="7">
        <v>215.0</v>
      </c>
      <c r="B281" s="8" t="s">
        <v>1077</v>
      </c>
      <c r="C281" s="8" t="s">
        <v>170</v>
      </c>
      <c r="D281" s="7" t="s">
        <v>369</v>
      </c>
      <c r="E281" s="8" t="s">
        <v>1081</v>
      </c>
      <c r="F281" s="8" t="s">
        <v>47</v>
      </c>
      <c r="G281" s="9" t="s">
        <v>40</v>
      </c>
      <c r="H281" s="8" t="s">
        <v>90</v>
      </c>
      <c r="I281" s="8" t="s">
        <v>39</v>
      </c>
      <c r="J281" s="7">
        <v>119.0</v>
      </c>
      <c r="K281" s="8" t="s">
        <v>48</v>
      </c>
      <c r="L281" s="8" t="s">
        <v>1079</v>
      </c>
      <c r="M281" s="10">
        <f t="shared" si="1"/>
        <v>0.02938377769</v>
      </c>
      <c r="N281" s="7">
        <v>1.07</v>
      </c>
      <c r="O281" s="7">
        <v>1.58</v>
      </c>
      <c r="P281" s="10">
        <v>0.7602631123499286</v>
      </c>
      <c r="Q281" s="10">
        <v>0.35777087639996635</v>
      </c>
      <c r="R281" s="7">
        <v>5.0</v>
      </c>
      <c r="S281" s="7">
        <v>5.0</v>
      </c>
      <c r="T281" s="8">
        <f t="shared" si="2"/>
        <v>1.476635514</v>
      </c>
      <c r="U281" s="8">
        <f t="shared" si="3"/>
        <v>0.3897661986</v>
      </c>
      <c r="V281" s="11">
        <v>0.11122428385266787</v>
      </c>
      <c r="W281" s="7">
        <f t="shared" si="4"/>
        <v>10</v>
      </c>
      <c r="X281" s="8" t="s">
        <v>1080</v>
      </c>
      <c r="Y281" s="7"/>
      <c r="Z281" s="7"/>
      <c r="AA281" s="7"/>
    </row>
    <row r="282" ht="19.5" customHeight="1">
      <c r="A282" s="7">
        <v>216.0</v>
      </c>
      <c r="B282" s="7" t="s">
        <v>1082</v>
      </c>
      <c r="C282" s="7" t="s">
        <v>150</v>
      </c>
      <c r="D282" s="7" t="s">
        <v>1083</v>
      </c>
      <c r="E282" s="7" t="s">
        <v>1084</v>
      </c>
      <c r="F282" s="7" t="s">
        <v>47</v>
      </c>
      <c r="G282" s="7" t="s">
        <v>37</v>
      </c>
      <c r="H282" s="7" t="s">
        <v>38</v>
      </c>
      <c r="I282" s="7" t="s">
        <v>39</v>
      </c>
      <c r="J282" s="9" t="s">
        <v>40</v>
      </c>
      <c r="K282" s="8" t="s">
        <v>153</v>
      </c>
      <c r="L282" s="7" t="s">
        <v>1085</v>
      </c>
      <c r="M282" s="10">
        <f t="shared" si="1"/>
        <v>0.9294189257</v>
      </c>
      <c r="N282" s="7">
        <v>8.5</v>
      </c>
      <c r="O282" s="7">
        <v>5.67</v>
      </c>
      <c r="P282" s="10">
        <v>2.711088342345192</v>
      </c>
      <c r="Q282" s="10">
        <v>2.052681173489931</v>
      </c>
      <c r="R282" s="7">
        <v>15.0</v>
      </c>
      <c r="S282" s="7">
        <v>15.0</v>
      </c>
      <c r="T282" s="8">
        <f t="shared" si="2"/>
        <v>0.6670588235</v>
      </c>
      <c r="U282" s="8">
        <f t="shared" si="3"/>
        <v>-0.4048770458</v>
      </c>
      <c r="V282" s="11">
        <v>0.015519475387454535</v>
      </c>
      <c r="W282" s="7">
        <f t="shared" si="4"/>
        <v>30</v>
      </c>
      <c r="X282" s="7" t="s">
        <v>1086</v>
      </c>
      <c r="Y282" s="7"/>
      <c r="Z282" s="7"/>
      <c r="AA282" s="7"/>
    </row>
    <row r="283" ht="19.5" customHeight="1">
      <c r="A283" s="7">
        <v>217.0</v>
      </c>
      <c r="B283" s="7" t="s">
        <v>1087</v>
      </c>
      <c r="C283" s="7" t="s">
        <v>150</v>
      </c>
      <c r="D283" s="7" t="s">
        <v>1088</v>
      </c>
      <c r="E283" s="7" t="s">
        <v>1089</v>
      </c>
      <c r="F283" s="7" t="s">
        <v>47</v>
      </c>
      <c r="G283" s="7" t="s">
        <v>37</v>
      </c>
      <c r="H283" s="7" t="s">
        <v>38</v>
      </c>
      <c r="I283" s="7" t="s">
        <v>39</v>
      </c>
      <c r="J283" s="9" t="s">
        <v>40</v>
      </c>
      <c r="K283" s="7" t="s">
        <v>41</v>
      </c>
      <c r="L283" s="7" t="s">
        <v>1090</v>
      </c>
      <c r="M283" s="10">
        <f t="shared" si="1"/>
        <v>0.631443769</v>
      </c>
      <c r="N283" s="7">
        <v>4.28</v>
      </c>
      <c r="O283" s="7">
        <v>4.76</v>
      </c>
      <c r="P283" s="10">
        <v>1.5</v>
      </c>
      <c r="Q283" s="10">
        <v>2.04</v>
      </c>
      <c r="R283" s="7">
        <v>36.0</v>
      </c>
      <c r="S283" s="7">
        <v>36.0</v>
      </c>
      <c r="T283" s="8">
        <f t="shared" si="2"/>
        <v>1.112149533</v>
      </c>
      <c r="U283" s="8">
        <f t="shared" si="3"/>
        <v>0.1062946586</v>
      </c>
      <c r="V283" s="11">
        <v>0.008513910848643764</v>
      </c>
      <c r="W283" s="7">
        <f t="shared" si="4"/>
        <v>72</v>
      </c>
      <c r="X283" s="7" t="s">
        <v>1091</v>
      </c>
      <c r="Y283" s="7"/>
      <c r="Z283" s="7"/>
      <c r="AA283" s="7"/>
    </row>
    <row r="284" ht="19.5" customHeight="1">
      <c r="A284" s="7">
        <v>218.0</v>
      </c>
      <c r="B284" s="7" t="s">
        <v>1092</v>
      </c>
      <c r="C284" s="8" t="s">
        <v>34</v>
      </c>
      <c r="D284" s="7" t="s">
        <v>1093</v>
      </c>
      <c r="E284" s="7" t="s">
        <v>1094</v>
      </c>
      <c r="F284" s="7" t="s">
        <v>47</v>
      </c>
      <c r="G284" s="7" t="s">
        <v>37</v>
      </c>
      <c r="H284" s="7" t="s">
        <v>90</v>
      </c>
      <c r="I284" s="7" t="s">
        <v>39</v>
      </c>
      <c r="J284" s="7">
        <v>34.0</v>
      </c>
      <c r="K284" s="7" t="s">
        <v>178</v>
      </c>
      <c r="L284" s="8" t="s">
        <v>1095</v>
      </c>
      <c r="M284" s="10">
        <f t="shared" si="1"/>
        <v>0.710963119</v>
      </c>
      <c r="N284" s="7">
        <v>5.14</v>
      </c>
      <c r="O284" s="7">
        <v>5.01</v>
      </c>
      <c r="P284" s="10">
        <v>0.8202438661763951</v>
      </c>
      <c r="Q284" s="10">
        <v>1.2162236636408619</v>
      </c>
      <c r="R284" s="7">
        <v>8.0</v>
      </c>
      <c r="S284" s="7">
        <v>8.0</v>
      </c>
      <c r="T284" s="8">
        <f t="shared" si="2"/>
        <v>0.9747081712</v>
      </c>
      <c r="U284" s="8">
        <f t="shared" si="3"/>
        <v>-0.02561716437</v>
      </c>
      <c r="V284" s="11">
        <v>0.010549747259941643</v>
      </c>
      <c r="W284" s="7">
        <f t="shared" si="4"/>
        <v>16</v>
      </c>
      <c r="X284" s="7" t="s">
        <v>1096</v>
      </c>
      <c r="Y284" s="7"/>
      <c r="Z284" s="7"/>
      <c r="AA284" s="7"/>
    </row>
    <row r="285" ht="19.5" customHeight="1">
      <c r="A285" s="7">
        <v>219.0</v>
      </c>
      <c r="B285" s="8" t="s">
        <v>1097</v>
      </c>
      <c r="C285" s="8" t="s">
        <v>34</v>
      </c>
      <c r="D285" s="8" t="s">
        <v>1098</v>
      </c>
      <c r="E285" s="8" t="s">
        <v>492</v>
      </c>
      <c r="F285" s="8" t="s">
        <v>37</v>
      </c>
      <c r="G285" s="7" t="s">
        <v>37</v>
      </c>
      <c r="H285" s="8" t="s">
        <v>38</v>
      </c>
      <c r="I285" s="8" t="s">
        <v>39</v>
      </c>
      <c r="J285" s="9" t="s">
        <v>40</v>
      </c>
      <c r="K285" s="8" t="s">
        <v>105</v>
      </c>
      <c r="L285" s="8" t="s">
        <v>1099</v>
      </c>
      <c r="M285" s="10">
        <f t="shared" si="1"/>
        <v>0.709269961</v>
      </c>
      <c r="N285" s="7">
        <v>5.12</v>
      </c>
      <c r="O285" s="7">
        <v>5.62</v>
      </c>
      <c r="P285" s="10">
        <v>1.0954451150103324</v>
      </c>
      <c r="Q285" s="10">
        <v>1.0406728592598156</v>
      </c>
      <c r="R285" s="7">
        <v>30.0</v>
      </c>
      <c r="S285" s="7">
        <v>30.0</v>
      </c>
      <c r="T285" s="8">
        <f t="shared" si="2"/>
        <v>1.09765625</v>
      </c>
      <c r="U285" s="8">
        <f t="shared" si="3"/>
        <v>0.09317722485</v>
      </c>
      <c r="V285" s="11">
        <v>0.0026688482202151223</v>
      </c>
      <c r="W285" s="7">
        <f t="shared" si="4"/>
        <v>60</v>
      </c>
      <c r="X285" s="7" t="s">
        <v>1100</v>
      </c>
      <c r="Y285" s="7"/>
      <c r="Z285" s="7"/>
      <c r="AA285" s="7"/>
    </row>
    <row r="286" ht="19.5" customHeight="1">
      <c r="A286" s="7">
        <v>220.0</v>
      </c>
      <c r="B286" s="7" t="s">
        <v>1101</v>
      </c>
      <c r="C286" s="8" t="s">
        <v>34</v>
      </c>
      <c r="D286" s="7" t="s">
        <v>1102</v>
      </c>
      <c r="E286" s="7" t="s">
        <v>380</v>
      </c>
      <c r="F286" s="7" t="s">
        <v>37</v>
      </c>
      <c r="G286" s="7" t="s">
        <v>37</v>
      </c>
      <c r="H286" s="7" t="s">
        <v>38</v>
      </c>
      <c r="I286" s="7" t="s">
        <v>72</v>
      </c>
      <c r="J286" s="9" t="s">
        <v>40</v>
      </c>
      <c r="K286" s="7" t="s">
        <v>41</v>
      </c>
      <c r="L286" s="8" t="s">
        <v>1103</v>
      </c>
      <c r="M286" s="10">
        <f t="shared" si="1"/>
        <v>1.243038049</v>
      </c>
      <c r="N286" s="7">
        <v>17.5</v>
      </c>
      <c r="O286" s="7">
        <v>17.7</v>
      </c>
      <c r="P286" s="10">
        <v>3.8460369212996386</v>
      </c>
      <c r="Q286" s="10">
        <v>4.032666611561139</v>
      </c>
      <c r="R286" s="7">
        <v>20.0</v>
      </c>
      <c r="S286" s="7">
        <v>21.0</v>
      </c>
      <c r="T286" s="8">
        <f t="shared" si="2"/>
        <v>1.011428571</v>
      </c>
      <c r="U286" s="8">
        <f t="shared" si="3"/>
        <v>0.01136375865</v>
      </c>
      <c r="V286" s="11">
        <v>0.0048868516188626185</v>
      </c>
      <c r="W286" s="7">
        <f t="shared" si="4"/>
        <v>41</v>
      </c>
      <c r="X286" s="7" t="s">
        <v>1104</v>
      </c>
      <c r="Y286" s="7"/>
      <c r="Z286" s="7"/>
      <c r="AA286" s="7"/>
    </row>
    <row r="287" ht="19.5" customHeight="1">
      <c r="A287" s="7">
        <v>221.0</v>
      </c>
      <c r="B287" s="8" t="s">
        <v>1105</v>
      </c>
      <c r="C287" s="8" t="s">
        <v>34</v>
      </c>
      <c r="D287" s="8" t="s">
        <v>1106</v>
      </c>
      <c r="E287" s="8" t="s">
        <v>694</v>
      </c>
      <c r="F287" s="8" t="s">
        <v>37</v>
      </c>
      <c r="G287" s="7" t="s">
        <v>37</v>
      </c>
      <c r="H287" s="8" t="s">
        <v>90</v>
      </c>
      <c r="I287" s="8" t="s">
        <v>39</v>
      </c>
      <c r="J287" s="7">
        <f>4*30</f>
        <v>120</v>
      </c>
      <c r="K287" s="8" t="s">
        <v>55</v>
      </c>
      <c r="L287" s="8" t="s">
        <v>1107</v>
      </c>
      <c r="M287" s="10">
        <f t="shared" si="1"/>
        <v>1.191730393</v>
      </c>
      <c r="N287" s="7">
        <v>15.55</v>
      </c>
      <c r="O287" s="7">
        <v>11.03</v>
      </c>
      <c r="P287" s="10">
        <v>2.633628675421044</v>
      </c>
      <c r="Q287" s="10">
        <v>2.2076005073382277</v>
      </c>
      <c r="R287" s="7">
        <v>15.0</v>
      </c>
      <c r="S287" s="7">
        <v>15.0</v>
      </c>
      <c r="T287" s="8">
        <f t="shared" si="2"/>
        <v>0.7093247588</v>
      </c>
      <c r="U287" s="8">
        <f t="shared" si="3"/>
        <v>-0.3434418054</v>
      </c>
      <c r="V287" s="11">
        <v>0.004582841998420088</v>
      </c>
      <c r="W287" s="7">
        <f t="shared" si="4"/>
        <v>30</v>
      </c>
      <c r="X287" s="7" t="s">
        <v>1108</v>
      </c>
      <c r="Y287" s="7"/>
      <c r="Z287" s="7"/>
      <c r="AA287" s="7"/>
    </row>
    <row r="288" ht="19.5" customHeight="1">
      <c r="A288" s="7">
        <v>222.0</v>
      </c>
      <c r="B288" s="8" t="s">
        <v>1109</v>
      </c>
      <c r="C288" s="8" t="s">
        <v>52</v>
      </c>
      <c r="D288" s="8" t="s">
        <v>1110</v>
      </c>
      <c r="E288" s="8" t="s">
        <v>1111</v>
      </c>
      <c r="F288" s="8" t="s">
        <v>78</v>
      </c>
      <c r="G288" s="13" t="s">
        <v>40</v>
      </c>
      <c r="H288" s="7" t="s">
        <v>38</v>
      </c>
      <c r="I288" s="7" t="s">
        <v>72</v>
      </c>
      <c r="J288" s="9" t="s">
        <v>40</v>
      </c>
      <c r="K288" s="8" t="s">
        <v>66</v>
      </c>
      <c r="L288" s="8" t="s">
        <v>1112</v>
      </c>
      <c r="M288" s="10">
        <f t="shared" si="1"/>
        <v>0.6211762818</v>
      </c>
      <c r="N288" s="7">
        <v>4.18</v>
      </c>
      <c r="O288" s="7">
        <v>3.08</v>
      </c>
      <c r="P288" s="10">
        <v>1.47</v>
      </c>
      <c r="Q288" s="10">
        <v>1.38</v>
      </c>
      <c r="R288" s="7">
        <v>4.0</v>
      </c>
      <c r="S288" s="7">
        <v>20.0</v>
      </c>
      <c r="T288" s="14">
        <f t="shared" si="2"/>
        <v>0.7368421053</v>
      </c>
      <c r="U288" s="14">
        <f t="shared" si="3"/>
        <v>-0.3053816496</v>
      </c>
      <c r="V288" s="11">
        <v>0.040956290714358135</v>
      </c>
      <c r="W288" s="7">
        <f t="shared" si="4"/>
        <v>24</v>
      </c>
      <c r="X288" s="7" t="s">
        <v>1113</v>
      </c>
      <c r="Y288" s="7"/>
      <c r="Z288" s="7"/>
      <c r="AA288" s="7"/>
    </row>
    <row r="289" ht="19.5" customHeight="1">
      <c r="A289" s="7">
        <v>223.0</v>
      </c>
      <c r="B289" s="8" t="s">
        <v>1114</v>
      </c>
      <c r="C289" s="8" t="s">
        <v>34</v>
      </c>
      <c r="D289" s="8" t="s">
        <v>1115</v>
      </c>
      <c r="E289" s="8" t="s">
        <v>1116</v>
      </c>
      <c r="F289" s="8" t="s">
        <v>47</v>
      </c>
      <c r="G289" s="8" t="s">
        <v>47</v>
      </c>
      <c r="H289" s="8" t="s">
        <v>90</v>
      </c>
      <c r="I289" s="8" t="s">
        <v>39</v>
      </c>
      <c r="J289" s="7">
        <v>60.0</v>
      </c>
      <c r="K289" s="8" t="s">
        <v>73</v>
      </c>
      <c r="L289" s="8" t="s">
        <v>1117</v>
      </c>
      <c r="M289" s="10">
        <f t="shared" si="1"/>
        <v>1.317227349</v>
      </c>
      <c r="N289" s="7">
        <v>20.76</v>
      </c>
      <c r="O289" s="7">
        <v>11.98</v>
      </c>
      <c r="P289" s="10">
        <v>4.36033255612459</v>
      </c>
      <c r="Q289" s="10">
        <v>3.264659247149693</v>
      </c>
      <c r="R289" s="7">
        <v>5.0</v>
      </c>
      <c r="S289" s="7">
        <v>5.0</v>
      </c>
      <c r="T289" s="8">
        <f t="shared" si="2"/>
        <v>0.5770712909</v>
      </c>
      <c r="U289" s="8">
        <f t="shared" si="3"/>
        <v>-0.5497894656</v>
      </c>
      <c r="V289" s="11">
        <v>0.023675208350508806</v>
      </c>
      <c r="W289" s="7">
        <f t="shared" si="4"/>
        <v>10</v>
      </c>
      <c r="X289" s="7" t="s">
        <v>1118</v>
      </c>
      <c r="Y289" s="7"/>
      <c r="Z289" s="7"/>
      <c r="AA289" s="7"/>
    </row>
    <row r="290" ht="19.5" customHeight="1">
      <c r="A290" s="7">
        <v>224.0</v>
      </c>
      <c r="B290" s="8" t="s">
        <v>1119</v>
      </c>
      <c r="C290" s="8" t="s">
        <v>170</v>
      </c>
      <c r="D290" s="7" t="s">
        <v>369</v>
      </c>
      <c r="E290" s="8" t="s">
        <v>1120</v>
      </c>
      <c r="F290" s="8" t="s">
        <v>47</v>
      </c>
      <c r="G290" s="13" t="s">
        <v>40</v>
      </c>
      <c r="H290" s="8" t="s">
        <v>90</v>
      </c>
      <c r="I290" s="8" t="s">
        <v>39</v>
      </c>
      <c r="J290" s="7">
        <v>60.0</v>
      </c>
      <c r="K290" s="8" t="s">
        <v>178</v>
      </c>
      <c r="L290" s="8" t="s">
        <v>1121</v>
      </c>
      <c r="M290" s="10">
        <f t="shared" si="1"/>
        <v>1.11991541</v>
      </c>
      <c r="N290" s="7">
        <v>13.18</v>
      </c>
      <c r="O290" s="7">
        <v>11.73</v>
      </c>
      <c r="P290" s="10">
        <v>9.063112048297759</v>
      </c>
      <c r="Q290" s="10">
        <v>6.638117202942412</v>
      </c>
      <c r="R290" s="7">
        <v>6.0</v>
      </c>
      <c r="S290" s="7">
        <v>6.0</v>
      </c>
      <c r="T290" s="8">
        <f t="shared" si="2"/>
        <v>0.8899848255</v>
      </c>
      <c r="U290" s="8">
        <f t="shared" si="3"/>
        <v>-0.1165508664</v>
      </c>
      <c r="V290" s="11">
        <v>0.13218399516061535</v>
      </c>
      <c r="W290" s="7">
        <f t="shared" si="4"/>
        <v>12</v>
      </c>
      <c r="X290" s="8" t="s">
        <v>1122</v>
      </c>
      <c r="Y290" s="7"/>
      <c r="Z290" s="7"/>
      <c r="AA290" s="7"/>
    </row>
    <row r="291" ht="19.5" customHeight="1">
      <c r="A291" s="7">
        <v>225.0</v>
      </c>
      <c r="B291" s="7" t="s">
        <v>1123</v>
      </c>
      <c r="C291" s="8" t="s">
        <v>34</v>
      </c>
      <c r="D291" s="7" t="s">
        <v>1124</v>
      </c>
      <c r="E291" s="7" t="s">
        <v>380</v>
      </c>
      <c r="F291" s="7" t="s">
        <v>37</v>
      </c>
      <c r="G291" s="7" t="s">
        <v>37</v>
      </c>
      <c r="H291" s="7" t="s">
        <v>38</v>
      </c>
      <c r="I291" s="7" t="s">
        <v>72</v>
      </c>
      <c r="J291" s="9" t="s">
        <v>40</v>
      </c>
      <c r="K291" s="7" t="s">
        <v>55</v>
      </c>
      <c r="L291" s="8" t="s">
        <v>1125</v>
      </c>
      <c r="M291" s="10">
        <f t="shared" si="1"/>
        <v>1.540329475</v>
      </c>
      <c r="N291" s="7">
        <v>34.7</v>
      </c>
      <c r="O291" s="7">
        <v>26.9</v>
      </c>
      <c r="P291" s="10">
        <v>11.0</v>
      </c>
      <c r="Q291" s="10">
        <v>6.1</v>
      </c>
      <c r="R291" s="7">
        <v>15.0</v>
      </c>
      <c r="S291" s="7">
        <v>15.0</v>
      </c>
      <c r="T291" s="8">
        <f t="shared" si="2"/>
        <v>0.7752161383</v>
      </c>
      <c r="U291" s="8">
        <f t="shared" si="3"/>
        <v>-0.2546134003</v>
      </c>
      <c r="V291" s="11">
        <v>0.010127570320672265</v>
      </c>
      <c r="W291" s="7">
        <f t="shared" si="4"/>
        <v>30</v>
      </c>
      <c r="X291" s="7" t="s">
        <v>1126</v>
      </c>
      <c r="Y291" s="7"/>
      <c r="Z291" s="7"/>
      <c r="AA291" s="7"/>
    </row>
    <row r="292" ht="19.5" customHeight="1">
      <c r="A292" s="7">
        <v>226.0</v>
      </c>
      <c r="B292" s="7" t="s">
        <v>1127</v>
      </c>
      <c r="C292" s="8" t="s">
        <v>52</v>
      </c>
      <c r="D292" s="7" t="s">
        <v>64</v>
      </c>
      <c r="E292" s="7" t="s">
        <v>1128</v>
      </c>
      <c r="F292" s="7" t="s">
        <v>78</v>
      </c>
      <c r="G292" s="9" t="s">
        <v>40</v>
      </c>
      <c r="H292" s="7" t="s">
        <v>38</v>
      </c>
      <c r="I292" s="7" t="s">
        <v>39</v>
      </c>
      <c r="J292" s="9" t="s">
        <v>40</v>
      </c>
      <c r="K292" s="8" t="s">
        <v>66</v>
      </c>
      <c r="L292" s="8" t="s">
        <v>1129</v>
      </c>
      <c r="M292" s="10">
        <f t="shared" si="1"/>
        <v>0.6532125138</v>
      </c>
      <c r="N292" s="7">
        <v>4.5</v>
      </c>
      <c r="O292" s="7">
        <v>5.69</v>
      </c>
      <c r="P292" s="10">
        <v>2.7</v>
      </c>
      <c r="Q292" s="10">
        <v>3.1306548835666956</v>
      </c>
      <c r="R292" s="7">
        <v>100.0</v>
      </c>
      <c r="S292" s="7">
        <v>90.0</v>
      </c>
      <c r="T292" s="8">
        <f t="shared" si="2"/>
        <v>1.264444444</v>
      </c>
      <c r="U292" s="8">
        <f t="shared" si="3"/>
        <v>0.2346328514</v>
      </c>
      <c r="V292" s="11">
        <v>0.006963592279490118</v>
      </c>
      <c r="W292" s="7">
        <f t="shared" si="4"/>
        <v>190</v>
      </c>
      <c r="X292" s="7" t="s">
        <v>1130</v>
      </c>
      <c r="Y292" s="7"/>
      <c r="Z292" s="7"/>
      <c r="AA292" s="7"/>
    </row>
    <row r="293" ht="19.5" customHeight="1">
      <c r="A293" s="7">
        <v>227.0</v>
      </c>
      <c r="B293" s="8" t="s">
        <v>1131</v>
      </c>
      <c r="C293" s="8" t="s">
        <v>82</v>
      </c>
      <c r="D293" s="8" t="s">
        <v>118</v>
      </c>
      <c r="E293" s="8" t="s">
        <v>1132</v>
      </c>
      <c r="F293" s="8" t="s">
        <v>47</v>
      </c>
      <c r="G293" s="9" t="s">
        <v>40</v>
      </c>
      <c r="H293" s="8" t="s">
        <v>38</v>
      </c>
      <c r="I293" s="8" t="s">
        <v>39</v>
      </c>
      <c r="J293" s="9" t="s">
        <v>40</v>
      </c>
      <c r="K293" s="8" t="s">
        <v>178</v>
      </c>
      <c r="L293" s="8" t="s">
        <v>1133</v>
      </c>
      <c r="M293" s="10">
        <f t="shared" si="1"/>
        <v>0.640481437</v>
      </c>
      <c r="N293" s="7">
        <v>4.37</v>
      </c>
      <c r="O293" s="7">
        <v>5.37</v>
      </c>
      <c r="P293" s="10">
        <v>2.12</v>
      </c>
      <c r="Q293" s="10">
        <v>1.76</v>
      </c>
      <c r="R293" s="7">
        <v>16.0</v>
      </c>
      <c r="S293" s="7">
        <v>16.0</v>
      </c>
      <c r="T293" s="14">
        <f t="shared" si="2"/>
        <v>1.228832952</v>
      </c>
      <c r="U293" s="14">
        <f t="shared" si="3"/>
        <v>0.2060648994</v>
      </c>
      <c r="V293" s="11">
        <v>0.021422814034847856</v>
      </c>
      <c r="W293" s="7">
        <f t="shared" si="4"/>
        <v>32</v>
      </c>
      <c r="X293" s="8" t="s">
        <v>1134</v>
      </c>
      <c r="Y293" s="12"/>
      <c r="Z293" s="12"/>
      <c r="AA293" s="12"/>
    </row>
    <row r="294" ht="19.5" customHeight="1">
      <c r="A294" s="7">
        <v>228.0</v>
      </c>
      <c r="B294" s="8" t="s">
        <v>1135</v>
      </c>
      <c r="C294" s="8" t="s">
        <v>82</v>
      </c>
      <c r="D294" s="8" t="s">
        <v>118</v>
      </c>
      <c r="E294" s="8" t="s">
        <v>1136</v>
      </c>
      <c r="F294" s="8" t="s">
        <v>47</v>
      </c>
      <c r="G294" s="9" t="s">
        <v>40</v>
      </c>
      <c r="H294" s="8" t="s">
        <v>38</v>
      </c>
      <c r="I294" s="8" t="s">
        <v>39</v>
      </c>
      <c r="J294" s="9" t="s">
        <v>40</v>
      </c>
      <c r="K294" s="8" t="s">
        <v>66</v>
      </c>
      <c r="L294" s="8" t="s">
        <v>1137</v>
      </c>
      <c r="M294" s="10">
        <f t="shared" si="1"/>
        <v>1.932169246</v>
      </c>
      <c r="N294" s="7">
        <v>85.54</v>
      </c>
      <c r="O294" s="7">
        <v>71.67</v>
      </c>
      <c r="P294" s="10">
        <v>8.28120160363217</v>
      </c>
      <c r="Q294" s="10">
        <v>7.68</v>
      </c>
      <c r="R294" s="7">
        <v>7.0</v>
      </c>
      <c r="S294" s="7">
        <v>16.0</v>
      </c>
      <c r="T294" s="14">
        <f t="shared" si="2"/>
        <v>0.8378536357</v>
      </c>
      <c r="U294" s="14">
        <f t="shared" si="3"/>
        <v>-0.1769118528</v>
      </c>
      <c r="V294" s="11">
        <v>0.002056581014298484</v>
      </c>
      <c r="W294" s="7">
        <f t="shared" si="4"/>
        <v>23</v>
      </c>
      <c r="X294" s="8" t="s">
        <v>1138</v>
      </c>
      <c r="Y294" s="12"/>
      <c r="Z294" s="12"/>
      <c r="AA294" s="12"/>
    </row>
    <row r="295" ht="19.5" customHeight="1">
      <c r="A295" s="7">
        <v>229.0</v>
      </c>
      <c r="B295" s="7" t="s">
        <v>1139</v>
      </c>
      <c r="C295" s="8" t="s">
        <v>34</v>
      </c>
      <c r="D295" s="7" t="s">
        <v>1140</v>
      </c>
      <c r="E295" s="7" t="s">
        <v>1141</v>
      </c>
      <c r="F295" s="7" t="s">
        <v>47</v>
      </c>
      <c r="G295" s="7" t="s">
        <v>37</v>
      </c>
      <c r="H295" s="7" t="s">
        <v>38</v>
      </c>
      <c r="I295" s="8" t="s">
        <v>39</v>
      </c>
      <c r="J295" s="9" t="s">
        <v>40</v>
      </c>
      <c r="K295" s="7" t="s">
        <v>178</v>
      </c>
      <c r="L295" s="8" t="s">
        <v>1142</v>
      </c>
      <c r="M295" s="10">
        <f t="shared" si="1"/>
        <v>0.7641761324</v>
      </c>
      <c r="N295" s="7">
        <v>5.81</v>
      </c>
      <c r="O295" s="7">
        <v>8.81</v>
      </c>
      <c r="P295" s="10">
        <v>2.012461179749811</v>
      </c>
      <c r="Q295" s="10">
        <v>2.7503636123247412</v>
      </c>
      <c r="R295" s="7">
        <v>5.0</v>
      </c>
      <c r="S295" s="7">
        <v>5.0</v>
      </c>
      <c r="T295" s="8">
        <f t="shared" si="2"/>
        <v>1.516351119</v>
      </c>
      <c r="U295" s="8">
        <f t="shared" si="3"/>
        <v>0.4163068691</v>
      </c>
      <c r="V295" s="11">
        <v>0.0434877529204285</v>
      </c>
      <c r="W295" s="7">
        <f t="shared" si="4"/>
        <v>10</v>
      </c>
      <c r="X295" s="7" t="s">
        <v>1143</v>
      </c>
      <c r="Y295" s="7"/>
      <c r="Z295" s="7"/>
      <c r="AA295" s="7"/>
    </row>
    <row r="296" ht="19.5" customHeight="1">
      <c r="A296" s="7">
        <v>230.0</v>
      </c>
      <c r="B296" s="7" t="s">
        <v>1144</v>
      </c>
      <c r="C296" s="8" t="s">
        <v>34</v>
      </c>
      <c r="D296" s="7" t="s">
        <v>1145</v>
      </c>
      <c r="E296" s="7" t="s">
        <v>1146</v>
      </c>
      <c r="F296" s="7" t="s">
        <v>37</v>
      </c>
      <c r="G296" s="7" t="s">
        <v>37</v>
      </c>
      <c r="H296" s="7" t="s">
        <v>38</v>
      </c>
      <c r="I296" s="7" t="s">
        <v>39</v>
      </c>
      <c r="J296" s="9" t="s">
        <v>40</v>
      </c>
      <c r="K296" s="7" t="s">
        <v>1147</v>
      </c>
      <c r="L296" s="8" t="s">
        <v>1148</v>
      </c>
      <c r="M296" s="10">
        <f t="shared" si="1"/>
        <v>0.9449759084</v>
      </c>
      <c r="N296" s="7">
        <v>8.81</v>
      </c>
      <c r="O296" s="7">
        <v>9.57</v>
      </c>
      <c r="P296" s="10">
        <v>5.05</v>
      </c>
      <c r="Q296" s="10">
        <v>3.75</v>
      </c>
      <c r="R296" s="7">
        <v>25.0</v>
      </c>
      <c r="S296" s="7">
        <v>25.0</v>
      </c>
      <c r="T296" s="8">
        <f t="shared" si="2"/>
        <v>1.086265607</v>
      </c>
      <c r="U296" s="8">
        <f t="shared" si="3"/>
        <v>0.08274576552</v>
      </c>
      <c r="V296" s="11">
        <v>0.019284733904968154</v>
      </c>
      <c r="W296" s="7">
        <f t="shared" si="4"/>
        <v>50</v>
      </c>
      <c r="X296" s="7" t="s">
        <v>1149</v>
      </c>
      <c r="Y296" s="7"/>
      <c r="Z296" s="7"/>
      <c r="AA296" s="7"/>
    </row>
    <row r="297" ht="19.5" customHeight="1">
      <c r="A297" s="7">
        <v>230.0</v>
      </c>
      <c r="B297" s="7" t="s">
        <v>1144</v>
      </c>
      <c r="C297" s="8" t="s">
        <v>34</v>
      </c>
      <c r="D297" s="7" t="s">
        <v>1150</v>
      </c>
      <c r="E297" s="7" t="s">
        <v>1151</v>
      </c>
      <c r="F297" s="7" t="s">
        <v>37</v>
      </c>
      <c r="G297" s="7" t="s">
        <v>37</v>
      </c>
      <c r="H297" s="7" t="s">
        <v>38</v>
      </c>
      <c r="I297" s="7" t="s">
        <v>39</v>
      </c>
      <c r="J297" s="9" t="s">
        <v>40</v>
      </c>
      <c r="K297" s="7" t="s">
        <v>1147</v>
      </c>
      <c r="L297" s="8" t="s">
        <v>1152</v>
      </c>
      <c r="M297" s="10">
        <f t="shared" si="1"/>
        <v>1.13289977</v>
      </c>
      <c r="N297" s="7">
        <v>13.58</v>
      </c>
      <c r="O297" s="7">
        <v>7.01</v>
      </c>
      <c r="P297" s="10">
        <v>4.784224075019899</v>
      </c>
      <c r="Q297" s="10">
        <v>3.846140923055212</v>
      </c>
      <c r="R297" s="7">
        <v>22.0</v>
      </c>
      <c r="S297" s="7">
        <v>22.0</v>
      </c>
      <c r="T297" s="8">
        <f t="shared" si="2"/>
        <v>0.5162002946</v>
      </c>
      <c r="U297" s="8">
        <f t="shared" si="3"/>
        <v>-0.6612604211</v>
      </c>
      <c r="V297" s="11">
        <v>0.019324906521471355</v>
      </c>
      <c r="W297" s="7">
        <f t="shared" si="4"/>
        <v>44</v>
      </c>
      <c r="X297" s="7" t="s">
        <v>1149</v>
      </c>
      <c r="Y297" s="7"/>
      <c r="Z297" s="7"/>
      <c r="AA297" s="7"/>
    </row>
    <row r="298" ht="19.5" customHeight="1">
      <c r="A298" s="7">
        <v>230.0</v>
      </c>
      <c r="B298" s="7" t="s">
        <v>1144</v>
      </c>
      <c r="C298" s="8" t="s">
        <v>34</v>
      </c>
      <c r="D298" s="7" t="s">
        <v>1153</v>
      </c>
      <c r="E298" s="7" t="s">
        <v>1154</v>
      </c>
      <c r="F298" s="7" t="s">
        <v>37</v>
      </c>
      <c r="G298" s="7" t="s">
        <v>37</v>
      </c>
      <c r="H298" s="7" t="s">
        <v>38</v>
      </c>
      <c r="I298" s="7" t="s">
        <v>39</v>
      </c>
      <c r="J298" s="9" t="s">
        <v>40</v>
      </c>
      <c r="K298" s="7" t="s">
        <v>1147</v>
      </c>
      <c r="L298" s="8" t="s">
        <v>1148</v>
      </c>
      <c r="M298" s="10">
        <f t="shared" si="1"/>
        <v>1.219846386</v>
      </c>
      <c r="N298" s="7">
        <v>16.59</v>
      </c>
      <c r="O298" s="7">
        <v>9.82</v>
      </c>
      <c r="P298" s="10">
        <v>7.887204828074392</v>
      </c>
      <c r="Q298" s="10">
        <v>4.491324971542362</v>
      </c>
      <c r="R298" s="7">
        <v>30.0</v>
      </c>
      <c r="S298" s="7">
        <v>30.0</v>
      </c>
      <c r="T298" s="8">
        <f t="shared" si="2"/>
        <v>0.5919228451</v>
      </c>
      <c r="U298" s="8">
        <f t="shared" si="3"/>
        <v>-0.5243789818</v>
      </c>
      <c r="V298" s="11">
        <v>0.0145068746235353</v>
      </c>
      <c r="W298" s="7">
        <f t="shared" si="4"/>
        <v>60</v>
      </c>
      <c r="X298" s="7" t="s">
        <v>1149</v>
      </c>
      <c r="Y298" s="7"/>
      <c r="Z298" s="7"/>
      <c r="AA298" s="7"/>
    </row>
    <row r="299" ht="19.5" customHeight="1">
      <c r="A299" s="7">
        <v>230.0</v>
      </c>
      <c r="B299" s="7" t="s">
        <v>1144</v>
      </c>
      <c r="C299" s="8" t="s">
        <v>34</v>
      </c>
      <c r="D299" s="7" t="s">
        <v>1155</v>
      </c>
      <c r="E299" s="7" t="s">
        <v>1156</v>
      </c>
      <c r="F299" s="7" t="s">
        <v>37</v>
      </c>
      <c r="G299" s="7" t="s">
        <v>37</v>
      </c>
      <c r="H299" s="7" t="s">
        <v>38</v>
      </c>
      <c r="I299" s="7" t="s">
        <v>39</v>
      </c>
      <c r="J299" s="9" t="s">
        <v>40</v>
      </c>
      <c r="K299" s="7" t="s">
        <v>1147</v>
      </c>
      <c r="L299" s="8" t="s">
        <v>1157</v>
      </c>
      <c r="M299" s="10">
        <f t="shared" si="1"/>
        <v>0.8876173003</v>
      </c>
      <c r="N299" s="7">
        <v>7.72</v>
      </c>
      <c r="O299" s="7">
        <v>5.26</v>
      </c>
      <c r="P299" s="10">
        <v>6.025744767246618</v>
      </c>
      <c r="Q299" s="10">
        <v>4.017163178164411</v>
      </c>
      <c r="R299" s="7">
        <v>24.0</v>
      </c>
      <c r="S299" s="7">
        <v>24.0</v>
      </c>
      <c r="T299" s="8">
        <f t="shared" si="2"/>
        <v>0.6813471503</v>
      </c>
      <c r="U299" s="8">
        <f t="shared" si="3"/>
        <v>-0.3836833373</v>
      </c>
      <c r="V299" s="11">
        <v>0.049687704266523705</v>
      </c>
      <c r="W299" s="7">
        <f t="shared" si="4"/>
        <v>48</v>
      </c>
      <c r="X299" s="7" t="s">
        <v>1149</v>
      </c>
      <c r="Y299" s="7"/>
      <c r="Z299" s="7"/>
      <c r="AA299" s="7"/>
    </row>
    <row r="300" ht="19.5" customHeight="1">
      <c r="A300" s="7">
        <v>230.0</v>
      </c>
      <c r="B300" s="7" t="s">
        <v>1144</v>
      </c>
      <c r="C300" s="8" t="s">
        <v>34</v>
      </c>
      <c r="D300" s="7" t="s">
        <v>1158</v>
      </c>
      <c r="E300" s="7" t="s">
        <v>1159</v>
      </c>
      <c r="F300" s="7" t="s">
        <v>37</v>
      </c>
      <c r="G300" s="7" t="s">
        <v>37</v>
      </c>
      <c r="H300" s="7" t="s">
        <v>38</v>
      </c>
      <c r="I300" s="7" t="s">
        <v>39</v>
      </c>
      <c r="J300" s="9" t="s">
        <v>40</v>
      </c>
      <c r="K300" s="7" t="s">
        <v>1147</v>
      </c>
      <c r="L300" s="8" t="s">
        <v>1157</v>
      </c>
      <c r="M300" s="10">
        <f t="shared" si="1"/>
        <v>1.039017322</v>
      </c>
      <c r="N300" s="7">
        <v>10.94</v>
      </c>
      <c r="O300" s="7">
        <v>10.21</v>
      </c>
      <c r="P300" s="10">
        <v>5.544916590896566</v>
      </c>
      <c r="Q300" s="10">
        <v>0.0</v>
      </c>
      <c r="R300" s="7">
        <v>21.0</v>
      </c>
      <c r="S300" s="7">
        <v>21.0</v>
      </c>
      <c r="T300" s="8">
        <f t="shared" si="2"/>
        <v>0.9332723949</v>
      </c>
      <c r="U300" s="8">
        <f t="shared" si="3"/>
        <v>-0.06905816482</v>
      </c>
      <c r="V300" s="11">
        <v>0.012233087908451951</v>
      </c>
      <c r="W300" s="7">
        <f t="shared" si="4"/>
        <v>42</v>
      </c>
      <c r="X300" s="7" t="s">
        <v>1149</v>
      </c>
      <c r="Y300" s="7"/>
      <c r="Z300" s="7"/>
      <c r="AA300" s="7"/>
    </row>
    <row r="301" ht="19.5" customHeight="1">
      <c r="A301" s="7">
        <v>230.0</v>
      </c>
      <c r="B301" s="7" t="s">
        <v>1144</v>
      </c>
      <c r="C301" s="8" t="s">
        <v>34</v>
      </c>
      <c r="D301" s="7" t="s">
        <v>1160</v>
      </c>
      <c r="E301" s="7" t="s">
        <v>1161</v>
      </c>
      <c r="F301" s="7" t="s">
        <v>37</v>
      </c>
      <c r="G301" s="7" t="s">
        <v>37</v>
      </c>
      <c r="H301" s="7" t="s">
        <v>38</v>
      </c>
      <c r="I301" s="7" t="s">
        <v>39</v>
      </c>
      <c r="J301" s="9" t="s">
        <v>40</v>
      </c>
      <c r="K301" s="7" t="s">
        <v>1147</v>
      </c>
      <c r="L301" s="8" t="s">
        <v>1162</v>
      </c>
      <c r="M301" s="10">
        <f t="shared" si="1"/>
        <v>1.195068996</v>
      </c>
      <c r="N301" s="7">
        <v>15.67</v>
      </c>
      <c r="O301" s="7">
        <v>9.92</v>
      </c>
      <c r="P301" s="10">
        <v>2.8405633244129582</v>
      </c>
      <c r="Q301" s="10">
        <v>2.8405633244129582</v>
      </c>
      <c r="R301" s="7">
        <v>12.0</v>
      </c>
      <c r="S301" s="7">
        <v>12.0</v>
      </c>
      <c r="T301" s="8">
        <f t="shared" si="2"/>
        <v>0.6330567964</v>
      </c>
      <c r="U301" s="8">
        <f t="shared" si="3"/>
        <v>-0.4571951351</v>
      </c>
      <c r="V301" s="11">
        <v>0.00957124368134615</v>
      </c>
      <c r="W301" s="7">
        <f t="shared" si="4"/>
        <v>24</v>
      </c>
      <c r="X301" s="7" t="s">
        <v>1149</v>
      </c>
      <c r="Y301" s="7"/>
      <c r="Z301" s="7"/>
      <c r="AA301" s="7"/>
    </row>
    <row r="302" ht="19.5" customHeight="1">
      <c r="A302" s="7">
        <v>230.0</v>
      </c>
      <c r="B302" s="7" t="s">
        <v>1144</v>
      </c>
      <c r="C302" s="8" t="s">
        <v>34</v>
      </c>
      <c r="D302" s="7" t="s">
        <v>1163</v>
      </c>
      <c r="E302" s="7" t="s">
        <v>1164</v>
      </c>
      <c r="F302" s="7" t="s">
        <v>37</v>
      </c>
      <c r="G302" s="7" t="s">
        <v>37</v>
      </c>
      <c r="H302" s="7" t="s">
        <v>38</v>
      </c>
      <c r="I302" s="7" t="s">
        <v>39</v>
      </c>
      <c r="J302" s="9" t="s">
        <v>40</v>
      </c>
      <c r="K302" s="7" t="s">
        <v>1147</v>
      </c>
      <c r="L302" s="8" t="s">
        <v>1152</v>
      </c>
      <c r="M302" s="10">
        <f t="shared" si="1"/>
        <v>1.179264464</v>
      </c>
      <c r="N302" s="7">
        <v>15.11</v>
      </c>
      <c r="O302" s="7">
        <v>12.34</v>
      </c>
      <c r="P302" s="10">
        <v>4.843789838545846</v>
      </c>
      <c r="Q302" s="10">
        <v>4.843789838545846</v>
      </c>
      <c r="R302" s="7">
        <v>23.0</v>
      </c>
      <c r="S302" s="7">
        <v>23.0</v>
      </c>
      <c r="T302" s="8">
        <f t="shared" si="2"/>
        <v>0.8166776969</v>
      </c>
      <c r="U302" s="8">
        <f t="shared" si="3"/>
        <v>-0.2025107578</v>
      </c>
      <c r="V302" s="11">
        <v>0.01116704453014596</v>
      </c>
      <c r="W302" s="7">
        <f t="shared" si="4"/>
        <v>46</v>
      </c>
      <c r="X302" s="7" t="s">
        <v>1149</v>
      </c>
      <c r="Y302" s="7"/>
      <c r="Z302" s="7"/>
      <c r="AA302" s="7"/>
    </row>
    <row r="303" ht="19.5" customHeight="1">
      <c r="A303" s="7">
        <v>230.0</v>
      </c>
      <c r="B303" s="7" t="s">
        <v>1144</v>
      </c>
      <c r="C303" s="8" t="s">
        <v>34</v>
      </c>
      <c r="D303" s="7" t="s">
        <v>1165</v>
      </c>
      <c r="E303" s="7" t="s">
        <v>1166</v>
      </c>
      <c r="F303" s="7" t="s">
        <v>37</v>
      </c>
      <c r="G303" s="7" t="s">
        <v>37</v>
      </c>
      <c r="H303" s="7" t="s">
        <v>38</v>
      </c>
      <c r="I303" s="7" t="s">
        <v>39</v>
      </c>
      <c r="J303" s="9" t="s">
        <v>40</v>
      </c>
      <c r="K303" s="7" t="s">
        <v>1147</v>
      </c>
      <c r="L303" s="8" t="s">
        <v>371</v>
      </c>
      <c r="M303" s="10">
        <f t="shared" si="1"/>
        <v>1.458033192</v>
      </c>
      <c r="N303" s="7">
        <v>28.71</v>
      </c>
      <c r="O303" s="7">
        <v>24.68</v>
      </c>
      <c r="P303" s="10">
        <v>9.145228263963672</v>
      </c>
      <c r="Q303" s="10">
        <v>6.547152052610357</v>
      </c>
      <c r="R303" s="7">
        <v>27.0</v>
      </c>
      <c r="S303" s="7">
        <v>27.0</v>
      </c>
      <c r="T303" s="8">
        <f t="shared" si="2"/>
        <v>0.8596307907</v>
      </c>
      <c r="U303" s="8">
        <f t="shared" si="3"/>
        <v>-0.1512522951</v>
      </c>
      <c r="V303" s="11">
        <v>0.006364477109553937</v>
      </c>
      <c r="W303" s="7">
        <f t="shared" si="4"/>
        <v>54</v>
      </c>
      <c r="X303" s="7" t="s">
        <v>1149</v>
      </c>
      <c r="Y303" s="7"/>
      <c r="Z303" s="7"/>
      <c r="AA303" s="7"/>
    </row>
    <row r="304" ht="19.5" customHeight="1">
      <c r="A304" s="7">
        <v>230.0</v>
      </c>
      <c r="B304" s="7" t="s">
        <v>1144</v>
      </c>
      <c r="C304" s="8" t="s">
        <v>34</v>
      </c>
      <c r="D304" s="7" t="s">
        <v>1167</v>
      </c>
      <c r="E304" s="7" t="s">
        <v>1168</v>
      </c>
      <c r="F304" s="7" t="s">
        <v>37</v>
      </c>
      <c r="G304" s="7" t="s">
        <v>37</v>
      </c>
      <c r="H304" s="7" t="s">
        <v>38</v>
      </c>
      <c r="I304" s="7" t="s">
        <v>39</v>
      </c>
      <c r="J304" s="9" t="s">
        <v>40</v>
      </c>
      <c r="K304" s="7" t="s">
        <v>1147</v>
      </c>
      <c r="L304" s="8" t="s">
        <v>1162</v>
      </c>
      <c r="M304" s="10">
        <f t="shared" si="1"/>
        <v>1.186391216</v>
      </c>
      <c r="N304" s="7">
        <v>15.36</v>
      </c>
      <c r="O304" s="7">
        <v>10.32</v>
      </c>
      <c r="P304" s="10">
        <v>5.492212668861249</v>
      </c>
      <c r="Q304" s="10">
        <v>6.581937404746418</v>
      </c>
      <c r="R304" s="7">
        <v>19.0</v>
      </c>
      <c r="S304" s="7">
        <v>19.0</v>
      </c>
      <c r="T304" s="8">
        <f t="shared" si="2"/>
        <v>0.671875</v>
      </c>
      <c r="U304" s="8">
        <f t="shared" si="3"/>
        <v>-0.3976829677</v>
      </c>
      <c r="V304" s="11">
        <v>0.02813803319367686</v>
      </c>
      <c r="W304" s="7">
        <f t="shared" si="4"/>
        <v>38</v>
      </c>
      <c r="X304" s="7" t="s">
        <v>1149</v>
      </c>
      <c r="Y304" s="7"/>
      <c r="Z304" s="7"/>
      <c r="AA304" s="7"/>
    </row>
    <row r="305" ht="19.5" customHeight="1">
      <c r="A305" s="7">
        <v>230.0</v>
      </c>
      <c r="B305" s="7" t="s">
        <v>1144</v>
      </c>
      <c r="C305" s="8" t="s">
        <v>34</v>
      </c>
      <c r="D305" s="7" t="s">
        <v>1169</v>
      </c>
      <c r="E305" s="7" t="s">
        <v>1170</v>
      </c>
      <c r="F305" s="7" t="s">
        <v>37</v>
      </c>
      <c r="G305" s="7" t="s">
        <v>37</v>
      </c>
      <c r="H305" s="7" t="s">
        <v>38</v>
      </c>
      <c r="I305" s="7" t="s">
        <v>39</v>
      </c>
      <c r="J305" s="9" t="s">
        <v>40</v>
      </c>
      <c r="K305" s="7" t="s">
        <v>1147</v>
      </c>
      <c r="L305" s="8" t="s">
        <v>1162</v>
      </c>
      <c r="M305" s="10">
        <f t="shared" si="1"/>
        <v>1.442636526</v>
      </c>
      <c r="N305" s="7">
        <v>27.71</v>
      </c>
      <c r="O305" s="7">
        <v>25.28</v>
      </c>
      <c r="P305" s="10">
        <v>4.4580713318653835</v>
      </c>
      <c r="Q305" s="10">
        <v>3.5762550244634395</v>
      </c>
      <c r="R305" s="7">
        <v>24.0</v>
      </c>
      <c r="S305" s="7">
        <v>24.0</v>
      </c>
      <c r="T305" s="8">
        <f t="shared" si="2"/>
        <v>0.9123060267</v>
      </c>
      <c r="U305" s="8">
        <f t="shared" si="3"/>
        <v>-0.0917797896</v>
      </c>
      <c r="V305" s="11">
        <v>0.0019123311370511558</v>
      </c>
      <c r="W305" s="7">
        <f t="shared" si="4"/>
        <v>48</v>
      </c>
      <c r="X305" s="7" t="s">
        <v>1149</v>
      </c>
      <c r="Y305" s="7"/>
      <c r="Z305" s="7"/>
      <c r="AA305" s="7"/>
    </row>
    <row r="306" ht="19.5" customHeight="1">
      <c r="A306" s="7">
        <v>230.0</v>
      </c>
      <c r="B306" s="7" t="s">
        <v>1144</v>
      </c>
      <c r="C306" s="8" t="s">
        <v>34</v>
      </c>
      <c r="D306" s="7" t="s">
        <v>1171</v>
      </c>
      <c r="E306" s="7" t="s">
        <v>1172</v>
      </c>
      <c r="F306" s="7" t="s">
        <v>37</v>
      </c>
      <c r="G306" s="7" t="s">
        <v>37</v>
      </c>
      <c r="H306" s="7" t="s">
        <v>38</v>
      </c>
      <c r="I306" s="7" t="s">
        <v>39</v>
      </c>
      <c r="J306" s="9" t="s">
        <v>40</v>
      </c>
      <c r="K306" s="7" t="s">
        <v>1147</v>
      </c>
      <c r="L306" s="8" t="s">
        <v>1152</v>
      </c>
      <c r="M306" s="10">
        <f t="shared" si="1"/>
        <v>1.288696261</v>
      </c>
      <c r="N306" s="7">
        <v>19.44</v>
      </c>
      <c r="O306" s="7">
        <v>19.44</v>
      </c>
      <c r="P306" s="10">
        <v>6.1</v>
      </c>
      <c r="Q306" s="10">
        <v>6.1</v>
      </c>
      <c r="R306" s="7">
        <v>25.0</v>
      </c>
      <c r="S306" s="7">
        <v>25.0</v>
      </c>
      <c r="T306" s="8">
        <f t="shared" si="2"/>
        <v>1</v>
      </c>
      <c r="U306" s="8">
        <f t="shared" si="3"/>
        <v>0</v>
      </c>
      <c r="V306" s="11">
        <v>0.007876932716896136</v>
      </c>
      <c r="W306" s="7">
        <f t="shared" si="4"/>
        <v>50</v>
      </c>
      <c r="X306" s="7" t="s">
        <v>1149</v>
      </c>
      <c r="Y306" s="7"/>
      <c r="Z306" s="7"/>
      <c r="AA306" s="7"/>
    </row>
    <row r="307" ht="19.5" customHeight="1">
      <c r="A307" s="7">
        <v>230.0</v>
      </c>
      <c r="B307" s="7" t="s">
        <v>1144</v>
      </c>
      <c r="C307" s="8" t="s">
        <v>34</v>
      </c>
      <c r="D307" s="7" t="s">
        <v>1173</v>
      </c>
      <c r="E307" s="7" t="s">
        <v>1174</v>
      </c>
      <c r="F307" s="7" t="s">
        <v>37</v>
      </c>
      <c r="G307" s="7" t="s">
        <v>37</v>
      </c>
      <c r="H307" s="7" t="s">
        <v>38</v>
      </c>
      <c r="I307" s="7" t="s">
        <v>39</v>
      </c>
      <c r="J307" s="9" t="s">
        <v>40</v>
      </c>
      <c r="K307" s="7" t="s">
        <v>1147</v>
      </c>
      <c r="L307" s="8" t="s">
        <v>1157</v>
      </c>
      <c r="M307" s="10">
        <f t="shared" si="1"/>
        <v>1.195899652</v>
      </c>
      <c r="N307" s="7">
        <v>15.7</v>
      </c>
      <c r="O307" s="7">
        <v>8.72</v>
      </c>
      <c r="P307" s="10">
        <v>7.391380114701177</v>
      </c>
      <c r="Q307" s="10">
        <v>8.905711650396054</v>
      </c>
      <c r="R307" s="7">
        <v>13.0</v>
      </c>
      <c r="S307" s="7">
        <v>13.0</v>
      </c>
      <c r="T307" s="8">
        <f t="shared" si="2"/>
        <v>0.5554140127</v>
      </c>
      <c r="U307" s="8">
        <f t="shared" si="3"/>
        <v>-0.5880414744</v>
      </c>
      <c r="V307" s="11">
        <v>0.09728383368284843</v>
      </c>
      <c r="W307" s="7">
        <f t="shared" si="4"/>
        <v>26</v>
      </c>
      <c r="X307" s="7" t="s">
        <v>1149</v>
      </c>
      <c r="Y307" s="7"/>
      <c r="Z307" s="7"/>
      <c r="AA307" s="7"/>
    </row>
    <row r="308" ht="19.5" customHeight="1">
      <c r="A308" s="7">
        <v>230.0</v>
      </c>
      <c r="B308" s="7" t="s">
        <v>1144</v>
      </c>
      <c r="C308" s="8" t="s">
        <v>34</v>
      </c>
      <c r="D308" s="7" t="s">
        <v>1175</v>
      </c>
      <c r="E308" s="7" t="s">
        <v>1176</v>
      </c>
      <c r="F308" s="7" t="s">
        <v>37</v>
      </c>
      <c r="G308" s="7" t="s">
        <v>37</v>
      </c>
      <c r="H308" s="7" t="s">
        <v>38</v>
      </c>
      <c r="I308" s="7" t="s">
        <v>39</v>
      </c>
      <c r="J308" s="9" t="s">
        <v>40</v>
      </c>
      <c r="K308" s="7" t="s">
        <v>1147</v>
      </c>
      <c r="L308" s="8" t="s">
        <v>1148</v>
      </c>
      <c r="M308" s="10">
        <f t="shared" si="1"/>
        <v>1.093421685</v>
      </c>
      <c r="N308" s="7">
        <v>12.4</v>
      </c>
      <c r="O308" s="7">
        <v>12.15</v>
      </c>
      <c r="P308" s="10">
        <v>5.312908807800111</v>
      </c>
      <c r="Q308" s="10">
        <v>5.367681063550628</v>
      </c>
      <c r="R308" s="7">
        <v>30.0</v>
      </c>
      <c r="S308" s="7">
        <v>30.0</v>
      </c>
      <c r="T308" s="8">
        <f t="shared" si="2"/>
        <v>0.9798387097</v>
      </c>
      <c r="U308" s="8">
        <f t="shared" si="3"/>
        <v>-0.02036730282</v>
      </c>
      <c r="V308" s="11">
        <v>0.012625060127491781</v>
      </c>
      <c r="W308" s="7">
        <f t="shared" si="4"/>
        <v>60</v>
      </c>
      <c r="X308" s="7" t="s">
        <v>1149</v>
      </c>
      <c r="Y308" s="7"/>
      <c r="Z308" s="7"/>
      <c r="AA308" s="7"/>
    </row>
    <row r="309" ht="19.5" customHeight="1">
      <c r="A309" s="7">
        <v>230.0</v>
      </c>
      <c r="B309" s="7" t="s">
        <v>1144</v>
      </c>
      <c r="C309" s="8" t="s">
        <v>34</v>
      </c>
      <c r="D309" s="7" t="s">
        <v>1177</v>
      </c>
      <c r="E309" s="7" t="s">
        <v>1178</v>
      </c>
      <c r="F309" s="7" t="s">
        <v>37</v>
      </c>
      <c r="G309" s="7" t="s">
        <v>37</v>
      </c>
      <c r="H309" s="7" t="s">
        <v>38</v>
      </c>
      <c r="I309" s="7" t="s">
        <v>39</v>
      </c>
      <c r="J309" s="9" t="s">
        <v>40</v>
      </c>
      <c r="K309" s="7" t="s">
        <v>1147</v>
      </c>
      <c r="L309" s="8" t="s">
        <v>1179</v>
      </c>
      <c r="M309" s="10">
        <f t="shared" si="1"/>
        <v>1.349471799</v>
      </c>
      <c r="N309" s="7">
        <v>22.36</v>
      </c>
      <c r="O309" s="7">
        <v>12.64</v>
      </c>
      <c r="P309" s="10">
        <v>9.311283477587823</v>
      </c>
      <c r="Q309" s="10">
        <v>13.309658147375538</v>
      </c>
      <c r="R309" s="7">
        <v>30.0</v>
      </c>
      <c r="S309" s="7">
        <v>30.0</v>
      </c>
      <c r="T309" s="8">
        <f t="shared" si="2"/>
        <v>0.5652951699</v>
      </c>
      <c r="U309" s="8">
        <f t="shared" si="3"/>
        <v>-0.5704072596</v>
      </c>
      <c r="V309" s="11">
        <v>0.0427391971832304</v>
      </c>
      <c r="W309" s="7">
        <f t="shared" si="4"/>
        <v>60</v>
      </c>
      <c r="X309" s="7" t="s">
        <v>1149</v>
      </c>
      <c r="Y309" s="7"/>
      <c r="Z309" s="7"/>
      <c r="AA309" s="7"/>
    </row>
    <row r="310" ht="19.5" customHeight="1">
      <c r="A310" s="7">
        <v>230.0</v>
      </c>
      <c r="B310" s="7" t="s">
        <v>1144</v>
      </c>
      <c r="C310" s="8" t="s">
        <v>34</v>
      </c>
      <c r="D310" s="7" t="s">
        <v>1180</v>
      </c>
      <c r="E310" s="7" t="s">
        <v>1181</v>
      </c>
      <c r="F310" s="7" t="s">
        <v>37</v>
      </c>
      <c r="G310" s="7" t="s">
        <v>37</v>
      </c>
      <c r="H310" s="7" t="s">
        <v>38</v>
      </c>
      <c r="I310" s="7" t="s">
        <v>39</v>
      </c>
      <c r="J310" s="9" t="s">
        <v>40</v>
      </c>
      <c r="K310" s="7" t="s">
        <v>1147</v>
      </c>
      <c r="L310" s="8" t="s">
        <v>1182</v>
      </c>
      <c r="M310" s="10">
        <f t="shared" si="1"/>
        <v>1.365487985</v>
      </c>
      <c r="N310" s="7">
        <v>23.2</v>
      </c>
      <c r="O310" s="7">
        <v>10.27</v>
      </c>
      <c r="P310" s="10">
        <v>7.810825820615898</v>
      </c>
      <c r="Q310" s="10">
        <v>2.593067681338071</v>
      </c>
      <c r="R310" s="7">
        <v>10.0</v>
      </c>
      <c r="S310" s="7">
        <v>10.0</v>
      </c>
      <c r="T310" s="8">
        <f t="shared" si="2"/>
        <v>0.4426724138</v>
      </c>
      <c r="U310" s="8">
        <f t="shared" si="3"/>
        <v>-0.8149252547</v>
      </c>
      <c r="V310" s="11">
        <v>0.017710003661349574</v>
      </c>
      <c r="W310" s="7">
        <f t="shared" si="4"/>
        <v>20</v>
      </c>
      <c r="X310" s="7" t="s">
        <v>1149</v>
      </c>
      <c r="Y310" s="7"/>
      <c r="Z310" s="7"/>
      <c r="AA310" s="7"/>
    </row>
    <row r="311" ht="19.5" customHeight="1">
      <c r="A311" s="7">
        <v>230.0</v>
      </c>
      <c r="B311" s="7" t="s">
        <v>1144</v>
      </c>
      <c r="C311" s="8" t="s">
        <v>34</v>
      </c>
      <c r="D311" s="7" t="s">
        <v>1183</v>
      </c>
      <c r="E311" s="7" t="s">
        <v>1184</v>
      </c>
      <c r="F311" s="7" t="s">
        <v>37</v>
      </c>
      <c r="G311" s="7" t="s">
        <v>37</v>
      </c>
      <c r="H311" s="7" t="s">
        <v>38</v>
      </c>
      <c r="I311" s="7" t="s">
        <v>39</v>
      </c>
      <c r="J311" s="9" t="s">
        <v>40</v>
      </c>
      <c r="K311" s="7" t="s">
        <v>1147</v>
      </c>
      <c r="L311" s="8" t="s">
        <v>1182</v>
      </c>
      <c r="M311" s="10">
        <f t="shared" si="1"/>
        <v>1.450095076</v>
      </c>
      <c r="N311" s="7">
        <v>28.19</v>
      </c>
      <c r="O311" s="7">
        <v>17.99</v>
      </c>
      <c r="P311" s="10">
        <v>8.194229677034931</v>
      </c>
      <c r="Q311" s="10">
        <v>3.629407665170723</v>
      </c>
      <c r="R311" s="7">
        <v>14.0</v>
      </c>
      <c r="S311" s="7">
        <v>14.0</v>
      </c>
      <c r="T311" s="8">
        <f t="shared" si="2"/>
        <v>0.6381695637</v>
      </c>
      <c r="U311" s="8">
        <f t="shared" si="3"/>
        <v>-0.4491512572</v>
      </c>
      <c r="V311" s="11">
        <v>0.008942530811469429</v>
      </c>
      <c r="W311" s="7">
        <f t="shared" si="4"/>
        <v>28</v>
      </c>
      <c r="X311" s="7" t="s">
        <v>1149</v>
      </c>
      <c r="Y311" s="7"/>
      <c r="Z311" s="7"/>
      <c r="AA311" s="7"/>
    </row>
    <row r="312" ht="19.5" customHeight="1">
      <c r="A312" s="7">
        <v>230.0</v>
      </c>
      <c r="B312" s="7" t="s">
        <v>1144</v>
      </c>
      <c r="C312" s="8" t="s">
        <v>34</v>
      </c>
      <c r="D312" s="7" t="s">
        <v>1185</v>
      </c>
      <c r="E312" s="7" t="s">
        <v>1186</v>
      </c>
      <c r="F312" s="7" t="s">
        <v>37</v>
      </c>
      <c r="G312" s="7" t="s">
        <v>37</v>
      </c>
      <c r="H312" s="7" t="s">
        <v>38</v>
      </c>
      <c r="I312" s="7" t="s">
        <v>39</v>
      </c>
      <c r="J312" s="9" t="s">
        <v>40</v>
      </c>
      <c r="K312" s="7" t="s">
        <v>1147</v>
      </c>
      <c r="L312" s="8" t="s">
        <v>1182</v>
      </c>
      <c r="M312" s="10">
        <f t="shared" si="1"/>
        <v>1.413969972</v>
      </c>
      <c r="N312" s="7">
        <v>25.94</v>
      </c>
      <c r="O312" s="7">
        <v>13.09</v>
      </c>
      <c r="P312" s="10">
        <v>14.82635491278959</v>
      </c>
      <c r="Q312" s="10">
        <v>6.131459858793825</v>
      </c>
      <c r="R312" s="7">
        <v>12.0</v>
      </c>
      <c r="S312" s="7">
        <v>12.0</v>
      </c>
      <c r="T312" s="8">
        <f t="shared" si="2"/>
        <v>0.5046260601</v>
      </c>
      <c r="U312" s="8">
        <f t="shared" si="3"/>
        <v>-0.683937599</v>
      </c>
      <c r="V312" s="11">
        <v>0.045507560584139975</v>
      </c>
      <c r="W312" s="7">
        <f t="shared" si="4"/>
        <v>24</v>
      </c>
      <c r="X312" s="7" t="s">
        <v>1149</v>
      </c>
      <c r="Y312" s="7"/>
      <c r="Z312" s="7"/>
      <c r="AA312" s="7"/>
    </row>
    <row r="313" ht="19.5" customHeight="1">
      <c r="A313" s="7">
        <v>231.0</v>
      </c>
      <c r="B313" s="7" t="s">
        <v>1187</v>
      </c>
      <c r="C313" s="7" t="s">
        <v>109</v>
      </c>
      <c r="D313" s="7" t="s">
        <v>110</v>
      </c>
      <c r="E313" s="7" t="s">
        <v>819</v>
      </c>
      <c r="F313" s="7" t="s">
        <v>47</v>
      </c>
      <c r="G313" s="9" t="s">
        <v>40</v>
      </c>
      <c r="H313" s="7" t="s">
        <v>90</v>
      </c>
      <c r="I313" s="7" t="s">
        <v>39</v>
      </c>
      <c r="J313" s="7">
        <v>730.0</v>
      </c>
      <c r="K313" s="7" t="s">
        <v>105</v>
      </c>
      <c r="L313" s="8" t="s">
        <v>1188</v>
      </c>
      <c r="M313" s="10">
        <f t="shared" si="1"/>
        <v>1.569490954</v>
      </c>
      <c r="N313" s="7">
        <v>37.11</v>
      </c>
      <c r="O313" s="7">
        <v>32.03</v>
      </c>
      <c r="P313" s="10">
        <v>5.403998519614897</v>
      </c>
      <c r="Q313" s="10">
        <v>5.403998519614897</v>
      </c>
      <c r="R313" s="7">
        <v>12.0</v>
      </c>
      <c r="S313" s="7">
        <v>12.0</v>
      </c>
      <c r="T313" s="8">
        <f t="shared" si="2"/>
        <v>0.8631096739</v>
      </c>
      <c r="U313" s="8">
        <f t="shared" si="3"/>
        <v>-0.1472135115</v>
      </c>
      <c r="V313" s="11">
        <v>0.004139237773007369</v>
      </c>
      <c r="W313" s="7">
        <f t="shared" si="4"/>
        <v>24</v>
      </c>
      <c r="X313" s="8" t="s">
        <v>1189</v>
      </c>
      <c r="Y313" s="7"/>
      <c r="Z313" s="7"/>
      <c r="AA313" s="7"/>
    </row>
    <row r="314" ht="19.5" customHeight="1">
      <c r="A314" s="7">
        <v>232.0</v>
      </c>
      <c r="B314" s="7" t="s">
        <v>1190</v>
      </c>
      <c r="C314" s="7" t="s">
        <v>52</v>
      </c>
      <c r="D314" s="7" t="s">
        <v>53</v>
      </c>
      <c r="E314" s="7" t="s">
        <v>1191</v>
      </c>
      <c r="F314" s="7" t="s">
        <v>47</v>
      </c>
      <c r="G314" s="9" t="s">
        <v>40</v>
      </c>
      <c r="H314" s="7" t="s">
        <v>38</v>
      </c>
      <c r="I314" s="7" t="s">
        <v>72</v>
      </c>
      <c r="J314" s="9" t="s">
        <v>40</v>
      </c>
      <c r="K314" s="7" t="s">
        <v>48</v>
      </c>
      <c r="L314" s="8" t="s">
        <v>1192</v>
      </c>
      <c r="M314" s="10">
        <f t="shared" si="1"/>
        <v>1.391816924</v>
      </c>
      <c r="N314" s="7">
        <v>24.65</v>
      </c>
      <c r="O314" s="7">
        <v>14.85</v>
      </c>
      <c r="P314" s="10">
        <v>4.9363448015713</v>
      </c>
      <c r="Q314" s="10">
        <v>5.542562584220407</v>
      </c>
      <c r="R314" s="7">
        <v>3.0</v>
      </c>
      <c r="S314" s="7">
        <v>3.0</v>
      </c>
      <c r="T314" s="8">
        <f t="shared" si="2"/>
        <v>0.6024340771</v>
      </c>
      <c r="U314" s="8">
        <f t="shared" si="3"/>
        <v>-0.5067770352</v>
      </c>
      <c r="V314" s="11">
        <v>0.05980284584529675</v>
      </c>
      <c r="W314" s="7">
        <f t="shared" si="4"/>
        <v>6</v>
      </c>
      <c r="X314" s="7" t="s">
        <v>1193</v>
      </c>
      <c r="Y314" s="7"/>
      <c r="Z314" s="7"/>
      <c r="AA314" s="7"/>
    </row>
    <row r="315" ht="19.5" customHeight="1">
      <c r="A315" s="7">
        <v>233.0</v>
      </c>
      <c r="B315" s="7" t="s">
        <v>1194</v>
      </c>
      <c r="C315" s="7" t="s">
        <v>52</v>
      </c>
      <c r="D315" s="7" t="s">
        <v>53</v>
      </c>
      <c r="E315" s="7" t="s">
        <v>1195</v>
      </c>
      <c r="F315" s="7" t="s">
        <v>37</v>
      </c>
      <c r="G315" s="9" t="s">
        <v>40</v>
      </c>
      <c r="H315" s="7" t="s">
        <v>38</v>
      </c>
      <c r="I315" s="7" t="s">
        <v>39</v>
      </c>
      <c r="J315" s="9" t="s">
        <v>40</v>
      </c>
      <c r="K315" s="7" t="s">
        <v>213</v>
      </c>
      <c r="L315" s="8" t="s">
        <v>1196</v>
      </c>
      <c r="M315" s="10">
        <f t="shared" si="1"/>
        <v>1.522574633</v>
      </c>
      <c r="N315" s="7">
        <v>33.31</v>
      </c>
      <c r="O315" s="7">
        <v>21.83</v>
      </c>
      <c r="P315" s="10">
        <v>1.69</v>
      </c>
      <c r="Q315" s="10">
        <v>1.32</v>
      </c>
      <c r="R315" s="7">
        <v>1.0</v>
      </c>
      <c r="S315" s="7">
        <v>1.0</v>
      </c>
      <c r="T315" s="8">
        <f t="shared" si="2"/>
        <v>0.6553587511</v>
      </c>
      <c r="U315" s="8">
        <f t="shared" si="3"/>
        <v>-0.4225724816</v>
      </c>
      <c r="V315" s="11">
        <v>0.006230380416774051</v>
      </c>
      <c r="W315" s="7">
        <f t="shared" si="4"/>
        <v>2</v>
      </c>
      <c r="X315" s="7" t="s">
        <v>1197</v>
      </c>
      <c r="Y315" s="7"/>
      <c r="Z315" s="7"/>
      <c r="AA315" s="7"/>
    </row>
    <row r="316" ht="19.5" customHeight="1">
      <c r="A316" s="7">
        <v>233.0</v>
      </c>
      <c r="B316" s="7" t="s">
        <v>1194</v>
      </c>
      <c r="C316" s="7" t="s">
        <v>52</v>
      </c>
      <c r="D316" s="7" t="s">
        <v>64</v>
      </c>
      <c r="E316" s="7" t="s">
        <v>1198</v>
      </c>
      <c r="F316" s="7" t="s">
        <v>37</v>
      </c>
      <c r="G316" s="9" t="s">
        <v>40</v>
      </c>
      <c r="H316" s="7" t="s">
        <v>38</v>
      </c>
      <c r="I316" s="7" t="s">
        <v>39</v>
      </c>
      <c r="J316" s="9" t="s">
        <v>40</v>
      </c>
      <c r="K316" s="7" t="s">
        <v>213</v>
      </c>
      <c r="L316" s="8" t="s">
        <v>1196</v>
      </c>
      <c r="M316" s="10">
        <f t="shared" si="1"/>
        <v>1.522574633</v>
      </c>
      <c r="N316" s="7">
        <v>33.31</v>
      </c>
      <c r="O316" s="7">
        <v>13.74</v>
      </c>
      <c r="P316" s="10">
        <v>1.69</v>
      </c>
      <c r="Q316" s="10">
        <v>1.88</v>
      </c>
      <c r="R316" s="7">
        <v>1.0</v>
      </c>
      <c r="S316" s="7">
        <v>1.0</v>
      </c>
      <c r="T316" s="8">
        <f t="shared" si="2"/>
        <v>0.4124887421</v>
      </c>
      <c r="U316" s="8">
        <f t="shared" si="3"/>
        <v>-0.8855463654</v>
      </c>
      <c r="V316" s="11">
        <v>0.021295661045747354</v>
      </c>
      <c r="W316" s="7">
        <f t="shared" si="4"/>
        <v>2</v>
      </c>
      <c r="X316" s="7" t="s">
        <v>1197</v>
      </c>
      <c r="Y316" s="7"/>
      <c r="Z316" s="7"/>
      <c r="AA316" s="7"/>
    </row>
    <row r="317" ht="19.5" customHeight="1">
      <c r="A317" s="7">
        <v>234.0</v>
      </c>
      <c r="B317" s="7" t="s">
        <v>1199</v>
      </c>
      <c r="C317" s="7" t="s">
        <v>170</v>
      </c>
      <c r="D317" s="7" t="s">
        <v>369</v>
      </c>
      <c r="E317" s="7" t="s">
        <v>819</v>
      </c>
      <c r="F317" s="7" t="s">
        <v>37</v>
      </c>
      <c r="G317" s="9" t="s">
        <v>40</v>
      </c>
      <c r="H317" s="7" t="s">
        <v>90</v>
      </c>
      <c r="I317" s="7" t="s">
        <v>39</v>
      </c>
      <c r="J317" s="7">
        <f>3*365</f>
        <v>1095</v>
      </c>
      <c r="K317" s="7" t="s">
        <v>497</v>
      </c>
      <c r="L317" s="8" t="s">
        <v>1200</v>
      </c>
      <c r="M317" s="10">
        <f t="shared" si="1"/>
        <v>1.344588743</v>
      </c>
      <c r="N317" s="7">
        <v>22.11</v>
      </c>
      <c r="O317" s="7">
        <v>23.7</v>
      </c>
      <c r="P317" s="10">
        <v>0.8</v>
      </c>
      <c r="Q317" s="10">
        <v>0.8</v>
      </c>
      <c r="R317" s="7">
        <v>12.0</v>
      </c>
      <c r="S317" s="7">
        <v>12.0</v>
      </c>
      <c r="T317" s="8">
        <f t="shared" si="2"/>
        <v>1.071913161</v>
      </c>
      <c r="U317" s="8">
        <f t="shared" si="3"/>
        <v>0.06944505327</v>
      </c>
      <c r="V317" s="11">
        <v>2.0405066383927077E-4</v>
      </c>
      <c r="W317" s="7">
        <f t="shared" si="4"/>
        <v>24</v>
      </c>
      <c r="X317" s="7" t="s">
        <v>1201</v>
      </c>
      <c r="Y317" s="7"/>
      <c r="Z317" s="7"/>
      <c r="AA317" s="7"/>
    </row>
    <row r="318" ht="19.5" customHeight="1">
      <c r="A318" s="7">
        <v>235.0</v>
      </c>
      <c r="B318" s="7" t="s">
        <v>1202</v>
      </c>
      <c r="C318" s="8" t="s">
        <v>34</v>
      </c>
      <c r="D318" s="7" t="s">
        <v>1203</v>
      </c>
      <c r="E318" s="7" t="s">
        <v>1204</v>
      </c>
      <c r="F318" s="7" t="s">
        <v>47</v>
      </c>
      <c r="G318" s="7" t="s">
        <v>37</v>
      </c>
      <c r="H318" s="7" t="s">
        <v>38</v>
      </c>
      <c r="I318" s="7" t="s">
        <v>72</v>
      </c>
      <c r="J318" s="9" t="s">
        <v>40</v>
      </c>
      <c r="K318" s="7" t="s">
        <v>41</v>
      </c>
      <c r="L318" s="8" t="s">
        <v>813</v>
      </c>
      <c r="M318" s="10">
        <f t="shared" si="1"/>
        <v>0.7781512504</v>
      </c>
      <c r="N318" s="7">
        <v>6.0</v>
      </c>
      <c r="O318" s="7">
        <v>4.3</v>
      </c>
      <c r="P318" s="10">
        <v>2.694438717061496</v>
      </c>
      <c r="Q318" s="10">
        <v>2.9393876913398134</v>
      </c>
      <c r="R318" s="7">
        <v>6.0</v>
      </c>
      <c r="S318" s="7">
        <v>6.0</v>
      </c>
      <c r="T318" s="8">
        <f t="shared" si="2"/>
        <v>0.7166666667</v>
      </c>
      <c r="U318" s="8">
        <f t="shared" si="3"/>
        <v>-0.3331444465</v>
      </c>
      <c r="V318" s="11">
        <v>0.11149104621116518</v>
      </c>
      <c r="W318" s="7">
        <f t="shared" si="4"/>
        <v>12</v>
      </c>
      <c r="X318" s="7" t="s">
        <v>1205</v>
      </c>
      <c r="Y318" s="7"/>
      <c r="Z318" s="7"/>
      <c r="AA318" s="7"/>
    </row>
    <row r="319" ht="19.5" customHeight="1">
      <c r="A319" s="7">
        <v>236.0</v>
      </c>
      <c r="B319" s="7" t="s">
        <v>1206</v>
      </c>
      <c r="C319" s="7" t="s">
        <v>109</v>
      </c>
      <c r="D319" s="7" t="s">
        <v>110</v>
      </c>
      <c r="E319" s="7" t="s">
        <v>1207</v>
      </c>
      <c r="F319" s="7" t="s">
        <v>37</v>
      </c>
      <c r="G319" s="9" t="s">
        <v>40</v>
      </c>
      <c r="H319" s="7" t="s">
        <v>90</v>
      </c>
      <c r="I319" s="7" t="s">
        <v>39</v>
      </c>
      <c r="J319" s="7">
        <f>3*7</f>
        <v>21</v>
      </c>
      <c r="K319" s="7" t="s">
        <v>105</v>
      </c>
      <c r="L319" s="8" t="s">
        <v>1208</v>
      </c>
      <c r="M319" s="10">
        <f t="shared" si="1"/>
        <v>0.7947203518</v>
      </c>
      <c r="N319" s="10">
        <v>6.233333333333333</v>
      </c>
      <c r="O319" s="10">
        <v>5.359999999999999</v>
      </c>
      <c r="P319" s="10">
        <v>1.9230184606498193</v>
      </c>
      <c r="Q319" s="10">
        <v>0.8944271909999159</v>
      </c>
      <c r="R319" s="7">
        <v>5.0</v>
      </c>
      <c r="S319" s="7">
        <v>5.0</v>
      </c>
      <c r="T319" s="8">
        <f t="shared" si="2"/>
        <v>0.8598930481</v>
      </c>
      <c r="U319" s="8">
        <f t="shared" si="3"/>
        <v>-0.1509472601</v>
      </c>
      <c r="V319" s="11">
        <v>0.024604314494483265</v>
      </c>
      <c r="W319" s="7">
        <f t="shared" si="4"/>
        <v>10</v>
      </c>
      <c r="X319" s="8" t="s">
        <v>1209</v>
      </c>
      <c r="Y319" s="7"/>
      <c r="Z319" s="7"/>
      <c r="AA319" s="7"/>
    </row>
    <row r="320" ht="19.5" customHeight="1">
      <c r="A320" s="7">
        <v>237.0</v>
      </c>
      <c r="B320" s="7" t="s">
        <v>1210</v>
      </c>
      <c r="C320" s="7" t="s">
        <v>170</v>
      </c>
      <c r="D320" s="7" t="s">
        <v>369</v>
      </c>
      <c r="E320" s="7" t="s">
        <v>1211</v>
      </c>
      <c r="F320" s="7" t="s">
        <v>47</v>
      </c>
      <c r="G320" s="9" t="s">
        <v>40</v>
      </c>
      <c r="H320" s="7" t="s">
        <v>90</v>
      </c>
      <c r="I320" s="7" t="s">
        <v>39</v>
      </c>
      <c r="J320" s="7">
        <v>29.0</v>
      </c>
      <c r="K320" s="7" t="s">
        <v>48</v>
      </c>
      <c r="L320" s="8" t="s">
        <v>1212</v>
      </c>
      <c r="M320" s="10">
        <f t="shared" si="1"/>
        <v>1.15896526</v>
      </c>
      <c r="N320" s="7">
        <v>14.42</v>
      </c>
      <c r="O320" s="7">
        <v>14.79</v>
      </c>
      <c r="P320" s="10">
        <v>2.32</v>
      </c>
      <c r="Q320" s="10">
        <v>2.34</v>
      </c>
      <c r="R320" s="7">
        <v>4.0</v>
      </c>
      <c r="S320" s="7">
        <v>4.0</v>
      </c>
      <c r="T320" s="8">
        <f t="shared" si="2"/>
        <v>1.025658807</v>
      </c>
      <c r="U320" s="8">
        <f t="shared" si="3"/>
        <v>0.02533514487</v>
      </c>
      <c r="V320" s="11">
        <v>0.012729206824528654</v>
      </c>
      <c r="W320" s="7">
        <f t="shared" si="4"/>
        <v>8</v>
      </c>
      <c r="X320" s="7" t="s">
        <v>1213</v>
      </c>
      <c r="Y320" s="7"/>
      <c r="Z320" s="7"/>
      <c r="AA320" s="7"/>
    </row>
    <row r="321" ht="19.5" customHeight="1">
      <c r="A321" s="7">
        <v>238.0</v>
      </c>
      <c r="B321" s="8" t="s">
        <v>1214</v>
      </c>
      <c r="C321" s="8" t="s">
        <v>170</v>
      </c>
      <c r="D321" s="7" t="s">
        <v>369</v>
      </c>
      <c r="E321" s="8" t="s">
        <v>1215</v>
      </c>
      <c r="F321" s="8" t="s">
        <v>47</v>
      </c>
      <c r="G321" s="9" t="s">
        <v>40</v>
      </c>
      <c r="H321" s="8" t="s">
        <v>90</v>
      </c>
      <c r="I321" s="8" t="s">
        <v>39</v>
      </c>
      <c r="J321" s="7">
        <v>60.0</v>
      </c>
      <c r="K321" s="8" t="s">
        <v>41</v>
      </c>
      <c r="L321" s="8" t="s">
        <v>1216</v>
      </c>
      <c r="M321" s="10">
        <f t="shared" si="1"/>
        <v>1.335858911</v>
      </c>
      <c r="N321" s="7">
        <v>21.67</v>
      </c>
      <c r="O321" s="7">
        <v>28.68</v>
      </c>
      <c r="P321" s="10">
        <v>4.040989977715857</v>
      </c>
      <c r="Q321" s="10">
        <v>3.2926585003610684</v>
      </c>
      <c r="R321" s="7">
        <v>14.0</v>
      </c>
      <c r="S321" s="7">
        <v>14.0</v>
      </c>
      <c r="T321" s="8">
        <f t="shared" si="2"/>
        <v>1.323488694</v>
      </c>
      <c r="U321" s="8">
        <f t="shared" si="3"/>
        <v>0.2802712002</v>
      </c>
      <c r="V321" s="11">
        <v>0.0034253459491724878</v>
      </c>
      <c r="W321" s="7">
        <f t="shared" si="4"/>
        <v>28</v>
      </c>
      <c r="X321" s="8" t="s">
        <v>1217</v>
      </c>
      <c r="Y321" s="7"/>
      <c r="Z321" s="7"/>
      <c r="AA321" s="7"/>
    </row>
    <row r="322" ht="19.5" customHeight="1">
      <c r="A322" s="7">
        <v>239.0</v>
      </c>
      <c r="B322" s="7" t="s">
        <v>1218</v>
      </c>
      <c r="C322" s="7" t="s">
        <v>676</v>
      </c>
      <c r="D322" s="7" t="s">
        <v>176</v>
      </c>
      <c r="E322" s="7" t="s">
        <v>1219</v>
      </c>
      <c r="F322" s="7" t="s">
        <v>47</v>
      </c>
      <c r="G322" s="9" t="s">
        <v>40</v>
      </c>
      <c r="H322" s="7" t="s">
        <v>90</v>
      </c>
      <c r="I322" s="7" t="s">
        <v>72</v>
      </c>
      <c r="J322" s="7">
        <v>48.0</v>
      </c>
      <c r="K322" s="9" t="s">
        <v>41</v>
      </c>
      <c r="L322" s="8" t="s">
        <v>1220</v>
      </c>
      <c r="M322" s="10">
        <f t="shared" si="1"/>
        <v>1.94792362</v>
      </c>
      <c r="N322" s="7">
        <v>88.7</v>
      </c>
      <c r="O322" s="7">
        <v>73.0</v>
      </c>
      <c r="P322" s="10">
        <v>8.504369465163187</v>
      </c>
      <c r="Q322" s="10">
        <v>9.647522998158646</v>
      </c>
      <c r="R322" s="7">
        <v>3.0</v>
      </c>
      <c r="S322" s="7">
        <v>3.0</v>
      </c>
      <c r="T322" s="8">
        <f t="shared" si="2"/>
        <v>0.8229988726</v>
      </c>
      <c r="U322" s="8">
        <f t="shared" si="3"/>
        <v>-0.1948004482</v>
      </c>
      <c r="V322" s="11">
        <v>0.00888608942159689</v>
      </c>
      <c r="W322" s="7">
        <f t="shared" si="4"/>
        <v>6</v>
      </c>
      <c r="X322" s="7" t="s">
        <v>1221</v>
      </c>
      <c r="Y322" s="7"/>
      <c r="Z322" s="7"/>
      <c r="AA322" s="7"/>
    </row>
    <row r="323" ht="19.5" customHeight="1">
      <c r="A323" s="7">
        <v>240.0</v>
      </c>
      <c r="B323" s="8" t="s">
        <v>1222</v>
      </c>
      <c r="C323" s="8" t="s">
        <v>170</v>
      </c>
      <c r="D323" s="7" t="s">
        <v>369</v>
      </c>
      <c r="E323" s="8" t="s">
        <v>1223</v>
      </c>
      <c r="F323" s="8" t="s">
        <v>47</v>
      </c>
      <c r="G323" s="9" t="s">
        <v>40</v>
      </c>
      <c r="H323" s="8" t="s">
        <v>90</v>
      </c>
      <c r="I323" s="8" t="s">
        <v>39</v>
      </c>
      <c r="J323" s="7">
        <v>4380.0</v>
      </c>
      <c r="K323" s="8" t="s">
        <v>41</v>
      </c>
      <c r="L323" s="8" t="s">
        <v>833</v>
      </c>
      <c r="M323" s="10">
        <f t="shared" si="1"/>
        <v>0.8208579894</v>
      </c>
      <c r="N323" s="7">
        <v>6.62</v>
      </c>
      <c r="O323" s="7">
        <v>4.89</v>
      </c>
      <c r="P323" s="10">
        <v>1.5428869044748548</v>
      </c>
      <c r="Q323" s="10">
        <v>1.8335757415498275</v>
      </c>
      <c r="R323" s="7">
        <v>5.0</v>
      </c>
      <c r="S323" s="7">
        <v>5.0</v>
      </c>
      <c r="T323" s="8">
        <f t="shared" si="2"/>
        <v>0.7386706949</v>
      </c>
      <c r="U323" s="8">
        <f t="shared" si="3"/>
        <v>-0.3029030665</v>
      </c>
      <c r="V323" s="11">
        <v>0.03898346593039468</v>
      </c>
      <c r="W323" s="7">
        <f t="shared" si="4"/>
        <v>10</v>
      </c>
      <c r="X323" s="7" t="s">
        <v>1224</v>
      </c>
      <c r="Y323" s="7"/>
      <c r="Z323" s="7"/>
      <c r="AA323" s="7"/>
    </row>
    <row r="324" ht="19.5" customHeight="1">
      <c r="A324" s="7">
        <v>241.0</v>
      </c>
      <c r="B324" s="7" t="s">
        <v>1225</v>
      </c>
      <c r="C324" s="7" t="s">
        <v>342</v>
      </c>
      <c r="D324" s="7" t="s">
        <v>110</v>
      </c>
      <c r="E324" s="7" t="s">
        <v>1226</v>
      </c>
      <c r="F324" s="7" t="s">
        <v>47</v>
      </c>
      <c r="G324" s="9" t="s">
        <v>40</v>
      </c>
      <c r="H324" s="7" t="s">
        <v>90</v>
      </c>
      <c r="I324" s="7" t="s">
        <v>39</v>
      </c>
      <c r="J324" s="7">
        <f>30*3</f>
        <v>90</v>
      </c>
      <c r="K324" s="7" t="s">
        <v>41</v>
      </c>
      <c r="L324" s="19" t="s">
        <v>1227</v>
      </c>
      <c r="M324" s="10">
        <f t="shared" si="1"/>
        <v>0.6532125138</v>
      </c>
      <c r="N324" s="7">
        <v>4.5</v>
      </c>
      <c r="O324" s="7">
        <v>3.84</v>
      </c>
      <c r="P324" s="10">
        <v>2.39023011444505</v>
      </c>
      <c r="Q324" s="10">
        <v>1.073871500692704</v>
      </c>
      <c r="R324" s="7">
        <v>3.0</v>
      </c>
      <c r="S324" s="7">
        <v>3.0</v>
      </c>
      <c r="T324" s="8">
        <f t="shared" si="2"/>
        <v>0.8533333333</v>
      </c>
      <c r="U324" s="8">
        <f t="shared" si="3"/>
        <v>-0.1586050302</v>
      </c>
      <c r="V324" s="11">
        <v>0.12011323784722219</v>
      </c>
      <c r="W324" s="7">
        <f t="shared" si="4"/>
        <v>6</v>
      </c>
      <c r="X324" s="7" t="s">
        <v>1228</v>
      </c>
      <c r="Y324" s="7"/>
      <c r="Z324" s="7"/>
      <c r="AA324" s="7"/>
    </row>
    <row r="325" ht="19.5" customHeight="1">
      <c r="A325" s="7">
        <v>242.0</v>
      </c>
      <c r="B325" s="7" t="s">
        <v>1229</v>
      </c>
      <c r="C325" s="7" t="s">
        <v>109</v>
      </c>
      <c r="D325" s="7" t="s">
        <v>110</v>
      </c>
      <c r="E325" s="7" t="s">
        <v>667</v>
      </c>
      <c r="F325" s="7" t="s">
        <v>37</v>
      </c>
      <c r="G325" s="9" t="s">
        <v>40</v>
      </c>
      <c r="H325" s="7" t="s">
        <v>90</v>
      </c>
      <c r="I325" s="8" t="s">
        <v>39</v>
      </c>
      <c r="J325" s="7">
        <f>4*365</f>
        <v>1460</v>
      </c>
      <c r="K325" s="7" t="s">
        <v>105</v>
      </c>
      <c r="L325" s="8" t="s">
        <v>1230</v>
      </c>
      <c r="M325" s="10">
        <f t="shared" si="1"/>
        <v>1.028571253</v>
      </c>
      <c r="N325" s="7">
        <v>10.68</v>
      </c>
      <c r="O325" s="7">
        <v>9.07</v>
      </c>
      <c r="P325" s="10">
        <v>0.5878775382679626</v>
      </c>
      <c r="Q325" s="10">
        <v>1.224744871391589</v>
      </c>
      <c r="R325" s="7">
        <v>6.0</v>
      </c>
      <c r="S325" s="7">
        <v>6.0</v>
      </c>
      <c r="T325" s="8">
        <f t="shared" si="2"/>
        <v>0.8492509363</v>
      </c>
      <c r="U325" s="8">
        <f t="shared" si="3"/>
        <v>-0.1634005694</v>
      </c>
      <c r="V325" s="11">
        <v>0.003543949898493097</v>
      </c>
      <c r="W325" s="7">
        <f t="shared" si="4"/>
        <v>12</v>
      </c>
      <c r="X325" s="8" t="s">
        <v>1231</v>
      </c>
      <c r="Y325" s="7"/>
      <c r="Z325" s="7"/>
      <c r="AA325" s="7"/>
    </row>
    <row r="326" ht="19.5" customHeight="1">
      <c r="A326" s="7">
        <v>243.0</v>
      </c>
      <c r="B326" s="8" t="s">
        <v>1232</v>
      </c>
      <c r="C326" s="8" t="s">
        <v>82</v>
      </c>
      <c r="D326" s="8" t="s">
        <v>176</v>
      </c>
      <c r="E326" s="8" t="s">
        <v>1233</v>
      </c>
      <c r="F326" s="8" t="s">
        <v>37</v>
      </c>
      <c r="G326" s="9" t="s">
        <v>40</v>
      </c>
      <c r="H326" s="8" t="s">
        <v>90</v>
      </c>
      <c r="I326" s="8" t="s">
        <v>39</v>
      </c>
      <c r="J326" s="9" t="s">
        <v>40</v>
      </c>
      <c r="K326" s="8" t="s">
        <v>66</v>
      </c>
      <c r="L326" s="8" t="s">
        <v>1137</v>
      </c>
      <c r="M326" s="10">
        <f t="shared" si="1"/>
        <v>1.477844476</v>
      </c>
      <c r="N326" s="7">
        <v>30.05</v>
      </c>
      <c r="O326" s="7">
        <v>22.45</v>
      </c>
      <c r="P326" s="10">
        <v>2.3475945135393377</v>
      </c>
      <c r="Q326" s="10">
        <v>1.3010764773832475</v>
      </c>
      <c r="R326" s="7">
        <v>8.0</v>
      </c>
      <c r="S326" s="7">
        <v>2.0</v>
      </c>
      <c r="T326" s="14">
        <f t="shared" si="2"/>
        <v>0.7470881864</v>
      </c>
      <c r="U326" s="14">
        <f t="shared" si="3"/>
        <v>-0.2915720468</v>
      </c>
      <c r="V326" s="11">
        <v>0.002442256076743716</v>
      </c>
      <c r="W326" s="7">
        <f t="shared" si="4"/>
        <v>10</v>
      </c>
      <c r="X326" s="8" t="s">
        <v>1234</v>
      </c>
      <c r="Y326" s="12"/>
      <c r="Z326" s="12"/>
      <c r="AA326" s="12"/>
    </row>
    <row r="327" ht="19.5" customHeight="1">
      <c r="A327" s="7">
        <v>244.0</v>
      </c>
      <c r="B327" s="8" t="s">
        <v>1235</v>
      </c>
      <c r="C327" s="8" t="s">
        <v>82</v>
      </c>
      <c r="D327" s="8" t="s">
        <v>176</v>
      </c>
      <c r="E327" s="8" t="s">
        <v>1236</v>
      </c>
      <c r="F327" s="8" t="s">
        <v>47</v>
      </c>
      <c r="G327" s="9" t="s">
        <v>40</v>
      </c>
      <c r="H327" s="8" t="s">
        <v>90</v>
      </c>
      <c r="I327" s="8" t="s">
        <v>39</v>
      </c>
      <c r="J327" s="7">
        <v>49.0</v>
      </c>
      <c r="K327" s="8" t="s">
        <v>153</v>
      </c>
      <c r="L327" s="8" t="s">
        <v>481</v>
      </c>
      <c r="M327" s="10">
        <f t="shared" si="1"/>
        <v>-0.7958800173</v>
      </c>
      <c r="N327" s="7">
        <v>0.16</v>
      </c>
      <c r="O327" s="7">
        <v>0.49</v>
      </c>
      <c r="P327" s="10">
        <v>0.09486832980505139</v>
      </c>
      <c r="Q327" s="10">
        <v>0.1264911064067352</v>
      </c>
      <c r="R327" s="7">
        <v>10.0</v>
      </c>
      <c r="S327" s="7">
        <v>10.0</v>
      </c>
      <c r="T327" s="14">
        <f t="shared" si="2"/>
        <v>3.0625</v>
      </c>
      <c r="U327" s="14">
        <f t="shared" si="3"/>
        <v>1.119231576</v>
      </c>
      <c r="V327" s="11">
        <v>0.04182014004581425</v>
      </c>
      <c r="W327" s="7">
        <f t="shared" si="4"/>
        <v>20</v>
      </c>
      <c r="X327" s="8" t="s">
        <v>1237</v>
      </c>
      <c r="Y327" s="12"/>
      <c r="Z327" s="12"/>
      <c r="AA327" s="12"/>
    </row>
    <row r="328" ht="19.5" customHeight="1">
      <c r="A328" s="7">
        <v>245.0</v>
      </c>
      <c r="B328" s="7" t="s">
        <v>1238</v>
      </c>
      <c r="C328" s="8" t="s">
        <v>34</v>
      </c>
      <c r="D328" s="7" t="s">
        <v>1239</v>
      </c>
      <c r="E328" s="7" t="s">
        <v>1240</v>
      </c>
      <c r="F328" s="7" t="s">
        <v>47</v>
      </c>
      <c r="G328" s="7" t="s">
        <v>37</v>
      </c>
      <c r="H328" s="7" t="s">
        <v>90</v>
      </c>
      <c r="I328" s="7" t="s">
        <v>39</v>
      </c>
      <c r="J328" s="7">
        <v>730.0</v>
      </c>
      <c r="K328" s="7" t="s">
        <v>41</v>
      </c>
      <c r="L328" s="8" t="s">
        <v>1241</v>
      </c>
      <c r="M328" s="10">
        <f t="shared" si="1"/>
        <v>1.206556044</v>
      </c>
      <c r="N328" s="7">
        <v>16.09</v>
      </c>
      <c r="O328" s="7">
        <v>16.69</v>
      </c>
      <c r="P328" s="10">
        <v>7.5</v>
      </c>
      <c r="Q328" s="10">
        <v>8.12</v>
      </c>
      <c r="R328" s="7">
        <v>10.0</v>
      </c>
      <c r="S328" s="7">
        <v>10.0</v>
      </c>
      <c r="T328" s="8">
        <f t="shared" si="2"/>
        <v>1.037290242</v>
      </c>
      <c r="U328" s="8">
        <f t="shared" si="3"/>
        <v>0.03661177667</v>
      </c>
      <c r="V328" s="11">
        <v>0.045397595454186784</v>
      </c>
      <c r="W328" s="7">
        <f t="shared" si="4"/>
        <v>20</v>
      </c>
      <c r="X328" s="7" t="s">
        <v>1242</v>
      </c>
      <c r="Y328" s="7"/>
      <c r="Z328" s="7"/>
      <c r="AA328" s="7"/>
    </row>
    <row r="329" ht="19.5" customHeight="1">
      <c r="A329" s="7"/>
      <c r="B329" s="12"/>
      <c r="C329" s="12"/>
      <c r="D329" s="12"/>
      <c r="E329" s="12"/>
      <c r="F329" s="12"/>
      <c r="G329" s="12"/>
      <c r="H329" s="12"/>
      <c r="I329" s="12"/>
      <c r="J329" s="7"/>
      <c r="K329" s="12"/>
      <c r="L329" s="7"/>
      <c r="M329" s="10"/>
      <c r="N329" s="7"/>
      <c r="O329" s="7"/>
      <c r="P329" s="10"/>
      <c r="Q329" s="10"/>
      <c r="R329" s="7"/>
      <c r="S329" s="7"/>
      <c r="T329" s="15"/>
      <c r="U329" s="15"/>
      <c r="V329" s="15"/>
      <c r="W329" s="12"/>
      <c r="X329" s="7"/>
      <c r="Y329" s="12"/>
      <c r="Z329" s="12"/>
      <c r="AA329" s="12"/>
    </row>
    <row r="330" ht="19.5" customHeight="1">
      <c r="A330" s="7"/>
      <c r="B330" s="12"/>
      <c r="C330" s="12"/>
      <c r="D330" s="12"/>
      <c r="E330" s="12"/>
      <c r="F330" s="12"/>
      <c r="G330" s="12"/>
      <c r="H330" s="12"/>
      <c r="I330" s="12"/>
      <c r="J330" s="7"/>
      <c r="K330" s="12"/>
      <c r="L330" s="7"/>
      <c r="M330" s="10"/>
      <c r="N330" s="7"/>
      <c r="O330" s="7"/>
      <c r="P330" s="10"/>
      <c r="Q330" s="10"/>
      <c r="R330" s="7"/>
      <c r="S330" s="7"/>
      <c r="T330" s="15"/>
      <c r="U330" s="15"/>
      <c r="V330" s="15"/>
      <c r="W330" s="12"/>
      <c r="X330" s="7"/>
      <c r="Y330" s="12"/>
      <c r="Z330" s="12"/>
      <c r="AA330" s="12"/>
    </row>
    <row r="331" ht="19.5" customHeight="1">
      <c r="A331" s="7"/>
      <c r="B331" s="12"/>
      <c r="C331" s="12"/>
      <c r="D331" s="12"/>
      <c r="E331" s="12"/>
      <c r="F331" s="12"/>
      <c r="G331" s="12"/>
      <c r="H331" s="12"/>
      <c r="I331" s="12"/>
      <c r="J331" s="7"/>
      <c r="K331" s="12"/>
      <c r="L331" s="7"/>
      <c r="M331" s="10"/>
      <c r="N331" s="7"/>
      <c r="O331" s="7"/>
      <c r="P331" s="10"/>
      <c r="Q331" s="10"/>
      <c r="R331" s="7"/>
      <c r="S331" s="7"/>
      <c r="T331" s="15"/>
      <c r="U331" s="15"/>
      <c r="V331" s="15"/>
      <c r="W331" s="12"/>
      <c r="X331" s="7"/>
      <c r="Y331" s="12"/>
      <c r="Z331" s="12"/>
      <c r="AA331" s="12"/>
    </row>
    <row r="332" ht="19.5" customHeight="1">
      <c r="A332" s="7"/>
      <c r="B332" s="12"/>
      <c r="C332" s="12"/>
      <c r="D332" s="12"/>
      <c r="E332" s="12"/>
      <c r="F332" s="12"/>
      <c r="G332" s="12"/>
      <c r="H332" s="12"/>
      <c r="I332" s="12"/>
      <c r="J332" s="7"/>
      <c r="K332" s="12"/>
      <c r="L332" s="7"/>
      <c r="M332" s="10"/>
      <c r="N332" s="7"/>
      <c r="O332" s="7"/>
      <c r="P332" s="10"/>
      <c r="Q332" s="10"/>
      <c r="R332" s="7"/>
      <c r="S332" s="7"/>
      <c r="T332" s="15"/>
      <c r="U332" s="15"/>
      <c r="V332" s="15"/>
      <c r="W332" s="12"/>
      <c r="X332" s="7"/>
      <c r="Y332" s="12"/>
      <c r="Z332" s="12"/>
      <c r="AA332" s="12"/>
    </row>
    <row r="333" ht="19.5" customHeight="1">
      <c r="A333" s="7"/>
      <c r="B333" s="12"/>
      <c r="C333" s="12"/>
      <c r="D333" s="12"/>
      <c r="E333" s="12"/>
      <c r="F333" s="12"/>
      <c r="G333" s="12"/>
      <c r="H333" s="12"/>
      <c r="I333" s="12"/>
      <c r="J333" s="7"/>
      <c r="K333" s="12"/>
      <c r="L333" s="7"/>
      <c r="M333" s="10"/>
      <c r="N333" s="7"/>
      <c r="O333" s="7"/>
      <c r="P333" s="10"/>
      <c r="Q333" s="10"/>
      <c r="R333" s="7"/>
      <c r="S333" s="7"/>
      <c r="T333" s="15"/>
      <c r="U333" s="15"/>
      <c r="V333" s="15"/>
      <c r="W333" s="12"/>
      <c r="X333" s="7"/>
      <c r="Y333" s="12"/>
      <c r="Z333" s="12"/>
      <c r="AA333" s="12"/>
    </row>
    <row r="334" ht="19.5" customHeight="1">
      <c r="A334" s="7"/>
      <c r="B334" s="12"/>
      <c r="C334" s="12"/>
      <c r="D334" s="12"/>
      <c r="E334" s="12"/>
      <c r="F334" s="12"/>
      <c r="G334" s="12"/>
      <c r="H334" s="12"/>
      <c r="I334" s="12"/>
      <c r="J334" s="7"/>
      <c r="K334" s="12"/>
      <c r="L334" s="7"/>
      <c r="M334" s="10"/>
      <c r="N334" s="7"/>
      <c r="O334" s="7"/>
      <c r="P334" s="10"/>
      <c r="Q334" s="10"/>
      <c r="R334" s="7"/>
      <c r="S334" s="7"/>
      <c r="T334" s="15"/>
      <c r="U334" s="15"/>
      <c r="V334" s="15"/>
      <c r="W334" s="12"/>
      <c r="X334" s="7"/>
      <c r="Y334" s="12"/>
      <c r="Z334" s="12"/>
      <c r="AA334" s="12"/>
    </row>
    <row r="335" ht="19.5" customHeight="1">
      <c r="A335" s="7"/>
      <c r="B335" s="12"/>
      <c r="C335" s="12"/>
      <c r="D335" s="12"/>
      <c r="E335" s="12"/>
      <c r="F335" s="12"/>
      <c r="G335" s="12"/>
      <c r="H335" s="12"/>
      <c r="I335" s="12"/>
      <c r="J335" s="7"/>
      <c r="K335" s="12"/>
      <c r="L335" s="7"/>
      <c r="M335" s="10"/>
      <c r="N335" s="7"/>
      <c r="O335" s="7"/>
      <c r="P335" s="10"/>
      <c r="Q335" s="10"/>
      <c r="R335" s="7"/>
      <c r="S335" s="7"/>
      <c r="T335" s="15"/>
      <c r="U335" s="15"/>
      <c r="V335" s="15"/>
      <c r="W335" s="12"/>
      <c r="X335" s="7"/>
      <c r="Y335" s="12"/>
      <c r="Z335" s="12"/>
      <c r="AA335" s="12"/>
    </row>
    <row r="336" ht="19.5" customHeight="1">
      <c r="A336" s="7"/>
      <c r="B336" s="12"/>
      <c r="C336" s="12"/>
      <c r="D336" s="12"/>
      <c r="E336" s="12"/>
      <c r="F336" s="12"/>
      <c r="G336" s="12"/>
      <c r="H336" s="12"/>
      <c r="I336" s="12"/>
      <c r="J336" s="7"/>
      <c r="K336" s="12"/>
      <c r="L336" s="7"/>
      <c r="M336" s="10"/>
      <c r="N336" s="7"/>
      <c r="O336" s="7"/>
      <c r="P336" s="10"/>
      <c r="Q336" s="10"/>
      <c r="R336" s="7"/>
      <c r="S336" s="7"/>
      <c r="T336" s="15"/>
      <c r="U336" s="15"/>
      <c r="V336" s="15"/>
      <c r="W336" s="12"/>
      <c r="X336" s="7"/>
      <c r="Y336" s="12"/>
      <c r="Z336" s="12"/>
      <c r="AA336" s="12"/>
    </row>
    <row r="337" ht="19.5" customHeight="1">
      <c r="A337" s="7"/>
      <c r="B337" s="12"/>
      <c r="C337" s="12"/>
      <c r="D337" s="12"/>
      <c r="E337" s="12"/>
      <c r="F337" s="12"/>
      <c r="G337" s="12"/>
      <c r="H337" s="12"/>
      <c r="I337" s="12"/>
      <c r="J337" s="7"/>
      <c r="K337" s="12"/>
      <c r="L337" s="7"/>
      <c r="M337" s="10"/>
      <c r="N337" s="7"/>
      <c r="O337" s="7"/>
      <c r="P337" s="10"/>
      <c r="Q337" s="10"/>
      <c r="R337" s="7"/>
      <c r="S337" s="7"/>
      <c r="T337" s="15"/>
      <c r="U337" s="15"/>
      <c r="V337" s="15"/>
      <c r="W337" s="12"/>
      <c r="X337" s="7"/>
      <c r="Y337" s="12"/>
      <c r="Z337" s="12"/>
      <c r="AA337" s="12"/>
    </row>
    <row r="338" ht="19.5" customHeight="1">
      <c r="A338" s="7"/>
      <c r="B338" s="12"/>
      <c r="C338" s="12"/>
      <c r="D338" s="12"/>
      <c r="E338" s="12"/>
      <c r="F338" s="12"/>
      <c r="G338" s="12"/>
      <c r="H338" s="12"/>
      <c r="I338" s="12"/>
      <c r="J338" s="7"/>
      <c r="K338" s="12"/>
      <c r="L338" s="7"/>
      <c r="M338" s="10"/>
      <c r="N338" s="7"/>
      <c r="O338" s="7"/>
      <c r="P338" s="10"/>
      <c r="Q338" s="10"/>
      <c r="R338" s="7"/>
      <c r="S338" s="7"/>
      <c r="T338" s="15"/>
      <c r="U338" s="15"/>
      <c r="V338" s="15"/>
      <c r="W338" s="12"/>
      <c r="X338" s="7"/>
      <c r="Y338" s="12"/>
      <c r="Z338" s="12"/>
      <c r="AA338" s="12"/>
    </row>
    <row r="339" ht="19.5" customHeight="1">
      <c r="A339" s="7"/>
      <c r="B339" s="12"/>
      <c r="C339" s="12"/>
      <c r="D339" s="12"/>
      <c r="E339" s="12"/>
      <c r="F339" s="12"/>
      <c r="G339" s="12"/>
      <c r="H339" s="12"/>
      <c r="I339" s="12"/>
      <c r="J339" s="7"/>
      <c r="K339" s="12"/>
      <c r="L339" s="7"/>
      <c r="M339" s="10"/>
      <c r="N339" s="7"/>
      <c r="O339" s="7"/>
      <c r="P339" s="10"/>
      <c r="Q339" s="10"/>
      <c r="R339" s="7"/>
      <c r="S339" s="7"/>
      <c r="T339" s="15"/>
      <c r="U339" s="15"/>
      <c r="V339" s="15"/>
      <c r="W339" s="12"/>
      <c r="X339" s="7"/>
      <c r="Y339" s="12"/>
      <c r="Z339" s="12"/>
      <c r="AA339" s="12"/>
    </row>
    <row r="340" ht="19.5" customHeight="1">
      <c r="A340" s="7"/>
      <c r="B340" s="12"/>
      <c r="C340" s="12"/>
      <c r="D340" s="12"/>
      <c r="E340" s="12"/>
      <c r="F340" s="12"/>
      <c r="G340" s="12"/>
      <c r="H340" s="12"/>
      <c r="I340" s="12"/>
      <c r="J340" s="7"/>
      <c r="K340" s="12"/>
      <c r="L340" s="7"/>
      <c r="M340" s="10"/>
      <c r="N340" s="7"/>
      <c r="O340" s="7"/>
      <c r="P340" s="10"/>
      <c r="Q340" s="10"/>
      <c r="R340" s="7"/>
      <c r="S340" s="7"/>
      <c r="T340" s="15"/>
      <c r="U340" s="15"/>
      <c r="V340" s="15"/>
      <c r="W340" s="12"/>
      <c r="X340" s="7"/>
      <c r="Y340" s="12"/>
      <c r="Z340" s="12"/>
      <c r="AA340" s="12"/>
    </row>
    <row r="341" ht="19.5" customHeight="1">
      <c r="A341" s="7"/>
      <c r="B341" s="12"/>
      <c r="C341" s="12"/>
      <c r="D341" s="12"/>
      <c r="E341" s="12"/>
      <c r="F341" s="12"/>
      <c r="G341" s="12"/>
      <c r="H341" s="12"/>
      <c r="I341" s="12"/>
      <c r="J341" s="7"/>
      <c r="K341" s="12"/>
      <c r="L341" s="7"/>
      <c r="M341" s="10"/>
      <c r="N341" s="7"/>
      <c r="O341" s="7"/>
      <c r="P341" s="10"/>
      <c r="Q341" s="10"/>
      <c r="R341" s="7"/>
      <c r="S341" s="7"/>
      <c r="T341" s="15"/>
      <c r="U341" s="15"/>
      <c r="V341" s="15"/>
      <c r="W341" s="12"/>
      <c r="X341" s="7"/>
      <c r="Y341" s="12"/>
      <c r="Z341" s="12"/>
      <c r="AA341" s="12"/>
    </row>
    <row r="342" ht="19.5" customHeight="1">
      <c r="A342" s="7"/>
      <c r="B342" s="12"/>
      <c r="C342" s="12"/>
      <c r="D342" s="12"/>
      <c r="E342" s="12"/>
      <c r="F342" s="12"/>
      <c r="G342" s="12"/>
      <c r="H342" s="12"/>
      <c r="I342" s="12"/>
      <c r="J342" s="7"/>
      <c r="K342" s="12"/>
      <c r="L342" s="7"/>
      <c r="M342" s="10"/>
      <c r="N342" s="7"/>
      <c r="O342" s="7"/>
      <c r="P342" s="10"/>
      <c r="Q342" s="10"/>
      <c r="R342" s="7"/>
      <c r="S342" s="7"/>
      <c r="T342" s="15"/>
      <c r="U342" s="15"/>
      <c r="V342" s="15"/>
      <c r="W342" s="12"/>
      <c r="X342" s="7"/>
      <c r="Y342" s="12"/>
      <c r="Z342" s="12"/>
      <c r="AA342" s="12"/>
    </row>
    <row r="343" ht="19.5" customHeight="1">
      <c r="A343" s="7"/>
      <c r="B343" s="12"/>
      <c r="C343" s="12"/>
      <c r="D343" s="12"/>
      <c r="E343" s="12"/>
      <c r="F343" s="12"/>
      <c r="G343" s="12"/>
      <c r="H343" s="12"/>
      <c r="I343" s="12"/>
      <c r="J343" s="7"/>
      <c r="K343" s="12"/>
      <c r="L343" s="7"/>
      <c r="M343" s="10"/>
      <c r="N343" s="7"/>
      <c r="O343" s="7"/>
      <c r="P343" s="10"/>
      <c r="Q343" s="10"/>
      <c r="R343" s="7"/>
      <c r="S343" s="7"/>
      <c r="T343" s="15"/>
      <c r="U343" s="15"/>
      <c r="V343" s="15"/>
      <c r="W343" s="12"/>
      <c r="X343" s="7"/>
      <c r="Y343" s="12"/>
      <c r="Z343" s="12"/>
      <c r="AA343" s="12"/>
    </row>
    <row r="344" ht="19.5" customHeight="1">
      <c r="A344" s="7"/>
      <c r="B344" s="12"/>
      <c r="C344" s="12"/>
      <c r="D344" s="12"/>
      <c r="E344" s="12"/>
      <c r="F344" s="12"/>
      <c r="G344" s="12"/>
      <c r="H344" s="12"/>
      <c r="I344" s="12"/>
      <c r="J344" s="7"/>
      <c r="K344" s="12"/>
      <c r="L344" s="7"/>
      <c r="M344" s="10"/>
      <c r="N344" s="7"/>
      <c r="O344" s="7"/>
      <c r="P344" s="10"/>
      <c r="Q344" s="10"/>
      <c r="R344" s="7"/>
      <c r="S344" s="7"/>
      <c r="T344" s="15"/>
      <c r="U344" s="15"/>
      <c r="V344" s="15"/>
      <c r="W344" s="12"/>
      <c r="X344" s="7"/>
      <c r="Y344" s="12"/>
      <c r="Z344" s="12"/>
      <c r="AA344" s="12"/>
    </row>
    <row r="345" ht="19.5" customHeight="1">
      <c r="A345" s="7"/>
      <c r="B345" s="12"/>
      <c r="C345" s="12"/>
      <c r="D345" s="12"/>
      <c r="E345" s="12"/>
      <c r="F345" s="12"/>
      <c r="G345" s="12"/>
      <c r="H345" s="12"/>
      <c r="I345" s="12"/>
      <c r="J345" s="7"/>
      <c r="K345" s="12"/>
      <c r="L345" s="7"/>
      <c r="M345" s="10"/>
      <c r="N345" s="7"/>
      <c r="O345" s="7"/>
      <c r="P345" s="10"/>
      <c r="Q345" s="10"/>
      <c r="R345" s="7"/>
      <c r="S345" s="7"/>
      <c r="T345" s="15"/>
      <c r="U345" s="15"/>
      <c r="V345" s="15"/>
      <c r="W345" s="12"/>
      <c r="X345" s="7"/>
      <c r="Y345" s="12"/>
      <c r="Z345" s="12"/>
      <c r="AA345" s="12"/>
    </row>
    <row r="346" ht="19.5" customHeight="1">
      <c r="A346" s="7"/>
      <c r="B346" s="12"/>
      <c r="C346" s="12"/>
      <c r="D346" s="12"/>
      <c r="E346" s="12"/>
      <c r="F346" s="12"/>
      <c r="G346" s="12"/>
      <c r="H346" s="12"/>
      <c r="I346" s="12"/>
      <c r="J346" s="7"/>
      <c r="K346" s="12"/>
      <c r="L346" s="7"/>
      <c r="M346" s="10"/>
      <c r="N346" s="7"/>
      <c r="O346" s="7"/>
      <c r="P346" s="10"/>
      <c r="Q346" s="10"/>
      <c r="R346" s="7"/>
      <c r="S346" s="7"/>
      <c r="T346" s="15"/>
      <c r="U346" s="15"/>
      <c r="V346" s="15"/>
      <c r="W346" s="12"/>
      <c r="X346" s="7"/>
      <c r="Y346" s="12"/>
      <c r="Z346" s="12"/>
      <c r="AA346" s="12"/>
    </row>
    <row r="347" ht="19.5" customHeight="1">
      <c r="A347" s="7"/>
      <c r="B347" s="12"/>
      <c r="C347" s="12"/>
      <c r="D347" s="12"/>
      <c r="E347" s="12"/>
      <c r="F347" s="12"/>
      <c r="G347" s="12"/>
      <c r="H347" s="12"/>
      <c r="I347" s="12"/>
      <c r="J347" s="7"/>
      <c r="K347" s="12"/>
      <c r="L347" s="7"/>
      <c r="M347" s="10"/>
      <c r="N347" s="7"/>
      <c r="O347" s="7"/>
      <c r="P347" s="10"/>
      <c r="Q347" s="10"/>
      <c r="R347" s="7"/>
      <c r="S347" s="7"/>
      <c r="T347" s="15"/>
      <c r="U347" s="15"/>
      <c r="V347" s="15"/>
      <c r="W347" s="12"/>
      <c r="X347" s="7"/>
      <c r="Y347" s="12"/>
      <c r="Z347" s="12"/>
      <c r="AA347" s="12"/>
    </row>
    <row r="348" ht="19.5" customHeight="1">
      <c r="A348" s="7"/>
      <c r="B348" s="12"/>
      <c r="C348" s="12"/>
      <c r="D348" s="12"/>
      <c r="E348" s="12"/>
      <c r="F348" s="12"/>
      <c r="G348" s="12"/>
      <c r="H348" s="12"/>
      <c r="I348" s="12"/>
      <c r="J348" s="7"/>
      <c r="K348" s="12"/>
      <c r="L348" s="7"/>
      <c r="M348" s="10"/>
      <c r="N348" s="7"/>
      <c r="O348" s="7"/>
      <c r="P348" s="10"/>
      <c r="Q348" s="10"/>
      <c r="R348" s="7"/>
      <c r="S348" s="7"/>
      <c r="T348" s="15"/>
      <c r="U348" s="15"/>
      <c r="V348" s="15"/>
      <c r="W348" s="12"/>
      <c r="X348" s="7"/>
      <c r="Y348" s="12"/>
      <c r="Z348" s="12"/>
      <c r="AA348" s="12"/>
    </row>
    <row r="349" ht="19.5" customHeight="1">
      <c r="A349" s="7"/>
      <c r="B349" s="12"/>
      <c r="C349" s="12"/>
      <c r="D349" s="12"/>
      <c r="E349" s="12"/>
      <c r="F349" s="12"/>
      <c r="G349" s="12"/>
      <c r="H349" s="12"/>
      <c r="I349" s="12"/>
      <c r="J349" s="7"/>
      <c r="K349" s="12"/>
      <c r="L349" s="7"/>
      <c r="M349" s="10"/>
      <c r="N349" s="7"/>
      <c r="O349" s="7"/>
      <c r="P349" s="10"/>
      <c r="Q349" s="10"/>
      <c r="R349" s="7"/>
      <c r="S349" s="7"/>
      <c r="T349" s="15"/>
      <c r="U349" s="15"/>
      <c r="V349" s="15"/>
      <c r="W349" s="12"/>
      <c r="X349" s="7"/>
      <c r="Y349" s="12"/>
      <c r="Z349" s="12"/>
      <c r="AA349" s="12"/>
    </row>
    <row r="350" ht="19.5" customHeight="1">
      <c r="A350" s="7"/>
      <c r="B350" s="12"/>
      <c r="C350" s="12"/>
      <c r="D350" s="12"/>
      <c r="E350" s="12"/>
      <c r="F350" s="12"/>
      <c r="G350" s="12"/>
      <c r="H350" s="12"/>
      <c r="I350" s="12"/>
      <c r="J350" s="7"/>
      <c r="K350" s="12"/>
      <c r="L350" s="7"/>
      <c r="M350" s="10"/>
      <c r="N350" s="7"/>
      <c r="O350" s="7"/>
      <c r="P350" s="10"/>
      <c r="Q350" s="10"/>
      <c r="R350" s="7"/>
      <c r="S350" s="7"/>
      <c r="T350" s="15"/>
      <c r="U350" s="15"/>
      <c r="V350" s="15"/>
      <c r="W350" s="12"/>
      <c r="X350" s="7"/>
      <c r="Y350" s="12"/>
      <c r="Z350" s="12"/>
      <c r="AA350" s="12"/>
    </row>
    <row r="351" ht="19.5" customHeight="1">
      <c r="A351" s="7"/>
      <c r="B351" s="12"/>
      <c r="C351" s="12"/>
      <c r="D351" s="12"/>
      <c r="E351" s="12"/>
      <c r="F351" s="12"/>
      <c r="G351" s="12"/>
      <c r="H351" s="12"/>
      <c r="I351" s="12"/>
      <c r="J351" s="7"/>
      <c r="K351" s="12"/>
      <c r="L351" s="7"/>
      <c r="M351" s="10"/>
      <c r="N351" s="7"/>
      <c r="O351" s="7"/>
      <c r="P351" s="10"/>
      <c r="Q351" s="10"/>
      <c r="R351" s="7"/>
      <c r="S351" s="7"/>
      <c r="T351" s="15"/>
      <c r="U351" s="15"/>
      <c r="V351" s="15"/>
      <c r="W351" s="12"/>
      <c r="X351" s="7"/>
      <c r="Y351" s="12"/>
      <c r="Z351" s="12"/>
      <c r="AA351" s="12"/>
    </row>
    <row r="352" ht="19.5" customHeight="1">
      <c r="A352" s="7"/>
      <c r="B352" s="12"/>
      <c r="C352" s="12"/>
      <c r="D352" s="12"/>
      <c r="E352" s="12"/>
      <c r="F352" s="12"/>
      <c r="G352" s="12"/>
      <c r="H352" s="12"/>
      <c r="I352" s="12"/>
      <c r="J352" s="7"/>
      <c r="K352" s="12"/>
      <c r="L352" s="7"/>
      <c r="M352" s="10"/>
      <c r="N352" s="7"/>
      <c r="O352" s="7"/>
      <c r="P352" s="10"/>
      <c r="Q352" s="10"/>
      <c r="R352" s="7"/>
      <c r="S352" s="7"/>
      <c r="T352" s="15"/>
      <c r="U352" s="15"/>
      <c r="V352" s="15"/>
      <c r="W352" s="12"/>
      <c r="X352" s="7"/>
      <c r="Y352" s="12"/>
      <c r="Z352" s="12"/>
      <c r="AA352" s="12"/>
    </row>
    <row r="353" ht="19.5" customHeight="1">
      <c r="A353" s="7"/>
      <c r="B353" s="12"/>
      <c r="C353" s="12"/>
      <c r="D353" s="12"/>
      <c r="E353" s="12"/>
      <c r="F353" s="12"/>
      <c r="G353" s="12"/>
      <c r="H353" s="12"/>
      <c r="I353" s="12"/>
      <c r="J353" s="7"/>
      <c r="K353" s="12"/>
      <c r="L353" s="7"/>
      <c r="M353" s="10"/>
      <c r="N353" s="7"/>
      <c r="O353" s="7"/>
      <c r="P353" s="10"/>
      <c r="Q353" s="10"/>
      <c r="R353" s="7"/>
      <c r="S353" s="7"/>
      <c r="T353" s="15"/>
      <c r="U353" s="15"/>
      <c r="V353" s="15"/>
      <c r="W353" s="12"/>
      <c r="X353" s="7"/>
      <c r="Y353" s="12"/>
      <c r="Z353" s="12"/>
      <c r="AA353" s="12"/>
    </row>
    <row r="354" ht="19.5" customHeight="1">
      <c r="A354" s="7"/>
      <c r="B354" s="12"/>
      <c r="C354" s="12"/>
      <c r="D354" s="12"/>
      <c r="E354" s="12"/>
      <c r="F354" s="12"/>
      <c r="G354" s="12"/>
      <c r="H354" s="12"/>
      <c r="I354" s="12"/>
      <c r="J354" s="7"/>
      <c r="K354" s="12"/>
      <c r="L354" s="7"/>
      <c r="M354" s="10"/>
      <c r="N354" s="7"/>
      <c r="O354" s="7"/>
      <c r="P354" s="10"/>
      <c r="Q354" s="10"/>
      <c r="R354" s="7"/>
      <c r="S354" s="7"/>
      <c r="T354" s="15"/>
      <c r="U354" s="15"/>
      <c r="V354" s="15"/>
      <c r="W354" s="12"/>
      <c r="X354" s="7"/>
      <c r="Y354" s="12"/>
      <c r="Z354" s="12"/>
      <c r="AA354" s="12"/>
    </row>
    <row r="355" ht="19.5" customHeight="1">
      <c r="A355" s="7"/>
      <c r="B355" s="12"/>
      <c r="C355" s="12"/>
      <c r="D355" s="12"/>
      <c r="E355" s="12"/>
      <c r="F355" s="12"/>
      <c r="G355" s="12"/>
      <c r="H355" s="12"/>
      <c r="I355" s="12"/>
      <c r="J355" s="7"/>
      <c r="K355" s="12"/>
      <c r="L355" s="7"/>
      <c r="M355" s="10"/>
      <c r="N355" s="7"/>
      <c r="O355" s="7"/>
      <c r="P355" s="10"/>
      <c r="Q355" s="10"/>
      <c r="R355" s="7"/>
      <c r="S355" s="7"/>
      <c r="T355" s="15"/>
      <c r="U355" s="15"/>
      <c r="V355" s="15"/>
      <c r="W355" s="12"/>
      <c r="X355" s="7"/>
      <c r="Y355" s="12"/>
      <c r="Z355" s="12"/>
      <c r="AA355" s="12"/>
    </row>
    <row r="356" ht="19.5" customHeight="1">
      <c r="A356" s="7"/>
      <c r="B356" s="12"/>
      <c r="C356" s="12"/>
      <c r="D356" s="12"/>
      <c r="E356" s="12"/>
      <c r="F356" s="12"/>
      <c r="G356" s="12"/>
      <c r="H356" s="12"/>
      <c r="I356" s="12"/>
      <c r="J356" s="7"/>
      <c r="K356" s="12"/>
      <c r="L356" s="7"/>
      <c r="M356" s="10"/>
      <c r="N356" s="7"/>
      <c r="O356" s="7"/>
      <c r="P356" s="10"/>
      <c r="Q356" s="10"/>
      <c r="R356" s="7"/>
      <c r="S356" s="7"/>
      <c r="T356" s="15"/>
      <c r="U356" s="15"/>
      <c r="V356" s="15"/>
      <c r="W356" s="12"/>
      <c r="X356" s="7"/>
      <c r="Y356" s="12"/>
      <c r="Z356" s="12"/>
      <c r="AA356" s="12"/>
    </row>
    <row r="357" ht="19.5" customHeight="1">
      <c r="A357" s="7"/>
      <c r="B357" s="12"/>
      <c r="C357" s="12"/>
      <c r="D357" s="12"/>
      <c r="E357" s="12"/>
      <c r="F357" s="12"/>
      <c r="G357" s="12"/>
      <c r="H357" s="12"/>
      <c r="I357" s="12"/>
      <c r="J357" s="7"/>
      <c r="K357" s="12"/>
      <c r="L357" s="7"/>
      <c r="M357" s="10"/>
      <c r="N357" s="7"/>
      <c r="O357" s="7"/>
      <c r="P357" s="10"/>
      <c r="Q357" s="10"/>
      <c r="R357" s="7"/>
      <c r="S357" s="7"/>
      <c r="T357" s="15"/>
      <c r="U357" s="15"/>
      <c r="V357" s="15"/>
      <c r="W357" s="12"/>
      <c r="X357" s="7"/>
      <c r="Y357" s="12"/>
      <c r="Z357" s="12"/>
      <c r="AA357" s="12"/>
    </row>
    <row r="358" ht="19.5" customHeight="1">
      <c r="A358" s="7"/>
      <c r="B358" s="12"/>
      <c r="C358" s="12"/>
      <c r="D358" s="12"/>
      <c r="E358" s="12"/>
      <c r="F358" s="12"/>
      <c r="G358" s="12"/>
      <c r="H358" s="12"/>
      <c r="I358" s="12"/>
      <c r="J358" s="7"/>
      <c r="K358" s="12"/>
      <c r="L358" s="7"/>
      <c r="M358" s="10"/>
      <c r="N358" s="7"/>
      <c r="O358" s="7"/>
      <c r="P358" s="10"/>
      <c r="Q358" s="10"/>
      <c r="R358" s="7"/>
      <c r="S358" s="7"/>
      <c r="T358" s="15"/>
      <c r="U358" s="15"/>
      <c r="V358" s="15"/>
      <c r="W358" s="12"/>
      <c r="X358" s="7"/>
      <c r="Y358" s="12"/>
      <c r="Z358" s="12"/>
      <c r="AA358" s="12"/>
    </row>
    <row r="359" ht="19.5" customHeight="1">
      <c r="A359" s="7"/>
      <c r="B359" s="12"/>
      <c r="C359" s="12"/>
      <c r="D359" s="12"/>
      <c r="E359" s="12"/>
      <c r="F359" s="12"/>
      <c r="G359" s="12"/>
      <c r="H359" s="12"/>
      <c r="I359" s="12"/>
      <c r="J359" s="7"/>
      <c r="K359" s="12"/>
      <c r="L359" s="7"/>
      <c r="M359" s="10"/>
      <c r="N359" s="7"/>
      <c r="O359" s="7"/>
      <c r="P359" s="10"/>
      <c r="Q359" s="10"/>
      <c r="R359" s="7"/>
      <c r="S359" s="7"/>
      <c r="T359" s="15"/>
      <c r="U359" s="15"/>
      <c r="V359" s="15"/>
      <c r="W359" s="12"/>
      <c r="X359" s="7"/>
      <c r="Y359" s="12"/>
      <c r="Z359" s="12"/>
      <c r="AA359" s="12"/>
    </row>
    <row r="360" ht="19.5" customHeight="1">
      <c r="A360" s="7"/>
      <c r="B360" s="12"/>
      <c r="C360" s="12"/>
      <c r="D360" s="12"/>
      <c r="E360" s="12"/>
      <c r="F360" s="12"/>
      <c r="G360" s="12"/>
      <c r="H360" s="12"/>
      <c r="I360" s="12"/>
      <c r="J360" s="7"/>
      <c r="K360" s="12"/>
      <c r="L360" s="7"/>
      <c r="M360" s="10"/>
      <c r="N360" s="7"/>
      <c r="O360" s="7"/>
      <c r="P360" s="10"/>
      <c r="Q360" s="10"/>
      <c r="R360" s="7"/>
      <c r="S360" s="7"/>
      <c r="T360" s="15"/>
      <c r="U360" s="15"/>
      <c r="V360" s="15"/>
      <c r="W360" s="12"/>
      <c r="X360" s="7"/>
      <c r="Y360" s="12"/>
      <c r="Z360" s="12"/>
      <c r="AA360" s="12"/>
    </row>
    <row r="361" ht="19.5" customHeight="1">
      <c r="A361" s="7"/>
      <c r="B361" s="12"/>
      <c r="C361" s="12"/>
      <c r="D361" s="12"/>
      <c r="E361" s="12"/>
      <c r="F361" s="12"/>
      <c r="G361" s="12"/>
      <c r="H361" s="12"/>
      <c r="I361" s="12"/>
      <c r="J361" s="7"/>
      <c r="K361" s="12"/>
      <c r="L361" s="7"/>
      <c r="M361" s="10"/>
      <c r="N361" s="7"/>
      <c r="O361" s="7"/>
      <c r="P361" s="10"/>
      <c r="Q361" s="10"/>
      <c r="R361" s="7"/>
      <c r="S361" s="7"/>
      <c r="T361" s="15"/>
      <c r="U361" s="15"/>
      <c r="V361" s="15"/>
      <c r="W361" s="12"/>
      <c r="X361" s="7"/>
      <c r="Y361" s="12"/>
      <c r="Z361" s="12"/>
      <c r="AA361" s="12"/>
    </row>
    <row r="362" ht="19.5" customHeight="1">
      <c r="A362" s="7"/>
      <c r="B362" s="12"/>
      <c r="C362" s="12"/>
      <c r="D362" s="12"/>
      <c r="E362" s="12"/>
      <c r="F362" s="12"/>
      <c r="G362" s="12"/>
      <c r="H362" s="12"/>
      <c r="I362" s="12"/>
      <c r="J362" s="7"/>
      <c r="K362" s="12"/>
      <c r="L362" s="7"/>
      <c r="M362" s="10"/>
      <c r="N362" s="7"/>
      <c r="O362" s="7"/>
      <c r="P362" s="10"/>
      <c r="Q362" s="10"/>
      <c r="R362" s="7"/>
      <c r="S362" s="7"/>
      <c r="T362" s="15"/>
      <c r="U362" s="15"/>
      <c r="V362" s="15"/>
      <c r="W362" s="12"/>
      <c r="X362" s="7"/>
      <c r="Y362" s="12"/>
      <c r="Z362" s="12"/>
      <c r="AA362" s="12"/>
    </row>
    <row r="363" ht="19.5" customHeight="1">
      <c r="A363" s="7"/>
      <c r="B363" s="12"/>
      <c r="C363" s="12"/>
      <c r="D363" s="12"/>
      <c r="E363" s="12"/>
      <c r="F363" s="12"/>
      <c r="G363" s="12"/>
      <c r="H363" s="12"/>
      <c r="I363" s="12"/>
      <c r="J363" s="7"/>
      <c r="K363" s="12"/>
      <c r="L363" s="7"/>
      <c r="M363" s="10"/>
      <c r="N363" s="7"/>
      <c r="O363" s="7"/>
      <c r="P363" s="10"/>
      <c r="Q363" s="10"/>
      <c r="R363" s="7"/>
      <c r="S363" s="7"/>
      <c r="T363" s="15"/>
      <c r="U363" s="15"/>
      <c r="V363" s="15"/>
      <c r="W363" s="12"/>
      <c r="X363" s="7"/>
      <c r="Y363" s="12"/>
      <c r="Z363" s="12"/>
      <c r="AA363" s="12"/>
    </row>
    <row r="364" ht="19.5" customHeight="1">
      <c r="A364" s="7"/>
      <c r="B364" s="12"/>
      <c r="C364" s="12"/>
      <c r="D364" s="12"/>
      <c r="E364" s="12"/>
      <c r="F364" s="12"/>
      <c r="G364" s="12"/>
      <c r="H364" s="12"/>
      <c r="I364" s="12"/>
      <c r="J364" s="7"/>
      <c r="K364" s="12"/>
      <c r="L364" s="7"/>
      <c r="M364" s="10"/>
      <c r="N364" s="7"/>
      <c r="O364" s="7"/>
      <c r="P364" s="10"/>
      <c r="Q364" s="10"/>
      <c r="R364" s="7"/>
      <c r="S364" s="7"/>
      <c r="T364" s="15"/>
      <c r="U364" s="15"/>
      <c r="V364" s="15"/>
      <c r="W364" s="12"/>
      <c r="X364" s="7"/>
      <c r="Y364" s="12"/>
      <c r="Z364" s="12"/>
      <c r="AA364" s="12"/>
    </row>
    <row r="365" ht="19.5" customHeight="1">
      <c r="A365" s="7"/>
      <c r="B365" s="12"/>
      <c r="C365" s="12"/>
      <c r="D365" s="12"/>
      <c r="E365" s="12"/>
      <c r="F365" s="12"/>
      <c r="G365" s="12"/>
      <c r="H365" s="12"/>
      <c r="I365" s="12"/>
      <c r="J365" s="7"/>
      <c r="K365" s="12"/>
      <c r="L365" s="7"/>
      <c r="M365" s="10"/>
      <c r="N365" s="7"/>
      <c r="O365" s="7"/>
      <c r="P365" s="10"/>
      <c r="Q365" s="10"/>
      <c r="R365" s="7"/>
      <c r="S365" s="7"/>
      <c r="T365" s="15"/>
      <c r="U365" s="15"/>
      <c r="V365" s="15"/>
      <c r="W365" s="12"/>
      <c r="X365" s="7"/>
      <c r="Y365" s="12"/>
      <c r="Z365" s="12"/>
      <c r="AA365" s="12"/>
    </row>
    <row r="366" ht="19.5" customHeight="1">
      <c r="A366" s="7"/>
      <c r="B366" s="12"/>
      <c r="C366" s="12"/>
      <c r="D366" s="12"/>
      <c r="E366" s="12"/>
      <c r="F366" s="12"/>
      <c r="G366" s="12"/>
      <c r="H366" s="12"/>
      <c r="I366" s="12"/>
      <c r="J366" s="7"/>
      <c r="K366" s="12"/>
      <c r="L366" s="7"/>
      <c r="M366" s="10"/>
      <c r="N366" s="7"/>
      <c r="O366" s="7"/>
      <c r="P366" s="10"/>
      <c r="Q366" s="10"/>
      <c r="R366" s="7"/>
      <c r="S366" s="7"/>
      <c r="T366" s="15"/>
      <c r="U366" s="15"/>
      <c r="V366" s="15"/>
      <c r="W366" s="12"/>
      <c r="X366" s="7"/>
      <c r="Y366" s="12"/>
      <c r="Z366" s="12"/>
      <c r="AA366" s="12"/>
    </row>
    <row r="367" ht="19.5" customHeight="1">
      <c r="A367" s="7"/>
      <c r="B367" s="12"/>
      <c r="C367" s="12"/>
      <c r="D367" s="12"/>
      <c r="E367" s="12"/>
      <c r="F367" s="12"/>
      <c r="G367" s="12"/>
      <c r="H367" s="12"/>
      <c r="I367" s="12"/>
      <c r="J367" s="7"/>
      <c r="K367" s="12"/>
      <c r="L367" s="7"/>
      <c r="M367" s="10"/>
      <c r="N367" s="7"/>
      <c r="O367" s="7"/>
      <c r="P367" s="10"/>
      <c r="Q367" s="10"/>
      <c r="R367" s="7"/>
      <c r="S367" s="7"/>
      <c r="T367" s="15"/>
      <c r="U367" s="15"/>
      <c r="V367" s="15"/>
      <c r="W367" s="12"/>
      <c r="X367" s="7"/>
      <c r="Y367" s="12"/>
      <c r="Z367" s="12"/>
      <c r="AA367" s="12"/>
    </row>
    <row r="368" ht="19.5" customHeight="1">
      <c r="A368" s="7"/>
      <c r="B368" s="12"/>
      <c r="C368" s="12"/>
      <c r="D368" s="12"/>
      <c r="E368" s="12"/>
      <c r="F368" s="12"/>
      <c r="G368" s="12"/>
      <c r="H368" s="12"/>
      <c r="I368" s="12"/>
      <c r="J368" s="7"/>
      <c r="K368" s="12"/>
      <c r="L368" s="7"/>
      <c r="M368" s="10"/>
      <c r="N368" s="7"/>
      <c r="O368" s="7"/>
      <c r="P368" s="10"/>
      <c r="Q368" s="10"/>
      <c r="R368" s="7"/>
      <c r="S368" s="7"/>
      <c r="T368" s="15"/>
      <c r="U368" s="15"/>
      <c r="V368" s="15"/>
      <c r="W368" s="12"/>
      <c r="X368" s="7"/>
      <c r="Y368" s="12"/>
      <c r="Z368" s="12"/>
      <c r="AA368" s="12"/>
    </row>
    <row r="369" ht="19.5" customHeight="1">
      <c r="A369" s="7"/>
      <c r="B369" s="12"/>
      <c r="C369" s="12"/>
      <c r="D369" s="12"/>
      <c r="E369" s="12"/>
      <c r="F369" s="12"/>
      <c r="G369" s="12"/>
      <c r="H369" s="12"/>
      <c r="I369" s="12"/>
      <c r="J369" s="7"/>
      <c r="K369" s="12"/>
      <c r="L369" s="7"/>
      <c r="M369" s="10"/>
      <c r="N369" s="7"/>
      <c r="O369" s="7"/>
      <c r="P369" s="10"/>
      <c r="Q369" s="10"/>
      <c r="R369" s="7"/>
      <c r="S369" s="7"/>
      <c r="T369" s="15"/>
      <c r="U369" s="15"/>
      <c r="V369" s="15"/>
      <c r="W369" s="12"/>
      <c r="X369" s="7"/>
      <c r="Y369" s="12"/>
      <c r="Z369" s="12"/>
      <c r="AA369" s="12"/>
    </row>
    <row r="370" ht="19.5" customHeight="1">
      <c r="A370" s="7"/>
      <c r="B370" s="12"/>
      <c r="C370" s="12"/>
      <c r="D370" s="12"/>
      <c r="E370" s="12"/>
      <c r="F370" s="12"/>
      <c r="G370" s="12"/>
      <c r="H370" s="12"/>
      <c r="I370" s="12"/>
      <c r="J370" s="7"/>
      <c r="K370" s="12"/>
      <c r="L370" s="7"/>
      <c r="M370" s="10"/>
      <c r="N370" s="7"/>
      <c r="O370" s="7"/>
      <c r="P370" s="10"/>
      <c r="Q370" s="10"/>
      <c r="R370" s="7"/>
      <c r="S370" s="7"/>
      <c r="T370" s="15"/>
      <c r="U370" s="15"/>
      <c r="V370" s="15"/>
      <c r="W370" s="12"/>
      <c r="X370" s="7"/>
      <c r="Y370" s="12"/>
      <c r="Z370" s="12"/>
      <c r="AA370" s="12"/>
    </row>
    <row r="371" ht="19.5" customHeight="1">
      <c r="A371" s="7"/>
      <c r="B371" s="12"/>
      <c r="C371" s="12"/>
      <c r="D371" s="12"/>
      <c r="E371" s="12"/>
      <c r="F371" s="12"/>
      <c r="G371" s="12"/>
      <c r="H371" s="12"/>
      <c r="I371" s="12"/>
      <c r="J371" s="7"/>
      <c r="K371" s="12"/>
      <c r="L371" s="7"/>
      <c r="M371" s="10"/>
      <c r="N371" s="7"/>
      <c r="O371" s="7"/>
      <c r="P371" s="10"/>
      <c r="Q371" s="10"/>
      <c r="R371" s="7"/>
      <c r="S371" s="7"/>
      <c r="T371" s="15"/>
      <c r="U371" s="15"/>
      <c r="V371" s="15"/>
      <c r="W371" s="12"/>
      <c r="X371" s="7"/>
      <c r="Y371" s="12"/>
      <c r="Z371" s="12"/>
      <c r="AA371" s="12"/>
    </row>
    <row r="372" ht="19.5" customHeight="1">
      <c r="A372" s="7"/>
      <c r="B372" s="12"/>
      <c r="C372" s="12"/>
      <c r="D372" s="12"/>
      <c r="E372" s="12"/>
      <c r="F372" s="12"/>
      <c r="G372" s="12"/>
      <c r="H372" s="12"/>
      <c r="I372" s="12"/>
      <c r="J372" s="7"/>
      <c r="K372" s="12"/>
      <c r="L372" s="7"/>
      <c r="M372" s="10"/>
      <c r="N372" s="7"/>
      <c r="O372" s="7"/>
      <c r="P372" s="10"/>
      <c r="Q372" s="10"/>
      <c r="R372" s="7"/>
      <c r="S372" s="7"/>
      <c r="T372" s="15"/>
      <c r="U372" s="15"/>
      <c r="V372" s="15"/>
      <c r="W372" s="12"/>
      <c r="X372" s="7"/>
      <c r="Y372" s="12"/>
      <c r="Z372" s="12"/>
      <c r="AA372" s="12"/>
    </row>
    <row r="373" ht="19.5" customHeight="1">
      <c r="A373" s="7"/>
      <c r="B373" s="12"/>
      <c r="C373" s="12"/>
      <c r="D373" s="12"/>
      <c r="E373" s="12"/>
      <c r="F373" s="12"/>
      <c r="G373" s="12"/>
      <c r="H373" s="12"/>
      <c r="I373" s="12"/>
      <c r="J373" s="7"/>
      <c r="K373" s="12"/>
      <c r="L373" s="7"/>
      <c r="M373" s="10"/>
      <c r="N373" s="7"/>
      <c r="O373" s="7"/>
      <c r="P373" s="10"/>
      <c r="Q373" s="10"/>
      <c r="R373" s="7"/>
      <c r="S373" s="7"/>
      <c r="T373" s="15"/>
      <c r="U373" s="15"/>
      <c r="V373" s="15"/>
      <c r="W373" s="12"/>
      <c r="X373" s="7"/>
      <c r="Y373" s="12"/>
      <c r="Z373" s="12"/>
      <c r="AA373" s="12"/>
    </row>
    <row r="374" ht="19.5" customHeight="1">
      <c r="A374" s="7"/>
      <c r="B374" s="12"/>
      <c r="C374" s="12"/>
      <c r="D374" s="12"/>
      <c r="E374" s="12"/>
      <c r="F374" s="12"/>
      <c r="G374" s="12"/>
      <c r="H374" s="12"/>
      <c r="I374" s="12"/>
      <c r="J374" s="7"/>
      <c r="K374" s="12"/>
      <c r="L374" s="7"/>
      <c r="M374" s="10"/>
      <c r="N374" s="7"/>
      <c r="O374" s="7"/>
      <c r="P374" s="10"/>
      <c r="Q374" s="10"/>
      <c r="R374" s="7"/>
      <c r="S374" s="7"/>
      <c r="T374" s="15"/>
      <c r="U374" s="15"/>
      <c r="V374" s="15"/>
      <c r="W374" s="12"/>
      <c r="X374" s="7"/>
      <c r="Y374" s="12"/>
      <c r="Z374" s="12"/>
      <c r="AA374" s="12"/>
    </row>
    <row r="375" ht="19.5" customHeight="1">
      <c r="A375" s="7"/>
      <c r="B375" s="12"/>
      <c r="C375" s="12"/>
      <c r="D375" s="12"/>
      <c r="E375" s="12"/>
      <c r="F375" s="12"/>
      <c r="G375" s="12"/>
      <c r="H375" s="12"/>
      <c r="I375" s="12"/>
      <c r="J375" s="7"/>
      <c r="K375" s="12"/>
      <c r="L375" s="7"/>
      <c r="M375" s="10"/>
      <c r="N375" s="7"/>
      <c r="O375" s="7"/>
      <c r="P375" s="10"/>
      <c r="Q375" s="10"/>
      <c r="R375" s="7"/>
      <c r="S375" s="7"/>
      <c r="T375" s="15"/>
      <c r="U375" s="15"/>
      <c r="V375" s="15"/>
      <c r="W375" s="12"/>
      <c r="X375" s="7"/>
      <c r="Y375" s="12"/>
      <c r="Z375" s="12"/>
      <c r="AA375" s="12"/>
    </row>
    <row r="376" ht="19.5" customHeight="1">
      <c r="A376" s="7"/>
      <c r="B376" s="12"/>
      <c r="C376" s="12"/>
      <c r="D376" s="12"/>
      <c r="E376" s="12"/>
      <c r="F376" s="12"/>
      <c r="G376" s="12"/>
      <c r="H376" s="12"/>
      <c r="I376" s="12"/>
      <c r="J376" s="7"/>
      <c r="K376" s="12"/>
      <c r="L376" s="7"/>
      <c r="M376" s="10"/>
      <c r="N376" s="7"/>
      <c r="O376" s="7"/>
      <c r="P376" s="10"/>
      <c r="Q376" s="10"/>
      <c r="R376" s="7"/>
      <c r="S376" s="7"/>
      <c r="T376" s="15"/>
      <c r="U376" s="15"/>
      <c r="V376" s="15"/>
      <c r="W376" s="12"/>
      <c r="X376" s="7"/>
      <c r="Y376" s="12"/>
      <c r="Z376" s="12"/>
      <c r="AA376" s="12"/>
    </row>
    <row r="377" ht="19.5" customHeight="1">
      <c r="A377" s="7"/>
      <c r="B377" s="12"/>
      <c r="C377" s="12"/>
      <c r="D377" s="12"/>
      <c r="E377" s="12"/>
      <c r="F377" s="12"/>
      <c r="G377" s="12"/>
      <c r="H377" s="12"/>
      <c r="I377" s="12"/>
      <c r="J377" s="7"/>
      <c r="K377" s="12"/>
      <c r="L377" s="7"/>
      <c r="M377" s="10"/>
      <c r="N377" s="7"/>
      <c r="O377" s="7"/>
      <c r="P377" s="10"/>
      <c r="Q377" s="10"/>
      <c r="R377" s="7"/>
      <c r="S377" s="7"/>
      <c r="T377" s="15"/>
      <c r="U377" s="15"/>
      <c r="V377" s="15"/>
      <c r="W377" s="12"/>
      <c r="X377" s="7"/>
      <c r="Y377" s="12"/>
      <c r="Z377" s="12"/>
      <c r="AA377" s="12"/>
    </row>
    <row r="378" ht="19.5" customHeight="1">
      <c r="A378" s="7"/>
      <c r="B378" s="12"/>
      <c r="C378" s="12"/>
      <c r="D378" s="12"/>
      <c r="E378" s="12"/>
      <c r="F378" s="12"/>
      <c r="G378" s="12"/>
      <c r="H378" s="12"/>
      <c r="I378" s="12"/>
      <c r="J378" s="7"/>
      <c r="K378" s="12"/>
      <c r="L378" s="7"/>
      <c r="M378" s="10"/>
      <c r="N378" s="7"/>
      <c r="O378" s="7"/>
      <c r="P378" s="10"/>
      <c r="Q378" s="10"/>
      <c r="R378" s="7"/>
      <c r="S378" s="7"/>
      <c r="T378" s="15"/>
      <c r="U378" s="15"/>
      <c r="V378" s="15"/>
      <c r="W378" s="12"/>
      <c r="X378" s="7"/>
      <c r="Y378" s="12"/>
      <c r="Z378" s="12"/>
      <c r="AA378" s="12"/>
    </row>
    <row r="379" ht="19.5" customHeight="1">
      <c r="A379" s="7"/>
      <c r="B379" s="12"/>
      <c r="C379" s="12"/>
      <c r="D379" s="12"/>
      <c r="E379" s="12"/>
      <c r="F379" s="12"/>
      <c r="G379" s="12"/>
      <c r="H379" s="12"/>
      <c r="I379" s="12"/>
      <c r="J379" s="7"/>
      <c r="K379" s="12"/>
      <c r="L379" s="7"/>
      <c r="M379" s="10"/>
      <c r="N379" s="7"/>
      <c r="O379" s="7"/>
      <c r="P379" s="10"/>
      <c r="Q379" s="10"/>
      <c r="R379" s="7"/>
      <c r="S379" s="7"/>
      <c r="T379" s="15"/>
      <c r="U379" s="15"/>
      <c r="V379" s="15"/>
      <c r="W379" s="12"/>
      <c r="X379" s="7"/>
      <c r="Y379" s="12"/>
      <c r="Z379" s="12"/>
      <c r="AA379" s="12"/>
    </row>
    <row r="380" ht="19.5" customHeight="1">
      <c r="A380" s="7"/>
      <c r="B380" s="12"/>
      <c r="C380" s="12"/>
      <c r="D380" s="12"/>
      <c r="E380" s="12"/>
      <c r="F380" s="12"/>
      <c r="G380" s="12"/>
      <c r="H380" s="12"/>
      <c r="I380" s="12"/>
      <c r="J380" s="7"/>
      <c r="K380" s="12"/>
      <c r="L380" s="7"/>
      <c r="M380" s="10"/>
      <c r="N380" s="7"/>
      <c r="O380" s="7"/>
      <c r="P380" s="10"/>
      <c r="Q380" s="10"/>
      <c r="R380" s="7"/>
      <c r="S380" s="7"/>
      <c r="T380" s="15"/>
      <c r="U380" s="15"/>
      <c r="V380" s="15"/>
      <c r="W380" s="12"/>
      <c r="X380" s="7"/>
      <c r="Y380" s="12"/>
      <c r="Z380" s="12"/>
      <c r="AA380" s="12"/>
    </row>
    <row r="381" ht="19.5" customHeight="1">
      <c r="A381" s="7"/>
      <c r="B381" s="12"/>
      <c r="C381" s="12"/>
      <c r="D381" s="12"/>
      <c r="E381" s="12"/>
      <c r="F381" s="12"/>
      <c r="G381" s="12"/>
      <c r="H381" s="12"/>
      <c r="I381" s="12"/>
      <c r="J381" s="7"/>
      <c r="K381" s="12"/>
      <c r="L381" s="7"/>
      <c r="M381" s="10"/>
      <c r="N381" s="7"/>
      <c r="O381" s="7"/>
      <c r="P381" s="10"/>
      <c r="Q381" s="10"/>
      <c r="R381" s="7"/>
      <c r="S381" s="7"/>
      <c r="T381" s="15"/>
      <c r="U381" s="15"/>
      <c r="V381" s="15"/>
      <c r="W381" s="12"/>
      <c r="X381" s="7"/>
      <c r="Y381" s="12"/>
      <c r="Z381" s="12"/>
      <c r="AA381" s="12"/>
    </row>
    <row r="382" ht="19.5" customHeight="1">
      <c r="A382" s="7"/>
      <c r="B382" s="12"/>
      <c r="C382" s="12"/>
      <c r="D382" s="12"/>
      <c r="E382" s="12"/>
      <c r="F382" s="12"/>
      <c r="G382" s="12"/>
      <c r="H382" s="12"/>
      <c r="I382" s="12"/>
      <c r="J382" s="7"/>
      <c r="K382" s="12"/>
      <c r="L382" s="7"/>
      <c r="M382" s="10"/>
      <c r="N382" s="7"/>
      <c r="O382" s="7"/>
      <c r="P382" s="10"/>
      <c r="Q382" s="10"/>
      <c r="R382" s="7"/>
      <c r="S382" s="7"/>
      <c r="T382" s="15"/>
      <c r="U382" s="15"/>
      <c r="V382" s="15"/>
      <c r="W382" s="12"/>
      <c r="X382" s="7"/>
      <c r="Y382" s="12"/>
      <c r="Z382" s="12"/>
      <c r="AA382" s="12"/>
    </row>
    <row r="383" ht="19.5" customHeight="1">
      <c r="A383" s="7"/>
      <c r="B383" s="12"/>
      <c r="C383" s="12"/>
      <c r="D383" s="12"/>
      <c r="E383" s="12"/>
      <c r="F383" s="12"/>
      <c r="G383" s="12"/>
      <c r="H383" s="12"/>
      <c r="I383" s="12"/>
      <c r="J383" s="7"/>
      <c r="K383" s="12"/>
      <c r="L383" s="7"/>
      <c r="M383" s="10"/>
      <c r="N383" s="7"/>
      <c r="O383" s="7"/>
      <c r="P383" s="10"/>
      <c r="Q383" s="10"/>
      <c r="R383" s="7"/>
      <c r="S383" s="7"/>
      <c r="T383" s="15"/>
      <c r="U383" s="15"/>
      <c r="V383" s="15"/>
      <c r="W383" s="12"/>
      <c r="X383" s="7"/>
      <c r="Y383" s="12"/>
      <c r="Z383" s="12"/>
      <c r="AA383" s="12"/>
    </row>
    <row r="384" ht="19.5" customHeight="1">
      <c r="A384" s="7"/>
      <c r="B384" s="12"/>
      <c r="C384" s="12"/>
      <c r="D384" s="12"/>
      <c r="E384" s="12"/>
      <c r="F384" s="12"/>
      <c r="G384" s="12"/>
      <c r="H384" s="12"/>
      <c r="I384" s="12"/>
      <c r="J384" s="7"/>
      <c r="K384" s="12"/>
      <c r="L384" s="7"/>
      <c r="M384" s="10"/>
      <c r="N384" s="7"/>
      <c r="O384" s="7"/>
      <c r="P384" s="10"/>
      <c r="Q384" s="10"/>
      <c r="R384" s="7"/>
      <c r="S384" s="7"/>
      <c r="T384" s="15"/>
      <c r="U384" s="15"/>
      <c r="V384" s="15"/>
      <c r="W384" s="12"/>
      <c r="X384" s="7"/>
      <c r="Y384" s="12"/>
      <c r="Z384" s="12"/>
      <c r="AA384" s="12"/>
    </row>
    <row r="385" ht="19.5" customHeight="1">
      <c r="A385" s="7"/>
      <c r="B385" s="12"/>
      <c r="C385" s="12"/>
      <c r="D385" s="12"/>
      <c r="E385" s="12"/>
      <c r="F385" s="12"/>
      <c r="G385" s="12"/>
      <c r="H385" s="12"/>
      <c r="I385" s="12"/>
      <c r="J385" s="7"/>
      <c r="K385" s="12"/>
      <c r="L385" s="7"/>
      <c r="M385" s="10"/>
      <c r="N385" s="7"/>
      <c r="O385" s="7"/>
      <c r="P385" s="10"/>
      <c r="Q385" s="10"/>
      <c r="R385" s="7"/>
      <c r="S385" s="7"/>
      <c r="T385" s="15"/>
      <c r="U385" s="15"/>
      <c r="V385" s="15"/>
      <c r="W385" s="12"/>
      <c r="X385" s="7"/>
      <c r="Y385" s="12"/>
      <c r="Z385" s="12"/>
      <c r="AA385" s="12"/>
    </row>
    <row r="386" ht="19.5" customHeight="1">
      <c r="A386" s="7"/>
      <c r="B386" s="12"/>
      <c r="C386" s="12"/>
      <c r="D386" s="12"/>
      <c r="E386" s="12"/>
      <c r="F386" s="12"/>
      <c r="G386" s="12"/>
      <c r="H386" s="12"/>
      <c r="I386" s="12"/>
      <c r="J386" s="7"/>
      <c r="K386" s="12"/>
      <c r="L386" s="7"/>
      <c r="M386" s="10"/>
      <c r="N386" s="7"/>
      <c r="O386" s="7"/>
      <c r="P386" s="10"/>
      <c r="Q386" s="10"/>
      <c r="R386" s="7"/>
      <c r="S386" s="7"/>
      <c r="T386" s="15"/>
      <c r="U386" s="15"/>
      <c r="V386" s="15"/>
      <c r="W386" s="12"/>
      <c r="X386" s="7"/>
      <c r="Y386" s="12"/>
      <c r="Z386" s="12"/>
      <c r="AA386" s="12"/>
    </row>
    <row r="387" ht="19.5" customHeight="1">
      <c r="A387" s="7"/>
      <c r="B387" s="12"/>
      <c r="C387" s="12"/>
      <c r="D387" s="12"/>
      <c r="E387" s="12"/>
      <c r="F387" s="12"/>
      <c r="G387" s="12"/>
      <c r="H387" s="12"/>
      <c r="I387" s="12"/>
      <c r="J387" s="7"/>
      <c r="K387" s="12"/>
      <c r="L387" s="7"/>
      <c r="M387" s="10"/>
      <c r="N387" s="7"/>
      <c r="O387" s="7"/>
      <c r="P387" s="10"/>
      <c r="Q387" s="10"/>
      <c r="R387" s="7"/>
      <c r="S387" s="7"/>
      <c r="T387" s="15"/>
      <c r="U387" s="15"/>
      <c r="V387" s="15"/>
      <c r="W387" s="12"/>
      <c r="X387" s="7"/>
      <c r="Y387" s="12"/>
      <c r="Z387" s="12"/>
      <c r="AA387" s="12"/>
    </row>
    <row r="388" ht="19.5" customHeight="1">
      <c r="A388" s="7"/>
      <c r="B388" s="12"/>
      <c r="C388" s="12"/>
      <c r="D388" s="12"/>
      <c r="E388" s="12"/>
      <c r="F388" s="12"/>
      <c r="G388" s="12"/>
      <c r="H388" s="12"/>
      <c r="I388" s="12"/>
      <c r="J388" s="7"/>
      <c r="K388" s="12"/>
      <c r="L388" s="7"/>
      <c r="M388" s="10"/>
      <c r="N388" s="7"/>
      <c r="O388" s="7"/>
      <c r="P388" s="10"/>
      <c r="Q388" s="10"/>
      <c r="R388" s="7"/>
      <c r="S388" s="7"/>
      <c r="T388" s="15"/>
      <c r="U388" s="15"/>
      <c r="V388" s="15"/>
      <c r="W388" s="12"/>
      <c r="X388" s="7"/>
      <c r="Y388" s="12"/>
      <c r="Z388" s="12"/>
      <c r="AA388" s="12"/>
    </row>
    <row r="389" ht="19.5" customHeight="1">
      <c r="A389" s="7"/>
      <c r="B389" s="12"/>
      <c r="C389" s="12"/>
      <c r="D389" s="12"/>
      <c r="E389" s="12"/>
      <c r="F389" s="12"/>
      <c r="G389" s="12"/>
      <c r="H389" s="12"/>
      <c r="I389" s="12"/>
      <c r="J389" s="7"/>
      <c r="K389" s="12"/>
      <c r="L389" s="7"/>
      <c r="M389" s="10"/>
      <c r="N389" s="7"/>
      <c r="O389" s="7"/>
      <c r="P389" s="10"/>
      <c r="Q389" s="10"/>
      <c r="R389" s="7"/>
      <c r="S389" s="7"/>
      <c r="T389" s="15"/>
      <c r="U389" s="15"/>
      <c r="V389" s="15"/>
      <c r="W389" s="12"/>
      <c r="X389" s="7"/>
      <c r="Y389" s="12"/>
      <c r="Z389" s="12"/>
      <c r="AA389" s="12"/>
    </row>
    <row r="390" ht="19.5" customHeight="1">
      <c r="A390" s="7"/>
      <c r="B390" s="12"/>
      <c r="C390" s="12"/>
      <c r="D390" s="12"/>
      <c r="E390" s="12"/>
      <c r="F390" s="12"/>
      <c r="G390" s="12"/>
      <c r="H390" s="12"/>
      <c r="I390" s="12"/>
      <c r="J390" s="7"/>
      <c r="K390" s="12"/>
      <c r="L390" s="7"/>
      <c r="M390" s="10"/>
      <c r="N390" s="7"/>
      <c r="O390" s="7"/>
      <c r="P390" s="10"/>
      <c r="Q390" s="10"/>
      <c r="R390" s="7"/>
      <c r="S390" s="7"/>
      <c r="T390" s="15"/>
      <c r="U390" s="15"/>
      <c r="V390" s="15"/>
      <c r="W390" s="12"/>
      <c r="X390" s="7"/>
      <c r="Y390" s="12"/>
      <c r="Z390" s="12"/>
      <c r="AA390" s="12"/>
    </row>
    <row r="391" ht="19.5" customHeight="1">
      <c r="A391" s="7"/>
      <c r="B391" s="12"/>
      <c r="C391" s="12"/>
      <c r="D391" s="12"/>
      <c r="E391" s="12"/>
      <c r="F391" s="12"/>
      <c r="G391" s="12"/>
      <c r="H391" s="12"/>
      <c r="I391" s="12"/>
      <c r="J391" s="7"/>
      <c r="K391" s="12"/>
      <c r="L391" s="7"/>
      <c r="M391" s="10"/>
      <c r="N391" s="7"/>
      <c r="O391" s="7"/>
      <c r="P391" s="10"/>
      <c r="Q391" s="10"/>
      <c r="R391" s="7"/>
      <c r="S391" s="7"/>
      <c r="T391" s="15"/>
      <c r="U391" s="15"/>
      <c r="V391" s="15"/>
      <c r="W391" s="12"/>
      <c r="X391" s="7"/>
      <c r="Y391" s="12"/>
      <c r="Z391" s="12"/>
      <c r="AA391" s="12"/>
    </row>
    <row r="392" ht="19.5" customHeight="1">
      <c r="A392" s="7"/>
      <c r="B392" s="12"/>
      <c r="C392" s="12"/>
      <c r="D392" s="12"/>
      <c r="E392" s="12"/>
      <c r="F392" s="12"/>
      <c r="G392" s="12"/>
      <c r="H392" s="12"/>
      <c r="I392" s="12"/>
      <c r="J392" s="7"/>
      <c r="K392" s="12"/>
      <c r="L392" s="7"/>
      <c r="M392" s="10"/>
      <c r="N392" s="7"/>
      <c r="O392" s="7"/>
      <c r="P392" s="10"/>
      <c r="Q392" s="10"/>
      <c r="R392" s="7"/>
      <c r="S392" s="7"/>
      <c r="T392" s="15"/>
      <c r="U392" s="15"/>
      <c r="V392" s="15"/>
      <c r="W392" s="12"/>
      <c r="X392" s="7"/>
      <c r="Y392" s="12"/>
      <c r="Z392" s="12"/>
      <c r="AA392" s="12"/>
    </row>
    <row r="393" ht="19.5" customHeight="1">
      <c r="A393" s="7"/>
      <c r="B393" s="12"/>
      <c r="C393" s="12"/>
      <c r="D393" s="12"/>
      <c r="E393" s="12"/>
      <c r="F393" s="12"/>
      <c r="G393" s="12"/>
      <c r="H393" s="12"/>
      <c r="I393" s="12"/>
      <c r="J393" s="7"/>
      <c r="K393" s="12"/>
      <c r="L393" s="7"/>
      <c r="M393" s="10"/>
      <c r="N393" s="7"/>
      <c r="O393" s="7"/>
      <c r="P393" s="10"/>
      <c r="Q393" s="10"/>
      <c r="R393" s="7"/>
      <c r="S393" s="7"/>
      <c r="T393" s="15"/>
      <c r="U393" s="15"/>
      <c r="V393" s="15"/>
      <c r="W393" s="12"/>
      <c r="X393" s="7"/>
      <c r="Y393" s="12"/>
      <c r="Z393" s="12"/>
      <c r="AA393" s="12"/>
    </row>
    <row r="394" ht="19.5" customHeight="1">
      <c r="A394" s="7"/>
      <c r="B394" s="12"/>
      <c r="C394" s="12"/>
      <c r="D394" s="12"/>
      <c r="E394" s="12"/>
      <c r="F394" s="12"/>
      <c r="G394" s="12"/>
      <c r="H394" s="12"/>
      <c r="I394" s="12"/>
      <c r="J394" s="7"/>
      <c r="K394" s="12"/>
      <c r="L394" s="7"/>
      <c r="M394" s="10"/>
      <c r="N394" s="7"/>
      <c r="O394" s="7"/>
      <c r="P394" s="10"/>
      <c r="Q394" s="10"/>
      <c r="R394" s="7"/>
      <c r="S394" s="7"/>
      <c r="T394" s="15"/>
      <c r="U394" s="15"/>
      <c r="V394" s="15"/>
      <c r="W394" s="12"/>
      <c r="X394" s="7"/>
      <c r="Y394" s="12"/>
      <c r="Z394" s="12"/>
      <c r="AA394" s="12"/>
    </row>
    <row r="395" ht="19.5" customHeight="1">
      <c r="A395" s="7"/>
      <c r="B395" s="12"/>
      <c r="C395" s="12"/>
      <c r="D395" s="12"/>
      <c r="E395" s="12"/>
      <c r="F395" s="12"/>
      <c r="G395" s="12"/>
      <c r="H395" s="12"/>
      <c r="I395" s="12"/>
      <c r="J395" s="7"/>
      <c r="K395" s="12"/>
      <c r="L395" s="7"/>
      <c r="M395" s="10"/>
      <c r="N395" s="7"/>
      <c r="O395" s="7"/>
      <c r="P395" s="10"/>
      <c r="Q395" s="10"/>
      <c r="R395" s="7"/>
      <c r="S395" s="7"/>
      <c r="T395" s="15"/>
      <c r="U395" s="15"/>
      <c r="V395" s="15"/>
      <c r="W395" s="12"/>
      <c r="X395" s="7"/>
      <c r="Y395" s="12"/>
      <c r="Z395" s="12"/>
      <c r="AA395" s="12"/>
    </row>
    <row r="396" ht="19.5" customHeight="1">
      <c r="A396" s="7"/>
      <c r="B396" s="12"/>
      <c r="C396" s="12"/>
      <c r="D396" s="12"/>
      <c r="E396" s="12"/>
      <c r="F396" s="12"/>
      <c r="G396" s="12"/>
      <c r="H396" s="12"/>
      <c r="I396" s="12"/>
      <c r="J396" s="7"/>
      <c r="K396" s="12"/>
      <c r="L396" s="7"/>
      <c r="M396" s="10"/>
      <c r="N396" s="7"/>
      <c r="O396" s="7"/>
      <c r="P396" s="10"/>
      <c r="Q396" s="10"/>
      <c r="R396" s="7"/>
      <c r="S396" s="7"/>
      <c r="T396" s="15"/>
      <c r="U396" s="15"/>
      <c r="V396" s="15"/>
      <c r="W396" s="12"/>
      <c r="X396" s="7"/>
      <c r="Y396" s="12"/>
      <c r="Z396" s="12"/>
      <c r="AA396" s="12"/>
    </row>
    <row r="397" ht="19.5" customHeight="1">
      <c r="A397" s="7"/>
      <c r="B397" s="12"/>
      <c r="C397" s="12"/>
      <c r="D397" s="12"/>
      <c r="E397" s="12"/>
      <c r="F397" s="12"/>
      <c r="G397" s="12"/>
      <c r="H397" s="12"/>
      <c r="I397" s="12"/>
      <c r="J397" s="7"/>
      <c r="K397" s="12"/>
      <c r="L397" s="7"/>
      <c r="M397" s="10"/>
      <c r="N397" s="7"/>
      <c r="O397" s="7"/>
      <c r="P397" s="10"/>
      <c r="Q397" s="10"/>
      <c r="R397" s="7"/>
      <c r="S397" s="7"/>
      <c r="T397" s="15"/>
      <c r="U397" s="15"/>
      <c r="V397" s="15"/>
      <c r="W397" s="12"/>
      <c r="X397" s="7"/>
      <c r="Y397" s="12"/>
      <c r="Z397" s="12"/>
      <c r="AA397" s="12"/>
    </row>
    <row r="398" ht="19.5" customHeight="1">
      <c r="A398" s="7"/>
      <c r="B398" s="12"/>
      <c r="C398" s="12"/>
      <c r="D398" s="12"/>
      <c r="E398" s="12"/>
      <c r="F398" s="12"/>
      <c r="G398" s="12"/>
      <c r="H398" s="12"/>
      <c r="I398" s="12"/>
      <c r="J398" s="7"/>
      <c r="K398" s="12"/>
      <c r="L398" s="7"/>
      <c r="M398" s="10"/>
      <c r="N398" s="7"/>
      <c r="O398" s="7"/>
      <c r="P398" s="10"/>
      <c r="Q398" s="10"/>
      <c r="R398" s="7"/>
      <c r="S398" s="7"/>
      <c r="T398" s="15"/>
      <c r="U398" s="15"/>
      <c r="V398" s="15"/>
      <c r="W398" s="12"/>
      <c r="X398" s="7"/>
      <c r="Y398" s="12"/>
      <c r="Z398" s="12"/>
      <c r="AA398" s="12"/>
    </row>
    <row r="399" ht="19.5" customHeight="1">
      <c r="A399" s="7"/>
      <c r="B399" s="12"/>
      <c r="C399" s="12"/>
      <c r="D399" s="12"/>
      <c r="E399" s="12"/>
      <c r="F399" s="12"/>
      <c r="G399" s="12"/>
      <c r="H399" s="12"/>
      <c r="I399" s="12"/>
      <c r="J399" s="7"/>
      <c r="K399" s="12"/>
      <c r="L399" s="7"/>
      <c r="M399" s="10"/>
      <c r="N399" s="7"/>
      <c r="O399" s="7"/>
      <c r="P399" s="10"/>
      <c r="Q399" s="10"/>
      <c r="R399" s="7"/>
      <c r="S399" s="7"/>
      <c r="T399" s="15"/>
      <c r="U399" s="15"/>
      <c r="V399" s="15"/>
      <c r="W399" s="12"/>
      <c r="X399" s="7"/>
      <c r="Y399" s="12"/>
      <c r="Z399" s="12"/>
      <c r="AA399" s="12"/>
    </row>
    <row r="400" ht="19.5" customHeight="1">
      <c r="A400" s="7"/>
      <c r="B400" s="12"/>
      <c r="C400" s="12"/>
      <c r="D400" s="12"/>
      <c r="E400" s="12"/>
      <c r="F400" s="12"/>
      <c r="G400" s="12"/>
      <c r="H400" s="12"/>
      <c r="I400" s="12"/>
      <c r="J400" s="7"/>
      <c r="K400" s="12"/>
      <c r="L400" s="7"/>
      <c r="M400" s="10"/>
      <c r="N400" s="7"/>
      <c r="O400" s="7"/>
      <c r="P400" s="10"/>
      <c r="Q400" s="10"/>
      <c r="R400" s="7"/>
      <c r="S400" s="7"/>
      <c r="T400" s="15"/>
      <c r="U400" s="15"/>
      <c r="V400" s="15"/>
      <c r="W400" s="12"/>
      <c r="X400" s="7"/>
      <c r="Y400" s="12"/>
      <c r="Z400" s="12"/>
      <c r="AA400" s="12"/>
    </row>
    <row r="401" ht="19.5" customHeight="1">
      <c r="A401" s="7"/>
      <c r="B401" s="12"/>
      <c r="C401" s="12"/>
      <c r="D401" s="12"/>
      <c r="E401" s="12"/>
      <c r="F401" s="12"/>
      <c r="G401" s="12"/>
      <c r="H401" s="12"/>
      <c r="I401" s="12"/>
      <c r="J401" s="7"/>
      <c r="K401" s="12"/>
      <c r="L401" s="7"/>
      <c r="M401" s="10"/>
      <c r="N401" s="7"/>
      <c r="O401" s="7"/>
      <c r="P401" s="10"/>
      <c r="Q401" s="10"/>
      <c r="R401" s="7"/>
      <c r="S401" s="7"/>
      <c r="T401" s="15"/>
      <c r="U401" s="15"/>
      <c r="V401" s="15"/>
      <c r="W401" s="12"/>
      <c r="X401" s="7"/>
      <c r="Y401" s="12"/>
      <c r="Z401" s="12"/>
      <c r="AA401" s="12"/>
    </row>
    <row r="402" ht="19.5" customHeight="1">
      <c r="A402" s="7"/>
      <c r="B402" s="12"/>
      <c r="C402" s="12"/>
      <c r="D402" s="12"/>
      <c r="E402" s="12"/>
      <c r="F402" s="12"/>
      <c r="G402" s="12"/>
      <c r="H402" s="12"/>
      <c r="I402" s="12"/>
      <c r="J402" s="7"/>
      <c r="K402" s="12"/>
      <c r="L402" s="7"/>
      <c r="M402" s="10"/>
      <c r="N402" s="7"/>
      <c r="O402" s="7"/>
      <c r="P402" s="10"/>
      <c r="Q402" s="10"/>
      <c r="R402" s="7"/>
      <c r="S402" s="7"/>
      <c r="T402" s="15"/>
      <c r="U402" s="15"/>
      <c r="V402" s="15"/>
      <c r="W402" s="12"/>
      <c r="X402" s="7"/>
      <c r="Y402" s="12"/>
      <c r="Z402" s="12"/>
      <c r="AA402" s="12"/>
    </row>
    <row r="403" ht="19.5" customHeight="1">
      <c r="A403" s="7"/>
      <c r="B403" s="12"/>
      <c r="C403" s="12"/>
      <c r="D403" s="12"/>
      <c r="E403" s="12"/>
      <c r="F403" s="12"/>
      <c r="G403" s="12"/>
      <c r="H403" s="12"/>
      <c r="I403" s="12"/>
      <c r="J403" s="7"/>
      <c r="K403" s="12"/>
      <c r="L403" s="7"/>
      <c r="M403" s="10"/>
      <c r="N403" s="7"/>
      <c r="O403" s="7"/>
      <c r="P403" s="10"/>
      <c r="Q403" s="10"/>
      <c r="R403" s="7"/>
      <c r="S403" s="7"/>
      <c r="T403" s="15"/>
      <c r="U403" s="15"/>
      <c r="V403" s="15"/>
      <c r="W403" s="12"/>
      <c r="X403" s="7"/>
      <c r="Y403" s="12"/>
      <c r="Z403" s="12"/>
      <c r="AA403" s="12"/>
    </row>
    <row r="404" ht="19.5" customHeight="1">
      <c r="A404" s="7"/>
      <c r="B404" s="12"/>
      <c r="C404" s="12"/>
      <c r="D404" s="12"/>
      <c r="E404" s="12"/>
      <c r="F404" s="12"/>
      <c r="G404" s="12"/>
      <c r="H404" s="12"/>
      <c r="I404" s="12"/>
      <c r="J404" s="7"/>
      <c r="K404" s="12"/>
      <c r="L404" s="7"/>
      <c r="M404" s="10"/>
      <c r="N404" s="7"/>
      <c r="O404" s="7"/>
      <c r="P404" s="10"/>
      <c r="Q404" s="10"/>
      <c r="R404" s="7"/>
      <c r="S404" s="7"/>
      <c r="T404" s="15"/>
      <c r="U404" s="15"/>
      <c r="V404" s="15"/>
      <c r="W404" s="12"/>
      <c r="X404" s="7"/>
      <c r="Y404" s="12"/>
      <c r="Z404" s="12"/>
      <c r="AA404" s="12"/>
    </row>
    <row r="405" ht="19.5" customHeight="1">
      <c r="A405" s="7"/>
      <c r="B405" s="12"/>
      <c r="C405" s="12"/>
      <c r="D405" s="12"/>
      <c r="E405" s="12"/>
      <c r="F405" s="12"/>
      <c r="G405" s="12"/>
      <c r="H405" s="12"/>
      <c r="I405" s="12"/>
      <c r="J405" s="7"/>
      <c r="K405" s="12"/>
      <c r="L405" s="7"/>
      <c r="M405" s="10"/>
      <c r="N405" s="7"/>
      <c r="O405" s="7"/>
      <c r="P405" s="10"/>
      <c r="Q405" s="10"/>
      <c r="R405" s="7"/>
      <c r="S405" s="7"/>
      <c r="T405" s="15"/>
      <c r="U405" s="15"/>
      <c r="V405" s="15"/>
      <c r="W405" s="12"/>
      <c r="X405" s="7"/>
      <c r="Y405" s="12"/>
      <c r="Z405" s="12"/>
      <c r="AA405" s="12"/>
    </row>
    <row r="406" ht="19.5" customHeight="1">
      <c r="A406" s="7"/>
      <c r="B406" s="12"/>
      <c r="C406" s="12"/>
      <c r="D406" s="12"/>
      <c r="E406" s="12"/>
      <c r="F406" s="12"/>
      <c r="G406" s="12"/>
      <c r="H406" s="12"/>
      <c r="I406" s="12"/>
      <c r="J406" s="7"/>
      <c r="K406" s="12"/>
      <c r="L406" s="7"/>
      <c r="M406" s="10"/>
      <c r="N406" s="7"/>
      <c r="O406" s="7"/>
      <c r="P406" s="10"/>
      <c r="Q406" s="10"/>
      <c r="R406" s="7"/>
      <c r="S406" s="7"/>
      <c r="T406" s="15"/>
      <c r="U406" s="15"/>
      <c r="V406" s="15"/>
      <c r="W406" s="12"/>
      <c r="X406" s="7"/>
      <c r="Y406" s="12"/>
      <c r="Z406" s="12"/>
      <c r="AA406" s="12"/>
    </row>
    <row r="407" ht="19.5" customHeight="1">
      <c r="A407" s="7"/>
      <c r="B407" s="12"/>
      <c r="C407" s="12"/>
      <c r="D407" s="12"/>
      <c r="E407" s="12"/>
      <c r="F407" s="12"/>
      <c r="G407" s="12"/>
      <c r="H407" s="12"/>
      <c r="I407" s="12"/>
      <c r="J407" s="7"/>
      <c r="K407" s="12"/>
      <c r="L407" s="7"/>
      <c r="M407" s="10"/>
      <c r="N407" s="7"/>
      <c r="O407" s="7"/>
      <c r="P407" s="10"/>
      <c r="Q407" s="10"/>
      <c r="R407" s="7"/>
      <c r="S407" s="7"/>
      <c r="T407" s="15"/>
      <c r="U407" s="15"/>
      <c r="V407" s="15"/>
      <c r="W407" s="12"/>
      <c r="X407" s="7"/>
      <c r="Y407" s="12"/>
      <c r="Z407" s="12"/>
      <c r="AA407" s="12"/>
    </row>
    <row r="408" ht="19.5" customHeight="1">
      <c r="A408" s="7"/>
      <c r="B408" s="12"/>
      <c r="C408" s="12"/>
      <c r="D408" s="12"/>
      <c r="E408" s="12"/>
      <c r="F408" s="12"/>
      <c r="G408" s="12"/>
      <c r="H408" s="12"/>
      <c r="I408" s="12"/>
      <c r="J408" s="7"/>
      <c r="K408" s="12"/>
      <c r="L408" s="7"/>
      <c r="M408" s="10"/>
      <c r="N408" s="7"/>
      <c r="O408" s="7"/>
      <c r="P408" s="10"/>
      <c r="Q408" s="10"/>
      <c r="R408" s="7"/>
      <c r="S408" s="7"/>
      <c r="T408" s="15"/>
      <c r="U408" s="15"/>
      <c r="V408" s="15"/>
      <c r="W408" s="12"/>
      <c r="X408" s="7"/>
      <c r="Y408" s="12"/>
      <c r="Z408" s="12"/>
      <c r="AA408" s="12"/>
    </row>
    <row r="409" ht="19.5" customHeight="1">
      <c r="A409" s="7"/>
      <c r="B409" s="12"/>
      <c r="C409" s="12"/>
      <c r="D409" s="12"/>
      <c r="E409" s="12"/>
      <c r="F409" s="12"/>
      <c r="G409" s="12"/>
      <c r="H409" s="12"/>
      <c r="I409" s="12"/>
      <c r="J409" s="7"/>
      <c r="K409" s="12"/>
      <c r="L409" s="7"/>
      <c r="M409" s="10"/>
      <c r="N409" s="7"/>
      <c r="O409" s="7"/>
      <c r="P409" s="10"/>
      <c r="Q409" s="10"/>
      <c r="R409" s="7"/>
      <c r="S409" s="7"/>
      <c r="T409" s="15"/>
      <c r="U409" s="15"/>
      <c r="V409" s="15"/>
      <c r="W409" s="12"/>
      <c r="X409" s="7"/>
      <c r="Y409" s="12"/>
      <c r="Z409" s="12"/>
      <c r="AA409" s="12"/>
    </row>
    <row r="410" ht="19.5" customHeight="1">
      <c r="A410" s="7"/>
      <c r="B410" s="12"/>
      <c r="C410" s="12"/>
      <c r="D410" s="12"/>
      <c r="E410" s="12"/>
      <c r="F410" s="12"/>
      <c r="G410" s="12"/>
      <c r="H410" s="12"/>
      <c r="I410" s="12"/>
      <c r="J410" s="7"/>
      <c r="K410" s="12"/>
      <c r="L410" s="7"/>
      <c r="M410" s="10"/>
      <c r="N410" s="7"/>
      <c r="O410" s="7"/>
      <c r="P410" s="10"/>
      <c r="Q410" s="10"/>
      <c r="R410" s="7"/>
      <c r="S410" s="7"/>
      <c r="T410" s="15"/>
      <c r="U410" s="15"/>
      <c r="V410" s="15"/>
      <c r="W410" s="12"/>
      <c r="X410" s="7"/>
      <c r="Y410" s="12"/>
      <c r="Z410" s="12"/>
      <c r="AA410" s="12"/>
    </row>
    <row r="411" ht="19.5" customHeight="1">
      <c r="A411" s="7"/>
      <c r="B411" s="12"/>
      <c r="C411" s="12"/>
      <c r="D411" s="12"/>
      <c r="E411" s="12"/>
      <c r="F411" s="12"/>
      <c r="G411" s="12"/>
      <c r="H411" s="12"/>
      <c r="I411" s="12"/>
      <c r="J411" s="7"/>
      <c r="K411" s="12"/>
      <c r="L411" s="7"/>
      <c r="M411" s="10"/>
      <c r="N411" s="7"/>
      <c r="O411" s="7"/>
      <c r="P411" s="10"/>
      <c r="Q411" s="10"/>
      <c r="R411" s="7"/>
      <c r="S411" s="7"/>
      <c r="T411" s="15"/>
      <c r="U411" s="15"/>
      <c r="V411" s="15"/>
      <c r="W411" s="12"/>
      <c r="X411" s="7"/>
      <c r="Y411" s="12"/>
      <c r="Z411" s="12"/>
      <c r="AA411" s="12"/>
    </row>
    <row r="412" ht="19.5" customHeight="1">
      <c r="A412" s="7"/>
      <c r="B412" s="12"/>
      <c r="C412" s="12"/>
      <c r="D412" s="12"/>
      <c r="E412" s="12"/>
      <c r="F412" s="12"/>
      <c r="G412" s="12"/>
      <c r="H412" s="12"/>
      <c r="I412" s="12"/>
      <c r="J412" s="7"/>
      <c r="K412" s="12"/>
      <c r="L412" s="7"/>
      <c r="M412" s="10"/>
      <c r="N412" s="7"/>
      <c r="O412" s="7"/>
      <c r="P412" s="10"/>
      <c r="Q412" s="10"/>
      <c r="R412" s="7"/>
      <c r="S412" s="7"/>
      <c r="T412" s="15"/>
      <c r="U412" s="15"/>
      <c r="V412" s="15"/>
      <c r="W412" s="12"/>
      <c r="X412" s="7"/>
      <c r="Y412" s="12"/>
      <c r="Z412" s="12"/>
      <c r="AA412" s="12"/>
    </row>
    <row r="413" ht="19.5" customHeight="1">
      <c r="A413" s="7"/>
      <c r="B413" s="12"/>
      <c r="C413" s="12"/>
      <c r="D413" s="12"/>
      <c r="E413" s="12"/>
      <c r="F413" s="12"/>
      <c r="G413" s="12"/>
      <c r="H413" s="12"/>
      <c r="I413" s="12"/>
      <c r="J413" s="7"/>
      <c r="K413" s="12"/>
      <c r="L413" s="7"/>
      <c r="M413" s="10"/>
      <c r="N413" s="7"/>
      <c r="O413" s="7"/>
      <c r="P413" s="10"/>
      <c r="Q413" s="10"/>
      <c r="R413" s="7"/>
      <c r="S413" s="7"/>
      <c r="T413" s="15"/>
      <c r="U413" s="15"/>
      <c r="V413" s="15"/>
      <c r="W413" s="12"/>
      <c r="X413" s="7"/>
      <c r="Y413" s="12"/>
      <c r="Z413" s="12"/>
      <c r="AA413" s="12"/>
    </row>
    <row r="414" ht="19.5" customHeight="1">
      <c r="A414" s="7"/>
      <c r="B414" s="12"/>
      <c r="C414" s="12"/>
      <c r="D414" s="12"/>
      <c r="E414" s="12"/>
      <c r="F414" s="12"/>
      <c r="G414" s="12"/>
      <c r="H414" s="12"/>
      <c r="I414" s="12"/>
      <c r="J414" s="7"/>
      <c r="K414" s="12"/>
      <c r="L414" s="7"/>
      <c r="M414" s="10"/>
      <c r="N414" s="7"/>
      <c r="O414" s="7"/>
      <c r="P414" s="10"/>
      <c r="Q414" s="10"/>
      <c r="R414" s="7"/>
      <c r="S414" s="7"/>
      <c r="T414" s="15"/>
      <c r="U414" s="15"/>
      <c r="V414" s="15"/>
      <c r="W414" s="12"/>
      <c r="X414" s="7"/>
      <c r="Y414" s="12"/>
      <c r="Z414" s="12"/>
      <c r="AA414" s="12"/>
    </row>
    <row r="415" ht="19.5" customHeight="1">
      <c r="A415" s="7"/>
      <c r="B415" s="12"/>
      <c r="C415" s="12"/>
      <c r="D415" s="12"/>
      <c r="E415" s="12"/>
      <c r="F415" s="12"/>
      <c r="G415" s="12"/>
      <c r="H415" s="12"/>
      <c r="I415" s="12"/>
      <c r="J415" s="7"/>
      <c r="K415" s="12"/>
      <c r="L415" s="7"/>
      <c r="M415" s="10"/>
      <c r="N415" s="7"/>
      <c r="O415" s="7"/>
      <c r="P415" s="10"/>
      <c r="Q415" s="10"/>
      <c r="R415" s="7"/>
      <c r="S415" s="7"/>
      <c r="T415" s="15"/>
      <c r="U415" s="15"/>
      <c r="V415" s="15"/>
      <c r="W415" s="12"/>
      <c r="X415" s="7"/>
      <c r="Y415" s="12"/>
      <c r="Z415" s="12"/>
      <c r="AA415" s="12"/>
    </row>
    <row r="416" ht="19.5" customHeight="1">
      <c r="A416" s="7"/>
      <c r="B416" s="12"/>
      <c r="C416" s="12"/>
      <c r="D416" s="12"/>
      <c r="E416" s="12"/>
      <c r="F416" s="12"/>
      <c r="G416" s="12"/>
      <c r="H416" s="12"/>
      <c r="I416" s="12"/>
      <c r="J416" s="7"/>
      <c r="K416" s="12"/>
      <c r="L416" s="7"/>
      <c r="M416" s="10"/>
      <c r="N416" s="7"/>
      <c r="O416" s="7"/>
      <c r="P416" s="10"/>
      <c r="Q416" s="10"/>
      <c r="R416" s="7"/>
      <c r="S416" s="7"/>
      <c r="T416" s="15"/>
      <c r="U416" s="15"/>
      <c r="V416" s="15"/>
      <c r="W416" s="12"/>
      <c r="X416" s="7"/>
      <c r="Y416" s="12"/>
      <c r="Z416" s="12"/>
      <c r="AA416" s="12"/>
    </row>
    <row r="417" ht="19.5" customHeight="1">
      <c r="A417" s="7"/>
      <c r="B417" s="12"/>
      <c r="C417" s="12"/>
      <c r="D417" s="12"/>
      <c r="E417" s="12"/>
      <c r="F417" s="12"/>
      <c r="G417" s="12"/>
      <c r="H417" s="12"/>
      <c r="I417" s="12"/>
      <c r="J417" s="7"/>
      <c r="K417" s="12"/>
      <c r="L417" s="7"/>
      <c r="M417" s="10"/>
      <c r="N417" s="7"/>
      <c r="O417" s="7"/>
      <c r="P417" s="10"/>
      <c r="Q417" s="10"/>
      <c r="R417" s="7"/>
      <c r="S417" s="7"/>
      <c r="T417" s="15"/>
      <c r="U417" s="15"/>
      <c r="V417" s="15"/>
      <c r="W417" s="12"/>
      <c r="X417" s="7"/>
      <c r="Y417" s="12"/>
      <c r="Z417" s="12"/>
      <c r="AA417" s="12"/>
    </row>
    <row r="418" ht="19.5" customHeight="1">
      <c r="A418" s="7"/>
      <c r="B418" s="12"/>
      <c r="C418" s="12"/>
      <c r="D418" s="12"/>
      <c r="E418" s="12"/>
      <c r="F418" s="12"/>
      <c r="G418" s="12"/>
      <c r="H418" s="12"/>
      <c r="I418" s="12"/>
      <c r="J418" s="7"/>
      <c r="K418" s="12"/>
      <c r="L418" s="7"/>
      <c r="M418" s="10"/>
      <c r="N418" s="7"/>
      <c r="O418" s="7"/>
      <c r="P418" s="10"/>
      <c r="Q418" s="10"/>
      <c r="R418" s="7"/>
      <c r="S418" s="7"/>
      <c r="T418" s="15"/>
      <c r="U418" s="15"/>
      <c r="V418" s="15"/>
      <c r="W418" s="12"/>
      <c r="X418" s="7"/>
      <c r="Y418" s="12"/>
      <c r="Z418" s="12"/>
      <c r="AA418" s="12"/>
    </row>
    <row r="419" ht="19.5" customHeight="1">
      <c r="A419" s="7"/>
      <c r="B419" s="12"/>
      <c r="C419" s="12"/>
      <c r="D419" s="12"/>
      <c r="E419" s="12"/>
      <c r="F419" s="12"/>
      <c r="G419" s="12"/>
      <c r="H419" s="12"/>
      <c r="I419" s="12"/>
      <c r="J419" s="7"/>
      <c r="K419" s="12"/>
      <c r="L419" s="7"/>
      <c r="M419" s="10"/>
      <c r="N419" s="7"/>
      <c r="O419" s="7"/>
      <c r="P419" s="10"/>
      <c r="Q419" s="10"/>
      <c r="R419" s="7"/>
      <c r="S419" s="7"/>
      <c r="T419" s="15"/>
      <c r="U419" s="15"/>
      <c r="V419" s="15"/>
      <c r="W419" s="12"/>
      <c r="X419" s="7"/>
      <c r="Y419" s="12"/>
      <c r="Z419" s="12"/>
      <c r="AA419" s="12"/>
    </row>
    <row r="420" ht="19.5" customHeight="1">
      <c r="A420" s="7"/>
      <c r="B420" s="12"/>
      <c r="C420" s="12"/>
      <c r="D420" s="12"/>
      <c r="E420" s="12"/>
      <c r="F420" s="12"/>
      <c r="G420" s="12"/>
      <c r="H420" s="12"/>
      <c r="I420" s="12"/>
      <c r="J420" s="7"/>
      <c r="K420" s="12"/>
      <c r="L420" s="7"/>
      <c r="M420" s="10"/>
      <c r="N420" s="7"/>
      <c r="O420" s="7"/>
      <c r="P420" s="10"/>
      <c r="Q420" s="10"/>
      <c r="R420" s="7"/>
      <c r="S420" s="7"/>
      <c r="T420" s="15"/>
      <c r="U420" s="15"/>
      <c r="V420" s="15"/>
      <c r="W420" s="12"/>
      <c r="X420" s="7"/>
      <c r="Y420" s="12"/>
      <c r="Z420" s="12"/>
      <c r="AA420" s="12"/>
    </row>
    <row r="421" ht="19.5" customHeight="1">
      <c r="A421" s="7"/>
      <c r="B421" s="12"/>
      <c r="C421" s="12"/>
      <c r="D421" s="12"/>
      <c r="E421" s="12"/>
      <c r="F421" s="12"/>
      <c r="G421" s="12"/>
      <c r="H421" s="12"/>
      <c r="I421" s="12"/>
      <c r="J421" s="7"/>
      <c r="K421" s="12"/>
      <c r="L421" s="7"/>
      <c r="M421" s="10"/>
      <c r="N421" s="7"/>
      <c r="O421" s="7"/>
      <c r="P421" s="10"/>
      <c r="Q421" s="10"/>
      <c r="R421" s="7"/>
      <c r="S421" s="7"/>
      <c r="T421" s="15"/>
      <c r="U421" s="15"/>
      <c r="V421" s="15"/>
      <c r="W421" s="12"/>
      <c r="X421" s="7"/>
      <c r="Y421" s="12"/>
      <c r="Z421" s="12"/>
      <c r="AA421" s="12"/>
    </row>
    <row r="422" ht="19.5" customHeight="1">
      <c r="A422" s="7"/>
      <c r="B422" s="12"/>
      <c r="C422" s="12"/>
      <c r="D422" s="12"/>
      <c r="E422" s="12"/>
      <c r="F422" s="12"/>
      <c r="G422" s="12"/>
      <c r="H422" s="12"/>
      <c r="I422" s="12"/>
      <c r="J422" s="7"/>
      <c r="K422" s="12"/>
      <c r="L422" s="7"/>
      <c r="M422" s="10"/>
      <c r="N422" s="7"/>
      <c r="O422" s="7"/>
      <c r="P422" s="10"/>
      <c r="Q422" s="10"/>
      <c r="R422" s="7"/>
      <c r="S422" s="7"/>
      <c r="T422" s="15"/>
      <c r="U422" s="15"/>
      <c r="V422" s="15"/>
      <c r="W422" s="12"/>
      <c r="X422" s="7"/>
      <c r="Y422" s="12"/>
      <c r="Z422" s="12"/>
      <c r="AA422" s="12"/>
    </row>
    <row r="423" ht="19.5" customHeight="1">
      <c r="A423" s="7"/>
      <c r="B423" s="12"/>
      <c r="C423" s="12"/>
      <c r="D423" s="12"/>
      <c r="E423" s="12"/>
      <c r="F423" s="12"/>
      <c r="G423" s="12"/>
      <c r="H423" s="12"/>
      <c r="I423" s="12"/>
      <c r="J423" s="7"/>
      <c r="K423" s="12"/>
      <c r="L423" s="7"/>
      <c r="M423" s="10"/>
      <c r="N423" s="7"/>
      <c r="O423" s="7"/>
      <c r="P423" s="10"/>
      <c r="Q423" s="10"/>
      <c r="R423" s="7"/>
      <c r="S423" s="7"/>
      <c r="T423" s="15"/>
      <c r="U423" s="15"/>
      <c r="V423" s="15"/>
      <c r="W423" s="12"/>
      <c r="X423" s="7"/>
      <c r="Y423" s="12"/>
      <c r="Z423" s="12"/>
      <c r="AA423" s="12"/>
    </row>
    <row r="424" ht="19.5" customHeight="1">
      <c r="A424" s="7"/>
      <c r="B424" s="12"/>
      <c r="C424" s="12"/>
      <c r="D424" s="12"/>
      <c r="E424" s="12"/>
      <c r="F424" s="12"/>
      <c r="G424" s="12"/>
      <c r="H424" s="12"/>
      <c r="I424" s="12"/>
      <c r="J424" s="7"/>
      <c r="K424" s="12"/>
      <c r="L424" s="7"/>
      <c r="M424" s="10"/>
      <c r="N424" s="7"/>
      <c r="O424" s="7"/>
      <c r="P424" s="10"/>
      <c r="Q424" s="10"/>
      <c r="R424" s="7"/>
      <c r="S424" s="7"/>
      <c r="T424" s="15"/>
      <c r="U424" s="15"/>
      <c r="V424" s="15"/>
      <c r="W424" s="12"/>
      <c r="X424" s="7"/>
      <c r="Y424" s="12"/>
      <c r="Z424" s="12"/>
      <c r="AA424" s="12"/>
    </row>
    <row r="425" ht="19.5" customHeight="1">
      <c r="A425" s="7"/>
      <c r="B425" s="12"/>
      <c r="C425" s="12"/>
      <c r="D425" s="12"/>
      <c r="E425" s="12"/>
      <c r="F425" s="12"/>
      <c r="G425" s="12"/>
      <c r="H425" s="12"/>
      <c r="I425" s="12"/>
      <c r="J425" s="7"/>
      <c r="K425" s="12"/>
      <c r="L425" s="7"/>
      <c r="M425" s="10"/>
      <c r="N425" s="7"/>
      <c r="O425" s="7"/>
      <c r="P425" s="10"/>
      <c r="Q425" s="10"/>
      <c r="R425" s="7"/>
      <c r="S425" s="7"/>
      <c r="T425" s="15"/>
      <c r="U425" s="15"/>
      <c r="V425" s="15"/>
      <c r="W425" s="12"/>
      <c r="X425" s="7"/>
      <c r="Y425" s="12"/>
      <c r="Z425" s="12"/>
      <c r="AA425" s="12"/>
    </row>
    <row r="426" ht="19.5" customHeight="1">
      <c r="A426" s="7"/>
      <c r="B426" s="12"/>
      <c r="C426" s="12"/>
      <c r="D426" s="12"/>
      <c r="E426" s="12"/>
      <c r="F426" s="12"/>
      <c r="G426" s="12"/>
      <c r="H426" s="12"/>
      <c r="I426" s="12"/>
      <c r="J426" s="7"/>
      <c r="K426" s="12"/>
      <c r="L426" s="7"/>
      <c r="M426" s="10"/>
      <c r="N426" s="7"/>
      <c r="O426" s="7"/>
      <c r="P426" s="10"/>
      <c r="Q426" s="10"/>
      <c r="R426" s="7"/>
      <c r="S426" s="7"/>
      <c r="T426" s="15"/>
      <c r="U426" s="15"/>
      <c r="V426" s="15"/>
      <c r="W426" s="12"/>
      <c r="X426" s="7"/>
      <c r="Y426" s="12"/>
      <c r="Z426" s="12"/>
      <c r="AA426" s="12"/>
    </row>
    <row r="427" ht="19.5" customHeight="1">
      <c r="A427" s="7"/>
      <c r="B427" s="12"/>
      <c r="C427" s="12"/>
      <c r="D427" s="12"/>
      <c r="E427" s="12"/>
      <c r="F427" s="12"/>
      <c r="G427" s="12"/>
      <c r="H427" s="12"/>
      <c r="I427" s="12"/>
      <c r="J427" s="7"/>
      <c r="K427" s="12"/>
      <c r="L427" s="7"/>
      <c r="M427" s="10"/>
      <c r="N427" s="7"/>
      <c r="O427" s="7"/>
      <c r="P427" s="10"/>
      <c r="Q427" s="10"/>
      <c r="R427" s="7"/>
      <c r="S427" s="7"/>
      <c r="T427" s="15"/>
      <c r="U427" s="15"/>
      <c r="V427" s="15"/>
      <c r="W427" s="12"/>
      <c r="X427" s="7"/>
      <c r="Y427" s="12"/>
      <c r="Z427" s="12"/>
      <c r="AA427" s="12"/>
    </row>
    <row r="428" ht="19.5" customHeight="1">
      <c r="A428" s="7"/>
      <c r="B428" s="12"/>
      <c r="C428" s="12"/>
      <c r="D428" s="12"/>
      <c r="E428" s="12"/>
      <c r="F428" s="12"/>
      <c r="G428" s="12"/>
      <c r="H428" s="12"/>
      <c r="I428" s="12"/>
      <c r="J428" s="7"/>
      <c r="K428" s="12"/>
      <c r="L428" s="7"/>
      <c r="M428" s="10"/>
      <c r="N428" s="7"/>
      <c r="O428" s="7"/>
      <c r="P428" s="10"/>
      <c r="Q428" s="10"/>
      <c r="R428" s="7"/>
      <c r="S428" s="7"/>
      <c r="T428" s="15"/>
      <c r="U428" s="15"/>
      <c r="V428" s="15"/>
      <c r="W428" s="12"/>
      <c r="X428" s="7"/>
      <c r="Y428" s="12"/>
      <c r="Z428" s="12"/>
      <c r="AA428" s="12"/>
    </row>
    <row r="429" ht="19.5" customHeight="1">
      <c r="A429" s="7"/>
      <c r="B429" s="12"/>
      <c r="C429" s="12"/>
      <c r="D429" s="12"/>
      <c r="E429" s="12"/>
      <c r="F429" s="12"/>
      <c r="G429" s="12"/>
      <c r="H429" s="12"/>
      <c r="I429" s="12"/>
      <c r="J429" s="7"/>
      <c r="K429" s="12"/>
      <c r="L429" s="7"/>
      <c r="M429" s="10"/>
      <c r="N429" s="7"/>
      <c r="O429" s="7"/>
      <c r="P429" s="10"/>
      <c r="Q429" s="10"/>
      <c r="R429" s="7"/>
      <c r="S429" s="7"/>
      <c r="T429" s="15"/>
      <c r="U429" s="15"/>
      <c r="V429" s="15"/>
      <c r="W429" s="12"/>
      <c r="X429" s="7"/>
      <c r="Y429" s="12"/>
      <c r="Z429" s="12"/>
      <c r="AA429" s="12"/>
    </row>
    <row r="430" ht="19.5" customHeight="1">
      <c r="A430" s="7"/>
      <c r="B430" s="12"/>
      <c r="C430" s="12"/>
      <c r="D430" s="12"/>
      <c r="E430" s="12"/>
      <c r="F430" s="12"/>
      <c r="G430" s="12"/>
      <c r="H430" s="12"/>
      <c r="I430" s="12"/>
      <c r="J430" s="7"/>
      <c r="K430" s="12"/>
      <c r="L430" s="7"/>
      <c r="M430" s="10"/>
      <c r="N430" s="7"/>
      <c r="O430" s="7"/>
      <c r="P430" s="10"/>
      <c r="Q430" s="10"/>
      <c r="R430" s="7"/>
      <c r="S430" s="7"/>
      <c r="T430" s="15"/>
      <c r="U430" s="15"/>
      <c r="V430" s="15"/>
      <c r="W430" s="12"/>
      <c r="X430" s="7"/>
      <c r="Y430" s="12"/>
      <c r="Z430" s="12"/>
      <c r="AA430" s="12"/>
    </row>
    <row r="431" ht="19.5" customHeight="1">
      <c r="A431" s="7"/>
      <c r="B431" s="12"/>
      <c r="C431" s="12"/>
      <c r="D431" s="12"/>
      <c r="E431" s="12"/>
      <c r="F431" s="12"/>
      <c r="G431" s="12"/>
      <c r="H431" s="12"/>
      <c r="I431" s="12"/>
      <c r="J431" s="7"/>
      <c r="K431" s="12"/>
      <c r="L431" s="7"/>
      <c r="M431" s="10"/>
      <c r="N431" s="7"/>
      <c r="O431" s="7"/>
      <c r="P431" s="10"/>
      <c r="Q431" s="10"/>
      <c r="R431" s="7"/>
      <c r="S431" s="7"/>
      <c r="T431" s="15"/>
      <c r="U431" s="15"/>
      <c r="V431" s="15"/>
      <c r="W431" s="12"/>
      <c r="X431" s="7"/>
      <c r="Y431" s="12"/>
      <c r="Z431" s="12"/>
      <c r="AA431" s="12"/>
    </row>
    <row r="432" ht="19.5" customHeight="1">
      <c r="A432" s="7"/>
      <c r="B432" s="12"/>
      <c r="C432" s="12"/>
      <c r="D432" s="12"/>
      <c r="E432" s="12"/>
      <c r="F432" s="12"/>
      <c r="G432" s="12"/>
      <c r="H432" s="12"/>
      <c r="I432" s="12"/>
      <c r="J432" s="7"/>
      <c r="K432" s="12"/>
      <c r="L432" s="7"/>
      <c r="M432" s="10"/>
      <c r="N432" s="7"/>
      <c r="O432" s="7"/>
      <c r="P432" s="10"/>
      <c r="Q432" s="10"/>
      <c r="R432" s="7"/>
      <c r="S432" s="7"/>
      <c r="T432" s="15"/>
      <c r="U432" s="15"/>
      <c r="V432" s="15"/>
      <c r="W432" s="12"/>
      <c r="X432" s="7"/>
      <c r="Y432" s="12"/>
      <c r="Z432" s="12"/>
      <c r="AA432" s="12"/>
    </row>
    <row r="433" ht="19.5" customHeight="1">
      <c r="A433" s="7"/>
      <c r="B433" s="12"/>
      <c r="C433" s="12"/>
      <c r="D433" s="12"/>
      <c r="E433" s="12"/>
      <c r="F433" s="12"/>
      <c r="G433" s="12"/>
      <c r="H433" s="12"/>
      <c r="I433" s="12"/>
      <c r="J433" s="7"/>
      <c r="K433" s="12"/>
      <c r="L433" s="7"/>
      <c r="M433" s="10"/>
      <c r="N433" s="7"/>
      <c r="O433" s="7"/>
      <c r="P433" s="10"/>
      <c r="Q433" s="10"/>
      <c r="R433" s="7"/>
      <c r="S433" s="7"/>
      <c r="T433" s="15"/>
      <c r="U433" s="15"/>
      <c r="V433" s="15"/>
      <c r="W433" s="12"/>
      <c r="X433" s="7"/>
      <c r="Y433" s="12"/>
      <c r="Z433" s="12"/>
      <c r="AA433" s="12"/>
    </row>
    <row r="434" ht="19.5" customHeight="1">
      <c r="A434" s="7"/>
      <c r="B434" s="12"/>
      <c r="C434" s="12"/>
      <c r="D434" s="12"/>
      <c r="E434" s="12"/>
      <c r="F434" s="12"/>
      <c r="G434" s="12"/>
      <c r="H434" s="12"/>
      <c r="I434" s="12"/>
      <c r="J434" s="7"/>
      <c r="K434" s="12"/>
      <c r="L434" s="7"/>
      <c r="M434" s="10"/>
      <c r="N434" s="7"/>
      <c r="O434" s="7"/>
      <c r="P434" s="10"/>
      <c r="Q434" s="10"/>
      <c r="R434" s="7"/>
      <c r="S434" s="7"/>
      <c r="T434" s="15"/>
      <c r="U434" s="15"/>
      <c r="V434" s="15"/>
      <c r="W434" s="12"/>
      <c r="X434" s="7"/>
      <c r="Y434" s="12"/>
      <c r="Z434" s="12"/>
      <c r="AA434" s="12"/>
    </row>
    <row r="435" ht="19.5" customHeight="1">
      <c r="A435" s="7"/>
      <c r="B435" s="12"/>
      <c r="C435" s="12"/>
      <c r="D435" s="12"/>
      <c r="E435" s="12"/>
      <c r="F435" s="12"/>
      <c r="G435" s="12"/>
      <c r="H435" s="12"/>
      <c r="I435" s="12"/>
      <c r="J435" s="7"/>
      <c r="K435" s="12"/>
      <c r="L435" s="7"/>
      <c r="M435" s="10"/>
      <c r="N435" s="7"/>
      <c r="O435" s="7"/>
      <c r="P435" s="10"/>
      <c r="Q435" s="10"/>
      <c r="R435" s="7"/>
      <c r="S435" s="7"/>
      <c r="T435" s="15"/>
      <c r="U435" s="15"/>
      <c r="V435" s="15"/>
      <c r="W435" s="12"/>
      <c r="X435" s="7"/>
      <c r="Y435" s="12"/>
      <c r="Z435" s="12"/>
      <c r="AA435" s="12"/>
    </row>
    <row r="436" ht="19.5" customHeight="1">
      <c r="A436" s="7"/>
      <c r="B436" s="12"/>
      <c r="C436" s="12"/>
      <c r="D436" s="12"/>
      <c r="E436" s="12"/>
      <c r="F436" s="12"/>
      <c r="G436" s="12"/>
      <c r="H436" s="12"/>
      <c r="I436" s="12"/>
      <c r="J436" s="7"/>
      <c r="K436" s="12"/>
      <c r="L436" s="7"/>
      <c r="M436" s="10"/>
      <c r="N436" s="7"/>
      <c r="O436" s="7"/>
      <c r="P436" s="10"/>
      <c r="Q436" s="10"/>
      <c r="R436" s="7"/>
      <c r="S436" s="7"/>
      <c r="T436" s="15"/>
      <c r="U436" s="15"/>
      <c r="V436" s="15"/>
      <c r="W436" s="12"/>
      <c r="X436" s="7"/>
      <c r="Y436" s="12"/>
      <c r="Z436" s="12"/>
      <c r="AA436" s="12"/>
    </row>
    <row r="437" ht="19.5" customHeight="1">
      <c r="A437" s="7"/>
      <c r="B437" s="12"/>
      <c r="C437" s="12"/>
      <c r="D437" s="12"/>
      <c r="E437" s="12"/>
      <c r="F437" s="12"/>
      <c r="G437" s="12"/>
      <c r="H437" s="12"/>
      <c r="I437" s="12"/>
      <c r="J437" s="7"/>
      <c r="K437" s="12"/>
      <c r="L437" s="7"/>
      <c r="M437" s="10"/>
      <c r="N437" s="7"/>
      <c r="O437" s="7"/>
      <c r="P437" s="10"/>
      <c r="Q437" s="10"/>
      <c r="R437" s="7"/>
      <c r="S437" s="7"/>
      <c r="T437" s="15"/>
      <c r="U437" s="15"/>
      <c r="V437" s="15"/>
      <c r="W437" s="12"/>
      <c r="X437" s="7"/>
      <c r="Y437" s="12"/>
      <c r="Z437" s="12"/>
      <c r="AA437" s="12"/>
    </row>
    <row r="438" ht="19.5" customHeight="1">
      <c r="A438" s="7"/>
      <c r="B438" s="12"/>
      <c r="C438" s="12"/>
      <c r="D438" s="12"/>
      <c r="E438" s="12"/>
      <c r="F438" s="12"/>
      <c r="G438" s="12"/>
      <c r="H438" s="12"/>
      <c r="I438" s="12"/>
      <c r="J438" s="7"/>
      <c r="K438" s="12"/>
      <c r="L438" s="7"/>
      <c r="M438" s="10"/>
      <c r="N438" s="7"/>
      <c r="O438" s="7"/>
      <c r="P438" s="10"/>
      <c r="Q438" s="10"/>
      <c r="R438" s="7"/>
      <c r="S438" s="7"/>
      <c r="T438" s="15"/>
      <c r="U438" s="15"/>
      <c r="V438" s="15"/>
      <c r="W438" s="12"/>
      <c r="X438" s="7"/>
      <c r="Y438" s="12"/>
      <c r="Z438" s="12"/>
      <c r="AA438" s="12"/>
    </row>
    <row r="439" ht="19.5" customHeight="1">
      <c r="A439" s="7"/>
      <c r="B439" s="12"/>
      <c r="C439" s="12"/>
      <c r="D439" s="12"/>
      <c r="E439" s="12"/>
      <c r="F439" s="12"/>
      <c r="G439" s="12"/>
      <c r="H439" s="12"/>
      <c r="I439" s="12"/>
      <c r="J439" s="7"/>
      <c r="K439" s="12"/>
      <c r="L439" s="7"/>
      <c r="M439" s="10"/>
      <c r="N439" s="7"/>
      <c r="O439" s="7"/>
      <c r="P439" s="10"/>
      <c r="Q439" s="10"/>
      <c r="R439" s="7"/>
      <c r="S439" s="7"/>
      <c r="T439" s="15"/>
      <c r="U439" s="15"/>
      <c r="V439" s="15"/>
      <c r="W439" s="12"/>
      <c r="X439" s="7"/>
      <c r="Y439" s="12"/>
      <c r="Z439" s="12"/>
      <c r="AA439" s="12"/>
    </row>
    <row r="440" ht="19.5" customHeight="1">
      <c r="A440" s="7"/>
      <c r="B440" s="12"/>
      <c r="C440" s="12"/>
      <c r="D440" s="12"/>
      <c r="E440" s="12"/>
      <c r="F440" s="12"/>
      <c r="G440" s="12"/>
      <c r="H440" s="12"/>
      <c r="I440" s="12"/>
      <c r="J440" s="7"/>
      <c r="K440" s="12"/>
      <c r="L440" s="7"/>
      <c r="M440" s="10"/>
      <c r="N440" s="7"/>
      <c r="O440" s="7"/>
      <c r="P440" s="10"/>
      <c r="Q440" s="10"/>
      <c r="R440" s="7"/>
      <c r="S440" s="7"/>
      <c r="T440" s="15"/>
      <c r="U440" s="15"/>
      <c r="V440" s="15"/>
      <c r="W440" s="12"/>
      <c r="X440" s="7"/>
      <c r="Y440" s="12"/>
      <c r="Z440" s="12"/>
      <c r="AA440" s="12"/>
    </row>
    <row r="441" ht="19.5" customHeight="1">
      <c r="A441" s="7"/>
      <c r="B441" s="12"/>
      <c r="C441" s="12"/>
      <c r="D441" s="12"/>
      <c r="E441" s="12"/>
      <c r="F441" s="12"/>
      <c r="G441" s="12"/>
      <c r="H441" s="12"/>
      <c r="I441" s="12"/>
      <c r="J441" s="7"/>
      <c r="K441" s="12"/>
      <c r="L441" s="7"/>
      <c r="M441" s="10"/>
      <c r="N441" s="7"/>
      <c r="O441" s="7"/>
      <c r="P441" s="10"/>
      <c r="Q441" s="10"/>
      <c r="R441" s="7"/>
      <c r="S441" s="7"/>
      <c r="T441" s="15"/>
      <c r="U441" s="15"/>
      <c r="V441" s="15"/>
      <c r="W441" s="12"/>
      <c r="X441" s="7"/>
      <c r="Y441" s="12"/>
      <c r="Z441" s="12"/>
      <c r="AA441" s="12"/>
    </row>
    <row r="442" ht="19.5" customHeight="1">
      <c r="A442" s="7"/>
      <c r="B442" s="12"/>
      <c r="C442" s="12"/>
      <c r="D442" s="12"/>
      <c r="E442" s="12"/>
      <c r="F442" s="12"/>
      <c r="G442" s="12"/>
      <c r="H442" s="12"/>
      <c r="I442" s="12"/>
      <c r="J442" s="7"/>
      <c r="K442" s="12"/>
      <c r="L442" s="7"/>
      <c r="M442" s="10"/>
      <c r="N442" s="7"/>
      <c r="O442" s="7"/>
      <c r="P442" s="10"/>
      <c r="Q442" s="10"/>
      <c r="R442" s="7"/>
      <c r="S442" s="7"/>
      <c r="T442" s="15"/>
      <c r="U442" s="15"/>
      <c r="V442" s="15"/>
      <c r="W442" s="12"/>
      <c r="X442" s="7"/>
      <c r="Y442" s="12"/>
      <c r="Z442" s="12"/>
      <c r="AA442" s="12"/>
    </row>
    <row r="443" ht="19.5" customHeight="1">
      <c r="A443" s="7"/>
      <c r="B443" s="12"/>
      <c r="C443" s="12"/>
      <c r="D443" s="12"/>
      <c r="E443" s="12"/>
      <c r="F443" s="12"/>
      <c r="G443" s="12"/>
      <c r="H443" s="12"/>
      <c r="I443" s="12"/>
      <c r="J443" s="7"/>
      <c r="K443" s="12"/>
      <c r="L443" s="7"/>
      <c r="M443" s="10"/>
      <c r="N443" s="7"/>
      <c r="O443" s="7"/>
      <c r="P443" s="10"/>
      <c r="Q443" s="10"/>
      <c r="R443" s="7"/>
      <c r="S443" s="7"/>
      <c r="T443" s="15"/>
      <c r="U443" s="15"/>
      <c r="V443" s="15"/>
      <c r="W443" s="12"/>
      <c r="X443" s="7"/>
      <c r="Y443" s="12"/>
      <c r="Z443" s="12"/>
      <c r="AA443" s="12"/>
    </row>
    <row r="444" ht="19.5" customHeight="1">
      <c r="A444" s="7"/>
      <c r="B444" s="12"/>
      <c r="C444" s="12"/>
      <c r="D444" s="12"/>
      <c r="E444" s="12"/>
      <c r="F444" s="12"/>
      <c r="G444" s="12"/>
      <c r="H444" s="12"/>
      <c r="I444" s="12"/>
      <c r="J444" s="7"/>
      <c r="K444" s="12"/>
      <c r="L444" s="7"/>
      <c r="M444" s="10"/>
      <c r="N444" s="7"/>
      <c r="O444" s="7"/>
      <c r="P444" s="10"/>
      <c r="Q444" s="10"/>
      <c r="R444" s="7"/>
      <c r="S444" s="7"/>
      <c r="T444" s="15"/>
      <c r="U444" s="15"/>
      <c r="V444" s="15"/>
      <c r="W444" s="12"/>
      <c r="X444" s="7"/>
      <c r="Y444" s="12"/>
      <c r="Z444" s="12"/>
      <c r="AA444" s="12"/>
    </row>
    <row r="445" ht="19.5" customHeight="1">
      <c r="A445" s="7"/>
      <c r="B445" s="12"/>
      <c r="C445" s="12"/>
      <c r="D445" s="12"/>
      <c r="E445" s="12"/>
      <c r="F445" s="12"/>
      <c r="G445" s="12"/>
      <c r="H445" s="12"/>
      <c r="I445" s="12"/>
      <c r="J445" s="7"/>
      <c r="K445" s="12"/>
      <c r="L445" s="7"/>
      <c r="M445" s="10"/>
      <c r="N445" s="7"/>
      <c r="O445" s="7"/>
      <c r="P445" s="10"/>
      <c r="Q445" s="10"/>
      <c r="R445" s="7"/>
      <c r="S445" s="7"/>
      <c r="T445" s="15"/>
      <c r="U445" s="15"/>
      <c r="V445" s="15"/>
      <c r="W445" s="12"/>
      <c r="X445" s="7"/>
      <c r="Y445" s="12"/>
      <c r="Z445" s="12"/>
      <c r="AA445" s="12"/>
    </row>
    <row r="446" ht="19.5" customHeight="1">
      <c r="A446" s="7"/>
      <c r="B446" s="12"/>
      <c r="C446" s="12"/>
      <c r="D446" s="12"/>
      <c r="E446" s="12"/>
      <c r="F446" s="12"/>
      <c r="G446" s="12"/>
      <c r="H446" s="12"/>
      <c r="I446" s="12"/>
      <c r="J446" s="7"/>
      <c r="K446" s="12"/>
      <c r="L446" s="7"/>
      <c r="M446" s="10"/>
      <c r="N446" s="7"/>
      <c r="O446" s="7"/>
      <c r="P446" s="10"/>
      <c r="Q446" s="10"/>
      <c r="R446" s="7"/>
      <c r="S446" s="7"/>
      <c r="T446" s="15"/>
      <c r="U446" s="15"/>
      <c r="V446" s="15"/>
      <c r="W446" s="12"/>
      <c r="X446" s="7"/>
      <c r="Y446" s="12"/>
      <c r="Z446" s="12"/>
      <c r="AA446" s="12"/>
    </row>
    <row r="447" ht="19.5" customHeight="1">
      <c r="A447" s="7"/>
      <c r="B447" s="12"/>
      <c r="C447" s="12"/>
      <c r="D447" s="12"/>
      <c r="E447" s="12"/>
      <c r="F447" s="12"/>
      <c r="G447" s="12"/>
      <c r="H447" s="12"/>
      <c r="I447" s="12"/>
      <c r="J447" s="7"/>
      <c r="K447" s="12"/>
      <c r="L447" s="7"/>
      <c r="M447" s="10"/>
      <c r="N447" s="7"/>
      <c r="O447" s="7"/>
      <c r="P447" s="10"/>
      <c r="Q447" s="10"/>
      <c r="R447" s="7"/>
      <c r="S447" s="7"/>
      <c r="T447" s="15"/>
      <c r="U447" s="15"/>
      <c r="V447" s="15"/>
      <c r="W447" s="12"/>
      <c r="X447" s="7"/>
      <c r="Y447" s="12"/>
      <c r="Z447" s="12"/>
      <c r="AA447" s="12"/>
    </row>
    <row r="448" ht="19.5" customHeight="1">
      <c r="A448" s="7"/>
      <c r="B448" s="12"/>
      <c r="C448" s="12"/>
      <c r="D448" s="12"/>
      <c r="E448" s="12"/>
      <c r="F448" s="12"/>
      <c r="G448" s="12"/>
      <c r="H448" s="12"/>
      <c r="I448" s="12"/>
      <c r="J448" s="7"/>
      <c r="K448" s="12"/>
      <c r="L448" s="7"/>
      <c r="M448" s="10"/>
      <c r="N448" s="7"/>
      <c r="O448" s="7"/>
      <c r="P448" s="10"/>
      <c r="Q448" s="10"/>
      <c r="R448" s="7"/>
      <c r="S448" s="7"/>
      <c r="T448" s="15"/>
      <c r="U448" s="15"/>
      <c r="V448" s="15"/>
      <c r="W448" s="12"/>
      <c r="X448" s="7"/>
      <c r="Y448" s="12"/>
      <c r="Z448" s="12"/>
      <c r="AA448" s="12"/>
    </row>
    <row r="449" ht="19.5" customHeight="1">
      <c r="A449" s="7"/>
      <c r="B449" s="12"/>
      <c r="C449" s="12"/>
      <c r="D449" s="12"/>
      <c r="E449" s="12"/>
      <c r="F449" s="12"/>
      <c r="G449" s="12"/>
      <c r="H449" s="12"/>
      <c r="I449" s="12"/>
      <c r="J449" s="7"/>
      <c r="K449" s="12"/>
      <c r="L449" s="7"/>
      <c r="M449" s="10"/>
      <c r="N449" s="7"/>
      <c r="O449" s="7"/>
      <c r="P449" s="10"/>
      <c r="Q449" s="10"/>
      <c r="R449" s="7"/>
      <c r="S449" s="7"/>
      <c r="T449" s="15"/>
      <c r="U449" s="15"/>
      <c r="V449" s="15"/>
      <c r="W449" s="12"/>
      <c r="X449" s="7"/>
      <c r="Y449" s="12"/>
      <c r="Z449" s="12"/>
      <c r="AA449" s="12"/>
    </row>
    <row r="450" ht="19.5" customHeight="1">
      <c r="A450" s="7"/>
      <c r="B450" s="12"/>
      <c r="C450" s="12"/>
      <c r="D450" s="12"/>
      <c r="E450" s="12"/>
      <c r="F450" s="12"/>
      <c r="G450" s="12"/>
      <c r="H450" s="12"/>
      <c r="I450" s="12"/>
      <c r="J450" s="7"/>
      <c r="K450" s="12"/>
      <c r="L450" s="7"/>
      <c r="M450" s="10"/>
      <c r="N450" s="7"/>
      <c r="O450" s="7"/>
      <c r="P450" s="10"/>
      <c r="Q450" s="10"/>
      <c r="R450" s="7"/>
      <c r="S450" s="7"/>
      <c r="T450" s="15"/>
      <c r="U450" s="15"/>
      <c r="V450" s="15"/>
      <c r="W450" s="12"/>
      <c r="X450" s="7"/>
      <c r="Y450" s="12"/>
      <c r="Z450" s="12"/>
      <c r="AA450" s="12"/>
    </row>
    <row r="451" ht="19.5" customHeight="1">
      <c r="A451" s="7"/>
      <c r="B451" s="12"/>
      <c r="C451" s="12"/>
      <c r="D451" s="12"/>
      <c r="E451" s="12"/>
      <c r="F451" s="12"/>
      <c r="G451" s="12"/>
      <c r="H451" s="12"/>
      <c r="I451" s="12"/>
      <c r="J451" s="7"/>
      <c r="K451" s="12"/>
      <c r="L451" s="7"/>
      <c r="M451" s="10"/>
      <c r="N451" s="7"/>
      <c r="O451" s="7"/>
      <c r="P451" s="10"/>
      <c r="Q451" s="10"/>
      <c r="R451" s="7"/>
      <c r="S451" s="7"/>
      <c r="T451" s="15"/>
      <c r="U451" s="15"/>
      <c r="V451" s="15"/>
      <c r="W451" s="12"/>
      <c r="X451" s="7"/>
      <c r="Y451" s="12"/>
      <c r="Z451" s="12"/>
      <c r="AA451" s="12"/>
    </row>
    <row r="452" ht="19.5" customHeight="1">
      <c r="A452" s="7"/>
      <c r="B452" s="12"/>
      <c r="C452" s="12"/>
      <c r="D452" s="12"/>
      <c r="E452" s="12"/>
      <c r="F452" s="12"/>
      <c r="G452" s="12"/>
      <c r="H452" s="12"/>
      <c r="I452" s="12"/>
      <c r="J452" s="7"/>
      <c r="K452" s="12"/>
      <c r="L452" s="7"/>
      <c r="M452" s="10"/>
      <c r="N452" s="7"/>
      <c r="O452" s="7"/>
      <c r="P452" s="10"/>
      <c r="Q452" s="10"/>
      <c r="R452" s="7"/>
      <c r="S452" s="7"/>
      <c r="T452" s="15"/>
      <c r="U452" s="15"/>
      <c r="V452" s="15"/>
      <c r="W452" s="12"/>
      <c r="X452" s="7"/>
      <c r="Y452" s="12"/>
      <c r="Z452" s="12"/>
      <c r="AA452" s="12"/>
    </row>
    <row r="453" ht="19.5" customHeight="1">
      <c r="A453" s="7"/>
      <c r="B453" s="12"/>
      <c r="C453" s="12"/>
      <c r="D453" s="12"/>
      <c r="E453" s="12"/>
      <c r="F453" s="12"/>
      <c r="G453" s="12"/>
      <c r="H453" s="12"/>
      <c r="I453" s="12"/>
      <c r="J453" s="7"/>
      <c r="K453" s="12"/>
      <c r="L453" s="7"/>
      <c r="M453" s="10"/>
      <c r="N453" s="7"/>
      <c r="O453" s="7"/>
      <c r="P453" s="10"/>
      <c r="Q453" s="10"/>
      <c r="R453" s="7"/>
      <c r="S453" s="7"/>
      <c r="T453" s="15"/>
      <c r="U453" s="15"/>
      <c r="V453" s="15"/>
      <c r="W453" s="12"/>
      <c r="X453" s="7"/>
      <c r="Y453" s="12"/>
      <c r="Z453" s="12"/>
      <c r="AA453" s="12"/>
    </row>
    <row r="454" ht="19.5" customHeight="1">
      <c r="A454" s="7"/>
      <c r="B454" s="12"/>
      <c r="C454" s="12"/>
      <c r="D454" s="12"/>
      <c r="E454" s="12"/>
      <c r="F454" s="12"/>
      <c r="G454" s="12"/>
      <c r="H454" s="12"/>
      <c r="I454" s="12"/>
      <c r="J454" s="7"/>
      <c r="K454" s="12"/>
      <c r="L454" s="7"/>
      <c r="M454" s="10"/>
      <c r="N454" s="7"/>
      <c r="O454" s="7"/>
      <c r="P454" s="10"/>
      <c r="Q454" s="10"/>
      <c r="R454" s="7"/>
      <c r="S454" s="7"/>
      <c r="T454" s="15"/>
      <c r="U454" s="15"/>
      <c r="V454" s="15"/>
      <c r="W454" s="12"/>
      <c r="X454" s="7"/>
      <c r="Y454" s="12"/>
      <c r="Z454" s="12"/>
      <c r="AA454" s="12"/>
    </row>
    <row r="455" ht="19.5" customHeight="1">
      <c r="A455" s="7"/>
      <c r="B455" s="12"/>
      <c r="C455" s="12"/>
      <c r="D455" s="12"/>
      <c r="E455" s="12"/>
      <c r="F455" s="12"/>
      <c r="G455" s="12"/>
      <c r="H455" s="12"/>
      <c r="I455" s="12"/>
      <c r="J455" s="7"/>
      <c r="K455" s="12"/>
      <c r="L455" s="7"/>
      <c r="M455" s="10"/>
      <c r="N455" s="7"/>
      <c r="O455" s="7"/>
      <c r="P455" s="10"/>
      <c r="Q455" s="10"/>
      <c r="R455" s="7"/>
      <c r="S455" s="7"/>
      <c r="T455" s="15"/>
      <c r="U455" s="15"/>
      <c r="V455" s="15"/>
      <c r="W455" s="12"/>
      <c r="X455" s="7"/>
      <c r="Y455" s="12"/>
      <c r="Z455" s="12"/>
      <c r="AA455" s="12"/>
    </row>
    <row r="456" ht="19.5" customHeight="1">
      <c r="A456" s="7"/>
      <c r="B456" s="12"/>
      <c r="C456" s="12"/>
      <c r="D456" s="12"/>
      <c r="E456" s="12"/>
      <c r="F456" s="12"/>
      <c r="G456" s="12"/>
      <c r="H456" s="12"/>
      <c r="I456" s="12"/>
      <c r="J456" s="7"/>
      <c r="K456" s="12"/>
      <c r="L456" s="7"/>
      <c r="M456" s="10"/>
      <c r="N456" s="7"/>
      <c r="O456" s="7"/>
      <c r="P456" s="10"/>
      <c r="Q456" s="10"/>
      <c r="R456" s="7"/>
      <c r="S456" s="7"/>
      <c r="T456" s="15"/>
      <c r="U456" s="15"/>
      <c r="V456" s="15"/>
      <c r="W456" s="12"/>
      <c r="X456" s="7"/>
      <c r="Y456" s="12"/>
      <c r="Z456" s="12"/>
      <c r="AA456" s="12"/>
    </row>
    <row r="457" ht="19.5" customHeight="1">
      <c r="A457" s="7"/>
      <c r="B457" s="12"/>
      <c r="C457" s="12"/>
      <c r="D457" s="12"/>
      <c r="E457" s="12"/>
      <c r="F457" s="12"/>
      <c r="G457" s="12"/>
      <c r="H457" s="12"/>
      <c r="I457" s="12"/>
      <c r="J457" s="7"/>
      <c r="K457" s="12"/>
      <c r="L457" s="7"/>
      <c r="M457" s="10"/>
      <c r="N457" s="7"/>
      <c r="O457" s="7"/>
      <c r="P457" s="10"/>
      <c r="Q457" s="10"/>
      <c r="R457" s="7"/>
      <c r="S457" s="7"/>
      <c r="T457" s="15"/>
      <c r="U457" s="15"/>
      <c r="V457" s="15"/>
      <c r="W457" s="12"/>
      <c r="X457" s="7"/>
      <c r="Y457" s="12"/>
      <c r="Z457" s="12"/>
      <c r="AA457" s="12"/>
    </row>
    <row r="458" ht="19.5" customHeight="1">
      <c r="A458" s="7"/>
      <c r="B458" s="12"/>
      <c r="C458" s="12"/>
      <c r="D458" s="12"/>
      <c r="E458" s="12"/>
      <c r="F458" s="12"/>
      <c r="G458" s="12"/>
      <c r="H458" s="12"/>
      <c r="I458" s="12"/>
      <c r="J458" s="7"/>
      <c r="K458" s="12"/>
      <c r="L458" s="7"/>
      <c r="M458" s="10"/>
      <c r="N458" s="7"/>
      <c r="O458" s="7"/>
      <c r="P458" s="10"/>
      <c r="Q458" s="10"/>
      <c r="R458" s="7"/>
      <c r="S458" s="7"/>
      <c r="T458" s="15"/>
      <c r="U458" s="15"/>
      <c r="V458" s="15"/>
      <c r="W458" s="12"/>
      <c r="X458" s="7"/>
      <c r="Y458" s="12"/>
      <c r="Z458" s="12"/>
      <c r="AA458" s="12"/>
    </row>
    <row r="459" ht="19.5" customHeight="1">
      <c r="A459" s="7"/>
      <c r="B459" s="12"/>
      <c r="C459" s="12"/>
      <c r="D459" s="12"/>
      <c r="E459" s="12"/>
      <c r="F459" s="12"/>
      <c r="G459" s="12"/>
      <c r="H459" s="12"/>
      <c r="I459" s="12"/>
      <c r="J459" s="7"/>
      <c r="K459" s="12"/>
      <c r="L459" s="7"/>
      <c r="M459" s="10"/>
      <c r="N459" s="7"/>
      <c r="O459" s="7"/>
      <c r="P459" s="10"/>
      <c r="Q459" s="10"/>
      <c r="R459" s="7"/>
      <c r="S459" s="7"/>
      <c r="T459" s="15"/>
      <c r="U459" s="15"/>
      <c r="V459" s="15"/>
      <c r="W459" s="12"/>
      <c r="X459" s="7"/>
      <c r="Y459" s="12"/>
      <c r="Z459" s="12"/>
      <c r="AA459" s="12"/>
    </row>
    <row r="460" ht="19.5" customHeight="1">
      <c r="A460" s="7"/>
      <c r="B460" s="12"/>
      <c r="C460" s="12"/>
      <c r="D460" s="12"/>
      <c r="E460" s="12"/>
      <c r="F460" s="12"/>
      <c r="G460" s="12"/>
      <c r="H460" s="12"/>
      <c r="I460" s="12"/>
      <c r="J460" s="7"/>
      <c r="K460" s="12"/>
      <c r="L460" s="7"/>
      <c r="M460" s="10"/>
      <c r="N460" s="7"/>
      <c r="O460" s="7"/>
      <c r="P460" s="10"/>
      <c r="Q460" s="10"/>
      <c r="R460" s="7"/>
      <c r="S460" s="7"/>
      <c r="T460" s="15"/>
      <c r="U460" s="15"/>
      <c r="V460" s="15"/>
      <c r="W460" s="12"/>
      <c r="X460" s="7"/>
      <c r="Y460" s="12"/>
      <c r="Z460" s="12"/>
      <c r="AA460" s="12"/>
    </row>
    <row r="461" ht="19.5" customHeight="1">
      <c r="A461" s="7"/>
      <c r="B461" s="12"/>
      <c r="C461" s="12"/>
      <c r="D461" s="12"/>
      <c r="E461" s="12"/>
      <c r="F461" s="12"/>
      <c r="G461" s="12"/>
      <c r="H461" s="12"/>
      <c r="I461" s="12"/>
      <c r="J461" s="7"/>
      <c r="K461" s="12"/>
      <c r="L461" s="7"/>
      <c r="M461" s="10"/>
      <c r="N461" s="7"/>
      <c r="O461" s="7"/>
      <c r="P461" s="10"/>
      <c r="Q461" s="10"/>
      <c r="R461" s="7"/>
      <c r="S461" s="7"/>
      <c r="T461" s="15"/>
      <c r="U461" s="15"/>
      <c r="V461" s="15"/>
      <c r="W461" s="12"/>
      <c r="X461" s="7"/>
      <c r="Y461" s="12"/>
      <c r="Z461" s="12"/>
      <c r="AA461" s="12"/>
    </row>
    <row r="462" ht="19.5" customHeight="1">
      <c r="A462" s="7"/>
      <c r="B462" s="12"/>
      <c r="C462" s="12"/>
      <c r="D462" s="12"/>
      <c r="E462" s="12"/>
      <c r="F462" s="12"/>
      <c r="G462" s="12"/>
      <c r="H462" s="12"/>
      <c r="I462" s="12"/>
      <c r="J462" s="7"/>
      <c r="K462" s="12"/>
      <c r="L462" s="7"/>
      <c r="M462" s="10"/>
      <c r="N462" s="7"/>
      <c r="O462" s="7"/>
      <c r="P462" s="10"/>
      <c r="Q462" s="10"/>
      <c r="R462" s="7"/>
      <c r="S462" s="7"/>
      <c r="T462" s="15"/>
      <c r="U462" s="15"/>
      <c r="V462" s="15"/>
      <c r="W462" s="12"/>
      <c r="X462" s="7"/>
      <c r="Y462" s="12"/>
      <c r="Z462" s="12"/>
      <c r="AA462" s="12"/>
    </row>
    <row r="463" ht="19.5" customHeight="1">
      <c r="A463" s="7"/>
      <c r="B463" s="12"/>
      <c r="C463" s="12"/>
      <c r="D463" s="12"/>
      <c r="E463" s="12"/>
      <c r="F463" s="12"/>
      <c r="G463" s="12"/>
      <c r="H463" s="12"/>
      <c r="I463" s="12"/>
      <c r="J463" s="7"/>
      <c r="K463" s="12"/>
      <c r="L463" s="7"/>
      <c r="M463" s="10"/>
      <c r="N463" s="7"/>
      <c r="O463" s="7"/>
      <c r="P463" s="10"/>
      <c r="Q463" s="10"/>
      <c r="R463" s="7"/>
      <c r="S463" s="7"/>
      <c r="T463" s="15"/>
      <c r="U463" s="15"/>
      <c r="V463" s="15"/>
      <c r="W463" s="12"/>
      <c r="X463" s="7"/>
      <c r="Y463" s="12"/>
      <c r="Z463" s="12"/>
      <c r="AA463" s="12"/>
    </row>
    <row r="464" ht="19.5" customHeight="1">
      <c r="A464" s="7"/>
      <c r="B464" s="12"/>
      <c r="C464" s="12"/>
      <c r="D464" s="12"/>
      <c r="E464" s="12"/>
      <c r="F464" s="12"/>
      <c r="G464" s="12"/>
      <c r="H464" s="12"/>
      <c r="I464" s="12"/>
      <c r="J464" s="7"/>
      <c r="K464" s="12"/>
      <c r="L464" s="7"/>
      <c r="M464" s="10"/>
      <c r="N464" s="7"/>
      <c r="O464" s="7"/>
      <c r="P464" s="10"/>
      <c r="Q464" s="10"/>
      <c r="R464" s="7"/>
      <c r="S464" s="7"/>
      <c r="T464" s="15"/>
      <c r="U464" s="15"/>
      <c r="V464" s="15"/>
      <c r="W464" s="12"/>
      <c r="X464" s="7"/>
      <c r="Y464" s="12"/>
      <c r="Z464" s="12"/>
      <c r="AA464" s="12"/>
    </row>
    <row r="465" ht="19.5" customHeight="1">
      <c r="A465" s="7"/>
      <c r="B465" s="12"/>
      <c r="C465" s="12"/>
      <c r="D465" s="12"/>
      <c r="E465" s="12"/>
      <c r="F465" s="12"/>
      <c r="G465" s="12"/>
      <c r="H465" s="12"/>
      <c r="I465" s="12"/>
      <c r="J465" s="7"/>
      <c r="K465" s="12"/>
      <c r="L465" s="7"/>
      <c r="M465" s="10"/>
      <c r="N465" s="7"/>
      <c r="O465" s="7"/>
      <c r="P465" s="10"/>
      <c r="Q465" s="10"/>
      <c r="R465" s="7"/>
      <c r="S465" s="7"/>
      <c r="T465" s="15"/>
      <c r="U465" s="15"/>
      <c r="V465" s="15"/>
      <c r="W465" s="12"/>
      <c r="X465" s="7"/>
      <c r="Y465" s="12"/>
      <c r="Z465" s="12"/>
      <c r="AA465" s="12"/>
    </row>
    <row r="466" ht="19.5" customHeight="1">
      <c r="A466" s="7"/>
      <c r="B466" s="12"/>
      <c r="C466" s="12"/>
      <c r="D466" s="12"/>
      <c r="E466" s="12"/>
      <c r="F466" s="12"/>
      <c r="G466" s="12"/>
      <c r="H466" s="12"/>
      <c r="I466" s="12"/>
      <c r="J466" s="7"/>
      <c r="K466" s="12"/>
      <c r="L466" s="7"/>
      <c r="M466" s="10"/>
      <c r="N466" s="7"/>
      <c r="O466" s="7"/>
      <c r="P466" s="10"/>
      <c r="Q466" s="10"/>
      <c r="R466" s="7"/>
      <c r="S466" s="7"/>
      <c r="T466" s="15"/>
      <c r="U466" s="15"/>
      <c r="V466" s="15"/>
      <c r="W466" s="12"/>
      <c r="X466" s="7"/>
      <c r="Y466" s="12"/>
      <c r="Z466" s="12"/>
      <c r="AA466" s="12"/>
    </row>
    <row r="467" ht="19.5" customHeight="1">
      <c r="A467" s="7"/>
      <c r="B467" s="12"/>
      <c r="C467" s="12"/>
      <c r="D467" s="12"/>
      <c r="E467" s="12"/>
      <c r="F467" s="12"/>
      <c r="G467" s="12"/>
      <c r="H467" s="12"/>
      <c r="I467" s="12"/>
      <c r="J467" s="7"/>
      <c r="K467" s="12"/>
      <c r="L467" s="7"/>
      <c r="M467" s="10"/>
      <c r="N467" s="7"/>
      <c r="O467" s="7"/>
      <c r="P467" s="10"/>
      <c r="Q467" s="10"/>
      <c r="R467" s="7"/>
      <c r="S467" s="7"/>
      <c r="T467" s="15"/>
      <c r="U467" s="15"/>
      <c r="V467" s="15"/>
      <c r="W467" s="12"/>
      <c r="X467" s="7"/>
      <c r="Y467" s="12"/>
      <c r="Z467" s="12"/>
      <c r="AA467" s="12"/>
    </row>
    <row r="468" ht="19.5" customHeight="1">
      <c r="A468" s="7"/>
      <c r="B468" s="12"/>
      <c r="C468" s="12"/>
      <c r="D468" s="12"/>
      <c r="E468" s="12"/>
      <c r="F468" s="12"/>
      <c r="G468" s="12"/>
      <c r="H468" s="12"/>
      <c r="I468" s="12"/>
      <c r="J468" s="7"/>
      <c r="K468" s="12"/>
      <c r="L468" s="7"/>
      <c r="M468" s="10"/>
      <c r="N468" s="7"/>
      <c r="O468" s="7"/>
      <c r="P468" s="10"/>
      <c r="Q468" s="10"/>
      <c r="R468" s="7"/>
      <c r="S468" s="7"/>
      <c r="T468" s="15"/>
      <c r="U468" s="15"/>
      <c r="V468" s="15"/>
      <c r="W468" s="12"/>
      <c r="X468" s="7"/>
      <c r="Y468" s="12"/>
      <c r="Z468" s="12"/>
      <c r="AA468" s="12"/>
    </row>
    <row r="469" ht="19.5" customHeight="1">
      <c r="A469" s="7"/>
      <c r="B469" s="12"/>
      <c r="C469" s="12"/>
      <c r="D469" s="12"/>
      <c r="E469" s="12"/>
      <c r="F469" s="12"/>
      <c r="G469" s="12"/>
      <c r="H469" s="12"/>
      <c r="I469" s="12"/>
      <c r="J469" s="7"/>
      <c r="K469" s="12"/>
      <c r="L469" s="7"/>
      <c r="M469" s="10"/>
      <c r="N469" s="7"/>
      <c r="O469" s="7"/>
      <c r="P469" s="10"/>
      <c r="Q469" s="10"/>
      <c r="R469" s="7"/>
      <c r="S469" s="7"/>
      <c r="T469" s="15"/>
      <c r="U469" s="15"/>
      <c r="V469" s="15"/>
      <c r="W469" s="12"/>
      <c r="X469" s="7"/>
      <c r="Y469" s="12"/>
      <c r="Z469" s="12"/>
      <c r="AA469" s="12"/>
    </row>
    <row r="470" ht="19.5" customHeight="1">
      <c r="A470" s="7"/>
      <c r="B470" s="12"/>
      <c r="C470" s="12"/>
      <c r="D470" s="12"/>
      <c r="E470" s="12"/>
      <c r="F470" s="12"/>
      <c r="G470" s="12"/>
      <c r="H470" s="12"/>
      <c r="I470" s="12"/>
      <c r="J470" s="7"/>
      <c r="K470" s="12"/>
      <c r="L470" s="7"/>
      <c r="M470" s="10"/>
      <c r="N470" s="7"/>
      <c r="O470" s="7"/>
      <c r="P470" s="10"/>
      <c r="Q470" s="10"/>
      <c r="R470" s="7"/>
      <c r="S470" s="7"/>
      <c r="T470" s="15"/>
      <c r="U470" s="15"/>
      <c r="V470" s="15"/>
      <c r="W470" s="12"/>
      <c r="X470" s="7"/>
      <c r="Y470" s="12"/>
      <c r="Z470" s="12"/>
      <c r="AA470" s="12"/>
    </row>
    <row r="471" ht="19.5" customHeight="1">
      <c r="A471" s="7"/>
      <c r="B471" s="12"/>
      <c r="C471" s="12"/>
      <c r="D471" s="12"/>
      <c r="E471" s="12"/>
      <c r="F471" s="12"/>
      <c r="G471" s="12"/>
      <c r="H471" s="12"/>
      <c r="I471" s="12"/>
      <c r="J471" s="7"/>
      <c r="K471" s="12"/>
      <c r="L471" s="7"/>
      <c r="M471" s="10"/>
      <c r="N471" s="7"/>
      <c r="O471" s="7"/>
      <c r="P471" s="10"/>
      <c r="Q471" s="10"/>
      <c r="R471" s="7"/>
      <c r="S471" s="7"/>
      <c r="T471" s="15"/>
      <c r="U471" s="15"/>
      <c r="V471" s="15"/>
      <c r="W471" s="12"/>
      <c r="X471" s="7"/>
      <c r="Y471" s="12"/>
      <c r="Z471" s="12"/>
      <c r="AA471" s="12"/>
    </row>
    <row r="472" ht="19.5" customHeight="1">
      <c r="A472" s="7"/>
      <c r="B472" s="12"/>
      <c r="C472" s="12"/>
      <c r="D472" s="12"/>
      <c r="E472" s="12"/>
      <c r="F472" s="12"/>
      <c r="G472" s="12"/>
      <c r="H472" s="12"/>
      <c r="I472" s="12"/>
      <c r="J472" s="7"/>
      <c r="K472" s="12"/>
      <c r="L472" s="7"/>
      <c r="M472" s="10"/>
      <c r="N472" s="7"/>
      <c r="O472" s="7"/>
      <c r="P472" s="10"/>
      <c r="Q472" s="10"/>
      <c r="R472" s="7"/>
      <c r="S472" s="7"/>
      <c r="T472" s="15"/>
      <c r="U472" s="15"/>
      <c r="V472" s="15"/>
      <c r="W472" s="12"/>
      <c r="X472" s="7"/>
      <c r="Y472" s="12"/>
      <c r="Z472" s="12"/>
      <c r="AA472" s="12"/>
    </row>
    <row r="473" ht="19.5" customHeight="1">
      <c r="A473" s="7"/>
      <c r="B473" s="12"/>
      <c r="C473" s="12"/>
      <c r="D473" s="12"/>
      <c r="E473" s="12"/>
      <c r="F473" s="12"/>
      <c r="G473" s="12"/>
      <c r="H473" s="12"/>
      <c r="I473" s="12"/>
      <c r="J473" s="7"/>
      <c r="K473" s="12"/>
      <c r="L473" s="7"/>
      <c r="M473" s="10"/>
      <c r="N473" s="7"/>
      <c r="O473" s="7"/>
      <c r="P473" s="10"/>
      <c r="Q473" s="10"/>
      <c r="R473" s="7"/>
      <c r="S473" s="7"/>
      <c r="T473" s="15"/>
      <c r="U473" s="15"/>
      <c r="V473" s="15"/>
      <c r="W473" s="12"/>
      <c r="X473" s="7"/>
      <c r="Y473" s="12"/>
      <c r="Z473" s="12"/>
      <c r="AA473" s="12"/>
    </row>
    <row r="474" ht="19.5" customHeight="1">
      <c r="A474" s="7"/>
      <c r="B474" s="12"/>
      <c r="C474" s="12"/>
      <c r="D474" s="12"/>
      <c r="E474" s="12"/>
      <c r="F474" s="12"/>
      <c r="G474" s="12"/>
      <c r="H474" s="12"/>
      <c r="I474" s="12"/>
      <c r="J474" s="7"/>
      <c r="K474" s="12"/>
      <c r="L474" s="7"/>
      <c r="M474" s="10"/>
      <c r="N474" s="7"/>
      <c r="O474" s="7"/>
      <c r="P474" s="10"/>
      <c r="Q474" s="10"/>
      <c r="R474" s="7"/>
      <c r="S474" s="7"/>
      <c r="T474" s="15"/>
      <c r="U474" s="15"/>
      <c r="V474" s="15"/>
      <c r="W474" s="12"/>
      <c r="X474" s="7"/>
      <c r="Y474" s="12"/>
      <c r="Z474" s="12"/>
      <c r="AA474" s="12"/>
    </row>
    <row r="475" ht="19.5" customHeight="1">
      <c r="A475" s="7"/>
      <c r="B475" s="12"/>
      <c r="C475" s="12"/>
      <c r="D475" s="12"/>
      <c r="E475" s="12"/>
      <c r="F475" s="12"/>
      <c r="G475" s="12"/>
      <c r="H475" s="12"/>
      <c r="I475" s="12"/>
      <c r="J475" s="7"/>
      <c r="K475" s="12"/>
      <c r="L475" s="7"/>
      <c r="M475" s="10"/>
      <c r="N475" s="7"/>
      <c r="O475" s="7"/>
      <c r="P475" s="10"/>
      <c r="Q475" s="10"/>
      <c r="R475" s="7"/>
      <c r="S475" s="7"/>
      <c r="T475" s="15"/>
      <c r="U475" s="15"/>
      <c r="V475" s="15"/>
      <c r="W475" s="12"/>
      <c r="X475" s="7"/>
      <c r="Y475" s="12"/>
      <c r="Z475" s="12"/>
      <c r="AA475" s="12"/>
    </row>
    <row r="476" ht="19.5" customHeight="1">
      <c r="A476" s="7"/>
      <c r="B476" s="12"/>
      <c r="C476" s="12"/>
      <c r="D476" s="12"/>
      <c r="E476" s="12"/>
      <c r="F476" s="12"/>
      <c r="G476" s="12"/>
      <c r="H476" s="12"/>
      <c r="I476" s="12"/>
      <c r="J476" s="7"/>
      <c r="K476" s="12"/>
      <c r="L476" s="7"/>
      <c r="M476" s="10"/>
      <c r="N476" s="7"/>
      <c r="O476" s="7"/>
      <c r="P476" s="10"/>
      <c r="Q476" s="10"/>
      <c r="R476" s="7"/>
      <c r="S476" s="7"/>
      <c r="T476" s="15"/>
      <c r="U476" s="15"/>
      <c r="V476" s="15"/>
      <c r="W476" s="12"/>
      <c r="X476" s="7"/>
      <c r="Y476" s="12"/>
      <c r="Z476" s="12"/>
      <c r="AA476" s="12"/>
    </row>
    <row r="477" ht="19.5" customHeight="1">
      <c r="A477" s="7"/>
      <c r="B477" s="12"/>
      <c r="C477" s="12"/>
      <c r="D477" s="12"/>
      <c r="E477" s="12"/>
      <c r="F477" s="12"/>
      <c r="G477" s="12"/>
      <c r="H477" s="12"/>
      <c r="I477" s="12"/>
      <c r="J477" s="7"/>
      <c r="K477" s="12"/>
      <c r="L477" s="7"/>
      <c r="M477" s="10"/>
      <c r="N477" s="7"/>
      <c r="O477" s="7"/>
      <c r="P477" s="10"/>
      <c r="Q477" s="10"/>
      <c r="R477" s="7"/>
      <c r="S477" s="7"/>
      <c r="T477" s="15"/>
      <c r="U477" s="15"/>
      <c r="V477" s="15"/>
      <c r="W477" s="12"/>
      <c r="X477" s="7"/>
      <c r="Y477" s="12"/>
      <c r="Z477" s="12"/>
      <c r="AA477" s="12"/>
    </row>
    <row r="478" ht="19.5" customHeight="1">
      <c r="A478" s="7"/>
      <c r="B478" s="12"/>
      <c r="C478" s="12"/>
      <c r="D478" s="12"/>
      <c r="E478" s="12"/>
      <c r="F478" s="12"/>
      <c r="G478" s="12"/>
      <c r="H478" s="12"/>
      <c r="I478" s="12"/>
      <c r="J478" s="7"/>
      <c r="K478" s="12"/>
      <c r="L478" s="7"/>
      <c r="M478" s="10"/>
      <c r="N478" s="7"/>
      <c r="O478" s="7"/>
      <c r="P478" s="10"/>
      <c r="Q478" s="10"/>
      <c r="R478" s="7"/>
      <c r="S478" s="7"/>
      <c r="T478" s="15"/>
      <c r="U478" s="15"/>
      <c r="V478" s="15"/>
      <c r="W478" s="12"/>
      <c r="X478" s="7"/>
      <c r="Y478" s="12"/>
      <c r="Z478" s="12"/>
      <c r="AA478" s="12"/>
    </row>
    <row r="479" ht="19.5" customHeight="1">
      <c r="A479" s="7"/>
      <c r="B479" s="12"/>
      <c r="C479" s="12"/>
      <c r="D479" s="12"/>
      <c r="E479" s="12"/>
      <c r="F479" s="12"/>
      <c r="G479" s="12"/>
      <c r="H479" s="12"/>
      <c r="I479" s="12"/>
      <c r="J479" s="7"/>
      <c r="K479" s="12"/>
      <c r="L479" s="7"/>
      <c r="M479" s="10"/>
      <c r="N479" s="7"/>
      <c r="O479" s="7"/>
      <c r="P479" s="10"/>
      <c r="Q479" s="10"/>
      <c r="R479" s="7"/>
      <c r="S479" s="7"/>
      <c r="T479" s="15"/>
      <c r="U479" s="15"/>
      <c r="V479" s="15"/>
      <c r="W479" s="12"/>
      <c r="X479" s="7"/>
      <c r="Y479" s="12"/>
      <c r="Z479" s="12"/>
      <c r="AA479" s="12"/>
    </row>
    <row r="480" ht="19.5" customHeight="1">
      <c r="A480" s="7"/>
      <c r="B480" s="12"/>
      <c r="C480" s="12"/>
      <c r="D480" s="12"/>
      <c r="E480" s="12"/>
      <c r="F480" s="12"/>
      <c r="G480" s="12"/>
      <c r="H480" s="12"/>
      <c r="I480" s="12"/>
      <c r="J480" s="7"/>
      <c r="K480" s="12"/>
      <c r="L480" s="7"/>
      <c r="M480" s="10"/>
      <c r="N480" s="7"/>
      <c r="O480" s="7"/>
      <c r="P480" s="10"/>
      <c r="Q480" s="10"/>
      <c r="R480" s="7"/>
      <c r="S480" s="7"/>
      <c r="T480" s="15"/>
      <c r="U480" s="15"/>
      <c r="V480" s="15"/>
      <c r="W480" s="12"/>
      <c r="X480" s="7"/>
      <c r="Y480" s="12"/>
      <c r="Z480" s="12"/>
      <c r="AA480" s="12"/>
    </row>
    <row r="481" ht="19.5" customHeight="1">
      <c r="A481" s="7"/>
      <c r="B481" s="12"/>
      <c r="C481" s="12"/>
      <c r="D481" s="12"/>
      <c r="E481" s="12"/>
      <c r="F481" s="12"/>
      <c r="G481" s="12"/>
      <c r="H481" s="12"/>
      <c r="I481" s="12"/>
      <c r="J481" s="7"/>
      <c r="K481" s="12"/>
      <c r="L481" s="7"/>
      <c r="M481" s="10"/>
      <c r="N481" s="7"/>
      <c r="O481" s="7"/>
      <c r="P481" s="10"/>
      <c r="Q481" s="10"/>
      <c r="R481" s="7"/>
      <c r="S481" s="7"/>
      <c r="T481" s="15"/>
      <c r="U481" s="15"/>
      <c r="V481" s="15"/>
      <c r="W481" s="12"/>
      <c r="X481" s="7"/>
      <c r="Y481" s="12"/>
      <c r="Z481" s="12"/>
      <c r="AA481" s="12"/>
    </row>
    <row r="482" ht="19.5" customHeight="1">
      <c r="A482" s="7"/>
      <c r="B482" s="12"/>
      <c r="C482" s="12"/>
      <c r="D482" s="12"/>
      <c r="E482" s="12"/>
      <c r="F482" s="12"/>
      <c r="G482" s="12"/>
      <c r="H482" s="12"/>
      <c r="I482" s="12"/>
      <c r="J482" s="7"/>
      <c r="K482" s="12"/>
      <c r="L482" s="7"/>
      <c r="M482" s="10"/>
      <c r="N482" s="7"/>
      <c r="O482" s="7"/>
      <c r="P482" s="10"/>
      <c r="Q482" s="10"/>
      <c r="R482" s="7"/>
      <c r="S482" s="7"/>
      <c r="T482" s="15"/>
      <c r="U482" s="15"/>
      <c r="V482" s="15"/>
      <c r="W482" s="12"/>
      <c r="X482" s="7"/>
      <c r="Y482" s="12"/>
      <c r="Z482" s="12"/>
      <c r="AA482" s="12"/>
    </row>
    <row r="483" ht="19.5" customHeight="1">
      <c r="A483" s="7"/>
      <c r="B483" s="12"/>
      <c r="C483" s="12"/>
      <c r="D483" s="12"/>
      <c r="E483" s="12"/>
      <c r="F483" s="12"/>
      <c r="G483" s="12"/>
      <c r="H483" s="12"/>
      <c r="I483" s="12"/>
      <c r="J483" s="7"/>
      <c r="K483" s="12"/>
      <c r="L483" s="7"/>
      <c r="M483" s="10"/>
      <c r="N483" s="7"/>
      <c r="O483" s="7"/>
      <c r="P483" s="10"/>
      <c r="Q483" s="10"/>
      <c r="R483" s="7"/>
      <c r="S483" s="7"/>
      <c r="T483" s="15"/>
      <c r="U483" s="15"/>
      <c r="V483" s="15"/>
      <c r="W483" s="12"/>
      <c r="X483" s="7"/>
      <c r="Y483" s="12"/>
      <c r="Z483" s="12"/>
      <c r="AA483" s="12"/>
    </row>
    <row r="484" ht="19.5" customHeight="1">
      <c r="A484" s="7"/>
      <c r="B484" s="12"/>
      <c r="C484" s="12"/>
      <c r="D484" s="12"/>
      <c r="E484" s="12"/>
      <c r="F484" s="12"/>
      <c r="G484" s="12"/>
      <c r="H484" s="12"/>
      <c r="I484" s="12"/>
      <c r="J484" s="7"/>
      <c r="K484" s="12"/>
      <c r="L484" s="7"/>
      <c r="M484" s="10"/>
      <c r="N484" s="7"/>
      <c r="O484" s="7"/>
      <c r="P484" s="10"/>
      <c r="Q484" s="10"/>
      <c r="R484" s="7"/>
      <c r="S484" s="7"/>
      <c r="T484" s="15"/>
      <c r="U484" s="15"/>
      <c r="V484" s="15"/>
      <c r="W484" s="12"/>
      <c r="X484" s="7"/>
      <c r="Y484" s="12"/>
      <c r="Z484" s="12"/>
      <c r="AA484" s="12"/>
    </row>
    <row r="485" ht="19.5" customHeight="1">
      <c r="A485" s="7"/>
      <c r="B485" s="12"/>
      <c r="C485" s="12"/>
      <c r="D485" s="12"/>
      <c r="E485" s="12"/>
      <c r="F485" s="12"/>
      <c r="G485" s="12"/>
      <c r="H485" s="12"/>
      <c r="I485" s="12"/>
      <c r="J485" s="7"/>
      <c r="K485" s="12"/>
      <c r="L485" s="7"/>
      <c r="M485" s="10"/>
      <c r="N485" s="7"/>
      <c r="O485" s="7"/>
      <c r="P485" s="10"/>
      <c r="Q485" s="10"/>
      <c r="R485" s="7"/>
      <c r="S485" s="7"/>
      <c r="T485" s="15"/>
      <c r="U485" s="15"/>
      <c r="V485" s="15"/>
      <c r="W485" s="12"/>
      <c r="X485" s="7"/>
      <c r="Y485" s="12"/>
      <c r="Z485" s="12"/>
      <c r="AA485" s="12"/>
    </row>
    <row r="486" ht="19.5" customHeight="1">
      <c r="A486" s="7"/>
      <c r="B486" s="12"/>
      <c r="C486" s="12"/>
      <c r="D486" s="12"/>
      <c r="E486" s="12"/>
      <c r="F486" s="12"/>
      <c r="G486" s="12"/>
      <c r="H486" s="12"/>
      <c r="I486" s="12"/>
      <c r="J486" s="7"/>
      <c r="K486" s="12"/>
      <c r="L486" s="7"/>
      <c r="M486" s="10"/>
      <c r="N486" s="7"/>
      <c r="O486" s="7"/>
      <c r="P486" s="10"/>
      <c r="Q486" s="10"/>
      <c r="R486" s="7"/>
      <c r="S486" s="7"/>
      <c r="T486" s="15"/>
      <c r="U486" s="15"/>
      <c r="V486" s="15"/>
      <c r="W486" s="12"/>
      <c r="X486" s="7"/>
      <c r="Y486" s="12"/>
      <c r="Z486" s="12"/>
      <c r="AA486" s="12"/>
    </row>
    <row r="487" ht="19.5" customHeight="1">
      <c r="A487" s="7"/>
      <c r="B487" s="12"/>
      <c r="C487" s="12"/>
      <c r="D487" s="12"/>
      <c r="E487" s="12"/>
      <c r="F487" s="12"/>
      <c r="G487" s="12"/>
      <c r="H487" s="12"/>
      <c r="I487" s="12"/>
      <c r="J487" s="7"/>
      <c r="K487" s="12"/>
      <c r="L487" s="7"/>
      <c r="M487" s="10"/>
      <c r="N487" s="7"/>
      <c r="O487" s="7"/>
      <c r="P487" s="10"/>
      <c r="Q487" s="10"/>
      <c r="R487" s="7"/>
      <c r="S487" s="7"/>
      <c r="T487" s="15"/>
      <c r="U487" s="15"/>
      <c r="V487" s="15"/>
      <c r="W487" s="12"/>
      <c r="X487" s="7"/>
      <c r="Y487" s="12"/>
      <c r="Z487" s="12"/>
      <c r="AA487" s="12"/>
    </row>
    <row r="488" ht="19.5" customHeight="1">
      <c r="A488" s="7"/>
      <c r="B488" s="12"/>
      <c r="C488" s="12"/>
      <c r="D488" s="12"/>
      <c r="E488" s="12"/>
      <c r="F488" s="12"/>
      <c r="G488" s="12"/>
      <c r="H488" s="12"/>
      <c r="I488" s="12"/>
      <c r="J488" s="7"/>
      <c r="K488" s="12"/>
      <c r="L488" s="7"/>
      <c r="M488" s="10"/>
      <c r="N488" s="7"/>
      <c r="O488" s="7"/>
      <c r="P488" s="10"/>
      <c r="Q488" s="10"/>
      <c r="R488" s="7"/>
      <c r="S488" s="7"/>
      <c r="T488" s="15"/>
      <c r="U488" s="15"/>
      <c r="V488" s="15"/>
      <c r="W488" s="12"/>
      <c r="X488" s="7"/>
      <c r="Y488" s="12"/>
      <c r="Z488" s="12"/>
      <c r="AA488" s="12"/>
    </row>
    <row r="489" ht="19.5" customHeight="1">
      <c r="A489" s="7"/>
      <c r="B489" s="12"/>
      <c r="C489" s="12"/>
      <c r="D489" s="12"/>
      <c r="E489" s="12"/>
      <c r="F489" s="12"/>
      <c r="G489" s="12"/>
      <c r="H489" s="12"/>
      <c r="I489" s="12"/>
      <c r="J489" s="7"/>
      <c r="K489" s="12"/>
      <c r="L489" s="7"/>
      <c r="M489" s="10"/>
      <c r="N489" s="7"/>
      <c r="O489" s="7"/>
      <c r="P489" s="10"/>
      <c r="Q489" s="10"/>
      <c r="R489" s="7"/>
      <c r="S489" s="7"/>
      <c r="T489" s="15"/>
      <c r="U489" s="15"/>
      <c r="V489" s="15"/>
      <c r="W489" s="12"/>
      <c r="X489" s="7"/>
      <c r="Y489" s="12"/>
      <c r="Z489" s="12"/>
      <c r="AA489" s="12"/>
    </row>
    <row r="490" ht="19.5" customHeight="1">
      <c r="A490" s="7"/>
      <c r="B490" s="12"/>
      <c r="C490" s="12"/>
      <c r="D490" s="12"/>
      <c r="E490" s="12"/>
      <c r="F490" s="12"/>
      <c r="G490" s="12"/>
      <c r="H490" s="12"/>
      <c r="I490" s="12"/>
      <c r="J490" s="7"/>
      <c r="K490" s="12"/>
      <c r="L490" s="7"/>
      <c r="M490" s="10"/>
      <c r="N490" s="7"/>
      <c r="O490" s="7"/>
      <c r="P490" s="10"/>
      <c r="Q490" s="10"/>
      <c r="R490" s="7"/>
      <c r="S490" s="7"/>
      <c r="T490" s="15"/>
      <c r="U490" s="15"/>
      <c r="V490" s="15"/>
      <c r="W490" s="12"/>
      <c r="X490" s="7"/>
      <c r="Y490" s="12"/>
      <c r="Z490" s="12"/>
      <c r="AA490" s="12"/>
    </row>
    <row r="491" ht="19.5" customHeight="1">
      <c r="A491" s="7"/>
      <c r="B491" s="12"/>
      <c r="C491" s="12"/>
      <c r="D491" s="12"/>
      <c r="E491" s="12"/>
      <c r="F491" s="12"/>
      <c r="G491" s="12"/>
      <c r="H491" s="12"/>
      <c r="I491" s="12"/>
      <c r="J491" s="7"/>
      <c r="K491" s="12"/>
      <c r="L491" s="7"/>
      <c r="M491" s="10"/>
      <c r="N491" s="7"/>
      <c r="O491" s="7"/>
      <c r="P491" s="10"/>
      <c r="Q491" s="10"/>
      <c r="R491" s="7"/>
      <c r="S491" s="7"/>
      <c r="T491" s="15"/>
      <c r="U491" s="15"/>
      <c r="V491" s="15"/>
      <c r="W491" s="12"/>
      <c r="X491" s="7"/>
      <c r="Y491" s="12"/>
      <c r="Z491" s="12"/>
      <c r="AA491" s="12"/>
    </row>
    <row r="492" ht="19.5" customHeight="1">
      <c r="A492" s="7"/>
      <c r="B492" s="12"/>
      <c r="C492" s="12"/>
      <c r="D492" s="12"/>
      <c r="E492" s="12"/>
      <c r="F492" s="12"/>
      <c r="G492" s="12"/>
      <c r="H492" s="12"/>
      <c r="I492" s="12"/>
      <c r="J492" s="7"/>
      <c r="K492" s="12"/>
      <c r="L492" s="7"/>
      <c r="M492" s="10"/>
      <c r="N492" s="7"/>
      <c r="O492" s="7"/>
      <c r="P492" s="10"/>
      <c r="Q492" s="10"/>
      <c r="R492" s="7"/>
      <c r="S492" s="7"/>
      <c r="T492" s="15"/>
      <c r="U492" s="15"/>
      <c r="V492" s="15"/>
      <c r="W492" s="12"/>
      <c r="X492" s="7"/>
      <c r="Y492" s="12"/>
      <c r="Z492" s="12"/>
      <c r="AA492" s="12"/>
    </row>
    <row r="493" ht="19.5" customHeight="1">
      <c r="A493" s="7"/>
      <c r="B493" s="12"/>
      <c r="C493" s="12"/>
      <c r="D493" s="12"/>
      <c r="E493" s="12"/>
      <c r="F493" s="12"/>
      <c r="G493" s="12"/>
      <c r="H493" s="12"/>
      <c r="I493" s="12"/>
      <c r="J493" s="7"/>
      <c r="K493" s="12"/>
      <c r="L493" s="7"/>
      <c r="M493" s="10"/>
      <c r="N493" s="7"/>
      <c r="O493" s="7"/>
      <c r="P493" s="10"/>
      <c r="Q493" s="10"/>
      <c r="R493" s="7"/>
      <c r="S493" s="7"/>
      <c r="T493" s="15"/>
      <c r="U493" s="15"/>
      <c r="V493" s="15"/>
      <c r="W493" s="12"/>
      <c r="X493" s="7"/>
      <c r="Y493" s="12"/>
      <c r="Z493" s="12"/>
      <c r="AA493" s="12"/>
    </row>
    <row r="494" ht="19.5" customHeight="1">
      <c r="A494" s="7"/>
      <c r="B494" s="12"/>
      <c r="C494" s="12"/>
      <c r="D494" s="12"/>
      <c r="E494" s="12"/>
      <c r="F494" s="12"/>
      <c r="G494" s="12"/>
      <c r="H494" s="12"/>
      <c r="I494" s="12"/>
      <c r="J494" s="7"/>
      <c r="K494" s="12"/>
      <c r="L494" s="7"/>
      <c r="M494" s="10"/>
      <c r="N494" s="7"/>
      <c r="O494" s="7"/>
      <c r="P494" s="10"/>
      <c r="Q494" s="10"/>
      <c r="R494" s="7"/>
      <c r="S494" s="7"/>
      <c r="T494" s="15"/>
      <c r="U494" s="15"/>
      <c r="V494" s="15"/>
      <c r="W494" s="12"/>
      <c r="X494" s="7"/>
      <c r="Y494" s="12"/>
      <c r="Z494" s="12"/>
      <c r="AA494" s="12"/>
    </row>
    <row r="495" ht="19.5" customHeight="1">
      <c r="A495" s="7"/>
      <c r="B495" s="12"/>
      <c r="C495" s="12"/>
      <c r="D495" s="12"/>
      <c r="E495" s="12"/>
      <c r="F495" s="12"/>
      <c r="G495" s="12"/>
      <c r="H495" s="12"/>
      <c r="I495" s="12"/>
      <c r="J495" s="7"/>
      <c r="K495" s="12"/>
      <c r="L495" s="7"/>
      <c r="M495" s="10"/>
      <c r="N495" s="7"/>
      <c r="O495" s="7"/>
      <c r="P495" s="10"/>
      <c r="Q495" s="10"/>
      <c r="R495" s="7"/>
      <c r="S495" s="7"/>
      <c r="T495" s="15"/>
      <c r="U495" s="15"/>
      <c r="V495" s="15"/>
      <c r="W495" s="12"/>
      <c r="X495" s="7"/>
      <c r="Y495" s="12"/>
      <c r="Z495" s="12"/>
      <c r="AA495" s="12"/>
    </row>
    <row r="496" ht="19.5" customHeight="1">
      <c r="A496" s="7"/>
      <c r="B496" s="12"/>
      <c r="C496" s="12"/>
      <c r="D496" s="12"/>
      <c r="E496" s="12"/>
      <c r="F496" s="12"/>
      <c r="G496" s="12"/>
      <c r="H496" s="12"/>
      <c r="I496" s="12"/>
      <c r="J496" s="7"/>
      <c r="K496" s="12"/>
      <c r="L496" s="7"/>
      <c r="M496" s="10"/>
      <c r="N496" s="7"/>
      <c r="O496" s="7"/>
      <c r="P496" s="10"/>
      <c r="Q496" s="10"/>
      <c r="R496" s="7"/>
      <c r="S496" s="7"/>
      <c r="T496" s="15"/>
      <c r="U496" s="15"/>
      <c r="V496" s="15"/>
      <c r="W496" s="12"/>
      <c r="X496" s="7"/>
      <c r="Y496" s="12"/>
      <c r="Z496" s="12"/>
      <c r="AA496" s="12"/>
    </row>
    <row r="497" ht="19.5" customHeight="1">
      <c r="A497" s="7"/>
      <c r="B497" s="12"/>
      <c r="C497" s="12"/>
      <c r="D497" s="12"/>
      <c r="E497" s="12"/>
      <c r="F497" s="12"/>
      <c r="G497" s="12"/>
      <c r="H497" s="12"/>
      <c r="I497" s="12"/>
      <c r="J497" s="7"/>
      <c r="K497" s="12"/>
      <c r="L497" s="7"/>
      <c r="M497" s="10"/>
      <c r="N497" s="7"/>
      <c r="O497" s="7"/>
      <c r="P497" s="10"/>
      <c r="Q497" s="10"/>
      <c r="R497" s="7"/>
      <c r="S497" s="7"/>
      <c r="T497" s="15"/>
      <c r="U497" s="15"/>
      <c r="V497" s="15"/>
      <c r="W497" s="12"/>
      <c r="X497" s="7"/>
      <c r="Y497" s="12"/>
      <c r="Z497" s="12"/>
      <c r="AA497" s="12"/>
    </row>
    <row r="498" ht="19.5" customHeight="1">
      <c r="A498" s="7"/>
      <c r="B498" s="12"/>
      <c r="C498" s="12"/>
      <c r="D498" s="12"/>
      <c r="E498" s="12"/>
      <c r="F498" s="12"/>
      <c r="G498" s="12"/>
      <c r="H498" s="12"/>
      <c r="I498" s="12"/>
      <c r="J498" s="7"/>
      <c r="K498" s="12"/>
      <c r="L498" s="7"/>
      <c r="M498" s="10"/>
      <c r="N498" s="7"/>
      <c r="O498" s="7"/>
      <c r="P498" s="10"/>
      <c r="Q498" s="10"/>
      <c r="R498" s="7"/>
      <c r="S498" s="7"/>
      <c r="T498" s="15"/>
      <c r="U498" s="15"/>
      <c r="V498" s="15"/>
      <c r="W498" s="12"/>
      <c r="X498" s="7"/>
      <c r="Y498" s="12"/>
      <c r="Z498" s="12"/>
      <c r="AA498" s="12"/>
    </row>
    <row r="499" ht="19.5" customHeight="1">
      <c r="A499" s="7"/>
      <c r="B499" s="12"/>
      <c r="C499" s="12"/>
      <c r="D499" s="12"/>
      <c r="E499" s="12"/>
      <c r="F499" s="12"/>
      <c r="G499" s="12"/>
      <c r="H499" s="12"/>
      <c r="I499" s="12"/>
      <c r="J499" s="7"/>
      <c r="K499" s="12"/>
      <c r="L499" s="7"/>
      <c r="M499" s="10"/>
      <c r="N499" s="7"/>
      <c r="O499" s="7"/>
      <c r="P499" s="10"/>
      <c r="Q499" s="10"/>
      <c r="R499" s="7"/>
      <c r="S499" s="7"/>
      <c r="T499" s="15"/>
      <c r="U499" s="15"/>
      <c r="V499" s="15"/>
      <c r="W499" s="12"/>
      <c r="X499" s="7"/>
      <c r="Y499" s="12"/>
      <c r="Z499" s="12"/>
      <c r="AA499" s="12"/>
    </row>
    <row r="500" ht="19.5" customHeight="1">
      <c r="A500" s="7"/>
      <c r="B500" s="12"/>
      <c r="C500" s="12"/>
      <c r="D500" s="12"/>
      <c r="E500" s="12"/>
      <c r="F500" s="12"/>
      <c r="G500" s="12"/>
      <c r="H500" s="12"/>
      <c r="I500" s="12"/>
      <c r="J500" s="7"/>
      <c r="K500" s="12"/>
      <c r="L500" s="7"/>
      <c r="M500" s="10"/>
      <c r="N500" s="7"/>
      <c r="O500" s="7"/>
      <c r="P500" s="10"/>
      <c r="Q500" s="10"/>
      <c r="R500" s="7"/>
      <c r="S500" s="7"/>
      <c r="T500" s="15"/>
      <c r="U500" s="15"/>
      <c r="V500" s="15"/>
      <c r="W500" s="12"/>
      <c r="X500" s="7"/>
      <c r="Y500" s="12"/>
      <c r="Z500" s="12"/>
      <c r="AA500" s="12"/>
    </row>
    <row r="501" ht="19.5" customHeight="1">
      <c r="A501" s="7"/>
      <c r="B501" s="12"/>
      <c r="C501" s="12"/>
      <c r="D501" s="12"/>
      <c r="E501" s="12"/>
      <c r="F501" s="12"/>
      <c r="G501" s="12"/>
      <c r="H501" s="12"/>
      <c r="I501" s="12"/>
      <c r="J501" s="7"/>
      <c r="K501" s="12"/>
      <c r="L501" s="7"/>
      <c r="M501" s="10"/>
      <c r="N501" s="7"/>
      <c r="O501" s="7"/>
      <c r="P501" s="10"/>
      <c r="Q501" s="10"/>
      <c r="R501" s="7"/>
      <c r="S501" s="7"/>
      <c r="T501" s="15"/>
      <c r="U501" s="15"/>
      <c r="V501" s="15"/>
      <c r="W501" s="12"/>
      <c r="X501" s="7"/>
      <c r="Y501" s="12"/>
      <c r="Z501" s="12"/>
      <c r="AA501" s="12"/>
    </row>
    <row r="502" ht="19.5" customHeight="1">
      <c r="A502" s="7"/>
      <c r="B502" s="12"/>
      <c r="C502" s="12"/>
      <c r="D502" s="12"/>
      <c r="E502" s="12"/>
      <c r="F502" s="12"/>
      <c r="G502" s="12"/>
      <c r="H502" s="12"/>
      <c r="I502" s="12"/>
      <c r="J502" s="7"/>
      <c r="K502" s="12"/>
      <c r="L502" s="7"/>
      <c r="M502" s="10"/>
      <c r="N502" s="7"/>
      <c r="O502" s="7"/>
      <c r="P502" s="10"/>
      <c r="Q502" s="10"/>
      <c r="R502" s="7"/>
      <c r="S502" s="7"/>
      <c r="T502" s="15"/>
      <c r="U502" s="15"/>
      <c r="V502" s="15"/>
      <c r="W502" s="12"/>
      <c r="X502" s="7"/>
      <c r="Y502" s="12"/>
      <c r="Z502" s="12"/>
      <c r="AA502" s="12"/>
    </row>
    <row r="503" ht="19.5" customHeight="1">
      <c r="A503" s="7"/>
      <c r="B503" s="12"/>
      <c r="C503" s="12"/>
      <c r="D503" s="12"/>
      <c r="E503" s="12"/>
      <c r="F503" s="12"/>
      <c r="G503" s="12"/>
      <c r="H503" s="12"/>
      <c r="I503" s="12"/>
      <c r="J503" s="7"/>
      <c r="K503" s="12"/>
      <c r="L503" s="7"/>
      <c r="M503" s="10"/>
      <c r="N503" s="7"/>
      <c r="O503" s="7"/>
      <c r="P503" s="10"/>
      <c r="Q503" s="10"/>
      <c r="R503" s="7"/>
      <c r="S503" s="7"/>
      <c r="T503" s="15"/>
      <c r="U503" s="15"/>
      <c r="V503" s="15"/>
      <c r="W503" s="12"/>
      <c r="X503" s="7"/>
      <c r="Y503" s="12"/>
      <c r="Z503" s="12"/>
      <c r="AA503" s="12"/>
    </row>
    <row r="504" ht="19.5" customHeight="1">
      <c r="A504" s="7"/>
      <c r="B504" s="12"/>
      <c r="C504" s="12"/>
      <c r="D504" s="12"/>
      <c r="E504" s="12"/>
      <c r="F504" s="12"/>
      <c r="G504" s="12"/>
      <c r="H504" s="12"/>
      <c r="I504" s="12"/>
      <c r="J504" s="7"/>
      <c r="K504" s="12"/>
      <c r="L504" s="7"/>
      <c r="M504" s="10"/>
      <c r="N504" s="7"/>
      <c r="O504" s="7"/>
      <c r="P504" s="10"/>
      <c r="Q504" s="10"/>
      <c r="R504" s="7"/>
      <c r="S504" s="7"/>
      <c r="T504" s="15"/>
      <c r="U504" s="15"/>
      <c r="V504" s="15"/>
      <c r="W504" s="12"/>
      <c r="X504" s="7"/>
      <c r="Y504" s="12"/>
      <c r="Z504" s="12"/>
      <c r="AA504" s="12"/>
    </row>
    <row r="505" ht="19.5" customHeight="1">
      <c r="A505" s="7"/>
      <c r="B505" s="12"/>
      <c r="C505" s="12"/>
      <c r="D505" s="12"/>
      <c r="E505" s="12"/>
      <c r="F505" s="12"/>
      <c r="G505" s="12"/>
      <c r="H505" s="12"/>
      <c r="I505" s="12"/>
      <c r="J505" s="7"/>
      <c r="K505" s="12"/>
      <c r="L505" s="7"/>
      <c r="M505" s="10"/>
      <c r="N505" s="7"/>
      <c r="O505" s="7"/>
      <c r="P505" s="10"/>
      <c r="Q505" s="10"/>
      <c r="R505" s="7"/>
      <c r="S505" s="7"/>
      <c r="T505" s="15"/>
      <c r="U505" s="15"/>
      <c r="V505" s="15"/>
      <c r="W505" s="12"/>
      <c r="X505" s="7"/>
      <c r="Y505" s="12"/>
      <c r="Z505" s="12"/>
      <c r="AA505" s="12"/>
    </row>
    <row r="506" ht="19.5" customHeight="1">
      <c r="A506" s="7"/>
      <c r="B506" s="12"/>
      <c r="C506" s="12"/>
      <c r="D506" s="12"/>
      <c r="E506" s="12"/>
      <c r="F506" s="12"/>
      <c r="G506" s="12"/>
      <c r="H506" s="12"/>
      <c r="I506" s="12"/>
      <c r="J506" s="7"/>
      <c r="K506" s="12"/>
      <c r="L506" s="7"/>
      <c r="M506" s="10"/>
      <c r="N506" s="7"/>
      <c r="O506" s="7"/>
      <c r="P506" s="10"/>
      <c r="Q506" s="10"/>
      <c r="R506" s="7"/>
      <c r="S506" s="7"/>
      <c r="T506" s="15"/>
      <c r="U506" s="15"/>
      <c r="V506" s="15"/>
      <c r="W506" s="12"/>
      <c r="X506" s="7"/>
      <c r="Y506" s="12"/>
      <c r="Z506" s="12"/>
      <c r="AA506" s="12"/>
    </row>
    <row r="507" ht="19.5" customHeight="1">
      <c r="A507" s="7"/>
      <c r="B507" s="12"/>
      <c r="C507" s="12"/>
      <c r="D507" s="12"/>
      <c r="E507" s="12"/>
      <c r="F507" s="12"/>
      <c r="G507" s="12"/>
      <c r="H507" s="12"/>
      <c r="I507" s="12"/>
      <c r="J507" s="7"/>
      <c r="K507" s="12"/>
      <c r="L507" s="7"/>
      <c r="M507" s="10"/>
      <c r="N507" s="7"/>
      <c r="O507" s="7"/>
      <c r="P507" s="10"/>
      <c r="Q507" s="10"/>
      <c r="R507" s="7"/>
      <c r="S507" s="7"/>
      <c r="T507" s="15"/>
      <c r="U507" s="15"/>
      <c r="V507" s="15"/>
      <c r="W507" s="12"/>
      <c r="X507" s="7"/>
      <c r="Y507" s="12"/>
      <c r="Z507" s="12"/>
      <c r="AA507" s="12"/>
    </row>
    <row r="508" ht="19.5" customHeight="1">
      <c r="A508" s="7"/>
      <c r="B508" s="12"/>
      <c r="C508" s="12"/>
      <c r="D508" s="12"/>
      <c r="E508" s="12"/>
      <c r="F508" s="12"/>
      <c r="G508" s="12"/>
      <c r="H508" s="12"/>
      <c r="I508" s="12"/>
      <c r="J508" s="7"/>
      <c r="K508" s="12"/>
      <c r="L508" s="7"/>
      <c r="M508" s="10"/>
      <c r="N508" s="7"/>
      <c r="O508" s="7"/>
      <c r="P508" s="10"/>
      <c r="Q508" s="10"/>
      <c r="R508" s="7"/>
      <c r="S508" s="7"/>
      <c r="T508" s="15"/>
      <c r="U508" s="15"/>
      <c r="V508" s="15"/>
      <c r="W508" s="12"/>
      <c r="X508" s="7"/>
      <c r="Y508" s="12"/>
      <c r="Z508" s="12"/>
      <c r="AA508" s="12"/>
    </row>
    <row r="509" ht="19.5" customHeight="1">
      <c r="A509" s="7"/>
      <c r="B509" s="12"/>
      <c r="C509" s="12"/>
      <c r="D509" s="12"/>
      <c r="E509" s="12"/>
      <c r="F509" s="12"/>
      <c r="G509" s="12"/>
      <c r="H509" s="12"/>
      <c r="I509" s="12"/>
      <c r="J509" s="7"/>
      <c r="K509" s="12"/>
      <c r="L509" s="7"/>
      <c r="M509" s="10"/>
      <c r="N509" s="7"/>
      <c r="O509" s="7"/>
      <c r="P509" s="10"/>
      <c r="Q509" s="10"/>
      <c r="R509" s="7"/>
      <c r="S509" s="7"/>
      <c r="T509" s="15"/>
      <c r="U509" s="15"/>
      <c r="V509" s="15"/>
      <c r="W509" s="12"/>
      <c r="X509" s="7"/>
      <c r="Y509" s="12"/>
      <c r="Z509" s="12"/>
      <c r="AA509" s="12"/>
    </row>
    <row r="510" ht="19.5" customHeight="1">
      <c r="A510" s="7"/>
      <c r="B510" s="12"/>
      <c r="C510" s="12"/>
      <c r="D510" s="12"/>
      <c r="E510" s="12"/>
      <c r="F510" s="12"/>
      <c r="G510" s="12"/>
      <c r="H510" s="12"/>
      <c r="I510" s="12"/>
      <c r="J510" s="7"/>
      <c r="K510" s="12"/>
      <c r="L510" s="7"/>
      <c r="M510" s="10"/>
      <c r="N510" s="7"/>
      <c r="O510" s="7"/>
      <c r="P510" s="10"/>
      <c r="Q510" s="10"/>
      <c r="R510" s="7"/>
      <c r="S510" s="7"/>
      <c r="T510" s="15"/>
      <c r="U510" s="15"/>
      <c r="V510" s="15"/>
      <c r="W510" s="12"/>
      <c r="X510" s="7"/>
      <c r="Y510" s="12"/>
      <c r="Z510" s="12"/>
      <c r="AA510" s="12"/>
    </row>
    <row r="511" ht="19.5" customHeight="1">
      <c r="A511" s="7"/>
      <c r="B511" s="12"/>
      <c r="C511" s="12"/>
      <c r="D511" s="12"/>
      <c r="E511" s="12"/>
      <c r="F511" s="12"/>
      <c r="G511" s="12"/>
      <c r="H511" s="12"/>
      <c r="I511" s="12"/>
      <c r="J511" s="7"/>
      <c r="K511" s="12"/>
      <c r="L511" s="7"/>
      <c r="M511" s="10"/>
      <c r="N511" s="7"/>
      <c r="O511" s="7"/>
      <c r="P511" s="10"/>
      <c r="Q511" s="10"/>
      <c r="R511" s="7"/>
      <c r="S511" s="7"/>
      <c r="T511" s="15"/>
      <c r="U511" s="15"/>
      <c r="V511" s="15"/>
      <c r="W511" s="12"/>
      <c r="X511" s="7"/>
      <c r="Y511" s="12"/>
      <c r="Z511" s="12"/>
      <c r="AA511" s="12"/>
    </row>
    <row r="512" ht="19.5" customHeight="1">
      <c r="A512" s="7"/>
      <c r="B512" s="12"/>
      <c r="C512" s="12"/>
      <c r="D512" s="12"/>
      <c r="E512" s="12"/>
      <c r="F512" s="12"/>
      <c r="G512" s="12"/>
      <c r="H512" s="12"/>
      <c r="I512" s="12"/>
      <c r="J512" s="7"/>
      <c r="K512" s="12"/>
      <c r="L512" s="7"/>
      <c r="M512" s="10"/>
      <c r="N512" s="7"/>
      <c r="O512" s="7"/>
      <c r="P512" s="10"/>
      <c r="Q512" s="10"/>
      <c r="R512" s="7"/>
      <c r="S512" s="7"/>
      <c r="T512" s="15"/>
      <c r="U512" s="15"/>
      <c r="V512" s="15"/>
      <c r="W512" s="12"/>
      <c r="X512" s="7"/>
      <c r="Y512" s="12"/>
      <c r="Z512" s="12"/>
      <c r="AA512" s="12"/>
    </row>
    <row r="513" ht="19.5" customHeight="1">
      <c r="A513" s="7"/>
      <c r="B513" s="12"/>
      <c r="C513" s="12"/>
      <c r="D513" s="12"/>
      <c r="E513" s="12"/>
      <c r="F513" s="12"/>
      <c r="G513" s="12"/>
      <c r="H513" s="12"/>
      <c r="I513" s="12"/>
      <c r="J513" s="7"/>
      <c r="K513" s="12"/>
      <c r="L513" s="7"/>
      <c r="M513" s="10"/>
      <c r="N513" s="7"/>
      <c r="O513" s="7"/>
      <c r="P513" s="10"/>
      <c r="Q513" s="10"/>
      <c r="R513" s="7"/>
      <c r="S513" s="7"/>
      <c r="T513" s="15"/>
      <c r="U513" s="15"/>
      <c r="V513" s="15"/>
      <c r="W513" s="12"/>
      <c r="X513" s="7"/>
      <c r="Y513" s="12"/>
      <c r="Z513" s="12"/>
      <c r="AA513" s="12"/>
    </row>
    <row r="514" ht="19.5" customHeight="1">
      <c r="A514" s="7"/>
      <c r="B514" s="12"/>
      <c r="C514" s="12"/>
      <c r="D514" s="12"/>
      <c r="E514" s="12"/>
      <c r="F514" s="12"/>
      <c r="G514" s="12"/>
      <c r="H514" s="12"/>
      <c r="I514" s="12"/>
      <c r="J514" s="7"/>
      <c r="K514" s="12"/>
      <c r="L514" s="7"/>
      <c r="M514" s="10"/>
      <c r="N514" s="7"/>
      <c r="O514" s="7"/>
      <c r="P514" s="10"/>
      <c r="Q514" s="10"/>
      <c r="R514" s="7"/>
      <c r="S514" s="7"/>
      <c r="T514" s="15"/>
      <c r="U514" s="15"/>
      <c r="V514" s="15"/>
      <c r="W514" s="12"/>
      <c r="X514" s="7"/>
      <c r="Y514" s="12"/>
      <c r="Z514" s="12"/>
      <c r="AA514" s="12"/>
    </row>
    <row r="515" ht="19.5" customHeight="1">
      <c r="A515" s="7"/>
      <c r="B515" s="12"/>
      <c r="C515" s="12"/>
      <c r="D515" s="12"/>
      <c r="E515" s="12"/>
      <c r="F515" s="12"/>
      <c r="G515" s="12"/>
      <c r="H515" s="12"/>
      <c r="I515" s="12"/>
      <c r="J515" s="7"/>
      <c r="K515" s="12"/>
      <c r="L515" s="7"/>
      <c r="M515" s="10"/>
      <c r="N515" s="7"/>
      <c r="O515" s="7"/>
      <c r="P515" s="10"/>
      <c r="Q515" s="10"/>
      <c r="R515" s="7"/>
      <c r="S515" s="7"/>
      <c r="T515" s="15"/>
      <c r="U515" s="15"/>
      <c r="V515" s="15"/>
      <c r="W515" s="12"/>
      <c r="X515" s="7"/>
      <c r="Y515" s="12"/>
      <c r="Z515" s="12"/>
      <c r="AA515" s="12"/>
    </row>
    <row r="516" ht="19.5" customHeight="1">
      <c r="A516" s="7"/>
      <c r="B516" s="12"/>
      <c r="C516" s="12"/>
      <c r="D516" s="12"/>
      <c r="E516" s="12"/>
      <c r="F516" s="12"/>
      <c r="G516" s="12"/>
      <c r="H516" s="12"/>
      <c r="I516" s="12"/>
      <c r="J516" s="7"/>
      <c r="K516" s="12"/>
      <c r="L516" s="7"/>
      <c r="M516" s="10"/>
      <c r="N516" s="7"/>
      <c r="O516" s="7"/>
      <c r="P516" s="10"/>
      <c r="Q516" s="10"/>
      <c r="R516" s="7"/>
      <c r="S516" s="7"/>
      <c r="T516" s="15"/>
      <c r="U516" s="15"/>
      <c r="V516" s="15"/>
      <c r="W516" s="12"/>
      <c r="X516" s="7"/>
      <c r="Y516" s="12"/>
      <c r="Z516" s="12"/>
      <c r="AA516" s="12"/>
    </row>
    <row r="517" ht="19.5" customHeight="1">
      <c r="A517" s="7"/>
      <c r="B517" s="12"/>
      <c r="C517" s="12"/>
      <c r="D517" s="12"/>
      <c r="E517" s="12"/>
      <c r="F517" s="12"/>
      <c r="G517" s="12"/>
      <c r="H517" s="12"/>
      <c r="I517" s="12"/>
      <c r="J517" s="7"/>
      <c r="K517" s="12"/>
      <c r="L517" s="7"/>
      <c r="M517" s="10"/>
      <c r="N517" s="7"/>
      <c r="O517" s="7"/>
      <c r="P517" s="10"/>
      <c r="Q517" s="10"/>
      <c r="R517" s="7"/>
      <c r="S517" s="7"/>
      <c r="T517" s="15"/>
      <c r="U517" s="15"/>
      <c r="V517" s="15"/>
      <c r="W517" s="12"/>
      <c r="X517" s="7"/>
      <c r="Y517" s="12"/>
      <c r="Z517" s="12"/>
      <c r="AA517" s="12"/>
    </row>
    <row r="518" ht="19.5" customHeight="1">
      <c r="A518" s="7"/>
      <c r="B518" s="12"/>
      <c r="C518" s="12"/>
      <c r="D518" s="12"/>
      <c r="E518" s="12"/>
      <c r="F518" s="12"/>
      <c r="G518" s="12"/>
      <c r="H518" s="12"/>
      <c r="I518" s="12"/>
      <c r="J518" s="7"/>
      <c r="K518" s="12"/>
      <c r="L518" s="7"/>
      <c r="M518" s="10"/>
      <c r="N518" s="7"/>
      <c r="O518" s="7"/>
      <c r="P518" s="10"/>
      <c r="Q518" s="10"/>
      <c r="R518" s="7"/>
      <c r="S518" s="7"/>
      <c r="T518" s="15"/>
      <c r="U518" s="15"/>
      <c r="V518" s="15"/>
      <c r="W518" s="12"/>
      <c r="X518" s="7"/>
      <c r="Y518" s="12"/>
      <c r="Z518" s="12"/>
      <c r="AA518" s="12"/>
    </row>
    <row r="519" ht="19.5" customHeight="1">
      <c r="A519" s="7"/>
      <c r="B519" s="12"/>
      <c r="C519" s="12"/>
      <c r="D519" s="12"/>
      <c r="E519" s="12"/>
      <c r="F519" s="12"/>
      <c r="G519" s="12"/>
      <c r="H519" s="12"/>
      <c r="I519" s="12"/>
      <c r="J519" s="7"/>
      <c r="K519" s="12"/>
      <c r="L519" s="7"/>
      <c r="M519" s="10"/>
      <c r="N519" s="7"/>
      <c r="O519" s="7"/>
      <c r="P519" s="10"/>
      <c r="Q519" s="10"/>
      <c r="R519" s="7"/>
      <c r="S519" s="7"/>
      <c r="T519" s="15"/>
      <c r="U519" s="15"/>
      <c r="V519" s="15"/>
      <c r="W519" s="12"/>
      <c r="X519" s="7"/>
      <c r="Y519" s="12"/>
      <c r="Z519" s="12"/>
      <c r="AA519" s="12"/>
    </row>
    <row r="520" ht="19.5" customHeight="1">
      <c r="A520" s="7"/>
      <c r="B520" s="12"/>
      <c r="C520" s="12"/>
      <c r="D520" s="12"/>
      <c r="E520" s="12"/>
      <c r="F520" s="12"/>
      <c r="G520" s="12"/>
      <c r="H520" s="12"/>
      <c r="I520" s="12"/>
      <c r="J520" s="7"/>
      <c r="K520" s="12"/>
      <c r="L520" s="7"/>
      <c r="M520" s="10"/>
      <c r="N520" s="7"/>
      <c r="O520" s="7"/>
      <c r="P520" s="10"/>
      <c r="Q520" s="10"/>
      <c r="R520" s="7"/>
      <c r="S520" s="7"/>
      <c r="T520" s="15"/>
      <c r="U520" s="15"/>
      <c r="V520" s="15"/>
      <c r="W520" s="12"/>
      <c r="X520" s="7"/>
      <c r="Y520" s="12"/>
      <c r="Z520" s="12"/>
      <c r="AA520" s="12"/>
    </row>
    <row r="521" ht="19.5" customHeight="1">
      <c r="A521" s="7"/>
      <c r="B521" s="12"/>
      <c r="C521" s="12"/>
      <c r="D521" s="12"/>
      <c r="E521" s="12"/>
      <c r="F521" s="12"/>
      <c r="G521" s="12"/>
      <c r="H521" s="12"/>
      <c r="I521" s="12"/>
      <c r="J521" s="7"/>
      <c r="K521" s="12"/>
      <c r="L521" s="7"/>
      <c r="M521" s="10"/>
      <c r="N521" s="7"/>
      <c r="O521" s="7"/>
      <c r="P521" s="10"/>
      <c r="Q521" s="10"/>
      <c r="R521" s="7"/>
      <c r="S521" s="7"/>
      <c r="T521" s="15"/>
      <c r="U521" s="15"/>
      <c r="V521" s="15"/>
      <c r="W521" s="12"/>
      <c r="X521" s="7"/>
      <c r="Y521" s="12"/>
      <c r="Z521" s="12"/>
      <c r="AA521" s="12"/>
    </row>
    <row r="522" ht="19.5" customHeight="1">
      <c r="A522" s="7"/>
      <c r="B522" s="12"/>
      <c r="C522" s="12"/>
      <c r="D522" s="12"/>
      <c r="E522" s="12"/>
      <c r="F522" s="12"/>
      <c r="G522" s="12"/>
      <c r="H522" s="12"/>
      <c r="I522" s="12"/>
      <c r="J522" s="7"/>
      <c r="K522" s="12"/>
      <c r="L522" s="7"/>
      <c r="M522" s="10"/>
      <c r="N522" s="7"/>
      <c r="O522" s="7"/>
      <c r="P522" s="10"/>
      <c r="Q522" s="10"/>
      <c r="R522" s="7"/>
      <c r="S522" s="7"/>
      <c r="T522" s="15"/>
      <c r="U522" s="15"/>
      <c r="V522" s="15"/>
      <c r="W522" s="12"/>
      <c r="X522" s="7"/>
      <c r="Y522" s="12"/>
      <c r="Z522" s="12"/>
      <c r="AA522" s="12"/>
    </row>
    <row r="523" ht="19.5" customHeight="1">
      <c r="A523" s="7"/>
      <c r="B523" s="12"/>
      <c r="C523" s="12"/>
      <c r="D523" s="12"/>
      <c r="E523" s="12"/>
      <c r="F523" s="12"/>
      <c r="G523" s="12"/>
      <c r="H523" s="12"/>
      <c r="I523" s="12"/>
      <c r="J523" s="7"/>
      <c r="K523" s="12"/>
      <c r="L523" s="7"/>
      <c r="M523" s="10"/>
      <c r="N523" s="7"/>
      <c r="O523" s="7"/>
      <c r="P523" s="10"/>
      <c r="Q523" s="10"/>
      <c r="R523" s="7"/>
      <c r="S523" s="7"/>
      <c r="T523" s="15"/>
      <c r="U523" s="15"/>
      <c r="V523" s="15"/>
      <c r="W523" s="12"/>
      <c r="X523" s="7"/>
      <c r="Y523" s="12"/>
      <c r="Z523" s="12"/>
      <c r="AA523" s="12"/>
    </row>
    <row r="524" ht="19.5" customHeight="1">
      <c r="A524" s="7"/>
      <c r="B524" s="12"/>
      <c r="C524" s="12"/>
      <c r="D524" s="12"/>
      <c r="E524" s="12"/>
      <c r="F524" s="12"/>
      <c r="G524" s="12"/>
      <c r="H524" s="12"/>
      <c r="I524" s="12"/>
      <c r="J524" s="7"/>
      <c r="K524" s="12"/>
      <c r="L524" s="7"/>
      <c r="M524" s="10"/>
      <c r="N524" s="7"/>
      <c r="O524" s="7"/>
      <c r="P524" s="10"/>
      <c r="Q524" s="10"/>
      <c r="R524" s="7"/>
      <c r="S524" s="7"/>
      <c r="T524" s="15"/>
      <c r="U524" s="15"/>
      <c r="V524" s="15"/>
      <c r="W524" s="12"/>
      <c r="X524" s="7"/>
      <c r="Y524" s="12"/>
      <c r="Z524" s="12"/>
      <c r="AA524" s="12"/>
    </row>
    <row r="525" ht="19.5" customHeight="1">
      <c r="A525" s="7"/>
      <c r="B525" s="12"/>
      <c r="C525" s="12"/>
      <c r="D525" s="12"/>
      <c r="E525" s="12"/>
      <c r="F525" s="12"/>
      <c r="G525" s="12"/>
      <c r="H525" s="12"/>
      <c r="I525" s="12"/>
      <c r="J525" s="7"/>
      <c r="K525" s="12"/>
      <c r="L525" s="7"/>
      <c r="M525" s="10"/>
      <c r="N525" s="7"/>
      <c r="O525" s="7"/>
      <c r="P525" s="10"/>
      <c r="Q525" s="10"/>
      <c r="R525" s="7"/>
      <c r="S525" s="7"/>
      <c r="T525" s="15"/>
      <c r="U525" s="15"/>
      <c r="V525" s="15"/>
      <c r="W525" s="12"/>
      <c r="X525" s="7"/>
      <c r="Y525" s="12"/>
      <c r="Z525" s="12"/>
      <c r="AA525" s="12"/>
    </row>
    <row r="526" ht="19.5" customHeight="1">
      <c r="A526" s="7"/>
      <c r="B526" s="12"/>
      <c r="C526" s="12"/>
      <c r="D526" s="12"/>
      <c r="E526" s="12"/>
      <c r="F526" s="12"/>
      <c r="G526" s="12"/>
      <c r="H526" s="12"/>
      <c r="I526" s="12"/>
      <c r="J526" s="7"/>
      <c r="K526" s="12"/>
      <c r="L526" s="7"/>
      <c r="M526" s="10"/>
      <c r="N526" s="7"/>
      <c r="O526" s="7"/>
      <c r="P526" s="10"/>
      <c r="Q526" s="10"/>
      <c r="R526" s="7"/>
      <c r="S526" s="7"/>
      <c r="T526" s="15"/>
      <c r="U526" s="15"/>
      <c r="V526" s="15"/>
      <c r="W526" s="12"/>
      <c r="X526" s="7"/>
      <c r="Y526" s="12"/>
      <c r="Z526" s="12"/>
      <c r="AA526" s="12"/>
    </row>
    <row r="527" ht="19.5" customHeight="1">
      <c r="A527" s="7"/>
      <c r="B527" s="12"/>
      <c r="C527" s="12"/>
      <c r="D527" s="12"/>
      <c r="E527" s="12"/>
      <c r="F527" s="12"/>
      <c r="G527" s="12"/>
      <c r="H527" s="12"/>
      <c r="I527" s="12"/>
      <c r="J527" s="7"/>
      <c r="K527" s="12"/>
      <c r="L527" s="7"/>
      <c r="M527" s="10"/>
      <c r="N527" s="7"/>
      <c r="O527" s="7"/>
      <c r="P527" s="10"/>
      <c r="Q527" s="10"/>
      <c r="R527" s="7"/>
      <c r="S527" s="7"/>
      <c r="T527" s="15"/>
      <c r="U527" s="15"/>
      <c r="V527" s="15"/>
      <c r="W527" s="12"/>
      <c r="X527" s="7"/>
      <c r="Y527" s="12"/>
      <c r="Z527" s="12"/>
      <c r="AA527" s="12"/>
    </row>
    <row r="528" ht="19.5" customHeight="1">
      <c r="A528" s="7"/>
      <c r="B528" s="12"/>
      <c r="C528" s="12"/>
      <c r="D528" s="12"/>
      <c r="E528" s="12"/>
      <c r="F528" s="12"/>
      <c r="G528" s="12"/>
      <c r="H528" s="12"/>
      <c r="I528" s="12"/>
      <c r="J528" s="7"/>
      <c r="K528" s="12"/>
      <c r="L528" s="7"/>
      <c r="M528" s="10"/>
      <c r="N528" s="7"/>
      <c r="O528" s="7"/>
      <c r="P528" s="10"/>
      <c r="Q528" s="10"/>
      <c r="R528" s="7"/>
      <c r="S528" s="7"/>
      <c r="T528" s="15"/>
      <c r="U528" s="15"/>
      <c r="V528" s="15"/>
      <c r="W528" s="12"/>
      <c r="X528" s="7"/>
      <c r="Y528" s="12"/>
      <c r="Z528" s="12"/>
      <c r="AA528" s="12"/>
    </row>
    <row r="529" ht="19.5" customHeight="1">
      <c r="A529" s="7"/>
      <c r="B529" s="12"/>
      <c r="C529" s="12"/>
      <c r="D529" s="12"/>
      <c r="E529" s="12"/>
      <c r="F529" s="12"/>
      <c r="G529" s="12"/>
      <c r="H529" s="12"/>
      <c r="I529" s="12"/>
      <c r="J529" s="7"/>
      <c r="K529" s="12"/>
      <c r="L529" s="7"/>
      <c r="M529" s="10"/>
      <c r="N529" s="7"/>
      <c r="O529" s="7"/>
      <c r="P529" s="10"/>
      <c r="Q529" s="10"/>
      <c r="R529" s="7"/>
      <c r="S529" s="7"/>
      <c r="T529" s="15"/>
      <c r="U529" s="15"/>
      <c r="V529" s="15"/>
      <c r="W529" s="12"/>
      <c r="X529" s="7"/>
      <c r="Y529" s="12"/>
      <c r="Z529" s="12"/>
      <c r="AA529" s="12"/>
    </row>
    <row r="530" ht="19.5" customHeight="1">
      <c r="A530" s="7"/>
      <c r="B530" s="12"/>
      <c r="C530" s="12"/>
      <c r="D530" s="12"/>
      <c r="E530" s="12"/>
      <c r="F530" s="12"/>
      <c r="G530" s="12"/>
      <c r="H530" s="12"/>
      <c r="I530" s="12"/>
      <c r="J530" s="7"/>
      <c r="K530" s="12"/>
      <c r="L530" s="7"/>
      <c r="M530" s="10"/>
      <c r="N530" s="7"/>
      <c r="O530" s="7"/>
      <c r="P530" s="10"/>
      <c r="Q530" s="10"/>
      <c r="R530" s="7"/>
      <c r="S530" s="7"/>
      <c r="T530" s="15"/>
      <c r="U530" s="15"/>
      <c r="V530" s="15"/>
      <c r="W530" s="12"/>
      <c r="X530" s="7"/>
      <c r="Y530" s="12"/>
      <c r="Z530" s="12"/>
      <c r="AA530" s="12"/>
    </row>
    <row r="531" ht="19.5" customHeight="1">
      <c r="A531" s="7"/>
      <c r="B531" s="12"/>
      <c r="C531" s="12"/>
      <c r="D531" s="12"/>
      <c r="E531" s="12"/>
      <c r="F531" s="12"/>
      <c r="G531" s="12"/>
      <c r="H531" s="12"/>
      <c r="I531" s="12"/>
      <c r="J531" s="7"/>
      <c r="K531" s="12"/>
      <c r="L531" s="7"/>
      <c r="M531" s="10"/>
      <c r="N531" s="7"/>
      <c r="O531" s="7"/>
      <c r="P531" s="10"/>
      <c r="Q531" s="10"/>
      <c r="R531" s="7"/>
      <c r="S531" s="7"/>
      <c r="T531" s="15"/>
      <c r="U531" s="15"/>
      <c r="V531" s="15"/>
      <c r="W531" s="12"/>
      <c r="X531" s="7"/>
      <c r="Y531" s="12"/>
      <c r="Z531" s="12"/>
      <c r="AA531" s="12"/>
    </row>
    <row r="532" ht="19.5" customHeight="1">
      <c r="A532" s="7"/>
      <c r="B532" s="12"/>
      <c r="C532" s="12"/>
      <c r="D532" s="12"/>
      <c r="E532" s="12"/>
      <c r="F532" s="12"/>
      <c r="G532" s="12"/>
      <c r="H532" s="12"/>
      <c r="I532" s="12"/>
      <c r="J532" s="7"/>
      <c r="K532" s="12"/>
      <c r="L532" s="7"/>
      <c r="M532" s="10"/>
      <c r="N532" s="7"/>
      <c r="O532" s="7"/>
      <c r="P532" s="10"/>
      <c r="Q532" s="10"/>
      <c r="R532" s="7"/>
      <c r="S532" s="7"/>
      <c r="T532" s="15"/>
      <c r="U532" s="15"/>
      <c r="V532" s="15"/>
      <c r="W532" s="12"/>
      <c r="X532" s="7"/>
      <c r="Y532" s="12"/>
      <c r="Z532" s="12"/>
      <c r="AA532" s="12"/>
    </row>
    <row r="533" ht="19.5" customHeight="1">
      <c r="A533" s="7"/>
      <c r="B533" s="12"/>
      <c r="C533" s="12"/>
      <c r="D533" s="12"/>
      <c r="E533" s="12"/>
      <c r="F533" s="12"/>
      <c r="G533" s="12"/>
      <c r="H533" s="12"/>
      <c r="I533" s="12"/>
      <c r="J533" s="7"/>
      <c r="K533" s="12"/>
      <c r="L533" s="7"/>
      <c r="M533" s="10"/>
      <c r="N533" s="7"/>
      <c r="O533" s="7"/>
      <c r="P533" s="10"/>
      <c r="Q533" s="10"/>
      <c r="R533" s="7"/>
      <c r="S533" s="7"/>
      <c r="T533" s="15"/>
      <c r="U533" s="15"/>
      <c r="V533" s="15"/>
      <c r="W533" s="12"/>
      <c r="X533" s="7"/>
      <c r="Y533" s="12"/>
      <c r="Z533" s="12"/>
      <c r="AA533" s="12"/>
    </row>
    <row r="534" ht="19.5" customHeight="1">
      <c r="A534" s="7"/>
      <c r="B534" s="12"/>
      <c r="C534" s="12"/>
      <c r="D534" s="12"/>
      <c r="E534" s="12"/>
      <c r="F534" s="12"/>
      <c r="G534" s="12"/>
      <c r="H534" s="12"/>
      <c r="I534" s="12"/>
      <c r="J534" s="7"/>
      <c r="K534" s="12"/>
      <c r="L534" s="7"/>
      <c r="M534" s="10"/>
      <c r="N534" s="7"/>
      <c r="O534" s="7"/>
      <c r="P534" s="10"/>
      <c r="Q534" s="10"/>
      <c r="R534" s="7"/>
      <c r="S534" s="7"/>
      <c r="T534" s="15"/>
      <c r="U534" s="15"/>
      <c r="V534" s="15"/>
      <c r="W534" s="12"/>
      <c r="X534" s="7"/>
      <c r="Y534" s="12"/>
      <c r="Z534" s="12"/>
      <c r="AA534" s="12"/>
    </row>
    <row r="535" ht="19.5" customHeight="1">
      <c r="A535" s="7"/>
      <c r="B535" s="12"/>
      <c r="C535" s="12"/>
      <c r="D535" s="12"/>
      <c r="E535" s="12"/>
      <c r="F535" s="12"/>
      <c r="G535" s="12"/>
      <c r="H535" s="12"/>
      <c r="I535" s="12"/>
      <c r="J535" s="7"/>
      <c r="K535" s="12"/>
      <c r="L535" s="7"/>
      <c r="M535" s="10"/>
      <c r="N535" s="7"/>
      <c r="O535" s="7"/>
      <c r="P535" s="10"/>
      <c r="Q535" s="10"/>
      <c r="R535" s="7"/>
      <c r="S535" s="7"/>
      <c r="T535" s="15"/>
      <c r="U535" s="15"/>
      <c r="V535" s="15"/>
      <c r="W535" s="12"/>
      <c r="X535" s="7"/>
      <c r="Y535" s="12"/>
      <c r="Z535" s="12"/>
      <c r="AA535" s="12"/>
    </row>
    <row r="536" ht="19.5" customHeight="1">
      <c r="A536" s="7"/>
      <c r="B536" s="12"/>
      <c r="C536" s="12"/>
      <c r="D536" s="12"/>
      <c r="E536" s="12"/>
      <c r="F536" s="12"/>
      <c r="G536" s="12"/>
      <c r="H536" s="12"/>
      <c r="I536" s="12"/>
      <c r="J536" s="7"/>
      <c r="K536" s="12"/>
      <c r="L536" s="7"/>
      <c r="M536" s="10"/>
      <c r="N536" s="7"/>
      <c r="O536" s="7"/>
      <c r="P536" s="10"/>
      <c r="Q536" s="10"/>
      <c r="R536" s="7"/>
      <c r="S536" s="7"/>
      <c r="T536" s="15"/>
      <c r="U536" s="15"/>
      <c r="V536" s="15"/>
      <c r="W536" s="12"/>
      <c r="X536" s="7"/>
      <c r="Y536" s="12"/>
      <c r="Z536" s="12"/>
      <c r="AA536" s="12"/>
    </row>
    <row r="537" ht="19.5" customHeight="1">
      <c r="A537" s="7"/>
      <c r="B537" s="12"/>
      <c r="C537" s="12"/>
      <c r="D537" s="12"/>
      <c r="E537" s="12"/>
      <c r="F537" s="12"/>
      <c r="G537" s="12"/>
      <c r="H537" s="12"/>
      <c r="I537" s="12"/>
      <c r="J537" s="7"/>
      <c r="K537" s="12"/>
      <c r="L537" s="7"/>
      <c r="M537" s="10"/>
      <c r="N537" s="7"/>
      <c r="O537" s="7"/>
      <c r="P537" s="10"/>
      <c r="Q537" s="10"/>
      <c r="R537" s="7"/>
      <c r="S537" s="7"/>
      <c r="T537" s="15"/>
      <c r="U537" s="15"/>
      <c r="V537" s="15"/>
      <c r="W537" s="12"/>
      <c r="X537" s="7"/>
      <c r="Y537" s="12"/>
      <c r="Z537" s="12"/>
      <c r="AA537" s="12"/>
    </row>
    <row r="538" ht="19.5" customHeight="1">
      <c r="A538" s="7"/>
      <c r="B538" s="12"/>
      <c r="C538" s="12"/>
      <c r="D538" s="12"/>
      <c r="E538" s="12"/>
      <c r="F538" s="12"/>
      <c r="G538" s="12"/>
      <c r="H538" s="12"/>
      <c r="I538" s="12"/>
      <c r="J538" s="7"/>
      <c r="K538" s="12"/>
      <c r="L538" s="7"/>
      <c r="M538" s="10"/>
      <c r="N538" s="7"/>
      <c r="O538" s="7"/>
      <c r="P538" s="10"/>
      <c r="Q538" s="10"/>
      <c r="R538" s="7"/>
      <c r="S538" s="7"/>
      <c r="T538" s="15"/>
      <c r="U538" s="15"/>
      <c r="V538" s="15"/>
      <c r="W538" s="12"/>
      <c r="X538" s="7"/>
      <c r="Y538" s="12"/>
      <c r="Z538" s="12"/>
      <c r="AA538" s="12"/>
    </row>
    <row r="539" ht="19.5" customHeight="1">
      <c r="A539" s="7"/>
      <c r="B539" s="12"/>
      <c r="C539" s="12"/>
      <c r="D539" s="12"/>
      <c r="E539" s="12"/>
      <c r="F539" s="12"/>
      <c r="G539" s="12"/>
      <c r="H539" s="12"/>
      <c r="I539" s="12"/>
      <c r="J539" s="7"/>
      <c r="K539" s="12"/>
      <c r="L539" s="7"/>
      <c r="M539" s="10"/>
      <c r="N539" s="7"/>
      <c r="O539" s="7"/>
      <c r="P539" s="10"/>
      <c r="Q539" s="10"/>
      <c r="R539" s="7"/>
      <c r="S539" s="7"/>
      <c r="T539" s="15"/>
      <c r="U539" s="15"/>
      <c r="V539" s="15"/>
      <c r="W539" s="12"/>
      <c r="X539" s="7"/>
      <c r="Y539" s="12"/>
      <c r="Z539" s="12"/>
      <c r="AA539" s="12"/>
    </row>
    <row r="540" ht="19.5" customHeight="1">
      <c r="A540" s="7"/>
      <c r="B540" s="12"/>
      <c r="C540" s="12"/>
      <c r="D540" s="12"/>
      <c r="E540" s="12"/>
      <c r="F540" s="12"/>
      <c r="G540" s="12"/>
      <c r="H540" s="12"/>
      <c r="I540" s="12"/>
      <c r="J540" s="7"/>
      <c r="K540" s="12"/>
      <c r="L540" s="7"/>
      <c r="M540" s="10"/>
      <c r="N540" s="7"/>
      <c r="O540" s="7"/>
      <c r="P540" s="10"/>
      <c r="Q540" s="10"/>
      <c r="R540" s="7"/>
      <c r="S540" s="7"/>
      <c r="T540" s="15"/>
      <c r="U540" s="15"/>
      <c r="V540" s="15"/>
      <c r="W540" s="12"/>
      <c r="X540" s="7"/>
      <c r="Y540" s="12"/>
      <c r="Z540" s="12"/>
      <c r="AA540" s="12"/>
    </row>
    <row r="541" ht="19.5" customHeight="1">
      <c r="A541" s="7"/>
      <c r="B541" s="12"/>
      <c r="C541" s="12"/>
      <c r="D541" s="12"/>
      <c r="E541" s="12"/>
      <c r="F541" s="12"/>
      <c r="G541" s="12"/>
      <c r="H541" s="12"/>
      <c r="I541" s="12"/>
      <c r="J541" s="7"/>
      <c r="K541" s="12"/>
      <c r="L541" s="7"/>
      <c r="M541" s="10"/>
      <c r="N541" s="7"/>
      <c r="O541" s="7"/>
      <c r="P541" s="10"/>
      <c r="Q541" s="10"/>
      <c r="R541" s="7"/>
      <c r="S541" s="7"/>
      <c r="T541" s="15"/>
      <c r="U541" s="15"/>
      <c r="V541" s="15"/>
      <c r="W541" s="12"/>
      <c r="X541" s="7"/>
      <c r="Y541" s="12"/>
      <c r="Z541" s="12"/>
      <c r="AA541" s="12"/>
    </row>
    <row r="542" ht="19.5" customHeight="1">
      <c r="A542" s="7"/>
      <c r="B542" s="12"/>
      <c r="C542" s="12"/>
      <c r="D542" s="12"/>
      <c r="E542" s="12"/>
      <c r="F542" s="12"/>
      <c r="G542" s="12"/>
      <c r="H542" s="12"/>
      <c r="I542" s="12"/>
      <c r="J542" s="7"/>
      <c r="K542" s="12"/>
      <c r="L542" s="7"/>
      <c r="M542" s="10"/>
      <c r="N542" s="7"/>
      <c r="O542" s="7"/>
      <c r="P542" s="10"/>
      <c r="Q542" s="10"/>
      <c r="R542" s="7"/>
      <c r="S542" s="7"/>
      <c r="T542" s="15"/>
      <c r="U542" s="15"/>
      <c r="V542" s="15"/>
      <c r="W542" s="12"/>
      <c r="X542" s="7"/>
      <c r="Y542" s="12"/>
      <c r="Z542" s="12"/>
      <c r="AA542" s="12"/>
    </row>
    <row r="543" ht="19.5" customHeight="1">
      <c r="A543" s="7"/>
      <c r="B543" s="12"/>
      <c r="C543" s="12"/>
      <c r="D543" s="12"/>
      <c r="E543" s="12"/>
      <c r="F543" s="12"/>
      <c r="G543" s="12"/>
      <c r="H543" s="12"/>
      <c r="I543" s="12"/>
      <c r="J543" s="7"/>
      <c r="K543" s="12"/>
      <c r="L543" s="7"/>
      <c r="M543" s="10"/>
      <c r="N543" s="7"/>
      <c r="O543" s="7"/>
      <c r="P543" s="10"/>
      <c r="Q543" s="10"/>
      <c r="R543" s="7"/>
      <c r="S543" s="7"/>
      <c r="T543" s="15"/>
      <c r="U543" s="15"/>
      <c r="V543" s="15"/>
      <c r="W543" s="12"/>
      <c r="X543" s="7"/>
      <c r="Y543" s="12"/>
      <c r="Z543" s="12"/>
      <c r="AA543" s="12"/>
    </row>
    <row r="544" ht="19.5" customHeight="1">
      <c r="A544" s="7"/>
      <c r="B544" s="12"/>
      <c r="C544" s="12"/>
      <c r="D544" s="12"/>
      <c r="E544" s="12"/>
      <c r="F544" s="12"/>
      <c r="G544" s="12"/>
      <c r="H544" s="12"/>
      <c r="I544" s="12"/>
      <c r="J544" s="7"/>
      <c r="K544" s="12"/>
      <c r="L544" s="7"/>
      <c r="M544" s="10"/>
      <c r="N544" s="7"/>
      <c r="O544" s="7"/>
      <c r="P544" s="10"/>
      <c r="Q544" s="10"/>
      <c r="R544" s="7"/>
      <c r="S544" s="7"/>
      <c r="T544" s="15"/>
      <c r="U544" s="15"/>
      <c r="V544" s="15"/>
      <c r="W544" s="12"/>
      <c r="X544" s="7"/>
      <c r="Y544" s="12"/>
      <c r="Z544" s="12"/>
      <c r="AA544" s="12"/>
    </row>
    <row r="545" ht="19.5" customHeight="1">
      <c r="A545" s="7"/>
      <c r="B545" s="12"/>
      <c r="C545" s="12"/>
      <c r="D545" s="12"/>
      <c r="E545" s="12"/>
      <c r="F545" s="12"/>
      <c r="G545" s="12"/>
      <c r="H545" s="12"/>
      <c r="I545" s="12"/>
      <c r="J545" s="7"/>
      <c r="K545" s="12"/>
      <c r="L545" s="7"/>
      <c r="M545" s="10"/>
      <c r="N545" s="7"/>
      <c r="O545" s="7"/>
      <c r="P545" s="10"/>
      <c r="Q545" s="10"/>
      <c r="R545" s="7"/>
      <c r="S545" s="7"/>
      <c r="T545" s="15"/>
      <c r="U545" s="15"/>
      <c r="V545" s="15"/>
      <c r="W545" s="12"/>
      <c r="X545" s="7"/>
      <c r="Y545" s="12"/>
      <c r="Z545" s="12"/>
      <c r="AA545" s="12"/>
    </row>
    <row r="546" ht="19.5" customHeight="1">
      <c r="A546" s="7"/>
      <c r="B546" s="12"/>
      <c r="C546" s="12"/>
      <c r="D546" s="12"/>
      <c r="E546" s="12"/>
      <c r="F546" s="12"/>
      <c r="G546" s="12"/>
      <c r="H546" s="12"/>
      <c r="I546" s="12"/>
      <c r="J546" s="7"/>
      <c r="K546" s="12"/>
      <c r="L546" s="7"/>
      <c r="M546" s="10"/>
      <c r="N546" s="7"/>
      <c r="O546" s="7"/>
      <c r="P546" s="10"/>
      <c r="Q546" s="10"/>
      <c r="R546" s="7"/>
      <c r="S546" s="7"/>
      <c r="T546" s="15"/>
      <c r="U546" s="15"/>
      <c r="V546" s="15"/>
      <c r="W546" s="12"/>
      <c r="X546" s="7"/>
      <c r="Y546" s="12"/>
      <c r="Z546" s="12"/>
      <c r="AA546" s="12"/>
    </row>
    <row r="547" ht="19.5" customHeight="1">
      <c r="A547" s="7"/>
      <c r="B547" s="12"/>
      <c r="C547" s="12"/>
      <c r="D547" s="12"/>
      <c r="E547" s="12"/>
      <c r="F547" s="12"/>
      <c r="G547" s="12"/>
      <c r="H547" s="12"/>
      <c r="I547" s="12"/>
      <c r="J547" s="7"/>
      <c r="K547" s="12"/>
      <c r="L547" s="7"/>
      <c r="M547" s="10"/>
      <c r="N547" s="7"/>
      <c r="O547" s="7"/>
      <c r="P547" s="10"/>
      <c r="Q547" s="10"/>
      <c r="R547" s="7"/>
      <c r="S547" s="7"/>
      <c r="T547" s="15"/>
      <c r="U547" s="15"/>
      <c r="V547" s="15"/>
      <c r="W547" s="12"/>
      <c r="X547" s="7"/>
      <c r="Y547" s="12"/>
      <c r="Z547" s="12"/>
      <c r="AA547" s="12"/>
    </row>
    <row r="548" ht="19.5" customHeight="1">
      <c r="A548" s="7"/>
      <c r="B548" s="12"/>
      <c r="C548" s="12"/>
      <c r="D548" s="12"/>
      <c r="E548" s="12"/>
      <c r="F548" s="12"/>
      <c r="G548" s="12"/>
      <c r="H548" s="12"/>
      <c r="I548" s="12"/>
      <c r="J548" s="7"/>
      <c r="K548" s="12"/>
      <c r="L548" s="7"/>
      <c r="M548" s="10"/>
      <c r="N548" s="7"/>
      <c r="O548" s="7"/>
      <c r="P548" s="10"/>
      <c r="Q548" s="10"/>
      <c r="R548" s="7"/>
      <c r="S548" s="7"/>
      <c r="T548" s="15"/>
      <c r="U548" s="15"/>
      <c r="V548" s="15"/>
      <c r="W548" s="12"/>
      <c r="X548" s="7"/>
      <c r="Y548" s="12"/>
      <c r="Z548" s="12"/>
      <c r="AA548" s="12"/>
    </row>
    <row r="549" ht="19.5" customHeight="1">
      <c r="A549" s="7"/>
      <c r="B549" s="12"/>
      <c r="C549" s="12"/>
      <c r="D549" s="12"/>
      <c r="E549" s="12"/>
      <c r="F549" s="12"/>
      <c r="G549" s="12"/>
      <c r="H549" s="12"/>
      <c r="I549" s="12"/>
      <c r="J549" s="7"/>
      <c r="K549" s="12"/>
      <c r="L549" s="7"/>
      <c r="M549" s="10"/>
      <c r="N549" s="7"/>
      <c r="O549" s="7"/>
      <c r="P549" s="10"/>
      <c r="Q549" s="10"/>
      <c r="R549" s="7"/>
      <c r="S549" s="7"/>
      <c r="T549" s="15"/>
      <c r="U549" s="15"/>
      <c r="V549" s="15"/>
      <c r="W549" s="12"/>
      <c r="X549" s="7"/>
      <c r="Y549" s="12"/>
      <c r="Z549" s="12"/>
      <c r="AA549" s="12"/>
    </row>
    <row r="550" ht="19.5" customHeight="1">
      <c r="A550" s="7"/>
      <c r="B550" s="12"/>
      <c r="C550" s="12"/>
      <c r="D550" s="12"/>
      <c r="E550" s="12"/>
      <c r="F550" s="12"/>
      <c r="G550" s="12"/>
      <c r="H550" s="12"/>
      <c r="I550" s="12"/>
      <c r="J550" s="7"/>
      <c r="K550" s="12"/>
      <c r="L550" s="7"/>
      <c r="M550" s="10"/>
      <c r="N550" s="7"/>
      <c r="O550" s="7"/>
      <c r="P550" s="10"/>
      <c r="Q550" s="10"/>
      <c r="R550" s="7"/>
      <c r="S550" s="7"/>
      <c r="T550" s="15"/>
      <c r="U550" s="15"/>
      <c r="V550" s="15"/>
      <c r="W550" s="12"/>
      <c r="X550" s="7"/>
      <c r="Y550" s="12"/>
      <c r="Z550" s="12"/>
      <c r="AA550" s="12"/>
    </row>
    <row r="551" ht="19.5" customHeight="1">
      <c r="A551" s="7"/>
      <c r="B551" s="12"/>
      <c r="C551" s="12"/>
      <c r="D551" s="12"/>
      <c r="E551" s="12"/>
      <c r="F551" s="12"/>
      <c r="G551" s="12"/>
      <c r="H551" s="12"/>
      <c r="I551" s="12"/>
      <c r="J551" s="7"/>
      <c r="K551" s="12"/>
      <c r="L551" s="7"/>
      <c r="M551" s="10"/>
      <c r="N551" s="7"/>
      <c r="O551" s="7"/>
      <c r="P551" s="10"/>
      <c r="Q551" s="10"/>
      <c r="R551" s="7"/>
      <c r="S551" s="7"/>
      <c r="T551" s="15"/>
      <c r="U551" s="15"/>
      <c r="V551" s="15"/>
      <c r="W551" s="12"/>
      <c r="X551" s="7"/>
      <c r="Y551" s="12"/>
      <c r="Z551" s="12"/>
      <c r="AA551" s="12"/>
    </row>
    <row r="552" ht="19.5" customHeight="1">
      <c r="A552" s="7"/>
      <c r="B552" s="12"/>
      <c r="C552" s="12"/>
      <c r="D552" s="12"/>
      <c r="E552" s="12"/>
      <c r="F552" s="12"/>
      <c r="G552" s="12"/>
      <c r="H552" s="12"/>
      <c r="I552" s="12"/>
      <c r="J552" s="7"/>
      <c r="K552" s="12"/>
      <c r="L552" s="7"/>
      <c r="M552" s="10"/>
      <c r="N552" s="7"/>
      <c r="O552" s="7"/>
      <c r="P552" s="10"/>
      <c r="Q552" s="10"/>
      <c r="R552" s="7"/>
      <c r="S552" s="7"/>
      <c r="T552" s="15"/>
      <c r="U552" s="15"/>
      <c r="V552" s="15"/>
      <c r="W552" s="12"/>
      <c r="X552" s="7"/>
      <c r="Y552" s="12"/>
      <c r="Z552" s="12"/>
      <c r="AA552" s="12"/>
    </row>
    <row r="553" ht="19.5" customHeight="1">
      <c r="A553" s="7"/>
      <c r="B553" s="12"/>
      <c r="C553" s="12"/>
      <c r="D553" s="12"/>
      <c r="E553" s="12"/>
      <c r="F553" s="12"/>
      <c r="G553" s="12"/>
      <c r="H553" s="12"/>
      <c r="I553" s="12"/>
      <c r="J553" s="7"/>
      <c r="K553" s="12"/>
      <c r="L553" s="7"/>
      <c r="M553" s="10"/>
      <c r="N553" s="7"/>
      <c r="O553" s="7"/>
      <c r="P553" s="10"/>
      <c r="Q553" s="10"/>
      <c r="R553" s="7"/>
      <c r="S553" s="7"/>
      <c r="T553" s="15"/>
      <c r="U553" s="15"/>
      <c r="V553" s="15"/>
      <c r="W553" s="12"/>
      <c r="X553" s="7"/>
      <c r="Y553" s="12"/>
      <c r="Z553" s="12"/>
      <c r="AA553" s="12"/>
    </row>
    <row r="554" ht="19.5" customHeight="1">
      <c r="A554" s="7"/>
      <c r="B554" s="12"/>
      <c r="C554" s="12"/>
      <c r="D554" s="12"/>
      <c r="E554" s="12"/>
      <c r="F554" s="12"/>
      <c r="G554" s="12"/>
      <c r="H554" s="12"/>
      <c r="I554" s="12"/>
      <c r="J554" s="7"/>
      <c r="K554" s="12"/>
      <c r="L554" s="7"/>
      <c r="M554" s="10"/>
      <c r="N554" s="7"/>
      <c r="O554" s="7"/>
      <c r="P554" s="10"/>
      <c r="Q554" s="10"/>
      <c r="R554" s="7"/>
      <c r="S554" s="7"/>
      <c r="T554" s="15"/>
      <c r="U554" s="15"/>
      <c r="V554" s="15"/>
      <c r="W554" s="12"/>
      <c r="X554" s="7"/>
      <c r="Y554" s="12"/>
      <c r="Z554" s="12"/>
      <c r="AA554" s="12"/>
    </row>
    <row r="555" ht="19.5" customHeight="1">
      <c r="A555" s="7"/>
      <c r="B555" s="12"/>
      <c r="C555" s="12"/>
      <c r="D555" s="12"/>
      <c r="E555" s="12"/>
      <c r="F555" s="12"/>
      <c r="G555" s="12"/>
      <c r="H555" s="12"/>
      <c r="I555" s="12"/>
      <c r="J555" s="7"/>
      <c r="K555" s="12"/>
      <c r="L555" s="7"/>
      <c r="M555" s="10"/>
      <c r="N555" s="7"/>
      <c r="O555" s="7"/>
      <c r="P555" s="10"/>
      <c r="Q555" s="10"/>
      <c r="R555" s="7"/>
      <c r="S555" s="7"/>
      <c r="T555" s="15"/>
      <c r="U555" s="15"/>
      <c r="V555" s="15"/>
      <c r="W555" s="12"/>
      <c r="X555" s="7"/>
      <c r="Y555" s="12"/>
      <c r="Z555" s="12"/>
      <c r="AA555" s="12"/>
    </row>
    <row r="556" ht="19.5" customHeight="1">
      <c r="A556" s="7"/>
      <c r="B556" s="12"/>
      <c r="C556" s="12"/>
      <c r="D556" s="12"/>
      <c r="E556" s="12"/>
      <c r="F556" s="12"/>
      <c r="G556" s="12"/>
      <c r="H556" s="12"/>
      <c r="I556" s="12"/>
      <c r="J556" s="7"/>
      <c r="K556" s="12"/>
      <c r="L556" s="7"/>
      <c r="M556" s="10"/>
      <c r="N556" s="7"/>
      <c r="O556" s="7"/>
      <c r="P556" s="10"/>
      <c r="Q556" s="10"/>
      <c r="R556" s="7"/>
      <c r="S556" s="7"/>
      <c r="T556" s="15"/>
      <c r="U556" s="15"/>
      <c r="V556" s="15"/>
      <c r="W556" s="12"/>
      <c r="X556" s="7"/>
      <c r="Y556" s="12"/>
      <c r="Z556" s="12"/>
      <c r="AA556" s="12"/>
    </row>
    <row r="557" ht="19.5" customHeight="1">
      <c r="A557" s="7"/>
      <c r="B557" s="12"/>
      <c r="C557" s="12"/>
      <c r="D557" s="12"/>
      <c r="E557" s="12"/>
      <c r="F557" s="12"/>
      <c r="G557" s="12"/>
      <c r="H557" s="12"/>
      <c r="I557" s="12"/>
      <c r="J557" s="7"/>
      <c r="K557" s="12"/>
      <c r="L557" s="7"/>
      <c r="M557" s="10"/>
      <c r="N557" s="7"/>
      <c r="O557" s="7"/>
      <c r="P557" s="10"/>
      <c r="Q557" s="10"/>
      <c r="R557" s="7"/>
      <c r="S557" s="7"/>
      <c r="T557" s="15"/>
      <c r="U557" s="15"/>
      <c r="V557" s="15"/>
      <c r="W557" s="12"/>
      <c r="X557" s="7"/>
      <c r="Y557" s="12"/>
      <c r="Z557" s="12"/>
      <c r="AA557" s="12"/>
    </row>
    <row r="558" ht="19.5" customHeight="1">
      <c r="A558" s="7"/>
      <c r="B558" s="12"/>
      <c r="C558" s="12"/>
      <c r="D558" s="12"/>
      <c r="E558" s="12"/>
      <c r="F558" s="12"/>
      <c r="G558" s="12"/>
      <c r="H558" s="12"/>
      <c r="I558" s="12"/>
      <c r="J558" s="7"/>
      <c r="K558" s="12"/>
      <c r="L558" s="7"/>
      <c r="M558" s="10"/>
      <c r="N558" s="7"/>
      <c r="O558" s="7"/>
      <c r="P558" s="10"/>
      <c r="Q558" s="10"/>
      <c r="R558" s="7"/>
      <c r="S558" s="7"/>
      <c r="T558" s="15"/>
      <c r="U558" s="15"/>
      <c r="V558" s="15"/>
      <c r="W558" s="12"/>
      <c r="X558" s="7"/>
      <c r="Y558" s="12"/>
      <c r="Z558" s="12"/>
      <c r="AA558" s="12"/>
    </row>
    <row r="559" ht="19.5" customHeight="1">
      <c r="A559" s="7"/>
      <c r="B559" s="12"/>
      <c r="C559" s="12"/>
      <c r="D559" s="12"/>
      <c r="E559" s="12"/>
      <c r="F559" s="12"/>
      <c r="G559" s="12"/>
      <c r="H559" s="12"/>
      <c r="I559" s="12"/>
      <c r="J559" s="7"/>
      <c r="K559" s="12"/>
      <c r="L559" s="7"/>
      <c r="M559" s="10"/>
      <c r="N559" s="7"/>
      <c r="O559" s="7"/>
      <c r="P559" s="10"/>
      <c r="Q559" s="10"/>
      <c r="R559" s="7"/>
      <c r="S559" s="7"/>
      <c r="T559" s="15"/>
      <c r="U559" s="15"/>
      <c r="V559" s="15"/>
      <c r="W559" s="12"/>
      <c r="X559" s="7"/>
      <c r="Y559" s="12"/>
      <c r="Z559" s="12"/>
      <c r="AA559" s="12"/>
    </row>
    <row r="560" ht="19.5" customHeight="1">
      <c r="A560" s="7"/>
      <c r="B560" s="12"/>
      <c r="C560" s="12"/>
      <c r="D560" s="12"/>
      <c r="E560" s="12"/>
      <c r="F560" s="12"/>
      <c r="G560" s="12"/>
      <c r="H560" s="12"/>
      <c r="I560" s="12"/>
      <c r="J560" s="7"/>
      <c r="K560" s="12"/>
      <c r="L560" s="7"/>
      <c r="M560" s="10"/>
      <c r="N560" s="7"/>
      <c r="O560" s="7"/>
      <c r="P560" s="10"/>
      <c r="Q560" s="10"/>
      <c r="R560" s="7"/>
      <c r="S560" s="7"/>
      <c r="T560" s="15"/>
      <c r="U560" s="15"/>
      <c r="V560" s="15"/>
      <c r="W560" s="12"/>
      <c r="X560" s="7"/>
      <c r="Y560" s="12"/>
      <c r="Z560" s="12"/>
      <c r="AA560" s="12"/>
    </row>
    <row r="561" ht="19.5" customHeight="1">
      <c r="A561" s="7"/>
      <c r="B561" s="12"/>
      <c r="C561" s="12"/>
      <c r="D561" s="12"/>
      <c r="E561" s="12"/>
      <c r="F561" s="12"/>
      <c r="G561" s="12"/>
      <c r="H561" s="12"/>
      <c r="I561" s="12"/>
      <c r="J561" s="7"/>
      <c r="K561" s="12"/>
      <c r="L561" s="7"/>
      <c r="M561" s="10"/>
      <c r="N561" s="7"/>
      <c r="O561" s="7"/>
      <c r="P561" s="10"/>
      <c r="Q561" s="10"/>
      <c r="R561" s="7"/>
      <c r="S561" s="7"/>
      <c r="T561" s="15"/>
      <c r="U561" s="15"/>
      <c r="V561" s="15"/>
      <c r="W561" s="12"/>
      <c r="X561" s="7"/>
      <c r="Y561" s="12"/>
      <c r="Z561" s="12"/>
      <c r="AA561" s="12"/>
    </row>
    <row r="562" ht="19.5" customHeight="1">
      <c r="A562" s="7"/>
      <c r="B562" s="12"/>
      <c r="C562" s="12"/>
      <c r="D562" s="12"/>
      <c r="E562" s="12"/>
      <c r="F562" s="12"/>
      <c r="G562" s="12"/>
      <c r="H562" s="12"/>
      <c r="I562" s="12"/>
      <c r="J562" s="7"/>
      <c r="K562" s="12"/>
      <c r="L562" s="7"/>
      <c r="M562" s="10"/>
      <c r="N562" s="7"/>
      <c r="O562" s="7"/>
      <c r="P562" s="10"/>
      <c r="Q562" s="10"/>
      <c r="R562" s="7"/>
      <c r="S562" s="7"/>
      <c r="T562" s="15"/>
      <c r="U562" s="15"/>
      <c r="V562" s="15"/>
      <c r="W562" s="12"/>
      <c r="X562" s="7"/>
      <c r="Y562" s="12"/>
      <c r="Z562" s="12"/>
      <c r="AA562" s="12"/>
    </row>
    <row r="563" ht="19.5" customHeight="1">
      <c r="A563" s="7"/>
      <c r="B563" s="12"/>
      <c r="C563" s="12"/>
      <c r="D563" s="12"/>
      <c r="E563" s="12"/>
      <c r="F563" s="12"/>
      <c r="G563" s="12"/>
      <c r="H563" s="12"/>
      <c r="I563" s="12"/>
      <c r="J563" s="7"/>
      <c r="K563" s="12"/>
      <c r="L563" s="7"/>
      <c r="M563" s="10"/>
      <c r="N563" s="7"/>
      <c r="O563" s="7"/>
      <c r="P563" s="10"/>
      <c r="Q563" s="10"/>
      <c r="R563" s="7"/>
      <c r="S563" s="7"/>
      <c r="T563" s="15"/>
      <c r="U563" s="15"/>
      <c r="V563" s="15"/>
      <c r="W563" s="12"/>
      <c r="X563" s="7"/>
      <c r="Y563" s="12"/>
      <c r="Z563" s="12"/>
      <c r="AA563" s="12"/>
    </row>
    <row r="564" ht="19.5" customHeight="1">
      <c r="A564" s="7"/>
      <c r="B564" s="12"/>
      <c r="C564" s="12"/>
      <c r="D564" s="12"/>
      <c r="E564" s="12"/>
      <c r="F564" s="12"/>
      <c r="G564" s="12"/>
      <c r="H564" s="12"/>
      <c r="I564" s="12"/>
      <c r="J564" s="7"/>
      <c r="K564" s="12"/>
      <c r="L564" s="7"/>
      <c r="M564" s="10"/>
      <c r="N564" s="7"/>
      <c r="O564" s="7"/>
      <c r="P564" s="10"/>
      <c r="Q564" s="10"/>
      <c r="R564" s="7"/>
      <c r="S564" s="7"/>
      <c r="T564" s="15"/>
      <c r="U564" s="15"/>
      <c r="V564" s="15"/>
      <c r="W564" s="12"/>
      <c r="X564" s="7"/>
      <c r="Y564" s="12"/>
      <c r="Z564" s="12"/>
      <c r="AA564" s="12"/>
    </row>
    <row r="565" ht="19.5" customHeight="1">
      <c r="A565" s="7"/>
      <c r="B565" s="12"/>
      <c r="C565" s="12"/>
      <c r="D565" s="12"/>
      <c r="E565" s="12"/>
      <c r="F565" s="12"/>
      <c r="G565" s="12"/>
      <c r="H565" s="12"/>
      <c r="I565" s="12"/>
      <c r="J565" s="7"/>
      <c r="K565" s="12"/>
      <c r="L565" s="7"/>
      <c r="M565" s="10"/>
      <c r="N565" s="7"/>
      <c r="O565" s="7"/>
      <c r="P565" s="10"/>
      <c r="Q565" s="10"/>
      <c r="R565" s="7"/>
      <c r="S565" s="7"/>
      <c r="T565" s="15"/>
      <c r="U565" s="15"/>
      <c r="V565" s="15"/>
      <c r="W565" s="12"/>
      <c r="X565" s="7"/>
      <c r="Y565" s="12"/>
      <c r="Z565" s="12"/>
      <c r="AA565" s="12"/>
    </row>
    <row r="566" ht="19.5" customHeight="1">
      <c r="A566" s="7"/>
      <c r="B566" s="12"/>
      <c r="C566" s="12"/>
      <c r="D566" s="12"/>
      <c r="E566" s="12"/>
      <c r="F566" s="12"/>
      <c r="G566" s="12"/>
      <c r="H566" s="12"/>
      <c r="I566" s="12"/>
      <c r="J566" s="7"/>
      <c r="K566" s="12"/>
      <c r="L566" s="7"/>
      <c r="M566" s="10"/>
      <c r="N566" s="7"/>
      <c r="O566" s="7"/>
      <c r="P566" s="10"/>
      <c r="Q566" s="10"/>
      <c r="R566" s="7"/>
      <c r="S566" s="7"/>
      <c r="T566" s="15"/>
      <c r="U566" s="15"/>
      <c r="V566" s="15"/>
      <c r="W566" s="12"/>
      <c r="X566" s="7"/>
      <c r="Y566" s="12"/>
      <c r="Z566" s="12"/>
      <c r="AA566" s="12"/>
    </row>
    <row r="567" ht="19.5" customHeight="1">
      <c r="A567" s="7"/>
      <c r="B567" s="12"/>
      <c r="C567" s="12"/>
      <c r="D567" s="12"/>
      <c r="E567" s="12"/>
      <c r="F567" s="12"/>
      <c r="G567" s="12"/>
      <c r="H567" s="12"/>
      <c r="I567" s="12"/>
      <c r="J567" s="7"/>
      <c r="K567" s="12"/>
      <c r="L567" s="7"/>
      <c r="M567" s="10"/>
      <c r="N567" s="7"/>
      <c r="O567" s="7"/>
      <c r="P567" s="10"/>
      <c r="Q567" s="10"/>
      <c r="R567" s="7"/>
      <c r="S567" s="7"/>
      <c r="T567" s="15"/>
      <c r="U567" s="15"/>
      <c r="V567" s="15"/>
      <c r="W567" s="12"/>
      <c r="X567" s="7"/>
      <c r="Y567" s="12"/>
      <c r="Z567" s="12"/>
      <c r="AA567" s="12"/>
    </row>
    <row r="568" ht="19.5" customHeight="1">
      <c r="A568" s="7"/>
      <c r="B568" s="12"/>
      <c r="C568" s="12"/>
      <c r="D568" s="12"/>
      <c r="E568" s="12"/>
      <c r="F568" s="12"/>
      <c r="G568" s="12"/>
      <c r="H568" s="12"/>
      <c r="I568" s="12"/>
      <c r="J568" s="7"/>
      <c r="K568" s="12"/>
      <c r="L568" s="7"/>
      <c r="M568" s="10"/>
      <c r="N568" s="7"/>
      <c r="O568" s="7"/>
      <c r="P568" s="10"/>
      <c r="Q568" s="10"/>
      <c r="R568" s="7"/>
      <c r="S568" s="7"/>
      <c r="T568" s="15"/>
      <c r="U568" s="15"/>
      <c r="V568" s="15"/>
      <c r="W568" s="12"/>
      <c r="X568" s="7"/>
      <c r="Y568" s="12"/>
      <c r="Z568" s="12"/>
      <c r="AA568" s="12"/>
    </row>
    <row r="569" ht="19.5" customHeight="1">
      <c r="A569" s="7"/>
      <c r="B569" s="12"/>
      <c r="C569" s="12"/>
      <c r="D569" s="12"/>
      <c r="E569" s="12"/>
      <c r="F569" s="12"/>
      <c r="G569" s="12"/>
      <c r="H569" s="12"/>
      <c r="I569" s="12"/>
      <c r="J569" s="7"/>
      <c r="K569" s="12"/>
      <c r="L569" s="7"/>
      <c r="M569" s="10"/>
      <c r="N569" s="7"/>
      <c r="O569" s="7"/>
      <c r="P569" s="10"/>
      <c r="Q569" s="10"/>
      <c r="R569" s="7"/>
      <c r="S569" s="7"/>
      <c r="T569" s="15"/>
      <c r="U569" s="15"/>
      <c r="V569" s="15"/>
      <c r="W569" s="12"/>
      <c r="X569" s="7"/>
      <c r="Y569" s="12"/>
      <c r="Z569" s="12"/>
      <c r="AA569" s="12"/>
    </row>
    <row r="570" ht="19.5" customHeight="1">
      <c r="A570" s="7"/>
      <c r="B570" s="12"/>
      <c r="C570" s="12"/>
      <c r="D570" s="12"/>
      <c r="E570" s="12"/>
      <c r="F570" s="12"/>
      <c r="G570" s="12"/>
      <c r="H570" s="12"/>
      <c r="I570" s="12"/>
      <c r="J570" s="7"/>
      <c r="K570" s="12"/>
      <c r="L570" s="7"/>
      <c r="M570" s="10"/>
      <c r="N570" s="7"/>
      <c r="O570" s="7"/>
      <c r="P570" s="10"/>
      <c r="Q570" s="10"/>
      <c r="R570" s="7"/>
      <c r="S570" s="7"/>
      <c r="T570" s="15"/>
      <c r="U570" s="15"/>
      <c r="V570" s="15"/>
      <c r="W570" s="12"/>
      <c r="X570" s="7"/>
      <c r="Y570" s="12"/>
      <c r="Z570" s="12"/>
      <c r="AA570" s="12"/>
    </row>
    <row r="571" ht="19.5" customHeight="1">
      <c r="A571" s="7"/>
      <c r="B571" s="12"/>
      <c r="C571" s="12"/>
      <c r="D571" s="12"/>
      <c r="E571" s="12"/>
      <c r="F571" s="12"/>
      <c r="G571" s="12"/>
      <c r="H571" s="12"/>
      <c r="I571" s="12"/>
      <c r="J571" s="7"/>
      <c r="K571" s="12"/>
      <c r="L571" s="7"/>
      <c r="M571" s="10"/>
      <c r="N571" s="7"/>
      <c r="O571" s="7"/>
      <c r="P571" s="10"/>
      <c r="Q571" s="10"/>
      <c r="R571" s="7"/>
      <c r="S571" s="7"/>
      <c r="T571" s="15"/>
      <c r="U571" s="15"/>
      <c r="V571" s="15"/>
      <c r="W571" s="12"/>
      <c r="X571" s="7"/>
      <c r="Y571" s="12"/>
      <c r="Z571" s="12"/>
      <c r="AA571" s="12"/>
    </row>
    <row r="572" ht="19.5" customHeight="1">
      <c r="A572" s="7"/>
      <c r="B572" s="12"/>
      <c r="C572" s="12"/>
      <c r="D572" s="12"/>
      <c r="E572" s="12"/>
      <c r="F572" s="12"/>
      <c r="G572" s="12"/>
      <c r="H572" s="12"/>
      <c r="I572" s="12"/>
      <c r="J572" s="7"/>
      <c r="K572" s="12"/>
      <c r="L572" s="7"/>
      <c r="M572" s="10"/>
      <c r="N572" s="7"/>
      <c r="O572" s="7"/>
      <c r="P572" s="10"/>
      <c r="Q572" s="10"/>
      <c r="R572" s="7"/>
      <c r="S572" s="7"/>
      <c r="T572" s="15"/>
      <c r="U572" s="15"/>
      <c r="V572" s="15"/>
      <c r="W572" s="12"/>
      <c r="X572" s="7"/>
      <c r="Y572" s="12"/>
      <c r="Z572" s="12"/>
      <c r="AA572" s="12"/>
    </row>
    <row r="573" ht="19.5" customHeight="1">
      <c r="A573" s="7"/>
      <c r="B573" s="12"/>
      <c r="C573" s="12"/>
      <c r="D573" s="12"/>
      <c r="E573" s="12"/>
      <c r="F573" s="12"/>
      <c r="G573" s="12"/>
      <c r="H573" s="12"/>
      <c r="I573" s="12"/>
      <c r="J573" s="7"/>
      <c r="K573" s="12"/>
      <c r="L573" s="7"/>
      <c r="M573" s="10"/>
      <c r="N573" s="7"/>
      <c r="O573" s="7"/>
      <c r="P573" s="10"/>
      <c r="Q573" s="10"/>
      <c r="R573" s="7"/>
      <c r="S573" s="7"/>
      <c r="T573" s="15"/>
      <c r="U573" s="15"/>
      <c r="V573" s="15"/>
      <c r="W573" s="12"/>
      <c r="X573" s="7"/>
      <c r="Y573" s="12"/>
      <c r="Z573" s="12"/>
      <c r="AA573" s="12"/>
    </row>
    <row r="574" ht="19.5" customHeight="1">
      <c r="A574" s="7"/>
      <c r="B574" s="12"/>
      <c r="C574" s="12"/>
      <c r="D574" s="12"/>
      <c r="E574" s="12"/>
      <c r="F574" s="12"/>
      <c r="G574" s="12"/>
      <c r="H574" s="12"/>
      <c r="I574" s="12"/>
      <c r="J574" s="7"/>
      <c r="K574" s="12"/>
      <c r="L574" s="7"/>
      <c r="M574" s="10"/>
      <c r="N574" s="7"/>
      <c r="O574" s="7"/>
      <c r="P574" s="10"/>
      <c r="Q574" s="10"/>
      <c r="R574" s="7"/>
      <c r="S574" s="7"/>
      <c r="T574" s="15"/>
      <c r="U574" s="15"/>
      <c r="V574" s="15"/>
      <c r="W574" s="12"/>
      <c r="X574" s="7"/>
      <c r="Y574" s="12"/>
      <c r="Z574" s="12"/>
      <c r="AA574" s="12"/>
    </row>
    <row r="575" ht="19.5" customHeight="1">
      <c r="A575" s="7"/>
      <c r="B575" s="12"/>
      <c r="C575" s="12"/>
      <c r="D575" s="12"/>
      <c r="E575" s="12"/>
      <c r="F575" s="12"/>
      <c r="G575" s="12"/>
      <c r="H575" s="12"/>
      <c r="I575" s="12"/>
      <c r="J575" s="7"/>
      <c r="K575" s="12"/>
      <c r="L575" s="7"/>
      <c r="M575" s="10"/>
      <c r="N575" s="7"/>
      <c r="O575" s="7"/>
      <c r="P575" s="10"/>
      <c r="Q575" s="10"/>
      <c r="R575" s="7"/>
      <c r="S575" s="7"/>
      <c r="T575" s="15"/>
      <c r="U575" s="15"/>
      <c r="V575" s="15"/>
      <c r="W575" s="12"/>
      <c r="X575" s="7"/>
      <c r="Y575" s="12"/>
      <c r="Z575" s="12"/>
      <c r="AA575" s="12"/>
    </row>
    <row r="576" ht="19.5" customHeight="1">
      <c r="A576" s="7"/>
      <c r="B576" s="12"/>
      <c r="C576" s="12"/>
      <c r="D576" s="12"/>
      <c r="E576" s="12"/>
      <c r="F576" s="12"/>
      <c r="G576" s="12"/>
      <c r="H576" s="12"/>
      <c r="I576" s="12"/>
      <c r="J576" s="7"/>
      <c r="K576" s="12"/>
      <c r="L576" s="7"/>
      <c r="M576" s="10"/>
      <c r="N576" s="7"/>
      <c r="O576" s="7"/>
      <c r="P576" s="10"/>
      <c r="Q576" s="10"/>
      <c r="R576" s="7"/>
      <c r="S576" s="7"/>
      <c r="T576" s="15"/>
      <c r="U576" s="15"/>
      <c r="V576" s="15"/>
      <c r="W576" s="12"/>
      <c r="X576" s="7"/>
      <c r="Y576" s="12"/>
      <c r="Z576" s="12"/>
      <c r="AA576" s="12"/>
    </row>
    <row r="577" ht="19.5" customHeight="1">
      <c r="A577" s="7"/>
      <c r="B577" s="12"/>
      <c r="C577" s="12"/>
      <c r="D577" s="12"/>
      <c r="E577" s="12"/>
      <c r="F577" s="12"/>
      <c r="G577" s="12"/>
      <c r="H577" s="12"/>
      <c r="I577" s="12"/>
      <c r="J577" s="7"/>
      <c r="K577" s="12"/>
      <c r="L577" s="7"/>
      <c r="M577" s="10"/>
      <c r="N577" s="7"/>
      <c r="O577" s="7"/>
      <c r="P577" s="10"/>
      <c r="Q577" s="10"/>
      <c r="R577" s="7"/>
      <c r="S577" s="7"/>
      <c r="T577" s="15"/>
      <c r="U577" s="15"/>
      <c r="V577" s="15"/>
      <c r="W577" s="12"/>
      <c r="X577" s="7"/>
      <c r="Y577" s="12"/>
      <c r="Z577" s="12"/>
      <c r="AA577" s="12"/>
    </row>
    <row r="578" ht="19.5" customHeight="1">
      <c r="A578" s="7"/>
      <c r="B578" s="12"/>
      <c r="C578" s="12"/>
      <c r="D578" s="12"/>
      <c r="E578" s="12"/>
      <c r="F578" s="12"/>
      <c r="G578" s="12"/>
      <c r="H578" s="12"/>
      <c r="I578" s="12"/>
      <c r="J578" s="7"/>
      <c r="K578" s="12"/>
      <c r="L578" s="7"/>
      <c r="M578" s="10"/>
      <c r="N578" s="7"/>
      <c r="O578" s="7"/>
      <c r="P578" s="10"/>
      <c r="Q578" s="10"/>
      <c r="R578" s="7"/>
      <c r="S578" s="7"/>
      <c r="T578" s="15"/>
      <c r="U578" s="15"/>
      <c r="V578" s="15"/>
      <c r="W578" s="12"/>
      <c r="X578" s="7"/>
      <c r="Y578" s="12"/>
      <c r="Z578" s="12"/>
      <c r="AA578" s="12"/>
    </row>
    <row r="579" ht="19.5" customHeight="1">
      <c r="A579" s="7"/>
      <c r="B579" s="12"/>
      <c r="C579" s="12"/>
      <c r="D579" s="12"/>
      <c r="E579" s="12"/>
      <c r="F579" s="12"/>
      <c r="G579" s="12"/>
      <c r="H579" s="12"/>
      <c r="I579" s="12"/>
      <c r="J579" s="7"/>
      <c r="K579" s="12"/>
      <c r="L579" s="7"/>
      <c r="M579" s="10"/>
      <c r="N579" s="7"/>
      <c r="O579" s="7"/>
      <c r="P579" s="10"/>
      <c r="Q579" s="10"/>
      <c r="R579" s="7"/>
      <c r="S579" s="7"/>
      <c r="T579" s="15"/>
      <c r="U579" s="15"/>
      <c r="V579" s="15"/>
      <c r="W579" s="12"/>
      <c r="X579" s="7"/>
      <c r="Y579" s="12"/>
      <c r="Z579" s="12"/>
      <c r="AA579" s="12"/>
    </row>
    <row r="580" ht="19.5" customHeight="1">
      <c r="A580" s="7"/>
      <c r="B580" s="12"/>
      <c r="C580" s="12"/>
      <c r="D580" s="12"/>
      <c r="E580" s="12"/>
      <c r="F580" s="12"/>
      <c r="G580" s="12"/>
      <c r="H580" s="12"/>
      <c r="I580" s="12"/>
      <c r="J580" s="7"/>
      <c r="K580" s="12"/>
      <c r="L580" s="7"/>
      <c r="M580" s="10"/>
      <c r="N580" s="7"/>
      <c r="O580" s="7"/>
      <c r="P580" s="10"/>
      <c r="Q580" s="10"/>
      <c r="R580" s="7"/>
      <c r="S580" s="7"/>
      <c r="T580" s="15"/>
      <c r="U580" s="15"/>
      <c r="V580" s="15"/>
      <c r="W580" s="12"/>
      <c r="X580" s="7"/>
      <c r="Y580" s="12"/>
      <c r="Z580" s="12"/>
      <c r="AA580" s="12"/>
    </row>
    <row r="581" ht="19.5" customHeight="1">
      <c r="A581" s="7"/>
      <c r="B581" s="12"/>
      <c r="C581" s="12"/>
      <c r="D581" s="12"/>
      <c r="E581" s="12"/>
      <c r="F581" s="12"/>
      <c r="G581" s="12"/>
      <c r="H581" s="12"/>
      <c r="I581" s="12"/>
      <c r="J581" s="7"/>
      <c r="K581" s="12"/>
      <c r="L581" s="7"/>
      <c r="M581" s="10"/>
      <c r="N581" s="7"/>
      <c r="O581" s="7"/>
      <c r="P581" s="10"/>
      <c r="Q581" s="10"/>
      <c r="R581" s="7"/>
      <c r="S581" s="7"/>
      <c r="T581" s="15"/>
      <c r="U581" s="15"/>
      <c r="V581" s="15"/>
      <c r="W581" s="12"/>
      <c r="X581" s="7"/>
      <c r="Y581" s="12"/>
      <c r="Z581" s="12"/>
      <c r="AA581" s="12"/>
    </row>
    <row r="582" ht="19.5" customHeight="1">
      <c r="A582" s="7"/>
      <c r="B582" s="12"/>
      <c r="C582" s="12"/>
      <c r="D582" s="12"/>
      <c r="E582" s="12"/>
      <c r="F582" s="12"/>
      <c r="G582" s="12"/>
      <c r="H582" s="12"/>
      <c r="I582" s="12"/>
      <c r="J582" s="7"/>
      <c r="K582" s="12"/>
      <c r="L582" s="7"/>
      <c r="M582" s="10"/>
      <c r="N582" s="7"/>
      <c r="O582" s="7"/>
      <c r="P582" s="10"/>
      <c r="Q582" s="10"/>
      <c r="R582" s="7"/>
      <c r="S582" s="7"/>
      <c r="T582" s="15"/>
      <c r="U582" s="15"/>
      <c r="V582" s="15"/>
      <c r="W582" s="12"/>
      <c r="X582" s="7"/>
      <c r="Y582" s="12"/>
      <c r="Z582" s="12"/>
      <c r="AA582" s="12"/>
    </row>
    <row r="583" ht="19.5" customHeight="1">
      <c r="A583" s="7"/>
      <c r="B583" s="12"/>
      <c r="C583" s="12"/>
      <c r="D583" s="12"/>
      <c r="E583" s="12"/>
      <c r="F583" s="12"/>
      <c r="G583" s="12"/>
      <c r="H583" s="12"/>
      <c r="I583" s="12"/>
      <c r="J583" s="7"/>
      <c r="K583" s="12"/>
      <c r="L583" s="7"/>
      <c r="M583" s="10"/>
      <c r="N583" s="7"/>
      <c r="O583" s="7"/>
      <c r="P583" s="10"/>
      <c r="Q583" s="10"/>
      <c r="R583" s="7"/>
      <c r="S583" s="7"/>
      <c r="T583" s="15"/>
      <c r="U583" s="15"/>
      <c r="V583" s="15"/>
      <c r="W583" s="12"/>
      <c r="X583" s="7"/>
      <c r="Y583" s="12"/>
      <c r="Z583" s="12"/>
      <c r="AA583" s="12"/>
    </row>
    <row r="584" ht="19.5" customHeight="1">
      <c r="A584" s="7"/>
      <c r="B584" s="12"/>
      <c r="C584" s="12"/>
      <c r="D584" s="12"/>
      <c r="E584" s="12"/>
      <c r="F584" s="12"/>
      <c r="G584" s="12"/>
      <c r="H584" s="12"/>
      <c r="I584" s="12"/>
      <c r="J584" s="7"/>
      <c r="K584" s="12"/>
      <c r="L584" s="7"/>
      <c r="M584" s="10"/>
      <c r="N584" s="7"/>
      <c r="O584" s="7"/>
      <c r="P584" s="10"/>
      <c r="Q584" s="10"/>
      <c r="R584" s="7"/>
      <c r="S584" s="7"/>
      <c r="T584" s="15"/>
      <c r="U584" s="15"/>
      <c r="V584" s="15"/>
      <c r="W584" s="12"/>
      <c r="X584" s="7"/>
      <c r="Y584" s="12"/>
      <c r="Z584" s="12"/>
      <c r="AA584" s="12"/>
    </row>
    <row r="585" ht="19.5" customHeight="1">
      <c r="A585" s="7"/>
      <c r="B585" s="12"/>
      <c r="C585" s="12"/>
      <c r="D585" s="12"/>
      <c r="E585" s="12"/>
      <c r="F585" s="12"/>
      <c r="G585" s="12"/>
      <c r="H585" s="12"/>
      <c r="I585" s="12"/>
      <c r="J585" s="7"/>
      <c r="K585" s="12"/>
      <c r="L585" s="7"/>
      <c r="M585" s="10"/>
      <c r="N585" s="7"/>
      <c r="O585" s="7"/>
      <c r="P585" s="10"/>
      <c r="Q585" s="10"/>
      <c r="R585" s="7"/>
      <c r="S585" s="7"/>
      <c r="T585" s="15"/>
      <c r="U585" s="15"/>
      <c r="V585" s="15"/>
      <c r="W585" s="12"/>
      <c r="X585" s="7"/>
      <c r="Y585" s="12"/>
      <c r="Z585" s="12"/>
      <c r="AA585" s="12"/>
    </row>
    <row r="586" ht="19.5" customHeight="1">
      <c r="A586" s="7"/>
      <c r="B586" s="12"/>
      <c r="C586" s="12"/>
      <c r="D586" s="12"/>
      <c r="E586" s="12"/>
      <c r="F586" s="12"/>
      <c r="G586" s="12"/>
      <c r="H586" s="12"/>
      <c r="I586" s="12"/>
      <c r="J586" s="7"/>
      <c r="K586" s="12"/>
      <c r="L586" s="7"/>
      <c r="M586" s="10"/>
      <c r="N586" s="7"/>
      <c r="O586" s="7"/>
      <c r="P586" s="10"/>
      <c r="Q586" s="10"/>
      <c r="R586" s="7"/>
      <c r="S586" s="7"/>
      <c r="T586" s="15"/>
      <c r="U586" s="15"/>
      <c r="V586" s="15"/>
      <c r="W586" s="12"/>
      <c r="X586" s="7"/>
      <c r="Y586" s="12"/>
      <c r="Z586" s="12"/>
      <c r="AA586" s="12"/>
    </row>
    <row r="587" ht="19.5" customHeight="1">
      <c r="A587" s="7"/>
      <c r="B587" s="12"/>
      <c r="C587" s="12"/>
      <c r="D587" s="12"/>
      <c r="E587" s="12"/>
      <c r="F587" s="12"/>
      <c r="G587" s="12"/>
      <c r="H587" s="12"/>
      <c r="I587" s="12"/>
      <c r="J587" s="7"/>
      <c r="K587" s="12"/>
      <c r="L587" s="7"/>
      <c r="M587" s="10"/>
      <c r="N587" s="7"/>
      <c r="O587" s="7"/>
      <c r="P587" s="10"/>
      <c r="Q587" s="10"/>
      <c r="R587" s="7"/>
      <c r="S587" s="7"/>
      <c r="T587" s="15"/>
      <c r="U587" s="15"/>
      <c r="V587" s="15"/>
      <c r="W587" s="12"/>
      <c r="X587" s="7"/>
      <c r="Y587" s="12"/>
      <c r="Z587" s="12"/>
      <c r="AA587" s="12"/>
    </row>
    <row r="588" ht="19.5" customHeight="1">
      <c r="A588" s="7"/>
      <c r="B588" s="12"/>
      <c r="C588" s="12"/>
      <c r="D588" s="12"/>
      <c r="E588" s="12"/>
      <c r="F588" s="12"/>
      <c r="G588" s="12"/>
      <c r="H588" s="12"/>
      <c r="I588" s="12"/>
      <c r="J588" s="7"/>
      <c r="K588" s="12"/>
      <c r="L588" s="7"/>
      <c r="M588" s="10"/>
      <c r="N588" s="7"/>
      <c r="O588" s="7"/>
      <c r="P588" s="10"/>
      <c r="Q588" s="10"/>
      <c r="R588" s="7"/>
      <c r="S588" s="7"/>
      <c r="T588" s="15"/>
      <c r="U588" s="15"/>
      <c r="V588" s="15"/>
      <c r="W588" s="12"/>
      <c r="X588" s="7"/>
      <c r="Y588" s="12"/>
      <c r="Z588" s="12"/>
      <c r="AA588" s="12"/>
    </row>
    <row r="589" ht="19.5" customHeight="1">
      <c r="A589" s="7"/>
      <c r="B589" s="12"/>
      <c r="C589" s="12"/>
      <c r="D589" s="12"/>
      <c r="E589" s="12"/>
      <c r="F589" s="12"/>
      <c r="G589" s="12"/>
      <c r="H589" s="12"/>
      <c r="I589" s="12"/>
      <c r="J589" s="7"/>
      <c r="K589" s="12"/>
      <c r="L589" s="7"/>
      <c r="M589" s="10"/>
      <c r="N589" s="7"/>
      <c r="O589" s="7"/>
      <c r="P589" s="10"/>
      <c r="Q589" s="10"/>
      <c r="R589" s="7"/>
      <c r="S589" s="7"/>
      <c r="T589" s="15"/>
      <c r="U589" s="15"/>
      <c r="V589" s="15"/>
      <c r="W589" s="12"/>
      <c r="X589" s="7"/>
      <c r="Y589" s="12"/>
      <c r="Z589" s="12"/>
      <c r="AA589" s="12"/>
    </row>
    <row r="590" ht="19.5" customHeight="1">
      <c r="A590" s="7"/>
      <c r="B590" s="12"/>
      <c r="C590" s="12"/>
      <c r="D590" s="12"/>
      <c r="E590" s="12"/>
      <c r="F590" s="12"/>
      <c r="G590" s="12"/>
      <c r="H590" s="12"/>
      <c r="I590" s="12"/>
      <c r="J590" s="7"/>
      <c r="K590" s="12"/>
      <c r="L590" s="7"/>
      <c r="M590" s="10"/>
      <c r="N590" s="7"/>
      <c r="O590" s="7"/>
      <c r="P590" s="10"/>
      <c r="Q590" s="10"/>
      <c r="R590" s="7"/>
      <c r="S590" s="7"/>
      <c r="T590" s="15"/>
      <c r="U590" s="15"/>
      <c r="V590" s="15"/>
      <c r="W590" s="12"/>
      <c r="X590" s="7"/>
      <c r="Y590" s="12"/>
      <c r="Z590" s="12"/>
      <c r="AA590" s="12"/>
    </row>
    <row r="591" ht="19.5" customHeight="1">
      <c r="A591" s="7"/>
      <c r="B591" s="12"/>
      <c r="C591" s="12"/>
      <c r="D591" s="12"/>
      <c r="E591" s="12"/>
      <c r="F591" s="12"/>
      <c r="G591" s="12"/>
      <c r="H591" s="12"/>
      <c r="I591" s="12"/>
      <c r="J591" s="7"/>
      <c r="K591" s="12"/>
      <c r="L591" s="7"/>
      <c r="M591" s="10"/>
      <c r="N591" s="7"/>
      <c r="O591" s="7"/>
      <c r="P591" s="10"/>
      <c r="Q591" s="10"/>
      <c r="R591" s="7"/>
      <c r="S591" s="7"/>
      <c r="T591" s="15"/>
      <c r="U591" s="15"/>
      <c r="V591" s="15"/>
      <c r="W591" s="12"/>
      <c r="X591" s="7"/>
      <c r="Y591" s="12"/>
      <c r="Z591" s="12"/>
      <c r="AA591" s="12"/>
    </row>
    <row r="592" ht="19.5" customHeight="1">
      <c r="A592" s="7"/>
      <c r="B592" s="12"/>
      <c r="C592" s="12"/>
      <c r="D592" s="12"/>
      <c r="E592" s="12"/>
      <c r="F592" s="12"/>
      <c r="G592" s="12"/>
      <c r="H592" s="12"/>
      <c r="I592" s="12"/>
      <c r="J592" s="7"/>
      <c r="K592" s="12"/>
      <c r="L592" s="7"/>
      <c r="M592" s="10"/>
      <c r="N592" s="7"/>
      <c r="O592" s="7"/>
      <c r="P592" s="10"/>
      <c r="Q592" s="10"/>
      <c r="R592" s="7"/>
      <c r="S592" s="7"/>
      <c r="T592" s="15"/>
      <c r="U592" s="15"/>
      <c r="V592" s="15"/>
      <c r="W592" s="12"/>
      <c r="X592" s="7"/>
      <c r="Y592" s="12"/>
      <c r="Z592" s="12"/>
      <c r="AA592" s="12"/>
    </row>
    <row r="593" ht="19.5" customHeight="1">
      <c r="A593" s="7"/>
      <c r="B593" s="12"/>
      <c r="C593" s="12"/>
      <c r="D593" s="12"/>
      <c r="E593" s="12"/>
      <c r="F593" s="12"/>
      <c r="G593" s="12"/>
      <c r="H593" s="12"/>
      <c r="I593" s="12"/>
      <c r="J593" s="7"/>
      <c r="K593" s="12"/>
      <c r="L593" s="7"/>
      <c r="M593" s="10"/>
      <c r="N593" s="7"/>
      <c r="O593" s="7"/>
      <c r="P593" s="10"/>
      <c r="Q593" s="10"/>
      <c r="R593" s="7"/>
      <c r="S593" s="7"/>
      <c r="T593" s="15"/>
      <c r="U593" s="15"/>
      <c r="V593" s="15"/>
      <c r="W593" s="12"/>
      <c r="X593" s="7"/>
      <c r="Y593" s="12"/>
      <c r="Z593" s="12"/>
      <c r="AA593" s="12"/>
    </row>
    <row r="594" ht="19.5" customHeight="1">
      <c r="A594" s="7"/>
      <c r="B594" s="12"/>
      <c r="C594" s="12"/>
      <c r="D594" s="12"/>
      <c r="E594" s="12"/>
      <c r="F594" s="12"/>
      <c r="G594" s="12"/>
      <c r="H594" s="12"/>
      <c r="I594" s="12"/>
      <c r="J594" s="7"/>
      <c r="K594" s="12"/>
      <c r="L594" s="7"/>
      <c r="M594" s="10"/>
      <c r="N594" s="7"/>
      <c r="O594" s="7"/>
      <c r="P594" s="10"/>
      <c r="Q594" s="10"/>
      <c r="R594" s="7"/>
      <c r="S594" s="7"/>
      <c r="T594" s="15"/>
      <c r="U594" s="15"/>
      <c r="V594" s="15"/>
      <c r="W594" s="12"/>
      <c r="X594" s="7"/>
      <c r="Y594" s="12"/>
      <c r="Z594" s="12"/>
      <c r="AA594" s="12"/>
    </row>
    <row r="595" ht="19.5" customHeight="1">
      <c r="A595" s="7"/>
      <c r="B595" s="12"/>
      <c r="C595" s="12"/>
      <c r="D595" s="12"/>
      <c r="E595" s="12"/>
      <c r="F595" s="12"/>
      <c r="G595" s="12"/>
      <c r="H595" s="12"/>
      <c r="I595" s="12"/>
      <c r="J595" s="7"/>
      <c r="K595" s="12"/>
      <c r="L595" s="7"/>
      <c r="M595" s="10"/>
      <c r="N595" s="7"/>
      <c r="O595" s="7"/>
      <c r="P595" s="10"/>
      <c r="Q595" s="10"/>
      <c r="R595" s="7"/>
      <c r="S595" s="7"/>
      <c r="T595" s="15"/>
      <c r="U595" s="15"/>
      <c r="V595" s="15"/>
      <c r="W595" s="12"/>
      <c r="X595" s="7"/>
      <c r="Y595" s="12"/>
      <c r="Z595" s="12"/>
      <c r="AA595" s="12"/>
    </row>
    <row r="596" ht="19.5" customHeight="1">
      <c r="A596" s="7"/>
      <c r="B596" s="12"/>
      <c r="C596" s="12"/>
      <c r="D596" s="12"/>
      <c r="E596" s="12"/>
      <c r="F596" s="12"/>
      <c r="G596" s="12"/>
      <c r="H596" s="12"/>
      <c r="I596" s="12"/>
      <c r="J596" s="7"/>
      <c r="K596" s="12"/>
      <c r="L596" s="7"/>
      <c r="M596" s="10"/>
      <c r="N596" s="7"/>
      <c r="O596" s="7"/>
      <c r="P596" s="10"/>
      <c r="Q596" s="10"/>
      <c r="R596" s="7"/>
      <c r="S596" s="7"/>
      <c r="T596" s="15"/>
      <c r="U596" s="15"/>
      <c r="V596" s="15"/>
      <c r="W596" s="12"/>
      <c r="X596" s="7"/>
      <c r="Y596" s="12"/>
      <c r="Z596" s="12"/>
      <c r="AA596" s="12"/>
    </row>
    <row r="597" ht="19.5" customHeight="1">
      <c r="A597" s="7"/>
      <c r="B597" s="12"/>
      <c r="C597" s="12"/>
      <c r="D597" s="12"/>
      <c r="E597" s="12"/>
      <c r="F597" s="12"/>
      <c r="G597" s="12"/>
      <c r="H597" s="12"/>
      <c r="I597" s="12"/>
      <c r="J597" s="7"/>
      <c r="K597" s="12"/>
      <c r="L597" s="7"/>
      <c r="M597" s="10"/>
      <c r="N597" s="7"/>
      <c r="O597" s="7"/>
      <c r="P597" s="10"/>
      <c r="Q597" s="10"/>
      <c r="R597" s="7"/>
      <c r="S597" s="7"/>
      <c r="T597" s="15"/>
      <c r="U597" s="15"/>
      <c r="V597" s="15"/>
      <c r="W597" s="12"/>
      <c r="X597" s="7"/>
      <c r="Y597" s="12"/>
      <c r="Z597" s="12"/>
      <c r="AA597" s="12"/>
    </row>
    <row r="598" ht="19.5" customHeight="1">
      <c r="A598" s="7"/>
      <c r="B598" s="12"/>
      <c r="C598" s="12"/>
      <c r="D598" s="12"/>
      <c r="E598" s="12"/>
      <c r="F598" s="12"/>
      <c r="G598" s="12"/>
      <c r="H598" s="12"/>
      <c r="I598" s="12"/>
      <c r="J598" s="7"/>
      <c r="K598" s="12"/>
      <c r="L598" s="7"/>
      <c r="M598" s="10"/>
      <c r="N598" s="7"/>
      <c r="O598" s="7"/>
      <c r="P598" s="10"/>
      <c r="Q598" s="10"/>
      <c r="R598" s="7"/>
      <c r="S598" s="7"/>
      <c r="T598" s="15"/>
      <c r="U598" s="15"/>
      <c r="V598" s="15"/>
      <c r="W598" s="12"/>
      <c r="X598" s="7"/>
      <c r="Y598" s="12"/>
      <c r="Z598" s="12"/>
      <c r="AA598" s="12"/>
    </row>
    <row r="599" ht="19.5" customHeight="1">
      <c r="A599" s="7"/>
      <c r="B599" s="12"/>
      <c r="C599" s="12"/>
      <c r="D599" s="12"/>
      <c r="E599" s="12"/>
      <c r="F599" s="12"/>
      <c r="G599" s="12"/>
      <c r="H599" s="12"/>
      <c r="I599" s="12"/>
      <c r="J599" s="7"/>
      <c r="K599" s="12"/>
      <c r="L599" s="7"/>
      <c r="M599" s="10"/>
      <c r="N599" s="7"/>
      <c r="O599" s="7"/>
      <c r="P599" s="10"/>
      <c r="Q599" s="10"/>
      <c r="R599" s="7"/>
      <c r="S599" s="7"/>
      <c r="T599" s="15"/>
      <c r="U599" s="15"/>
      <c r="V599" s="15"/>
      <c r="W599" s="12"/>
      <c r="X599" s="7"/>
      <c r="Y599" s="12"/>
      <c r="Z599" s="12"/>
      <c r="AA599" s="12"/>
    </row>
    <row r="600" ht="19.5" customHeight="1">
      <c r="A600" s="7"/>
      <c r="B600" s="12"/>
      <c r="C600" s="12"/>
      <c r="D600" s="12"/>
      <c r="E600" s="12"/>
      <c r="F600" s="12"/>
      <c r="G600" s="12"/>
      <c r="H600" s="12"/>
      <c r="I600" s="12"/>
      <c r="J600" s="7"/>
      <c r="K600" s="12"/>
      <c r="L600" s="7"/>
      <c r="M600" s="10"/>
      <c r="N600" s="7"/>
      <c r="O600" s="7"/>
      <c r="P600" s="10"/>
      <c r="Q600" s="10"/>
      <c r="R600" s="7"/>
      <c r="S600" s="7"/>
      <c r="T600" s="15"/>
      <c r="U600" s="15"/>
      <c r="V600" s="15"/>
      <c r="W600" s="12"/>
      <c r="X600" s="7"/>
      <c r="Y600" s="12"/>
      <c r="Z600" s="12"/>
      <c r="AA600" s="12"/>
    </row>
    <row r="601" ht="19.5" customHeight="1">
      <c r="A601" s="7"/>
      <c r="B601" s="12"/>
      <c r="C601" s="12"/>
      <c r="D601" s="12"/>
      <c r="E601" s="12"/>
      <c r="F601" s="12"/>
      <c r="G601" s="12"/>
      <c r="H601" s="12"/>
      <c r="I601" s="12"/>
      <c r="J601" s="7"/>
      <c r="K601" s="12"/>
      <c r="L601" s="7"/>
      <c r="M601" s="10"/>
      <c r="N601" s="7"/>
      <c r="O601" s="7"/>
      <c r="P601" s="10"/>
      <c r="Q601" s="10"/>
      <c r="R601" s="7"/>
      <c r="S601" s="7"/>
      <c r="T601" s="15"/>
      <c r="U601" s="15"/>
      <c r="V601" s="15"/>
      <c r="W601" s="12"/>
      <c r="X601" s="7"/>
      <c r="Y601" s="12"/>
      <c r="Z601" s="12"/>
      <c r="AA601" s="12"/>
    </row>
    <row r="602" ht="19.5" customHeight="1">
      <c r="A602" s="7"/>
      <c r="B602" s="12"/>
      <c r="C602" s="12"/>
      <c r="D602" s="12"/>
      <c r="E602" s="12"/>
      <c r="F602" s="12"/>
      <c r="G602" s="12"/>
      <c r="H602" s="12"/>
      <c r="I602" s="12"/>
      <c r="J602" s="7"/>
      <c r="K602" s="12"/>
      <c r="L602" s="7"/>
      <c r="M602" s="10"/>
      <c r="N602" s="7"/>
      <c r="O602" s="7"/>
      <c r="P602" s="10"/>
      <c r="Q602" s="10"/>
      <c r="R602" s="7"/>
      <c r="S602" s="7"/>
      <c r="T602" s="15"/>
      <c r="U602" s="15"/>
      <c r="V602" s="15"/>
      <c r="W602" s="12"/>
      <c r="X602" s="7"/>
      <c r="Y602" s="12"/>
      <c r="Z602" s="12"/>
      <c r="AA602" s="12"/>
    </row>
    <row r="603" ht="19.5" customHeight="1">
      <c r="A603" s="7"/>
      <c r="B603" s="12"/>
      <c r="C603" s="12"/>
      <c r="D603" s="12"/>
      <c r="E603" s="12"/>
      <c r="F603" s="12"/>
      <c r="G603" s="12"/>
      <c r="H603" s="12"/>
      <c r="I603" s="12"/>
      <c r="J603" s="7"/>
      <c r="K603" s="12"/>
      <c r="L603" s="7"/>
      <c r="M603" s="10"/>
      <c r="N603" s="7"/>
      <c r="O603" s="7"/>
      <c r="P603" s="10"/>
      <c r="Q603" s="10"/>
      <c r="R603" s="7"/>
      <c r="S603" s="7"/>
      <c r="T603" s="15"/>
      <c r="U603" s="15"/>
      <c r="V603" s="15"/>
      <c r="W603" s="12"/>
      <c r="X603" s="7"/>
      <c r="Y603" s="12"/>
      <c r="Z603" s="12"/>
      <c r="AA603" s="12"/>
    </row>
    <row r="604" ht="19.5" customHeight="1">
      <c r="A604" s="7"/>
      <c r="B604" s="12"/>
      <c r="C604" s="12"/>
      <c r="D604" s="12"/>
      <c r="E604" s="12"/>
      <c r="F604" s="12"/>
      <c r="G604" s="12"/>
      <c r="H604" s="12"/>
      <c r="I604" s="12"/>
      <c r="J604" s="7"/>
      <c r="K604" s="12"/>
      <c r="L604" s="7"/>
      <c r="M604" s="10"/>
      <c r="N604" s="7"/>
      <c r="O604" s="7"/>
      <c r="P604" s="10"/>
      <c r="Q604" s="10"/>
      <c r="R604" s="7"/>
      <c r="S604" s="7"/>
      <c r="T604" s="15"/>
      <c r="U604" s="15"/>
      <c r="V604" s="15"/>
      <c r="W604" s="12"/>
      <c r="X604" s="7"/>
      <c r="Y604" s="12"/>
      <c r="Z604" s="12"/>
      <c r="AA604" s="12"/>
    </row>
    <row r="605" ht="19.5" customHeight="1">
      <c r="A605" s="7"/>
      <c r="B605" s="12"/>
      <c r="C605" s="12"/>
      <c r="D605" s="12"/>
      <c r="E605" s="12"/>
      <c r="F605" s="12"/>
      <c r="G605" s="12"/>
      <c r="H605" s="12"/>
      <c r="I605" s="12"/>
      <c r="J605" s="7"/>
      <c r="K605" s="12"/>
      <c r="L605" s="7"/>
      <c r="M605" s="10"/>
      <c r="N605" s="7"/>
      <c r="O605" s="7"/>
      <c r="P605" s="10"/>
      <c r="Q605" s="10"/>
      <c r="R605" s="7"/>
      <c r="S605" s="7"/>
      <c r="T605" s="15"/>
      <c r="U605" s="15"/>
      <c r="V605" s="15"/>
      <c r="W605" s="12"/>
      <c r="X605" s="7"/>
      <c r="Y605" s="12"/>
      <c r="Z605" s="12"/>
      <c r="AA605" s="12"/>
    </row>
    <row r="606" ht="19.5" customHeight="1">
      <c r="A606" s="7"/>
      <c r="B606" s="12"/>
      <c r="C606" s="12"/>
      <c r="D606" s="12"/>
      <c r="E606" s="12"/>
      <c r="F606" s="12"/>
      <c r="G606" s="12"/>
      <c r="H606" s="12"/>
      <c r="I606" s="12"/>
      <c r="J606" s="7"/>
      <c r="K606" s="12"/>
      <c r="L606" s="7"/>
      <c r="M606" s="10"/>
      <c r="N606" s="7"/>
      <c r="O606" s="7"/>
      <c r="P606" s="10"/>
      <c r="Q606" s="10"/>
      <c r="R606" s="7"/>
      <c r="S606" s="7"/>
      <c r="T606" s="15"/>
      <c r="U606" s="15"/>
      <c r="V606" s="15"/>
      <c r="W606" s="12"/>
      <c r="X606" s="7"/>
      <c r="Y606" s="12"/>
      <c r="Z606" s="12"/>
      <c r="AA606" s="12"/>
    </row>
    <row r="607" ht="19.5" customHeight="1">
      <c r="A607" s="7"/>
      <c r="B607" s="12"/>
      <c r="C607" s="12"/>
      <c r="D607" s="12"/>
      <c r="E607" s="12"/>
      <c r="F607" s="12"/>
      <c r="G607" s="12"/>
      <c r="H607" s="12"/>
      <c r="I607" s="12"/>
      <c r="J607" s="7"/>
      <c r="K607" s="12"/>
      <c r="L607" s="7"/>
      <c r="M607" s="10"/>
      <c r="N607" s="7"/>
      <c r="O607" s="7"/>
      <c r="P607" s="10"/>
      <c r="Q607" s="10"/>
      <c r="R607" s="7"/>
      <c r="S607" s="7"/>
      <c r="T607" s="15"/>
      <c r="U607" s="15"/>
      <c r="V607" s="15"/>
      <c r="W607" s="12"/>
      <c r="X607" s="7"/>
      <c r="Y607" s="12"/>
      <c r="Z607" s="12"/>
      <c r="AA607" s="12"/>
    </row>
    <row r="608" ht="19.5" customHeight="1">
      <c r="A608" s="7"/>
      <c r="B608" s="12"/>
      <c r="C608" s="12"/>
      <c r="D608" s="12"/>
      <c r="E608" s="12"/>
      <c r="F608" s="12"/>
      <c r="G608" s="12"/>
      <c r="H608" s="12"/>
      <c r="I608" s="12"/>
      <c r="J608" s="7"/>
      <c r="K608" s="12"/>
      <c r="L608" s="7"/>
      <c r="M608" s="10"/>
      <c r="N608" s="7"/>
      <c r="O608" s="7"/>
      <c r="P608" s="10"/>
      <c r="Q608" s="10"/>
      <c r="R608" s="7"/>
      <c r="S608" s="7"/>
      <c r="T608" s="15"/>
      <c r="U608" s="15"/>
      <c r="V608" s="15"/>
      <c r="W608" s="12"/>
      <c r="X608" s="7"/>
      <c r="Y608" s="12"/>
      <c r="Z608" s="12"/>
      <c r="AA608" s="12"/>
    </row>
    <row r="609" ht="19.5" customHeight="1">
      <c r="A609" s="7"/>
      <c r="B609" s="12"/>
      <c r="C609" s="12"/>
      <c r="D609" s="12"/>
      <c r="E609" s="12"/>
      <c r="F609" s="12"/>
      <c r="G609" s="12"/>
      <c r="H609" s="12"/>
      <c r="I609" s="12"/>
      <c r="J609" s="7"/>
      <c r="K609" s="12"/>
      <c r="L609" s="7"/>
      <c r="M609" s="10"/>
      <c r="N609" s="7"/>
      <c r="O609" s="7"/>
      <c r="P609" s="10"/>
      <c r="Q609" s="10"/>
      <c r="R609" s="7"/>
      <c r="S609" s="7"/>
      <c r="T609" s="15"/>
      <c r="U609" s="15"/>
      <c r="V609" s="15"/>
      <c r="W609" s="12"/>
      <c r="X609" s="7"/>
      <c r="Y609" s="12"/>
      <c r="Z609" s="12"/>
      <c r="AA609" s="12"/>
    </row>
    <row r="610" ht="19.5" customHeight="1">
      <c r="A610" s="7"/>
      <c r="B610" s="12"/>
      <c r="C610" s="12"/>
      <c r="D610" s="12"/>
      <c r="E610" s="12"/>
      <c r="F610" s="12"/>
      <c r="G610" s="12"/>
      <c r="H610" s="12"/>
      <c r="I610" s="12"/>
      <c r="J610" s="7"/>
      <c r="K610" s="12"/>
      <c r="L610" s="7"/>
      <c r="M610" s="10"/>
      <c r="N610" s="7"/>
      <c r="O610" s="7"/>
      <c r="P610" s="10"/>
      <c r="Q610" s="10"/>
      <c r="R610" s="7"/>
      <c r="S610" s="7"/>
      <c r="T610" s="15"/>
      <c r="U610" s="15"/>
      <c r="V610" s="15"/>
      <c r="W610" s="12"/>
      <c r="X610" s="7"/>
      <c r="Y610" s="12"/>
      <c r="Z610" s="12"/>
      <c r="AA610" s="12"/>
    </row>
    <row r="611" ht="19.5" customHeight="1">
      <c r="A611" s="7"/>
      <c r="B611" s="12"/>
      <c r="C611" s="12"/>
      <c r="D611" s="12"/>
      <c r="E611" s="12"/>
      <c r="F611" s="12"/>
      <c r="G611" s="12"/>
      <c r="H611" s="12"/>
      <c r="I611" s="12"/>
      <c r="J611" s="7"/>
      <c r="K611" s="12"/>
      <c r="L611" s="7"/>
      <c r="M611" s="10"/>
      <c r="N611" s="7"/>
      <c r="O611" s="7"/>
      <c r="P611" s="10"/>
      <c r="Q611" s="10"/>
      <c r="R611" s="7"/>
      <c r="S611" s="7"/>
      <c r="T611" s="15"/>
      <c r="U611" s="15"/>
      <c r="V611" s="15"/>
      <c r="W611" s="12"/>
      <c r="X611" s="7"/>
      <c r="Y611" s="12"/>
      <c r="Z611" s="12"/>
      <c r="AA611" s="12"/>
    </row>
    <row r="612" ht="19.5" customHeight="1">
      <c r="A612" s="7"/>
      <c r="B612" s="12"/>
      <c r="C612" s="12"/>
      <c r="D612" s="12"/>
      <c r="E612" s="12"/>
      <c r="F612" s="12"/>
      <c r="G612" s="12"/>
      <c r="H612" s="12"/>
      <c r="I612" s="12"/>
      <c r="J612" s="7"/>
      <c r="K612" s="12"/>
      <c r="L612" s="7"/>
      <c r="M612" s="10"/>
      <c r="N612" s="7"/>
      <c r="O612" s="7"/>
      <c r="P612" s="10"/>
      <c r="Q612" s="10"/>
      <c r="R612" s="7"/>
      <c r="S612" s="7"/>
      <c r="T612" s="15"/>
      <c r="U612" s="15"/>
      <c r="V612" s="15"/>
      <c r="W612" s="12"/>
      <c r="X612" s="7"/>
      <c r="Y612" s="12"/>
      <c r="Z612" s="12"/>
      <c r="AA612" s="12"/>
    </row>
    <row r="613" ht="19.5" customHeight="1">
      <c r="A613" s="7"/>
      <c r="B613" s="12"/>
      <c r="C613" s="12"/>
      <c r="D613" s="12"/>
      <c r="E613" s="12"/>
      <c r="F613" s="12"/>
      <c r="G613" s="12"/>
      <c r="H613" s="12"/>
      <c r="I613" s="12"/>
      <c r="J613" s="7"/>
      <c r="K613" s="12"/>
      <c r="L613" s="7"/>
      <c r="M613" s="10"/>
      <c r="N613" s="7"/>
      <c r="O613" s="7"/>
      <c r="P613" s="10"/>
      <c r="Q613" s="10"/>
      <c r="R613" s="7"/>
      <c r="S613" s="7"/>
      <c r="T613" s="15"/>
      <c r="U613" s="15"/>
      <c r="V613" s="15"/>
      <c r="W613" s="12"/>
      <c r="X613" s="7"/>
      <c r="Y613" s="12"/>
      <c r="Z613" s="12"/>
      <c r="AA613" s="12"/>
    </row>
    <row r="614" ht="19.5" customHeight="1">
      <c r="A614" s="7"/>
      <c r="B614" s="12"/>
      <c r="C614" s="12"/>
      <c r="D614" s="12"/>
      <c r="E614" s="12"/>
      <c r="F614" s="12"/>
      <c r="G614" s="12"/>
      <c r="H614" s="12"/>
      <c r="I614" s="12"/>
      <c r="J614" s="7"/>
      <c r="K614" s="12"/>
      <c r="L614" s="7"/>
      <c r="M614" s="10"/>
      <c r="N614" s="7"/>
      <c r="O614" s="7"/>
      <c r="P614" s="10"/>
      <c r="Q614" s="10"/>
      <c r="R614" s="7"/>
      <c r="S614" s="7"/>
      <c r="T614" s="15"/>
      <c r="U614" s="15"/>
      <c r="V614" s="15"/>
      <c r="W614" s="12"/>
      <c r="X614" s="7"/>
      <c r="Y614" s="12"/>
      <c r="Z614" s="12"/>
      <c r="AA614" s="12"/>
    </row>
    <row r="615" ht="19.5" customHeight="1">
      <c r="A615" s="7"/>
      <c r="B615" s="12"/>
      <c r="C615" s="12"/>
      <c r="D615" s="12"/>
      <c r="E615" s="12"/>
      <c r="F615" s="12"/>
      <c r="G615" s="12"/>
      <c r="H615" s="12"/>
      <c r="I615" s="12"/>
      <c r="J615" s="7"/>
      <c r="K615" s="12"/>
      <c r="L615" s="7"/>
      <c r="M615" s="10"/>
      <c r="N615" s="7"/>
      <c r="O615" s="7"/>
      <c r="P615" s="10"/>
      <c r="Q615" s="10"/>
      <c r="R615" s="7"/>
      <c r="S615" s="7"/>
      <c r="T615" s="15"/>
      <c r="U615" s="15"/>
      <c r="V615" s="15"/>
      <c r="W615" s="12"/>
      <c r="X615" s="7"/>
      <c r="Y615" s="12"/>
      <c r="Z615" s="12"/>
      <c r="AA615" s="12"/>
    </row>
    <row r="616" ht="19.5" customHeight="1">
      <c r="A616" s="7"/>
      <c r="B616" s="12"/>
      <c r="C616" s="12"/>
      <c r="D616" s="12"/>
      <c r="E616" s="12"/>
      <c r="F616" s="12"/>
      <c r="G616" s="12"/>
      <c r="H616" s="12"/>
      <c r="I616" s="12"/>
      <c r="J616" s="7"/>
      <c r="K616" s="12"/>
      <c r="L616" s="7"/>
      <c r="M616" s="10"/>
      <c r="N616" s="7"/>
      <c r="O616" s="7"/>
      <c r="P616" s="10"/>
      <c r="Q616" s="10"/>
      <c r="R616" s="7"/>
      <c r="S616" s="7"/>
      <c r="T616" s="15"/>
      <c r="U616" s="15"/>
      <c r="V616" s="15"/>
      <c r="W616" s="12"/>
      <c r="X616" s="7"/>
      <c r="Y616" s="12"/>
      <c r="Z616" s="12"/>
      <c r="AA616" s="12"/>
    </row>
    <row r="617" ht="19.5" customHeight="1">
      <c r="A617" s="7"/>
      <c r="B617" s="12"/>
      <c r="C617" s="12"/>
      <c r="D617" s="12"/>
      <c r="E617" s="12"/>
      <c r="F617" s="12"/>
      <c r="G617" s="12"/>
      <c r="H617" s="12"/>
      <c r="I617" s="12"/>
      <c r="J617" s="7"/>
      <c r="K617" s="12"/>
      <c r="L617" s="7"/>
      <c r="M617" s="10"/>
      <c r="N617" s="7"/>
      <c r="O617" s="7"/>
      <c r="P617" s="10"/>
      <c r="Q617" s="10"/>
      <c r="R617" s="7"/>
      <c r="S617" s="7"/>
      <c r="T617" s="15"/>
      <c r="U617" s="15"/>
      <c r="V617" s="15"/>
      <c r="W617" s="12"/>
      <c r="X617" s="7"/>
      <c r="Y617" s="12"/>
      <c r="Z617" s="12"/>
      <c r="AA617" s="12"/>
    </row>
    <row r="618" ht="19.5" customHeight="1">
      <c r="A618" s="7"/>
      <c r="B618" s="12"/>
      <c r="C618" s="12"/>
      <c r="D618" s="12"/>
      <c r="E618" s="12"/>
      <c r="F618" s="12"/>
      <c r="G618" s="12"/>
      <c r="H618" s="12"/>
      <c r="I618" s="12"/>
      <c r="J618" s="7"/>
      <c r="K618" s="12"/>
      <c r="L618" s="7"/>
      <c r="M618" s="10"/>
      <c r="N618" s="7"/>
      <c r="O618" s="7"/>
      <c r="P618" s="10"/>
      <c r="Q618" s="10"/>
      <c r="R618" s="7"/>
      <c r="S618" s="7"/>
      <c r="T618" s="15"/>
      <c r="U618" s="15"/>
      <c r="V618" s="15"/>
      <c r="W618" s="12"/>
      <c r="X618" s="7"/>
      <c r="Y618" s="12"/>
      <c r="Z618" s="12"/>
      <c r="AA618" s="12"/>
    </row>
    <row r="619" ht="19.5" customHeight="1">
      <c r="A619" s="7"/>
      <c r="B619" s="12"/>
      <c r="C619" s="12"/>
      <c r="D619" s="12"/>
      <c r="E619" s="12"/>
      <c r="F619" s="12"/>
      <c r="G619" s="12"/>
      <c r="H619" s="12"/>
      <c r="I619" s="12"/>
      <c r="J619" s="7"/>
      <c r="K619" s="12"/>
      <c r="L619" s="7"/>
      <c r="M619" s="10"/>
      <c r="N619" s="7"/>
      <c r="O619" s="7"/>
      <c r="P619" s="10"/>
      <c r="Q619" s="10"/>
      <c r="R619" s="7"/>
      <c r="S619" s="7"/>
      <c r="T619" s="15"/>
      <c r="U619" s="15"/>
      <c r="V619" s="15"/>
      <c r="W619" s="12"/>
      <c r="X619" s="7"/>
      <c r="Y619" s="12"/>
      <c r="Z619" s="12"/>
      <c r="AA619" s="12"/>
    </row>
    <row r="620" ht="19.5" customHeight="1">
      <c r="A620" s="7"/>
      <c r="B620" s="12"/>
      <c r="C620" s="12"/>
      <c r="D620" s="12"/>
      <c r="E620" s="12"/>
      <c r="F620" s="12"/>
      <c r="G620" s="12"/>
      <c r="H620" s="12"/>
      <c r="I620" s="12"/>
      <c r="J620" s="7"/>
      <c r="K620" s="12"/>
      <c r="L620" s="7"/>
      <c r="M620" s="10"/>
      <c r="N620" s="7"/>
      <c r="O620" s="7"/>
      <c r="P620" s="10"/>
      <c r="Q620" s="10"/>
      <c r="R620" s="7"/>
      <c r="S620" s="7"/>
      <c r="T620" s="15"/>
      <c r="U620" s="15"/>
      <c r="V620" s="15"/>
      <c r="W620" s="12"/>
      <c r="X620" s="7"/>
      <c r="Y620" s="12"/>
      <c r="Z620" s="12"/>
      <c r="AA620" s="12"/>
    </row>
    <row r="621" ht="19.5" customHeight="1">
      <c r="A621" s="7"/>
      <c r="B621" s="12"/>
      <c r="C621" s="12"/>
      <c r="D621" s="12"/>
      <c r="E621" s="12"/>
      <c r="F621" s="12"/>
      <c r="G621" s="12"/>
      <c r="H621" s="12"/>
      <c r="I621" s="12"/>
      <c r="J621" s="7"/>
      <c r="K621" s="12"/>
      <c r="L621" s="7"/>
      <c r="M621" s="10"/>
      <c r="N621" s="7"/>
      <c r="O621" s="7"/>
      <c r="P621" s="10"/>
      <c r="Q621" s="10"/>
      <c r="R621" s="7"/>
      <c r="S621" s="7"/>
      <c r="T621" s="15"/>
      <c r="U621" s="15"/>
      <c r="V621" s="15"/>
      <c r="W621" s="12"/>
      <c r="X621" s="7"/>
      <c r="Y621" s="12"/>
      <c r="Z621" s="12"/>
      <c r="AA621" s="12"/>
    </row>
    <row r="622" ht="19.5" customHeight="1">
      <c r="A622" s="7"/>
      <c r="B622" s="12"/>
      <c r="C622" s="12"/>
      <c r="D622" s="12"/>
      <c r="E622" s="12"/>
      <c r="F622" s="12"/>
      <c r="G622" s="12"/>
      <c r="H622" s="12"/>
      <c r="I622" s="12"/>
      <c r="J622" s="7"/>
      <c r="K622" s="12"/>
      <c r="L622" s="7"/>
      <c r="M622" s="10"/>
      <c r="N622" s="7"/>
      <c r="O622" s="7"/>
      <c r="P622" s="10"/>
      <c r="Q622" s="10"/>
      <c r="R622" s="7"/>
      <c r="S622" s="7"/>
      <c r="T622" s="15"/>
      <c r="U622" s="15"/>
      <c r="V622" s="15"/>
      <c r="W622" s="12"/>
      <c r="X622" s="7"/>
      <c r="Y622" s="12"/>
      <c r="Z622" s="12"/>
      <c r="AA622" s="12"/>
    </row>
    <row r="623" ht="19.5" customHeight="1">
      <c r="A623" s="7"/>
      <c r="B623" s="12"/>
      <c r="C623" s="12"/>
      <c r="D623" s="12"/>
      <c r="E623" s="12"/>
      <c r="F623" s="12"/>
      <c r="G623" s="12"/>
      <c r="H623" s="12"/>
      <c r="I623" s="12"/>
      <c r="J623" s="7"/>
      <c r="K623" s="12"/>
      <c r="L623" s="7"/>
      <c r="M623" s="10"/>
      <c r="N623" s="7"/>
      <c r="O623" s="7"/>
      <c r="P623" s="10"/>
      <c r="Q623" s="10"/>
      <c r="R623" s="7"/>
      <c r="S623" s="7"/>
      <c r="T623" s="15"/>
      <c r="U623" s="15"/>
      <c r="V623" s="15"/>
      <c r="W623" s="12"/>
      <c r="X623" s="7"/>
      <c r="Y623" s="12"/>
      <c r="Z623" s="12"/>
      <c r="AA623" s="12"/>
    </row>
    <row r="624" ht="19.5" customHeight="1">
      <c r="A624" s="7"/>
      <c r="B624" s="12"/>
      <c r="C624" s="12"/>
      <c r="D624" s="12"/>
      <c r="E624" s="12"/>
      <c r="F624" s="12"/>
      <c r="G624" s="12"/>
      <c r="H624" s="12"/>
      <c r="I624" s="12"/>
      <c r="J624" s="7"/>
      <c r="K624" s="12"/>
      <c r="L624" s="7"/>
      <c r="M624" s="10"/>
      <c r="N624" s="7"/>
      <c r="O624" s="7"/>
      <c r="P624" s="10"/>
      <c r="Q624" s="10"/>
      <c r="R624" s="7"/>
      <c r="S624" s="7"/>
      <c r="T624" s="15"/>
      <c r="U624" s="15"/>
      <c r="V624" s="15"/>
      <c r="W624" s="12"/>
      <c r="X624" s="7"/>
      <c r="Y624" s="12"/>
      <c r="Z624" s="12"/>
      <c r="AA624" s="12"/>
    </row>
    <row r="625" ht="19.5" customHeight="1">
      <c r="A625" s="7"/>
      <c r="B625" s="12"/>
      <c r="C625" s="12"/>
      <c r="D625" s="12"/>
      <c r="E625" s="12"/>
      <c r="F625" s="12"/>
      <c r="G625" s="12"/>
      <c r="H625" s="12"/>
      <c r="I625" s="12"/>
      <c r="J625" s="7"/>
      <c r="K625" s="12"/>
      <c r="L625" s="7"/>
      <c r="M625" s="10"/>
      <c r="N625" s="7"/>
      <c r="O625" s="7"/>
      <c r="P625" s="10"/>
      <c r="Q625" s="10"/>
      <c r="R625" s="7"/>
      <c r="S625" s="7"/>
      <c r="T625" s="15"/>
      <c r="U625" s="15"/>
      <c r="V625" s="15"/>
      <c r="W625" s="12"/>
      <c r="X625" s="7"/>
      <c r="Y625" s="12"/>
      <c r="Z625" s="12"/>
      <c r="AA625" s="12"/>
    </row>
    <row r="626" ht="19.5" customHeight="1">
      <c r="A626" s="7"/>
      <c r="B626" s="12"/>
      <c r="C626" s="12"/>
      <c r="D626" s="12"/>
      <c r="E626" s="12"/>
      <c r="F626" s="12"/>
      <c r="G626" s="12"/>
      <c r="H626" s="12"/>
      <c r="I626" s="12"/>
      <c r="J626" s="7"/>
      <c r="K626" s="12"/>
      <c r="L626" s="7"/>
      <c r="M626" s="10"/>
      <c r="N626" s="7"/>
      <c r="O626" s="7"/>
      <c r="P626" s="10"/>
      <c r="Q626" s="10"/>
      <c r="R626" s="7"/>
      <c r="S626" s="7"/>
      <c r="T626" s="15"/>
      <c r="U626" s="15"/>
      <c r="V626" s="15"/>
      <c r="W626" s="12"/>
      <c r="X626" s="7"/>
      <c r="Y626" s="12"/>
      <c r="Z626" s="12"/>
      <c r="AA626" s="12"/>
    </row>
    <row r="627" ht="19.5" customHeight="1">
      <c r="A627" s="7"/>
      <c r="B627" s="12"/>
      <c r="C627" s="12"/>
      <c r="D627" s="12"/>
      <c r="E627" s="12"/>
      <c r="F627" s="12"/>
      <c r="G627" s="12"/>
      <c r="H627" s="12"/>
      <c r="I627" s="12"/>
      <c r="J627" s="7"/>
      <c r="K627" s="12"/>
      <c r="L627" s="7"/>
      <c r="M627" s="10"/>
      <c r="N627" s="7"/>
      <c r="O627" s="7"/>
      <c r="P627" s="10"/>
      <c r="Q627" s="10"/>
      <c r="R627" s="7"/>
      <c r="S627" s="7"/>
      <c r="T627" s="15"/>
      <c r="U627" s="15"/>
      <c r="V627" s="15"/>
      <c r="W627" s="12"/>
      <c r="X627" s="7"/>
      <c r="Y627" s="12"/>
      <c r="Z627" s="12"/>
      <c r="AA627" s="12"/>
    </row>
    <row r="628" ht="19.5" customHeight="1">
      <c r="A628" s="7"/>
      <c r="B628" s="12"/>
      <c r="C628" s="12"/>
      <c r="D628" s="12"/>
      <c r="E628" s="12"/>
      <c r="F628" s="12"/>
      <c r="G628" s="12"/>
      <c r="H628" s="12"/>
      <c r="I628" s="12"/>
      <c r="J628" s="7"/>
      <c r="K628" s="12"/>
      <c r="L628" s="7"/>
      <c r="M628" s="10"/>
      <c r="N628" s="7"/>
      <c r="O628" s="7"/>
      <c r="P628" s="10"/>
      <c r="Q628" s="10"/>
      <c r="R628" s="7"/>
      <c r="S628" s="7"/>
      <c r="T628" s="15"/>
      <c r="U628" s="15"/>
      <c r="V628" s="15"/>
      <c r="W628" s="12"/>
      <c r="X628" s="7"/>
      <c r="Y628" s="12"/>
      <c r="Z628" s="12"/>
      <c r="AA628" s="12"/>
    </row>
    <row r="629" ht="19.5" customHeight="1">
      <c r="A629" s="7"/>
      <c r="B629" s="12"/>
      <c r="C629" s="12"/>
      <c r="D629" s="12"/>
      <c r="E629" s="12"/>
      <c r="F629" s="12"/>
      <c r="G629" s="12"/>
      <c r="H629" s="12"/>
      <c r="I629" s="12"/>
      <c r="J629" s="7"/>
      <c r="K629" s="12"/>
      <c r="L629" s="7"/>
      <c r="M629" s="10"/>
      <c r="N629" s="7"/>
      <c r="O629" s="7"/>
      <c r="P629" s="10"/>
      <c r="Q629" s="10"/>
      <c r="R629" s="7"/>
      <c r="S629" s="7"/>
      <c r="T629" s="15"/>
      <c r="U629" s="15"/>
      <c r="V629" s="15"/>
      <c r="W629" s="12"/>
      <c r="X629" s="7"/>
      <c r="Y629" s="12"/>
      <c r="Z629" s="12"/>
      <c r="AA629" s="12"/>
    </row>
    <row r="630" ht="19.5" customHeight="1">
      <c r="A630" s="7"/>
      <c r="B630" s="12"/>
      <c r="C630" s="12"/>
      <c r="D630" s="12"/>
      <c r="E630" s="12"/>
      <c r="F630" s="12"/>
      <c r="G630" s="12"/>
      <c r="H630" s="12"/>
      <c r="I630" s="12"/>
      <c r="J630" s="7"/>
      <c r="K630" s="12"/>
      <c r="L630" s="7"/>
      <c r="M630" s="10"/>
      <c r="N630" s="7"/>
      <c r="O630" s="7"/>
      <c r="P630" s="10"/>
      <c r="Q630" s="10"/>
      <c r="R630" s="7"/>
      <c r="S630" s="7"/>
      <c r="T630" s="15"/>
      <c r="U630" s="15"/>
      <c r="V630" s="15"/>
      <c r="W630" s="12"/>
      <c r="X630" s="7"/>
      <c r="Y630" s="12"/>
      <c r="Z630" s="12"/>
      <c r="AA630" s="12"/>
    </row>
    <row r="631" ht="19.5" customHeight="1">
      <c r="A631" s="7"/>
      <c r="B631" s="12"/>
      <c r="C631" s="12"/>
      <c r="D631" s="12"/>
      <c r="E631" s="12"/>
      <c r="F631" s="12"/>
      <c r="G631" s="12"/>
      <c r="H631" s="12"/>
      <c r="I631" s="12"/>
      <c r="J631" s="7"/>
      <c r="K631" s="12"/>
      <c r="L631" s="7"/>
      <c r="M631" s="10"/>
      <c r="N631" s="7"/>
      <c r="O631" s="7"/>
      <c r="P631" s="10"/>
      <c r="Q631" s="10"/>
      <c r="R631" s="7"/>
      <c r="S631" s="7"/>
      <c r="T631" s="15"/>
      <c r="U631" s="15"/>
      <c r="V631" s="15"/>
      <c r="W631" s="12"/>
      <c r="X631" s="7"/>
      <c r="Y631" s="12"/>
      <c r="Z631" s="12"/>
      <c r="AA631" s="12"/>
    </row>
    <row r="632" ht="19.5" customHeight="1">
      <c r="A632" s="7"/>
      <c r="B632" s="12"/>
      <c r="C632" s="12"/>
      <c r="D632" s="12"/>
      <c r="E632" s="12"/>
      <c r="F632" s="12"/>
      <c r="G632" s="12"/>
      <c r="H632" s="12"/>
      <c r="I632" s="12"/>
      <c r="J632" s="7"/>
      <c r="K632" s="12"/>
      <c r="L632" s="7"/>
      <c r="M632" s="10"/>
      <c r="N632" s="7"/>
      <c r="O632" s="7"/>
      <c r="P632" s="10"/>
      <c r="Q632" s="10"/>
      <c r="R632" s="7"/>
      <c r="S632" s="7"/>
      <c r="T632" s="15"/>
      <c r="U632" s="15"/>
      <c r="V632" s="15"/>
      <c r="W632" s="12"/>
      <c r="X632" s="7"/>
      <c r="Y632" s="12"/>
      <c r="Z632" s="12"/>
      <c r="AA632" s="12"/>
    </row>
    <row r="633" ht="19.5" customHeight="1">
      <c r="A633" s="7"/>
      <c r="B633" s="12"/>
      <c r="C633" s="12"/>
      <c r="D633" s="12"/>
      <c r="E633" s="12"/>
      <c r="F633" s="12"/>
      <c r="G633" s="12"/>
      <c r="H633" s="12"/>
      <c r="I633" s="12"/>
      <c r="J633" s="7"/>
      <c r="K633" s="12"/>
      <c r="L633" s="7"/>
      <c r="M633" s="10"/>
      <c r="N633" s="7"/>
      <c r="O633" s="7"/>
      <c r="P633" s="10"/>
      <c r="Q633" s="10"/>
      <c r="R633" s="7"/>
      <c r="S633" s="7"/>
      <c r="T633" s="15"/>
      <c r="U633" s="15"/>
      <c r="V633" s="15"/>
      <c r="W633" s="12"/>
      <c r="X633" s="7"/>
      <c r="Y633" s="12"/>
      <c r="Z633" s="12"/>
      <c r="AA633" s="12"/>
    </row>
    <row r="634" ht="19.5" customHeight="1">
      <c r="A634" s="7"/>
      <c r="B634" s="12"/>
      <c r="C634" s="12"/>
      <c r="D634" s="12"/>
      <c r="E634" s="12"/>
      <c r="F634" s="12"/>
      <c r="G634" s="12"/>
      <c r="H634" s="12"/>
      <c r="I634" s="12"/>
      <c r="J634" s="7"/>
      <c r="K634" s="12"/>
      <c r="L634" s="7"/>
      <c r="M634" s="10"/>
      <c r="N634" s="7"/>
      <c r="O634" s="7"/>
      <c r="P634" s="10"/>
      <c r="Q634" s="10"/>
      <c r="R634" s="7"/>
      <c r="S634" s="7"/>
      <c r="T634" s="15"/>
      <c r="U634" s="15"/>
      <c r="V634" s="15"/>
      <c r="W634" s="12"/>
      <c r="X634" s="7"/>
      <c r="Y634" s="12"/>
      <c r="Z634" s="12"/>
      <c r="AA634" s="12"/>
    </row>
    <row r="635" ht="19.5" customHeight="1">
      <c r="A635" s="7"/>
      <c r="B635" s="12"/>
      <c r="C635" s="12"/>
      <c r="D635" s="12"/>
      <c r="E635" s="12"/>
      <c r="F635" s="12"/>
      <c r="G635" s="12"/>
      <c r="H635" s="12"/>
      <c r="I635" s="12"/>
      <c r="J635" s="7"/>
      <c r="K635" s="12"/>
      <c r="L635" s="7"/>
      <c r="M635" s="10"/>
      <c r="N635" s="7"/>
      <c r="O635" s="7"/>
      <c r="P635" s="10"/>
      <c r="Q635" s="10"/>
      <c r="R635" s="7"/>
      <c r="S635" s="7"/>
      <c r="T635" s="15"/>
      <c r="U635" s="15"/>
      <c r="V635" s="15"/>
      <c r="W635" s="12"/>
      <c r="X635" s="7"/>
      <c r="Y635" s="12"/>
      <c r="Z635" s="12"/>
      <c r="AA635" s="12"/>
    </row>
    <row r="636" ht="19.5" customHeight="1">
      <c r="A636" s="7"/>
      <c r="B636" s="12"/>
      <c r="C636" s="12"/>
      <c r="D636" s="12"/>
      <c r="E636" s="12"/>
      <c r="F636" s="12"/>
      <c r="G636" s="12"/>
      <c r="H636" s="12"/>
      <c r="I636" s="12"/>
      <c r="J636" s="7"/>
      <c r="K636" s="12"/>
      <c r="L636" s="7"/>
      <c r="M636" s="10"/>
      <c r="N636" s="7"/>
      <c r="O636" s="7"/>
      <c r="P636" s="10"/>
      <c r="Q636" s="10"/>
      <c r="R636" s="7"/>
      <c r="S636" s="7"/>
      <c r="T636" s="15"/>
      <c r="U636" s="15"/>
      <c r="V636" s="15"/>
      <c r="W636" s="12"/>
      <c r="X636" s="7"/>
      <c r="Y636" s="12"/>
      <c r="Z636" s="12"/>
      <c r="AA636" s="12"/>
    </row>
    <row r="637" ht="19.5" customHeight="1">
      <c r="A637" s="7"/>
      <c r="B637" s="12"/>
      <c r="C637" s="12"/>
      <c r="D637" s="12"/>
      <c r="E637" s="12"/>
      <c r="F637" s="12"/>
      <c r="G637" s="12"/>
      <c r="H637" s="12"/>
      <c r="I637" s="12"/>
      <c r="J637" s="7"/>
      <c r="K637" s="12"/>
      <c r="L637" s="7"/>
      <c r="M637" s="10"/>
      <c r="N637" s="7"/>
      <c r="O637" s="7"/>
      <c r="P637" s="10"/>
      <c r="Q637" s="10"/>
      <c r="R637" s="7"/>
      <c r="S637" s="7"/>
      <c r="T637" s="15"/>
      <c r="U637" s="15"/>
      <c r="V637" s="15"/>
      <c r="W637" s="12"/>
      <c r="X637" s="7"/>
      <c r="Y637" s="12"/>
      <c r="Z637" s="12"/>
      <c r="AA637" s="12"/>
    </row>
    <row r="638" ht="19.5" customHeight="1">
      <c r="A638" s="7"/>
      <c r="B638" s="12"/>
      <c r="C638" s="12"/>
      <c r="D638" s="12"/>
      <c r="E638" s="12"/>
      <c r="F638" s="12"/>
      <c r="G638" s="12"/>
      <c r="H638" s="12"/>
      <c r="I638" s="12"/>
      <c r="J638" s="7"/>
      <c r="K638" s="12"/>
      <c r="L638" s="7"/>
      <c r="M638" s="10"/>
      <c r="N638" s="7"/>
      <c r="O638" s="7"/>
      <c r="P638" s="10"/>
      <c r="Q638" s="10"/>
      <c r="R638" s="7"/>
      <c r="S638" s="7"/>
      <c r="T638" s="15"/>
      <c r="U638" s="15"/>
      <c r="V638" s="15"/>
      <c r="W638" s="12"/>
      <c r="X638" s="7"/>
      <c r="Y638" s="12"/>
      <c r="Z638" s="12"/>
      <c r="AA638" s="12"/>
    </row>
    <row r="639" ht="19.5" customHeight="1">
      <c r="A639" s="7"/>
      <c r="B639" s="12"/>
      <c r="C639" s="12"/>
      <c r="D639" s="12"/>
      <c r="E639" s="12"/>
      <c r="F639" s="12"/>
      <c r="G639" s="12"/>
      <c r="H639" s="12"/>
      <c r="I639" s="12"/>
      <c r="J639" s="7"/>
      <c r="K639" s="12"/>
      <c r="L639" s="7"/>
      <c r="M639" s="10"/>
      <c r="N639" s="7"/>
      <c r="O639" s="7"/>
      <c r="P639" s="10"/>
      <c r="Q639" s="10"/>
      <c r="R639" s="7"/>
      <c r="S639" s="7"/>
      <c r="T639" s="15"/>
      <c r="U639" s="15"/>
      <c r="V639" s="15"/>
      <c r="W639" s="12"/>
      <c r="X639" s="7"/>
      <c r="Y639" s="12"/>
      <c r="Z639" s="12"/>
      <c r="AA639" s="12"/>
    </row>
    <row r="640" ht="19.5" customHeight="1">
      <c r="A640" s="7"/>
      <c r="B640" s="12"/>
      <c r="C640" s="12"/>
      <c r="D640" s="12"/>
      <c r="E640" s="12"/>
      <c r="F640" s="12"/>
      <c r="G640" s="12"/>
      <c r="H640" s="12"/>
      <c r="I640" s="12"/>
      <c r="J640" s="7"/>
      <c r="K640" s="12"/>
      <c r="L640" s="7"/>
      <c r="M640" s="10"/>
      <c r="N640" s="7"/>
      <c r="O640" s="7"/>
      <c r="P640" s="10"/>
      <c r="Q640" s="10"/>
      <c r="R640" s="7"/>
      <c r="S640" s="7"/>
      <c r="T640" s="15"/>
      <c r="U640" s="15"/>
      <c r="V640" s="15"/>
      <c r="W640" s="12"/>
      <c r="X640" s="7"/>
      <c r="Y640" s="12"/>
      <c r="Z640" s="12"/>
      <c r="AA640" s="12"/>
    </row>
    <row r="641" ht="19.5" customHeight="1">
      <c r="A641" s="7"/>
      <c r="B641" s="12"/>
      <c r="C641" s="12"/>
      <c r="D641" s="12"/>
      <c r="E641" s="12"/>
      <c r="F641" s="12"/>
      <c r="G641" s="12"/>
      <c r="H641" s="12"/>
      <c r="I641" s="12"/>
      <c r="J641" s="7"/>
      <c r="K641" s="12"/>
      <c r="L641" s="7"/>
      <c r="M641" s="10"/>
      <c r="N641" s="7"/>
      <c r="O641" s="7"/>
      <c r="P641" s="10"/>
      <c r="Q641" s="10"/>
      <c r="R641" s="7"/>
      <c r="S641" s="7"/>
      <c r="T641" s="15"/>
      <c r="U641" s="15"/>
      <c r="V641" s="15"/>
      <c r="W641" s="12"/>
      <c r="X641" s="7"/>
      <c r="Y641" s="12"/>
      <c r="Z641" s="12"/>
      <c r="AA641" s="12"/>
    </row>
    <row r="642" ht="19.5" customHeight="1">
      <c r="A642" s="7"/>
      <c r="B642" s="12"/>
      <c r="C642" s="12"/>
      <c r="D642" s="12"/>
      <c r="E642" s="12"/>
      <c r="F642" s="12"/>
      <c r="G642" s="12"/>
      <c r="H642" s="12"/>
      <c r="I642" s="12"/>
      <c r="J642" s="7"/>
      <c r="K642" s="12"/>
      <c r="L642" s="7"/>
      <c r="M642" s="10"/>
      <c r="N642" s="7"/>
      <c r="O642" s="7"/>
      <c r="P642" s="10"/>
      <c r="Q642" s="10"/>
      <c r="R642" s="7"/>
      <c r="S642" s="7"/>
      <c r="T642" s="15"/>
      <c r="U642" s="15"/>
      <c r="V642" s="15"/>
      <c r="W642" s="12"/>
      <c r="X642" s="7"/>
      <c r="Y642" s="12"/>
      <c r="Z642" s="12"/>
      <c r="AA642" s="12"/>
    </row>
    <row r="643" ht="19.5" customHeight="1">
      <c r="A643" s="7"/>
      <c r="B643" s="12"/>
      <c r="C643" s="12"/>
      <c r="D643" s="12"/>
      <c r="E643" s="12"/>
      <c r="F643" s="12"/>
      <c r="G643" s="12"/>
      <c r="H643" s="12"/>
      <c r="I643" s="12"/>
      <c r="J643" s="7"/>
      <c r="K643" s="12"/>
      <c r="L643" s="7"/>
      <c r="M643" s="10"/>
      <c r="N643" s="7"/>
      <c r="O643" s="7"/>
      <c r="P643" s="10"/>
      <c r="Q643" s="10"/>
      <c r="R643" s="7"/>
      <c r="S643" s="7"/>
      <c r="T643" s="15"/>
      <c r="U643" s="15"/>
      <c r="V643" s="15"/>
      <c r="W643" s="12"/>
      <c r="X643" s="7"/>
      <c r="Y643" s="12"/>
      <c r="Z643" s="12"/>
      <c r="AA643" s="12"/>
    </row>
    <row r="644" ht="19.5" customHeight="1">
      <c r="A644" s="7"/>
      <c r="B644" s="12"/>
      <c r="C644" s="12"/>
      <c r="D644" s="12"/>
      <c r="E644" s="12"/>
      <c r="F644" s="12"/>
      <c r="G644" s="12"/>
      <c r="H644" s="12"/>
      <c r="I644" s="12"/>
      <c r="J644" s="7"/>
      <c r="K644" s="12"/>
      <c r="L644" s="7"/>
      <c r="M644" s="10"/>
      <c r="N644" s="7"/>
      <c r="O644" s="7"/>
      <c r="P644" s="10"/>
      <c r="Q644" s="10"/>
      <c r="R644" s="7"/>
      <c r="S644" s="7"/>
      <c r="T644" s="15"/>
      <c r="U644" s="15"/>
      <c r="V644" s="15"/>
      <c r="W644" s="12"/>
      <c r="X644" s="7"/>
      <c r="Y644" s="12"/>
      <c r="Z644" s="12"/>
      <c r="AA644" s="12"/>
    </row>
    <row r="645" ht="19.5" customHeight="1">
      <c r="A645" s="7"/>
      <c r="B645" s="12"/>
      <c r="C645" s="12"/>
      <c r="D645" s="12"/>
      <c r="E645" s="12"/>
      <c r="F645" s="12"/>
      <c r="G645" s="12"/>
      <c r="H645" s="12"/>
      <c r="I645" s="12"/>
      <c r="J645" s="7"/>
      <c r="K645" s="12"/>
      <c r="L645" s="7"/>
      <c r="M645" s="10"/>
      <c r="N645" s="7"/>
      <c r="O645" s="7"/>
      <c r="P645" s="10"/>
      <c r="Q645" s="10"/>
      <c r="R645" s="7"/>
      <c r="S645" s="7"/>
      <c r="T645" s="15"/>
      <c r="U645" s="15"/>
      <c r="V645" s="15"/>
      <c r="W645" s="12"/>
      <c r="X645" s="7"/>
      <c r="Y645" s="12"/>
      <c r="Z645" s="12"/>
      <c r="AA645" s="12"/>
    </row>
    <row r="646" ht="19.5" customHeight="1">
      <c r="A646" s="7"/>
      <c r="B646" s="12"/>
      <c r="C646" s="12"/>
      <c r="D646" s="12"/>
      <c r="E646" s="12"/>
      <c r="F646" s="12"/>
      <c r="G646" s="12"/>
      <c r="H646" s="12"/>
      <c r="I646" s="12"/>
      <c r="J646" s="7"/>
      <c r="K646" s="12"/>
      <c r="L646" s="7"/>
      <c r="M646" s="10"/>
      <c r="N646" s="7"/>
      <c r="O646" s="7"/>
      <c r="P646" s="10"/>
      <c r="Q646" s="10"/>
      <c r="R646" s="7"/>
      <c r="S646" s="7"/>
      <c r="T646" s="15"/>
      <c r="U646" s="15"/>
      <c r="V646" s="15"/>
      <c r="W646" s="12"/>
      <c r="X646" s="7"/>
      <c r="Y646" s="12"/>
      <c r="Z646" s="12"/>
      <c r="AA646" s="12"/>
    </row>
    <row r="647" ht="19.5" customHeight="1">
      <c r="A647" s="7"/>
      <c r="B647" s="12"/>
      <c r="C647" s="12"/>
      <c r="D647" s="12"/>
      <c r="E647" s="12"/>
      <c r="F647" s="12"/>
      <c r="G647" s="12"/>
      <c r="H647" s="12"/>
      <c r="I647" s="12"/>
      <c r="J647" s="7"/>
      <c r="K647" s="12"/>
      <c r="L647" s="7"/>
      <c r="M647" s="10"/>
      <c r="N647" s="7"/>
      <c r="O647" s="7"/>
      <c r="P647" s="10"/>
      <c r="Q647" s="10"/>
      <c r="R647" s="7"/>
      <c r="S647" s="7"/>
      <c r="T647" s="15"/>
      <c r="U647" s="15"/>
      <c r="V647" s="15"/>
      <c r="W647" s="12"/>
      <c r="X647" s="7"/>
      <c r="Y647" s="12"/>
      <c r="Z647" s="12"/>
      <c r="AA647" s="12"/>
    </row>
    <row r="648" ht="19.5" customHeight="1">
      <c r="A648" s="7"/>
      <c r="B648" s="12"/>
      <c r="C648" s="12"/>
      <c r="D648" s="12"/>
      <c r="E648" s="12"/>
      <c r="F648" s="12"/>
      <c r="G648" s="12"/>
      <c r="H648" s="12"/>
      <c r="I648" s="12"/>
      <c r="J648" s="7"/>
      <c r="K648" s="12"/>
      <c r="L648" s="7"/>
      <c r="M648" s="10"/>
      <c r="N648" s="7"/>
      <c r="O648" s="7"/>
      <c r="P648" s="10"/>
      <c r="Q648" s="10"/>
      <c r="R648" s="7"/>
      <c r="S648" s="7"/>
      <c r="T648" s="15"/>
      <c r="U648" s="15"/>
      <c r="V648" s="15"/>
      <c r="W648" s="12"/>
      <c r="X648" s="7"/>
      <c r="Y648" s="12"/>
      <c r="Z648" s="12"/>
      <c r="AA648" s="12"/>
    </row>
    <row r="649" ht="19.5" customHeight="1">
      <c r="A649" s="7"/>
      <c r="B649" s="12"/>
      <c r="C649" s="12"/>
      <c r="D649" s="12"/>
      <c r="E649" s="12"/>
      <c r="F649" s="12"/>
      <c r="G649" s="12"/>
      <c r="H649" s="12"/>
      <c r="I649" s="12"/>
      <c r="J649" s="7"/>
      <c r="K649" s="12"/>
      <c r="L649" s="7"/>
      <c r="M649" s="10"/>
      <c r="N649" s="7"/>
      <c r="O649" s="7"/>
      <c r="P649" s="10"/>
      <c r="Q649" s="10"/>
      <c r="R649" s="7"/>
      <c r="S649" s="7"/>
      <c r="T649" s="15"/>
      <c r="U649" s="15"/>
      <c r="V649" s="15"/>
      <c r="W649" s="12"/>
      <c r="X649" s="7"/>
      <c r="Y649" s="12"/>
      <c r="Z649" s="12"/>
      <c r="AA649" s="12"/>
    </row>
    <row r="650" ht="19.5" customHeight="1">
      <c r="A650" s="7"/>
      <c r="B650" s="12"/>
      <c r="C650" s="12"/>
      <c r="D650" s="12"/>
      <c r="E650" s="12"/>
      <c r="F650" s="12"/>
      <c r="G650" s="12"/>
      <c r="H650" s="12"/>
      <c r="I650" s="12"/>
      <c r="J650" s="7"/>
      <c r="K650" s="12"/>
      <c r="L650" s="7"/>
      <c r="M650" s="10"/>
      <c r="N650" s="7"/>
      <c r="O650" s="7"/>
      <c r="P650" s="10"/>
      <c r="Q650" s="10"/>
      <c r="R650" s="7"/>
      <c r="S650" s="7"/>
      <c r="T650" s="15"/>
      <c r="U650" s="15"/>
      <c r="V650" s="15"/>
      <c r="W650" s="12"/>
      <c r="X650" s="7"/>
      <c r="Y650" s="12"/>
      <c r="Z650" s="12"/>
      <c r="AA650" s="12"/>
    </row>
    <row r="651" ht="19.5" customHeight="1">
      <c r="A651" s="7"/>
      <c r="B651" s="12"/>
      <c r="C651" s="12"/>
      <c r="D651" s="12"/>
      <c r="E651" s="12"/>
      <c r="F651" s="12"/>
      <c r="G651" s="12"/>
      <c r="H651" s="12"/>
      <c r="I651" s="12"/>
      <c r="J651" s="7"/>
      <c r="K651" s="12"/>
      <c r="L651" s="7"/>
      <c r="M651" s="10"/>
      <c r="N651" s="7"/>
      <c r="O651" s="7"/>
      <c r="P651" s="10"/>
      <c r="Q651" s="10"/>
      <c r="R651" s="7"/>
      <c r="S651" s="7"/>
      <c r="T651" s="15"/>
      <c r="U651" s="15"/>
      <c r="V651" s="15"/>
      <c r="W651" s="12"/>
      <c r="X651" s="7"/>
      <c r="Y651" s="12"/>
      <c r="Z651" s="12"/>
      <c r="AA651" s="12"/>
    </row>
    <row r="652" ht="19.5" customHeight="1">
      <c r="A652" s="7"/>
      <c r="B652" s="12"/>
      <c r="C652" s="12"/>
      <c r="D652" s="12"/>
      <c r="E652" s="12"/>
      <c r="F652" s="12"/>
      <c r="G652" s="12"/>
      <c r="H652" s="12"/>
      <c r="I652" s="12"/>
      <c r="J652" s="7"/>
      <c r="K652" s="12"/>
      <c r="L652" s="7"/>
      <c r="M652" s="10"/>
      <c r="N652" s="7"/>
      <c r="O652" s="7"/>
      <c r="P652" s="10"/>
      <c r="Q652" s="10"/>
      <c r="R652" s="7"/>
      <c r="S652" s="7"/>
      <c r="T652" s="15"/>
      <c r="U652" s="15"/>
      <c r="V652" s="15"/>
      <c r="W652" s="12"/>
      <c r="X652" s="7"/>
      <c r="Y652" s="12"/>
      <c r="Z652" s="12"/>
      <c r="AA652" s="12"/>
    </row>
    <row r="653" ht="19.5" customHeight="1">
      <c r="A653" s="7"/>
      <c r="B653" s="12"/>
      <c r="C653" s="12"/>
      <c r="D653" s="12"/>
      <c r="E653" s="12"/>
      <c r="F653" s="12"/>
      <c r="G653" s="12"/>
      <c r="H653" s="12"/>
      <c r="I653" s="12"/>
      <c r="J653" s="7"/>
      <c r="K653" s="12"/>
      <c r="L653" s="7"/>
      <c r="M653" s="10"/>
      <c r="N653" s="7"/>
      <c r="O653" s="7"/>
      <c r="P653" s="10"/>
      <c r="Q653" s="10"/>
      <c r="R653" s="7"/>
      <c r="S653" s="7"/>
      <c r="T653" s="15"/>
      <c r="U653" s="15"/>
      <c r="V653" s="15"/>
      <c r="W653" s="12"/>
      <c r="X653" s="7"/>
      <c r="Y653" s="12"/>
      <c r="Z653" s="12"/>
      <c r="AA653" s="12"/>
    </row>
    <row r="654" ht="19.5" customHeight="1">
      <c r="A654" s="7"/>
      <c r="B654" s="12"/>
      <c r="C654" s="12"/>
      <c r="D654" s="12"/>
      <c r="E654" s="12"/>
      <c r="F654" s="12"/>
      <c r="G654" s="12"/>
      <c r="H654" s="12"/>
      <c r="I654" s="12"/>
      <c r="J654" s="7"/>
      <c r="K654" s="12"/>
      <c r="L654" s="7"/>
      <c r="M654" s="10"/>
      <c r="N654" s="7"/>
      <c r="O654" s="7"/>
      <c r="P654" s="10"/>
      <c r="Q654" s="10"/>
      <c r="R654" s="7"/>
      <c r="S654" s="7"/>
      <c r="T654" s="15"/>
      <c r="U654" s="15"/>
      <c r="V654" s="15"/>
      <c r="W654" s="12"/>
      <c r="X654" s="7"/>
      <c r="Y654" s="12"/>
      <c r="Z654" s="12"/>
      <c r="AA654" s="12"/>
    </row>
    <row r="655" ht="19.5" customHeight="1">
      <c r="A655" s="7"/>
      <c r="B655" s="12"/>
      <c r="C655" s="12"/>
      <c r="D655" s="12"/>
      <c r="E655" s="12"/>
      <c r="F655" s="12"/>
      <c r="G655" s="12"/>
      <c r="H655" s="12"/>
      <c r="I655" s="12"/>
      <c r="J655" s="7"/>
      <c r="K655" s="12"/>
      <c r="L655" s="7"/>
      <c r="M655" s="10"/>
      <c r="N655" s="7"/>
      <c r="O655" s="7"/>
      <c r="P655" s="10"/>
      <c r="Q655" s="10"/>
      <c r="R655" s="7"/>
      <c r="S655" s="7"/>
      <c r="T655" s="15"/>
      <c r="U655" s="15"/>
      <c r="V655" s="15"/>
      <c r="W655" s="12"/>
      <c r="X655" s="7"/>
      <c r="Y655" s="12"/>
      <c r="Z655" s="12"/>
      <c r="AA655" s="12"/>
    </row>
    <row r="656" ht="19.5" customHeight="1">
      <c r="A656" s="7"/>
      <c r="B656" s="12"/>
      <c r="C656" s="12"/>
      <c r="D656" s="12"/>
      <c r="E656" s="12"/>
      <c r="F656" s="12"/>
      <c r="G656" s="12"/>
      <c r="H656" s="12"/>
      <c r="I656" s="12"/>
      <c r="J656" s="7"/>
      <c r="K656" s="12"/>
      <c r="L656" s="7"/>
      <c r="M656" s="10"/>
      <c r="N656" s="7"/>
      <c r="O656" s="7"/>
      <c r="P656" s="10"/>
      <c r="Q656" s="10"/>
      <c r="R656" s="7"/>
      <c r="S656" s="7"/>
      <c r="T656" s="15"/>
      <c r="U656" s="15"/>
      <c r="V656" s="15"/>
      <c r="W656" s="12"/>
      <c r="X656" s="7"/>
      <c r="Y656" s="12"/>
      <c r="Z656" s="12"/>
      <c r="AA656" s="12"/>
    </row>
    <row r="657" ht="19.5" customHeight="1">
      <c r="A657" s="7"/>
      <c r="B657" s="12"/>
      <c r="C657" s="12"/>
      <c r="D657" s="12"/>
      <c r="E657" s="12"/>
      <c r="F657" s="12"/>
      <c r="G657" s="12"/>
      <c r="H657" s="12"/>
      <c r="I657" s="12"/>
      <c r="J657" s="7"/>
      <c r="K657" s="12"/>
      <c r="L657" s="7"/>
      <c r="M657" s="10"/>
      <c r="N657" s="7"/>
      <c r="O657" s="7"/>
      <c r="P657" s="10"/>
      <c r="Q657" s="10"/>
      <c r="R657" s="7"/>
      <c r="S657" s="7"/>
      <c r="T657" s="15"/>
      <c r="U657" s="15"/>
      <c r="V657" s="15"/>
      <c r="W657" s="12"/>
      <c r="X657" s="7"/>
      <c r="Y657" s="12"/>
      <c r="Z657" s="12"/>
      <c r="AA657" s="12"/>
    </row>
    <row r="658" ht="19.5" customHeight="1">
      <c r="A658" s="7"/>
      <c r="B658" s="12"/>
      <c r="C658" s="12"/>
      <c r="D658" s="12"/>
      <c r="E658" s="12"/>
      <c r="F658" s="12"/>
      <c r="G658" s="12"/>
      <c r="H658" s="12"/>
      <c r="I658" s="12"/>
      <c r="J658" s="7"/>
      <c r="K658" s="12"/>
      <c r="L658" s="7"/>
      <c r="M658" s="10"/>
      <c r="N658" s="7"/>
      <c r="O658" s="7"/>
      <c r="P658" s="10"/>
      <c r="Q658" s="10"/>
      <c r="R658" s="7"/>
      <c r="S658" s="7"/>
      <c r="T658" s="15"/>
      <c r="U658" s="15"/>
      <c r="V658" s="15"/>
      <c r="W658" s="12"/>
      <c r="X658" s="7"/>
      <c r="Y658" s="12"/>
      <c r="Z658" s="12"/>
      <c r="AA658" s="12"/>
    </row>
    <row r="659" ht="19.5" customHeight="1">
      <c r="A659" s="7"/>
      <c r="B659" s="12"/>
      <c r="C659" s="12"/>
      <c r="D659" s="12"/>
      <c r="E659" s="12"/>
      <c r="F659" s="12"/>
      <c r="G659" s="12"/>
      <c r="H659" s="12"/>
      <c r="I659" s="12"/>
      <c r="J659" s="7"/>
      <c r="K659" s="12"/>
      <c r="L659" s="7"/>
      <c r="M659" s="10"/>
      <c r="N659" s="7"/>
      <c r="O659" s="7"/>
      <c r="P659" s="10"/>
      <c r="Q659" s="10"/>
      <c r="R659" s="7"/>
      <c r="S659" s="7"/>
      <c r="T659" s="15"/>
      <c r="U659" s="15"/>
      <c r="V659" s="15"/>
      <c r="W659" s="12"/>
      <c r="X659" s="7"/>
      <c r="Y659" s="12"/>
      <c r="Z659" s="12"/>
      <c r="AA659" s="12"/>
    </row>
    <row r="660" ht="19.5" customHeight="1">
      <c r="A660" s="7"/>
      <c r="B660" s="12"/>
      <c r="C660" s="12"/>
      <c r="D660" s="12"/>
      <c r="E660" s="12"/>
      <c r="F660" s="12"/>
      <c r="G660" s="12"/>
      <c r="H660" s="12"/>
      <c r="I660" s="12"/>
      <c r="J660" s="7"/>
      <c r="K660" s="12"/>
      <c r="L660" s="7"/>
      <c r="M660" s="10"/>
      <c r="N660" s="7"/>
      <c r="O660" s="7"/>
      <c r="P660" s="10"/>
      <c r="Q660" s="10"/>
      <c r="R660" s="7"/>
      <c r="S660" s="7"/>
      <c r="T660" s="15"/>
      <c r="U660" s="15"/>
      <c r="V660" s="15"/>
      <c r="W660" s="12"/>
      <c r="X660" s="7"/>
      <c r="Y660" s="12"/>
      <c r="Z660" s="12"/>
      <c r="AA660" s="12"/>
    </row>
    <row r="661" ht="19.5" customHeight="1">
      <c r="A661" s="7"/>
      <c r="B661" s="12"/>
      <c r="C661" s="12"/>
      <c r="D661" s="12"/>
      <c r="E661" s="12"/>
      <c r="F661" s="12"/>
      <c r="G661" s="12"/>
      <c r="H661" s="12"/>
      <c r="I661" s="12"/>
      <c r="J661" s="7"/>
      <c r="K661" s="12"/>
      <c r="L661" s="7"/>
      <c r="M661" s="10"/>
      <c r="N661" s="7"/>
      <c r="O661" s="7"/>
      <c r="P661" s="10"/>
      <c r="Q661" s="10"/>
      <c r="R661" s="7"/>
      <c r="S661" s="7"/>
      <c r="T661" s="15"/>
      <c r="U661" s="15"/>
      <c r="V661" s="15"/>
      <c r="W661" s="12"/>
      <c r="X661" s="7"/>
      <c r="Y661" s="12"/>
      <c r="Z661" s="12"/>
      <c r="AA661" s="12"/>
    </row>
    <row r="662" ht="19.5" customHeight="1">
      <c r="A662" s="7"/>
      <c r="B662" s="12"/>
      <c r="C662" s="12"/>
      <c r="D662" s="12"/>
      <c r="E662" s="12"/>
      <c r="F662" s="12"/>
      <c r="G662" s="12"/>
      <c r="H662" s="12"/>
      <c r="I662" s="12"/>
      <c r="J662" s="7"/>
      <c r="K662" s="12"/>
      <c r="L662" s="7"/>
      <c r="M662" s="10"/>
      <c r="N662" s="7"/>
      <c r="O662" s="7"/>
      <c r="P662" s="10"/>
      <c r="Q662" s="10"/>
      <c r="R662" s="7"/>
      <c r="S662" s="7"/>
      <c r="T662" s="15"/>
      <c r="U662" s="15"/>
      <c r="V662" s="15"/>
      <c r="W662" s="12"/>
      <c r="X662" s="7"/>
      <c r="Y662" s="12"/>
      <c r="Z662" s="12"/>
      <c r="AA662" s="12"/>
    </row>
    <row r="663" ht="19.5" customHeight="1">
      <c r="A663" s="7"/>
      <c r="B663" s="12"/>
      <c r="C663" s="12"/>
      <c r="D663" s="12"/>
      <c r="E663" s="12"/>
      <c r="F663" s="12"/>
      <c r="G663" s="12"/>
      <c r="H663" s="12"/>
      <c r="I663" s="12"/>
      <c r="J663" s="7"/>
      <c r="K663" s="12"/>
      <c r="L663" s="7"/>
      <c r="M663" s="10"/>
      <c r="N663" s="7"/>
      <c r="O663" s="7"/>
      <c r="P663" s="10"/>
      <c r="Q663" s="10"/>
      <c r="R663" s="7"/>
      <c r="S663" s="7"/>
      <c r="T663" s="15"/>
      <c r="U663" s="15"/>
      <c r="V663" s="15"/>
      <c r="W663" s="12"/>
      <c r="X663" s="7"/>
      <c r="Y663" s="12"/>
      <c r="Z663" s="12"/>
      <c r="AA663" s="12"/>
    </row>
    <row r="664" ht="19.5" customHeight="1">
      <c r="A664" s="7"/>
      <c r="B664" s="12"/>
      <c r="C664" s="12"/>
      <c r="D664" s="12"/>
      <c r="E664" s="12"/>
      <c r="F664" s="12"/>
      <c r="G664" s="12"/>
      <c r="H664" s="12"/>
      <c r="I664" s="12"/>
      <c r="J664" s="7"/>
      <c r="K664" s="12"/>
      <c r="L664" s="7"/>
      <c r="M664" s="10"/>
      <c r="N664" s="7"/>
      <c r="O664" s="7"/>
      <c r="P664" s="10"/>
      <c r="Q664" s="10"/>
      <c r="R664" s="7"/>
      <c r="S664" s="7"/>
      <c r="T664" s="15"/>
      <c r="U664" s="15"/>
      <c r="V664" s="15"/>
      <c r="W664" s="12"/>
      <c r="X664" s="7"/>
      <c r="Y664" s="12"/>
      <c r="Z664" s="12"/>
      <c r="AA664" s="12"/>
    </row>
    <row r="665" ht="19.5" customHeight="1">
      <c r="A665" s="7"/>
      <c r="B665" s="12"/>
      <c r="C665" s="12"/>
      <c r="D665" s="12"/>
      <c r="E665" s="12"/>
      <c r="F665" s="12"/>
      <c r="G665" s="12"/>
      <c r="H665" s="12"/>
      <c r="I665" s="12"/>
      <c r="J665" s="7"/>
      <c r="K665" s="12"/>
      <c r="L665" s="7"/>
      <c r="M665" s="10"/>
      <c r="N665" s="7"/>
      <c r="O665" s="7"/>
      <c r="P665" s="10"/>
      <c r="Q665" s="10"/>
      <c r="R665" s="7"/>
      <c r="S665" s="7"/>
      <c r="T665" s="15"/>
      <c r="U665" s="15"/>
      <c r="V665" s="15"/>
      <c r="W665" s="12"/>
      <c r="X665" s="7"/>
      <c r="Y665" s="12"/>
      <c r="Z665" s="12"/>
      <c r="AA665" s="12"/>
    </row>
    <row r="666" ht="19.5" customHeight="1">
      <c r="A666" s="7"/>
      <c r="B666" s="12"/>
      <c r="C666" s="12"/>
      <c r="D666" s="12"/>
      <c r="E666" s="12"/>
      <c r="F666" s="12"/>
      <c r="G666" s="12"/>
      <c r="H666" s="12"/>
      <c r="I666" s="12"/>
      <c r="J666" s="7"/>
      <c r="K666" s="12"/>
      <c r="L666" s="7"/>
      <c r="M666" s="10"/>
      <c r="N666" s="7"/>
      <c r="O666" s="7"/>
      <c r="P666" s="10"/>
      <c r="Q666" s="10"/>
      <c r="R666" s="7"/>
      <c r="S666" s="7"/>
      <c r="T666" s="15"/>
      <c r="U666" s="15"/>
      <c r="V666" s="15"/>
      <c r="W666" s="12"/>
      <c r="X666" s="7"/>
      <c r="Y666" s="12"/>
      <c r="Z666" s="12"/>
      <c r="AA666" s="12"/>
    </row>
    <row r="667" ht="19.5" customHeight="1">
      <c r="A667" s="7"/>
      <c r="B667" s="12"/>
      <c r="C667" s="12"/>
      <c r="D667" s="12"/>
      <c r="E667" s="12"/>
      <c r="F667" s="12"/>
      <c r="G667" s="12"/>
      <c r="H667" s="12"/>
      <c r="I667" s="12"/>
      <c r="J667" s="7"/>
      <c r="K667" s="12"/>
      <c r="L667" s="7"/>
      <c r="M667" s="10"/>
      <c r="N667" s="7"/>
      <c r="O667" s="7"/>
      <c r="P667" s="10"/>
      <c r="Q667" s="10"/>
      <c r="R667" s="7"/>
      <c r="S667" s="7"/>
      <c r="T667" s="15"/>
      <c r="U667" s="15"/>
      <c r="V667" s="15"/>
      <c r="W667" s="12"/>
      <c r="X667" s="7"/>
      <c r="Y667" s="12"/>
      <c r="Z667" s="12"/>
      <c r="AA667" s="12"/>
    </row>
    <row r="668" ht="19.5" customHeight="1">
      <c r="A668" s="7"/>
      <c r="B668" s="12"/>
      <c r="C668" s="12"/>
      <c r="D668" s="12"/>
      <c r="E668" s="12"/>
      <c r="F668" s="12"/>
      <c r="G668" s="12"/>
      <c r="H668" s="12"/>
      <c r="I668" s="12"/>
      <c r="J668" s="7"/>
      <c r="K668" s="12"/>
      <c r="L668" s="7"/>
      <c r="M668" s="10"/>
      <c r="N668" s="7"/>
      <c r="O668" s="7"/>
      <c r="P668" s="10"/>
      <c r="Q668" s="10"/>
      <c r="R668" s="7"/>
      <c r="S668" s="7"/>
      <c r="T668" s="15"/>
      <c r="U668" s="15"/>
      <c r="V668" s="15"/>
      <c r="W668" s="12"/>
      <c r="X668" s="7"/>
      <c r="Y668" s="12"/>
      <c r="Z668" s="12"/>
      <c r="AA668" s="12"/>
    </row>
    <row r="669" ht="19.5" customHeight="1">
      <c r="A669" s="7"/>
      <c r="B669" s="12"/>
      <c r="C669" s="12"/>
      <c r="D669" s="12"/>
      <c r="E669" s="12"/>
      <c r="F669" s="12"/>
      <c r="G669" s="12"/>
      <c r="H669" s="12"/>
      <c r="I669" s="12"/>
      <c r="J669" s="7"/>
      <c r="K669" s="12"/>
      <c r="L669" s="7"/>
      <c r="M669" s="10"/>
      <c r="N669" s="7"/>
      <c r="O669" s="7"/>
      <c r="P669" s="10"/>
      <c r="Q669" s="10"/>
      <c r="R669" s="7"/>
      <c r="S669" s="7"/>
      <c r="T669" s="15"/>
      <c r="U669" s="15"/>
      <c r="V669" s="15"/>
      <c r="W669" s="12"/>
      <c r="X669" s="7"/>
      <c r="Y669" s="12"/>
      <c r="Z669" s="12"/>
      <c r="AA669" s="12"/>
    </row>
    <row r="670" ht="19.5" customHeight="1">
      <c r="A670" s="7"/>
      <c r="B670" s="12"/>
      <c r="C670" s="12"/>
      <c r="D670" s="12"/>
      <c r="E670" s="12"/>
      <c r="F670" s="12"/>
      <c r="G670" s="12"/>
      <c r="H670" s="12"/>
      <c r="I670" s="12"/>
      <c r="J670" s="7"/>
      <c r="K670" s="12"/>
      <c r="L670" s="7"/>
      <c r="M670" s="10"/>
      <c r="N670" s="7"/>
      <c r="O670" s="7"/>
      <c r="P670" s="10"/>
      <c r="Q670" s="10"/>
      <c r="R670" s="7"/>
      <c r="S670" s="7"/>
      <c r="T670" s="15"/>
      <c r="U670" s="15"/>
      <c r="V670" s="15"/>
      <c r="W670" s="12"/>
      <c r="X670" s="7"/>
      <c r="Y670" s="12"/>
      <c r="Z670" s="12"/>
      <c r="AA670" s="12"/>
    </row>
    <row r="671" ht="19.5" customHeight="1">
      <c r="A671" s="7"/>
      <c r="B671" s="12"/>
      <c r="C671" s="12"/>
      <c r="D671" s="12"/>
      <c r="E671" s="12"/>
      <c r="F671" s="12"/>
      <c r="G671" s="12"/>
      <c r="H671" s="12"/>
      <c r="I671" s="12"/>
      <c r="J671" s="7"/>
      <c r="K671" s="12"/>
      <c r="L671" s="7"/>
      <c r="M671" s="10"/>
      <c r="N671" s="7"/>
      <c r="O671" s="7"/>
      <c r="P671" s="10"/>
      <c r="Q671" s="10"/>
      <c r="R671" s="7"/>
      <c r="S671" s="7"/>
      <c r="T671" s="15"/>
      <c r="U671" s="15"/>
      <c r="V671" s="15"/>
      <c r="W671" s="12"/>
      <c r="X671" s="7"/>
      <c r="Y671" s="12"/>
      <c r="Z671" s="12"/>
      <c r="AA671" s="12"/>
    </row>
    <row r="672" ht="19.5" customHeight="1">
      <c r="A672" s="7"/>
      <c r="B672" s="12"/>
      <c r="C672" s="12"/>
      <c r="D672" s="12"/>
      <c r="E672" s="12"/>
      <c r="F672" s="12"/>
      <c r="G672" s="12"/>
      <c r="H672" s="12"/>
      <c r="I672" s="12"/>
      <c r="J672" s="7"/>
      <c r="K672" s="12"/>
      <c r="L672" s="7"/>
      <c r="M672" s="10"/>
      <c r="N672" s="7"/>
      <c r="O672" s="7"/>
      <c r="P672" s="10"/>
      <c r="Q672" s="10"/>
      <c r="R672" s="7"/>
      <c r="S672" s="7"/>
      <c r="T672" s="15"/>
      <c r="U672" s="15"/>
      <c r="V672" s="15"/>
      <c r="W672" s="12"/>
      <c r="X672" s="7"/>
      <c r="Y672" s="12"/>
      <c r="Z672" s="12"/>
      <c r="AA672" s="12"/>
    </row>
    <row r="673" ht="19.5" customHeight="1">
      <c r="A673" s="7"/>
      <c r="B673" s="12"/>
      <c r="C673" s="12"/>
      <c r="D673" s="12"/>
      <c r="E673" s="12"/>
      <c r="F673" s="12"/>
      <c r="G673" s="12"/>
      <c r="H673" s="12"/>
      <c r="I673" s="12"/>
      <c r="J673" s="7"/>
      <c r="K673" s="12"/>
      <c r="L673" s="7"/>
      <c r="M673" s="10"/>
      <c r="N673" s="7"/>
      <c r="O673" s="7"/>
      <c r="P673" s="10"/>
      <c r="Q673" s="10"/>
      <c r="R673" s="7"/>
      <c r="S673" s="7"/>
      <c r="T673" s="15"/>
      <c r="U673" s="15"/>
      <c r="V673" s="15"/>
      <c r="W673" s="12"/>
      <c r="X673" s="7"/>
      <c r="Y673" s="12"/>
      <c r="Z673" s="12"/>
      <c r="AA673" s="12"/>
    </row>
    <row r="674" ht="19.5" customHeight="1">
      <c r="A674" s="7"/>
      <c r="B674" s="12"/>
      <c r="C674" s="12"/>
      <c r="D674" s="12"/>
      <c r="E674" s="12"/>
      <c r="F674" s="12"/>
      <c r="G674" s="12"/>
      <c r="H674" s="12"/>
      <c r="I674" s="12"/>
      <c r="J674" s="7"/>
      <c r="K674" s="12"/>
      <c r="L674" s="7"/>
      <c r="M674" s="10"/>
      <c r="N674" s="7"/>
      <c r="O674" s="7"/>
      <c r="P674" s="10"/>
      <c r="Q674" s="10"/>
      <c r="R674" s="7"/>
      <c r="S674" s="7"/>
      <c r="T674" s="15"/>
      <c r="U674" s="15"/>
      <c r="V674" s="15"/>
      <c r="W674" s="12"/>
      <c r="X674" s="7"/>
      <c r="Y674" s="12"/>
      <c r="Z674" s="12"/>
      <c r="AA674" s="12"/>
    </row>
    <row r="675" ht="19.5" customHeight="1">
      <c r="A675" s="7"/>
      <c r="B675" s="12"/>
      <c r="C675" s="12"/>
      <c r="D675" s="12"/>
      <c r="E675" s="12"/>
      <c r="F675" s="12"/>
      <c r="G675" s="12"/>
      <c r="H675" s="12"/>
      <c r="I675" s="12"/>
      <c r="J675" s="7"/>
      <c r="K675" s="12"/>
      <c r="L675" s="7"/>
      <c r="M675" s="10"/>
      <c r="N675" s="7"/>
      <c r="O675" s="7"/>
      <c r="P675" s="10"/>
      <c r="Q675" s="10"/>
      <c r="R675" s="7"/>
      <c r="S675" s="7"/>
      <c r="T675" s="15"/>
      <c r="U675" s="15"/>
      <c r="V675" s="15"/>
      <c r="W675" s="12"/>
      <c r="X675" s="7"/>
      <c r="Y675" s="12"/>
      <c r="Z675" s="12"/>
      <c r="AA675" s="12"/>
    </row>
    <row r="676" ht="19.5" customHeight="1">
      <c r="A676" s="7"/>
      <c r="B676" s="12"/>
      <c r="C676" s="12"/>
      <c r="D676" s="12"/>
      <c r="E676" s="12"/>
      <c r="F676" s="12"/>
      <c r="G676" s="12"/>
      <c r="H676" s="12"/>
      <c r="I676" s="12"/>
      <c r="J676" s="7"/>
      <c r="K676" s="12"/>
      <c r="L676" s="7"/>
      <c r="M676" s="10"/>
      <c r="N676" s="7"/>
      <c r="O676" s="7"/>
      <c r="P676" s="10"/>
      <c r="Q676" s="10"/>
      <c r="R676" s="7"/>
      <c r="S676" s="7"/>
      <c r="T676" s="15"/>
      <c r="U676" s="15"/>
      <c r="V676" s="15"/>
      <c r="W676" s="12"/>
      <c r="X676" s="7"/>
      <c r="Y676" s="12"/>
      <c r="Z676" s="12"/>
      <c r="AA676" s="12"/>
    </row>
    <row r="677" ht="19.5" customHeight="1">
      <c r="A677" s="7"/>
      <c r="B677" s="12"/>
      <c r="C677" s="12"/>
      <c r="D677" s="12"/>
      <c r="E677" s="12"/>
      <c r="F677" s="12"/>
      <c r="G677" s="12"/>
      <c r="H677" s="12"/>
      <c r="I677" s="12"/>
      <c r="J677" s="7"/>
      <c r="K677" s="12"/>
      <c r="L677" s="7"/>
      <c r="M677" s="10"/>
      <c r="N677" s="7"/>
      <c r="O677" s="7"/>
      <c r="P677" s="10"/>
      <c r="Q677" s="10"/>
      <c r="R677" s="7"/>
      <c r="S677" s="7"/>
      <c r="T677" s="15"/>
      <c r="U677" s="15"/>
      <c r="V677" s="15"/>
      <c r="W677" s="12"/>
      <c r="X677" s="7"/>
      <c r="Y677" s="12"/>
      <c r="Z677" s="12"/>
      <c r="AA677" s="12"/>
    </row>
    <row r="678" ht="19.5" customHeight="1">
      <c r="A678" s="7"/>
      <c r="B678" s="12"/>
      <c r="C678" s="12"/>
      <c r="D678" s="12"/>
      <c r="E678" s="12"/>
      <c r="F678" s="12"/>
      <c r="G678" s="12"/>
      <c r="H678" s="12"/>
      <c r="I678" s="12"/>
      <c r="J678" s="7"/>
      <c r="K678" s="12"/>
      <c r="L678" s="7"/>
      <c r="M678" s="10"/>
      <c r="N678" s="7"/>
      <c r="O678" s="7"/>
      <c r="P678" s="10"/>
      <c r="Q678" s="10"/>
      <c r="R678" s="7"/>
      <c r="S678" s="7"/>
      <c r="T678" s="15"/>
      <c r="U678" s="15"/>
      <c r="V678" s="15"/>
      <c r="W678" s="12"/>
      <c r="X678" s="7"/>
      <c r="Y678" s="12"/>
      <c r="Z678" s="12"/>
      <c r="AA678" s="12"/>
    </row>
    <row r="679" ht="19.5" customHeight="1">
      <c r="A679" s="7"/>
      <c r="B679" s="12"/>
      <c r="C679" s="12"/>
      <c r="D679" s="12"/>
      <c r="E679" s="12"/>
      <c r="F679" s="12"/>
      <c r="G679" s="12"/>
      <c r="H679" s="12"/>
      <c r="I679" s="12"/>
      <c r="J679" s="7"/>
      <c r="K679" s="12"/>
      <c r="L679" s="7"/>
      <c r="M679" s="10"/>
      <c r="N679" s="7"/>
      <c r="O679" s="7"/>
      <c r="P679" s="10"/>
      <c r="Q679" s="10"/>
      <c r="R679" s="7"/>
      <c r="S679" s="7"/>
      <c r="T679" s="15"/>
      <c r="U679" s="15"/>
      <c r="V679" s="15"/>
      <c r="W679" s="12"/>
      <c r="X679" s="7"/>
      <c r="Y679" s="12"/>
      <c r="Z679" s="12"/>
      <c r="AA679" s="12"/>
    </row>
    <row r="680" ht="19.5" customHeight="1">
      <c r="A680" s="7"/>
      <c r="B680" s="12"/>
      <c r="C680" s="12"/>
      <c r="D680" s="12"/>
      <c r="E680" s="12"/>
      <c r="F680" s="12"/>
      <c r="G680" s="12"/>
      <c r="H680" s="12"/>
      <c r="I680" s="12"/>
      <c r="J680" s="7"/>
      <c r="K680" s="12"/>
      <c r="L680" s="7"/>
      <c r="M680" s="10"/>
      <c r="N680" s="7"/>
      <c r="O680" s="7"/>
      <c r="P680" s="10"/>
      <c r="Q680" s="10"/>
      <c r="R680" s="7"/>
      <c r="S680" s="7"/>
      <c r="T680" s="15"/>
      <c r="U680" s="15"/>
      <c r="V680" s="15"/>
      <c r="W680" s="12"/>
      <c r="X680" s="7"/>
      <c r="Y680" s="12"/>
      <c r="Z680" s="12"/>
      <c r="AA680" s="12"/>
    </row>
    <row r="681" ht="19.5" customHeight="1">
      <c r="A681" s="7"/>
      <c r="B681" s="12"/>
      <c r="C681" s="12"/>
      <c r="D681" s="12"/>
      <c r="E681" s="12"/>
      <c r="F681" s="12"/>
      <c r="G681" s="12"/>
      <c r="H681" s="12"/>
      <c r="I681" s="12"/>
      <c r="J681" s="7"/>
      <c r="K681" s="12"/>
      <c r="L681" s="7"/>
      <c r="M681" s="10"/>
      <c r="N681" s="7"/>
      <c r="O681" s="7"/>
      <c r="P681" s="10"/>
      <c r="Q681" s="10"/>
      <c r="R681" s="7"/>
      <c r="S681" s="7"/>
      <c r="T681" s="15"/>
      <c r="U681" s="15"/>
      <c r="V681" s="15"/>
      <c r="W681" s="12"/>
      <c r="X681" s="7"/>
      <c r="Y681" s="12"/>
      <c r="Z681" s="12"/>
      <c r="AA681" s="12"/>
    </row>
    <row r="682" ht="19.5" customHeight="1">
      <c r="A682" s="7"/>
      <c r="B682" s="12"/>
      <c r="C682" s="12"/>
      <c r="D682" s="12"/>
      <c r="E682" s="12"/>
      <c r="F682" s="12"/>
      <c r="G682" s="12"/>
      <c r="H682" s="12"/>
      <c r="I682" s="12"/>
      <c r="J682" s="7"/>
      <c r="K682" s="12"/>
      <c r="L682" s="7"/>
      <c r="M682" s="10"/>
      <c r="N682" s="7"/>
      <c r="O682" s="7"/>
      <c r="P682" s="10"/>
      <c r="Q682" s="10"/>
      <c r="R682" s="7"/>
      <c r="S682" s="7"/>
      <c r="T682" s="15"/>
      <c r="U682" s="15"/>
      <c r="V682" s="15"/>
      <c r="W682" s="12"/>
      <c r="X682" s="7"/>
      <c r="Y682" s="12"/>
      <c r="Z682" s="12"/>
      <c r="AA682" s="12"/>
    </row>
    <row r="683" ht="19.5" customHeight="1">
      <c r="A683" s="7"/>
      <c r="B683" s="12"/>
      <c r="C683" s="12"/>
      <c r="D683" s="12"/>
      <c r="E683" s="12"/>
      <c r="F683" s="12"/>
      <c r="G683" s="12"/>
      <c r="H683" s="12"/>
      <c r="I683" s="12"/>
      <c r="J683" s="7"/>
      <c r="K683" s="12"/>
      <c r="L683" s="7"/>
      <c r="M683" s="10"/>
      <c r="N683" s="7"/>
      <c r="O683" s="7"/>
      <c r="P683" s="10"/>
      <c r="Q683" s="10"/>
      <c r="R683" s="7"/>
      <c r="S683" s="7"/>
      <c r="T683" s="15"/>
      <c r="U683" s="15"/>
      <c r="V683" s="15"/>
      <c r="W683" s="12"/>
      <c r="X683" s="7"/>
      <c r="Y683" s="12"/>
      <c r="Z683" s="12"/>
      <c r="AA683" s="12"/>
    </row>
    <row r="684" ht="19.5" customHeight="1">
      <c r="A684" s="7"/>
      <c r="B684" s="12"/>
      <c r="C684" s="12"/>
      <c r="D684" s="12"/>
      <c r="E684" s="12"/>
      <c r="F684" s="12"/>
      <c r="G684" s="12"/>
      <c r="H684" s="12"/>
      <c r="I684" s="12"/>
      <c r="J684" s="7"/>
      <c r="K684" s="12"/>
      <c r="L684" s="7"/>
      <c r="M684" s="10"/>
      <c r="N684" s="7"/>
      <c r="O684" s="7"/>
      <c r="P684" s="10"/>
      <c r="Q684" s="10"/>
      <c r="R684" s="7"/>
      <c r="S684" s="7"/>
      <c r="T684" s="15"/>
      <c r="U684" s="15"/>
      <c r="V684" s="15"/>
      <c r="W684" s="12"/>
      <c r="X684" s="7"/>
      <c r="Y684" s="12"/>
      <c r="Z684" s="12"/>
      <c r="AA684" s="12"/>
    </row>
    <row r="685" ht="19.5" customHeight="1">
      <c r="A685" s="7"/>
      <c r="B685" s="12"/>
      <c r="C685" s="12"/>
      <c r="D685" s="12"/>
      <c r="E685" s="12"/>
      <c r="F685" s="12"/>
      <c r="G685" s="12"/>
      <c r="H685" s="12"/>
      <c r="I685" s="12"/>
      <c r="J685" s="7"/>
      <c r="K685" s="12"/>
      <c r="L685" s="7"/>
      <c r="M685" s="10"/>
      <c r="N685" s="7"/>
      <c r="O685" s="7"/>
      <c r="P685" s="10"/>
      <c r="Q685" s="10"/>
      <c r="R685" s="7"/>
      <c r="S685" s="7"/>
      <c r="T685" s="15"/>
      <c r="U685" s="15"/>
      <c r="V685" s="15"/>
      <c r="W685" s="12"/>
      <c r="X685" s="7"/>
      <c r="Y685" s="12"/>
      <c r="Z685" s="12"/>
      <c r="AA685" s="12"/>
    </row>
    <row r="686" ht="19.5" customHeight="1">
      <c r="A686" s="7"/>
      <c r="B686" s="12"/>
      <c r="C686" s="12"/>
      <c r="D686" s="12"/>
      <c r="E686" s="12"/>
      <c r="F686" s="12"/>
      <c r="G686" s="12"/>
      <c r="H686" s="12"/>
      <c r="I686" s="12"/>
      <c r="J686" s="7"/>
      <c r="K686" s="12"/>
      <c r="L686" s="7"/>
      <c r="M686" s="10"/>
      <c r="N686" s="7"/>
      <c r="O686" s="7"/>
      <c r="P686" s="10"/>
      <c r="Q686" s="10"/>
      <c r="R686" s="7"/>
      <c r="S686" s="7"/>
      <c r="T686" s="15"/>
      <c r="U686" s="15"/>
      <c r="V686" s="15"/>
      <c r="W686" s="12"/>
      <c r="X686" s="7"/>
      <c r="Y686" s="12"/>
      <c r="Z686" s="12"/>
      <c r="AA686" s="12"/>
    </row>
    <row r="687" ht="19.5" customHeight="1">
      <c r="A687" s="7"/>
      <c r="B687" s="12"/>
      <c r="C687" s="12"/>
      <c r="D687" s="12"/>
      <c r="E687" s="12"/>
      <c r="F687" s="12"/>
      <c r="G687" s="12"/>
      <c r="H687" s="12"/>
      <c r="I687" s="12"/>
      <c r="J687" s="7"/>
      <c r="K687" s="12"/>
      <c r="L687" s="7"/>
      <c r="M687" s="10"/>
      <c r="N687" s="7"/>
      <c r="O687" s="7"/>
      <c r="P687" s="10"/>
      <c r="Q687" s="10"/>
      <c r="R687" s="7"/>
      <c r="S687" s="7"/>
      <c r="T687" s="15"/>
      <c r="U687" s="15"/>
      <c r="V687" s="15"/>
      <c r="W687" s="12"/>
      <c r="X687" s="7"/>
      <c r="Y687" s="12"/>
      <c r="Z687" s="12"/>
      <c r="AA687" s="12"/>
    </row>
    <row r="688" ht="19.5" customHeight="1">
      <c r="A688" s="7"/>
      <c r="B688" s="12"/>
      <c r="C688" s="12"/>
      <c r="D688" s="12"/>
      <c r="E688" s="12"/>
      <c r="F688" s="12"/>
      <c r="G688" s="12"/>
      <c r="H688" s="12"/>
      <c r="I688" s="12"/>
      <c r="J688" s="7"/>
      <c r="K688" s="12"/>
      <c r="L688" s="7"/>
      <c r="M688" s="10"/>
      <c r="N688" s="7"/>
      <c r="O688" s="7"/>
      <c r="P688" s="10"/>
      <c r="Q688" s="10"/>
      <c r="R688" s="7"/>
      <c r="S688" s="7"/>
      <c r="T688" s="15"/>
      <c r="U688" s="15"/>
      <c r="V688" s="15"/>
      <c r="W688" s="12"/>
      <c r="X688" s="7"/>
      <c r="Y688" s="12"/>
      <c r="Z688" s="12"/>
      <c r="AA688" s="12"/>
    </row>
    <row r="689" ht="19.5" customHeight="1">
      <c r="A689" s="7"/>
      <c r="B689" s="12"/>
      <c r="C689" s="12"/>
      <c r="D689" s="12"/>
      <c r="E689" s="12"/>
      <c r="F689" s="12"/>
      <c r="G689" s="12"/>
      <c r="H689" s="12"/>
      <c r="I689" s="12"/>
      <c r="J689" s="7"/>
      <c r="K689" s="12"/>
      <c r="L689" s="7"/>
      <c r="M689" s="10"/>
      <c r="N689" s="7"/>
      <c r="O689" s="7"/>
      <c r="P689" s="10"/>
      <c r="Q689" s="10"/>
      <c r="R689" s="7"/>
      <c r="S689" s="7"/>
      <c r="T689" s="15"/>
      <c r="U689" s="15"/>
      <c r="V689" s="15"/>
      <c r="W689" s="12"/>
      <c r="X689" s="7"/>
      <c r="Y689" s="12"/>
      <c r="Z689" s="12"/>
      <c r="AA689" s="12"/>
    </row>
    <row r="690" ht="19.5" customHeight="1">
      <c r="A690" s="7"/>
      <c r="B690" s="12"/>
      <c r="C690" s="12"/>
      <c r="D690" s="12"/>
      <c r="E690" s="12"/>
      <c r="F690" s="12"/>
      <c r="G690" s="12"/>
      <c r="H690" s="12"/>
      <c r="I690" s="12"/>
      <c r="J690" s="7"/>
      <c r="K690" s="12"/>
      <c r="L690" s="7"/>
      <c r="M690" s="10"/>
      <c r="N690" s="7"/>
      <c r="O690" s="7"/>
      <c r="P690" s="10"/>
      <c r="Q690" s="10"/>
      <c r="R690" s="7"/>
      <c r="S690" s="7"/>
      <c r="T690" s="15"/>
      <c r="U690" s="15"/>
      <c r="V690" s="15"/>
      <c r="W690" s="12"/>
      <c r="X690" s="7"/>
      <c r="Y690" s="12"/>
      <c r="Z690" s="12"/>
      <c r="AA690" s="12"/>
    </row>
    <row r="691" ht="19.5" customHeight="1">
      <c r="A691" s="7"/>
      <c r="B691" s="12"/>
      <c r="C691" s="12"/>
      <c r="D691" s="12"/>
      <c r="E691" s="12"/>
      <c r="F691" s="12"/>
      <c r="G691" s="12"/>
      <c r="H691" s="12"/>
      <c r="I691" s="12"/>
      <c r="J691" s="7"/>
      <c r="K691" s="12"/>
      <c r="L691" s="7"/>
      <c r="M691" s="10"/>
      <c r="N691" s="7"/>
      <c r="O691" s="7"/>
      <c r="P691" s="10"/>
      <c r="Q691" s="10"/>
      <c r="R691" s="7"/>
      <c r="S691" s="7"/>
      <c r="T691" s="15"/>
      <c r="U691" s="15"/>
      <c r="V691" s="15"/>
      <c r="W691" s="12"/>
      <c r="X691" s="7"/>
      <c r="Y691" s="12"/>
      <c r="Z691" s="12"/>
      <c r="AA691" s="12"/>
    </row>
    <row r="692" ht="19.5" customHeight="1">
      <c r="A692" s="7"/>
      <c r="B692" s="12"/>
      <c r="C692" s="12"/>
      <c r="D692" s="12"/>
      <c r="E692" s="12"/>
      <c r="F692" s="12"/>
      <c r="G692" s="12"/>
      <c r="H692" s="12"/>
      <c r="I692" s="12"/>
      <c r="J692" s="7"/>
      <c r="K692" s="12"/>
      <c r="L692" s="7"/>
      <c r="M692" s="10"/>
      <c r="N692" s="7"/>
      <c r="O692" s="7"/>
      <c r="P692" s="10"/>
      <c r="Q692" s="10"/>
      <c r="R692" s="7"/>
      <c r="S692" s="7"/>
      <c r="T692" s="15"/>
      <c r="U692" s="15"/>
      <c r="V692" s="15"/>
      <c r="W692" s="12"/>
      <c r="X692" s="7"/>
      <c r="Y692" s="12"/>
      <c r="Z692" s="12"/>
      <c r="AA692" s="12"/>
    </row>
    <row r="693" ht="19.5" customHeight="1">
      <c r="A693" s="7"/>
      <c r="B693" s="12"/>
      <c r="C693" s="12"/>
      <c r="D693" s="12"/>
      <c r="E693" s="12"/>
      <c r="F693" s="12"/>
      <c r="G693" s="12"/>
      <c r="H693" s="12"/>
      <c r="I693" s="12"/>
      <c r="J693" s="7"/>
      <c r="K693" s="12"/>
      <c r="L693" s="7"/>
      <c r="M693" s="10"/>
      <c r="N693" s="7"/>
      <c r="O693" s="7"/>
      <c r="P693" s="10"/>
      <c r="Q693" s="10"/>
      <c r="R693" s="7"/>
      <c r="S693" s="7"/>
      <c r="T693" s="15"/>
      <c r="U693" s="15"/>
      <c r="V693" s="15"/>
      <c r="W693" s="12"/>
      <c r="X693" s="7"/>
      <c r="Y693" s="12"/>
      <c r="Z693" s="12"/>
      <c r="AA693" s="12"/>
    </row>
    <row r="694" ht="19.5" customHeight="1">
      <c r="A694" s="7"/>
      <c r="B694" s="12"/>
      <c r="C694" s="12"/>
      <c r="D694" s="12"/>
      <c r="E694" s="12"/>
      <c r="F694" s="12"/>
      <c r="G694" s="12"/>
      <c r="H694" s="12"/>
      <c r="I694" s="12"/>
      <c r="J694" s="7"/>
      <c r="K694" s="12"/>
      <c r="L694" s="7"/>
      <c r="M694" s="10"/>
      <c r="N694" s="7"/>
      <c r="O694" s="7"/>
      <c r="P694" s="10"/>
      <c r="Q694" s="10"/>
      <c r="R694" s="7"/>
      <c r="S694" s="7"/>
      <c r="T694" s="15"/>
      <c r="U694" s="15"/>
      <c r="V694" s="15"/>
      <c r="W694" s="12"/>
      <c r="X694" s="7"/>
      <c r="Y694" s="12"/>
      <c r="Z694" s="12"/>
      <c r="AA694" s="12"/>
    </row>
    <row r="695" ht="19.5" customHeight="1">
      <c r="A695" s="7"/>
      <c r="B695" s="12"/>
      <c r="C695" s="12"/>
      <c r="D695" s="12"/>
      <c r="E695" s="12"/>
      <c r="F695" s="12"/>
      <c r="G695" s="12"/>
      <c r="H695" s="12"/>
      <c r="I695" s="12"/>
      <c r="J695" s="7"/>
      <c r="K695" s="12"/>
      <c r="L695" s="7"/>
      <c r="M695" s="10"/>
      <c r="N695" s="7"/>
      <c r="O695" s="7"/>
      <c r="P695" s="10"/>
      <c r="Q695" s="10"/>
      <c r="R695" s="7"/>
      <c r="S695" s="7"/>
      <c r="T695" s="15"/>
      <c r="U695" s="15"/>
      <c r="V695" s="15"/>
      <c r="W695" s="12"/>
      <c r="X695" s="7"/>
      <c r="Y695" s="12"/>
      <c r="Z695" s="12"/>
      <c r="AA695" s="12"/>
    </row>
    <row r="696" ht="19.5" customHeight="1">
      <c r="A696" s="7"/>
      <c r="B696" s="12"/>
      <c r="C696" s="12"/>
      <c r="D696" s="12"/>
      <c r="E696" s="12"/>
      <c r="F696" s="12"/>
      <c r="G696" s="12"/>
      <c r="H696" s="12"/>
      <c r="I696" s="12"/>
      <c r="J696" s="7"/>
      <c r="K696" s="12"/>
      <c r="L696" s="7"/>
      <c r="M696" s="10"/>
      <c r="N696" s="7"/>
      <c r="O696" s="7"/>
      <c r="P696" s="10"/>
      <c r="Q696" s="10"/>
      <c r="R696" s="7"/>
      <c r="S696" s="7"/>
      <c r="T696" s="15"/>
      <c r="U696" s="15"/>
      <c r="V696" s="15"/>
      <c r="W696" s="12"/>
      <c r="X696" s="7"/>
      <c r="Y696" s="12"/>
      <c r="Z696" s="12"/>
      <c r="AA696" s="12"/>
    </row>
    <row r="697" ht="19.5" customHeight="1">
      <c r="A697" s="7"/>
      <c r="B697" s="12"/>
      <c r="C697" s="12"/>
      <c r="D697" s="12"/>
      <c r="E697" s="12"/>
      <c r="F697" s="12"/>
      <c r="G697" s="12"/>
      <c r="H697" s="12"/>
      <c r="I697" s="12"/>
      <c r="J697" s="7"/>
      <c r="K697" s="12"/>
      <c r="L697" s="7"/>
      <c r="M697" s="10"/>
      <c r="N697" s="7"/>
      <c r="O697" s="7"/>
      <c r="P697" s="10"/>
      <c r="Q697" s="10"/>
      <c r="R697" s="7"/>
      <c r="S697" s="7"/>
      <c r="T697" s="15"/>
      <c r="U697" s="15"/>
      <c r="V697" s="15"/>
      <c r="W697" s="12"/>
      <c r="X697" s="7"/>
      <c r="Y697" s="12"/>
      <c r="Z697" s="12"/>
      <c r="AA697" s="12"/>
    </row>
    <row r="698" ht="19.5" customHeight="1">
      <c r="A698" s="7"/>
      <c r="B698" s="12"/>
      <c r="C698" s="12"/>
      <c r="D698" s="12"/>
      <c r="E698" s="12"/>
      <c r="F698" s="12"/>
      <c r="G698" s="12"/>
      <c r="H698" s="12"/>
      <c r="I698" s="12"/>
      <c r="J698" s="7"/>
      <c r="K698" s="12"/>
      <c r="L698" s="7"/>
      <c r="M698" s="10"/>
      <c r="N698" s="7"/>
      <c r="O698" s="7"/>
      <c r="P698" s="10"/>
      <c r="Q698" s="10"/>
      <c r="R698" s="7"/>
      <c r="S698" s="7"/>
      <c r="T698" s="15"/>
      <c r="U698" s="15"/>
      <c r="V698" s="15"/>
      <c r="W698" s="12"/>
      <c r="X698" s="7"/>
      <c r="Y698" s="12"/>
      <c r="Z698" s="12"/>
      <c r="AA698" s="12"/>
    </row>
    <row r="699" ht="19.5" customHeight="1">
      <c r="A699" s="7"/>
      <c r="B699" s="12"/>
      <c r="C699" s="12"/>
      <c r="D699" s="12"/>
      <c r="E699" s="12"/>
      <c r="F699" s="12"/>
      <c r="G699" s="12"/>
      <c r="H699" s="12"/>
      <c r="I699" s="12"/>
      <c r="J699" s="7"/>
      <c r="K699" s="12"/>
      <c r="L699" s="7"/>
      <c r="M699" s="10"/>
      <c r="N699" s="7"/>
      <c r="O699" s="7"/>
      <c r="P699" s="10"/>
      <c r="Q699" s="10"/>
      <c r="R699" s="7"/>
      <c r="S699" s="7"/>
      <c r="T699" s="15"/>
      <c r="U699" s="15"/>
      <c r="V699" s="15"/>
      <c r="W699" s="12"/>
      <c r="X699" s="7"/>
      <c r="Y699" s="12"/>
      <c r="Z699" s="12"/>
      <c r="AA699" s="12"/>
    </row>
    <row r="700" ht="19.5" customHeight="1">
      <c r="A700" s="7"/>
      <c r="B700" s="12"/>
      <c r="C700" s="12"/>
      <c r="D700" s="12"/>
      <c r="E700" s="12"/>
      <c r="F700" s="12"/>
      <c r="G700" s="12"/>
      <c r="H700" s="12"/>
      <c r="I700" s="12"/>
      <c r="J700" s="7"/>
      <c r="K700" s="12"/>
      <c r="L700" s="7"/>
      <c r="M700" s="10"/>
      <c r="N700" s="7"/>
      <c r="O700" s="7"/>
      <c r="P700" s="10"/>
      <c r="Q700" s="10"/>
      <c r="R700" s="7"/>
      <c r="S700" s="7"/>
      <c r="T700" s="15"/>
      <c r="U700" s="15"/>
      <c r="V700" s="15"/>
      <c r="W700" s="12"/>
      <c r="X700" s="7"/>
      <c r="Y700" s="12"/>
      <c r="Z700" s="12"/>
      <c r="AA700" s="12"/>
    </row>
    <row r="701" ht="19.5" customHeight="1">
      <c r="A701" s="7"/>
      <c r="B701" s="12"/>
      <c r="C701" s="12"/>
      <c r="D701" s="12"/>
      <c r="E701" s="12"/>
      <c r="F701" s="12"/>
      <c r="G701" s="12"/>
      <c r="H701" s="12"/>
      <c r="I701" s="12"/>
      <c r="J701" s="7"/>
      <c r="K701" s="12"/>
      <c r="L701" s="7"/>
      <c r="M701" s="10"/>
      <c r="N701" s="7"/>
      <c r="O701" s="7"/>
      <c r="P701" s="10"/>
      <c r="Q701" s="10"/>
      <c r="R701" s="7"/>
      <c r="S701" s="7"/>
      <c r="T701" s="15"/>
      <c r="U701" s="15"/>
      <c r="V701" s="15"/>
      <c r="W701" s="12"/>
      <c r="X701" s="7"/>
      <c r="Y701" s="12"/>
      <c r="Z701" s="12"/>
      <c r="AA701" s="12"/>
    </row>
    <row r="702" ht="19.5" customHeight="1">
      <c r="A702" s="7"/>
      <c r="B702" s="12"/>
      <c r="C702" s="12"/>
      <c r="D702" s="12"/>
      <c r="E702" s="12"/>
      <c r="F702" s="12"/>
      <c r="G702" s="12"/>
      <c r="H702" s="12"/>
      <c r="I702" s="12"/>
      <c r="J702" s="7"/>
      <c r="K702" s="12"/>
      <c r="L702" s="7"/>
      <c r="M702" s="10"/>
      <c r="N702" s="7"/>
      <c r="O702" s="7"/>
      <c r="P702" s="10"/>
      <c r="Q702" s="10"/>
      <c r="R702" s="7"/>
      <c r="S702" s="7"/>
      <c r="T702" s="15"/>
      <c r="U702" s="15"/>
      <c r="V702" s="15"/>
      <c r="W702" s="12"/>
      <c r="X702" s="7"/>
      <c r="Y702" s="12"/>
      <c r="Z702" s="12"/>
      <c r="AA702" s="12"/>
    </row>
    <row r="703" ht="19.5" customHeight="1">
      <c r="A703" s="7"/>
      <c r="B703" s="12"/>
      <c r="C703" s="12"/>
      <c r="D703" s="12"/>
      <c r="E703" s="12"/>
      <c r="F703" s="12"/>
      <c r="G703" s="12"/>
      <c r="H703" s="12"/>
      <c r="I703" s="12"/>
      <c r="J703" s="7"/>
      <c r="K703" s="12"/>
      <c r="L703" s="7"/>
      <c r="M703" s="10"/>
      <c r="N703" s="7"/>
      <c r="O703" s="7"/>
      <c r="P703" s="10"/>
      <c r="Q703" s="10"/>
      <c r="R703" s="7"/>
      <c r="S703" s="7"/>
      <c r="T703" s="15"/>
      <c r="U703" s="15"/>
      <c r="V703" s="15"/>
      <c r="W703" s="12"/>
      <c r="X703" s="7"/>
      <c r="Y703" s="12"/>
      <c r="Z703" s="12"/>
      <c r="AA703" s="12"/>
    </row>
    <row r="704" ht="19.5" customHeight="1">
      <c r="A704" s="7"/>
      <c r="B704" s="12"/>
      <c r="C704" s="12"/>
      <c r="D704" s="12"/>
      <c r="E704" s="12"/>
      <c r="F704" s="12"/>
      <c r="G704" s="12"/>
      <c r="H704" s="12"/>
      <c r="I704" s="12"/>
      <c r="J704" s="7"/>
      <c r="K704" s="12"/>
      <c r="L704" s="7"/>
      <c r="M704" s="10"/>
      <c r="N704" s="7"/>
      <c r="O704" s="7"/>
      <c r="P704" s="10"/>
      <c r="Q704" s="10"/>
      <c r="R704" s="7"/>
      <c r="S704" s="7"/>
      <c r="T704" s="15"/>
      <c r="U704" s="15"/>
      <c r="V704" s="15"/>
      <c r="W704" s="12"/>
      <c r="X704" s="7"/>
      <c r="Y704" s="12"/>
      <c r="Z704" s="12"/>
      <c r="AA704" s="12"/>
    </row>
    <row r="705" ht="19.5" customHeight="1">
      <c r="A705" s="7"/>
      <c r="B705" s="12"/>
      <c r="C705" s="12"/>
      <c r="D705" s="12"/>
      <c r="E705" s="12"/>
      <c r="F705" s="12"/>
      <c r="G705" s="12"/>
      <c r="H705" s="12"/>
      <c r="I705" s="12"/>
      <c r="J705" s="7"/>
      <c r="K705" s="12"/>
      <c r="L705" s="7"/>
      <c r="M705" s="10"/>
      <c r="N705" s="7"/>
      <c r="O705" s="7"/>
      <c r="P705" s="10"/>
      <c r="Q705" s="10"/>
      <c r="R705" s="7"/>
      <c r="S705" s="7"/>
      <c r="T705" s="15"/>
      <c r="U705" s="15"/>
      <c r="V705" s="15"/>
      <c r="W705" s="12"/>
      <c r="X705" s="7"/>
      <c r="Y705" s="12"/>
      <c r="Z705" s="12"/>
      <c r="AA705" s="12"/>
    </row>
    <row r="706" ht="19.5" customHeight="1">
      <c r="A706" s="7"/>
      <c r="B706" s="12"/>
      <c r="C706" s="12"/>
      <c r="D706" s="12"/>
      <c r="E706" s="12"/>
      <c r="F706" s="12"/>
      <c r="G706" s="12"/>
      <c r="H706" s="12"/>
      <c r="I706" s="12"/>
      <c r="J706" s="7"/>
      <c r="K706" s="12"/>
      <c r="L706" s="7"/>
      <c r="M706" s="10"/>
      <c r="N706" s="7"/>
      <c r="O706" s="7"/>
      <c r="P706" s="10"/>
      <c r="Q706" s="10"/>
      <c r="R706" s="7"/>
      <c r="S706" s="7"/>
      <c r="T706" s="15"/>
      <c r="U706" s="15"/>
      <c r="V706" s="15"/>
      <c r="W706" s="12"/>
      <c r="X706" s="7"/>
      <c r="Y706" s="12"/>
      <c r="Z706" s="12"/>
      <c r="AA706" s="12"/>
    </row>
    <row r="707" ht="19.5" customHeight="1">
      <c r="A707" s="7"/>
      <c r="B707" s="12"/>
      <c r="C707" s="12"/>
      <c r="D707" s="12"/>
      <c r="E707" s="12"/>
      <c r="F707" s="12"/>
      <c r="G707" s="12"/>
      <c r="H707" s="12"/>
      <c r="I707" s="12"/>
      <c r="J707" s="7"/>
      <c r="K707" s="12"/>
      <c r="L707" s="7"/>
      <c r="M707" s="10"/>
      <c r="N707" s="7"/>
      <c r="O707" s="7"/>
      <c r="P707" s="10"/>
      <c r="Q707" s="10"/>
      <c r="R707" s="7"/>
      <c r="S707" s="7"/>
      <c r="T707" s="15"/>
      <c r="U707" s="15"/>
      <c r="V707" s="15"/>
      <c r="W707" s="12"/>
      <c r="X707" s="7"/>
      <c r="Y707" s="12"/>
      <c r="Z707" s="12"/>
      <c r="AA707" s="12"/>
    </row>
    <row r="708" ht="19.5" customHeight="1">
      <c r="A708" s="7"/>
      <c r="B708" s="12"/>
      <c r="C708" s="12"/>
      <c r="D708" s="12"/>
      <c r="E708" s="12"/>
      <c r="F708" s="12"/>
      <c r="G708" s="12"/>
      <c r="H708" s="12"/>
      <c r="I708" s="12"/>
      <c r="J708" s="7"/>
      <c r="K708" s="12"/>
      <c r="L708" s="7"/>
      <c r="M708" s="10"/>
      <c r="N708" s="7"/>
      <c r="O708" s="7"/>
      <c r="P708" s="10"/>
      <c r="Q708" s="10"/>
      <c r="R708" s="7"/>
      <c r="S708" s="7"/>
      <c r="T708" s="15"/>
      <c r="U708" s="15"/>
      <c r="V708" s="15"/>
      <c r="W708" s="12"/>
      <c r="X708" s="7"/>
      <c r="Y708" s="12"/>
      <c r="Z708" s="12"/>
      <c r="AA708" s="12"/>
    </row>
    <row r="709" ht="19.5" customHeight="1">
      <c r="A709" s="7"/>
      <c r="B709" s="12"/>
      <c r="C709" s="12"/>
      <c r="D709" s="12"/>
      <c r="E709" s="12"/>
      <c r="F709" s="12"/>
      <c r="G709" s="12"/>
      <c r="H709" s="12"/>
      <c r="I709" s="12"/>
      <c r="J709" s="7"/>
      <c r="K709" s="12"/>
      <c r="L709" s="7"/>
      <c r="M709" s="10"/>
      <c r="N709" s="7"/>
      <c r="O709" s="7"/>
      <c r="P709" s="10"/>
      <c r="Q709" s="10"/>
      <c r="R709" s="7"/>
      <c r="S709" s="7"/>
      <c r="T709" s="15"/>
      <c r="U709" s="15"/>
      <c r="V709" s="15"/>
      <c r="W709" s="12"/>
      <c r="X709" s="7"/>
      <c r="Y709" s="12"/>
      <c r="Z709" s="12"/>
      <c r="AA709" s="12"/>
    </row>
    <row r="710" ht="19.5" customHeight="1">
      <c r="A710" s="7"/>
      <c r="B710" s="12"/>
      <c r="C710" s="12"/>
      <c r="D710" s="12"/>
      <c r="E710" s="12"/>
      <c r="F710" s="12"/>
      <c r="G710" s="12"/>
      <c r="H710" s="12"/>
      <c r="I710" s="12"/>
      <c r="J710" s="7"/>
      <c r="K710" s="12"/>
      <c r="L710" s="7"/>
      <c r="M710" s="10"/>
      <c r="N710" s="7"/>
      <c r="O710" s="7"/>
      <c r="P710" s="10"/>
      <c r="Q710" s="10"/>
      <c r="R710" s="7"/>
      <c r="S710" s="7"/>
      <c r="T710" s="15"/>
      <c r="U710" s="15"/>
      <c r="V710" s="15"/>
      <c r="W710" s="12"/>
      <c r="X710" s="7"/>
      <c r="Y710" s="12"/>
      <c r="Z710" s="12"/>
      <c r="AA710" s="12"/>
    </row>
    <row r="711" ht="19.5" customHeight="1">
      <c r="A711" s="7"/>
      <c r="B711" s="12"/>
      <c r="C711" s="12"/>
      <c r="D711" s="12"/>
      <c r="E711" s="12"/>
      <c r="F711" s="12"/>
      <c r="G711" s="12"/>
      <c r="H711" s="12"/>
      <c r="I711" s="12"/>
      <c r="J711" s="7"/>
      <c r="K711" s="12"/>
      <c r="L711" s="7"/>
      <c r="M711" s="10"/>
      <c r="N711" s="7"/>
      <c r="O711" s="7"/>
      <c r="P711" s="10"/>
      <c r="Q711" s="10"/>
      <c r="R711" s="7"/>
      <c r="S711" s="7"/>
      <c r="T711" s="15"/>
      <c r="U711" s="15"/>
      <c r="V711" s="15"/>
      <c r="W711" s="12"/>
      <c r="X711" s="7"/>
      <c r="Y711" s="12"/>
      <c r="Z711" s="12"/>
      <c r="AA711" s="12"/>
    </row>
    <row r="712" ht="19.5" customHeight="1">
      <c r="A712" s="7"/>
      <c r="B712" s="12"/>
      <c r="C712" s="12"/>
      <c r="D712" s="12"/>
      <c r="E712" s="12"/>
      <c r="F712" s="12"/>
      <c r="G712" s="12"/>
      <c r="H712" s="12"/>
      <c r="I712" s="12"/>
      <c r="J712" s="7"/>
      <c r="K712" s="12"/>
      <c r="L712" s="7"/>
      <c r="M712" s="10"/>
      <c r="N712" s="7"/>
      <c r="O712" s="7"/>
      <c r="P712" s="10"/>
      <c r="Q712" s="10"/>
      <c r="R712" s="7"/>
      <c r="S712" s="7"/>
      <c r="T712" s="15"/>
      <c r="U712" s="15"/>
      <c r="V712" s="15"/>
      <c r="W712" s="12"/>
      <c r="X712" s="7"/>
      <c r="Y712" s="12"/>
      <c r="Z712" s="12"/>
      <c r="AA712" s="12"/>
    </row>
    <row r="713" ht="19.5" customHeight="1">
      <c r="A713" s="7"/>
      <c r="B713" s="12"/>
      <c r="C713" s="12"/>
      <c r="D713" s="12"/>
      <c r="E713" s="12"/>
      <c r="F713" s="12"/>
      <c r="G713" s="12"/>
      <c r="H713" s="12"/>
      <c r="I713" s="12"/>
      <c r="J713" s="7"/>
      <c r="K713" s="12"/>
      <c r="L713" s="7"/>
      <c r="M713" s="10"/>
      <c r="N713" s="7"/>
      <c r="O713" s="7"/>
      <c r="P713" s="10"/>
      <c r="Q713" s="10"/>
      <c r="R713" s="7"/>
      <c r="S713" s="7"/>
      <c r="T713" s="15"/>
      <c r="U713" s="15"/>
      <c r="V713" s="15"/>
      <c r="W713" s="12"/>
      <c r="X713" s="7"/>
      <c r="Y713" s="12"/>
      <c r="Z713" s="12"/>
      <c r="AA713" s="12"/>
    </row>
    <row r="714" ht="19.5" customHeight="1">
      <c r="A714" s="7"/>
      <c r="B714" s="12"/>
      <c r="C714" s="12"/>
      <c r="D714" s="12"/>
      <c r="E714" s="12"/>
      <c r="F714" s="12"/>
      <c r="G714" s="12"/>
      <c r="H714" s="12"/>
      <c r="I714" s="12"/>
      <c r="J714" s="7"/>
      <c r="K714" s="12"/>
      <c r="L714" s="7"/>
      <c r="M714" s="10"/>
      <c r="N714" s="7"/>
      <c r="O714" s="7"/>
      <c r="P714" s="10"/>
      <c r="Q714" s="10"/>
      <c r="R714" s="7"/>
      <c r="S714" s="7"/>
      <c r="T714" s="15"/>
      <c r="U714" s="15"/>
      <c r="V714" s="15"/>
      <c r="W714" s="12"/>
      <c r="X714" s="7"/>
      <c r="Y714" s="12"/>
      <c r="Z714" s="12"/>
      <c r="AA714" s="12"/>
    </row>
    <row r="715" ht="19.5" customHeight="1">
      <c r="A715" s="7"/>
      <c r="B715" s="12"/>
      <c r="C715" s="12"/>
      <c r="D715" s="12"/>
      <c r="E715" s="12"/>
      <c r="F715" s="12"/>
      <c r="G715" s="12"/>
      <c r="H715" s="12"/>
      <c r="I715" s="12"/>
      <c r="J715" s="7"/>
      <c r="K715" s="12"/>
      <c r="L715" s="7"/>
      <c r="M715" s="10"/>
      <c r="N715" s="7"/>
      <c r="O715" s="7"/>
      <c r="P715" s="10"/>
      <c r="Q715" s="10"/>
      <c r="R715" s="7"/>
      <c r="S715" s="7"/>
      <c r="T715" s="15"/>
      <c r="U715" s="15"/>
      <c r="V715" s="15"/>
      <c r="W715" s="12"/>
      <c r="X715" s="7"/>
      <c r="Y715" s="12"/>
      <c r="Z715" s="12"/>
      <c r="AA715" s="12"/>
    </row>
    <row r="716" ht="19.5" customHeight="1">
      <c r="A716" s="7"/>
      <c r="B716" s="12"/>
      <c r="C716" s="12"/>
      <c r="D716" s="12"/>
      <c r="E716" s="12"/>
      <c r="F716" s="12"/>
      <c r="G716" s="12"/>
      <c r="H716" s="12"/>
      <c r="I716" s="12"/>
      <c r="J716" s="7"/>
      <c r="K716" s="12"/>
      <c r="L716" s="7"/>
      <c r="M716" s="10"/>
      <c r="N716" s="7"/>
      <c r="O716" s="7"/>
      <c r="P716" s="10"/>
      <c r="Q716" s="10"/>
      <c r="R716" s="7"/>
      <c r="S716" s="7"/>
      <c r="T716" s="15"/>
      <c r="U716" s="15"/>
      <c r="V716" s="15"/>
      <c r="W716" s="12"/>
      <c r="X716" s="7"/>
      <c r="Y716" s="12"/>
      <c r="Z716" s="12"/>
      <c r="AA716" s="12"/>
    </row>
    <row r="717" ht="19.5" customHeight="1">
      <c r="A717" s="7"/>
      <c r="B717" s="12"/>
      <c r="C717" s="12"/>
      <c r="D717" s="12"/>
      <c r="E717" s="12"/>
      <c r="F717" s="12"/>
      <c r="G717" s="12"/>
      <c r="H717" s="12"/>
      <c r="I717" s="12"/>
      <c r="J717" s="7"/>
      <c r="K717" s="12"/>
      <c r="L717" s="7"/>
      <c r="M717" s="10"/>
      <c r="N717" s="7"/>
      <c r="O717" s="7"/>
      <c r="P717" s="10"/>
      <c r="Q717" s="10"/>
      <c r="R717" s="7"/>
      <c r="S717" s="7"/>
      <c r="T717" s="15"/>
      <c r="U717" s="15"/>
      <c r="V717" s="15"/>
      <c r="W717" s="12"/>
      <c r="X717" s="7"/>
      <c r="Y717" s="12"/>
      <c r="Z717" s="12"/>
      <c r="AA717" s="12"/>
    </row>
    <row r="718" ht="19.5" customHeight="1">
      <c r="A718" s="7"/>
      <c r="B718" s="12"/>
      <c r="C718" s="12"/>
      <c r="D718" s="12"/>
      <c r="E718" s="12"/>
      <c r="F718" s="12"/>
      <c r="G718" s="12"/>
      <c r="H718" s="12"/>
      <c r="I718" s="12"/>
      <c r="J718" s="7"/>
      <c r="K718" s="12"/>
      <c r="L718" s="7"/>
      <c r="M718" s="10"/>
      <c r="N718" s="7"/>
      <c r="O718" s="7"/>
      <c r="P718" s="10"/>
      <c r="Q718" s="10"/>
      <c r="R718" s="7"/>
      <c r="S718" s="7"/>
      <c r="T718" s="15"/>
      <c r="U718" s="15"/>
      <c r="V718" s="15"/>
      <c r="W718" s="12"/>
      <c r="X718" s="7"/>
      <c r="Y718" s="12"/>
      <c r="Z718" s="12"/>
      <c r="AA718" s="12"/>
    </row>
    <row r="719" ht="19.5" customHeight="1">
      <c r="A719" s="7"/>
      <c r="B719" s="12"/>
      <c r="C719" s="12"/>
      <c r="D719" s="12"/>
      <c r="E719" s="12"/>
      <c r="F719" s="12"/>
      <c r="G719" s="12"/>
      <c r="H719" s="12"/>
      <c r="I719" s="12"/>
      <c r="J719" s="7"/>
      <c r="K719" s="12"/>
      <c r="L719" s="7"/>
      <c r="M719" s="10"/>
      <c r="N719" s="7"/>
      <c r="O719" s="7"/>
      <c r="P719" s="10"/>
      <c r="Q719" s="10"/>
      <c r="R719" s="7"/>
      <c r="S719" s="7"/>
      <c r="T719" s="15"/>
      <c r="U719" s="15"/>
      <c r="V719" s="15"/>
      <c r="W719" s="12"/>
      <c r="X719" s="7"/>
      <c r="Y719" s="12"/>
      <c r="Z719" s="12"/>
      <c r="AA719" s="12"/>
    </row>
    <row r="720" ht="19.5" customHeight="1">
      <c r="A720" s="7"/>
      <c r="B720" s="12"/>
      <c r="C720" s="12"/>
      <c r="D720" s="12"/>
      <c r="E720" s="12"/>
      <c r="F720" s="12"/>
      <c r="G720" s="12"/>
      <c r="H720" s="12"/>
      <c r="I720" s="12"/>
      <c r="J720" s="7"/>
      <c r="K720" s="12"/>
      <c r="L720" s="7"/>
      <c r="M720" s="10"/>
      <c r="N720" s="7"/>
      <c r="O720" s="7"/>
      <c r="P720" s="10"/>
      <c r="Q720" s="10"/>
      <c r="R720" s="7"/>
      <c r="S720" s="7"/>
      <c r="T720" s="15"/>
      <c r="U720" s="15"/>
      <c r="V720" s="15"/>
      <c r="W720" s="12"/>
      <c r="X720" s="7"/>
      <c r="Y720" s="12"/>
      <c r="Z720" s="12"/>
      <c r="AA720" s="12"/>
    </row>
    <row r="721" ht="19.5" customHeight="1">
      <c r="A721" s="7"/>
      <c r="B721" s="12"/>
      <c r="C721" s="12"/>
      <c r="D721" s="12"/>
      <c r="E721" s="12"/>
      <c r="F721" s="12"/>
      <c r="G721" s="12"/>
      <c r="H721" s="12"/>
      <c r="I721" s="12"/>
      <c r="J721" s="7"/>
      <c r="K721" s="12"/>
      <c r="L721" s="7"/>
      <c r="M721" s="10"/>
      <c r="N721" s="7"/>
      <c r="O721" s="7"/>
      <c r="P721" s="10"/>
      <c r="Q721" s="10"/>
      <c r="R721" s="7"/>
      <c r="S721" s="7"/>
      <c r="T721" s="15"/>
      <c r="U721" s="15"/>
      <c r="V721" s="15"/>
      <c r="W721" s="12"/>
      <c r="X721" s="7"/>
      <c r="Y721" s="12"/>
      <c r="Z721" s="12"/>
      <c r="AA721" s="12"/>
    </row>
    <row r="722" ht="19.5" customHeight="1">
      <c r="A722" s="7"/>
      <c r="B722" s="12"/>
      <c r="C722" s="12"/>
      <c r="D722" s="12"/>
      <c r="E722" s="12"/>
      <c r="F722" s="12"/>
      <c r="G722" s="12"/>
      <c r="H722" s="12"/>
      <c r="I722" s="12"/>
      <c r="J722" s="7"/>
      <c r="K722" s="12"/>
      <c r="L722" s="7"/>
      <c r="M722" s="10"/>
      <c r="N722" s="7"/>
      <c r="O722" s="7"/>
      <c r="P722" s="10"/>
      <c r="Q722" s="10"/>
      <c r="R722" s="7"/>
      <c r="S722" s="7"/>
      <c r="T722" s="15"/>
      <c r="U722" s="15"/>
      <c r="V722" s="15"/>
      <c r="W722" s="12"/>
      <c r="X722" s="7"/>
      <c r="Y722" s="12"/>
      <c r="Z722" s="12"/>
      <c r="AA722" s="12"/>
    </row>
    <row r="723" ht="19.5" customHeight="1">
      <c r="A723" s="7"/>
      <c r="B723" s="12"/>
      <c r="C723" s="12"/>
      <c r="D723" s="12"/>
      <c r="E723" s="12"/>
      <c r="F723" s="12"/>
      <c r="G723" s="12"/>
      <c r="H723" s="12"/>
      <c r="I723" s="12"/>
      <c r="J723" s="7"/>
      <c r="K723" s="12"/>
      <c r="L723" s="7"/>
      <c r="M723" s="10"/>
      <c r="N723" s="7"/>
      <c r="O723" s="7"/>
      <c r="P723" s="10"/>
      <c r="Q723" s="10"/>
      <c r="R723" s="7"/>
      <c r="S723" s="7"/>
      <c r="T723" s="15"/>
      <c r="U723" s="15"/>
      <c r="V723" s="15"/>
      <c r="W723" s="12"/>
      <c r="X723" s="7"/>
      <c r="Y723" s="12"/>
      <c r="Z723" s="12"/>
      <c r="AA723" s="12"/>
    </row>
    <row r="724" ht="19.5" customHeight="1">
      <c r="A724" s="7"/>
      <c r="B724" s="12"/>
      <c r="C724" s="12"/>
      <c r="D724" s="12"/>
      <c r="E724" s="12"/>
      <c r="F724" s="12"/>
      <c r="G724" s="12"/>
      <c r="H724" s="12"/>
      <c r="I724" s="12"/>
      <c r="J724" s="7"/>
      <c r="K724" s="12"/>
      <c r="L724" s="7"/>
      <c r="M724" s="10"/>
      <c r="N724" s="7"/>
      <c r="O724" s="7"/>
      <c r="P724" s="10"/>
      <c r="Q724" s="10"/>
      <c r="R724" s="7"/>
      <c r="S724" s="7"/>
      <c r="T724" s="15"/>
      <c r="U724" s="15"/>
      <c r="V724" s="15"/>
      <c r="W724" s="12"/>
      <c r="X724" s="7"/>
      <c r="Y724" s="12"/>
      <c r="Z724" s="12"/>
      <c r="AA724" s="12"/>
    </row>
    <row r="725" ht="19.5" customHeight="1">
      <c r="A725" s="7"/>
      <c r="B725" s="12"/>
      <c r="C725" s="12"/>
      <c r="D725" s="12"/>
      <c r="E725" s="12"/>
      <c r="F725" s="12"/>
      <c r="G725" s="12"/>
      <c r="H725" s="12"/>
      <c r="I725" s="12"/>
      <c r="J725" s="7"/>
      <c r="K725" s="12"/>
      <c r="L725" s="7"/>
      <c r="M725" s="10"/>
      <c r="N725" s="7"/>
      <c r="O725" s="7"/>
      <c r="P725" s="10"/>
      <c r="Q725" s="10"/>
      <c r="R725" s="7"/>
      <c r="S725" s="7"/>
      <c r="T725" s="15"/>
      <c r="U725" s="15"/>
      <c r="V725" s="15"/>
      <c r="W725" s="12"/>
      <c r="X725" s="7"/>
      <c r="Y725" s="12"/>
      <c r="Z725" s="12"/>
      <c r="AA725" s="12"/>
    </row>
    <row r="726" ht="19.5" customHeight="1">
      <c r="A726" s="7"/>
      <c r="B726" s="12"/>
      <c r="C726" s="12"/>
      <c r="D726" s="12"/>
      <c r="E726" s="12"/>
      <c r="F726" s="12"/>
      <c r="G726" s="12"/>
      <c r="H726" s="12"/>
      <c r="I726" s="12"/>
      <c r="J726" s="7"/>
      <c r="K726" s="12"/>
      <c r="L726" s="7"/>
      <c r="M726" s="10"/>
      <c r="N726" s="7"/>
      <c r="O726" s="7"/>
      <c r="P726" s="10"/>
      <c r="Q726" s="10"/>
      <c r="R726" s="7"/>
      <c r="S726" s="7"/>
      <c r="T726" s="15"/>
      <c r="U726" s="15"/>
      <c r="V726" s="15"/>
      <c r="W726" s="12"/>
      <c r="X726" s="7"/>
      <c r="Y726" s="12"/>
      <c r="Z726" s="12"/>
      <c r="AA726" s="12"/>
    </row>
    <row r="727" ht="19.5" customHeight="1">
      <c r="A727" s="7"/>
      <c r="B727" s="12"/>
      <c r="C727" s="12"/>
      <c r="D727" s="12"/>
      <c r="E727" s="12"/>
      <c r="F727" s="12"/>
      <c r="G727" s="12"/>
      <c r="H727" s="12"/>
      <c r="I727" s="12"/>
      <c r="J727" s="7"/>
      <c r="K727" s="12"/>
      <c r="L727" s="7"/>
      <c r="M727" s="10"/>
      <c r="N727" s="7"/>
      <c r="O727" s="7"/>
      <c r="P727" s="10"/>
      <c r="Q727" s="10"/>
      <c r="R727" s="7"/>
      <c r="S727" s="7"/>
      <c r="T727" s="15"/>
      <c r="U727" s="15"/>
      <c r="V727" s="15"/>
      <c r="W727" s="12"/>
      <c r="X727" s="7"/>
      <c r="Y727" s="12"/>
      <c r="Z727" s="12"/>
      <c r="AA727" s="12"/>
    </row>
    <row r="728" ht="19.5" customHeight="1">
      <c r="A728" s="7"/>
      <c r="B728" s="12"/>
      <c r="C728" s="12"/>
      <c r="D728" s="12"/>
      <c r="E728" s="12"/>
      <c r="F728" s="12"/>
      <c r="G728" s="12"/>
      <c r="H728" s="12"/>
      <c r="I728" s="12"/>
      <c r="J728" s="7"/>
      <c r="K728" s="12"/>
      <c r="L728" s="7"/>
      <c r="M728" s="10"/>
      <c r="N728" s="7"/>
      <c r="O728" s="7"/>
      <c r="P728" s="10"/>
      <c r="Q728" s="10"/>
      <c r="R728" s="7"/>
      <c r="S728" s="7"/>
      <c r="T728" s="15"/>
      <c r="U728" s="15"/>
      <c r="V728" s="15"/>
      <c r="W728" s="12"/>
      <c r="X728" s="7"/>
      <c r="Y728" s="12"/>
      <c r="Z728" s="12"/>
      <c r="AA728" s="12"/>
    </row>
    <row r="729" ht="19.5" customHeight="1">
      <c r="A729" s="7"/>
      <c r="B729" s="12"/>
      <c r="C729" s="12"/>
      <c r="D729" s="12"/>
      <c r="E729" s="12"/>
      <c r="F729" s="12"/>
      <c r="G729" s="12"/>
      <c r="H729" s="12"/>
      <c r="I729" s="12"/>
      <c r="J729" s="7"/>
      <c r="K729" s="12"/>
      <c r="L729" s="7"/>
      <c r="M729" s="10"/>
      <c r="N729" s="7"/>
      <c r="O729" s="7"/>
      <c r="P729" s="10"/>
      <c r="Q729" s="10"/>
      <c r="R729" s="7"/>
      <c r="S729" s="7"/>
      <c r="T729" s="15"/>
      <c r="U729" s="15"/>
      <c r="V729" s="15"/>
      <c r="W729" s="12"/>
      <c r="X729" s="7"/>
      <c r="Y729" s="12"/>
      <c r="Z729" s="12"/>
      <c r="AA729" s="12"/>
    </row>
    <row r="730" ht="19.5" customHeight="1">
      <c r="A730" s="7"/>
      <c r="B730" s="12"/>
      <c r="C730" s="12"/>
      <c r="D730" s="12"/>
      <c r="E730" s="12"/>
      <c r="F730" s="12"/>
      <c r="G730" s="12"/>
      <c r="H730" s="12"/>
      <c r="I730" s="12"/>
      <c r="J730" s="7"/>
      <c r="K730" s="12"/>
      <c r="L730" s="7"/>
      <c r="M730" s="10"/>
      <c r="N730" s="7"/>
      <c r="O730" s="7"/>
      <c r="P730" s="10"/>
      <c r="Q730" s="10"/>
      <c r="R730" s="7"/>
      <c r="S730" s="7"/>
      <c r="T730" s="15"/>
      <c r="U730" s="15"/>
      <c r="V730" s="15"/>
      <c r="W730" s="12"/>
      <c r="X730" s="7"/>
      <c r="Y730" s="12"/>
      <c r="Z730" s="12"/>
      <c r="AA730" s="12"/>
    </row>
    <row r="731" ht="19.5" customHeight="1">
      <c r="A731" s="7"/>
      <c r="B731" s="12"/>
      <c r="C731" s="12"/>
      <c r="D731" s="12"/>
      <c r="E731" s="12"/>
      <c r="F731" s="12"/>
      <c r="G731" s="12"/>
      <c r="H731" s="12"/>
      <c r="I731" s="12"/>
      <c r="J731" s="7"/>
      <c r="K731" s="12"/>
      <c r="L731" s="7"/>
      <c r="M731" s="10"/>
      <c r="N731" s="7"/>
      <c r="O731" s="7"/>
      <c r="P731" s="10"/>
      <c r="Q731" s="10"/>
      <c r="R731" s="7"/>
      <c r="S731" s="7"/>
      <c r="T731" s="15"/>
      <c r="U731" s="15"/>
      <c r="V731" s="15"/>
      <c r="W731" s="12"/>
      <c r="X731" s="7"/>
      <c r="Y731" s="12"/>
      <c r="Z731" s="12"/>
      <c r="AA731" s="12"/>
    </row>
    <row r="732" ht="19.5" customHeight="1">
      <c r="A732" s="7"/>
      <c r="B732" s="12"/>
      <c r="C732" s="12"/>
      <c r="D732" s="12"/>
      <c r="E732" s="12"/>
      <c r="F732" s="12"/>
      <c r="G732" s="12"/>
      <c r="H732" s="12"/>
      <c r="I732" s="12"/>
      <c r="J732" s="7"/>
      <c r="K732" s="12"/>
      <c r="L732" s="7"/>
      <c r="M732" s="10"/>
      <c r="N732" s="7"/>
      <c r="O732" s="7"/>
      <c r="P732" s="10"/>
      <c r="Q732" s="10"/>
      <c r="R732" s="7"/>
      <c r="S732" s="7"/>
      <c r="T732" s="15"/>
      <c r="U732" s="15"/>
      <c r="V732" s="15"/>
      <c r="W732" s="12"/>
      <c r="X732" s="7"/>
      <c r="Y732" s="12"/>
      <c r="Z732" s="12"/>
      <c r="AA732" s="12"/>
    </row>
    <row r="733" ht="19.5" customHeight="1">
      <c r="A733" s="7"/>
      <c r="B733" s="12"/>
      <c r="C733" s="12"/>
      <c r="D733" s="12"/>
      <c r="E733" s="12"/>
      <c r="F733" s="12"/>
      <c r="G733" s="12"/>
      <c r="H733" s="12"/>
      <c r="I733" s="12"/>
      <c r="J733" s="7"/>
      <c r="K733" s="12"/>
      <c r="L733" s="7"/>
      <c r="M733" s="10"/>
      <c r="N733" s="7"/>
      <c r="O733" s="7"/>
      <c r="P733" s="10"/>
      <c r="Q733" s="10"/>
      <c r="R733" s="7"/>
      <c r="S733" s="7"/>
      <c r="T733" s="15"/>
      <c r="U733" s="15"/>
      <c r="V733" s="15"/>
      <c r="W733" s="12"/>
      <c r="X733" s="7"/>
      <c r="Y733" s="12"/>
      <c r="Z733" s="12"/>
      <c r="AA733" s="12"/>
    </row>
    <row r="734" ht="19.5" customHeight="1">
      <c r="A734" s="7"/>
      <c r="B734" s="12"/>
      <c r="C734" s="12"/>
      <c r="D734" s="12"/>
      <c r="E734" s="12"/>
      <c r="F734" s="12"/>
      <c r="G734" s="12"/>
      <c r="H734" s="12"/>
      <c r="I734" s="12"/>
      <c r="J734" s="7"/>
      <c r="K734" s="12"/>
      <c r="L734" s="7"/>
      <c r="M734" s="10"/>
      <c r="N734" s="7"/>
      <c r="O734" s="7"/>
      <c r="P734" s="10"/>
      <c r="Q734" s="10"/>
      <c r="R734" s="7"/>
      <c r="S734" s="7"/>
      <c r="T734" s="15"/>
      <c r="U734" s="15"/>
      <c r="V734" s="15"/>
      <c r="W734" s="12"/>
      <c r="X734" s="7"/>
      <c r="Y734" s="12"/>
      <c r="Z734" s="12"/>
      <c r="AA734" s="12"/>
    </row>
    <row r="735" ht="19.5" customHeight="1">
      <c r="A735" s="7"/>
      <c r="B735" s="12"/>
      <c r="C735" s="12"/>
      <c r="D735" s="12"/>
      <c r="E735" s="12"/>
      <c r="F735" s="12"/>
      <c r="G735" s="12"/>
      <c r="H735" s="12"/>
      <c r="I735" s="12"/>
      <c r="J735" s="7"/>
      <c r="K735" s="12"/>
      <c r="L735" s="7"/>
      <c r="M735" s="10"/>
      <c r="N735" s="7"/>
      <c r="O735" s="7"/>
      <c r="P735" s="10"/>
      <c r="Q735" s="10"/>
      <c r="R735" s="7"/>
      <c r="S735" s="7"/>
      <c r="T735" s="15"/>
      <c r="U735" s="15"/>
      <c r="V735" s="15"/>
      <c r="W735" s="12"/>
      <c r="X735" s="7"/>
      <c r="Y735" s="12"/>
      <c r="Z735" s="12"/>
      <c r="AA735" s="12"/>
    </row>
    <row r="736" ht="19.5" customHeight="1">
      <c r="A736" s="7"/>
      <c r="B736" s="12"/>
      <c r="C736" s="12"/>
      <c r="D736" s="12"/>
      <c r="E736" s="12"/>
      <c r="F736" s="12"/>
      <c r="G736" s="12"/>
      <c r="H736" s="12"/>
      <c r="I736" s="12"/>
      <c r="J736" s="7"/>
      <c r="K736" s="12"/>
      <c r="L736" s="7"/>
      <c r="M736" s="10"/>
      <c r="N736" s="7"/>
      <c r="O736" s="7"/>
      <c r="P736" s="10"/>
      <c r="Q736" s="10"/>
      <c r="R736" s="7"/>
      <c r="S736" s="7"/>
      <c r="T736" s="15"/>
      <c r="U736" s="15"/>
      <c r="V736" s="15"/>
      <c r="W736" s="12"/>
      <c r="X736" s="7"/>
      <c r="Y736" s="12"/>
      <c r="Z736" s="12"/>
      <c r="AA736" s="12"/>
    </row>
    <row r="737" ht="19.5" customHeight="1">
      <c r="A737" s="7"/>
      <c r="B737" s="12"/>
      <c r="C737" s="12"/>
      <c r="D737" s="12"/>
      <c r="E737" s="12"/>
      <c r="F737" s="12"/>
      <c r="G737" s="12"/>
      <c r="H737" s="12"/>
      <c r="I737" s="12"/>
      <c r="J737" s="7"/>
      <c r="K737" s="12"/>
      <c r="L737" s="7"/>
      <c r="M737" s="10"/>
      <c r="N737" s="7"/>
      <c r="O737" s="7"/>
      <c r="P737" s="10"/>
      <c r="Q737" s="10"/>
      <c r="R737" s="7"/>
      <c r="S737" s="7"/>
      <c r="T737" s="15"/>
      <c r="U737" s="15"/>
      <c r="V737" s="15"/>
      <c r="W737" s="12"/>
      <c r="X737" s="7"/>
      <c r="Y737" s="12"/>
      <c r="Z737" s="12"/>
      <c r="AA737" s="12"/>
    </row>
    <row r="738" ht="19.5" customHeight="1">
      <c r="A738" s="7"/>
      <c r="B738" s="12"/>
      <c r="C738" s="12"/>
      <c r="D738" s="12"/>
      <c r="E738" s="12"/>
      <c r="F738" s="12"/>
      <c r="G738" s="12"/>
      <c r="H738" s="12"/>
      <c r="I738" s="12"/>
      <c r="J738" s="7"/>
      <c r="K738" s="12"/>
      <c r="L738" s="7"/>
      <c r="M738" s="10"/>
      <c r="N738" s="7"/>
      <c r="O738" s="7"/>
      <c r="P738" s="10"/>
      <c r="Q738" s="10"/>
      <c r="R738" s="7"/>
      <c r="S738" s="7"/>
      <c r="T738" s="15"/>
      <c r="U738" s="15"/>
      <c r="V738" s="15"/>
      <c r="W738" s="12"/>
      <c r="X738" s="7"/>
      <c r="Y738" s="12"/>
      <c r="Z738" s="12"/>
      <c r="AA738" s="12"/>
    </row>
    <row r="739" ht="19.5" customHeight="1">
      <c r="A739" s="7"/>
      <c r="B739" s="12"/>
      <c r="C739" s="12"/>
      <c r="D739" s="12"/>
      <c r="E739" s="12"/>
      <c r="F739" s="12"/>
      <c r="G739" s="12"/>
      <c r="H739" s="12"/>
      <c r="I739" s="12"/>
      <c r="J739" s="7"/>
      <c r="K739" s="12"/>
      <c r="L739" s="7"/>
      <c r="M739" s="10"/>
      <c r="N739" s="7"/>
      <c r="O739" s="7"/>
      <c r="P739" s="10"/>
      <c r="Q739" s="10"/>
      <c r="R739" s="7"/>
      <c r="S739" s="7"/>
      <c r="T739" s="15"/>
      <c r="U739" s="15"/>
      <c r="V739" s="15"/>
      <c r="W739" s="12"/>
      <c r="X739" s="7"/>
      <c r="Y739" s="12"/>
      <c r="Z739" s="12"/>
      <c r="AA739" s="12"/>
    </row>
    <row r="740" ht="19.5" customHeight="1">
      <c r="A740" s="7"/>
      <c r="B740" s="12"/>
      <c r="C740" s="12"/>
      <c r="D740" s="12"/>
      <c r="E740" s="12"/>
      <c r="F740" s="12"/>
      <c r="G740" s="12"/>
      <c r="H740" s="12"/>
      <c r="I740" s="12"/>
      <c r="J740" s="7"/>
      <c r="K740" s="12"/>
      <c r="L740" s="7"/>
      <c r="M740" s="10"/>
      <c r="N740" s="7"/>
      <c r="O740" s="7"/>
      <c r="P740" s="10"/>
      <c r="Q740" s="10"/>
      <c r="R740" s="7"/>
      <c r="S740" s="7"/>
      <c r="T740" s="15"/>
      <c r="U740" s="15"/>
      <c r="V740" s="15"/>
      <c r="W740" s="12"/>
      <c r="X740" s="7"/>
      <c r="Y740" s="12"/>
      <c r="Z740" s="12"/>
      <c r="AA740" s="12"/>
    </row>
    <row r="741" ht="19.5" customHeight="1">
      <c r="A741" s="7"/>
      <c r="B741" s="12"/>
      <c r="C741" s="12"/>
      <c r="D741" s="12"/>
      <c r="E741" s="12"/>
      <c r="F741" s="12"/>
      <c r="G741" s="12"/>
      <c r="H741" s="12"/>
      <c r="I741" s="12"/>
      <c r="J741" s="7"/>
      <c r="K741" s="12"/>
      <c r="L741" s="7"/>
      <c r="M741" s="10"/>
      <c r="N741" s="7"/>
      <c r="O741" s="7"/>
      <c r="P741" s="10"/>
      <c r="Q741" s="10"/>
      <c r="R741" s="7"/>
      <c r="S741" s="7"/>
      <c r="T741" s="15"/>
      <c r="U741" s="15"/>
      <c r="V741" s="15"/>
      <c r="W741" s="12"/>
      <c r="X741" s="7"/>
      <c r="Y741" s="12"/>
      <c r="Z741" s="12"/>
      <c r="AA741" s="12"/>
    </row>
    <row r="742" ht="19.5" customHeight="1">
      <c r="A742" s="7"/>
      <c r="B742" s="12"/>
      <c r="C742" s="12"/>
      <c r="D742" s="12"/>
      <c r="E742" s="12"/>
      <c r="F742" s="12"/>
      <c r="G742" s="12"/>
      <c r="H742" s="12"/>
      <c r="I742" s="12"/>
      <c r="J742" s="7"/>
      <c r="K742" s="12"/>
      <c r="L742" s="7"/>
      <c r="M742" s="10"/>
      <c r="N742" s="7"/>
      <c r="O742" s="7"/>
      <c r="P742" s="10"/>
      <c r="Q742" s="10"/>
      <c r="R742" s="7"/>
      <c r="S742" s="7"/>
      <c r="T742" s="15"/>
      <c r="U742" s="15"/>
      <c r="V742" s="15"/>
      <c r="W742" s="12"/>
      <c r="X742" s="7"/>
      <c r="Y742" s="12"/>
      <c r="Z742" s="12"/>
      <c r="AA742" s="12"/>
    </row>
    <row r="743" ht="19.5" customHeight="1">
      <c r="A743" s="7"/>
      <c r="B743" s="12"/>
      <c r="C743" s="12"/>
      <c r="D743" s="12"/>
      <c r="E743" s="12"/>
      <c r="F743" s="12"/>
      <c r="G743" s="12"/>
      <c r="H743" s="12"/>
      <c r="I743" s="12"/>
      <c r="J743" s="7"/>
      <c r="K743" s="12"/>
      <c r="L743" s="7"/>
      <c r="M743" s="10"/>
      <c r="N743" s="7"/>
      <c r="O743" s="7"/>
      <c r="P743" s="10"/>
      <c r="Q743" s="10"/>
      <c r="R743" s="7"/>
      <c r="S743" s="7"/>
      <c r="T743" s="15"/>
      <c r="U743" s="15"/>
      <c r="V743" s="15"/>
      <c r="W743" s="12"/>
      <c r="X743" s="7"/>
      <c r="Y743" s="12"/>
      <c r="Z743" s="12"/>
      <c r="AA743" s="12"/>
    </row>
    <row r="744" ht="19.5" customHeight="1">
      <c r="A744" s="7"/>
      <c r="B744" s="12"/>
      <c r="C744" s="12"/>
      <c r="D744" s="12"/>
      <c r="E744" s="12"/>
      <c r="F744" s="12"/>
      <c r="G744" s="12"/>
      <c r="H744" s="12"/>
      <c r="I744" s="12"/>
      <c r="J744" s="7"/>
      <c r="K744" s="12"/>
      <c r="L744" s="7"/>
      <c r="M744" s="10"/>
      <c r="N744" s="7"/>
      <c r="O744" s="7"/>
      <c r="P744" s="10"/>
      <c r="Q744" s="10"/>
      <c r="R744" s="7"/>
      <c r="S744" s="7"/>
      <c r="T744" s="15"/>
      <c r="U744" s="15"/>
      <c r="V744" s="15"/>
      <c r="W744" s="12"/>
      <c r="X744" s="7"/>
      <c r="Y744" s="12"/>
      <c r="Z744" s="12"/>
      <c r="AA744" s="12"/>
    </row>
    <row r="745" ht="19.5" customHeight="1">
      <c r="A745" s="7"/>
      <c r="B745" s="12"/>
      <c r="C745" s="12"/>
      <c r="D745" s="12"/>
      <c r="E745" s="12"/>
      <c r="F745" s="12"/>
      <c r="G745" s="12"/>
      <c r="H745" s="12"/>
      <c r="I745" s="12"/>
      <c r="J745" s="7"/>
      <c r="K745" s="12"/>
      <c r="L745" s="7"/>
      <c r="M745" s="10"/>
      <c r="N745" s="7"/>
      <c r="O745" s="7"/>
      <c r="P745" s="10"/>
      <c r="Q745" s="10"/>
      <c r="R745" s="7"/>
      <c r="S745" s="7"/>
      <c r="T745" s="15"/>
      <c r="U745" s="15"/>
      <c r="V745" s="15"/>
      <c r="W745" s="12"/>
      <c r="X745" s="7"/>
      <c r="Y745" s="12"/>
      <c r="Z745" s="12"/>
      <c r="AA745" s="12"/>
    </row>
    <row r="746" ht="19.5" customHeight="1">
      <c r="A746" s="7"/>
      <c r="B746" s="12"/>
      <c r="C746" s="12"/>
      <c r="D746" s="12"/>
      <c r="E746" s="12"/>
      <c r="F746" s="12"/>
      <c r="G746" s="12"/>
      <c r="H746" s="12"/>
      <c r="I746" s="12"/>
      <c r="J746" s="7"/>
      <c r="K746" s="12"/>
      <c r="L746" s="7"/>
      <c r="M746" s="10"/>
      <c r="N746" s="7"/>
      <c r="O746" s="7"/>
      <c r="P746" s="10"/>
      <c r="Q746" s="10"/>
      <c r="R746" s="7"/>
      <c r="S746" s="7"/>
      <c r="T746" s="15"/>
      <c r="U746" s="15"/>
      <c r="V746" s="15"/>
      <c r="W746" s="12"/>
      <c r="X746" s="7"/>
      <c r="Y746" s="12"/>
      <c r="Z746" s="12"/>
      <c r="AA746" s="12"/>
    </row>
    <row r="747" ht="19.5" customHeight="1">
      <c r="A747" s="7"/>
      <c r="B747" s="12"/>
      <c r="C747" s="12"/>
      <c r="D747" s="12"/>
      <c r="E747" s="12"/>
      <c r="F747" s="12"/>
      <c r="G747" s="12"/>
      <c r="H747" s="12"/>
      <c r="I747" s="12"/>
      <c r="J747" s="7"/>
      <c r="K747" s="12"/>
      <c r="L747" s="7"/>
      <c r="M747" s="10"/>
      <c r="N747" s="7"/>
      <c r="O747" s="7"/>
      <c r="P747" s="10"/>
      <c r="Q747" s="10"/>
      <c r="R747" s="7"/>
      <c r="S747" s="7"/>
      <c r="T747" s="15"/>
      <c r="U747" s="15"/>
      <c r="V747" s="15"/>
      <c r="W747" s="12"/>
      <c r="X747" s="7"/>
      <c r="Y747" s="12"/>
      <c r="Z747" s="12"/>
      <c r="AA747" s="12"/>
    </row>
    <row r="748" ht="19.5" customHeight="1">
      <c r="A748" s="7"/>
      <c r="B748" s="12"/>
      <c r="C748" s="12"/>
      <c r="D748" s="12"/>
      <c r="E748" s="12"/>
      <c r="F748" s="12"/>
      <c r="G748" s="12"/>
      <c r="H748" s="12"/>
      <c r="I748" s="12"/>
      <c r="J748" s="7"/>
      <c r="K748" s="12"/>
      <c r="L748" s="7"/>
      <c r="M748" s="10"/>
      <c r="N748" s="7"/>
      <c r="O748" s="7"/>
      <c r="P748" s="10"/>
      <c r="Q748" s="10"/>
      <c r="R748" s="7"/>
      <c r="S748" s="7"/>
      <c r="T748" s="15"/>
      <c r="U748" s="15"/>
      <c r="V748" s="15"/>
      <c r="W748" s="12"/>
      <c r="X748" s="7"/>
      <c r="Y748" s="12"/>
      <c r="Z748" s="12"/>
      <c r="AA748" s="12"/>
    </row>
    <row r="749" ht="19.5" customHeight="1">
      <c r="A749" s="7"/>
      <c r="B749" s="12"/>
      <c r="C749" s="12"/>
      <c r="D749" s="12"/>
      <c r="E749" s="12"/>
      <c r="F749" s="12"/>
      <c r="G749" s="12"/>
      <c r="H749" s="12"/>
      <c r="I749" s="12"/>
      <c r="J749" s="7"/>
      <c r="K749" s="12"/>
      <c r="L749" s="7"/>
      <c r="M749" s="10"/>
      <c r="N749" s="7"/>
      <c r="O749" s="7"/>
      <c r="P749" s="10"/>
      <c r="Q749" s="10"/>
      <c r="R749" s="7"/>
      <c r="S749" s="7"/>
      <c r="T749" s="15"/>
      <c r="U749" s="15"/>
      <c r="V749" s="15"/>
      <c r="W749" s="12"/>
      <c r="X749" s="7"/>
      <c r="Y749" s="12"/>
      <c r="Z749" s="12"/>
      <c r="AA749" s="12"/>
    </row>
    <row r="750" ht="19.5" customHeight="1">
      <c r="A750" s="7"/>
      <c r="B750" s="12"/>
      <c r="C750" s="12"/>
      <c r="D750" s="12"/>
      <c r="E750" s="12"/>
      <c r="F750" s="12"/>
      <c r="G750" s="12"/>
      <c r="H750" s="12"/>
      <c r="I750" s="12"/>
      <c r="J750" s="7"/>
      <c r="K750" s="12"/>
      <c r="L750" s="7"/>
      <c r="M750" s="10"/>
      <c r="N750" s="7"/>
      <c r="O750" s="7"/>
      <c r="P750" s="10"/>
      <c r="Q750" s="10"/>
      <c r="R750" s="7"/>
      <c r="S750" s="7"/>
      <c r="T750" s="15"/>
      <c r="U750" s="15"/>
      <c r="V750" s="15"/>
      <c r="W750" s="12"/>
      <c r="X750" s="7"/>
      <c r="Y750" s="12"/>
      <c r="Z750" s="12"/>
      <c r="AA750" s="12"/>
    </row>
    <row r="751" ht="19.5" customHeight="1">
      <c r="A751" s="7"/>
      <c r="B751" s="12"/>
      <c r="C751" s="12"/>
      <c r="D751" s="12"/>
      <c r="E751" s="12"/>
      <c r="F751" s="12"/>
      <c r="G751" s="12"/>
      <c r="H751" s="12"/>
      <c r="I751" s="12"/>
      <c r="J751" s="7"/>
      <c r="K751" s="12"/>
      <c r="L751" s="7"/>
      <c r="M751" s="10"/>
      <c r="N751" s="7"/>
      <c r="O751" s="7"/>
      <c r="P751" s="10"/>
      <c r="Q751" s="10"/>
      <c r="R751" s="7"/>
      <c r="S751" s="7"/>
      <c r="T751" s="15"/>
      <c r="U751" s="15"/>
      <c r="V751" s="15"/>
      <c r="W751" s="12"/>
      <c r="X751" s="7"/>
      <c r="Y751" s="12"/>
      <c r="Z751" s="12"/>
      <c r="AA751" s="12"/>
    </row>
    <row r="752" ht="19.5" customHeight="1">
      <c r="A752" s="7"/>
      <c r="B752" s="12"/>
      <c r="C752" s="12"/>
      <c r="D752" s="12"/>
      <c r="E752" s="12"/>
      <c r="F752" s="12"/>
      <c r="G752" s="12"/>
      <c r="H752" s="12"/>
      <c r="I752" s="12"/>
      <c r="J752" s="7"/>
      <c r="K752" s="12"/>
      <c r="L752" s="7"/>
      <c r="M752" s="10"/>
      <c r="N752" s="7"/>
      <c r="O752" s="7"/>
      <c r="P752" s="10"/>
      <c r="Q752" s="10"/>
      <c r="R752" s="7"/>
      <c r="S752" s="7"/>
      <c r="T752" s="15"/>
      <c r="U752" s="15"/>
      <c r="V752" s="15"/>
      <c r="W752" s="12"/>
      <c r="X752" s="7"/>
      <c r="Y752" s="12"/>
      <c r="Z752" s="12"/>
      <c r="AA752" s="12"/>
    </row>
    <row r="753" ht="19.5" customHeight="1">
      <c r="A753" s="7"/>
      <c r="B753" s="12"/>
      <c r="C753" s="12"/>
      <c r="D753" s="12"/>
      <c r="E753" s="12"/>
      <c r="F753" s="12"/>
      <c r="G753" s="12"/>
      <c r="H753" s="12"/>
      <c r="I753" s="12"/>
      <c r="J753" s="7"/>
      <c r="K753" s="12"/>
      <c r="L753" s="7"/>
      <c r="M753" s="10"/>
      <c r="N753" s="7"/>
      <c r="O753" s="7"/>
      <c r="P753" s="10"/>
      <c r="Q753" s="10"/>
      <c r="R753" s="7"/>
      <c r="S753" s="7"/>
      <c r="T753" s="15"/>
      <c r="U753" s="15"/>
      <c r="V753" s="15"/>
      <c r="W753" s="12"/>
      <c r="X753" s="7"/>
      <c r="Y753" s="12"/>
      <c r="Z753" s="12"/>
      <c r="AA753" s="12"/>
    </row>
    <row r="754" ht="19.5" customHeight="1">
      <c r="A754" s="7"/>
      <c r="B754" s="12"/>
      <c r="C754" s="12"/>
      <c r="D754" s="12"/>
      <c r="E754" s="12"/>
      <c r="F754" s="12"/>
      <c r="G754" s="12"/>
      <c r="H754" s="12"/>
      <c r="I754" s="12"/>
      <c r="J754" s="7"/>
      <c r="K754" s="12"/>
      <c r="L754" s="7"/>
      <c r="M754" s="10"/>
      <c r="N754" s="7"/>
      <c r="O754" s="7"/>
      <c r="P754" s="10"/>
      <c r="Q754" s="10"/>
      <c r="R754" s="7"/>
      <c r="S754" s="7"/>
      <c r="T754" s="15"/>
      <c r="U754" s="15"/>
      <c r="V754" s="15"/>
      <c r="W754" s="12"/>
      <c r="X754" s="7"/>
      <c r="Y754" s="12"/>
      <c r="Z754" s="12"/>
      <c r="AA754" s="12"/>
    </row>
    <row r="755" ht="19.5" customHeight="1">
      <c r="A755" s="7"/>
      <c r="B755" s="12"/>
      <c r="C755" s="12"/>
      <c r="D755" s="12"/>
      <c r="E755" s="12"/>
      <c r="F755" s="12"/>
      <c r="G755" s="12"/>
      <c r="H755" s="12"/>
      <c r="I755" s="12"/>
      <c r="J755" s="7"/>
      <c r="K755" s="12"/>
      <c r="L755" s="7"/>
      <c r="M755" s="10"/>
      <c r="N755" s="7"/>
      <c r="O755" s="7"/>
      <c r="P755" s="10"/>
      <c r="Q755" s="10"/>
      <c r="R755" s="7"/>
      <c r="S755" s="7"/>
      <c r="T755" s="15"/>
      <c r="U755" s="15"/>
      <c r="V755" s="15"/>
      <c r="W755" s="12"/>
      <c r="X755" s="7"/>
      <c r="Y755" s="12"/>
      <c r="Z755" s="12"/>
      <c r="AA755" s="12"/>
    </row>
    <row r="756" ht="19.5" customHeight="1">
      <c r="A756" s="7"/>
      <c r="B756" s="12"/>
      <c r="C756" s="12"/>
      <c r="D756" s="12"/>
      <c r="E756" s="12"/>
      <c r="F756" s="12"/>
      <c r="G756" s="12"/>
      <c r="H756" s="12"/>
      <c r="I756" s="12"/>
      <c r="J756" s="7"/>
      <c r="K756" s="12"/>
      <c r="L756" s="7"/>
      <c r="M756" s="10"/>
      <c r="N756" s="7"/>
      <c r="O756" s="7"/>
      <c r="P756" s="10"/>
      <c r="Q756" s="10"/>
      <c r="R756" s="7"/>
      <c r="S756" s="7"/>
      <c r="T756" s="15"/>
      <c r="U756" s="15"/>
      <c r="V756" s="15"/>
      <c r="W756" s="12"/>
      <c r="X756" s="7"/>
      <c r="Y756" s="12"/>
      <c r="Z756" s="12"/>
      <c r="AA756" s="12"/>
    </row>
    <row r="757" ht="19.5" customHeight="1">
      <c r="A757" s="7"/>
      <c r="B757" s="12"/>
      <c r="C757" s="12"/>
      <c r="D757" s="12"/>
      <c r="E757" s="12"/>
      <c r="F757" s="12"/>
      <c r="G757" s="12"/>
      <c r="H757" s="12"/>
      <c r="I757" s="12"/>
      <c r="J757" s="7"/>
      <c r="K757" s="12"/>
      <c r="L757" s="7"/>
      <c r="M757" s="10"/>
      <c r="N757" s="7"/>
      <c r="O757" s="7"/>
      <c r="P757" s="10"/>
      <c r="Q757" s="10"/>
      <c r="R757" s="7"/>
      <c r="S757" s="7"/>
      <c r="T757" s="15"/>
      <c r="U757" s="15"/>
      <c r="V757" s="15"/>
      <c r="W757" s="12"/>
      <c r="X757" s="7"/>
      <c r="Y757" s="12"/>
      <c r="Z757" s="12"/>
      <c r="AA757" s="12"/>
    </row>
    <row r="758" ht="19.5" customHeight="1">
      <c r="A758" s="7"/>
      <c r="B758" s="12"/>
      <c r="C758" s="12"/>
      <c r="D758" s="12"/>
      <c r="E758" s="12"/>
      <c r="F758" s="12"/>
      <c r="G758" s="12"/>
      <c r="H758" s="12"/>
      <c r="I758" s="12"/>
      <c r="J758" s="7"/>
      <c r="K758" s="12"/>
      <c r="L758" s="7"/>
      <c r="M758" s="10"/>
      <c r="N758" s="7"/>
      <c r="O758" s="7"/>
      <c r="P758" s="10"/>
      <c r="Q758" s="10"/>
      <c r="R758" s="7"/>
      <c r="S758" s="7"/>
      <c r="T758" s="15"/>
      <c r="U758" s="15"/>
      <c r="V758" s="15"/>
      <c r="W758" s="12"/>
      <c r="X758" s="7"/>
      <c r="Y758" s="12"/>
      <c r="Z758" s="12"/>
      <c r="AA758" s="12"/>
    </row>
    <row r="759" ht="19.5" customHeight="1">
      <c r="A759" s="7"/>
      <c r="B759" s="12"/>
      <c r="C759" s="12"/>
      <c r="D759" s="12"/>
      <c r="E759" s="12"/>
      <c r="F759" s="12"/>
      <c r="G759" s="12"/>
      <c r="H759" s="12"/>
      <c r="I759" s="12"/>
      <c r="J759" s="7"/>
      <c r="K759" s="12"/>
      <c r="L759" s="7"/>
      <c r="M759" s="10"/>
      <c r="N759" s="7"/>
      <c r="O759" s="7"/>
      <c r="P759" s="10"/>
      <c r="Q759" s="10"/>
      <c r="R759" s="7"/>
      <c r="S759" s="7"/>
      <c r="T759" s="15"/>
      <c r="U759" s="15"/>
      <c r="V759" s="15"/>
      <c r="W759" s="12"/>
      <c r="X759" s="7"/>
      <c r="Y759" s="12"/>
      <c r="Z759" s="12"/>
      <c r="AA759" s="12"/>
    </row>
    <row r="760" ht="19.5" customHeight="1">
      <c r="A760" s="7"/>
      <c r="B760" s="12"/>
      <c r="C760" s="12"/>
      <c r="D760" s="12"/>
      <c r="E760" s="12"/>
      <c r="F760" s="12"/>
      <c r="G760" s="12"/>
      <c r="H760" s="12"/>
      <c r="I760" s="12"/>
      <c r="J760" s="7"/>
      <c r="K760" s="12"/>
      <c r="L760" s="7"/>
      <c r="M760" s="10"/>
      <c r="N760" s="7"/>
      <c r="O760" s="7"/>
      <c r="P760" s="10"/>
      <c r="Q760" s="10"/>
      <c r="R760" s="7"/>
      <c r="S760" s="7"/>
      <c r="T760" s="15"/>
      <c r="U760" s="15"/>
      <c r="V760" s="15"/>
      <c r="W760" s="12"/>
      <c r="X760" s="7"/>
      <c r="Y760" s="12"/>
      <c r="Z760" s="12"/>
      <c r="AA760" s="12"/>
    </row>
    <row r="761" ht="19.5" customHeight="1">
      <c r="A761" s="7"/>
      <c r="B761" s="12"/>
      <c r="C761" s="12"/>
      <c r="D761" s="12"/>
      <c r="E761" s="12"/>
      <c r="F761" s="12"/>
      <c r="G761" s="12"/>
      <c r="H761" s="12"/>
      <c r="I761" s="12"/>
      <c r="J761" s="7"/>
      <c r="K761" s="12"/>
      <c r="L761" s="7"/>
      <c r="M761" s="10"/>
      <c r="N761" s="7"/>
      <c r="O761" s="7"/>
      <c r="P761" s="10"/>
      <c r="Q761" s="10"/>
      <c r="R761" s="7"/>
      <c r="S761" s="7"/>
      <c r="T761" s="15"/>
      <c r="U761" s="15"/>
      <c r="V761" s="15"/>
      <c r="W761" s="12"/>
      <c r="X761" s="7"/>
      <c r="Y761" s="12"/>
      <c r="Z761" s="12"/>
      <c r="AA761" s="12"/>
    </row>
    <row r="762" ht="19.5" customHeight="1">
      <c r="A762" s="7"/>
      <c r="B762" s="12"/>
      <c r="C762" s="12"/>
      <c r="D762" s="12"/>
      <c r="E762" s="12"/>
      <c r="F762" s="12"/>
      <c r="G762" s="12"/>
      <c r="H762" s="12"/>
      <c r="I762" s="12"/>
      <c r="J762" s="7"/>
      <c r="K762" s="12"/>
      <c r="L762" s="7"/>
      <c r="M762" s="10"/>
      <c r="N762" s="7"/>
      <c r="O762" s="7"/>
      <c r="P762" s="10"/>
      <c r="Q762" s="10"/>
      <c r="R762" s="7"/>
      <c r="S762" s="7"/>
      <c r="T762" s="15"/>
      <c r="U762" s="15"/>
      <c r="V762" s="15"/>
      <c r="W762" s="12"/>
      <c r="X762" s="7"/>
      <c r="Y762" s="12"/>
      <c r="Z762" s="12"/>
      <c r="AA762" s="12"/>
    </row>
    <row r="763" ht="19.5" customHeight="1">
      <c r="A763" s="7"/>
      <c r="B763" s="12"/>
      <c r="C763" s="12"/>
      <c r="D763" s="12"/>
      <c r="E763" s="12"/>
      <c r="F763" s="12"/>
      <c r="G763" s="12"/>
      <c r="H763" s="12"/>
      <c r="I763" s="12"/>
      <c r="J763" s="7"/>
      <c r="K763" s="12"/>
      <c r="L763" s="7"/>
      <c r="M763" s="10"/>
      <c r="N763" s="7"/>
      <c r="O763" s="7"/>
      <c r="P763" s="10"/>
      <c r="Q763" s="10"/>
      <c r="R763" s="7"/>
      <c r="S763" s="7"/>
      <c r="T763" s="15"/>
      <c r="U763" s="15"/>
      <c r="V763" s="15"/>
      <c r="W763" s="12"/>
      <c r="X763" s="7"/>
      <c r="Y763" s="12"/>
      <c r="Z763" s="12"/>
      <c r="AA763" s="12"/>
    </row>
    <row r="764" ht="19.5" customHeight="1">
      <c r="A764" s="7"/>
      <c r="B764" s="12"/>
      <c r="C764" s="12"/>
      <c r="D764" s="12"/>
      <c r="E764" s="12"/>
      <c r="F764" s="12"/>
      <c r="G764" s="12"/>
      <c r="H764" s="12"/>
      <c r="I764" s="12"/>
      <c r="J764" s="7"/>
      <c r="K764" s="12"/>
      <c r="L764" s="7"/>
      <c r="M764" s="10"/>
      <c r="N764" s="7"/>
      <c r="O764" s="7"/>
      <c r="P764" s="10"/>
      <c r="Q764" s="10"/>
      <c r="R764" s="7"/>
      <c r="S764" s="7"/>
      <c r="T764" s="15"/>
      <c r="U764" s="15"/>
      <c r="V764" s="15"/>
      <c r="W764" s="12"/>
      <c r="X764" s="7"/>
      <c r="Y764" s="12"/>
      <c r="Z764" s="12"/>
      <c r="AA764" s="12"/>
    </row>
    <row r="765" ht="19.5" customHeight="1">
      <c r="A765" s="7"/>
      <c r="B765" s="12"/>
      <c r="C765" s="12"/>
      <c r="D765" s="12"/>
      <c r="E765" s="12"/>
      <c r="F765" s="12"/>
      <c r="G765" s="12"/>
      <c r="H765" s="12"/>
      <c r="I765" s="12"/>
      <c r="J765" s="7"/>
      <c r="K765" s="12"/>
      <c r="L765" s="7"/>
      <c r="M765" s="10"/>
      <c r="N765" s="7"/>
      <c r="O765" s="7"/>
      <c r="P765" s="10"/>
      <c r="Q765" s="10"/>
      <c r="R765" s="7"/>
      <c r="S765" s="7"/>
      <c r="T765" s="15"/>
      <c r="U765" s="15"/>
      <c r="V765" s="15"/>
      <c r="W765" s="12"/>
      <c r="X765" s="7"/>
      <c r="Y765" s="12"/>
      <c r="Z765" s="12"/>
      <c r="AA765" s="12"/>
    </row>
    <row r="766" ht="19.5" customHeight="1">
      <c r="A766" s="7"/>
      <c r="B766" s="12"/>
      <c r="C766" s="12"/>
      <c r="D766" s="12"/>
      <c r="E766" s="12"/>
      <c r="F766" s="12"/>
      <c r="G766" s="12"/>
      <c r="H766" s="12"/>
      <c r="I766" s="12"/>
      <c r="J766" s="7"/>
      <c r="K766" s="12"/>
      <c r="L766" s="7"/>
      <c r="M766" s="10"/>
      <c r="N766" s="7"/>
      <c r="O766" s="7"/>
      <c r="P766" s="10"/>
      <c r="Q766" s="10"/>
      <c r="R766" s="7"/>
      <c r="S766" s="7"/>
      <c r="T766" s="15"/>
      <c r="U766" s="15"/>
      <c r="V766" s="15"/>
      <c r="W766" s="12"/>
      <c r="X766" s="7"/>
      <c r="Y766" s="12"/>
      <c r="Z766" s="12"/>
      <c r="AA766" s="12"/>
    </row>
    <row r="767" ht="19.5" customHeight="1">
      <c r="A767" s="7"/>
      <c r="B767" s="12"/>
      <c r="C767" s="12"/>
      <c r="D767" s="12"/>
      <c r="E767" s="12"/>
      <c r="F767" s="12"/>
      <c r="G767" s="12"/>
      <c r="H767" s="12"/>
      <c r="I767" s="12"/>
      <c r="J767" s="7"/>
      <c r="K767" s="12"/>
      <c r="L767" s="7"/>
      <c r="M767" s="10"/>
      <c r="N767" s="7"/>
      <c r="O767" s="7"/>
      <c r="P767" s="10"/>
      <c r="Q767" s="10"/>
      <c r="R767" s="7"/>
      <c r="S767" s="7"/>
      <c r="T767" s="15"/>
      <c r="U767" s="15"/>
      <c r="V767" s="15"/>
      <c r="W767" s="12"/>
      <c r="X767" s="7"/>
      <c r="Y767" s="12"/>
      <c r="Z767" s="12"/>
      <c r="AA767" s="12"/>
    </row>
    <row r="768" ht="19.5" customHeight="1">
      <c r="A768" s="7"/>
      <c r="B768" s="12"/>
      <c r="C768" s="12"/>
      <c r="D768" s="12"/>
      <c r="E768" s="12"/>
      <c r="F768" s="12"/>
      <c r="G768" s="12"/>
      <c r="H768" s="12"/>
      <c r="I768" s="12"/>
      <c r="J768" s="7"/>
      <c r="K768" s="12"/>
      <c r="L768" s="7"/>
      <c r="M768" s="10"/>
      <c r="N768" s="7"/>
      <c r="O768" s="7"/>
      <c r="P768" s="10"/>
      <c r="Q768" s="10"/>
      <c r="R768" s="7"/>
      <c r="S768" s="7"/>
      <c r="T768" s="15"/>
      <c r="U768" s="15"/>
      <c r="V768" s="15"/>
      <c r="W768" s="12"/>
      <c r="X768" s="7"/>
      <c r="Y768" s="12"/>
      <c r="Z768" s="12"/>
      <c r="AA768" s="12"/>
    </row>
    <row r="769" ht="19.5" customHeight="1">
      <c r="A769" s="7"/>
      <c r="B769" s="12"/>
      <c r="C769" s="12"/>
      <c r="D769" s="12"/>
      <c r="E769" s="12"/>
      <c r="F769" s="12"/>
      <c r="G769" s="12"/>
      <c r="H769" s="12"/>
      <c r="I769" s="12"/>
      <c r="J769" s="7"/>
      <c r="K769" s="12"/>
      <c r="L769" s="7"/>
      <c r="M769" s="10"/>
      <c r="N769" s="7"/>
      <c r="O769" s="7"/>
      <c r="P769" s="10"/>
      <c r="Q769" s="10"/>
      <c r="R769" s="7"/>
      <c r="S769" s="7"/>
      <c r="T769" s="15"/>
      <c r="U769" s="15"/>
      <c r="V769" s="15"/>
      <c r="W769" s="12"/>
      <c r="X769" s="7"/>
      <c r="Y769" s="12"/>
      <c r="Z769" s="12"/>
      <c r="AA769" s="12"/>
    </row>
    <row r="770" ht="19.5" customHeight="1">
      <c r="A770" s="7"/>
      <c r="B770" s="12"/>
      <c r="C770" s="12"/>
      <c r="D770" s="12"/>
      <c r="E770" s="12"/>
      <c r="F770" s="12"/>
      <c r="G770" s="12"/>
      <c r="H770" s="12"/>
      <c r="I770" s="12"/>
      <c r="J770" s="7"/>
      <c r="K770" s="12"/>
      <c r="L770" s="7"/>
      <c r="M770" s="10"/>
      <c r="N770" s="7"/>
      <c r="O770" s="7"/>
      <c r="P770" s="10"/>
      <c r="Q770" s="10"/>
      <c r="R770" s="7"/>
      <c r="S770" s="7"/>
      <c r="T770" s="15"/>
      <c r="U770" s="15"/>
      <c r="V770" s="15"/>
      <c r="W770" s="12"/>
      <c r="X770" s="7"/>
      <c r="Y770" s="12"/>
      <c r="Z770" s="12"/>
      <c r="AA770" s="12"/>
    </row>
    <row r="771" ht="19.5" customHeight="1">
      <c r="A771" s="7"/>
      <c r="B771" s="12"/>
      <c r="C771" s="12"/>
      <c r="D771" s="12"/>
      <c r="E771" s="12"/>
      <c r="F771" s="12"/>
      <c r="G771" s="12"/>
      <c r="H771" s="12"/>
      <c r="I771" s="12"/>
      <c r="J771" s="7"/>
      <c r="K771" s="12"/>
      <c r="L771" s="7"/>
      <c r="M771" s="10"/>
      <c r="N771" s="7"/>
      <c r="O771" s="7"/>
      <c r="P771" s="10"/>
      <c r="Q771" s="10"/>
      <c r="R771" s="7"/>
      <c r="S771" s="7"/>
      <c r="T771" s="15"/>
      <c r="U771" s="15"/>
      <c r="V771" s="15"/>
      <c r="W771" s="12"/>
      <c r="X771" s="7"/>
      <c r="Y771" s="12"/>
      <c r="Z771" s="12"/>
      <c r="AA771" s="12"/>
    </row>
    <row r="772" ht="19.5" customHeight="1">
      <c r="A772" s="7"/>
      <c r="B772" s="12"/>
      <c r="C772" s="12"/>
      <c r="D772" s="12"/>
      <c r="E772" s="12"/>
      <c r="F772" s="12"/>
      <c r="G772" s="12"/>
      <c r="H772" s="12"/>
      <c r="I772" s="12"/>
      <c r="J772" s="7"/>
      <c r="K772" s="12"/>
      <c r="L772" s="7"/>
      <c r="M772" s="10"/>
      <c r="N772" s="7"/>
      <c r="O772" s="7"/>
      <c r="P772" s="10"/>
      <c r="Q772" s="10"/>
      <c r="R772" s="7"/>
      <c r="S772" s="7"/>
      <c r="T772" s="15"/>
      <c r="U772" s="15"/>
      <c r="V772" s="15"/>
      <c r="W772" s="12"/>
      <c r="X772" s="7"/>
      <c r="Y772" s="12"/>
      <c r="Z772" s="12"/>
      <c r="AA772" s="12"/>
    </row>
    <row r="773" ht="19.5" customHeight="1">
      <c r="A773" s="7"/>
      <c r="B773" s="12"/>
      <c r="C773" s="12"/>
      <c r="D773" s="12"/>
      <c r="E773" s="12"/>
      <c r="F773" s="12"/>
      <c r="G773" s="12"/>
      <c r="H773" s="12"/>
      <c r="I773" s="12"/>
      <c r="J773" s="7"/>
      <c r="K773" s="12"/>
      <c r="L773" s="7"/>
      <c r="M773" s="10"/>
      <c r="N773" s="7"/>
      <c r="O773" s="7"/>
      <c r="P773" s="10"/>
      <c r="Q773" s="10"/>
      <c r="R773" s="7"/>
      <c r="S773" s="7"/>
      <c r="T773" s="15"/>
      <c r="U773" s="15"/>
      <c r="V773" s="15"/>
      <c r="W773" s="12"/>
      <c r="X773" s="7"/>
      <c r="Y773" s="12"/>
      <c r="Z773" s="12"/>
      <c r="AA773" s="12"/>
    </row>
    <row r="774" ht="19.5" customHeight="1">
      <c r="A774" s="7"/>
      <c r="B774" s="12"/>
      <c r="C774" s="12"/>
      <c r="D774" s="12"/>
      <c r="E774" s="12"/>
      <c r="F774" s="12"/>
      <c r="G774" s="12"/>
      <c r="H774" s="12"/>
      <c r="I774" s="12"/>
      <c r="J774" s="7"/>
      <c r="K774" s="12"/>
      <c r="L774" s="7"/>
      <c r="M774" s="10"/>
      <c r="N774" s="7"/>
      <c r="O774" s="7"/>
      <c r="P774" s="10"/>
      <c r="Q774" s="10"/>
      <c r="R774" s="7"/>
      <c r="S774" s="7"/>
      <c r="T774" s="15"/>
      <c r="U774" s="15"/>
      <c r="V774" s="15"/>
      <c r="W774" s="12"/>
      <c r="X774" s="7"/>
      <c r="Y774" s="12"/>
      <c r="Z774" s="12"/>
      <c r="AA774" s="12"/>
    </row>
    <row r="775" ht="19.5" customHeight="1">
      <c r="A775" s="7"/>
      <c r="B775" s="12"/>
      <c r="C775" s="12"/>
      <c r="D775" s="12"/>
      <c r="E775" s="12"/>
      <c r="F775" s="12"/>
      <c r="G775" s="12"/>
      <c r="H775" s="12"/>
      <c r="I775" s="12"/>
      <c r="J775" s="7"/>
      <c r="K775" s="12"/>
      <c r="L775" s="7"/>
      <c r="M775" s="10"/>
      <c r="N775" s="7"/>
      <c r="O775" s="7"/>
      <c r="P775" s="10"/>
      <c r="Q775" s="10"/>
      <c r="R775" s="7"/>
      <c r="S775" s="7"/>
      <c r="T775" s="15"/>
      <c r="U775" s="15"/>
      <c r="V775" s="15"/>
      <c r="W775" s="12"/>
      <c r="X775" s="7"/>
      <c r="Y775" s="12"/>
      <c r="Z775" s="12"/>
      <c r="AA775" s="12"/>
    </row>
    <row r="776" ht="19.5" customHeight="1">
      <c r="A776" s="7"/>
      <c r="B776" s="12"/>
      <c r="C776" s="12"/>
      <c r="D776" s="12"/>
      <c r="E776" s="12"/>
      <c r="F776" s="12"/>
      <c r="G776" s="12"/>
      <c r="H776" s="12"/>
      <c r="I776" s="12"/>
      <c r="J776" s="7"/>
      <c r="K776" s="12"/>
      <c r="L776" s="7"/>
      <c r="M776" s="10"/>
      <c r="N776" s="7"/>
      <c r="O776" s="7"/>
      <c r="P776" s="10"/>
      <c r="Q776" s="10"/>
      <c r="R776" s="7"/>
      <c r="S776" s="7"/>
      <c r="T776" s="15"/>
      <c r="U776" s="15"/>
      <c r="V776" s="15"/>
      <c r="W776" s="12"/>
      <c r="X776" s="7"/>
      <c r="Y776" s="12"/>
      <c r="Z776" s="12"/>
      <c r="AA776" s="12"/>
    </row>
    <row r="777" ht="19.5" customHeight="1">
      <c r="A777" s="7"/>
      <c r="B777" s="12"/>
      <c r="C777" s="12"/>
      <c r="D777" s="12"/>
      <c r="E777" s="12"/>
      <c r="F777" s="12"/>
      <c r="G777" s="12"/>
      <c r="H777" s="12"/>
      <c r="I777" s="12"/>
      <c r="J777" s="7"/>
      <c r="K777" s="12"/>
      <c r="L777" s="7"/>
      <c r="M777" s="10"/>
      <c r="N777" s="7"/>
      <c r="O777" s="7"/>
      <c r="P777" s="10"/>
      <c r="Q777" s="10"/>
      <c r="R777" s="7"/>
      <c r="S777" s="7"/>
      <c r="T777" s="15"/>
      <c r="U777" s="15"/>
      <c r="V777" s="15"/>
      <c r="W777" s="12"/>
      <c r="X777" s="7"/>
      <c r="Y777" s="12"/>
      <c r="Z777" s="12"/>
      <c r="AA777" s="12"/>
    </row>
    <row r="778" ht="19.5" customHeight="1">
      <c r="A778" s="7"/>
      <c r="B778" s="12"/>
      <c r="C778" s="12"/>
      <c r="D778" s="12"/>
      <c r="E778" s="12"/>
      <c r="F778" s="12"/>
      <c r="G778" s="12"/>
      <c r="H778" s="12"/>
      <c r="I778" s="12"/>
      <c r="J778" s="7"/>
      <c r="K778" s="12"/>
      <c r="L778" s="7"/>
      <c r="M778" s="10"/>
      <c r="N778" s="7"/>
      <c r="O778" s="7"/>
      <c r="P778" s="10"/>
      <c r="Q778" s="10"/>
      <c r="R778" s="7"/>
      <c r="S778" s="7"/>
      <c r="T778" s="15"/>
      <c r="U778" s="15"/>
      <c r="V778" s="15"/>
      <c r="W778" s="12"/>
      <c r="X778" s="7"/>
      <c r="Y778" s="12"/>
      <c r="Z778" s="12"/>
      <c r="AA778" s="12"/>
    </row>
    <row r="779" ht="19.5" customHeight="1">
      <c r="A779" s="7"/>
      <c r="B779" s="12"/>
      <c r="C779" s="12"/>
      <c r="D779" s="12"/>
      <c r="E779" s="12"/>
      <c r="F779" s="12"/>
      <c r="G779" s="12"/>
      <c r="H779" s="12"/>
      <c r="I779" s="12"/>
      <c r="J779" s="7"/>
      <c r="K779" s="12"/>
      <c r="L779" s="7"/>
      <c r="M779" s="10"/>
      <c r="N779" s="7"/>
      <c r="O779" s="7"/>
      <c r="P779" s="10"/>
      <c r="Q779" s="10"/>
      <c r="R779" s="7"/>
      <c r="S779" s="7"/>
      <c r="T779" s="15"/>
      <c r="U779" s="15"/>
      <c r="V779" s="15"/>
      <c r="W779" s="12"/>
      <c r="X779" s="7"/>
      <c r="Y779" s="12"/>
      <c r="Z779" s="12"/>
      <c r="AA779" s="12"/>
    </row>
    <row r="780" ht="19.5" customHeight="1">
      <c r="A780" s="7"/>
      <c r="B780" s="12"/>
      <c r="C780" s="12"/>
      <c r="D780" s="12"/>
      <c r="E780" s="12"/>
      <c r="F780" s="12"/>
      <c r="G780" s="12"/>
      <c r="H780" s="12"/>
      <c r="I780" s="12"/>
      <c r="J780" s="7"/>
      <c r="K780" s="12"/>
      <c r="L780" s="7"/>
      <c r="M780" s="10"/>
      <c r="N780" s="7"/>
      <c r="O780" s="7"/>
      <c r="P780" s="10"/>
      <c r="Q780" s="10"/>
      <c r="R780" s="7"/>
      <c r="S780" s="7"/>
      <c r="T780" s="15"/>
      <c r="U780" s="15"/>
      <c r="V780" s="15"/>
      <c r="W780" s="12"/>
      <c r="X780" s="7"/>
      <c r="Y780" s="12"/>
      <c r="Z780" s="12"/>
      <c r="AA780" s="12"/>
    </row>
    <row r="781" ht="19.5" customHeight="1">
      <c r="A781" s="7"/>
      <c r="B781" s="12"/>
      <c r="C781" s="12"/>
      <c r="D781" s="12"/>
      <c r="E781" s="12"/>
      <c r="F781" s="12"/>
      <c r="G781" s="12"/>
      <c r="H781" s="12"/>
      <c r="I781" s="12"/>
      <c r="J781" s="7"/>
      <c r="K781" s="12"/>
      <c r="L781" s="7"/>
      <c r="M781" s="10"/>
      <c r="N781" s="7"/>
      <c r="O781" s="7"/>
      <c r="P781" s="10"/>
      <c r="Q781" s="10"/>
      <c r="R781" s="7"/>
      <c r="S781" s="7"/>
      <c r="T781" s="15"/>
      <c r="U781" s="15"/>
      <c r="V781" s="15"/>
      <c r="W781" s="12"/>
      <c r="X781" s="7"/>
      <c r="Y781" s="12"/>
      <c r="Z781" s="12"/>
      <c r="AA781" s="12"/>
    </row>
    <row r="782" ht="19.5" customHeight="1">
      <c r="A782" s="7"/>
      <c r="B782" s="12"/>
      <c r="C782" s="12"/>
      <c r="D782" s="12"/>
      <c r="E782" s="12"/>
      <c r="F782" s="12"/>
      <c r="G782" s="12"/>
      <c r="H782" s="12"/>
      <c r="I782" s="12"/>
      <c r="J782" s="7"/>
      <c r="K782" s="12"/>
      <c r="L782" s="7"/>
      <c r="M782" s="10"/>
      <c r="N782" s="7"/>
      <c r="O782" s="7"/>
      <c r="P782" s="10"/>
      <c r="Q782" s="10"/>
      <c r="R782" s="7"/>
      <c r="S782" s="7"/>
      <c r="T782" s="15"/>
      <c r="U782" s="15"/>
      <c r="V782" s="15"/>
      <c r="W782" s="12"/>
      <c r="X782" s="7"/>
      <c r="Y782" s="12"/>
      <c r="Z782" s="12"/>
      <c r="AA782" s="12"/>
    </row>
    <row r="783" ht="19.5" customHeight="1">
      <c r="A783" s="7"/>
      <c r="B783" s="12"/>
      <c r="C783" s="12"/>
      <c r="D783" s="12"/>
      <c r="E783" s="12"/>
      <c r="F783" s="12"/>
      <c r="G783" s="12"/>
      <c r="H783" s="12"/>
      <c r="I783" s="12"/>
      <c r="J783" s="7"/>
      <c r="K783" s="12"/>
      <c r="L783" s="7"/>
      <c r="M783" s="10"/>
      <c r="N783" s="7"/>
      <c r="O783" s="7"/>
      <c r="P783" s="10"/>
      <c r="Q783" s="10"/>
      <c r="R783" s="7"/>
      <c r="S783" s="7"/>
      <c r="T783" s="15"/>
      <c r="U783" s="15"/>
      <c r="V783" s="15"/>
      <c r="W783" s="12"/>
      <c r="X783" s="7"/>
      <c r="Y783" s="12"/>
      <c r="Z783" s="12"/>
      <c r="AA783" s="12"/>
    </row>
    <row r="784" ht="19.5" customHeight="1">
      <c r="A784" s="7"/>
      <c r="B784" s="12"/>
      <c r="C784" s="12"/>
      <c r="D784" s="12"/>
      <c r="E784" s="12"/>
      <c r="F784" s="12"/>
      <c r="G784" s="12"/>
      <c r="H784" s="12"/>
      <c r="I784" s="12"/>
      <c r="J784" s="7"/>
      <c r="K784" s="12"/>
      <c r="L784" s="7"/>
      <c r="M784" s="10"/>
      <c r="N784" s="7"/>
      <c r="O784" s="7"/>
      <c r="P784" s="10"/>
      <c r="Q784" s="10"/>
      <c r="R784" s="7"/>
      <c r="S784" s="7"/>
      <c r="T784" s="15"/>
      <c r="U784" s="15"/>
      <c r="V784" s="15"/>
      <c r="W784" s="12"/>
      <c r="X784" s="7"/>
      <c r="Y784" s="12"/>
      <c r="Z784" s="12"/>
      <c r="AA784" s="12"/>
    </row>
    <row r="785" ht="19.5" customHeight="1">
      <c r="A785" s="7"/>
      <c r="B785" s="12"/>
      <c r="C785" s="12"/>
      <c r="D785" s="12"/>
      <c r="E785" s="12"/>
      <c r="F785" s="12"/>
      <c r="G785" s="12"/>
      <c r="H785" s="12"/>
      <c r="I785" s="12"/>
      <c r="J785" s="7"/>
      <c r="K785" s="12"/>
      <c r="L785" s="7"/>
      <c r="M785" s="10"/>
      <c r="N785" s="7"/>
      <c r="O785" s="7"/>
      <c r="P785" s="10"/>
      <c r="Q785" s="10"/>
      <c r="R785" s="7"/>
      <c r="S785" s="7"/>
      <c r="T785" s="15"/>
      <c r="U785" s="15"/>
      <c r="V785" s="15"/>
      <c r="W785" s="12"/>
      <c r="X785" s="7"/>
      <c r="Y785" s="12"/>
      <c r="Z785" s="12"/>
      <c r="AA785" s="12"/>
    </row>
    <row r="786" ht="19.5" customHeight="1">
      <c r="A786" s="7"/>
      <c r="B786" s="12"/>
      <c r="C786" s="12"/>
      <c r="D786" s="12"/>
      <c r="E786" s="12"/>
      <c r="F786" s="12"/>
      <c r="G786" s="12"/>
      <c r="H786" s="12"/>
      <c r="I786" s="12"/>
      <c r="J786" s="7"/>
      <c r="K786" s="12"/>
      <c r="L786" s="7"/>
      <c r="M786" s="10"/>
      <c r="N786" s="7"/>
      <c r="O786" s="7"/>
      <c r="P786" s="10"/>
      <c r="Q786" s="10"/>
      <c r="R786" s="7"/>
      <c r="S786" s="7"/>
      <c r="T786" s="15"/>
      <c r="U786" s="15"/>
      <c r="V786" s="15"/>
      <c r="W786" s="12"/>
      <c r="X786" s="7"/>
      <c r="Y786" s="12"/>
      <c r="Z786" s="12"/>
      <c r="AA786" s="12"/>
    </row>
    <row r="787" ht="19.5" customHeight="1">
      <c r="A787" s="7"/>
      <c r="B787" s="12"/>
      <c r="C787" s="12"/>
      <c r="D787" s="12"/>
      <c r="E787" s="12"/>
      <c r="F787" s="12"/>
      <c r="G787" s="12"/>
      <c r="H787" s="12"/>
      <c r="I787" s="12"/>
      <c r="J787" s="7"/>
      <c r="K787" s="12"/>
      <c r="L787" s="7"/>
      <c r="M787" s="10"/>
      <c r="N787" s="7"/>
      <c r="O787" s="7"/>
      <c r="P787" s="10"/>
      <c r="Q787" s="10"/>
      <c r="R787" s="7"/>
      <c r="S787" s="7"/>
      <c r="T787" s="15"/>
      <c r="U787" s="15"/>
      <c r="V787" s="15"/>
      <c r="W787" s="12"/>
      <c r="X787" s="7"/>
      <c r="Y787" s="12"/>
      <c r="Z787" s="12"/>
      <c r="AA787" s="12"/>
    </row>
    <row r="788" ht="19.5" customHeight="1">
      <c r="A788" s="7"/>
      <c r="B788" s="12"/>
      <c r="C788" s="12"/>
      <c r="D788" s="12"/>
      <c r="E788" s="12"/>
      <c r="F788" s="12"/>
      <c r="G788" s="12"/>
      <c r="H788" s="12"/>
      <c r="I788" s="12"/>
      <c r="J788" s="7"/>
      <c r="K788" s="12"/>
      <c r="L788" s="7"/>
      <c r="M788" s="10"/>
      <c r="N788" s="7"/>
      <c r="O788" s="7"/>
      <c r="P788" s="10"/>
      <c r="Q788" s="10"/>
      <c r="R788" s="7"/>
      <c r="S788" s="7"/>
      <c r="T788" s="15"/>
      <c r="U788" s="15"/>
      <c r="V788" s="15"/>
      <c r="W788" s="12"/>
      <c r="X788" s="7"/>
      <c r="Y788" s="12"/>
      <c r="Z788" s="12"/>
      <c r="AA788" s="12"/>
    </row>
    <row r="789" ht="19.5" customHeight="1">
      <c r="A789" s="7"/>
      <c r="B789" s="12"/>
      <c r="C789" s="12"/>
      <c r="D789" s="12"/>
      <c r="E789" s="12"/>
      <c r="F789" s="12"/>
      <c r="G789" s="12"/>
      <c r="H789" s="12"/>
      <c r="I789" s="12"/>
      <c r="J789" s="7"/>
      <c r="K789" s="12"/>
      <c r="L789" s="7"/>
      <c r="M789" s="10"/>
      <c r="N789" s="7"/>
      <c r="O789" s="7"/>
      <c r="P789" s="10"/>
      <c r="Q789" s="10"/>
      <c r="R789" s="7"/>
      <c r="S789" s="7"/>
      <c r="T789" s="15"/>
      <c r="U789" s="15"/>
      <c r="V789" s="15"/>
      <c r="W789" s="12"/>
      <c r="X789" s="7"/>
      <c r="Y789" s="12"/>
      <c r="Z789" s="12"/>
      <c r="AA789" s="12"/>
    </row>
    <row r="790" ht="19.5" customHeight="1">
      <c r="A790" s="7"/>
      <c r="B790" s="12"/>
      <c r="C790" s="12"/>
      <c r="D790" s="12"/>
      <c r="E790" s="12"/>
      <c r="F790" s="12"/>
      <c r="G790" s="12"/>
      <c r="H790" s="12"/>
      <c r="I790" s="12"/>
      <c r="J790" s="7"/>
      <c r="K790" s="12"/>
      <c r="L790" s="7"/>
      <c r="M790" s="10"/>
      <c r="N790" s="7"/>
      <c r="O790" s="7"/>
      <c r="P790" s="10"/>
      <c r="Q790" s="10"/>
      <c r="R790" s="7"/>
      <c r="S790" s="7"/>
      <c r="T790" s="15"/>
      <c r="U790" s="15"/>
      <c r="V790" s="15"/>
      <c r="W790" s="12"/>
      <c r="X790" s="7"/>
      <c r="Y790" s="12"/>
      <c r="Z790" s="12"/>
      <c r="AA790" s="12"/>
    </row>
    <row r="791" ht="19.5" customHeight="1">
      <c r="A791" s="7"/>
      <c r="B791" s="12"/>
      <c r="C791" s="12"/>
      <c r="D791" s="12"/>
      <c r="E791" s="12"/>
      <c r="F791" s="12"/>
      <c r="G791" s="12"/>
      <c r="H791" s="12"/>
      <c r="I791" s="12"/>
      <c r="J791" s="7"/>
      <c r="K791" s="12"/>
      <c r="L791" s="7"/>
      <c r="M791" s="10"/>
      <c r="N791" s="7"/>
      <c r="O791" s="7"/>
      <c r="P791" s="10"/>
      <c r="Q791" s="10"/>
      <c r="R791" s="7"/>
      <c r="S791" s="7"/>
      <c r="T791" s="15"/>
      <c r="U791" s="15"/>
      <c r="V791" s="15"/>
      <c r="W791" s="12"/>
      <c r="X791" s="7"/>
      <c r="Y791" s="12"/>
      <c r="Z791" s="12"/>
      <c r="AA791" s="12"/>
    </row>
    <row r="792" ht="19.5" customHeight="1">
      <c r="A792" s="7"/>
      <c r="B792" s="12"/>
      <c r="C792" s="12"/>
      <c r="D792" s="12"/>
      <c r="E792" s="12"/>
      <c r="F792" s="12"/>
      <c r="G792" s="12"/>
      <c r="H792" s="12"/>
      <c r="I792" s="12"/>
      <c r="J792" s="7"/>
      <c r="K792" s="12"/>
      <c r="L792" s="7"/>
      <c r="M792" s="10"/>
      <c r="N792" s="7"/>
      <c r="O792" s="7"/>
      <c r="P792" s="10"/>
      <c r="Q792" s="10"/>
      <c r="R792" s="7"/>
      <c r="S792" s="7"/>
      <c r="T792" s="15"/>
      <c r="U792" s="15"/>
      <c r="V792" s="15"/>
      <c r="W792" s="12"/>
      <c r="X792" s="7"/>
      <c r="Y792" s="12"/>
      <c r="Z792" s="12"/>
      <c r="AA792" s="12"/>
    </row>
    <row r="793" ht="19.5" customHeight="1">
      <c r="A793" s="7"/>
      <c r="B793" s="12"/>
      <c r="C793" s="12"/>
      <c r="D793" s="12"/>
      <c r="E793" s="12"/>
      <c r="F793" s="12"/>
      <c r="G793" s="12"/>
      <c r="H793" s="12"/>
      <c r="I793" s="12"/>
      <c r="J793" s="7"/>
      <c r="K793" s="12"/>
      <c r="L793" s="7"/>
      <c r="M793" s="10"/>
      <c r="N793" s="7"/>
      <c r="O793" s="7"/>
      <c r="P793" s="10"/>
      <c r="Q793" s="10"/>
      <c r="R793" s="7"/>
      <c r="S793" s="7"/>
      <c r="T793" s="15"/>
      <c r="U793" s="15"/>
      <c r="V793" s="15"/>
      <c r="W793" s="12"/>
      <c r="X793" s="7"/>
      <c r="Y793" s="12"/>
      <c r="Z793" s="12"/>
      <c r="AA793" s="12"/>
    </row>
    <row r="794" ht="19.5" customHeight="1">
      <c r="A794" s="7"/>
      <c r="B794" s="12"/>
      <c r="C794" s="12"/>
      <c r="D794" s="12"/>
      <c r="E794" s="12"/>
      <c r="F794" s="12"/>
      <c r="G794" s="12"/>
      <c r="H794" s="12"/>
      <c r="I794" s="12"/>
      <c r="J794" s="7"/>
      <c r="K794" s="12"/>
      <c r="L794" s="7"/>
      <c r="M794" s="10"/>
      <c r="N794" s="7"/>
      <c r="O794" s="7"/>
      <c r="P794" s="10"/>
      <c r="Q794" s="10"/>
      <c r="R794" s="7"/>
      <c r="S794" s="7"/>
      <c r="T794" s="15"/>
      <c r="U794" s="15"/>
      <c r="V794" s="15"/>
      <c r="W794" s="12"/>
      <c r="X794" s="7"/>
      <c r="Y794" s="12"/>
      <c r="Z794" s="12"/>
      <c r="AA794" s="12"/>
    </row>
    <row r="795" ht="19.5" customHeight="1">
      <c r="A795" s="7"/>
      <c r="B795" s="12"/>
      <c r="C795" s="12"/>
      <c r="D795" s="12"/>
      <c r="E795" s="12"/>
      <c r="F795" s="12"/>
      <c r="G795" s="12"/>
      <c r="H795" s="12"/>
      <c r="I795" s="12"/>
      <c r="J795" s="7"/>
      <c r="K795" s="12"/>
      <c r="L795" s="7"/>
      <c r="M795" s="10"/>
      <c r="N795" s="7"/>
      <c r="O795" s="7"/>
      <c r="P795" s="10"/>
      <c r="Q795" s="10"/>
      <c r="R795" s="7"/>
      <c r="S795" s="7"/>
      <c r="T795" s="15"/>
      <c r="U795" s="15"/>
      <c r="V795" s="15"/>
      <c r="W795" s="12"/>
      <c r="X795" s="7"/>
      <c r="Y795" s="12"/>
      <c r="Z795" s="12"/>
      <c r="AA795" s="12"/>
    </row>
    <row r="796" ht="19.5" customHeight="1">
      <c r="A796" s="7"/>
      <c r="B796" s="12"/>
      <c r="C796" s="12"/>
      <c r="D796" s="12"/>
      <c r="E796" s="12"/>
      <c r="F796" s="12"/>
      <c r="G796" s="12"/>
      <c r="H796" s="12"/>
      <c r="I796" s="12"/>
      <c r="J796" s="7"/>
      <c r="K796" s="12"/>
      <c r="L796" s="7"/>
      <c r="M796" s="10"/>
      <c r="N796" s="7"/>
      <c r="O796" s="7"/>
      <c r="P796" s="10"/>
      <c r="Q796" s="10"/>
      <c r="R796" s="7"/>
      <c r="S796" s="7"/>
      <c r="T796" s="15"/>
      <c r="U796" s="15"/>
      <c r="V796" s="15"/>
      <c r="W796" s="12"/>
      <c r="X796" s="7"/>
      <c r="Y796" s="12"/>
      <c r="Z796" s="12"/>
      <c r="AA796" s="12"/>
    </row>
    <row r="797" ht="19.5" customHeight="1">
      <c r="A797" s="7"/>
      <c r="B797" s="12"/>
      <c r="C797" s="12"/>
      <c r="D797" s="12"/>
      <c r="E797" s="12"/>
      <c r="F797" s="12"/>
      <c r="G797" s="12"/>
      <c r="H797" s="12"/>
      <c r="I797" s="12"/>
      <c r="J797" s="7"/>
      <c r="K797" s="12"/>
      <c r="L797" s="7"/>
      <c r="M797" s="10"/>
      <c r="N797" s="7"/>
      <c r="O797" s="7"/>
      <c r="P797" s="10"/>
      <c r="Q797" s="10"/>
      <c r="R797" s="7"/>
      <c r="S797" s="7"/>
      <c r="T797" s="15"/>
      <c r="U797" s="15"/>
      <c r="V797" s="15"/>
      <c r="W797" s="12"/>
      <c r="X797" s="7"/>
      <c r="Y797" s="12"/>
      <c r="Z797" s="12"/>
      <c r="AA797" s="12"/>
    </row>
    <row r="798" ht="19.5" customHeight="1">
      <c r="A798" s="7"/>
      <c r="B798" s="12"/>
      <c r="C798" s="12"/>
      <c r="D798" s="12"/>
      <c r="E798" s="12"/>
      <c r="F798" s="12"/>
      <c r="G798" s="12"/>
      <c r="H798" s="12"/>
      <c r="I798" s="12"/>
      <c r="J798" s="7"/>
      <c r="K798" s="12"/>
      <c r="L798" s="7"/>
      <c r="M798" s="10"/>
      <c r="N798" s="7"/>
      <c r="O798" s="7"/>
      <c r="P798" s="10"/>
      <c r="Q798" s="10"/>
      <c r="R798" s="7"/>
      <c r="S798" s="7"/>
      <c r="T798" s="15"/>
      <c r="U798" s="15"/>
      <c r="V798" s="15"/>
      <c r="W798" s="12"/>
      <c r="X798" s="7"/>
      <c r="Y798" s="12"/>
      <c r="Z798" s="12"/>
      <c r="AA798" s="12"/>
    </row>
    <row r="799" ht="19.5" customHeight="1">
      <c r="A799" s="7"/>
      <c r="B799" s="12"/>
      <c r="C799" s="12"/>
      <c r="D799" s="12"/>
      <c r="E799" s="12"/>
      <c r="F799" s="12"/>
      <c r="G799" s="12"/>
      <c r="H799" s="12"/>
      <c r="I799" s="12"/>
      <c r="J799" s="7"/>
      <c r="K799" s="12"/>
      <c r="L799" s="7"/>
      <c r="M799" s="10"/>
      <c r="N799" s="7"/>
      <c r="O799" s="7"/>
      <c r="P799" s="10"/>
      <c r="Q799" s="10"/>
      <c r="R799" s="7"/>
      <c r="S799" s="7"/>
      <c r="T799" s="15"/>
      <c r="U799" s="15"/>
      <c r="V799" s="15"/>
      <c r="W799" s="12"/>
      <c r="X799" s="7"/>
      <c r="Y799" s="12"/>
      <c r="Z799" s="12"/>
      <c r="AA799" s="12"/>
    </row>
    <row r="800" ht="19.5" customHeight="1">
      <c r="A800" s="7"/>
      <c r="B800" s="12"/>
      <c r="C800" s="12"/>
      <c r="D800" s="12"/>
      <c r="E800" s="12"/>
      <c r="F800" s="12"/>
      <c r="G800" s="12"/>
      <c r="H800" s="12"/>
      <c r="I800" s="12"/>
      <c r="J800" s="7"/>
      <c r="K800" s="12"/>
      <c r="L800" s="7"/>
      <c r="M800" s="10"/>
      <c r="N800" s="7"/>
      <c r="O800" s="7"/>
      <c r="P800" s="10"/>
      <c r="Q800" s="10"/>
      <c r="R800" s="7"/>
      <c r="S800" s="7"/>
      <c r="T800" s="15"/>
      <c r="U800" s="15"/>
      <c r="V800" s="15"/>
      <c r="W800" s="12"/>
      <c r="X800" s="7"/>
      <c r="Y800" s="12"/>
      <c r="Z800" s="12"/>
      <c r="AA800" s="12"/>
    </row>
    <row r="801" ht="19.5" customHeight="1">
      <c r="A801" s="7"/>
      <c r="B801" s="12"/>
      <c r="C801" s="12"/>
      <c r="D801" s="12"/>
      <c r="E801" s="12"/>
      <c r="F801" s="12"/>
      <c r="G801" s="12"/>
      <c r="H801" s="12"/>
      <c r="I801" s="12"/>
      <c r="J801" s="7"/>
      <c r="K801" s="12"/>
      <c r="L801" s="7"/>
      <c r="M801" s="10"/>
      <c r="N801" s="7"/>
      <c r="O801" s="7"/>
      <c r="P801" s="10"/>
      <c r="Q801" s="10"/>
      <c r="R801" s="7"/>
      <c r="S801" s="7"/>
      <c r="T801" s="15"/>
      <c r="U801" s="15"/>
      <c r="V801" s="15"/>
      <c r="W801" s="12"/>
      <c r="X801" s="7"/>
      <c r="Y801" s="12"/>
      <c r="Z801" s="12"/>
      <c r="AA801" s="12"/>
    </row>
    <row r="802" ht="19.5" customHeight="1">
      <c r="A802" s="7"/>
      <c r="B802" s="12"/>
      <c r="C802" s="12"/>
      <c r="D802" s="12"/>
      <c r="E802" s="12"/>
      <c r="F802" s="12"/>
      <c r="G802" s="12"/>
      <c r="H802" s="12"/>
      <c r="I802" s="12"/>
      <c r="J802" s="7"/>
      <c r="K802" s="12"/>
      <c r="L802" s="7"/>
      <c r="M802" s="10"/>
      <c r="N802" s="7"/>
      <c r="O802" s="7"/>
      <c r="P802" s="10"/>
      <c r="Q802" s="10"/>
      <c r="R802" s="7"/>
      <c r="S802" s="7"/>
      <c r="T802" s="15"/>
      <c r="U802" s="15"/>
      <c r="V802" s="15"/>
      <c r="W802" s="12"/>
      <c r="X802" s="7"/>
      <c r="Y802" s="12"/>
      <c r="Z802" s="12"/>
      <c r="AA802" s="12"/>
    </row>
    <row r="803" ht="19.5" customHeight="1">
      <c r="A803" s="7"/>
      <c r="B803" s="12"/>
      <c r="C803" s="12"/>
      <c r="D803" s="12"/>
      <c r="E803" s="12"/>
      <c r="F803" s="12"/>
      <c r="G803" s="12"/>
      <c r="H803" s="12"/>
      <c r="I803" s="12"/>
      <c r="J803" s="7"/>
      <c r="K803" s="12"/>
      <c r="L803" s="7"/>
      <c r="M803" s="10"/>
      <c r="N803" s="7"/>
      <c r="O803" s="7"/>
      <c r="P803" s="10"/>
      <c r="Q803" s="10"/>
      <c r="R803" s="7"/>
      <c r="S803" s="7"/>
      <c r="T803" s="15"/>
      <c r="U803" s="15"/>
      <c r="V803" s="15"/>
      <c r="W803" s="12"/>
      <c r="X803" s="7"/>
      <c r="Y803" s="12"/>
      <c r="Z803" s="12"/>
      <c r="AA803" s="12"/>
    </row>
    <row r="804" ht="19.5" customHeight="1">
      <c r="A804" s="7"/>
      <c r="B804" s="12"/>
      <c r="C804" s="12"/>
      <c r="D804" s="12"/>
      <c r="E804" s="12"/>
      <c r="F804" s="12"/>
      <c r="G804" s="12"/>
      <c r="H804" s="12"/>
      <c r="I804" s="12"/>
      <c r="J804" s="7"/>
      <c r="K804" s="12"/>
      <c r="L804" s="7"/>
      <c r="M804" s="10"/>
      <c r="N804" s="7"/>
      <c r="O804" s="7"/>
      <c r="P804" s="10"/>
      <c r="Q804" s="10"/>
      <c r="R804" s="7"/>
      <c r="S804" s="7"/>
      <c r="T804" s="15"/>
      <c r="U804" s="15"/>
      <c r="V804" s="15"/>
      <c r="W804" s="12"/>
      <c r="X804" s="7"/>
      <c r="Y804" s="12"/>
      <c r="Z804" s="12"/>
      <c r="AA804" s="12"/>
    </row>
    <row r="805" ht="19.5" customHeight="1">
      <c r="A805" s="7"/>
      <c r="B805" s="12"/>
      <c r="C805" s="12"/>
      <c r="D805" s="12"/>
      <c r="E805" s="12"/>
      <c r="F805" s="12"/>
      <c r="G805" s="12"/>
      <c r="H805" s="12"/>
      <c r="I805" s="12"/>
      <c r="J805" s="7"/>
      <c r="K805" s="12"/>
      <c r="L805" s="7"/>
      <c r="M805" s="10"/>
      <c r="N805" s="7"/>
      <c r="O805" s="7"/>
      <c r="P805" s="10"/>
      <c r="Q805" s="10"/>
      <c r="R805" s="7"/>
      <c r="S805" s="7"/>
      <c r="T805" s="15"/>
      <c r="U805" s="15"/>
      <c r="V805" s="15"/>
      <c r="W805" s="12"/>
      <c r="X805" s="7"/>
      <c r="Y805" s="12"/>
      <c r="Z805" s="12"/>
      <c r="AA805" s="12"/>
    </row>
    <row r="806" ht="19.5" customHeight="1">
      <c r="A806" s="7"/>
      <c r="B806" s="12"/>
      <c r="C806" s="12"/>
      <c r="D806" s="12"/>
      <c r="E806" s="12"/>
      <c r="F806" s="12"/>
      <c r="G806" s="12"/>
      <c r="H806" s="12"/>
      <c r="I806" s="12"/>
      <c r="J806" s="7"/>
      <c r="K806" s="12"/>
      <c r="L806" s="7"/>
      <c r="M806" s="10"/>
      <c r="N806" s="7"/>
      <c r="O806" s="7"/>
      <c r="P806" s="10"/>
      <c r="Q806" s="10"/>
      <c r="R806" s="7"/>
      <c r="S806" s="7"/>
      <c r="T806" s="15"/>
      <c r="U806" s="15"/>
      <c r="V806" s="15"/>
      <c r="W806" s="12"/>
      <c r="X806" s="7"/>
      <c r="Y806" s="12"/>
      <c r="Z806" s="12"/>
      <c r="AA806" s="12"/>
    </row>
    <row r="807" ht="19.5" customHeight="1">
      <c r="A807" s="7"/>
      <c r="B807" s="12"/>
      <c r="C807" s="12"/>
      <c r="D807" s="12"/>
      <c r="E807" s="12"/>
      <c r="F807" s="12"/>
      <c r="G807" s="12"/>
      <c r="H807" s="12"/>
      <c r="I807" s="12"/>
      <c r="J807" s="7"/>
      <c r="K807" s="12"/>
      <c r="L807" s="7"/>
      <c r="M807" s="10"/>
      <c r="N807" s="7"/>
      <c r="O807" s="7"/>
      <c r="P807" s="10"/>
      <c r="Q807" s="10"/>
      <c r="R807" s="7"/>
      <c r="S807" s="7"/>
      <c r="T807" s="15"/>
      <c r="U807" s="15"/>
      <c r="V807" s="15"/>
      <c r="W807" s="12"/>
      <c r="X807" s="7"/>
      <c r="Y807" s="12"/>
      <c r="Z807" s="12"/>
      <c r="AA807" s="12"/>
    </row>
    <row r="808" ht="19.5" customHeight="1">
      <c r="A808" s="7"/>
      <c r="B808" s="12"/>
      <c r="C808" s="12"/>
      <c r="D808" s="12"/>
      <c r="E808" s="12"/>
      <c r="F808" s="12"/>
      <c r="G808" s="12"/>
      <c r="H808" s="12"/>
      <c r="I808" s="12"/>
      <c r="J808" s="7"/>
      <c r="K808" s="12"/>
      <c r="L808" s="7"/>
      <c r="M808" s="10"/>
      <c r="N808" s="7"/>
      <c r="O808" s="7"/>
      <c r="P808" s="10"/>
      <c r="Q808" s="10"/>
      <c r="R808" s="7"/>
      <c r="S808" s="7"/>
      <c r="T808" s="15"/>
      <c r="U808" s="15"/>
      <c r="V808" s="15"/>
      <c r="W808" s="12"/>
      <c r="X808" s="7"/>
      <c r="Y808" s="12"/>
      <c r="Z808" s="12"/>
      <c r="AA808" s="12"/>
    </row>
    <row r="809" ht="19.5" customHeight="1">
      <c r="A809" s="7"/>
      <c r="B809" s="12"/>
      <c r="C809" s="12"/>
      <c r="D809" s="12"/>
      <c r="E809" s="12"/>
      <c r="F809" s="12"/>
      <c r="G809" s="12"/>
      <c r="H809" s="12"/>
      <c r="I809" s="12"/>
      <c r="J809" s="7"/>
      <c r="K809" s="12"/>
      <c r="L809" s="7"/>
      <c r="M809" s="10"/>
      <c r="N809" s="7"/>
      <c r="O809" s="7"/>
      <c r="P809" s="10"/>
      <c r="Q809" s="10"/>
      <c r="R809" s="7"/>
      <c r="S809" s="7"/>
      <c r="T809" s="15"/>
      <c r="U809" s="15"/>
      <c r="V809" s="15"/>
      <c r="W809" s="12"/>
      <c r="X809" s="7"/>
      <c r="Y809" s="12"/>
      <c r="Z809" s="12"/>
      <c r="AA809" s="12"/>
    </row>
    <row r="810" ht="19.5" customHeight="1">
      <c r="A810" s="7"/>
      <c r="B810" s="12"/>
      <c r="C810" s="12"/>
      <c r="D810" s="12"/>
      <c r="E810" s="12"/>
      <c r="F810" s="12"/>
      <c r="G810" s="12"/>
      <c r="H810" s="12"/>
      <c r="I810" s="12"/>
      <c r="J810" s="7"/>
      <c r="K810" s="12"/>
      <c r="L810" s="7"/>
      <c r="M810" s="10"/>
      <c r="N810" s="7"/>
      <c r="O810" s="7"/>
      <c r="P810" s="10"/>
      <c r="Q810" s="10"/>
      <c r="R810" s="7"/>
      <c r="S810" s="7"/>
      <c r="T810" s="15"/>
      <c r="U810" s="15"/>
      <c r="V810" s="15"/>
      <c r="W810" s="12"/>
      <c r="X810" s="7"/>
      <c r="Y810" s="12"/>
      <c r="Z810" s="12"/>
      <c r="AA810" s="12"/>
    </row>
    <row r="811" ht="19.5" customHeight="1">
      <c r="A811" s="7"/>
      <c r="B811" s="12"/>
      <c r="C811" s="12"/>
      <c r="D811" s="12"/>
      <c r="E811" s="12"/>
      <c r="F811" s="12"/>
      <c r="G811" s="12"/>
      <c r="H811" s="12"/>
      <c r="I811" s="12"/>
      <c r="J811" s="7"/>
      <c r="K811" s="12"/>
      <c r="L811" s="7"/>
      <c r="M811" s="10"/>
      <c r="N811" s="7"/>
      <c r="O811" s="7"/>
      <c r="P811" s="10"/>
      <c r="Q811" s="10"/>
      <c r="R811" s="7"/>
      <c r="S811" s="7"/>
      <c r="T811" s="15"/>
      <c r="U811" s="15"/>
      <c r="V811" s="15"/>
      <c r="W811" s="12"/>
      <c r="X811" s="7"/>
      <c r="Y811" s="12"/>
      <c r="Z811" s="12"/>
      <c r="AA811" s="12"/>
    </row>
    <row r="812" ht="19.5" customHeight="1">
      <c r="A812" s="7"/>
      <c r="B812" s="12"/>
      <c r="C812" s="12"/>
      <c r="D812" s="12"/>
      <c r="E812" s="12"/>
      <c r="F812" s="12"/>
      <c r="G812" s="12"/>
      <c r="H812" s="12"/>
      <c r="I812" s="12"/>
      <c r="J812" s="7"/>
      <c r="K812" s="12"/>
      <c r="L812" s="7"/>
      <c r="M812" s="10"/>
      <c r="N812" s="7"/>
      <c r="O812" s="7"/>
      <c r="P812" s="10"/>
      <c r="Q812" s="10"/>
      <c r="R812" s="7"/>
      <c r="S812" s="7"/>
      <c r="T812" s="15"/>
      <c r="U812" s="15"/>
      <c r="V812" s="15"/>
      <c r="W812" s="12"/>
      <c r="X812" s="7"/>
      <c r="Y812" s="12"/>
      <c r="Z812" s="12"/>
      <c r="AA812" s="12"/>
    </row>
    <row r="813" ht="19.5" customHeight="1">
      <c r="A813" s="7"/>
      <c r="B813" s="12"/>
      <c r="C813" s="12"/>
      <c r="D813" s="12"/>
      <c r="E813" s="12"/>
      <c r="F813" s="12"/>
      <c r="G813" s="12"/>
      <c r="H813" s="12"/>
      <c r="I813" s="12"/>
      <c r="J813" s="7"/>
      <c r="K813" s="12"/>
      <c r="L813" s="7"/>
      <c r="M813" s="10"/>
      <c r="N813" s="7"/>
      <c r="O813" s="7"/>
      <c r="P813" s="10"/>
      <c r="Q813" s="10"/>
      <c r="R813" s="7"/>
      <c r="S813" s="7"/>
      <c r="T813" s="15"/>
      <c r="U813" s="15"/>
      <c r="V813" s="15"/>
      <c r="W813" s="12"/>
      <c r="X813" s="7"/>
      <c r="Y813" s="12"/>
      <c r="Z813" s="12"/>
      <c r="AA813" s="12"/>
    </row>
    <row r="814" ht="19.5" customHeight="1">
      <c r="A814" s="7"/>
      <c r="B814" s="12"/>
      <c r="C814" s="12"/>
      <c r="D814" s="12"/>
      <c r="E814" s="12"/>
      <c r="F814" s="12"/>
      <c r="G814" s="12"/>
      <c r="H814" s="12"/>
      <c r="I814" s="12"/>
      <c r="J814" s="7"/>
      <c r="K814" s="12"/>
      <c r="L814" s="7"/>
      <c r="M814" s="10"/>
      <c r="N814" s="7"/>
      <c r="O814" s="7"/>
      <c r="P814" s="10"/>
      <c r="Q814" s="10"/>
      <c r="R814" s="7"/>
      <c r="S814" s="7"/>
      <c r="T814" s="15"/>
      <c r="U814" s="15"/>
      <c r="V814" s="15"/>
      <c r="W814" s="12"/>
      <c r="X814" s="7"/>
      <c r="Y814" s="12"/>
      <c r="Z814" s="12"/>
      <c r="AA814" s="12"/>
    </row>
    <row r="815" ht="19.5" customHeight="1">
      <c r="A815" s="7"/>
      <c r="B815" s="12"/>
      <c r="C815" s="12"/>
      <c r="D815" s="12"/>
      <c r="E815" s="12"/>
      <c r="F815" s="12"/>
      <c r="G815" s="12"/>
      <c r="H815" s="12"/>
      <c r="I815" s="12"/>
      <c r="J815" s="7"/>
      <c r="K815" s="12"/>
      <c r="L815" s="7"/>
      <c r="M815" s="10"/>
      <c r="N815" s="7"/>
      <c r="O815" s="7"/>
      <c r="P815" s="10"/>
      <c r="Q815" s="10"/>
      <c r="R815" s="7"/>
      <c r="S815" s="7"/>
      <c r="T815" s="15"/>
      <c r="U815" s="15"/>
      <c r="V815" s="15"/>
      <c r="W815" s="12"/>
      <c r="X815" s="7"/>
      <c r="Y815" s="12"/>
      <c r="Z815" s="12"/>
      <c r="AA815" s="12"/>
    </row>
    <row r="816" ht="19.5" customHeight="1">
      <c r="A816" s="7"/>
      <c r="B816" s="12"/>
      <c r="C816" s="12"/>
      <c r="D816" s="12"/>
      <c r="E816" s="12"/>
      <c r="F816" s="12"/>
      <c r="G816" s="12"/>
      <c r="H816" s="12"/>
      <c r="I816" s="12"/>
      <c r="J816" s="7"/>
      <c r="K816" s="12"/>
      <c r="L816" s="7"/>
      <c r="M816" s="10"/>
      <c r="N816" s="7"/>
      <c r="O816" s="7"/>
      <c r="P816" s="10"/>
      <c r="Q816" s="10"/>
      <c r="R816" s="7"/>
      <c r="S816" s="7"/>
      <c r="T816" s="15"/>
      <c r="U816" s="15"/>
      <c r="V816" s="15"/>
      <c r="W816" s="12"/>
      <c r="X816" s="7"/>
      <c r="Y816" s="12"/>
      <c r="Z816" s="12"/>
      <c r="AA816" s="12"/>
    </row>
    <row r="817" ht="19.5" customHeight="1">
      <c r="A817" s="7"/>
      <c r="B817" s="12"/>
      <c r="C817" s="12"/>
      <c r="D817" s="12"/>
      <c r="E817" s="12"/>
      <c r="F817" s="12"/>
      <c r="G817" s="12"/>
      <c r="H817" s="12"/>
      <c r="I817" s="12"/>
      <c r="J817" s="7"/>
      <c r="K817" s="12"/>
      <c r="L817" s="7"/>
      <c r="M817" s="10"/>
      <c r="N817" s="7"/>
      <c r="O817" s="7"/>
      <c r="P817" s="10"/>
      <c r="Q817" s="10"/>
      <c r="R817" s="7"/>
      <c r="S817" s="7"/>
      <c r="T817" s="15"/>
      <c r="U817" s="15"/>
      <c r="V817" s="15"/>
      <c r="W817" s="12"/>
      <c r="X817" s="7"/>
      <c r="Y817" s="12"/>
      <c r="Z817" s="12"/>
      <c r="AA817" s="12"/>
    </row>
    <row r="818" ht="19.5" customHeight="1">
      <c r="A818" s="7"/>
      <c r="B818" s="12"/>
      <c r="C818" s="12"/>
      <c r="D818" s="12"/>
      <c r="E818" s="12"/>
      <c r="F818" s="12"/>
      <c r="G818" s="12"/>
      <c r="H818" s="12"/>
      <c r="I818" s="12"/>
      <c r="J818" s="7"/>
      <c r="K818" s="12"/>
      <c r="L818" s="7"/>
      <c r="M818" s="10"/>
      <c r="N818" s="7"/>
      <c r="O818" s="7"/>
      <c r="P818" s="10"/>
      <c r="Q818" s="10"/>
      <c r="R818" s="7"/>
      <c r="S818" s="7"/>
      <c r="T818" s="15"/>
      <c r="U818" s="15"/>
      <c r="V818" s="15"/>
      <c r="W818" s="12"/>
      <c r="X818" s="7"/>
      <c r="Y818" s="12"/>
      <c r="Z818" s="12"/>
      <c r="AA818" s="12"/>
    </row>
    <row r="819" ht="19.5" customHeight="1">
      <c r="A819" s="7"/>
      <c r="B819" s="12"/>
      <c r="C819" s="12"/>
      <c r="D819" s="12"/>
      <c r="E819" s="12"/>
      <c r="F819" s="12"/>
      <c r="G819" s="12"/>
      <c r="H819" s="12"/>
      <c r="I819" s="12"/>
      <c r="J819" s="7"/>
      <c r="K819" s="12"/>
      <c r="L819" s="7"/>
      <c r="M819" s="10"/>
      <c r="N819" s="7"/>
      <c r="O819" s="7"/>
      <c r="P819" s="10"/>
      <c r="Q819" s="10"/>
      <c r="R819" s="7"/>
      <c r="S819" s="7"/>
      <c r="T819" s="15"/>
      <c r="U819" s="15"/>
      <c r="V819" s="15"/>
      <c r="W819" s="12"/>
      <c r="X819" s="7"/>
      <c r="Y819" s="12"/>
      <c r="Z819" s="12"/>
      <c r="AA819" s="12"/>
    </row>
    <row r="820" ht="19.5" customHeight="1">
      <c r="A820" s="7"/>
      <c r="B820" s="12"/>
      <c r="C820" s="12"/>
      <c r="D820" s="12"/>
      <c r="E820" s="12"/>
      <c r="F820" s="12"/>
      <c r="G820" s="12"/>
      <c r="H820" s="12"/>
      <c r="I820" s="12"/>
      <c r="J820" s="7"/>
      <c r="K820" s="12"/>
      <c r="L820" s="7"/>
      <c r="M820" s="10"/>
      <c r="N820" s="7"/>
      <c r="O820" s="7"/>
      <c r="P820" s="10"/>
      <c r="Q820" s="10"/>
      <c r="R820" s="7"/>
      <c r="S820" s="7"/>
      <c r="T820" s="15"/>
      <c r="U820" s="15"/>
      <c r="V820" s="15"/>
      <c r="W820" s="12"/>
      <c r="X820" s="7"/>
      <c r="Y820" s="12"/>
      <c r="Z820" s="12"/>
      <c r="AA820" s="12"/>
    </row>
    <row r="821" ht="19.5" customHeight="1">
      <c r="A821" s="7"/>
      <c r="B821" s="12"/>
      <c r="C821" s="12"/>
      <c r="D821" s="12"/>
      <c r="E821" s="12"/>
      <c r="F821" s="12"/>
      <c r="G821" s="12"/>
      <c r="H821" s="12"/>
      <c r="I821" s="12"/>
      <c r="J821" s="7"/>
      <c r="K821" s="12"/>
      <c r="L821" s="7"/>
      <c r="M821" s="10"/>
      <c r="N821" s="7"/>
      <c r="O821" s="7"/>
      <c r="P821" s="10"/>
      <c r="Q821" s="10"/>
      <c r="R821" s="7"/>
      <c r="S821" s="7"/>
      <c r="T821" s="15"/>
      <c r="U821" s="15"/>
      <c r="V821" s="15"/>
      <c r="W821" s="12"/>
      <c r="X821" s="7"/>
      <c r="Y821" s="12"/>
      <c r="Z821" s="12"/>
      <c r="AA821" s="12"/>
    </row>
    <row r="822" ht="19.5" customHeight="1">
      <c r="A822" s="7"/>
      <c r="B822" s="12"/>
      <c r="C822" s="12"/>
      <c r="D822" s="12"/>
      <c r="E822" s="12"/>
      <c r="F822" s="12"/>
      <c r="G822" s="12"/>
      <c r="H822" s="12"/>
      <c r="I822" s="12"/>
      <c r="J822" s="7"/>
      <c r="K822" s="12"/>
      <c r="L822" s="7"/>
      <c r="M822" s="10"/>
      <c r="N822" s="7"/>
      <c r="O822" s="7"/>
      <c r="P822" s="10"/>
      <c r="Q822" s="10"/>
      <c r="R822" s="7"/>
      <c r="S822" s="7"/>
      <c r="T822" s="15"/>
      <c r="U822" s="15"/>
      <c r="V822" s="15"/>
      <c r="W822" s="12"/>
      <c r="X822" s="7"/>
      <c r="Y822" s="12"/>
      <c r="Z822" s="12"/>
      <c r="AA822" s="12"/>
    </row>
    <row r="823" ht="19.5" customHeight="1">
      <c r="A823" s="7"/>
      <c r="B823" s="12"/>
      <c r="C823" s="12"/>
      <c r="D823" s="12"/>
      <c r="E823" s="12"/>
      <c r="F823" s="12"/>
      <c r="G823" s="12"/>
      <c r="H823" s="12"/>
      <c r="I823" s="12"/>
      <c r="J823" s="7"/>
      <c r="K823" s="12"/>
      <c r="L823" s="7"/>
      <c r="M823" s="10"/>
      <c r="N823" s="7"/>
      <c r="O823" s="7"/>
      <c r="P823" s="10"/>
      <c r="Q823" s="10"/>
      <c r="R823" s="7"/>
      <c r="S823" s="7"/>
      <c r="T823" s="15"/>
      <c r="U823" s="15"/>
      <c r="V823" s="15"/>
      <c r="W823" s="12"/>
      <c r="X823" s="7"/>
      <c r="Y823" s="12"/>
      <c r="Z823" s="12"/>
      <c r="AA823" s="12"/>
    </row>
    <row r="824" ht="19.5" customHeight="1">
      <c r="A824" s="7"/>
      <c r="B824" s="12"/>
      <c r="C824" s="12"/>
      <c r="D824" s="12"/>
      <c r="E824" s="12"/>
      <c r="F824" s="12"/>
      <c r="G824" s="12"/>
      <c r="H824" s="12"/>
      <c r="I824" s="12"/>
      <c r="J824" s="7"/>
      <c r="K824" s="12"/>
      <c r="L824" s="7"/>
      <c r="M824" s="10"/>
      <c r="N824" s="7"/>
      <c r="O824" s="7"/>
      <c r="P824" s="10"/>
      <c r="Q824" s="10"/>
      <c r="R824" s="7"/>
      <c r="S824" s="7"/>
      <c r="T824" s="15"/>
      <c r="U824" s="15"/>
      <c r="V824" s="15"/>
      <c r="W824" s="12"/>
      <c r="X824" s="7"/>
      <c r="Y824" s="12"/>
      <c r="Z824" s="12"/>
      <c r="AA824" s="12"/>
    </row>
    <row r="825" ht="19.5" customHeight="1">
      <c r="A825" s="7"/>
      <c r="B825" s="12"/>
      <c r="C825" s="12"/>
      <c r="D825" s="12"/>
      <c r="E825" s="12"/>
      <c r="F825" s="12"/>
      <c r="G825" s="12"/>
      <c r="H825" s="12"/>
      <c r="I825" s="12"/>
      <c r="J825" s="7"/>
      <c r="K825" s="12"/>
      <c r="L825" s="7"/>
      <c r="M825" s="10"/>
      <c r="N825" s="7"/>
      <c r="O825" s="7"/>
      <c r="P825" s="10"/>
      <c r="Q825" s="10"/>
      <c r="R825" s="7"/>
      <c r="S825" s="7"/>
      <c r="T825" s="15"/>
      <c r="U825" s="15"/>
      <c r="V825" s="15"/>
      <c r="W825" s="12"/>
      <c r="X825" s="7"/>
      <c r="Y825" s="12"/>
      <c r="Z825" s="12"/>
      <c r="AA825" s="12"/>
    </row>
    <row r="826" ht="19.5" customHeight="1">
      <c r="A826" s="7"/>
      <c r="B826" s="12"/>
      <c r="C826" s="12"/>
      <c r="D826" s="12"/>
      <c r="E826" s="12"/>
      <c r="F826" s="12"/>
      <c r="G826" s="12"/>
      <c r="H826" s="12"/>
      <c r="I826" s="12"/>
      <c r="J826" s="7"/>
      <c r="K826" s="12"/>
      <c r="L826" s="7"/>
      <c r="M826" s="10"/>
      <c r="N826" s="7"/>
      <c r="O826" s="7"/>
      <c r="P826" s="10"/>
      <c r="Q826" s="10"/>
      <c r="R826" s="7"/>
      <c r="S826" s="7"/>
      <c r="T826" s="15"/>
      <c r="U826" s="15"/>
      <c r="V826" s="15"/>
      <c r="W826" s="12"/>
      <c r="X826" s="7"/>
      <c r="Y826" s="12"/>
      <c r="Z826" s="12"/>
      <c r="AA826" s="12"/>
    </row>
    <row r="827" ht="19.5" customHeight="1">
      <c r="A827" s="7"/>
      <c r="B827" s="12"/>
      <c r="C827" s="12"/>
      <c r="D827" s="12"/>
      <c r="E827" s="12"/>
      <c r="F827" s="12"/>
      <c r="G827" s="12"/>
      <c r="H827" s="12"/>
      <c r="I827" s="12"/>
      <c r="J827" s="7"/>
      <c r="K827" s="12"/>
      <c r="L827" s="7"/>
      <c r="M827" s="10"/>
      <c r="N827" s="7"/>
      <c r="O827" s="7"/>
      <c r="P827" s="10"/>
      <c r="Q827" s="10"/>
      <c r="R827" s="7"/>
      <c r="S827" s="7"/>
      <c r="T827" s="15"/>
      <c r="U827" s="15"/>
      <c r="V827" s="15"/>
      <c r="W827" s="12"/>
      <c r="X827" s="7"/>
      <c r="Y827" s="12"/>
      <c r="Z827" s="12"/>
      <c r="AA827" s="12"/>
    </row>
    <row r="828" ht="19.5" customHeight="1">
      <c r="A828" s="7"/>
      <c r="B828" s="12"/>
      <c r="C828" s="12"/>
      <c r="D828" s="12"/>
      <c r="E828" s="12"/>
      <c r="F828" s="12"/>
      <c r="G828" s="12"/>
      <c r="H828" s="12"/>
      <c r="I828" s="12"/>
      <c r="J828" s="7"/>
      <c r="K828" s="12"/>
      <c r="L828" s="7"/>
      <c r="M828" s="10"/>
      <c r="N828" s="7"/>
      <c r="O828" s="7"/>
      <c r="P828" s="10"/>
      <c r="Q828" s="10"/>
      <c r="R828" s="7"/>
      <c r="S828" s="7"/>
      <c r="T828" s="15"/>
      <c r="U828" s="15"/>
      <c r="V828" s="15"/>
      <c r="W828" s="12"/>
      <c r="X828" s="7"/>
      <c r="Y828" s="12"/>
      <c r="Z828" s="12"/>
      <c r="AA828" s="12"/>
    </row>
    <row r="829" ht="19.5" customHeight="1">
      <c r="A829" s="7"/>
      <c r="B829" s="12"/>
      <c r="C829" s="12"/>
      <c r="D829" s="12"/>
      <c r="E829" s="12"/>
      <c r="F829" s="12"/>
      <c r="G829" s="12"/>
      <c r="H829" s="12"/>
      <c r="I829" s="12"/>
      <c r="J829" s="7"/>
      <c r="K829" s="12"/>
      <c r="L829" s="7"/>
      <c r="M829" s="10"/>
      <c r="N829" s="7"/>
      <c r="O829" s="7"/>
      <c r="P829" s="10"/>
      <c r="Q829" s="10"/>
      <c r="R829" s="7"/>
      <c r="S829" s="7"/>
      <c r="T829" s="15"/>
      <c r="U829" s="15"/>
      <c r="V829" s="15"/>
      <c r="W829" s="12"/>
      <c r="X829" s="7"/>
      <c r="Y829" s="12"/>
      <c r="Z829" s="12"/>
      <c r="AA829" s="12"/>
    </row>
    <row r="830" ht="19.5" customHeight="1">
      <c r="A830" s="7"/>
      <c r="B830" s="12"/>
      <c r="C830" s="12"/>
      <c r="D830" s="12"/>
      <c r="E830" s="12"/>
      <c r="F830" s="12"/>
      <c r="G830" s="12"/>
      <c r="H830" s="12"/>
      <c r="I830" s="12"/>
      <c r="J830" s="7"/>
      <c r="K830" s="12"/>
      <c r="L830" s="7"/>
      <c r="M830" s="10"/>
      <c r="N830" s="7"/>
      <c r="O830" s="7"/>
      <c r="P830" s="10"/>
      <c r="Q830" s="10"/>
      <c r="R830" s="7"/>
      <c r="S830" s="7"/>
      <c r="T830" s="15"/>
      <c r="U830" s="15"/>
      <c r="V830" s="15"/>
      <c r="W830" s="12"/>
      <c r="X830" s="7"/>
      <c r="Y830" s="12"/>
      <c r="Z830" s="12"/>
      <c r="AA830" s="12"/>
    </row>
    <row r="831" ht="19.5" customHeight="1">
      <c r="A831" s="7"/>
      <c r="B831" s="12"/>
      <c r="C831" s="12"/>
      <c r="D831" s="12"/>
      <c r="E831" s="12"/>
      <c r="F831" s="12"/>
      <c r="G831" s="12"/>
      <c r="H831" s="12"/>
      <c r="I831" s="12"/>
      <c r="J831" s="7"/>
      <c r="K831" s="12"/>
      <c r="L831" s="7"/>
      <c r="M831" s="10"/>
      <c r="N831" s="7"/>
      <c r="O831" s="7"/>
      <c r="P831" s="10"/>
      <c r="Q831" s="10"/>
      <c r="R831" s="7"/>
      <c r="S831" s="7"/>
      <c r="T831" s="15"/>
      <c r="U831" s="15"/>
      <c r="V831" s="15"/>
      <c r="W831" s="12"/>
      <c r="X831" s="7"/>
      <c r="Y831" s="12"/>
      <c r="Z831" s="12"/>
      <c r="AA831" s="12"/>
    </row>
    <row r="832" ht="19.5" customHeight="1">
      <c r="A832" s="7"/>
      <c r="B832" s="12"/>
      <c r="C832" s="12"/>
      <c r="D832" s="12"/>
      <c r="E832" s="12"/>
      <c r="F832" s="12"/>
      <c r="G832" s="12"/>
      <c r="H832" s="12"/>
      <c r="I832" s="12"/>
      <c r="J832" s="7"/>
      <c r="K832" s="12"/>
      <c r="L832" s="7"/>
      <c r="M832" s="10"/>
      <c r="N832" s="7"/>
      <c r="O832" s="7"/>
      <c r="P832" s="10"/>
      <c r="Q832" s="10"/>
      <c r="R832" s="7"/>
      <c r="S832" s="7"/>
      <c r="T832" s="15"/>
      <c r="U832" s="15"/>
      <c r="V832" s="15"/>
      <c r="W832" s="12"/>
      <c r="X832" s="7"/>
      <c r="Y832" s="12"/>
      <c r="Z832" s="12"/>
      <c r="AA832" s="12"/>
    </row>
    <row r="833" ht="19.5" customHeight="1">
      <c r="A833" s="7"/>
      <c r="B833" s="12"/>
      <c r="C833" s="12"/>
      <c r="D833" s="12"/>
      <c r="E833" s="12"/>
      <c r="F833" s="12"/>
      <c r="G833" s="12"/>
      <c r="H833" s="12"/>
      <c r="I833" s="12"/>
      <c r="J833" s="7"/>
      <c r="K833" s="12"/>
      <c r="L833" s="7"/>
      <c r="M833" s="10"/>
      <c r="N833" s="7"/>
      <c r="O833" s="7"/>
      <c r="P833" s="10"/>
      <c r="Q833" s="10"/>
      <c r="R833" s="7"/>
      <c r="S833" s="7"/>
      <c r="T833" s="15"/>
      <c r="U833" s="15"/>
      <c r="V833" s="15"/>
      <c r="W833" s="12"/>
      <c r="X833" s="7"/>
      <c r="Y833" s="12"/>
      <c r="Z833" s="12"/>
      <c r="AA833" s="12"/>
    </row>
    <row r="834" ht="19.5" customHeight="1">
      <c r="A834" s="7"/>
      <c r="B834" s="12"/>
      <c r="C834" s="12"/>
      <c r="D834" s="12"/>
      <c r="E834" s="12"/>
      <c r="F834" s="12"/>
      <c r="G834" s="12"/>
      <c r="H834" s="12"/>
      <c r="I834" s="12"/>
      <c r="J834" s="7"/>
      <c r="K834" s="12"/>
      <c r="L834" s="7"/>
      <c r="M834" s="10"/>
      <c r="N834" s="7"/>
      <c r="O834" s="7"/>
      <c r="P834" s="10"/>
      <c r="Q834" s="10"/>
      <c r="R834" s="7"/>
      <c r="S834" s="7"/>
      <c r="T834" s="15"/>
      <c r="U834" s="15"/>
      <c r="V834" s="15"/>
      <c r="W834" s="12"/>
      <c r="X834" s="7"/>
      <c r="Y834" s="12"/>
      <c r="Z834" s="12"/>
      <c r="AA834" s="12"/>
    </row>
    <row r="835" ht="19.5" customHeight="1">
      <c r="A835" s="7"/>
      <c r="B835" s="12"/>
      <c r="C835" s="12"/>
      <c r="D835" s="12"/>
      <c r="E835" s="12"/>
      <c r="F835" s="12"/>
      <c r="G835" s="12"/>
      <c r="H835" s="12"/>
      <c r="I835" s="12"/>
      <c r="J835" s="7"/>
      <c r="K835" s="12"/>
      <c r="L835" s="7"/>
      <c r="M835" s="10"/>
      <c r="N835" s="7"/>
      <c r="O835" s="7"/>
      <c r="P835" s="10"/>
      <c r="Q835" s="10"/>
      <c r="R835" s="7"/>
      <c r="S835" s="7"/>
      <c r="T835" s="15"/>
      <c r="U835" s="15"/>
      <c r="V835" s="15"/>
      <c r="W835" s="12"/>
      <c r="X835" s="7"/>
      <c r="Y835" s="12"/>
      <c r="Z835" s="12"/>
      <c r="AA835" s="12"/>
    </row>
    <row r="836" ht="19.5" customHeight="1">
      <c r="A836" s="7"/>
      <c r="B836" s="12"/>
      <c r="C836" s="12"/>
      <c r="D836" s="12"/>
      <c r="E836" s="12"/>
      <c r="F836" s="12"/>
      <c r="G836" s="12"/>
      <c r="H836" s="12"/>
      <c r="I836" s="12"/>
      <c r="J836" s="7"/>
      <c r="K836" s="12"/>
      <c r="L836" s="7"/>
      <c r="M836" s="10"/>
      <c r="N836" s="7"/>
      <c r="O836" s="7"/>
      <c r="P836" s="10"/>
      <c r="Q836" s="10"/>
      <c r="R836" s="7"/>
      <c r="S836" s="7"/>
      <c r="T836" s="15"/>
      <c r="U836" s="15"/>
      <c r="V836" s="15"/>
      <c r="W836" s="12"/>
      <c r="X836" s="7"/>
      <c r="Y836" s="12"/>
      <c r="Z836" s="12"/>
      <c r="AA836" s="12"/>
    </row>
    <row r="837" ht="19.5" customHeight="1">
      <c r="A837" s="7"/>
      <c r="B837" s="12"/>
      <c r="C837" s="12"/>
      <c r="D837" s="12"/>
      <c r="E837" s="12"/>
      <c r="F837" s="12"/>
      <c r="G837" s="12"/>
      <c r="H837" s="12"/>
      <c r="I837" s="12"/>
      <c r="J837" s="7"/>
      <c r="K837" s="12"/>
      <c r="L837" s="7"/>
      <c r="M837" s="10"/>
      <c r="N837" s="7"/>
      <c r="O837" s="7"/>
      <c r="P837" s="10"/>
      <c r="Q837" s="10"/>
      <c r="R837" s="7"/>
      <c r="S837" s="7"/>
      <c r="T837" s="15"/>
      <c r="U837" s="15"/>
      <c r="V837" s="15"/>
      <c r="W837" s="12"/>
      <c r="X837" s="7"/>
      <c r="Y837" s="12"/>
      <c r="Z837" s="12"/>
      <c r="AA837" s="12"/>
    </row>
    <row r="838" ht="19.5" customHeight="1">
      <c r="A838" s="7"/>
      <c r="B838" s="12"/>
      <c r="C838" s="12"/>
      <c r="D838" s="12"/>
      <c r="E838" s="12"/>
      <c r="F838" s="12"/>
      <c r="G838" s="12"/>
      <c r="H838" s="12"/>
      <c r="I838" s="12"/>
      <c r="J838" s="7"/>
      <c r="K838" s="12"/>
      <c r="L838" s="7"/>
      <c r="M838" s="10"/>
      <c r="N838" s="7"/>
      <c r="O838" s="7"/>
      <c r="P838" s="10"/>
      <c r="Q838" s="10"/>
      <c r="R838" s="7"/>
      <c r="S838" s="7"/>
      <c r="T838" s="15"/>
      <c r="U838" s="15"/>
      <c r="V838" s="15"/>
      <c r="W838" s="12"/>
      <c r="X838" s="7"/>
      <c r="Y838" s="12"/>
      <c r="Z838" s="12"/>
      <c r="AA838" s="12"/>
    </row>
    <row r="839" ht="19.5" customHeight="1">
      <c r="A839" s="7"/>
      <c r="B839" s="12"/>
      <c r="C839" s="12"/>
      <c r="D839" s="12"/>
      <c r="E839" s="12"/>
      <c r="F839" s="12"/>
      <c r="G839" s="12"/>
      <c r="H839" s="12"/>
      <c r="I839" s="12"/>
      <c r="J839" s="7"/>
      <c r="K839" s="12"/>
      <c r="L839" s="7"/>
      <c r="M839" s="10"/>
      <c r="N839" s="7"/>
      <c r="O839" s="7"/>
      <c r="P839" s="10"/>
      <c r="Q839" s="10"/>
      <c r="R839" s="7"/>
      <c r="S839" s="7"/>
      <c r="T839" s="15"/>
      <c r="U839" s="15"/>
      <c r="V839" s="15"/>
      <c r="W839" s="12"/>
      <c r="X839" s="7"/>
      <c r="Y839" s="12"/>
      <c r="Z839" s="12"/>
      <c r="AA839" s="12"/>
    </row>
    <row r="840" ht="19.5" customHeight="1">
      <c r="A840" s="7"/>
      <c r="B840" s="12"/>
      <c r="C840" s="12"/>
      <c r="D840" s="12"/>
      <c r="E840" s="12"/>
      <c r="F840" s="12"/>
      <c r="G840" s="12"/>
      <c r="H840" s="12"/>
      <c r="I840" s="12"/>
      <c r="J840" s="7"/>
      <c r="K840" s="12"/>
      <c r="L840" s="7"/>
      <c r="M840" s="10"/>
      <c r="N840" s="7"/>
      <c r="O840" s="7"/>
      <c r="P840" s="10"/>
      <c r="Q840" s="10"/>
      <c r="R840" s="7"/>
      <c r="S840" s="7"/>
      <c r="T840" s="15"/>
      <c r="U840" s="15"/>
      <c r="V840" s="15"/>
      <c r="W840" s="12"/>
      <c r="X840" s="7"/>
      <c r="Y840" s="12"/>
      <c r="Z840" s="12"/>
      <c r="AA840" s="12"/>
    </row>
    <row r="841" ht="19.5" customHeight="1">
      <c r="A841" s="7"/>
      <c r="B841" s="12"/>
      <c r="C841" s="12"/>
      <c r="D841" s="12"/>
      <c r="E841" s="12"/>
      <c r="F841" s="12"/>
      <c r="G841" s="12"/>
      <c r="H841" s="12"/>
      <c r="I841" s="12"/>
      <c r="J841" s="7"/>
      <c r="K841" s="12"/>
      <c r="L841" s="7"/>
      <c r="M841" s="10"/>
      <c r="N841" s="7"/>
      <c r="O841" s="7"/>
      <c r="P841" s="10"/>
      <c r="Q841" s="10"/>
      <c r="R841" s="7"/>
      <c r="S841" s="7"/>
      <c r="T841" s="15"/>
      <c r="U841" s="15"/>
      <c r="V841" s="15"/>
      <c r="W841" s="12"/>
      <c r="X841" s="7"/>
      <c r="Y841" s="12"/>
      <c r="Z841" s="12"/>
      <c r="AA841" s="12"/>
    </row>
    <row r="842" ht="19.5" customHeight="1">
      <c r="A842" s="7"/>
      <c r="B842" s="12"/>
      <c r="C842" s="12"/>
      <c r="D842" s="12"/>
      <c r="E842" s="12"/>
      <c r="F842" s="12"/>
      <c r="G842" s="12"/>
      <c r="H842" s="12"/>
      <c r="I842" s="12"/>
      <c r="J842" s="7"/>
      <c r="K842" s="12"/>
      <c r="L842" s="7"/>
      <c r="M842" s="10"/>
      <c r="N842" s="7"/>
      <c r="O842" s="7"/>
      <c r="P842" s="10"/>
      <c r="Q842" s="10"/>
      <c r="R842" s="7"/>
      <c r="S842" s="7"/>
      <c r="T842" s="15"/>
      <c r="U842" s="15"/>
      <c r="V842" s="15"/>
      <c r="W842" s="12"/>
      <c r="X842" s="7"/>
      <c r="Y842" s="12"/>
      <c r="Z842" s="12"/>
      <c r="AA842" s="12"/>
    </row>
    <row r="843" ht="19.5" customHeight="1">
      <c r="A843" s="7"/>
      <c r="B843" s="12"/>
      <c r="C843" s="12"/>
      <c r="D843" s="12"/>
      <c r="E843" s="12"/>
      <c r="F843" s="12"/>
      <c r="G843" s="12"/>
      <c r="H843" s="12"/>
      <c r="I843" s="12"/>
      <c r="J843" s="7"/>
      <c r="K843" s="12"/>
      <c r="L843" s="7"/>
      <c r="M843" s="10"/>
      <c r="N843" s="7"/>
      <c r="O843" s="7"/>
      <c r="P843" s="10"/>
      <c r="Q843" s="10"/>
      <c r="R843" s="7"/>
      <c r="S843" s="7"/>
      <c r="T843" s="15"/>
      <c r="U843" s="15"/>
      <c r="V843" s="15"/>
      <c r="W843" s="12"/>
      <c r="X843" s="7"/>
      <c r="Y843" s="12"/>
      <c r="Z843" s="12"/>
      <c r="AA843" s="12"/>
    </row>
    <row r="844" ht="19.5" customHeight="1">
      <c r="A844" s="7"/>
      <c r="B844" s="12"/>
      <c r="C844" s="12"/>
      <c r="D844" s="12"/>
      <c r="E844" s="12"/>
      <c r="F844" s="12"/>
      <c r="G844" s="12"/>
      <c r="H844" s="12"/>
      <c r="I844" s="12"/>
      <c r="J844" s="7"/>
      <c r="K844" s="12"/>
      <c r="L844" s="7"/>
      <c r="M844" s="10"/>
      <c r="N844" s="7"/>
      <c r="O844" s="7"/>
      <c r="P844" s="10"/>
      <c r="Q844" s="10"/>
      <c r="R844" s="7"/>
      <c r="S844" s="7"/>
      <c r="T844" s="15"/>
      <c r="U844" s="15"/>
      <c r="V844" s="15"/>
      <c r="W844" s="12"/>
      <c r="X844" s="7"/>
      <c r="Y844" s="12"/>
      <c r="Z844" s="12"/>
      <c r="AA844" s="12"/>
    </row>
    <row r="845" ht="19.5" customHeight="1">
      <c r="A845" s="7"/>
      <c r="B845" s="12"/>
      <c r="C845" s="12"/>
      <c r="D845" s="12"/>
      <c r="E845" s="12"/>
      <c r="F845" s="12"/>
      <c r="G845" s="12"/>
      <c r="H845" s="12"/>
      <c r="I845" s="12"/>
      <c r="J845" s="7"/>
      <c r="K845" s="12"/>
      <c r="L845" s="7"/>
      <c r="M845" s="10"/>
      <c r="N845" s="7"/>
      <c r="O845" s="7"/>
      <c r="P845" s="10"/>
      <c r="Q845" s="10"/>
      <c r="R845" s="7"/>
      <c r="S845" s="7"/>
      <c r="T845" s="15"/>
      <c r="U845" s="15"/>
      <c r="V845" s="15"/>
      <c r="W845" s="12"/>
      <c r="X845" s="7"/>
      <c r="Y845" s="12"/>
      <c r="Z845" s="12"/>
      <c r="AA845" s="12"/>
    </row>
    <row r="846" ht="19.5" customHeight="1">
      <c r="A846" s="7"/>
      <c r="B846" s="12"/>
      <c r="C846" s="12"/>
      <c r="D846" s="12"/>
      <c r="E846" s="12"/>
      <c r="F846" s="12"/>
      <c r="G846" s="12"/>
      <c r="H846" s="12"/>
      <c r="I846" s="12"/>
      <c r="J846" s="7"/>
      <c r="K846" s="12"/>
      <c r="L846" s="7"/>
      <c r="M846" s="10"/>
      <c r="N846" s="7"/>
      <c r="O846" s="7"/>
      <c r="P846" s="10"/>
      <c r="Q846" s="10"/>
      <c r="R846" s="7"/>
      <c r="S846" s="7"/>
      <c r="T846" s="15"/>
      <c r="U846" s="15"/>
      <c r="V846" s="15"/>
      <c r="W846" s="12"/>
      <c r="X846" s="7"/>
      <c r="Y846" s="12"/>
      <c r="Z846" s="12"/>
      <c r="AA846" s="12"/>
    </row>
    <row r="847" ht="19.5" customHeight="1">
      <c r="A847" s="7"/>
      <c r="B847" s="12"/>
      <c r="C847" s="12"/>
      <c r="D847" s="12"/>
      <c r="E847" s="12"/>
      <c r="F847" s="12"/>
      <c r="G847" s="12"/>
      <c r="H847" s="12"/>
      <c r="I847" s="12"/>
      <c r="J847" s="7"/>
      <c r="K847" s="12"/>
      <c r="L847" s="7"/>
      <c r="M847" s="10"/>
      <c r="N847" s="7"/>
      <c r="O847" s="7"/>
      <c r="P847" s="10"/>
      <c r="Q847" s="10"/>
      <c r="R847" s="7"/>
      <c r="S847" s="7"/>
      <c r="T847" s="15"/>
      <c r="U847" s="15"/>
      <c r="V847" s="15"/>
      <c r="W847" s="12"/>
      <c r="X847" s="7"/>
      <c r="Y847" s="12"/>
      <c r="Z847" s="12"/>
      <c r="AA847" s="12"/>
    </row>
    <row r="848" ht="19.5" customHeight="1">
      <c r="A848" s="7"/>
      <c r="B848" s="12"/>
      <c r="C848" s="12"/>
      <c r="D848" s="12"/>
      <c r="E848" s="12"/>
      <c r="F848" s="12"/>
      <c r="G848" s="12"/>
      <c r="H848" s="12"/>
      <c r="I848" s="12"/>
      <c r="J848" s="7"/>
      <c r="K848" s="12"/>
      <c r="L848" s="7"/>
      <c r="M848" s="10"/>
      <c r="N848" s="7"/>
      <c r="O848" s="7"/>
      <c r="P848" s="10"/>
      <c r="Q848" s="10"/>
      <c r="R848" s="7"/>
      <c r="S848" s="7"/>
      <c r="T848" s="15"/>
      <c r="U848" s="15"/>
      <c r="V848" s="15"/>
      <c r="W848" s="12"/>
      <c r="X848" s="7"/>
      <c r="Y848" s="12"/>
      <c r="Z848" s="12"/>
      <c r="AA848" s="12"/>
    </row>
    <row r="849" ht="19.5" customHeight="1">
      <c r="A849" s="7"/>
      <c r="B849" s="12"/>
      <c r="C849" s="12"/>
      <c r="D849" s="12"/>
      <c r="E849" s="12"/>
      <c r="F849" s="12"/>
      <c r="G849" s="12"/>
      <c r="H849" s="12"/>
      <c r="I849" s="12"/>
      <c r="J849" s="7"/>
      <c r="K849" s="12"/>
      <c r="L849" s="7"/>
      <c r="M849" s="10"/>
      <c r="N849" s="7"/>
      <c r="O849" s="7"/>
      <c r="P849" s="10"/>
      <c r="Q849" s="10"/>
      <c r="R849" s="7"/>
      <c r="S849" s="7"/>
      <c r="T849" s="15"/>
      <c r="U849" s="15"/>
      <c r="V849" s="15"/>
      <c r="W849" s="12"/>
      <c r="X849" s="7"/>
      <c r="Y849" s="12"/>
      <c r="Z849" s="12"/>
      <c r="AA849" s="12"/>
    </row>
    <row r="850" ht="19.5" customHeight="1">
      <c r="A850" s="7"/>
      <c r="B850" s="12"/>
      <c r="C850" s="12"/>
      <c r="D850" s="12"/>
      <c r="E850" s="12"/>
      <c r="F850" s="12"/>
      <c r="G850" s="12"/>
      <c r="H850" s="12"/>
      <c r="I850" s="12"/>
      <c r="J850" s="7"/>
      <c r="K850" s="12"/>
      <c r="L850" s="7"/>
      <c r="M850" s="10"/>
      <c r="N850" s="7"/>
      <c r="O850" s="7"/>
      <c r="P850" s="10"/>
      <c r="Q850" s="10"/>
      <c r="R850" s="7"/>
      <c r="S850" s="7"/>
      <c r="T850" s="15"/>
      <c r="U850" s="15"/>
      <c r="V850" s="15"/>
      <c r="W850" s="12"/>
      <c r="X850" s="7"/>
      <c r="Y850" s="12"/>
      <c r="Z850" s="12"/>
      <c r="AA850" s="12"/>
    </row>
    <row r="851" ht="19.5" customHeight="1">
      <c r="A851" s="7"/>
      <c r="B851" s="12"/>
      <c r="C851" s="12"/>
      <c r="D851" s="12"/>
      <c r="E851" s="12"/>
      <c r="F851" s="12"/>
      <c r="G851" s="12"/>
      <c r="H851" s="12"/>
      <c r="I851" s="12"/>
      <c r="J851" s="7"/>
      <c r="K851" s="12"/>
      <c r="L851" s="7"/>
      <c r="M851" s="10"/>
      <c r="N851" s="7"/>
      <c r="O851" s="7"/>
      <c r="P851" s="10"/>
      <c r="Q851" s="10"/>
      <c r="R851" s="7"/>
      <c r="S851" s="7"/>
      <c r="T851" s="15"/>
      <c r="U851" s="15"/>
      <c r="V851" s="15"/>
      <c r="W851" s="12"/>
      <c r="X851" s="7"/>
      <c r="Y851" s="12"/>
      <c r="Z851" s="12"/>
      <c r="AA851" s="12"/>
    </row>
    <row r="852" ht="19.5" customHeight="1">
      <c r="A852" s="7"/>
      <c r="B852" s="12"/>
      <c r="C852" s="12"/>
      <c r="D852" s="12"/>
      <c r="E852" s="12"/>
      <c r="F852" s="12"/>
      <c r="G852" s="12"/>
      <c r="H852" s="12"/>
      <c r="I852" s="12"/>
      <c r="J852" s="7"/>
      <c r="K852" s="12"/>
      <c r="L852" s="7"/>
      <c r="M852" s="10"/>
      <c r="N852" s="7"/>
      <c r="O852" s="7"/>
      <c r="P852" s="10"/>
      <c r="Q852" s="10"/>
      <c r="R852" s="7"/>
      <c r="S852" s="7"/>
      <c r="T852" s="15"/>
      <c r="U852" s="15"/>
      <c r="V852" s="15"/>
      <c r="W852" s="12"/>
      <c r="X852" s="7"/>
      <c r="Y852" s="12"/>
      <c r="Z852" s="12"/>
      <c r="AA852" s="12"/>
    </row>
    <row r="853" ht="19.5" customHeight="1">
      <c r="A853" s="7"/>
      <c r="B853" s="12"/>
      <c r="C853" s="12"/>
      <c r="D853" s="12"/>
      <c r="E853" s="12"/>
      <c r="F853" s="12"/>
      <c r="G853" s="12"/>
      <c r="H853" s="12"/>
      <c r="I853" s="12"/>
      <c r="J853" s="7"/>
      <c r="K853" s="12"/>
      <c r="L853" s="7"/>
      <c r="M853" s="10"/>
      <c r="N853" s="7"/>
      <c r="O853" s="7"/>
      <c r="P853" s="10"/>
      <c r="Q853" s="10"/>
      <c r="R853" s="7"/>
      <c r="S853" s="7"/>
      <c r="T853" s="15"/>
      <c r="U853" s="15"/>
      <c r="V853" s="15"/>
      <c r="W853" s="12"/>
      <c r="X853" s="7"/>
      <c r="Y853" s="12"/>
      <c r="Z853" s="12"/>
      <c r="AA853" s="12"/>
    </row>
    <row r="854" ht="19.5" customHeight="1">
      <c r="A854" s="7"/>
      <c r="B854" s="12"/>
      <c r="C854" s="12"/>
      <c r="D854" s="12"/>
      <c r="E854" s="12"/>
      <c r="F854" s="12"/>
      <c r="G854" s="12"/>
      <c r="H854" s="12"/>
      <c r="I854" s="12"/>
      <c r="J854" s="7"/>
      <c r="K854" s="12"/>
      <c r="L854" s="7"/>
      <c r="M854" s="10"/>
      <c r="N854" s="7"/>
      <c r="O854" s="7"/>
      <c r="P854" s="10"/>
      <c r="Q854" s="10"/>
      <c r="R854" s="7"/>
      <c r="S854" s="7"/>
      <c r="T854" s="15"/>
      <c r="U854" s="15"/>
      <c r="V854" s="15"/>
      <c r="W854" s="12"/>
      <c r="X854" s="7"/>
      <c r="Y854" s="12"/>
      <c r="Z854" s="12"/>
      <c r="AA854" s="12"/>
    </row>
    <row r="855" ht="19.5" customHeight="1">
      <c r="A855" s="7"/>
      <c r="B855" s="12"/>
      <c r="C855" s="12"/>
      <c r="D855" s="12"/>
      <c r="E855" s="12"/>
      <c r="F855" s="12"/>
      <c r="G855" s="12"/>
      <c r="H855" s="12"/>
      <c r="I855" s="12"/>
      <c r="J855" s="7"/>
      <c r="K855" s="12"/>
      <c r="L855" s="7"/>
      <c r="M855" s="10"/>
      <c r="N855" s="7"/>
      <c r="O855" s="7"/>
      <c r="P855" s="10"/>
      <c r="Q855" s="10"/>
      <c r="R855" s="7"/>
      <c r="S855" s="7"/>
      <c r="T855" s="15"/>
      <c r="U855" s="15"/>
      <c r="V855" s="15"/>
      <c r="W855" s="12"/>
      <c r="X855" s="7"/>
      <c r="Y855" s="12"/>
      <c r="Z855" s="12"/>
      <c r="AA855" s="12"/>
    </row>
    <row r="856" ht="19.5" customHeight="1">
      <c r="A856" s="7"/>
      <c r="B856" s="12"/>
      <c r="C856" s="12"/>
      <c r="D856" s="12"/>
      <c r="E856" s="12"/>
      <c r="F856" s="12"/>
      <c r="G856" s="12"/>
      <c r="H856" s="12"/>
      <c r="I856" s="12"/>
      <c r="J856" s="7"/>
      <c r="K856" s="12"/>
      <c r="L856" s="7"/>
      <c r="M856" s="10"/>
      <c r="N856" s="7"/>
      <c r="O856" s="7"/>
      <c r="P856" s="10"/>
      <c r="Q856" s="10"/>
      <c r="R856" s="7"/>
      <c r="S856" s="7"/>
      <c r="T856" s="15"/>
      <c r="U856" s="15"/>
      <c r="V856" s="15"/>
      <c r="W856" s="12"/>
      <c r="X856" s="7"/>
      <c r="Y856" s="12"/>
      <c r="Z856" s="12"/>
      <c r="AA856" s="12"/>
    </row>
    <row r="857" ht="19.5" customHeight="1">
      <c r="A857" s="7"/>
      <c r="B857" s="12"/>
      <c r="C857" s="12"/>
      <c r="D857" s="12"/>
      <c r="E857" s="12"/>
      <c r="F857" s="12"/>
      <c r="G857" s="12"/>
      <c r="H857" s="12"/>
      <c r="I857" s="12"/>
      <c r="J857" s="7"/>
      <c r="K857" s="12"/>
      <c r="L857" s="7"/>
      <c r="M857" s="10"/>
      <c r="N857" s="7"/>
      <c r="O857" s="7"/>
      <c r="P857" s="10"/>
      <c r="Q857" s="10"/>
      <c r="R857" s="7"/>
      <c r="S857" s="7"/>
      <c r="T857" s="15"/>
      <c r="U857" s="15"/>
      <c r="V857" s="15"/>
      <c r="W857" s="12"/>
      <c r="X857" s="7"/>
      <c r="Y857" s="12"/>
      <c r="Z857" s="12"/>
      <c r="AA857" s="12"/>
    </row>
    <row r="858" ht="19.5" customHeight="1">
      <c r="A858" s="7"/>
      <c r="B858" s="12"/>
      <c r="C858" s="12"/>
      <c r="D858" s="12"/>
      <c r="E858" s="12"/>
      <c r="F858" s="12"/>
      <c r="G858" s="12"/>
      <c r="H858" s="12"/>
      <c r="I858" s="12"/>
      <c r="J858" s="7"/>
      <c r="K858" s="12"/>
      <c r="L858" s="7"/>
      <c r="M858" s="10"/>
      <c r="N858" s="7"/>
      <c r="O858" s="7"/>
      <c r="P858" s="10"/>
      <c r="Q858" s="10"/>
      <c r="R858" s="7"/>
      <c r="S858" s="7"/>
      <c r="T858" s="15"/>
      <c r="U858" s="15"/>
      <c r="V858" s="15"/>
      <c r="W858" s="12"/>
      <c r="X858" s="7"/>
      <c r="Y858" s="12"/>
      <c r="Z858" s="12"/>
      <c r="AA858" s="12"/>
    </row>
    <row r="859" ht="19.5" customHeight="1">
      <c r="A859" s="7"/>
      <c r="B859" s="12"/>
      <c r="C859" s="12"/>
      <c r="D859" s="12"/>
      <c r="E859" s="12"/>
      <c r="F859" s="12"/>
      <c r="G859" s="12"/>
      <c r="H859" s="12"/>
      <c r="I859" s="12"/>
      <c r="J859" s="7"/>
      <c r="K859" s="12"/>
      <c r="L859" s="7"/>
      <c r="M859" s="10"/>
      <c r="N859" s="7"/>
      <c r="O859" s="7"/>
      <c r="P859" s="10"/>
      <c r="Q859" s="10"/>
      <c r="R859" s="7"/>
      <c r="S859" s="7"/>
      <c r="T859" s="15"/>
      <c r="U859" s="15"/>
      <c r="V859" s="15"/>
      <c r="W859" s="12"/>
      <c r="X859" s="7"/>
      <c r="Y859" s="12"/>
      <c r="Z859" s="12"/>
      <c r="AA859" s="12"/>
    </row>
    <row r="860" ht="19.5" customHeight="1">
      <c r="A860" s="7"/>
      <c r="B860" s="12"/>
      <c r="C860" s="12"/>
      <c r="D860" s="12"/>
      <c r="E860" s="12"/>
      <c r="F860" s="12"/>
      <c r="G860" s="12"/>
      <c r="H860" s="12"/>
      <c r="I860" s="12"/>
      <c r="J860" s="7"/>
      <c r="K860" s="12"/>
      <c r="L860" s="7"/>
      <c r="M860" s="10"/>
      <c r="N860" s="7"/>
      <c r="O860" s="7"/>
      <c r="P860" s="10"/>
      <c r="Q860" s="10"/>
      <c r="R860" s="7"/>
      <c r="S860" s="7"/>
      <c r="T860" s="15"/>
      <c r="U860" s="15"/>
      <c r="V860" s="15"/>
      <c r="W860" s="12"/>
      <c r="X860" s="7"/>
      <c r="Y860" s="12"/>
      <c r="Z860" s="12"/>
      <c r="AA860" s="12"/>
    </row>
    <row r="861" ht="19.5" customHeight="1">
      <c r="A861" s="7"/>
      <c r="B861" s="12"/>
      <c r="C861" s="12"/>
      <c r="D861" s="12"/>
      <c r="E861" s="12"/>
      <c r="F861" s="12"/>
      <c r="G861" s="12"/>
      <c r="H861" s="12"/>
      <c r="I861" s="12"/>
      <c r="J861" s="7"/>
      <c r="K861" s="12"/>
      <c r="L861" s="7"/>
      <c r="M861" s="10"/>
      <c r="N861" s="7"/>
      <c r="O861" s="7"/>
      <c r="P861" s="10"/>
      <c r="Q861" s="10"/>
      <c r="R861" s="7"/>
      <c r="S861" s="7"/>
      <c r="T861" s="15"/>
      <c r="U861" s="15"/>
      <c r="V861" s="15"/>
      <c r="W861" s="12"/>
      <c r="X861" s="7"/>
      <c r="Y861" s="12"/>
      <c r="Z861" s="12"/>
      <c r="AA861" s="12"/>
    </row>
    <row r="862" ht="19.5" customHeight="1">
      <c r="A862" s="7"/>
      <c r="B862" s="12"/>
      <c r="C862" s="12"/>
      <c r="D862" s="12"/>
      <c r="E862" s="12"/>
      <c r="F862" s="12"/>
      <c r="G862" s="12"/>
      <c r="H862" s="12"/>
      <c r="I862" s="12"/>
      <c r="J862" s="7"/>
      <c r="K862" s="12"/>
      <c r="L862" s="7"/>
      <c r="M862" s="10"/>
      <c r="N862" s="7"/>
      <c r="O862" s="7"/>
      <c r="P862" s="10"/>
      <c r="Q862" s="10"/>
      <c r="R862" s="7"/>
      <c r="S862" s="7"/>
      <c r="T862" s="15"/>
      <c r="U862" s="15"/>
      <c r="V862" s="15"/>
      <c r="W862" s="12"/>
      <c r="X862" s="7"/>
      <c r="Y862" s="12"/>
      <c r="Z862" s="12"/>
      <c r="AA862" s="12"/>
    </row>
    <row r="863" ht="19.5" customHeight="1">
      <c r="A863" s="7"/>
      <c r="B863" s="12"/>
      <c r="C863" s="12"/>
      <c r="D863" s="12"/>
      <c r="E863" s="12"/>
      <c r="F863" s="12"/>
      <c r="G863" s="12"/>
      <c r="H863" s="12"/>
      <c r="I863" s="12"/>
      <c r="J863" s="7"/>
      <c r="K863" s="12"/>
      <c r="L863" s="7"/>
      <c r="M863" s="10"/>
      <c r="N863" s="7"/>
      <c r="O863" s="7"/>
      <c r="P863" s="10"/>
      <c r="Q863" s="10"/>
      <c r="R863" s="7"/>
      <c r="S863" s="7"/>
      <c r="T863" s="15"/>
      <c r="U863" s="15"/>
      <c r="V863" s="15"/>
      <c r="W863" s="12"/>
      <c r="X863" s="7"/>
      <c r="Y863" s="12"/>
      <c r="Z863" s="12"/>
      <c r="AA863" s="12"/>
    </row>
    <row r="864" ht="19.5" customHeight="1">
      <c r="A864" s="7"/>
      <c r="B864" s="12"/>
      <c r="C864" s="12"/>
      <c r="D864" s="12"/>
      <c r="E864" s="12"/>
      <c r="F864" s="12"/>
      <c r="G864" s="12"/>
      <c r="H864" s="12"/>
      <c r="I864" s="12"/>
      <c r="J864" s="7"/>
      <c r="K864" s="12"/>
      <c r="L864" s="7"/>
      <c r="M864" s="10"/>
      <c r="N864" s="7"/>
      <c r="O864" s="7"/>
      <c r="P864" s="10"/>
      <c r="Q864" s="10"/>
      <c r="R864" s="7"/>
      <c r="S864" s="7"/>
      <c r="T864" s="15"/>
      <c r="U864" s="15"/>
      <c r="V864" s="15"/>
      <c r="W864" s="12"/>
      <c r="X864" s="7"/>
      <c r="Y864" s="12"/>
      <c r="Z864" s="12"/>
      <c r="AA864" s="12"/>
    </row>
    <row r="865" ht="19.5" customHeight="1">
      <c r="A865" s="7"/>
      <c r="B865" s="12"/>
      <c r="C865" s="12"/>
      <c r="D865" s="12"/>
      <c r="E865" s="12"/>
      <c r="F865" s="12"/>
      <c r="G865" s="12"/>
      <c r="H865" s="12"/>
      <c r="I865" s="12"/>
      <c r="J865" s="7"/>
      <c r="K865" s="12"/>
      <c r="L865" s="7"/>
      <c r="M865" s="10"/>
      <c r="N865" s="7"/>
      <c r="O865" s="7"/>
      <c r="P865" s="10"/>
      <c r="Q865" s="10"/>
      <c r="R865" s="7"/>
      <c r="S865" s="7"/>
      <c r="T865" s="15"/>
      <c r="U865" s="15"/>
      <c r="V865" s="15"/>
      <c r="W865" s="12"/>
      <c r="X865" s="7"/>
      <c r="Y865" s="12"/>
      <c r="Z865" s="12"/>
      <c r="AA865" s="12"/>
    </row>
    <row r="866" ht="19.5" customHeight="1">
      <c r="A866" s="7"/>
      <c r="B866" s="12"/>
      <c r="C866" s="12"/>
      <c r="D866" s="12"/>
      <c r="E866" s="12"/>
      <c r="F866" s="12"/>
      <c r="G866" s="12"/>
      <c r="H866" s="12"/>
      <c r="I866" s="12"/>
      <c r="J866" s="7"/>
      <c r="K866" s="12"/>
      <c r="L866" s="7"/>
      <c r="M866" s="10"/>
      <c r="N866" s="7"/>
      <c r="O866" s="7"/>
      <c r="P866" s="10"/>
      <c r="Q866" s="10"/>
      <c r="R866" s="7"/>
      <c r="S866" s="7"/>
      <c r="T866" s="15"/>
      <c r="U866" s="15"/>
      <c r="V866" s="15"/>
      <c r="W866" s="12"/>
      <c r="X866" s="7"/>
      <c r="Y866" s="12"/>
      <c r="Z866" s="12"/>
      <c r="AA866" s="12"/>
    </row>
    <row r="867" ht="19.5" customHeight="1">
      <c r="A867" s="7"/>
      <c r="B867" s="12"/>
      <c r="C867" s="12"/>
      <c r="D867" s="12"/>
      <c r="E867" s="12"/>
      <c r="F867" s="12"/>
      <c r="G867" s="12"/>
      <c r="H867" s="12"/>
      <c r="I867" s="12"/>
      <c r="J867" s="7"/>
      <c r="K867" s="12"/>
      <c r="L867" s="7"/>
      <c r="M867" s="10"/>
      <c r="N867" s="7"/>
      <c r="O867" s="7"/>
      <c r="P867" s="10"/>
      <c r="Q867" s="10"/>
      <c r="R867" s="7"/>
      <c r="S867" s="7"/>
      <c r="T867" s="15"/>
      <c r="U867" s="15"/>
      <c r="V867" s="15"/>
      <c r="W867" s="12"/>
      <c r="X867" s="7"/>
      <c r="Y867" s="12"/>
      <c r="Z867" s="12"/>
      <c r="AA867" s="12"/>
    </row>
    <row r="868" ht="19.5" customHeight="1">
      <c r="A868" s="7"/>
      <c r="B868" s="12"/>
      <c r="C868" s="12"/>
      <c r="D868" s="12"/>
      <c r="E868" s="12"/>
      <c r="F868" s="12"/>
      <c r="G868" s="12"/>
      <c r="H868" s="12"/>
      <c r="I868" s="12"/>
      <c r="J868" s="7"/>
      <c r="K868" s="12"/>
      <c r="L868" s="7"/>
      <c r="M868" s="10"/>
      <c r="N868" s="7"/>
      <c r="O868" s="7"/>
      <c r="P868" s="10"/>
      <c r="Q868" s="10"/>
      <c r="R868" s="7"/>
      <c r="S868" s="7"/>
      <c r="T868" s="15"/>
      <c r="U868" s="15"/>
      <c r="V868" s="15"/>
      <c r="W868" s="12"/>
      <c r="X868" s="7"/>
      <c r="Y868" s="12"/>
      <c r="Z868" s="12"/>
      <c r="AA868" s="12"/>
    </row>
    <row r="869" ht="19.5" customHeight="1">
      <c r="A869" s="7"/>
      <c r="B869" s="12"/>
      <c r="C869" s="12"/>
      <c r="D869" s="12"/>
      <c r="E869" s="12"/>
      <c r="F869" s="12"/>
      <c r="G869" s="12"/>
      <c r="H869" s="12"/>
      <c r="I869" s="12"/>
      <c r="J869" s="7"/>
      <c r="K869" s="12"/>
      <c r="L869" s="7"/>
      <c r="M869" s="10"/>
      <c r="N869" s="7"/>
      <c r="O869" s="7"/>
      <c r="P869" s="10"/>
      <c r="Q869" s="10"/>
      <c r="R869" s="7"/>
      <c r="S869" s="7"/>
      <c r="T869" s="15"/>
      <c r="U869" s="15"/>
      <c r="V869" s="15"/>
      <c r="W869" s="12"/>
      <c r="X869" s="7"/>
      <c r="Y869" s="12"/>
      <c r="Z869" s="12"/>
      <c r="AA869" s="12"/>
    </row>
    <row r="870" ht="19.5" customHeight="1">
      <c r="A870" s="7"/>
      <c r="B870" s="12"/>
      <c r="C870" s="12"/>
      <c r="D870" s="12"/>
      <c r="E870" s="12"/>
      <c r="F870" s="12"/>
      <c r="G870" s="12"/>
      <c r="H870" s="12"/>
      <c r="I870" s="12"/>
      <c r="J870" s="7"/>
      <c r="K870" s="12"/>
      <c r="L870" s="7"/>
      <c r="M870" s="10"/>
      <c r="N870" s="7"/>
      <c r="O870" s="7"/>
      <c r="P870" s="10"/>
      <c r="Q870" s="10"/>
      <c r="R870" s="7"/>
      <c r="S870" s="7"/>
      <c r="T870" s="15"/>
      <c r="U870" s="15"/>
      <c r="V870" s="15"/>
      <c r="W870" s="12"/>
      <c r="X870" s="7"/>
      <c r="Y870" s="12"/>
      <c r="Z870" s="12"/>
      <c r="AA870" s="12"/>
    </row>
    <row r="871" ht="19.5" customHeight="1">
      <c r="A871" s="7"/>
      <c r="B871" s="12"/>
      <c r="C871" s="12"/>
      <c r="D871" s="12"/>
      <c r="E871" s="12"/>
      <c r="F871" s="12"/>
      <c r="G871" s="12"/>
      <c r="H871" s="12"/>
      <c r="I871" s="12"/>
      <c r="J871" s="7"/>
      <c r="K871" s="12"/>
      <c r="L871" s="7"/>
      <c r="M871" s="10"/>
      <c r="N871" s="7"/>
      <c r="O871" s="7"/>
      <c r="P871" s="10"/>
      <c r="Q871" s="10"/>
      <c r="R871" s="7"/>
      <c r="S871" s="7"/>
      <c r="T871" s="15"/>
      <c r="U871" s="15"/>
      <c r="V871" s="15"/>
      <c r="W871" s="12"/>
      <c r="X871" s="7"/>
      <c r="Y871" s="12"/>
      <c r="Z871" s="12"/>
      <c r="AA871" s="12"/>
    </row>
    <row r="872" ht="19.5" customHeight="1">
      <c r="A872" s="7"/>
      <c r="B872" s="12"/>
      <c r="C872" s="12"/>
      <c r="D872" s="12"/>
      <c r="E872" s="12"/>
      <c r="F872" s="12"/>
      <c r="G872" s="12"/>
      <c r="H872" s="12"/>
      <c r="I872" s="12"/>
      <c r="J872" s="7"/>
      <c r="K872" s="12"/>
      <c r="L872" s="7"/>
      <c r="M872" s="10"/>
      <c r="N872" s="7"/>
      <c r="O872" s="7"/>
      <c r="P872" s="10"/>
      <c r="Q872" s="10"/>
      <c r="R872" s="7"/>
      <c r="S872" s="7"/>
      <c r="T872" s="15"/>
      <c r="U872" s="15"/>
      <c r="V872" s="15"/>
      <c r="W872" s="12"/>
      <c r="X872" s="7"/>
      <c r="Y872" s="12"/>
      <c r="Z872" s="12"/>
      <c r="AA872" s="12"/>
    </row>
    <row r="873" ht="19.5" customHeight="1">
      <c r="A873" s="7"/>
      <c r="B873" s="12"/>
      <c r="C873" s="12"/>
      <c r="D873" s="12"/>
      <c r="E873" s="12"/>
      <c r="F873" s="12"/>
      <c r="G873" s="12"/>
      <c r="H873" s="12"/>
      <c r="I873" s="12"/>
      <c r="J873" s="7"/>
      <c r="K873" s="12"/>
      <c r="L873" s="7"/>
      <c r="M873" s="10"/>
      <c r="N873" s="7"/>
      <c r="O873" s="7"/>
      <c r="P873" s="10"/>
      <c r="Q873" s="10"/>
      <c r="R873" s="7"/>
      <c r="S873" s="7"/>
      <c r="T873" s="15"/>
      <c r="U873" s="15"/>
      <c r="V873" s="15"/>
      <c r="W873" s="12"/>
      <c r="X873" s="7"/>
      <c r="Y873" s="12"/>
      <c r="Z873" s="12"/>
      <c r="AA873" s="12"/>
    </row>
    <row r="874" ht="19.5" customHeight="1">
      <c r="A874" s="7"/>
      <c r="B874" s="12"/>
      <c r="C874" s="12"/>
      <c r="D874" s="12"/>
      <c r="E874" s="12"/>
      <c r="F874" s="12"/>
      <c r="G874" s="12"/>
      <c r="H874" s="12"/>
      <c r="I874" s="12"/>
      <c r="J874" s="7"/>
      <c r="K874" s="12"/>
      <c r="L874" s="7"/>
      <c r="M874" s="10"/>
      <c r="N874" s="7"/>
      <c r="O874" s="7"/>
      <c r="P874" s="10"/>
      <c r="Q874" s="10"/>
      <c r="R874" s="7"/>
      <c r="S874" s="7"/>
      <c r="T874" s="15"/>
      <c r="U874" s="15"/>
      <c r="V874" s="15"/>
      <c r="W874" s="12"/>
      <c r="X874" s="7"/>
      <c r="Y874" s="12"/>
      <c r="Z874" s="12"/>
      <c r="AA874" s="12"/>
    </row>
    <row r="875" ht="19.5" customHeight="1">
      <c r="A875" s="7"/>
      <c r="B875" s="12"/>
      <c r="C875" s="12"/>
      <c r="D875" s="12"/>
      <c r="E875" s="12"/>
      <c r="F875" s="12"/>
      <c r="G875" s="12"/>
      <c r="H875" s="12"/>
      <c r="I875" s="12"/>
      <c r="J875" s="7"/>
      <c r="K875" s="12"/>
      <c r="L875" s="7"/>
      <c r="M875" s="10"/>
      <c r="N875" s="7"/>
      <c r="O875" s="7"/>
      <c r="P875" s="10"/>
      <c r="Q875" s="10"/>
      <c r="R875" s="7"/>
      <c r="S875" s="7"/>
      <c r="T875" s="15"/>
      <c r="U875" s="15"/>
      <c r="V875" s="15"/>
      <c r="W875" s="12"/>
      <c r="X875" s="7"/>
      <c r="Y875" s="12"/>
      <c r="Z875" s="12"/>
      <c r="AA875" s="12"/>
    </row>
    <row r="876" ht="19.5" customHeight="1">
      <c r="A876" s="7"/>
      <c r="B876" s="12"/>
      <c r="C876" s="12"/>
      <c r="D876" s="12"/>
      <c r="E876" s="12"/>
      <c r="F876" s="12"/>
      <c r="G876" s="12"/>
      <c r="H876" s="12"/>
      <c r="I876" s="12"/>
      <c r="J876" s="7"/>
      <c r="K876" s="12"/>
      <c r="L876" s="7"/>
      <c r="M876" s="10"/>
      <c r="N876" s="7"/>
      <c r="O876" s="7"/>
      <c r="P876" s="10"/>
      <c r="Q876" s="10"/>
      <c r="R876" s="7"/>
      <c r="S876" s="7"/>
      <c r="T876" s="15"/>
      <c r="U876" s="15"/>
      <c r="V876" s="15"/>
      <c r="W876" s="12"/>
      <c r="X876" s="7"/>
      <c r="Y876" s="12"/>
      <c r="Z876" s="12"/>
      <c r="AA876" s="12"/>
    </row>
    <row r="877" ht="19.5" customHeight="1">
      <c r="A877" s="7"/>
      <c r="B877" s="12"/>
      <c r="C877" s="12"/>
      <c r="D877" s="12"/>
      <c r="E877" s="12"/>
      <c r="F877" s="12"/>
      <c r="G877" s="12"/>
      <c r="H877" s="12"/>
      <c r="I877" s="12"/>
      <c r="J877" s="7"/>
      <c r="K877" s="12"/>
      <c r="L877" s="7"/>
      <c r="M877" s="10"/>
      <c r="N877" s="7"/>
      <c r="O877" s="7"/>
      <c r="P877" s="10"/>
      <c r="Q877" s="10"/>
      <c r="R877" s="7"/>
      <c r="S877" s="7"/>
      <c r="T877" s="15"/>
      <c r="U877" s="15"/>
      <c r="V877" s="15"/>
      <c r="W877" s="12"/>
      <c r="X877" s="7"/>
      <c r="Y877" s="12"/>
      <c r="Z877" s="12"/>
      <c r="AA877" s="12"/>
    </row>
    <row r="878" ht="19.5" customHeight="1">
      <c r="A878" s="7"/>
      <c r="B878" s="12"/>
      <c r="C878" s="12"/>
      <c r="D878" s="12"/>
      <c r="E878" s="12"/>
      <c r="F878" s="12"/>
      <c r="G878" s="12"/>
      <c r="H878" s="12"/>
      <c r="I878" s="12"/>
      <c r="J878" s="7"/>
      <c r="K878" s="12"/>
      <c r="L878" s="7"/>
      <c r="M878" s="10"/>
      <c r="N878" s="7"/>
      <c r="O878" s="7"/>
      <c r="P878" s="10"/>
      <c r="Q878" s="10"/>
      <c r="R878" s="7"/>
      <c r="S878" s="7"/>
      <c r="T878" s="15"/>
      <c r="U878" s="15"/>
      <c r="V878" s="15"/>
      <c r="W878" s="12"/>
      <c r="X878" s="7"/>
      <c r="Y878" s="12"/>
      <c r="Z878" s="12"/>
      <c r="AA878" s="12"/>
    </row>
    <row r="879" ht="19.5" customHeight="1">
      <c r="A879" s="7"/>
      <c r="B879" s="12"/>
      <c r="C879" s="12"/>
      <c r="D879" s="12"/>
      <c r="E879" s="12"/>
      <c r="F879" s="12"/>
      <c r="G879" s="12"/>
      <c r="H879" s="12"/>
      <c r="I879" s="12"/>
      <c r="J879" s="7"/>
      <c r="K879" s="12"/>
      <c r="L879" s="7"/>
      <c r="M879" s="10"/>
      <c r="N879" s="7"/>
      <c r="O879" s="7"/>
      <c r="P879" s="10"/>
      <c r="Q879" s="10"/>
      <c r="R879" s="7"/>
      <c r="S879" s="7"/>
      <c r="T879" s="15"/>
      <c r="U879" s="15"/>
      <c r="V879" s="15"/>
      <c r="W879" s="12"/>
      <c r="X879" s="7"/>
      <c r="Y879" s="12"/>
      <c r="Z879" s="12"/>
      <c r="AA879" s="12"/>
    </row>
    <row r="880" ht="19.5" customHeight="1">
      <c r="A880" s="7"/>
      <c r="B880" s="12"/>
      <c r="C880" s="12"/>
      <c r="D880" s="12"/>
      <c r="E880" s="12"/>
      <c r="F880" s="12"/>
      <c r="G880" s="12"/>
      <c r="H880" s="12"/>
      <c r="I880" s="12"/>
      <c r="J880" s="7"/>
      <c r="K880" s="12"/>
      <c r="L880" s="7"/>
      <c r="M880" s="10"/>
      <c r="N880" s="7"/>
      <c r="O880" s="7"/>
      <c r="P880" s="10"/>
      <c r="Q880" s="10"/>
      <c r="R880" s="7"/>
      <c r="S880" s="7"/>
      <c r="T880" s="15"/>
      <c r="U880" s="15"/>
      <c r="V880" s="15"/>
      <c r="W880" s="12"/>
      <c r="X880" s="7"/>
      <c r="Y880" s="12"/>
      <c r="Z880" s="12"/>
      <c r="AA880" s="12"/>
    </row>
    <row r="881" ht="19.5" customHeight="1">
      <c r="A881" s="7"/>
      <c r="B881" s="12"/>
      <c r="C881" s="12"/>
      <c r="D881" s="12"/>
      <c r="E881" s="12"/>
      <c r="F881" s="12"/>
      <c r="G881" s="12"/>
      <c r="H881" s="12"/>
      <c r="I881" s="12"/>
      <c r="J881" s="7"/>
      <c r="K881" s="12"/>
      <c r="L881" s="7"/>
      <c r="M881" s="10"/>
      <c r="N881" s="7"/>
      <c r="O881" s="7"/>
      <c r="P881" s="10"/>
      <c r="Q881" s="10"/>
      <c r="R881" s="7"/>
      <c r="S881" s="7"/>
      <c r="T881" s="15"/>
      <c r="U881" s="15"/>
      <c r="V881" s="15"/>
      <c r="W881" s="12"/>
      <c r="X881" s="7"/>
      <c r="Y881" s="12"/>
      <c r="Z881" s="12"/>
      <c r="AA881" s="12"/>
    </row>
    <row r="882" ht="19.5" customHeight="1">
      <c r="A882" s="7"/>
      <c r="B882" s="12"/>
      <c r="C882" s="12"/>
      <c r="D882" s="12"/>
      <c r="E882" s="12"/>
      <c r="F882" s="12"/>
      <c r="G882" s="12"/>
      <c r="H882" s="12"/>
      <c r="I882" s="12"/>
      <c r="J882" s="7"/>
      <c r="K882" s="12"/>
      <c r="L882" s="7"/>
      <c r="M882" s="10"/>
      <c r="N882" s="7"/>
      <c r="O882" s="7"/>
      <c r="P882" s="10"/>
      <c r="Q882" s="10"/>
      <c r="R882" s="7"/>
      <c r="S882" s="7"/>
      <c r="T882" s="15"/>
      <c r="U882" s="15"/>
      <c r="V882" s="15"/>
      <c r="W882" s="12"/>
      <c r="X882" s="7"/>
      <c r="Y882" s="12"/>
      <c r="Z882" s="12"/>
      <c r="AA882" s="12"/>
    </row>
    <row r="883" ht="19.5" customHeight="1">
      <c r="A883" s="7"/>
      <c r="B883" s="12"/>
      <c r="C883" s="12"/>
      <c r="D883" s="12"/>
      <c r="E883" s="12"/>
      <c r="F883" s="12"/>
      <c r="G883" s="12"/>
      <c r="H883" s="12"/>
      <c r="I883" s="12"/>
      <c r="J883" s="7"/>
      <c r="K883" s="12"/>
      <c r="L883" s="7"/>
      <c r="M883" s="10"/>
      <c r="N883" s="7"/>
      <c r="O883" s="7"/>
      <c r="P883" s="10"/>
      <c r="Q883" s="10"/>
      <c r="R883" s="7"/>
      <c r="S883" s="7"/>
      <c r="T883" s="15"/>
      <c r="U883" s="15"/>
      <c r="V883" s="15"/>
      <c r="W883" s="12"/>
      <c r="X883" s="7"/>
      <c r="Y883" s="12"/>
      <c r="Z883" s="12"/>
      <c r="AA883" s="12"/>
    </row>
    <row r="884" ht="19.5" customHeight="1">
      <c r="A884" s="7"/>
      <c r="B884" s="12"/>
      <c r="C884" s="12"/>
      <c r="D884" s="12"/>
      <c r="E884" s="12"/>
      <c r="F884" s="12"/>
      <c r="G884" s="12"/>
      <c r="H884" s="12"/>
      <c r="I884" s="12"/>
      <c r="J884" s="7"/>
      <c r="K884" s="12"/>
      <c r="L884" s="7"/>
      <c r="M884" s="10"/>
      <c r="N884" s="7"/>
      <c r="O884" s="7"/>
      <c r="P884" s="10"/>
      <c r="Q884" s="10"/>
      <c r="R884" s="7"/>
      <c r="S884" s="7"/>
      <c r="T884" s="15"/>
      <c r="U884" s="15"/>
      <c r="V884" s="15"/>
      <c r="W884" s="12"/>
      <c r="X884" s="7"/>
      <c r="Y884" s="12"/>
      <c r="Z884" s="12"/>
      <c r="AA884" s="12"/>
    </row>
    <row r="885" ht="19.5" customHeight="1">
      <c r="A885" s="7"/>
      <c r="B885" s="12"/>
      <c r="C885" s="12"/>
      <c r="D885" s="12"/>
      <c r="E885" s="12"/>
      <c r="F885" s="12"/>
      <c r="G885" s="12"/>
      <c r="H885" s="12"/>
      <c r="I885" s="12"/>
      <c r="J885" s="7"/>
      <c r="K885" s="12"/>
      <c r="L885" s="7"/>
      <c r="M885" s="10"/>
      <c r="N885" s="7"/>
      <c r="O885" s="7"/>
      <c r="P885" s="10"/>
      <c r="Q885" s="10"/>
      <c r="R885" s="7"/>
      <c r="S885" s="7"/>
      <c r="T885" s="15"/>
      <c r="U885" s="15"/>
      <c r="V885" s="15"/>
      <c r="W885" s="12"/>
      <c r="X885" s="7"/>
      <c r="Y885" s="12"/>
      <c r="Z885" s="12"/>
      <c r="AA885" s="12"/>
    </row>
    <row r="886" ht="19.5" customHeight="1">
      <c r="A886" s="7"/>
      <c r="B886" s="12"/>
      <c r="C886" s="12"/>
      <c r="D886" s="12"/>
      <c r="E886" s="12"/>
      <c r="F886" s="12"/>
      <c r="G886" s="12"/>
      <c r="H886" s="12"/>
      <c r="I886" s="12"/>
      <c r="J886" s="7"/>
      <c r="K886" s="12"/>
      <c r="L886" s="7"/>
      <c r="M886" s="10"/>
      <c r="N886" s="7"/>
      <c r="O886" s="7"/>
      <c r="P886" s="10"/>
      <c r="Q886" s="10"/>
      <c r="R886" s="7"/>
      <c r="S886" s="7"/>
      <c r="T886" s="15"/>
      <c r="U886" s="15"/>
      <c r="V886" s="15"/>
      <c r="W886" s="12"/>
      <c r="X886" s="7"/>
      <c r="Y886" s="12"/>
      <c r="Z886" s="12"/>
      <c r="AA886" s="12"/>
    </row>
    <row r="887" ht="19.5" customHeight="1">
      <c r="A887" s="7"/>
      <c r="B887" s="12"/>
      <c r="C887" s="12"/>
      <c r="D887" s="12"/>
      <c r="E887" s="12"/>
      <c r="F887" s="12"/>
      <c r="G887" s="12"/>
      <c r="H887" s="12"/>
      <c r="I887" s="12"/>
      <c r="J887" s="7"/>
      <c r="K887" s="12"/>
      <c r="L887" s="7"/>
      <c r="M887" s="10"/>
      <c r="N887" s="7"/>
      <c r="O887" s="7"/>
      <c r="P887" s="10"/>
      <c r="Q887" s="10"/>
      <c r="R887" s="7"/>
      <c r="S887" s="7"/>
      <c r="T887" s="15"/>
      <c r="U887" s="15"/>
      <c r="V887" s="15"/>
      <c r="W887" s="12"/>
      <c r="X887" s="7"/>
      <c r="Y887" s="12"/>
      <c r="Z887" s="12"/>
      <c r="AA887" s="12"/>
    </row>
    <row r="888" ht="19.5" customHeight="1">
      <c r="A888" s="7"/>
      <c r="B888" s="12"/>
      <c r="C888" s="12"/>
      <c r="D888" s="12"/>
      <c r="E888" s="12"/>
      <c r="F888" s="12"/>
      <c r="G888" s="12"/>
      <c r="H888" s="12"/>
      <c r="I888" s="12"/>
      <c r="J888" s="7"/>
      <c r="K888" s="12"/>
      <c r="L888" s="7"/>
      <c r="M888" s="10"/>
      <c r="N888" s="7"/>
      <c r="O888" s="7"/>
      <c r="P888" s="10"/>
      <c r="Q888" s="10"/>
      <c r="R888" s="7"/>
      <c r="S888" s="7"/>
      <c r="T888" s="15"/>
      <c r="U888" s="15"/>
      <c r="V888" s="15"/>
      <c r="W888" s="12"/>
      <c r="X888" s="7"/>
      <c r="Y888" s="12"/>
      <c r="Z888" s="12"/>
      <c r="AA888" s="12"/>
    </row>
    <row r="889" ht="19.5" customHeight="1">
      <c r="A889" s="7"/>
      <c r="B889" s="12"/>
      <c r="C889" s="12"/>
      <c r="D889" s="12"/>
      <c r="E889" s="12"/>
      <c r="F889" s="12"/>
      <c r="G889" s="12"/>
      <c r="H889" s="12"/>
      <c r="I889" s="12"/>
      <c r="J889" s="7"/>
      <c r="K889" s="12"/>
      <c r="L889" s="7"/>
      <c r="M889" s="10"/>
      <c r="N889" s="7"/>
      <c r="O889" s="7"/>
      <c r="P889" s="10"/>
      <c r="Q889" s="10"/>
      <c r="R889" s="7"/>
      <c r="S889" s="7"/>
      <c r="T889" s="15"/>
      <c r="U889" s="15"/>
      <c r="V889" s="15"/>
      <c r="W889" s="12"/>
      <c r="X889" s="7"/>
      <c r="Y889" s="12"/>
      <c r="Z889" s="12"/>
      <c r="AA889" s="12"/>
    </row>
    <row r="890" ht="19.5" customHeight="1">
      <c r="A890" s="7"/>
      <c r="B890" s="12"/>
      <c r="C890" s="12"/>
      <c r="D890" s="12"/>
      <c r="E890" s="12"/>
      <c r="F890" s="12"/>
      <c r="G890" s="12"/>
      <c r="H890" s="12"/>
      <c r="I890" s="12"/>
      <c r="J890" s="7"/>
      <c r="K890" s="12"/>
      <c r="L890" s="7"/>
      <c r="M890" s="10"/>
      <c r="N890" s="7"/>
      <c r="O890" s="7"/>
      <c r="P890" s="10"/>
      <c r="Q890" s="10"/>
      <c r="R890" s="7"/>
      <c r="S890" s="7"/>
      <c r="T890" s="15"/>
      <c r="U890" s="15"/>
      <c r="V890" s="15"/>
      <c r="W890" s="12"/>
      <c r="X890" s="7"/>
      <c r="Y890" s="12"/>
      <c r="Z890" s="12"/>
      <c r="AA890" s="12"/>
    </row>
    <row r="891" ht="19.5" customHeight="1">
      <c r="A891" s="7"/>
      <c r="B891" s="12"/>
      <c r="C891" s="12"/>
      <c r="D891" s="12"/>
      <c r="E891" s="12"/>
      <c r="F891" s="12"/>
      <c r="G891" s="12"/>
      <c r="H891" s="12"/>
      <c r="I891" s="12"/>
      <c r="J891" s="7"/>
      <c r="K891" s="12"/>
      <c r="L891" s="7"/>
      <c r="M891" s="10"/>
      <c r="N891" s="7"/>
      <c r="O891" s="7"/>
      <c r="P891" s="10"/>
      <c r="Q891" s="10"/>
      <c r="R891" s="7"/>
      <c r="S891" s="7"/>
      <c r="T891" s="15"/>
      <c r="U891" s="15"/>
      <c r="V891" s="15"/>
      <c r="W891" s="12"/>
      <c r="X891" s="7"/>
      <c r="Y891" s="12"/>
      <c r="Z891" s="12"/>
      <c r="AA891" s="12"/>
    </row>
    <row r="892" ht="19.5" customHeight="1">
      <c r="A892" s="7"/>
      <c r="B892" s="12"/>
      <c r="C892" s="12"/>
      <c r="D892" s="12"/>
      <c r="E892" s="12"/>
      <c r="F892" s="12"/>
      <c r="G892" s="12"/>
      <c r="H892" s="12"/>
      <c r="I892" s="12"/>
      <c r="J892" s="7"/>
      <c r="K892" s="12"/>
      <c r="L892" s="7"/>
      <c r="M892" s="10"/>
      <c r="N892" s="7"/>
      <c r="O892" s="7"/>
      <c r="P892" s="10"/>
      <c r="Q892" s="10"/>
      <c r="R892" s="7"/>
      <c r="S892" s="7"/>
      <c r="T892" s="15"/>
      <c r="U892" s="15"/>
      <c r="V892" s="15"/>
      <c r="W892" s="12"/>
      <c r="X892" s="7"/>
      <c r="Y892" s="12"/>
      <c r="Z892" s="12"/>
      <c r="AA892" s="12"/>
    </row>
    <row r="893" ht="19.5" customHeight="1">
      <c r="A893" s="7"/>
      <c r="B893" s="12"/>
      <c r="C893" s="12"/>
      <c r="D893" s="12"/>
      <c r="E893" s="12"/>
      <c r="F893" s="12"/>
      <c r="G893" s="12"/>
      <c r="H893" s="12"/>
      <c r="I893" s="12"/>
      <c r="J893" s="7"/>
      <c r="K893" s="12"/>
      <c r="L893" s="7"/>
      <c r="M893" s="10"/>
      <c r="N893" s="7"/>
      <c r="O893" s="7"/>
      <c r="P893" s="10"/>
      <c r="Q893" s="10"/>
      <c r="R893" s="7"/>
      <c r="S893" s="7"/>
      <c r="T893" s="15"/>
      <c r="U893" s="15"/>
      <c r="V893" s="15"/>
      <c r="W893" s="12"/>
      <c r="X893" s="7"/>
      <c r="Y893" s="12"/>
      <c r="Z893" s="12"/>
      <c r="AA893" s="12"/>
    </row>
    <row r="894" ht="19.5" customHeight="1">
      <c r="A894" s="7"/>
      <c r="B894" s="12"/>
      <c r="C894" s="12"/>
      <c r="D894" s="12"/>
      <c r="E894" s="12"/>
      <c r="F894" s="12"/>
      <c r="G894" s="12"/>
      <c r="H894" s="12"/>
      <c r="I894" s="12"/>
      <c r="J894" s="7"/>
      <c r="K894" s="12"/>
      <c r="L894" s="7"/>
      <c r="M894" s="10"/>
      <c r="N894" s="7"/>
      <c r="O894" s="7"/>
      <c r="P894" s="10"/>
      <c r="Q894" s="10"/>
      <c r="R894" s="7"/>
      <c r="S894" s="7"/>
      <c r="T894" s="15"/>
      <c r="U894" s="15"/>
      <c r="V894" s="15"/>
      <c r="W894" s="12"/>
      <c r="X894" s="7"/>
      <c r="Y894" s="12"/>
      <c r="Z894" s="12"/>
      <c r="AA894" s="12"/>
    </row>
    <row r="895" ht="19.5" customHeight="1">
      <c r="A895" s="7"/>
      <c r="B895" s="12"/>
      <c r="C895" s="12"/>
      <c r="D895" s="12"/>
      <c r="E895" s="12"/>
      <c r="F895" s="12"/>
      <c r="G895" s="12"/>
      <c r="H895" s="12"/>
      <c r="I895" s="12"/>
      <c r="J895" s="7"/>
      <c r="K895" s="12"/>
      <c r="L895" s="7"/>
      <c r="M895" s="10"/>
      <c r="N895" s="7"/>
      <c r="O895" s="7"/>
      <c r="P895" s="10"/>
      <c r="Q895" s="10"/>
      <c r="R895" s="7"/>
      <c r="S895" s="7"/>
      <c r="T895" s="15"/>
      <c r="U895" s="15"/>
      <c r="V895" s="15"/>
      <c r="W895" s="12"/>
      <c r="X895" s="7"/>
      <c r="Y895" s="12"/>
      <c r="Z895" s="12"/>
      <c r="AA895" s="12"/>
    </row>
    <row r="896" ht="19.5" customHeight="1">
      <c r="A896" s="7"/>
      <c r="B896" s="12"/>
      <c r="C896" s="12"/>
      <c r="D896" s="12"/>
      <c r="E896" s="12"/>
      <c r="F896" s="12"/>
      <c r="G896" s="12"/>
      <c r="H896" s="12"/>
      <c r="I896" s="12"/>
      <c r="J896" s="7"/>
      <c r="K896" s="12"/>
      <c r="L896" s="7"/>
      <c r="M896" s="10"/>
      <c r="N896" s="7"/>
      <c r="O896" s="7"/>
      <c r="P896" s="10"/>
      <c r="Q896" s="10"/>
      <c r="R896" s="7"/>
      <c r="S896" s="7"/>
      <c r="T896" s="15"/>
      <c r="U896" s="15"/>
      <c r="V896" s="15"/>
      <c r="W896" s="12"/>
      <c r="X896" s="7"/>
      <c r="Y896" s="12"/>
      <c r="Z896" s="12"/>
      <c r="AA896" s="12"/>
    </row>
    <row r="897" ht="19.5" customHeight="1">
      <c r="A897" s="7"/>
      <c r="B897" s="12"/>
      <c r="C897" s="12"/>
      <c r="D897" s="12"/>
      <c r="E897" s="12"/>
      <c r="F897" s="12"/>
      <c r="G897" s="12"/>
      <c r="H897" s="12"/>
      <c r="I897" s="12"/>
      <c r="J897" s="7"/>
      <c r="K897" s="12"/>
      <c r="L897" s="7"/>
      <c r="M897" s="10"/>
      <c r="N897" s="7"/>
      <c r="O897" s="7"/>
      <c r="P897" s="10"/>
      <c r="Q897" s="10"/>
      <c r="R897" s="7"/>
      <c r="S897" s="7"/>
      <c r="T897" s="15"/>
      <c r="U897" s="15"/>
      <c r="V897" s="15"/>
      <c r="W897" s="12"/>
      <c r="X897" s="7"/>
      <c r="Y897" s="12"/>
      <c r="Z897" s="12"/>
      <c r="AA897" s="12"/>
    </row>
    <row r="898" ht="19.5" customHeight="1">
      <c r="A898" s="7"/>
      <c r="B898" s="12"/>
      <c r="C898" s="12"/>
      <c r="D898" s="12"/>
      <c r="E898" s="12"/>
      <c r="F898" s="12"/>
      <c r="G898" s="12"/>
      <c r="H898" s="12"/>
      <c r="I898" s="12"/>
      <c r="J898" s="7"/>
      <c r="K898" s="12"/>
      <c r="L898" s="7"/>
      <c r="M898" s="10"/>
      <c r="N898" s="7"/>
      <c r="O898" s="7"/>
      <c r="P898" s="10"/>
      <c r="Q898" s="10"/>
      <c r="R898" s="7"/>
      <c r="S898" s="7"/>
      <c r="T898" s="15"/>
      <c r="U898" s="15"/>
      <c r="V898" s="15"/>
      <c r="W898" s="12"/>
      <c r="X898" s="7"/>
      <c r="Y898" s="12"/>
      <c r="Z898" s="12"/>
      <c r="AA898" s="12"/>
    </row>
    <row r="899" ht="19.5" customHeight="1">
      <c r="A899" s="7"/>
      <c r="B899" s="12"/>
      <c r="C899" s="12"/>
      <c r="D899" s="12"/>
      <c r="E899" s="12"/>
      <c r="F899" s="12"/>
      <c r="G899" s="12"/>
      <c r="H899" s="12"/>
      <c r="I899" s="12"/>
      <c r="J899" s="7"/>
      <c r="K899" s="12"/>
      <c r="L899" s="7"/>
      <c r="M899" s="10"/>
      <c r="N899" s="7"/>
      <c r="O899" s="7"/>
      <c r="P899" s="10"/>
      <c r="Q899" s="10"/>
      <c r="R899" s="7"/>
      <c r="S899" s="7"/>
      <c r="T899" s="15"/>
      <c r="U899" s="15"/>
      <c r="V899" s="15"/>
      <c r="W899" s="12"/>
      <c r="X899" s="7"/>
      <c r="Y899" s="12"/>
      <c r="Z899" s="12"/>
      <c r="AA899" s="12"/>
    </row>
    <row r="900" ht="19.5" customHeight="1">
      <c r="A900" s="7"/>
      <c r="B900" s="12"/>
      <c r="C900" s="12"/>
      <c r="D900" s="12"/>
      <c r="E900" s="12"/>
      <c r="F900" s="12"/>
      <c r="G900" s="12"/>
      <c r="H900" s="12"/>
      <c r="I900" s="12"/>
      <c r="J900" s="7"/>
      <c r="K900" s="12"/>
      <c r="L900" s="7"/>
      <c r="M900" s="10"/>
      <c r="N900" s="7"/>
      <c r="O900" s="7"/>
      <c r="P900" s="10"/>
      <c r="Q900" s="10"/>
      <c r="R900" s="7"/>
      <c r="S900" s="7"/>
      <c r="T900" s="15"/>
      <c r="U900" s="15"/>
      <c r="V900" s="15"/>
      <c r="W900" s="12"/>
      <c r="X900" s="7"/>
      <c r="Y900" s="12"/>
      <c r="Z900" s="12"/>
      <c r="AA900" s="12"/>
    </row>
    <row r="901" ht="19.5" customHeight="1">
      <c r="A901" s="7"/>
      <c r="B901" s="12"/>
      <c r="C901" s="12"/>
      <c r="D901" s="12"/>
      <c r="E901" s="12"/>
      <c r="F901" s="12"/>
      <c r="G901" s="12"/>
      <c r="H901" s="12"/>
      <c r="I901" s="12"/>
      <c r="J901" s="7"/>
      <c r="K901" s="12"/>
      <c r="L901" s="7"/>
      <c r="M901" s="10"/>
      <c r="N901" s="7"/>
      <c r="O901" s="7"/>
      <c r="P901" s="10"/>
      <c r="Q901" s="10"/>
      <c r="R901" s="7"/>
      <c r="S901" s="7"/>
      <c r="T901" s="15"/>
      <c r="U901" s="15"/>
      <c r="V901" s="15"/>
      <c r="W901" s="12"/>
      <c r="X901" s="7"/>
      <c r="Y901" s="12"/>
      <c r="Z901" s="12"/>
      <c r="AA901" s="12"/>
    </row>
    <row r="902" ht="19.5" customHeight="1">
      <c r="A902" s="7"/>
      <c r="B902" s="12"/>
      <c r="C902" s="12"/>
      <c r="D902" s="12"/>
      <c r="E902" s="12"/>
      <c r="F902" s="12"/>
      <c r="G902" s="12"/>
      <c r="H902" s="12"/>
      <c r="I902" s="12"/>
      <c r="J902" s="7"/>
      <c r="K902" s="12"/>
      <c r="L902" s="7"/>
      <c r="M902" s="10"/>
      <c r="N902" s="7"/>
      <c r="O902" s="7"/>
      <c r="P902" s="10"/>
      <c r="Q902" s="10"/>
      <c r="R902" s="7"/>
      <c r="S902" s="7"/>
      <c r="T902" s="15"/>
      <c r="U902" s="15"/>
      <c r="V902" s="15"/>
      <c r="W902" s="12"/>
      <c r="X902" s="7"/>
      <c r="Y902" s="12"/>
      <c r="Z902" s="12"/>
      <c r="AA902" s="12"/>
    </row>
    <row r="903" ht="19.5" customHeight="1">
      <c r="A903" s="7"/>
      <c r="B903" s="12"/>
      <c r="C903" s="12"/>
      <c r="D903" s="12"/>
      <c r="E903" s="12"/>
      <c r="F903" s="12"/>
      <c r="G903" s="12"/>
      <c r="H903" s="12"/>
      <c r="I903" s="12"/>
      <c r="J903" s="7"/>
      <c r="K903" s="12"/>
      <c r="L903" s="7"/>
      <c r="M903" s="10"/>
      <c r="N903" s="7"/>
      <c r="O903" s="7"/>
      <c r="P903" s="10"/>
      <c r="Q903" s="10"/>
      <c r="R903" s="7"/>
      <c r="S903" s="7"/>
      <c r="T903" s="15"/>
      <c r="U903" s="15"/>
      <c r="V903" s="15"/>
      <c r="W903" s="12"/>
      <c r="X903" s="7"/>
      <c r="Y903" s="12"/>
      <c r="Z903" s="12"/>
      <c r="AA903" s="12"/>
    </row>
    <row r="904" ht="19.5" customHeight="1">
      <c r="A904" s="7"/>
      <c r="B904" s="12"/>
      <c r="C904" s="12"/>
      <c r="D904" s="12"/>
      <c r="E904" s="12"/>
      <c r="F904" s="12"/>
      <c r="G904" s="12"/>
      <c r="H904" s="12"/>
      <c r="I904" s="12"/>
      <c r="J904" s="7"/>
      <c r="K904" s="12"/>
      <c r="L904" s="7"/>
      <c r="M904" s="10"/>
      <c r="N904" s="7"/>
      <c r="O904" s="7"/>
      <c r="P904" s="10"/>
      <c r="Q904" s="10"/>
      <c r="R904" s="7"/>
      <c r="S904" s="7"/>
      <c r="T904" s="15"/>
      <c r="U904" s="15"/>
      <c r="V904" s="15"/>
      <c r="W904" s="12"/>
      <c r="X904" s="7"/>
      <c r="Y904" s="12"/>
      <c r="Z904" s="12"/>
      <c r="AA904" s="12"/>
    </row>
    <row r="905" ht="19.5" customHeight="1">
      <c r="A905" s="7"/>
      <c r="B905" s="12"/>
      <c r="C905" s="12"/>
      <c r="D905" s="12"/>
      <c r="E905" s="12"/>
      <c r="F905" s="12"/>
      <c r="G905" s="12"/>
      <c r="H905" s="12"/>
      <c r="I905" s="12"/>
      <c r="J905" s="7"/>
      <c r="K905" s="12"/>
      <c r="L905" s="7"/>
      <c r="M905" s="10"/>
      <c r="N905" s="7"/>
      <c r="O905" s="7"/>
      <c r="P905" s="10"/>
      <c r="Q905" s="10"/>
      <c r="R905" s="7"/>
      <c r="S905" s="7"/>
      <c r="T905" s="15"/>
      <c r="U905" s="15"/>
      <c r="V905" s="15"/>
      <c r="W905" s="12"/>
      <c r="X905" s="7"/>
      <c r="Y905" s="12"/>
      <c r="Z905" s="12"/>
      <c r="AA905" s="12"/>
    </row>
    <row r="906" ht="19.5" customHeight="1">
      <c r="A906" s="7"/>
      <c r="B906" s="12"/>
      <c r="C906" s="12"/>
      <c r="D906" s="12"/>
      <c r="E906" s="12"/>
      <c r="F906" s="12"/>
      <c r="G906" s="12"/>
      <c r="H906" s="12"/>
      <c r="I906" s="12"/>
      <c r="J906" s="7"/>
      <c r="K906" s="12"/>
      <c r="L906" s="7"/>
      <c r="M906" s="10"/>
      <c r="N906" s="7"/>
      <c r="O906" s="7"/>
      <c r="P906" s="10"/>
      <c r="Q906" s="10"/>
      <c r="R906" s="7"/>
      <c r="S906" s="7"/>
      <c r="T906" s="15"/>
      <c r="U906" s="15"/>
      <c r="V906" s="15"/>
      <c r="W906" s="12"/>
      <c r="X906" s="7"/>
      <c r="Y906" s="12"/>
      <c r="Z906" s="12"/>
      <c r="AA906" s="12"/>
    </row>
    <row r="907" ht="19.5" customHeight="1">
      <c r="A907" s="7"/>
      <c r="B907" s="12"/>
      <c r="C907" s="12"/>
      <c r="D907" s="12"/>
      <c r="E907" s="12"/>
      <c r="F907" s="12"/>
      <c r="G907" s="12"/>
      <c r="H907" s="12"/>
      <c r="I907" s="12"/>
      <c r="J907" s="7"/>
      <c r="K907" s="12"/>
      <c r="L907" s="7"/>
      <c r="M907" s="10"/>
      <c r="N907" s="7"/>
      <c r="O907" s="7"/>
      <c r="P907" s="10"/>
      <c r="Q907" s="10"/>
      <c r="R907" s="7"/>
      <c r="S907" s="7"/>
      <c r="T907" s="15"/>
      <c r="U907" s="15"/>
      <c r="V907" s="15"/>
      <c r="W907" s="12"/>
      <c r="X907" s="7"/>
      <c r="Y907" s="12"/>
      <c r="Z907" s="12"/>
      <c r="AA907" s="12"/>
    </row>
    <row r="908" ht="19.5" customHeight="1">
      <c r="A908" s="7"/>
      <c r="B908" s="12"/>
      <c r="C908" s="12"/>
      <c r="D908" s="12"/>
      <c r="E908" s="12"/>
      <c r="F908" s="12"/>
      <c r="G908" s="12"/>
      <c r="H908" s="12"/>
      <c r="I908" s="12"/>
      <c r="J908" s="7"/>
      <c r="K908" s="12"/>
      <c r="L908" s="7"/>
      <c r="M908" s="10"/>
      <c r="N908" s="7"/>
      <c r="O908" s="7"/>
      <c r="P908" s="10"/>
      <c r="Q908" s="10"/>
      <c r="R908" s="7"/>
      <c r="S908" s="7"/>
      <c r="T908" s="15"/>
      <c r="U908" s="15"/>
      <c r="V908" s="15"/>
      <c r="W908" s="12"/>
      <c r="X908" s="7"/>
      <c r="Y908" s="12"/>
      <c r="Z908" s="12"/>
      <c r="AA908" s="12"/>
    </row>
    <row r="909" ht="19.5" customHeight="1">
      <c r="A909" s="7"/>
      <c r="B909" s="12"/>
      <c r="C909" s="12"/>
      <c r="D909" s="12"/>
      <c r="E909" s="12"/>
      <c r="F909" s="12"/>
      <c r="G909" s="12"/>
      <c r="H909" s="12"/>
      <c r="I909" s="12"/>
      <c r="J909" s="7"/>
      <c r="K909" s="12"/>
      <c r="L909" s="7"/>
      <c r="M909" s="10"/>
      <c r="N909" s="7"/>
      <c r="O909" s="7"/>
      <c r="P909" s="10"/>
      <c r="Q909" s="10"/>
      <c r="R909" s="7"/>
      <c r="S909" s="7"/>
      <c r="T909" s="15"/>
      <c r="U909" s="15"/>
      <c r="V909" s="15"/>
      <c r="W909" s="12"/>
      <c r="X909" s="7"/>
      <c r="Y909" s="12"/>
      <c r="Z909" s="12"/>
      <c r="AA909" s="12"/>
    </row>
    <row r="910" ht="19.5" customHeight="1">
      <c r="A910" s="7"/>
      <c r="B910" s="12"/>
      <c r="C910" s="12"/>
      <c r="D910" s="12"/>
      <c r="E910" s="12"/>
      <c r="F910" s="12"/>
      <c r="G910" s="12"/>
      <c r="H910" s="12"/>
      <c r="I910" s="12"/>
      <c r="J910" s="7"/>
      <c r="K910" s="12"/>
      <c r="L910" s="7"/>
      <c r="M910" s="10"/>
      <c r="N910" s="7"/>
      <c r="O910" s="7"/>
      <c r="P910" s="10"/>
      <c r="Q910" s="10"/>
      <c r="R910" s="7"/>
      <c r="S910" s="7"/>
      <c r="T910" s="15"/>
      <c r="U910" s="15"/>
      <c r="V910" s="15"/>
      <c r="W910" s="12"/>
      <c r="X910" s="7"/>
      <c r="Y910" s="12"/>
      <c r="Z910" s="12"/>
      <c r="AA910" s="12"/>
    </row>
    <row r="911" ht="19.5" customHeight="1">
      <c r="A911" s="7"/>
      <c r="B911" s="12"/>
      <c r="C911" s="12"/>
      <c r="D911" s="12"/>
      <c r="E911" s="12"/>
      <c r="F911" s="12"/>
      <c r="G911" s="12"/>
      <c r="H911" s="12"/>
      <c r="I911" s="12"/>
      <c r="J911" s="7"/>
      <c r="K911" s="12"/>
      <c r="L911" s="7"/>
      <c r="M911" s="10"/>
      <c r="N911" s="7"/>
      <c r="O911" s="7"/>
      <c r="P911" s="10"/>
      <c r="Q911" s="10"/>
      <c r="R911" s="7"/>
      <c r="S911" s="7"/>
      <c r="T911" s="15"/>
      <c r="U911" s="15"/>
      <c r="V911" s="15"/>
      <c r="W911" s="12"/>
      <c r="X911" s="7"/>
      <c r="Y911" s="12"/>
      <c r="Z911" s="12"/>
      <c r="AA911" s="12"/>
    </row>
    <row r="912" ht="19.5" customHeight="1">
      <c r="A912" s="7"/>
      <c r="B912" s="12"/>
      <c r="C912" s="12"/>
      <c r="D912" s="12"/>
      <c r="E912" s="12"/>
      <c r="F912" s="12"/>
      <c r="G912" s="12"/>
      <c r="H912" s="12"/>
      <c r="I912" s="12"/>
      <c r="J912" s="7"/>
      <c r="K912" s="12"/>
      <c r="L912" s="7"/>
      <c r="M912" s="10"/>
      <c r="N912" s="7"/>
      <c r="O912" s="7"/>
      <c r="P912" s="10"/>
      <c r="Q912" s="10"/>
      <c r="R912" s="7"/>
      <c r="S912" s="7"/>
      <c r="T912" s="15"/>
      <c r="U912" s="15"/>
      <c r="V912" s="15"/>
      <c r="W912" s="12"/>
      <c r="X912" s="7"/>
      <c r="Y912" s="12"/>
      <c r="Z912" s="12"/>
      <c r="AA912" s="12"/>
    </row>
    <row r="913" ht="19.5" customHeight="1">
      <c r="A913" s="7"/>
      <c r="B913" s="12"/>
      <c r="C913" s="12"/>
      <c r="D913" s="12"/>
      <c r="E913" s="12"/>
      <c r="F913" s="12"/>
      <c r="G913" s="12"/>
      <c r="H913" s="12"/>
      <c r="I913" s="12"/>
      <c r="J913" s="7"/>
      <c r="K913" s="12"/>
      <c r="L913" s="7"/>
      <c r="M913" s="10"/>
      <c r="N913" s="7"/>
      <c r="O913" s="7"/>
      <c r="P913" s="10"/>
      <c r="Q913" s="10"/>
      <c r="R913" s="7"/>
      <c r="S913" s="7"/>
      <c r="T913" s="15"/>
      <c r="U913" s="15"/>
      <c r="V913" s="15"/>
      <c r="W913" s="12"/>
      <c r="X913" s="7"/>
      <c r="Y913" s="12"/>
      <c r="Z913" s="12"/>
      <c r="AA913" s="12"/>
    </row>
    <row r="914" ht="19.5" customHeight="1">
      <c r="A914" s="7"/>
      <c r="B914" s="12"/>
      <c r="C914" s="12"/>
      <c r="D914" s="12"/>
      <c r="E914" s="12"/>
      <c r="F914" s="12"/>
      <c r="G914" s="12"/>
      <c r="H914" s="12"/>
      <c r="I914" s="12"/>
      <c r="J914" s="7"/>
      <c r="K914" s="12"/>
      <c r="L914" s="7"/>
      <c r="M914" s="10"/>
      <c r="N914" s="7"/>
      <c r="O914" s="7"/>
      <c r="P914" s="10"/>
      <c r="Q914" s="10"/>
      <c r="R914" s="7"/>
      <c r="S914" s="7"/>
      <c r="T914" s="15"/>
      <c r="U914" s="15"/>
      <c r="V914" s="15"/>
      <c r="W914" s="12"/>
      <c r="X914" s="7"/>
      <c r="Y914" s="12"/>
      <c r="Z914" s="12"/>
      <c r="AA914" s="12"/>
    </row>
    <row r="915" ht="19.5" customHeight="1">
      <c r="A915" s="7"/>
      <c r="B915" s="12"/>
      <c r="C915" s="12"/>
      <c r="D915" s="12"/>
      <c r="E915" s="12"/>
      <c r="F915" s="12"/>
      <c r="G915" s="12"/>
      <c r="H915" s="12"/>
      <c r="I915" s="12"/>
      <c r="J915" s="7"/>
      <c r="K915" s="12"/>
      <c r="L915" s="7"/>
      <c r="M915" s="10"/>
      <c r="N915" s="7"/>
      <c r="O915" s="7"/>
      <c r="P915" s="10"/>
      <c r="Q915" s="10"/>
      <c r="R915" s="7"/>
      <c r="S915" s="7"/>
      <c r="T915" s="15"/>
      <c r="U915" s="15"/>
      <c r="V915" s="15"/>
      <c r="W915" s="12"/>
      <c r="X915" s="7"/>
      <c r="Y915" s="12"/>
      <c r="Z915" s="12"/>
      <c r="AA915" s="12"/>
    </row>
    <row r="916" ht="19.5" customHeight="1">
      <c r="A916" s="7"/>
      <c r="B916" s="12"/>
      <c r="C916" s="12"/>
      <c r="D916" s="12"/>
      <c r="E916" s="12"/>
      <c r="F916" s="12"/>
      <c r="G916" s="12"/>
      <c r="H916" s="12"/>
      <c r="I916" s="12"/>
      <c r="J916" s="7"/>
      <c r="K916" s="12"/>
      <c r="L916" s="7"/>
      <c r="M916" s="10"/>
      <c r="N916" s="7"/>
      <c r="O916" s="7"/>
      <c r="P916" s="10"/>
      <c r="Q916" s="10"/>
      <c r="R916" s="7"/>
      <c r="S916" s="7"/>
      <c r="T916" s="15"/>
      <c r="U916" s="15"/>
      <c r="V916" s="15"/>
      <c r="W916" s="12"/>
      <c r="X916" s="7"/>
      <c r="Y916" s="12"/>
      <c r="Z916" s="12"/>
      <c r="AA916" s="12"/>
    </row>
    <row r="917" ht="19.5" customHeight="1">
      <c r="A917" s="7"/>
      <c r="B917" s="12"/>
      <c r="C917" s="12"/>
      <c r="D917" s="12"/>
      <c r="E917" s="12"/>
      <c r="F917" s="12"/>
      <c r="G917" s="12"/>
      <c r="H917" s="12"/>
      <c r="I917" s="12"/>
      <c r="J917" s="7"/>
      <c r="K917" s="12"/>
      <c r="L917" s="7"/>
      <c r="M917" s="10"/>
      <c r="N917" s="7"/>
      <c r="O917" s="7"/>
      <c r="P917" s="10"/>
      <c r="Q917" s="10"/>
      <c r="R917" s="7"/>
      <c r="S917" s="7"/>
      <c r="T917" s="15"/>
      <c r="U917" s="15"/>
      <c r="V917" s="15"/>
      <c r="W917" s="12"/>
      <c r="X917" s="7"/>
      <c r="Y917" s="12"/>
      <c r="Z917" s="12"/>
      <c r="AA917" s="12"/>
    </row>
    <row r="918" ht="19.5" customHeight="1">
      <c r="A918" s="7"/>
      <c r="B918" s="12"/>
      <c r="C918" s="12"/>
      <c r="D918" s="12"/>
      <c r="E918" s="12"/>
      <c r="F918" s="12"/>
      <c r="G918" s="12"/>
      <c r="H918" s="12"/>
      <c r="I918" s="12"/>
      <c r="J918" s="7"/>
      <c r="K918" s="12"/>
      <c r="L918" s="7"/>
      <c r="M918" s="10"/>
      <c r="N918" s="7"/>
      <c r="O918" s="7"/>
      <c r="P918" s="10"/>
      <c r="Q918" s="10"/>
      <c r="R918" s="7"/>
      <c r="S918" s="7"/>
      <c r="T918" s="15"/>
      <c r="U918" s="15"/>
      <c r="V918" s="15"/>
      <c r="W918" s="12"/>
      <c r="X918" s="7"/>
      <c r="Y918" s="12"/>
      <c r="Z918" s="12"/>
      <c r="AA918" s="12"/>
    </row>
    <row r="919" ht="19.5" customHeight="1">
      <c r="A919" s="7"/>
      <c r="B919" s="12"/>
      <c r="C919" s="12"/>
      <c r="D919" s="12"/>
      <c r="E919" s="12"/>
      <c r="F919" s="12"/>
      <c r="G919" s="12"/>
      <c r="H919" s="12"/>
      <c r="I919" s="12"/>
      <c r="J919" s="7"/>
      <c r="K919" s="12"/>
      <c r="L919" s="7"/>
      <c r="M919" s="10"/>
      <c r="N919" s="7"/>
      <c r="O919" s="7"/>
      <c r="P919" s="10"/>
      <c r="Q919" s="10"/>
      <c r="R919" s="7"/>
      <c r="S919" s="7"/>
      <c r="T919" s="15"/>
      <c r="U919" s="15"/>
      <c r="V919" s="15"/>
      <c r="W919" s="12"/>
      <c r="X919" s="7"/>
      <c r="Y919" s="12"/>
      <c r="Z919" s="12"/>
      <c r="AA919" s="12"/>
    </row>
    <row r="920" ht="19.5" customHeight="1">
      <c r="A920" s="7"/>
      <c r="B920" s="12"/>
      <c r="C920" s="12"/>
      <c r="D920" s="12"/>
      <c r="E920" s="12"/>
      <c r="F920" s="12"/>
      <c r="G920" s="12"/>
      <c r="H920" s="12"/>
      <c r="I920" s="12"/>
      <c r="J920" s="7"/>
      <c r="K920" s="12"/>
      <c r="L920" s="7"/>
      <c r="M920" s="10"/>
      <c r="N920" s="7"/>
      <c r="O920" s="7"/>
      <c r="P920" s="10"/>
      <c r="Q920" s="10"/>
      <c r="R920" s="7"/>
      <c r="S920" s="7"/>
      <c r="T920" s="15"/>
      <c r="U920" s="15"/>
      <c r="V920" s="15"/>
      <c r="W920" s="12"/>
      <c r="X920" s="7"/>
      <c r="Y920" s="12"/>
      <c r="Z920" s="12"/>
      <c r="AA920" s="12"/>
    </row>
    <row r="921" ht="19.5" customHeight="1">
      <c r="A921" s="7"/>
      <c r="B921" s="12"/>
      <c r="C921" s="12"/>
      <c r="D921" s="12"/>
      <c r="E921" s="12"/>
      <c r="F921" s="12"/>
      <c r="G921" s="12"/>
      <c r="H921" s="12"/>
      <c r="I921" s="12"/>
      <c r="J921" s="7"/>
      <c r="K921" s="12"/>
      <c r="L921" s="7"/>
      <c r="M921" s="10"/>
      <c r="N921" s="7"/>
      <c r="O921" s="7"/>
      <c r="P921" s="10"/>
      <c r="Q921" s="10"/>
      <c r="R921" s="7"/>
      <c r="S921" s="7"/>
      <c r="T921" s="15"/>
      <c r="U921" s="15"/>
      <c r="V921" s="15"/>
      <c r="W921" s="12"/>
      <c r="X921" s="7"/>
      <c r="Y921" s="12"/>
      <c r="Z921" s="12"/>
      <c r="AA921" s="12"/>
    </row>
    <row r="922" ht="19.5" customHeight="1">
      <c r="A922" s="7"/>
      <c r="B922" s="12"/>
      <c r="C922" s="12"/>
      <c r="D922" s="12"/>
      <c r="E922" s="12"/>
      <c r="F922" s="12"/>
      <c r="G922" s="12"/>
      <c r="H922" s="12"/>
      <c r="I922" s="12"/>
      <c r="J922" s="7"/>
      <c r="K922" s="12"/>
      <c r="L922" s="7"/>
      <c r="M922" s="10"/>
      <c r="N922" s="7"/>
      <c r="O922" s="7"/>
      <c r="P922" s="10"/>
      <c r="Q922" s="10"/>
      <c r="R922" s="7"/>
      <c r="S922" s="7"/>
      <c r="T922" s="15"/>
      <c r="U922" s="15"/>
      <c r="V922" s="15"/>
      <c r="W922" s="12"/>
      <c r="X922" s="7"/>
      <c r="Y922" s="12"/>
      <c r="Z922" s="12"/>
      <c r="AA922" s="12"/>
    </row>
    <row r="923" ht="19.5" customHeight="1">
      <c r="A923" s="7"/>
      <c r="B923" s="12"/>
      <c r="C923" s="12"/>
      <c r="D923" s="12"/>
      <c r="E923" s="12"/>
      <c r="F923" s="12"/>
      <c r="G923" s="12"/>
      <c r="H923" s="12"/>
      <c r="I923" s="12"/>
      <c r="J923" s="7"/>
      <c r="K923" s="12"/>
      <c r="L923" s="7"/>
      <c r="M923" s="10"/>
      <c r="N923" s="7"/>
      <c r="O923" s="7"/>
      <c r="P923" s="10"/>
      <c r="Q923" s="10"/>
      <c r="R923" s="7"/>
      <c r="S923" s="7"/>
      <c r="T923" s="15"/>
      <c r="U923" s="15"/>
      <c r="V923" s="15"/>
      <c r="W923" s="12"/>
      <c r="X923" s="7"/>
      <c r="Y923" s="12"/>
      <c r="Z923" s="12"/>
      <c r="AA923" s="12"/>
    </row>
    <row r="924" ht="19.5" customHeight="1">
      <c r="A924" s="7"/>
      <c r="B924" s="12"/>
      <c r="C924" s="12"/>
      <c r="D924" s="12"/>
      <c r="E924" s="12"/>
      <c r="F924" s="12"/>
      <c r="G924" s="12"/>
      <c r="H924" s="12"/>
      <c r="I924" s="12"/>
      <c r="J924" s="7"/>
      <c r="K924" s="12"/>
      <c r="L924" s="7"/>
      <c r="M924" s="10"/>
      <c r="N924" s="7"/>
      <c r="O924" s="7"/>
      <c r="P924" s="10"/>
      <c r="Q924" s="10"/>
      <c r="R924" s="7"/>
      <c r="S924" s="7"/>
      <c r="T924" s="15"/>
      <c r="U924" s="15"/>
      <c r="V924" s="15"/>
      <c r="W924" s="12"/>
      <c r="X924" s="7"/>
      <c r="Y924" s="12"/>
      <c r="Z924" s="12"/>
      <c r="AA924" s="12"/>
    </row>
    <row r="925" ht="19.5" customHeight="1">
      <c r="A925" s="7"/>
      <c r="B925" s="12"/>
      <c r="C925" s="12"/>
      <c r="D925" s="12"/>
      <c r="E925" s="12"/>
      <c r="F925" s="12"/>
      <c r="G925" s="12"/>
      <c r="H925" s="12"/>
      <c r="I925" s="12"/>
      <c r="J925" s="7"/>
      <c r="K925" s="12"/>
      <c r="L925" s="7"/>
      <c r="M925" s="10"/>
      <c r="N925" s="7"/>
      <c r="O925" s="7"/>
      <c r="P925" s="10"/>
      <c r="Q925" s="10"/>
      <c r="R925" s="7"/>
      <c r="S925" s="7"/>
      <c r="T925" s="15"/>
      <c r="U925" s="15"/>
      <c r="V925" s="15"/>
      <c r="W925" s="12"/>
      <c r="X925" s="7"/>
      <c r="Y925" s="12"/>
      <c r="Z925" s="12"/>
      <c r="AA925" s="12"/>
    </row>
    <row r="926" ht="19.5" customHeight="1">
      <c r="A926" s="7"/>
      <c r="B926" s="12"/>
      <c r="C926" s="12"/>
      <c r="D926" s="12"/>
      <c r="E926" s="12"/>
      <c r="F926" s="12"/>
      <c r="G926" s="12"/>
      <c r="H926" s="12"/>
      <c r="I926" s="12"/>
      <c r="J926" s="7"/>
      <c r="K926" s="12"/>
      <c r="L926" s="7"/>
      <c r="M926" s="10"/>
      <c r="N926" s="7"/>
      <c r="O926" s="7"/>
      <c r="P926" s="10"/>
      <c r="Q926" s="10"/>
      <c r="R926" s="7"/>
      <c r="S926" s="7"/>
      <c r="T926" s="15"/>
      <c r="U926" s="15"/>
      <c r="V926" s="15"/>
      <c r="W926" s="12"/>
      <c r="X926" s="7"/>
      <c r="Y926" s="12"/>
      <c r="Z926" s="12"/>
      <c r="AA926" s="12"/>
    </row>
    <row r="927" ht="19.5" customHeight="1">
      <c r="A927" s="7"/>
      <c r="B927" s="12"/>
      <c r="C927" s="12"/>
      <c r="D927" s="12"/>
      <c r="E927" s="12"/>
      <c r="F927" s="12"/>
      <c r="G927" s="12"/>
      <c r="H927" s="12"/>
      <c r="I927" s="12"/>
      <c r="J927" s="7"/>
      <c r="K927" s="12"/>
      <c r="L927" s="7"/>
      <c r="M927" s="10"/>
      <c r="N927" s="7"/>
      <c r="O927" s="7"/>
      <c r="P927" s="10"/>
      <c r="Q927" s="10"/>
      <c r="R927" s="7"/>
      <c r="S927" s="7"/>
      <c r="T927" s="15"/>
      <c r="U927" s="15"/>
      <c r="V927" s="15"/>
      <c r="W927" s="12"/>
      <c r="X927" s="7"/>
      <c r="Y927" s="12"/>
      <c r="Z927" s="12"/>
      <c r="AA927" s="12"/>
    </row>
    <row r="928" ht="19.5" customHeight="1">
      <c r="A928" s="7"/>
      <c r="B928" s="12"/>
      <c r="C928" s="12"/>
      <c r="D928" s="12"/>
      <c r="E928" s="12"/>
      <c r="F928" s="12"/>
      <c r="G928" s="12"/>
      <c r="H928" s="12"/>
      <c r="I928" s="12"/>
      <c r="J928" s="7"/>
      <c r="K928" s="12"/>
      <c r="L928" s="7"/>
      <c r="M928" s="10"/>
      <c r="N928" s="7"/>
      <c r="O928" s="7"/>
      <c r="P928" s="10"/>
      <c r="Q928" s="10"/>
      <c r="R928" s="7"/>
      <c r="S928" s="7"/>
      <c r="T928" s="15"/>
      <c r="U928" s="15"/>
      <c r="V928" s="15"/>
      <c r="W928" s="12"/>
      <c r="X928" s="7"/>
      <c r="Y928" s="12"/>
      <c r="Z928" s="12"/>
      <c r="AA928" s="12"/>
    </row>
    <row r="929" ht="19.5" customHeight="1">
      <c r="A929" s="7"/>
      <c r="B929" s="12"/>
      <c r="C929" s="12"/>
      <c r="D929" s="12"/>
      <c r="E929" s="12"/>
      <c r="F929" s="12"/>
      <c r="G929" s="12"/>
      <c r="H929" s="12"/>
      <c r="I929" s="12"/>
      <c r="J929" s="7"/>
      <c r="K929" s="12"/>
      <c r="L929" s="7"/>
      <c r="M929" s="10"/>
      <c r="N929" s="7"/>
      <c r="O929" s="7"/>
      <c r="P929" s="10"/>
      <c r="Q929" s="10"/>
      <c r="R929" s="7"/>
      <c r="S929" s="7"/>
      <c r="T929" s="15"/>
      <c r="U929" s="15"/>
      <c r="V929" s="15"/>
      <c r="W929" s="12"/>
      <c r="X929" s="7"/>
      <c r="Y929" s="12"/>
      <c r="Z929" s="12"/>
      <c r="AA929" s="12"/>
    </row>
    <row r="930" ht="19.5" customHeight="1">
      <c r="A930" s="7"/>
      <c r="B930" s="12"/>
      <c r="C930" s="12"/>
      <c r="D930" s="12"/>
      <c r="E930" s="12"/>
      <c r="F930" s="12"/>
      <c r="G930" s="12"/>
      <c r="H930" s="12"/>
      <c r="I930" s="12"/>
      <c r="J930" s="7"/>
      <c r="K930" s="12"/>
      <c r="L930" s="7"/>
      <c r="M930" s="10"/>
      <c r="N930" s="7"/>
      <c r="O930" s="7"/>
      <c r="P930" s="10"/>
      <c r="Q930" s="10"/>
      <c r="R930" s="7"/>
      <c r="S930" s="7"/>
      <c r="T930" s="15"/>
      <c r="U930" s="15"/>
      <c r="V930" s="15"/>
      <c r="W930" s="12"/>
      <c r="X930" s="7"/>
      <c r="Y930" s="12"/>
      <c r="Z930" s="12"/>
      <c r="AA930" s="12"/>
    </row>
    <row r="931" ht="19.5" customHeight="1">
      <c r="A931" s="7"/>
      <c r="B931" s="12"/>
      <c r="C931" s="12"/>
      <c r="D931" s="12"/>
      <c r="E931" s="12"/>
      <c r="F931" s="12"/>
      <c r="G931" s="12"/>
      <c r="H931" s="12"/>
      <c r="I931" s="12"/>
      <c r="J931" s="7"/>
      <c r="K931" s="12"/>
      <c r="L931" s="7"/>
      <c r="M931" s="10"/>
      <c r="N931" s="7"/>
      <c r="O931" s="7"/>
      <c r="P931" s="10"/>
      <c r="Q931" s="10"/>
      <c r="R931" s="7"/>
      <c r="S931" s="7"/>
      <c r="T931" s="15"/>
      <c r="U931" s="15"/>
      <c r="V931" s="15"/>
      <c r="W931" s="12"/>
      <c r="X931" s="7"/>
      <c r="Y931" s="12"/>
      <c r="Z931" s="12"/>
      <c r="AA931" s="12"/>
    </row>
    <row r="932" ht="19.5" customHeight="1">
      <c r="A932" s="7"/>
      <c r="B932" s="12"/>
      <c r="C932" s="12"/>
      <c r="D932" s="12"/>
      <c r="E932" s="12"/>
      <c r="F932" s="12"/>
      <c r="G932" s="12"/>
      <c r="H932" s="12"/>
      <c r="I932" s="12"/>
      <c r="J932" s="7"/>
      <c r="K932" s="12"/>
      <c r="L932" s="7"/>
      <c r="M932" s="10"/>
      <c r="N932" s="7"/>
      <c r="O932" s="7"/>
      <c r="P932" s="10"/>
      <c r="Q932" s="10"/>
      <c r="R932" s="7"/>
      <c r="S932" s="7"/>
      <c r="T932" s="15"/>
      <c r="U932" s="15"/>
      <c r="V932" s="15"/>
      <c r="W932" s="12"/>
      <c r="X932" s="7"/>
      <c r="Y932" s="12"/>
      <c r="Z932" s="12"/>
      <c r="AA932" s="12"/>
    </row>
    <row r="933" ht="19.5" customHeight="1">
      <c r="A933" s="7"/>
      <c r="B933" s="12"/>
      <c r="C933" s="12"/>
      <c r="D933" s="12"/>
      <c r="E933" s="12"/>
      <c r="F933" s="12"/>
      <c r="G933" s="12"/>
      <c r="H933" s="12"/>
      <c r="I933" s="12"/>
      <c r="J933" s="7"/>
      <c r="K933" s="12"/>
      <c r="L933" s="7"/>
      <c r="M933" s="10"/>
      <c r="N933" s="7"/>
      <c r="O933" s="7"/>
      <c r="P933" s="10"/>
      <c r="Q933" s="10"/>
      <c r="R933" s="7"/>
      <c r="S933" s="7"/>
      <c r="T933" s="15"/>
      <c r="U933" s="15"/>
      <c r="V933" s="15"/>
      <c r="W933" s="12"/>
      <c r="X933" s="7"/>
      <c r="Y933" s="12"/>
      <c r="Z933" s="12"/>
      <c r="AA933" s="12"/>
    </row>
    <row r="934" ht="19.5" customHeight="1">
      <c r="A934" s="7"/>
      <c r="B934" s="12"/>
      <c r="C934" s="12"/>
      <c r="D934" s="12"/>
      <c r="E934" s="12"/>
      <c r="F934" s="12"/>
      <c r="G934" s="12"/>
      <c r="H934" s="12"/>
      <c r="I934" s="12"/>
      <c r="J934" s="7"/>
      <c r="K934" s="12"/>
      <c r="L934" s="7"/>
      <c r="M934" s="10"/>
      <c r="N934" s="7"/>
      <c r="O934" s="7"/>
      <c r="P934" s="10"/>
      <c r="Q934" s="10"/>
      <c r="R934" s="7"/>
      <c r="S934" s="7"/>
      <c r="T934" s="15"/>
      <c r="U934" s="15"/>
      <c r="V934" s="15"/>
      <c r="W934" s="12"/>
      <c r="X934" s="7"/>
      <c r="Y934" s="12"/>
      <c r="Z934" s="12"/>
      <c r="AA934" s="12"/>
    </row>
    <row r="935" ht="19.5" customHeight="1">
      <c r="A935" s="7"/>
      <c r="B935" s="12"/>
      <c r="C935" s="12"/>
      <c r="D935" s="12"/>
      <c r="E935" s="12"/>
      <c r="F935" s="12"/>
      <c r="G935" s="12"/>
      <c r="H935" s="12"/>
      <c r="I935" s="12"/>
      <c r="J935" s="7"/>
      <c r="K935" s="12"/>
      <c r="L935" s="7"/>
      <c r="M935" s="10"/>
      <c r="N935" s="7"/>
      <c r="O935" s="7"/>
      <c r="P935" s="10"/>
      <c r="Q935" s="10"/>
      <c r="R935" s="7"/>
      <c r="S935" s="7"/>
      <c r="T935" s="15"/>
      <c r="U935" s="15"/>
      <c r="V935" s="15"/>
      <c r="W935" s="12"/>
      <c r="X935" s="7"/>
      <c r="Y935" s="12"/>
      <c r="Z935" s="12"/>
      <c r="AA935" s="12"/>
    </row>
    <row r="936" ht="19.5" customHeight="1">
      <c r="A936" s="7"/>
      <c r="B936" s="12"/>
      <c r="C936" s="12"/>
      <c r="D936" s="12"/>
      <c r="E936" s="12"/>
      <c r="F936" s="12"/>
      <c r="G936" s="12"/>
      <c r="H936" s="12"/>
      <c r="I936" s="12"/>
      <c r="J936" s="7"/>
      <c r="K936" s="12"/>
      <c r="L936" s="7"/>
      <c r="M936" s="10"/>
      <c r="N936" s="7"/>
      <c r="O936" s="7"/>
      <c r="P936" s="10"/>
      <c r="Q936" s="10"/>
      <c r="R936" s="7"/>
      <c r="S936" s="7"/>
      <c r="T936" s="15"/>
      <c r="U936" s="15"/>
      <c r="V936" s="15"/>
      <c r="W936" s="12"/>
      <c r="X936" s="7"/>
      <c r="Y936" s="12"/>
      <c r="Z936" s="12"/>
      <c r="AA936" s="12"/>
    </row>
    <row r="937" ht="19.5" customHeight="1">
      <c r="A937" s="7"/>
      <c r="B937" s="12"/>
      <c r="C937" s="12"/>
      <c r="D937" s="12"/>
      <c r="E937" s="12"/>
      <c r="F937" s="12"/>
      <c r="G937" s="12"/>
      <c r="H937" s="12"/>
      <c r="I937" s="12"/>
      <c r="J937" s="7"/>
      <c r="K937" s="12"/>
      <c r="L937" s="7"/>
      <c r="M937" s="10"/>
      <c r="N937" s="7"/>
      <c r="O937" s="7"/>
      <c r="P937" s="10"/>
      <c r="Q937" s="10"/>
      <c r="R937" s="7"/>
      <c r="S937" s="7"/>
      <c r="T937" s="15"/>
      <c r="U937" s="15"/>
      <c r="V937" s="15"/>
      <c r="W937" s="12"/>
      <c r="X937" s="7"/>
      <c r="Y937" s="12"/>
      <c r="Z937" s="12"/>
      <c r="AA937" s="12"/>
    </row>
    <row r="938" ht="19.5" customHeight="1">
      <c r="A938" s="7"/>
      <c r="B938" s="12"/>
      <c r="C938" s="12"/>
      <c r="D938" s="12"/>
      <c r="E938" s="12"/>
      <c r="F938" s="12"/>
      <c r="G938" s="12"/>
      <c r="H938" s="12"/>
      <c r="I938" s="12"/>
      <c r="J938" s="7"/>
      <c r="K938" s="12"/>
      <c r="L938" s="7"/>
      <c r="M938" s="10"/>
      <c r="N938" s="7"/>
      <c r="O938" s="7"/>
      <c r="P938" s="10"/>
      <c r="Q938" s="10"/>
      <c r="R938" s="7"/>
      <c r="S938" s="7"/>
      <c r="T938" s="15"/>
      <c r="U938" s="15"/>
      <c r="V938" s="15"/>
      <c r="W938" s="12"/>
      <c r="X938" s="7"/>
      <c r="Y938" s="12"/>
      <c r="Z938" s="12"/>
      <c r="AA938" s="12"/>
    </row>
    <row r="939" ht="19.5" customHeight="1">
      <c r="A939" s="7"/>
      <c r="B939" s="12"/>
      <c r="C939" s="12"/>
      <c r="D939" s="12"/>
      <c r="E939" s="12"/>
      <c r="F939" s="12"/>
      <c r="G939" s="12"/>
      <c r="H939" s="12"/>
      <c r="I939" s="12"/>
      <c r="J939" s="7"/>
      <c r="K939" s="12"/>
      <c r="L939" s="7"/>
      <c r="M939" s="10"/>
      <c r="N939" s="7"/>
      <c r="O939" s="7"/>
      <c r="P939" s="10"/>
      <c r="Q939" s="10"/>
      <c r="R939" s="7"/>
      <c r="S939" s="7"/>
      <c r="T939" s="15"/>
      <c r="U939" s="15"/>
      <c r="V939" s="15"/>
      <c r="W939" s="12"/>
      <c r="X939" s="7"/>
      <c r="Y939" s="12"/>
      <c r="Z939" s="12"/>
      <c r="AA939" s="12"/>
    </row>
    <row r="940" ht="19.5" customHeight="1">
      <c r="A940" s="7"/>
      <c r="B940" s="12"/>
      <c r="C940" s="12"/>
      <c r="D940" s="12"/>
      <c r="E940" s="12"/>
      <c r="F940" s="12"/>
      <c r="G940" s="12"/>
      <c r="H940" s="12"/>
      <c r="I940" s="12"/>
      <c r="J940" s="7"/>
      <c r="K940" s="12"/>
      <c r="L940" s="7"/>
      <c r="M940" s="10"/>
      <c r="N940" s="7"/>
      <c r="O940" s="7"/>
      <c r="P940" s="10"/>
      <c r="Q940" s="10"/>
      <c r="R940" s="7"/>
      <c r="S940" s="7"/>
      <c r="T940" s="15"/>
      <c r="U940" s="15"/>
      <c r="V940" s="15"/>
      <c r="W940" s="12"/>
      <c r="X940" s="7"/>
      <c r="Y940" s="12"/>
      <c r="Z940" s="12"/>
      <c r="AA940" s="12"/>
    </row>
    <row r="941" ht="19.5" customHeight="1">
      <c r="A941" s="7"/>
      <c r="B941" s="12"/>
      <c r="C941" s="12"/>
      <c r="D941" s="12"/>
      <c r="E941" s="12"/>
      <c r="F941" s="12"/>
      <c r="G941" s="12"/>
      <c r="H941" s="12"/>
      <c r="I941" s="12"/>
      <c r="J941" s="7"/>
      <c r="K941" s="12"/>
      <c r="L941" s="7"/>
      <c r="M941" s="10"/>
      <c r="N941" s="7"/>
      <c r="O941" s="7"/>
      <c r="P941" s="10"/>
      <c r="Q941" s="10"/>
      <c r="R941" s="7"/>
      <c r="S941" s="7"/>
      <c r="T941" s="15"/>
      <c r="U941" s="15"/>
      <c r="V941" s="15"/>
      <c r="W941" s="12"/>
      <c r="X941" s="7"/>
      <c r="Y941" s="12"/>
      <c r="Z941" s="12"/>
      <c r="AA941" s="12"/>
    </row>
    <row r="942" ht="19.5" customHeight="1">
      <c r="A942" s="7"/>
      <c r="B942" s="12"/>
      <c r="C942" s="12"/>
      <c r="D942" s="12"/>
      <c r="E942" s="12"/>
      <c r="F942" s="12"/>
      <c r="G942" s="12"/>
      <c r="H942" s="12"/>
      <c r="I942" s="12"/>
      <c r="J942" s="7"/>
      <c r="K942" s="12"/>
      <c r="L942" s="7"/>
      <c r="M942" s="10"/>
      <c r="N942" s="7"/>
      <c r="O942" s="7"/>
      <c r="P942" s="10"/>
      <c r="Q942" s="10"/>
      <c r="R942" s="7"/>
      <c r="S942" s="7"/>
      <c r="T942" s="15"/>
      <c r="U942" s="15"/>
      <c r="V942" s="15"/>
      <c r="W942" s="12"/>
      <c r="X942" s="7"/>
      <c r="Y942" s="12"/>
      <c r="Z942" s="12"/>
      <c r="AA942" s="12"/>
    </row>
    <row r="943" ht="19.5" customHeight="1">
      <c r="A943" s="7"/>
      <c r="B943" s="12"/>
      <c r="C943" s="12"/>
      <c r="D943" s="12"/>
      <c r="E943" s="12"/>
      <c r="F943" s="12"/>
      <c r="G943" s="12"/>
      <c r="H943" s="12"/>
      <c r="I943" s="12"/>
      <c r="J943" s="7"/>
      <c r="K943" s="12"/>
      <c r="L943" s="7"/>
      <c r="M943" s="10"/>
      <c r="N943" s="7"/>
      <c r="O943" s="7"/>
      <c r="P943" s="10"/>
      <c r="Q943" s="10"/>
      <c r="R943" s="7"/>
      <c r="S943" s="7"/>
      <c r="T943" s="15"/>
      <c r="U943" s="15"/>
      <c r="V943" s="15"/>
      <c r="W943" s="12"/>
      <c r="X943" s="7"/>
      <c r="Y943" s="12"/>
      <c r="Z943" s="12"/>
      <c r="AA943" s="12"/>
    </row>
    <row r="944" ht="19.5" customHeight="1">
      <c r="A944" s="7"/>
      <c r="B944" s="12"/>
      <c r="C944" s="12"/>
      <c r="D944" s="12"/>
      <c r="E944" s="12"/>
      <c r="F944" s="12"/>
      <c r="G944" s="12"/>
      <c r="H944" s="12"/>
      <c r="I944" s="12"/>
      <c r="J944" s="7"/>
      <c r="K944" s="12"/>
      <c r="L944" s="7"/>
      <c r="M944" s="10"/>
      <c r="N944" s="7"/>
      <c r="O944" s="7"/>
      <c r="P944" s="10"/>
      <c r="Q944" s="10"/>
      <c r="R944" s="7"/>
      <c r="S944" s="7"/>
      <c r="T944" s="15"/>
      <c r="U944" s="15"/>
      <c r="V944" s="15"/>
      <c r="W944" s="12"/>
      <c r="X944" s="7"/>
      <c r="Y944" s="12"/>
      <c r="Z944" s="12"/>
      <c r="AA944" s="12"/>
    </row>
    <row r="945" ht="19.5" customHeight="1">
      <c r="A945" s="7"/>
      <c r="B945" s="12"/>
      <c r="C945" s="12"/>
      <c r="D945" s="12"/>
      <c r="E945" s="12"/>
      <c r="F945" s="12"/>
      <c r="G945" s="12"/>
      <c r="H945" s="12"/>
      <c r="I945" s="12"/>
      <c r="J945" s="7"/>
      <c r="K945" s="12"/>
      <c r="L945" s="7"/>
      <c r="M945" s="10"/>
      <c r="N945" s="7"/>
      <c r="O945" s="7"/>
      <c r="P945" s="10"/>
      <c r="Q945" s="10"/>
      <c r="R945" s="7"/>
      <c r="S945" s="7"/>
      <c r="T945" s="15"/>
      <c r="U945" s="15"/>
      <c r="V945" s="15"/>
      <c r="W945" s="12"/>
      <c r="X945" s="7"/>
      <c r="Y945" s="12"/>
      <c r="Z945" s="12"/>
      <c r="AA945" s="12"/>
    </row>
    <row r="946" ht="19.5" customHeight="1">
      <c r="A946" s="7"/>
      <c r="B946" s="12"/>
      <c r="C946" s="12"/>
      <c r="D946" s="12"/>
      <c r="E946" s="12"/>
      <c r="F946" s="12"/>
      <c r="G946" s="12"/>
      <c r="H946" s="12"/>
      <c r="I946" s="12"/>
      <c r="J946" s="7"/>
      <c r="K946" s="12"/>
      <c r="L946" s="7"/>
      <c r="M946" s="10"/>
      <c r="N946" s="7"/>
      <c r="O946" s="7"/>
      <c r="P946" s="10"/>
      <c r="Q946" s="10"/>
      <c r="R946" s="7"/>
      <c r="S946" s="7"/>
      <c r="T946" s="15"/>
      <c r="U946" s="15"/>
      <c r="V946" s="15"/>
      <c r="W946" s="12"/>
      <c r="X946" s="7"/>
      <c r="Y946" s="12"/>
      <c r="Z946" s="12"/>
      <c r="AA946" s="12"/>
    </row>
    <row r="947" ht="19.5" customHeight="1">
      <c r="A947" s="7"/>
      <c r="B947" s="12"/>
      <c r="C947" s="12"/>
      <c r="D947" s="12"/>
      <c r="E947" s="12"/>
      <c r="F947" s="12"/>
      <c r="G947" s="12"/>
      <c r="H947" s="12"/>
      <c r="I947" s="12"/>
      <c r="J947" s="7"/>
      <c r="K947" s="12"/>
      <c r="L947" s="7"/>
      <c r="M947" s="10"/>
      <c r="N947" s="7"/>
      <c r="O947" s="7"/>
      <c r="P947" s="10"/>
      <c r="Q947" s="10"/>
      <c r="R947" s="7"/>
      <c r="S947" s="7"/>
      <c r="T947" s="15"/>
      <c r="U947" s="15"/>
      <c r="V947" s="15"/>
      <c r="W947" s="12"/>
      <c r="X947" s="7"/>
      <c r="Y947" s="12"/>
      <c r="Z947" s="12"/>
      <c r="AA947" s="12"/>
    </row>
    <row r="948" ht="19.5" customHeight="1">
      <c r="A948" s="7"/>
      <c r="B948" s="12"/>
      <c r="C948" s="12"/>
      <c r="D948" s="12"/>
      <c r="E948" s="12"/>
      <c r="F948" s="12"/>
      <c r="G948" s="12"/>
      <c r="H948" s="12"/>
      <c r="I948" s="12"/>
      <c r="J948" s="7"/>
      <c r="K948" s="12"/>
      <c r="L948" s="7"/>
      <c r="M948" s="10"/>
      <c r="N948" s="7"/>
      <c r="O948" s="7"/>
      <c r="P948" s="10"/>
      <c r="Q948" s="10"/>
      <c r="R948" s="7"/>
      <c r="S948" s="7"/>
      <c r="T948" s="15"/>
      <c r="U948" s="15"/>
      <c r="V948" s="15"/>
      <c r="W948" s="12"/>
      <c r="X948" s="7"/>
      <c r="Y948" s="12"/>
      <c r="Z948" s="12"/>
      <c r="AA948" s="12"/>
    </row>
    <row r="949" ht="19.5" customHeight="1">
      <c r="A949" s="7"/>
      <c r="B949" s="12"/>
      <c r="C949" s="12"/>
      <c r="D949" s="12"/>
      <c r="E949" s="12"/>
      <c r="F949" s="12"/>
      <c r="G949" s="12"/>
      <c r="H949" s="12"/>
      <c r="I949" s="12"/>
      <c r="J949" s="7"/>
      <c r="K949" s="12"/>
      <c r="L949" s="7"/>
      <c r="M949" s="10"/>
      <c r="N949" s="7"/>
      <c r="O949" s="7"/>
      <c r="P949" s="10"/>
      <c r="Q949" s="10"/>
      <c r="R949" s="7"/>
      <c r="S949" s="7"/>
      <c r="T949" s="15"/>
      <c r="U949" s="15"/>
      <c r="V949" s="15"/>
      <c r="W949" s="12"/>
      <c r="X949" s="7"/>
      <c r="Y949" s="12"/>
      <c r="Z949" s="12"/>
      <c r="AA949" s="12"/>
    </row>
    <row r="950" ht="19.5" customHeight="1">
      <c r="A950" s="7"/>
      <c r="B950" s="12"/>
      <c r="C950" s="12"/>
      <c r="D950" s="12"/>
      <c r="E950" s="12"/>
      <c r="F950" s="12"/>
      <c r="G950" s="12"/>
      <c r="H950" s="12"/>
      <c r="I950" s="12"/>
      <c r="J950" s="7"/>
      <c r="K950" s="12"/>
      <c r="L950" s="7"/>
      <c r="M950" s="10"/>
      <c r="N950" s="7"/>
      <c r="O950" s="7"/>
      <c r="P950" s="10"/>
      <c r="Q950" s="10"/>
      <c r="R950" s="7"/>
      <c r="S950" s="7"/>
      <c r="T950" s="15"/>
      <c r="U950" s="15"/>
      <c r="V950" s="15"/>
      <c r="W950" s="12"/>
      <c r="X950" s="7"/>
      <c r="Y950" s="12"/>
      <c r="Z950" s="12"/>
      <c r="AA950" s="12"/>
    </row>
    <row r="951" ht="19.5" customHeight="1">
      <c r="A951" s="7"/>
      <c r="B951" s="12"/>
      <c r="C951" s="12"/>
      <c r="D951" s="12"/>
      <c r="E951" s="12"/>
      <c r="F951" s="12"/>
      <c r="G951" s="12"/>
      <c r="H951" s="12"/>
      <c r="I951" s="12"/>
      <c r="J951" s="7"/>
      <c r="K951" s="12"/>
      <c r="L951" s="7"/>
      <c r="M951" s="10"/>
      <c r="N951" s="7"/>
      <c r="O951" s="7"/>
      <c r="P951" s="10"/>
      <c r="Q951" s="10"/>
      <c r="R951" s="7"/>
      <c r="S951" s="7"/>
      <c r="T951" s="15"/>
      <c r="U951" s="15"/>
      <c r="V951" s="15"/>
      <c r="W951" s="12"/>
      <c r="X951" s="7"/>
      <c r="Y951" s="12"/>
      <c r="Z951" s="12"/>
      <c r="AA951" s="12"/>
    </row>
    <row r="952" ht="19.5" customHeight="1">
      <c r="A952" s="7"/>
      <c r="B952" s="12"/>
      <c r="C952" s="12"/>
      <c r="D952" s="12"/>
      <c r="E952" s="12"/>
      <c r="F952" s="12"/>
      <c r="G952" s="12"/>
      <c r="H952" s="12"/>
      <c r="I952" s="12"/>
      <c r="J952" s="7"/>
      <c r="K952" s="12"/>
      <c r="L952" s="7"/>
      <c r="M952" s="10"/>
      <c r="N952" s="7"/>
      <c r="O952" s="7"/>
      <c r="P952" s="10"/>
      <c r="Q952" s="10"/>
      <c r="R952" s="7"/>
      <c r="S952" s="7"/>
      <c r="T952" s="15"/>
      <c r="U952" s="15"/>
      <c r="V952" s="15"/>
      <c r="W952" s="12"/>
      <c r="X952" s="7"/>
      <c r="Y952" s="12"/>
      <c r="Z952" s="12"/>
      <c r="AA952" s="12"/>
    </row>
    <row r="953" ht="19.5" customHeight="1">
      <c r="A953" s="7"/>
      <c r="B953" s="12"/>
      <c r="C953" s="12"/>
      <c r="D953" s="12"/>
      <c r="E953" s="12"/>
      <c r="F953" s="12"/>
      <c r="G953" s="12"/>
      <c r="H953" s="12"/>
      <c r="I953" s="12"/>
      <c r="J953" s="7"/>
      <c r="K953" s="12"/>
      <c r="L953" s="7"/>
      <c r="M953" s="10"/>
      <c r="N953" s="7"/>
      <c r="O953" s="7"/>
      <c r="P953" s="10"/>
      <c r="Q953" s="10"/>
      <c r="R953" s="7"/>
      <c r="S953" s="7"/>
      <c r="T953" s="15"/>
      <c r="U953" s="15"/>
      <c r="V953" s="15"/>
      <c r="W953" s="12"/>
      <c r="X953" s="7"/>
      <c r="Y953" s="12"/>
      <c r="Z953" s="12"/>
      <c r="AA953" s="12"/>
    </row>
    <row r="954" ht="19.5" customHeight="1">
      <c r="A954" s="7"/>
      <c r="B954" s="12"/>
      <c r="C954" s="12"/>
      <c r="D954" s="12"/>
      <c r="E954" s="12"/>
      <c r="F954" s="12"/>
      <c r="G954" s="12"/>
      <c r="H954" s="12"/>
      <c r="I954" s="12"/>
      <c r="J954" s="7"/>
      <c r="K954" s="12"/>
      <c r="L954" s="7"/>
      <c r="M954" s="10"/>
      <c r="N954" s="7"/>
      <c r="O954" s="7"/>
      <c r="P954" s="10"/>
      <c r="Q954" s="10"/>
      <c r="R954" s="7"/>
      <c r="S954" s="7"/>
      <c r="T954" s="15"/>
      <c r="U954" s="15"/>
      <c r="V954" s="15"/>
      <c r="W954" s="12"/>
      <c r="X954" s="7"/>
      <c r="Y954" s="12"/>
      <c r="Z954" s="12"/>
      <c r="AA954" s="12"/>
    </row>
    <row r="955" ht="19.5" customHeight="1">
      <c r="A955" s="7"/>
      <c r="B955" s="12"/>
      <c r="C955" s="12"/>
      <c r="D955" s="12"/>
      <c r="E955" s="12"/>
      <c r="F955" s="12"/>
      <c r="G955" s="12"/>
      <c r="H955" s="12"/>
      <c r="I955" s="12"/>
      <c r="J955" s="7"/>
      <c r="K955" s="12"/>
      <c r="L955" s="7"/>
      <c r="M955" s="10"/>
      <c r="N955" s="7"/>
      <c r="O955" s="7"/>
      <c r="P955" s="10"/>
      <c r="Q955" s="10"/>
      <c r="R955" s="7"/>
      <c r="S955" s="7"/>
      <c r="T955" s="15"/>
      <c r="U955" s="15"/>
      <c r="V955" s="15"/>
      <c r="W955" s="12"/>
      <c r="X955" s="7"/>
      <c r="Y955" s="12"/>
      <c r="Z955" s="12"/>
      <c r="AA955" s="12"/>
    </row>
    <row r="956" ht="19.5" customHeight="1">
      <c r="A956" s="7"/>
      <c r="B956" s="12"/>
      <c r="C956" s="12"/>
      <c r="D956" s="12"/>
      <c r="E956" s="12"/>
      <c r="F956" s="12"/>
      <c r="G956" s="12"/>
      <c r="H956" s="12"/>
      <c r="I956" s="12"/>
      <c r="J956" s="7"/>
      <c r="K956" s="12"/>
      <c r="L956" s="7"/>
      <c r="M956" s="10"/>
      <c r="N956" s="7"/>
      <c r="O956" s="7"/>
      <c r="P956" s="10"/>
      <c r="Q956" s="10"/>
      <c r="R956" s="7"/>
      <c r="S956" s="7"/>
      <c r="T956" s="15"/>
      <c r="U956" s="15"/>
      <c r="V956" s="15"/>
      <c r="W956" s="12"/>
      <c r="X956" s="7"/>
      <c r="Y956" s="12"/>
      <c r="Z956" s="12"/>
      <c r="AA956" s="12"/>
    </row>
    <row r="957" ht="19.5" customHeight="1">
      <c r="A957" s="7"/>
      <c r="B957" s="12"/>
      <c r="C957" s="12"/>
      <c r="D957" s="12"/>
      <c r="E957" s="12"/>
      <c r="F957" s="12"/>
      <c r="G957" s="12"/>
      <c r="H957" s="12"/>
      <c r="I957" s="12"/>
      <c r="J957" s="7"/>
      <c r="K957" s="12"/>
      <c r="L957" s="7"/>
      <c r="M957" s="10"/>
      <c r="N957" s="7"/>
      <c r="O957" s="7"/>
      <c r="P957" s="10"/>
      <c r="Q957" s="10"/>
      <c r="R957" s="7"/>
      <c r="S957" s="7"/>
      <c r="T957" s="15"/>
      <c r="U957" s="15"/>
      <c r="V957" s="15"/>
      <c r="W957" s="12"/>
      <c r="X957" s="7"/>
      <c r="Y957" s="12"/>
      <c r="Z957" s="12"/>
      <c r="AA957" s="12"/>
    </row>
    <row r="958" ht="19.5" customHeight="1">
      <c r="A958" s="7"/>
      <c r="B958" s="12"/>
      <c r="C958" s="12"/>
      <c r="D958" s="12"/>
      <c r="E958" s="12"/>
      <c r="F958" s="12"/>
      <c r="G958" s="12"/>
      <c r="H958" s="12"/>
      <c r="I958" s="12"/>
      <c r="J958" s="7"/>
      <c r="K958" s="12"/>
      <c r="L958" s="7"/>
      <c r="M958" s="10"/>
      <c r="N958" s="7"/>
      <c r="O958" s="7"/>
      <c r="P958" s="10"/>
      <c r="Q958" s="10"/>
      <c r="R958" s="7"/>
      <c r="S958" s="7"/>
      <c r="T958" s="15"/>
      <c r="U958" s="15"/>
      <c r="V958" s="15"/>
      <c r="W958" s="12"/>
      <c r="X958" s="7"/>
      <c r="Y958" s="12"/>
      <c r="Z958" s="12"/>
      <c r="AA958" s="12"/>
    </row>
    <row r="959" ht="19.5" customHeight="1">
      <c r="A959" s="7"/>
      <c r="B959" s="12"/>
      <c r="C959" s="12"/>
      <c r="D959" s="12"/>
      <c r="E959" s="12"/>
      <c r="F959" s="12"/>
      <c r="G959" s="12"/>
      <c r="H959" s="12"/>
      <c r="I959" s="12"/>
      <c r="J959" s="7"/>
      <c r="K959" s="12"/>
      <c r="L959" s="7"/>
      <c r="M959" s="10"/>
      <c r="N959" s="7"/>
      <c r="O959" s="7"/>
      <c r="P959" s="10"/>
      <c r="Q959" s="10"/>
      <c r="R959" s="7"/>
      <c r="S959" s="7"/>
      <c r="T959" s="15"/>
      <c r="U959" s="15"/>
      <c r="V959" s="15"/>
      <c r="W959" s="12"/>
      <c r="X959" s="7"/>
      <c r="Y959" s="12"/>
      <c r="Z959" s="12"/>
      <c r="AA959" s="12"/>
    </row>
    <row r="960" ht="19.5" customHeight="1">
      <c r="A960" s="7"/>
      <c r="B960" s="12"/>
      <c r="C960" s="12"/>
      <c r="D960" s="12"/>
      <c r="E960" s="12"/>
      <c r="F960" s="12"/>
      <c r="G960" s="12"/>
      <c r="H960" s="12"/>
      <c r="I960" s="12"/>
      <c r="J960" s="7"/>
      <c r="K960" s="12"/>
      <c r="L960" s="7"/>
      <c r="M960" s="10"/>
      <c r="N960" s="7"/>
      <c r="O960" s="7"/>
      <c r="P960" s="10"/>
      <c r="Q960" s="10"/>
      <c r="R960" s="7"/>
      <c r="S960" s="7"/>
      <c r="T960" s="15"/>
      <c r="U960" s="15"/>
      <c r="V960" s="15"/>
      <c r="W960" s="12"/>
      <c r="X960" s="7"/>
      <c r="Y960" s="12"/>
      <c r="Z960" s="12"/>
      <c r="AA960" s="12"/>
    </row>
    <row r="961" ht="19.5" customHeight="1">
      <c r="A961" s="7"/>
      <c r="B961" s="12"/>
      <c r="C961" s="12"/>
      <c r="D961" s="12"/>
      <c r="E961" s="12"/>
      <c r="F961" s="12"/>
      <c r="G961" s="12"/>
      <c r="H961" s="12"/>
      <c r="I961" s="12"/>
      <c r="J961" s="7"/>
      <c r="K961" s="12"/>
      <c r="L961" s="7"/>
      <c r="M961" s="10"/>
      <c r="N961" s="7"/>
      <c r="O961" s="7"/>
      <c r="P961" s="10"/>
      <c r="Q961" s="10"/>
      <c r="R961" s="7"/>
      <c r="S961" s="7"/>
      <c r="T961" s="15"/>
      <c r="U961" s="15"/>
      <c r="V961" s="15"/>
      <c r="W961" s="12"/>
      <c r="X961" s="7"/>
      <c r="Y961" s="12"/>
      <c r="Z961" s="12"/>
      <c r="AA961" s="12"/>
    </row>
    <row r="962" ht="19.5" customHeight="1">
      <c r="A962" s="7"/>
      <c r="B962" s="12"/>
      <c r="C962" s="12"/>
      <c r="D962" s="12"/>
      <c r="E962" s="12"/>
      <c r="F962" s="12"/>
      <c r="G962" s="12"/>
      <c r="H962" s="12"/>
      <c r="I962" s="12"/>
      <c r="J962" s="7"/>
      <c r="K962" s="12"/>
      <c r="L962" s="7"/>
      <c r="M962" s="10"/>
      <c r="N962" s="7"/>
      <c r="O962" s="7"/>
      <c r="P962" s="10"/>
      <c r="Q962" s="10"/>
      <c r="R962" s="7"/>
      <c r="S962" s="7"/>
      <c r="T962" s="15"/>
      <c r="U962" s="15"/>
      <c r="V962" s="15"/>
      <c r="W962" s="12"/>
      <c r="X962" s="7"/>
      <c r="Y962" s="12"/>
      <c r="Z962" s="12"/>
      <c r="AA962" s="12"/>
    </row>
    <row r="963" ht="19.5" customHeight="1">
      <c r="A963" s="7"/>
      <c r="B963" s="12"/>
      <c r="C963" s="12"/>
      <c r="D963" s="12"/>
      <c r="E963" s="12"/>
      <c r="F963" s="12"/>
      <c r="G963" s="12"/>
      <c r="H963" s="12"/>
      <c r="I963" s="12"/>
      <c r="J963" s="7"/>
      <c r="K963" s="12"/>
      <c r="L963" s="7"/>
      <c r="M963" s="10"/>
      <c r="N963" s="7"/>
      <c r="O963" s="7"/>
      <c r="P963" s="10"/>
      <c r="Q963" s="10"/>
      <c r="R963" s="7"/>
      <c r="S963" s="7"/>
      <c r="T963" s="15"/>
      <c r="U963" s="15"/>
      <c r="V963" s="15"/>
      <c r="W963" s="12"/>
      <c r="X963" s="7"/>
      <c r="Y963" s="12"/>
      <c r="Z963" s="12"/>
      <c r="AA963" s="12"/>
    </row>
    <row r="964" ht="19.5" customHeight="1">
      <c r="A964" s="7"/>
      <c r="B964" s="12"/>
      <c r="C964" s="12"/>
      <c r="D964" s="12"/>
      <c r="E964" s="12"/>
      <c r="F964" s="12"/>
      <c r="G964" s="12"/>
      <c r="H964" s="12"/>
      <c r="I964" s="12"/>
      <c r="J964" s="7"/>
      <c r="K964" s="12"/>
      <c r="L964" s="7"/>
      <c r="M964" s="10"/>
      <c r="N964" s="7"/>
      <c r="O964" s="7"/>
      <c r="P964" s="10"/>
      <c r="Q964" s="10"/>
      <c r="R964" s="7"/>
      <c r="S964" s="7"/>
      <c r="T964" s="15"/>
      <c r="U964" s="15"/>
      <c r="V964" s="15"/>
      <c r="W964" s="12"/>
      <c r="X964" s="7"/>
      <c r="Y964" s="12"/>
      <c r="Z964" s="12"/>
      <c r="AA964" s="12"/>
    </row>
    <row r="965" ht="19.5" customHeight="1">
      <c r="A965" s="7"/>
      <c r="B965" s="12"/>
      <c r="C965" s="12"/>
      <c r="D965" s="12"/>
      <c r="E965" s="12"/>
      <c r="F965" s="12"/>
      <c r="G965" s="12"/>
      <c r="H965" s="12"/>
      <c r="I965" s="12"/>
      <c r="J965" s="7"/>
      <c r="K965" s="12"/>
      <c r="L965" s="7"/>
      <c r="M965" s="10"/>
      <c r="N965" s="7"/>
      <c r="O965" s="7"/>
      <c r="P965" s="10"/>
      <c r="Q965" s="10"/>
      <c r="R965" s="7"/>
      <c r="S965" s="7"/>
      <c r="T965" s="15"/>
      <c r="U965" s="15"/>
      <c r="V965" s="15"/>
      <c r="W965" s="12"/>
      <c r="X965" s="7"/>
      <c r="Y965" s="12"/>
      <c r="Z965" s="12"/>
      <c r="AA965" s="12"/>
    </row>
    <row r="966" ht="19.5" customHeight="1">
      <c r="A966" s="7"/>
      <c r="B966" s="12"/>
      <c r="C966" s="12"/>
      <c r="D966" s="12"/>
      <c r="E966" s="12"/>
      <c r="F966" s="12"/>
      <c r="G966" s="12"/>
      <c r="H966" s="12"/>
      <c r="I966" s="12"/>
      <c r="J966" s="7"/>
      <c r="K966" s="12"/>
      <c r="L966" s="7"/>
      <c r="M966" s="10"/>
      <c r="N966" s="7"/>
      <c r="O966" s="7"/>
      <c r="P966" s="10"/>
      <c r="Q966" s="10"/>
      <c r="R966" s="7"/>
      <c r="S966" s="7"/>
      <c r="T966" s="15"/>
      <c r="U966" s="15"/>
      <c r="V966" s="15"/>
      <c r="W966" s="12"/>
      <c r="X966" s="7"/>
      <c r="Y966" s="12"/>
      <c r="Z966" s="12"/>
      <c r="AA966" s="12"/>
    </row>
    <row r="967" ht="19.5" customHeight="1">
      <c r="A967" s="7"/>
      <c r="B967" s="12"/>
      <c r="C967" s="12"/>
      <c r="D967" s="12"/>
      <c r="E967" s="12"/>
      <c r="F967" s="12"/>
      <c r="G967" s="12"/>
      <c r="H967" s="12"/>
      <c r="I967" s="12"/>
      <c r="J967" s="7"/>
      <c r="K967" s="12"/>
      <c r="L967" s="7"/>
      <c r="M967" s="10"/>
      <c r="N967" s="7"/>
      <c r="O967" s="7"/>
      <c r="P967" s="10"/>
      <c r="Q967" s="10"/>
      <c r="R967" s="7"/>
      <c r="S967" s="7"/>
      <c r="T967" s="15"/>
      <c r="U967" s="15"/>
      <c r="V967" s="15"/>
      <c r="W967" s="12"/>
      <c r="X967" s="7"/>
      <c r="Y967" s="12"/>
      <c r="Z967" s="12"/>
      <c r="AA967" s="12"/>
    </row>
    <row r="968" ht="19.5" customHeight="1">
      <c r="A968" s="7"/>
      <c r="B968" s="12"/>
      <c r="C968" s="12"/>
      <c r="D968" s="12"/>
      <c r="E968" s="12"/>
      <c r="F968" s="12"/>
      <c r="G968" s="12"/>
      <c r="H968" s="12"/>
      <c r="I968" s="12"/>
      <c r="J968" s="7"/>
      <c r="K968" s="12"/>
      <c r="L968" s="7"/>
      <c r="M968" s="10"/>
      <c r="N968" s="7"/>
      <c r="O968" s="7"/>
      <c r="P968" s="10"/>
      <c r="Q968" s="10"/>
      <c r="R968" s="7"/>
      <c r="S968" s="7"/>
      <c r="T968" s="15"/>
      <c r="U968" s="15"/>
      <c r="V968" s="15"/>
      <c r="W968" s="12"/>
      <c r="X968" s="7"/>
      <c r="Y968" s="12"/>
      <c r="Z968" s="12"/>
      <c r="AA968" s="12"/>
    </row>
    <row r="969" ht="19.5" customHeight="1">
      <c r="A969" s="7"/>
      <c r="B969" s="12"/>
      <c r="C969" s="12"/>
      <c r="D969" s="12"/>
      <c r="E969" s="12"/>
      <c r="F969" s="12"/>
      <c r="G969" s="12"/>
      <c r="H969" s="12"/>
      <c r="I969" s="12"/>
      <c r="J969" s="7"/>
      <c r="K969" s="12"/>
      <c r="L969" s="7"/>
      <c r="M969" s="10"/>
      <c r="N969" s="7"/>
      <c r="O969" s="7"/>
      <c r="P969" s="10"/>
      <c r="Q969" s="10"/>
      <c r="R969" s="7"/>
      <c r="S969" s="7"/>
      <c r="T969" s="15"/>
      <c r="U969" s="15"/>
      <c r="V969" s="15"/>
      <c r="W969" s="12"/>
      <c r="X969" s="7"/>
      <c r="Y969" s="12"/>
      <c r="Z969" s="12"/>
      <c r="AA969" s="12"/>
    </row>
    <row r="970" ht="19.5" customHeight="1">
      <c r="A970" s="7"/>
      <c r="B970" s="12"/>
      <c r="C970" s="12"/>
      <c r="D970" s="12"/>
      <c r="E970" s="12"/>
      <c r="F970" s="12"/>
      <c r="G970" s="12"/>
      <c r="H970" s="12"/>
      <c r="I970" s="12"/>
      <c r="J970" s="7"/>
      <c r="K970" s="12"/>
      <c r="L970" s="7"/>
      <c r="M970" s="10"/>
      <c r="N970" s="7"/>
      <c r="O970" s="7"/>
      <c r="P970" s="10"/>
      <c r="Q970" s="10"/>
      <c r="R970" s="7"/>
      <c r="S970" s="7"/>
      <c r="T970" s="15"/>
      <c r="U970" s="15"/>
      <c r="V970" s="15"/>
      <c r="W970" s="12"/>
      <c r="X970" s="7"/>
      <c r="Y970" s="12"/>
      <c r="Z970" s="12"/>
      <c r="AA970" s="12"/>
    </row>
    <row r="971" ht="19.5" customHeight="1">
      <c r="A971" s="7"/>
      <c r="B971" s="12"/>
      <c r="C971" s="12"/>
      <c r="D971" s="12"/>
      <c r="E971" s="12"/>
      <c r="F971" s="12"/>
      <c r="G971" s="12"/>
      <c r="H971" s="12"/>
      <c r="I971" s="12"/>
      <c r="J971" s="7"/>
      <c r="K971" s="12"/>
      <c r="L971" s="7"/>
      <c r="M971" s="10"/>
      <c r="N971" s="7"/>
      <c r="O971" s="7"/>
      <c r="P971" s="10"/>
      <c r="Q971" s="10"/>
      <c r="R971" s="7"/>
      <c r="S971" s="7"/>
      <c r="T971" s="15"/>
      <c r="U971" s="15"/>
      <c r="V971" s="15"/>
      <c r="W971" s="12"/>
      <c r="X971" s="7"/>
      <c r="Y971" s="12"/>
      <c r="Z971" s="12"/>
      <c r="AA971" s="12"/>
    </row>
    <row r="972" ht="19.5" customHeight="1">
      <c r="A972" s="7"/>
      <c r="B972" s="12"/>
      <c r="C972" s="12"/>
      <c r="D972" s="12"/>
      <c r="E972" s="12"/>
      <c r="F972" s="12"/>
      <c r="G972" s="12"/>
      <c r="H972" s="12"/>
      <c r="I972" s="12"/>
      <c r="J972" s="7"/>
      <c r="K972" s="12"/>
      <c r="L972" s="7"/>
      <c r="M972" s="10"/>
      <c r="N972" s="7"/>
      <c r="O972" s="7"/>
      <c r="P972" s="10"/>
      <c r="Q972" s="10"/>
      <c r="R972" s="7"/>
      <c r="S972" s="7"/>
      <c r="T972" s="15"/>
      <c r="U972" s="15"/>
      <c r="V972" s="15"/>
      <c r="W972" s="12"/>
      <c r="X972" s="7"/>
      <c r="Y972" s="12"/>
      <c r="Z972" s="12"/>
      <c r="AA972" s="12"/>
    </row>
    <row r="973" ht="19.5" customHeight="1">
      <c r="A973" s="7"/>
      <c r="B973" s="12"/>
      <c r="C973" s="12"/>
      <c r="D973" s="12"/>
      <c r="E973" s="12"/>
      <c r="F973" s="12"/>
      <c r="G973" s="12"/>
      <c r="H973" s="12"/>
      <c r="I973" s="12"/>
      <c r="J973" s="7"/>
      <c r="K973" s="12"/>
      <c r="L973" s="7"/>
      <c r="M973" s="10"/>
      <c r="N973" s="7"/>
      <c r="O973" s="7"/>
      <c r="P973" s="10"/>
      <c r="Q973" s="10"/>
      <c r="R973" s="7"/>
      <c r="S973" s="7"/>
      <c r="T973" s="15"/>
      <c r="U973" s="15"/>
      <c r="V973" s="15"/>
      <c r="W973" s="12"/>
      <c r="X973" s="7"/>
      <c r="Y973" s="12"/>
      <c r="Z973" s="12"/>
      <c r="AA973" s="12"/>
    </row>
    <row r="974" ht="19.5" customHeight="1">
      <c r="A974" s="7"/>
      <c r="B974" s="12"/>
      <c r="C974" s="12"/>
      <c r="D974" s="12"/>
      <c r="E974" s="12"/>
      <c r="F974" s="12"/>
      <c r="G974" s="12"/>
      <c r="H974" s="12"/>
      <c r="I974" s="12"/>
      <c r="J974" s="7"/>
      <c r="K974" s="12"/>
      <c r="L974" s="7"/>
      <c r="M974" s="10"/>
      <c r="N974" s="7"/>
      <c r="O974" s="7"/>
      <c r="P974" s="10"/>
      <c r="Q974" s="10"/>
      <c r="R974" s="7"/>
      <c r="S974" s="7"/>
      <c r="T974" s="15"/>
      <c r="U974" s="15"/>
      <c r="V974" s="15"/>
      <c r="W974" s="12"/>
      <c r="X974" s="7"/>
      <c r="Y974" s="12"/>
      <c r="Z974" s="12"/>
      <c r="AA974" s="12"/>
    </row>
    <row r="975" ht="19.5" customHeight="1">
      <c r="A975" s="7"/>
      <c r="B975" s="12"/>
      <c r="C975" s="12"/>
      <c r="D975" s="12"/>
      <c r="E975" s="12"/>
      <c r="F975" s="12"/>
      <c r="G975" s="12"/>
      <c r="H975" s="12"/>
      <c r="I975" s="12"/>
      <c r="J975" s="7"/>
      <c r="K975" s="12"/>
      <c r="L975" s="7"/>
      <c r="M975" s="10"/>
      <c r="N975" s="7"/>
      <c r="O975" s="7"/>
      <c r="P975" s="10"/>
      <c r="Q975" s="10"/>
      <c r="R975" s="7"/>
      <c r="S975" s="7"/>
      <c r="T975" s="15"/>
      <c r="U975" s="15"/>
      <c r="V975" s="15"/>
      <c r="W975" s="12"/>
      <c r="X975" s="7"/>
      <c r="Y975" s="12"/>
      <c r="Z975" s="12"/>
      <c r="AA975" s="12"/>
    </row>
    <row r="976" ht="19.5" customHeight="1">
      <c r="A976" s="7"/>
      <c r="B976" s="12"/>
      <c r="C976" s="12"/>
      <c r="D976" s="12"/>
      <c r="E976" s="12"/>
      <c r="F976" s="12"/>
      <c r="G976" s="12"/>
      <c r="H976" s="12"/>
      <c r="I976" s="12"/>
      <c r="J976" s="7"/>
      <c r="K976" s="12"/>
      <c r="L976" s="7"/>
      <c r="M976" s="10"/>
      <c r="N976" s="7"/>
      <c r="O976" s="7"/>
      <c r="P976" s="10"/>
      <c r="Q976" s="10"/>
      <c r="R976" s="7"/>
      <c r="S976" s="7"/>
      <c r="T976" s="15"/>
      <c r="U976" s="15"/>
      <c r="V976" s="15"/>
      <c r="W976" s="12"/>
      <c r="X976" s="7"/>
      <c r="Y976" s="12"/>
      <c r="Z976" s="12"/>
      <c r="AA976" s="12"/>
    </row>
    <row r="977" ht="19.5" customHeight="1">
      <c r="A977" s="7"/>
      <c r="B977" s="12"/>
      <c r="C977" s="12"/>
      <c r="D977" s="12"/>
      <c r="E977" s="12"/>
      <c r="F977" s="12"/>
      <c r="G977" s="12"/>
      <c r="H977" s="12"/>
      <c r="I977" s="12"/>
      <c r="J977" s="7"/>
      <c r="K977" s="12"/>
      <c r="L977" s="7"/>
      <c r="M977" s="10"/>
      <c r="N977" s="7"/>
      <c r="O977" s="7"/>
      <c r="P977" s="10"/>
      <c r="Q977" s="10"/>
      <c r="R977" s="7"/>
      <c r="S977" s="7"/>
      <c r="T977" s="15"/>
      <c r="U977" s="15"/>
      <c r="V977" s="15"/>
      <c r="W977" s="12"/>
      <c r="X977" s="7"/>
      <c r="Y977" s="12"/>
      <c r="Z977" s="12"/>
      <c r="AA977" s="12"/>
    </row>
    <row r="978" ht="19.5" customHeight="1">
      <c r="A978" s="7"/>
      <c r="B978" s="12"/>
      <c r="C978" s="12"/>
      <c r="D978" s="12"/>
      <c r="E978" s="12"/>
      <c r="F978" s="12"/>
      <c r="G978" s="12"/>
      <c r="H978" s="12"/>
      <c r="I978" s="12"/>
      <c r="J978" s="7"/>
      <c r="K978" s="12"/>
      <c r="L978" s="7"/>
      <c r="M978" s="10"/>
      <c r="N978" s="7"/>
      <c r="O978" s="7"/>
      <c r="P978" s="10"/>
      <c r="Q978" s="10"/>
      <c r="R978" s="7"/>
      <c r="S978" s="7"/>
      <c r="T978" s="15"/>
      <c r="U978" s="15"/>
      <c r="V978" s="15"/>
      <c r="W978" s="12"/>
      <c r="X978" s="7"/>
      <c r="Y978" s="12"/>
      <c r="Z978" s="12"/>
      <c r="AA978" s="12"/>
    </row>
    <row r="979" ht="19.5" customHeight="1">
      <c r="A979" s="7"/>
      <c r="B979" s="12"/>
      <c r="C979" s="12"/>
      <c r="D979" s="12"/>
      <c r="E979" s="12"/>
      <c r="F979" s="12"/>
      <c r="G979" s="12"/>
      <c r="H979" s="12"/>
      <c r="I979" s="12"/>
      <c r="J979" s="7"/>
      <c r="K979" s="12"/>
      <c r="L979" s="7"/>
      <c r="M979" s="10"/>
      <c r="N979" s="7"/>
      <c r="O979" s="7"/>
      <c r="P979" s="10"/>
      <c r="Q979" s="10"/>
      <c r="R979" s="7"/>
      <c r="S979" s="7"/>
      <c r="T979" s="15"/>
      <c r="U979" s="15"/>
      <c r="V979" s="15"/>
      <c r="W979" s="12"/>
      <c r="X979" s="7"/>
      <c r="Y979" s="12"/>
      <c r="Z979" s="12"/>
      <c r="AA979" s="12"/>
    </row>
    <row r="980" ht="19.5" customHeight="1">
      <c r="A980" s="7"/>
      <c r="B980" s="12"/>
      <c r="C980" s="12"/>
      <c r="D980" s="12"/>
      <c r="E980" s="12"/>
      <c r="F980" s="12"/>
      <c r="G980" s="12"/>
      <c r="H980" s="12"/>
      <c r="I980" s="12"/>
      <c r="J980" s="7"/>
      <c r="K980" s="12"/>
      <c r="L980" s="7"/>
      <c r="M980" s="10"/>
      <c r="N980" s="7"/>
      <c r="O980" s="7"/>
      <c r="P980" s="10"/>
      <c r="Q980" s="10"/>
      <c r="R980" s="7"/>
      <c r="S980" s="7"/>
      <c r="T980" s="15"/>
      <c r="U980" s="15"/>
      <c r="V980" s="15"/>
      <c r="W980" s="12"/>
      <c r="X980" s="7"/>
      <c r="Y980" s="12"/>
      <c r="Z980" s="12"/>
      <c r="AA980" s="12"/>
    </row>
    <row r="981" ht="19.5" customHeight="1">
      <c r="A981" s="7"/>
      <c r="B981" s="12"/>
      <c r="C981" s="12"/>
      <c r="D981" s="12"/>
      <c r="E981" s="12"/>
      <c r="F981" s="12"/>
      <c r="G981" s="12"/>
      <c r="H981" s="12"/>
      <c r="I981" s="12"/>
      <c r="J981" s="7"/>
      <c r="K981" s="12"/>
      <c r="L981" s="7"/>
      <c r="M981" s="10"/>
      <c r="N981" s="7"/>
      <c r="O981" s="7"/>
      <c r="P981" s="10"/>
      <c r="Q981" s="10"/>
      <c r="R981" s="7"/>
      <c r="S981" s="7"/>
      <c r="T981" s="15"/>
      <c r="U981" s="15"/>
      <c r="V981" s="15"/>
      <c r="W981" s="12"/>
      <c r="X981" s="7"/>
      <c r="Y981" s="12"/>
      <c r="Z981" s="12"/>
      <c r="AA981" s="12"/>
    </row>
    <row r="982" ht="19.5" customHeight="1">
      <c r="A982" s="7"/>
      <c r="B982" s="12"/>
      <c r="C982" s="12"/>
      <c r="D982" s="12"/>
      <c r="E982" s="12"/>
      <c r="F982" s="12"/>
      <c r="G982" s="12"/>
      <c r="H982" s="12"/>
      <c r="I982" s="12"/>
      <c r="J982" s="7"/>
      <c r="K982" s="12"/>
      <c r="L982" s="7"/>
      <c r="M982" s="10"/>
      <c r="N982" s="7"/>
      <c r="O982" s="7"/>
      <c r="P982" s="10"/>
      <c r="Q982" s="10"/>
      <c r="R982" s="7"/>
      <c r="S982" s="7"/>
      <c r="T982" s="15"/>
      <c r="U982" s="15"/>
      <c r="V982" s="15"/>
      <c r="W982" s="12"/>
      <c r="X982" s="7"/>
      <c r="Y982" s="12"/>
      <c r="Z982" s="12"/>
      <c r="AA982" s="12"/>
    </row>
    <row r="983" ht="19.5" customHeight="1">
      <c r="A983" s="7"/>
      <c r="B983" s="12"/>
      <c r="C983" s="12"/>
      <c r="D983" s="12"/>
      <c r="E983" s="12"/>
      <c r="F983" s="12"/>
      <c r="G983" s="12"/>
      <c r="H983" s="12"/>
      <c r="I983" s="12"/>
      <c r="J983" s="7"/>
      <c r="K983" s="12"/>
      <c r="L983" s="7"/>
      <c r="M983" s="10"/>
      <c r="N983" s="7"/>
      <c r="O983" s="7"/>
      <c r="P983" s="10"/>
      <c r="Q983" s="10"/>
      <c r="R983" s="7"/>
      <c r="S983" s="7"/>
      <c r="T983" s="15"/>
      <c r="U983" s="15"/>
      <c r="V983" s="15"/>
      <c r="W983" s="12"/>
      <c r="X983" s="7"/>
      <c r="Y983" s="12"/>
      <c r="Z983" s="12"/>
      <c r="AA983" s="12"/>
    </row>
    <row r="984" ht="19.5" customHeight="1">
      <c r="A984" s="7"/>
      <c r="B984" s="12"/>
      <c r="C984" s="12"/>
      <c r="D984" s="12"/>
      <c r="E984" s="12"/>
      <c r="F984" s="12"/>
      <c r="G984" s="12"/>
      <c r="H984" s="12"/>
      <c r="I984" s="12"/>
      <c r="J984" s="7"/>
      <c r="K984" s="12"/>
      <c r="L984" s="7"/>
      <c r="M984" s="10"/>
      <c r="N984" s="7"/>
      <c r="O984" s="7"/>
      <c r="P984" s="10"/>
      <c r="Q984" s="10"/>
      <c r="R984" s="7"/>
      <c r="S984" s="7"/>
      <c r="T984" s="15"/>
      <c r="U984" s="15"/>
      <c r="V984" s="15"/>
      <c r="W984" s="12"/>
      <c r="X984" s="7"/>
      <c r="Y984" s="12"/>
      <c r="Z984" s="12"/>
      <c r="AA984" s="12"/>
    </row>
    <row r="985" ht="19.5" customHeight="1">
      <c r="A985" s="7"/>
      <c r="B985" s="12"/>
      <c r="C985" s="12"/>
      <c r="D985" s="12"/>
      <c r="E985" s="12"/>
      <c r="F985" s="12"/>
      <c r="G985" s="12"/>
      <c r="H985" s="12"/>
      <c r="I985" s="12"/>
      <c r="J985" s="7"/>
      <c r="K985" s="12"/>
      <c r="L985" s="7"/>
      <c r="M985" s="10"/>
      <c r="N985" s="7"/>
      <c r="O985" s="7"/>
      <c r="P985" s="10"/>
      <c r="Q985" s="10"/>
      <c r="R985" s="7"/>
      <c r="S985" s="7"/>
      <c r="T985" s="15"/>
      <c r="U985" s="15"/>
      <c r="V985" s="15"/>
      <c r="W985" s="12"/>
      <c r="X985" s="7"/>
      <c r="Y985" s="12"/>
      <c r="Z985" s="12"/>
      <c r="AA985" s="12"/>
    </row>
    <row r="986" ht="19.5" customHeight="1">
      <c r="A986" s="7"/>
      <c r="B986" s="12"/>
      <c r="C986" s="12"/>
      <c r="D986" s="12"/>
      <c r="E986" s="12"/>
      <c r="F986" s="12"/>
      <c r="G986" s="12"/>
      <c r="H986" s="12"/>
      <c r="I986" s="12"/>
      <c r="J986" s="7"/>
      <c r="K986" s="12"/>
      <c r="L986" s="7"/>
      <c r="M986" s="10"/>
      <c r="N986" s="7"/>
      <c r="O986" s="7"/>
      <c r="P986" s="10"/>
      <c r="Q986" s="10"/>
      <c r="R986" s="7"/>
      <c r="S986" s="7"/>
      <c r="T986" s="15"/>
      <c r="U986" s="15"/>
      <c r="V986" s="15"/>
      <c r="W986" s="12"/>
      <c r="X986" s="7"/>
      <c r="Y986" s="12"/>
      <c r="Z986" s="12"/>
      <c r="AA986" s="12"/>
    </row>
    <row r="987" ht="19.5" customHeight="1">
      <c r="A987" s="7"/>
      <c r="B987" s="12"/>
      <c r="C987" s="12"/>
      <c r="D987" s="12"/>
      <c r="E987" s="12"/>
      <c r="F987" s="12"/>
      <c r="G987" s="12"/>
      <c r="H987" s="12"/>
      <c r="I987" s="12"/>
      <c r="J987" s="7"/>
      <c r="K987" s="12"/>
      <c r="L987" s="7"/>
      <c r="M987" s="10"/>
      <c r="N987" s="7"/>
      <c r="O987" s="7"/>
      <c r="P987" s="10"/>
      <c r="Q987" s="10"/>
      <c r="R987" s="7"/>
      <c r="S987" s="7"/>
      <c r="T987" s="15"/>
      <c r="U987" s="15"/>
      <c r="V987" s="15"/>
      <c r="W987" s="12"/>
      <c r="X987" s="7"/>
      <c r="Y987" s="12"/>
      <c r="Z987" s="12"/>
      <c r="AA987" s="12"/>
    </row>
    <row r="988" ht="19.5" customHeight="1">
      <c r="A988" s="7"/>
      <c r="B988" s="12"/>
      <c r="C988" s="12"/>
      <c r="D988" s="12"/>
      <c r="E988" s="12"/>
      <c r="F988" s="12"/>
      <c r="G988" s="12"/>
      <c r="H988" s="12"/>
      <c r="I988" s="12"/>
      <c r="J988" s="7"/>
      <c r="K988" s="12"/>
      <c r="L988" s="7"/>
      <c r="M988" s="10"/>
      <c r="N988" s="7"/>
      <c r="O988" s="7"/>
      <c r="P988" s="10"/>
      <c r="Q988" s="10"/>
      <c r="R988" s="7"/>
      <c r="S988" s="7"/>
      <c r="T988" s="15"/>
      <c r="U988" s="15"/>
      <c r="V988" s="15"/>
      <c r="W988" s="12"/>
      <c r="X988" s="7"/>
      <c r="Y988" s="12"/>
      <c r="Z988" s="12"/>
      <c r="AA988" s="12"/>
    </row>
    <row r="989" ht="19.5" customHeight="1">
      <c r="A989" s="7"/>
      <c r="B989" s="12"/>
      <c r="C989" s="12"/>
      <c r="D989" s="12"/>
      <c r="E989" s="12"/>
      <c r="F989" s="12"/>
      <c r="G989" s="12"/>
      <c r="H989" s="12"/>
      <c r="I989" s="12"/>
      <c r="J989" s="7"/>
      <c r="K989" s="12"/>
      <c r="L989" s="7"/>
      <c r="M989" s="10"/>
      <c r="N989" s="7"/>
      <c r="O989" s="7"/>
      <c r="P989" s="10"/>
      <c r="Q989" s="10"/>
      <c r="R989" s="7"/>
      <c r="S989" s="7"/>
      <c r="T989" s="15"/>
      <c r="U989" s="15"/>
      <c r="V989" s="15"/>
      <c r="W989" s="12"/>
      <c r="X989" s="7"/>
      <c r="Y989" s="12"/>
      <c r="Z989" s="12"/>
      <c r="AA989" s="12"/>
    </row>
    <row r="990" ht="19.5" customHeight="1">
      <c r="A990" s="7"/>
      <c r="B990" s="12"/>
      <c r="C990" s="12"/>
      <c r="D990" s="12"/>
      <c r="E990" s="12"/>
      <c r="F990" s="12"/>
      <c r="G990" s="12"/>
      <c r="H990" s="12"/>
      <c r="I990" s="12"/>
      <c r="J990" s="7"/>
      <c r="K990" s="12"/>
      <c r="L990" s="7"/>
      <c r="M990" s="10"/>
      <c r="N990" s="7"/>
      <c r="O990" s="7"/>
      <c r="P990" s="10"/>
      <c r="Q990" s="10"/>
      <c r="R990" s="7"/>
      <c r="S990" s="7"/>
      <c r="T990" s="15"/>
      <c r="U990" s="15"/>
      <c r="V990" s="15"/>
      <c r="W990" s="12"/>
      <c r="X990" s="7"/>
      <c r="Y990" s="12"/>
      <c r="Z990" s="12"/>
      <c r="AA990" s="12"/>
    </row>
    <row r="991" ht="19.5" customHeight="1">
      <c r="A991" s="7"/>
      <c r="B991" s="12"/>
      <c r="C991" s="12"/>
      <c r="D991" s="12"/>
      <c r="E991" s="12"/>
      <c r="F991" s="12"/>
      <c r="G991" s="12"/>
      <c r="H991" s="12"/>
      <c r="I991" s="12"/>
      <c r="J991" s="7"/>
      <c r="K991" s="12"/>
      <c r="L991" s="7"/>
      <c r="M991" s="10"/>
      <c r="N991" s="7"/>
      <c r="O991" s="7"/>
      <c r="P991" s="10"/>
      <c r="Q991" s="10"/>
      <c r="R991" s="7"/>
      <c r="S991" s="7"/>
      <c r="T991" s="15"/>
      <c r="U991" s="15"/>
      <c r="V991" s="15"/>
      <c r="W991" s="12"/>
      <c r="X991" s="7"/>
      <c r="Y991" s="12"/>
      <c r="Z991" s="12"/>
      <c r="AA991" s="12"/>
    </row>
    <row r="992" ht="19.5" customHeight="1">
      <c r="A992" s="7"/>
      <c r="B992" s="12"/>
      <c r="C992" s="12"/>
      <c r="D992" s="12"/>
      <c r="E992" s="12"/>
      <c r="F992" s="12"/>
      <c r="G992" s="12"/>
      <c r="H992" s="12"/>
      <c r="I992" s="12"/>
      <c r="J992" s="7"/>
      <c r="K992" s="12"/>
      <c r="L992" s="7"/>
      <c r="M992" s="10"/>
      <c r="N992" s="7"/>
      <c r="O992" s="7"/>
      <c r="P992" s="10"/>
      <c r="Q992" s="10"/>
      <c r="R992" s="7"/>
      <c r="S992" s="7"/>
      <c r="T992" s="15"/>
      <c r="U992" s="15"/>
      <c r="V992" s="15"/>
      <c r="W992" s="12"/>
      <c r="X992" s="7"/>
      <c r="Y992" s="12"/>
      <c r="Z992" s="12"/>
      <c r="AA992" s="12"/>
    </row>
    <row r="993" ht="19.5" customHeight="1">
      <c r="A993" s="7"/>
      <c r="B993" s="12"/>
      <c r="C993" s="12"/>
      <c r="D993" s="12"/>
      <c r="E993" s="12"/>
      <c r="F993" s="12"/>
      <c r="G993" s="12"/>
      <c r="H993" s="12"/>
      <c r="I993" s="12"/>
      <c r="J993" s="7"/>
      <c r="K993" s="12"/>
      <c r="L993" s="7"/>
      <c r="M993" s="10"/>
      <c r="N993" s="7"/>
      <c r="O993" s="7"/>
      <c r="P993" s="10"/>
      <c r="Q993" s="10"/>
      <c r="R993" s="7"/>
      <c r="S993" s="7"/>
      <c r="T993" s="15"/>
      <c r="U993" s="15"/>
      <c r="V993" s="15"/>
      <c r="W993" s="12"/>
      <c r="X993" s="7"/>
      <c r="Y993" s="12"/>
      <c r="Z993" s="12"/>
      <c r="AA993" s="12"/>
    </row>
    <row r="994" ht="19.5" customHeight="1">
      <c r="A994" s="7"/>
      <c r="B994" s="12"/>
      <c r="C994" s="12"/>
      <c r="D994" s="12"/>
      <c r="E994" s="12"/>
      <c r="F994" s="12"/>
      <c r="G994" s="12"/>
      <c r="H994" s="12"/>
      <c r="I994" s="12"/>
      <c r="J994" s="7"/>
      <c r="K994" s="12"/>
      <c r="L994" s="7"/>
      <c r="M994" s="10"/>
      <c r="N994" s="7"/>
      <c r="O994" s="7"/>
      <c r="P994" s="10"/>
      <c r="Q994" s="10"/>
      <c r="R994" s="7"/>
      <c r="S994" s="7"/>
      <c r="T994" s="15"/>
      <c r="U994" s="15"/>
      <c r="V994" s="15"/>
      <c r="W994" s="12"/>
      <c r="X994" s="7"/>
      <c r="Y994" s="12"/>
      <c r="Z994" s="12"/>
      <c r="AA994" s="12"/>
    </row>
    <row r="995" ht="19.5" customHeight="1">
      <c r="A995" s="7"/>
      <c r="B995" s="12"/>
      <c r="C995" s="12"/>
      <c r="D995" s="12"/>
      <c r="E995" s="12"/>
      <c r="F995" s="12"/>
      <c r="G995" s="12"/>
      <c r="H995" s="12"/>
      <c r="I995" s="12"/>
      <c r="J995" s="7"/>
      <c r="K995" s="12"/>
      <c r="L995" s="7"/>
      <c r="M995" s="10"/>
      <c r="N995" s="7"/>
      <c r="O995" s="7"/>
      <c r="P995" s="10"/>
      <c r="Q995" s="10"/>
      <c r="R995" s="7"/>
      <c r="S995" s="7"/>
      <c r="T995" s="15"/>
      <c r="U995" s="15"/>
      <c r="V995" s="15"/>
      <c r="W995" s="12"/>
      <c r="X995" s="7"/>
      <c r="Y995" s="12"/>
      <c r="Z995" s="12"/>
      <c r="AA995" s="12"/>
    </row>
    <row r="996" ht="19.5" customHeight="1">
      <c r="A996" s="7"/>
      <c r="B996" s="12"/>
      <c r="C996" s="12"/>
      <c r="D996" s="12"/>
      <c r="E996" s="12"/>
      <c r="F996" s="12"/>
      <c r="G996" s="12"/>
      <c r="H996" s="12"/>
      <c r="I996" s="12"/>
      <c r="J996" s="7"/>
      <c r="K996" s="12"/>
      <c r="L996" s="7"/>
      <c r="M996" s="10"/>
      <c r="N996" s="7"/>
      <c r="O996" s="7"/>
      <c r="P996" s="10"/>
      <c r="Q996" s="10"/>
      <c r="R996" s="7"/>
      <c r="S996" s="7"/>
      <c r="T996" s="15"/>
      <c r="U996" s="15"/>
      <c r="V996" s="15"/>
      <c r="W996" s="12"/>
      <c r="X996" s="7"/>
      <c r="Y996" s="12"/>
      <c r="Z996" s="12"/>
      <c r="AA996" s="12"/>
    </row>
    <row r="997" ht="19.5" customHeight="1">
      <c r="A997" s="7"/>
      <c r="B997" s="12"/>
      <c r="C997" s="12"/>
      <c r="D997" s="12"/>
      <c r="E997" s="12"/>
      <c r="F997" s="12"/>
      <c r="G997" s="12"/>
      <c r="H997" s="12"/>
      <c r="I997" s="12"/>
      <c r="J997" s="7"/>
      <c r="K997" s="12"/>
      <c r="L997" s="7"/>
      <c r="M997" s="10"/>
      <c r="N997" s="7"/>
      <c r="O997" s="7"/>
      <c r="P997" s="10"/>
      <c r="Q997" s="10"/>
      <c r="R997" s="7"/>
      <c r="S997" s="7"/>
      <c r="T997" s="15"/>
      <c r="U997" s="15"/>
      <c r="V997" s="15"/>
      <c r="W997" s="12"/>
      <c r="X997" s="7"/>
      <c r="Y997" s="12"/>
      <c r="Z997" s="12"/>
      <c r="AA997" s="12"/>
    </row>
    <row r="998" ht="19.5" customHeight="1">
      <c r="A998" s="7"/>
      <c r="B998" s="12"/>
      <c r="C998" s="12"/>
      <c r="D998" s="12"/>
      <c r="E998" s="12"/>
      <c r="F998" s="12"/>
      <c r="G998" s="12"/>
      <c r="H998" s="12"/>
      <c r="I998" s="12"/>
      <c r="J998" s="7"/>
      <c r="K998" s="12"/>
      <c r="L998" s="7"/>
      <c r="M998" s="10"/>
      <c r="N998" s="7"/>
      <c r="O998" s="7"/>
      <c r="P998" s="10"/>
      <c r="Q998" s="10"/>
      <c r="R998" s="7"/>
      <c r="S998" s="7"/>
      <c r="T998" s="15"/>
      <c r="U998" s="15"/>
      <c r="V998" s="15"/>
      <c r="W998" s="12"/>
      <c r="X998" s="7"/>
      <c r="Y998" s="12"/>
      <c r="Z998" s="12"/>
      <c r="AA998" s="12"/>
    </row>
    <row r="999" ht="19.5" customHeight="1">
      <c r="A999" s="7"/>
      <c r="B999" s="12"/>
      <c r="C999" s="12"/>
      <c r="D999" s="12"/>
      <c r="E999" s="12"/>
      <c r="F999" s="12"/>
      <c r="G999" s="12"/>
      <c r="H999" s="12"/>
      <c r="I999" s="12"/>
      <c r="J999" s="7"/>
      <c r="K999" s="12"/>
      <c r="L999" s="7"/>
      <c r="M999" s="10"/>
      <c r="N999" s="7"/>
      <c r="O999" s="7"/>
      <c r="P999" s="10"/>
      <c r="Q999" s="10"/>
      <c r="R999" s="7"/>
      <c r="S999" s="7"/>
      <c r="T999" s="15"/>
      <c r="U999" s="15"/>
      <c r="V999" s="15"/>
      <c r="W999" s="12"/>
      <c r="X999" s="7"/>
      <c r="Y999" s="12"/>
      <c r="Z999" s="12"/>
      <c r="AA999" s="12"/>
    </row>
    <row r="1000" ht="19.5" customHeight="1">
      <c r="A1000" s="7"/>
      <c r="B1000" s="12"/>
      <c r="C1000" s="12"/>
      <c r="D1000" s="12"/>
      <c r="E1000" s="12"/>
      <c r="F1000" s="12"/>
      <c r="G1000" s="12"/>
      <c r="H1000" s="12"/>
      <c r="I1000" s="12"/>
      <c r="J1000" s="7"/>
      <c r="K1000" s="12"/>
      <c r="L1000" s="7"/>
      <c r="M1000" s="10"/>
      <c r="N1000" s="7"/>
      <c r="O1000" s="7"/>
      <c r="P1000" s="10"/>
      <c r="Q1000" s="10"/>
      <c r="R1000" s="7"/>
      <c r="S1000" s="7"/>
      <c r="T1000" s="15"/>
      <c r="U1000" s="15"/>
      <c r="V1000" s="15"/>
      <c r="W1000" s="12"/>
      <c r="X1000" s="7"/>
      <c r="Y1000" s="12"/>
      <c r="Z1000" s="12"/>
      <c r="AA1000" s="12"/>
    </row>
  </sheetData>
  <printOptions/>
  <pageMargins bottom="1.0" footer="0.0" header="0.0" left="0.75" right="0.75" top="1.0"/>
  <pageSetup orientation="portrait"/>
  <drawing r:id="rId2"/>
  <legacyDrawing r:id="rId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3" max="3" width="62.38"/>
  </cols>
  <sheetData>
    <row r="1">
      <c r="F1" s="2" t="s">
        <v>1243</v>
      </c>
    </row>
    <row r="2">
      <c r="C2" s="5" t="s">
        <v>32</v>
      </c>
      <c r="D2" s="2" t="s">
        <v>1244</v>
      </c>
      <c r="E2" s="2" t="s">
        <v>1245</v>
      </c>
      <c r="F2" s="2" t="s">
        <v>1246</v>
      </c>
    </row>
    <row r="3">
      <c r="C3" s="7" t="s">
        <v>148</v>
      </c>
      <c r="D3" s="2" t="s">
        <v>1247</v>
      </c>
      <c r="F3" s="20" t="s">
        <v>1248</v>
      </c>
      <c r="G3" s="20" t="str">
        <f>CONCATENATE(F3," OR")</f>
        <v>"Soil biota can change after exotic plant invasion: does this affect ecosystem processes" OR</v>
      </c>
    </row>
    <row r="4">
      <c r="C4" s="7" t="s">
        <v>155</v>
      </c>
    </row>
    <row r="5">
      <c r="C5" s="8" t="s">
        <v>194</v>
      </c>
      <c r="D5" s="2" t="s">
        <v>1249</v>
      </c>
      <c r="F5" s="20" t="s">
        <v>1250</v>
      </c>
      <c r="G5" s="20" t="str">
        <f t="shared" ref="G5:G10" si="1">CONCATENATE(F5," OR")</f>
        <v>"Harvestmen in an Atlantic forest fragmented landscape: Evaluating assemblage response to habitat quality" OR</v>
      </c>
    </row>
    <row r="6">
      <c r="C6" s="7" t="s">
        <v>272</v>
      </c>
      <c r="D6" s="2" t="s">
        <v>1251</v>
      </c>
      <c r="F6" s="20" t="s">
        <v>1252</v>
      </c>
      <c r="G6" s="20" t="str">
        <f t="shared" si="1"/>
        <v>"Impact of logging and plantation development on species diversity: a case study from Sumatra" OR</v>
      </c>
    </row>
    <row r="7">
      <c r="C7" s="7" t="s">
        <v>412</v>
      </c>
      <c r="D7" s="2" t="s">
        <v>1253</v>
      </c>
      <c r="F7" s="20" t="s">
        <v>1254</v>
      </c>
      <c r="G7" s="20" t="str">
        <f t="shared" si="1"/>
        <v>"Do birds and beetles show similar responses to urbanization" OR</v>
      </c>
    </row>
    <row r="8">
      <c r="C8" s="7" t="s">
        <v>584</v>
      </c>
      <c r="D8" s="21" t="s">
        <v>1255</v>
      </c>
      <c r="F8" s="20" t="s">
        <v>1256</v>
      </c>
      <c r="G8" s="20" t="str">
        <f t="shared" si="1"/>
        <v>"Increased frequency of drought reduces species richness of enchytraeid communities in both wet and dry heathland soils" OR</v>
      </c>
    </row>
    <row r="9">
      <c r="C9" s="7" t="s">
        <v>594</v>
      </c>
      <c r="D9" s="2" t="s">
        <v>1257</v>
      </c>
      <c r="F9" s="20" t="s">
        <v>1258</v>
      </c>
      <c r="G9" s="20" t="str">
        <f t="shared" si="1"/>
        <v>"Replacement of littoral native vegetation with the ponded pasture grass Hymenachne amplexicaulis: effects on plant, macroinvertebrate and fish biodiversity of backwaters in the Fitzroy River" OR</v>
      </c>
    </row>
    <row r="10">
      <c r="C10" s="8" t="s">
        <v>601</v>
      </c>
      <c r="D10" s="2" t="s">
        <v>1259</v>
      </c>
      <c r="F10" s="20" t="s">
        <v>1260</v>
      </c>
      <c r="G10" s="20" t="str">
        <f t="shared" si="1"/>
        <v>"Species richness of moss-landscapes unaffected by short-term fragmentation" OR</v>
      </c>
    </row>
    <row r="11">
      <c r="C11" s="7" t="s">
        <v>626</v>
      </c>
      <c r="E11" s="2" t="s">
        <v>1261</v>
      </c>
    </row>
    <row r="12">
      <c r="C12" s="7" t="s">
        <v>641</v>
      </c>
      <c r="D12" s="2" t="s">
        <v>1262</v>
      </c>
      <c r="F12" s="20" t="s">
        <v>1263</v>
      </c>
      <c r="G12" s="20" t="str">
        <f t="shared" ref="G12:G250" si="2">CONCATENATE(F12," OR")</f>
        <v>"Is there a relationship between herbaceous species richness and buffel grass (Cenchrus ciliaris)" OR</v>
      </c>
    </row>
    <row r="13">
      <c r="C13" s="7" t="s">
        <v>684</v>
      </c>
      <c r="D13" s="2" t="s">
        <v>1264</v>
      </c>
      <c r="F13" s="20" t="s">
        <v>1265</v>
      </c>
      <c r="G13" s="20" t="str">
        <f t="shared" si="2"/>
        <v>"A comparison of the diversity and structure of butterfly communities in semi-natural and human-modified grassland habitats at the foot of Mt. Fuji, central Japan" OR</v>
      </c>
    </row>
    <row r="14">
      <c r="C14" s="8" t="s">
        <v>714</v>
      </c>
      <c r="D14" s="2" t="s">
        <v>1266</v>
      </c>
      <c r="F14" s="20" t="s">
        <v>1267</v>
      </c>
      <c r="G14" s="20" t="str">
        <f t="shared" si="2"/>
        <v>"Does tropical forest fragmentation increase long-term variability of butterfly communities" OR</v>
      </c>
    </row>
    <row r="15">
      <c r="C15" s="7" t="s">
        <v>718</v>
      </c>
      <c r="D15" s="2" t="s">
        <v>1268</v>
      </c>
      <c r="F15" s="20" t="s">
        <v>1269</v>
      </c>
      <c r="G15" s="20" t="str">
        <f t="shared" si="2"/>
        <v>"Responses of primary productivity to increased temperature and phytoplankton diversity" OR</v>
      </c>
    </row>
    <row r="16">
      <c r="C16" s="7" t="s">
        <v>754</v>
      </c>
      <c r="D16" s="2" t="s">
        <v>1270</v>
      </c>
      <c r="F16" s="20" t="s">
        <v>1271</v>
      </c>
      <c r="G16" s="20" t="str">
        <f t="shared" si="2"/>
        <v>"Does urbanization decrease diversity in ground beetle assemblages" OR</v>
      </c>
    </row>
    <row r="17">
      <c r="C17" s="7" t="s">
        <v>761</v>
      </c>
      <c r="D17" s="2" t="s">
        <v>1272</v>
      </c>
      <c r="F17" s="20" t="s">
        <v>1273</v>
      </c>
      <c r="G17" s="20" t="str">
        <f t="shared" si="2"/>
        <v>"Invasion of the Portuguese dune ecosystems by the exotic species Acacia longifolia (Andrews) Willd: effects at the community level" OR</v>
      </c>
    </row>
    <row r="18">
      <c r="C18" s="7" t="s">
        <v>765</v>
      </c>
      <c r="D18" s="2" t="s">
        <v>1274</v>
      </c>
      <c r="F18" s="20" t="s">
        <v>1275</v>
      </c>
      <c r="G18" s="20" t="str">
        <f t="shared" si="2"/>
        <v>"An introducer predator alters Aluetian Island plant communities by thwarting nutrient subsidies" OR</v>
      </c>
    </row>
    <row r="19">
      <c r="C19" s="8" t="s">
        <v>841</v>
      </c>
      <c r="D19" s="2" t="s">
        <v>1276</v>
      </c>
      <c r="F19" s="20" t="s">
        <v>1277</v>
      </c>
      <c r="G19" s="20" t="str">
        <f t="shared" si="2"/>
        <v>"How important is climate? Effects of warming, nutrient, and fish on phytoplankton in shallow lake microcosms" OR</v>
      </c>
    </row>
    <row r="20">
      <c r="C20" s="8" t="s">
        <v>862</v>
      </c>
      <c r="D20" s="2" t="s">
        <v>1278</v>
      </c>
      <c r="F20" s="20" t="s">
        <v>1279</v>
      </c>
      <c r="G20" s="20" t="str">
        <f t="shared" si="2"/>
        <v>"Assessing bee species richness in two Mediterranean communities: importance of habitat type and sampling techniques" OR</v>
      </c>
    </row>
    <row r="21">
      <c r="C21" s="8" t="s">
        <v>896</v>
      </c>
      <c r="D21" s="2" t="s">
        <v>1280</v>
      </c>
      <c r="F21" s="20" t="s">
        <v>1281</v>
      </c>
      <c r="G21" s="20" t="str">
        <f t="shared" si="2"/>
        <v>"Effects of habitat fragmentation and degradation on flocks of African ant-following birds" OR</v>
      </c>
    </row>
    <row r="22">
      <c r="C22" s="7" t="s">
        <v>973</v>
      </c>
      <c r="D22" s="2" t="s">
        <v>1282</v>
      </c>
      <c r="F22" s="20" t="s">
        <v>1283</v>
      </c>
      <c r="G22" s="20" t="str">
        <f t="shared" si="2"/>
        <v>"Conversion of the Amazon rainforest to agriculture results in biotic homogenization of soil bacterial communities" OR</v>
      </c>
    </row>
    <row r="23">
      <c r="C23" s="7" t="s">
        <v>994</v>
      </c>
      <c r="D23" s="2" t="s">
        <v>1284</v>
      </c>
      <c r="F23" s="20" t="s">
        <v>1285</v>
      </c>
      <c r="G23" s="20" t="str">
        <f t="shared" si="2"/>
        <v>"Do nutrients and invertebrate herbivory interact in a artificial plant community" OR</v>
      </c>
    </row>
    <row r="24">
      <c r="C24" s="7" t="s">
        <v>1059</v>
      </c>
      <c r="D24" s="2" t="s">
        <v>1286</v>
      </c>
      <c r="F24" s="20" t="s">
        <v>1287</v>
      </c>
      <c r="G24" s="20" t="str">
        <f t="shared" si="2"/>
        <v>"Are soil mite assemblages structured by the identity of native and invasive alien grasses" OR</v>
      </c>
    </row>
    <row r="25">
      <c r="C25" s="7" t="s">
        <v>1118</v>
      </c>
      <c r="D25" s="2" t="s">
        <v>1288</v>
      </c>
      <c r="F25" s="20" t="s">
        <v>1289</v>
      </c>
      <c r="G25" s="20" t="str">
        <f t="shared" si="2"/>
        <v>"Size-dependant impacts of invasive alien crayfish on a littoral marsh community" OR</v>
      </c>
    </row>
    <row r="26">
      <c r="C26" s="7" t="s">
        <v>1130</v>
      </c>
      <c r="D26" s="2" t="s">
        <v>1290</v>
      </c>
      <c r="F26" s="20" t="s">
        <v>1291</v>
      </c>
      <c r="G26" s="20" t="str">
        <f t="shared" si="2"/>
        <v>"Bird diversity in cacao farms and forest fragments of western Panama" OR</v>
      </c>
    </row>
    <row r="27">
      <c r="C27" s="8" t="s">
        <v>141</v>
      </c>
      <c r="D27" s="20" t="s">
        <v>1292</v>
      </c>
      <c r="F27" s="20" t="s">
        <v>1293</v>
      </c>
      <c r="G27" s="20" t="str">
        <f t="shared" si="2"/>
        <v>"Zebra mussel colonisation of soft sediments facilitates invertebrate communities" OR</v>
      </c>
    </row>
    <row r="28">
      <c r="C28" s="7" t="s">
        <v>478</v>
      </c>
      <c r="D28" s="20" t="s">
        <v>1294</v>
      </c>
      <c r="F28" s="20" t="s">
        <v>1295</v>
      </c>
      <c r="G28" s="20" t="str">
        <f t="shared" si="2"/>
        <v>"Willow (Salix x rubens) invasion of the riparian zone in south-eastern Australia: reduced abundance and altered composition of terrestrial arthropods" OR</v>
      </c>
    </row>
    <row r="29">
      <c r="C29" s="8" t="s">
        <v>1296</v>
      </c>
      <c r="D29" s="20" t="s">
        <v>1297</v>
      </c>
      <c r="F29" s="20" t="s">
        <v>1298</v>
      </c>
      <c r="G29" s="20" t="str">
        <f t="shared" si="2"/>
        <v>"What is the impact of Impatiens glandulifera on species diversity of invaded riparian vegetation" OR</v>
      </c>
    </row>
    <row r="30">
      <c r="C30" s="7" t="s">
        <v>345</v>
      </c>
      <c r="D30" s="20" t="s">
        <v>1299</v>
      </c>
      <c r="F30" s="20" t="s">
        <v>1300</v>
      </c>
      <c r="G30" s="20" t="str">
        <f t="shared" si="2"/>
        <v>"Warming reduces the growth and diversity of biological soil crusts in a semi-aric environment: implications for ecosystem structure and functioning" OR</v>
      </c>
    </row>
    <row r="31">
      <c r="C31" s="7" t="s">
        <v>1072</v>
      </c>
      <c r="D31" s="20" t="s">
        <v>1301</v>
      </c>
      <c r="F31" s="20" t="s">
        <v>1302</v>
      </c>
      <c r="G31" s="20" t="str">
        <f t="shared" si="2"/>
        <v>"Variation in the response of crustacean zooplankton species richness and composition to the invasive predator Bythotrephes longimanus" OR</v>
      </c>
    </row>
    <row r="32">
      <c r="C32" s="8" t="s">
        <v>661</v>
      </c>
      <c r="D32" s="20" t="s">
        <v>1303</v>
      </c>
      <c r="F32" s="20" t="s">
        <v>1304</v>
      </c>
      <c r="G32" s="20" t="str">
        <f t="shared" si="2"/>
        <v>"Variable sensitivity of plant communities in Iceland to experimental warming" OR</v>
      </c>
    </row>
    <row r="33">
      <c r="C33" s="7" t="s">
        <v>609</v>
      </c>
      <c r="D33" s="20" t="s">
        <v>1305</v>
      </c>
      <c r="F33" s="20" t="s">
        <v>1306</v>
      </c>
      <c r="G33" s="20" t="str">
        <f t="shared" si="2"/>
        <v>"Variable bottom-up and top-down effects on diversity of different prey assemblages in an estuarine saltimarsh" OR</v>
      </c>
    </row>
    <row r="34">
      <c r="C34" s="7" t="s">
        <v>1050</v>
      </c>
      <c r="D34" s="20" t="s">
        <v>1307</v>
      </c>
      <c r="F34" s="20" t="s">
        <v>1308</v>
      </c>
      <c r="G34" s="20" t="str">
        <f t="shared" si="2"/>
        <v>"Using plant functional types to compare vegetation structure of alien-invaded and uninvaded Acacia nilotica savannas" OR</v>
      </c>
    </row>
    <row r="35">
      <c r="C35" s="7" t="s">
        <v>650</v>
      </c>
      <c r="D35" s="20" t="s">
        <v>1309</v>
      </c>
      <c r="F35" s="20" t="s">
        <v>1310</v>
      </c>
      <c r="G35" s="20" t="str">
        <f t="shared" si="2"/>
        <v>"Urbanization and wetland communities: applying metacommunitiy theory to understand the local and landscape effects" OR</v>
      </c>
    </row>
    <row r="36">
      <c r="C36" s="7" t="s">
        <v>417</v>
      </c>
      <c r="D36" s="20" t="s">
        <v>1311</v>
      </c>
      <c r="F36" s="20" t="s">
        <v>1312</v>
      </c>
      <c r="G36" s="20" t="str">
        <f t="shared" si="2"/>
        <v>"Understanding the biodiversity consequences of habitat change: the value of secondary and plantation forests for neotropical dung beetles" OR</v>
      </c>
    </row>
    <row r="37">
      <c r="C37" s="7" t="s">
        <v>220</v>
      </c>
      <c r="D37" s="20" t="s">
        <v>1313</v>
      </c>
      <c r="F37" s="20" t="s">
        <v>1314</v>
      </c>
      <c r="G37" s="20" t="str">
        <f t="shared" si="2"/>
        <v>"Tree seedling dynamics in two abandoned tropical dry forests of differing successional status in Yucaton, Mexico: A field experiment with N and P fertilization" OR</v>
      </c>
    </row>
    <row r="38">
      <c r="C38" s="7" t="s">
        <v>646</v>
      </c>
      <c r="D38" s="20" t="s">
        <v>1315</v>
      </c>
      <c r="F38" s="20" t="s">
        <v>1316</v>
      </c>
      <c r="G38" s="20" t="str">
        <f t="shared" si="2"/>
        <v>"Tree invasion in naturally treeless environments: Impacts of quinine (Cinchona pubescans) trees on native vegetation in Galapagos" OR</v>
      </c>
    </row>
    <row r="39">
      <c r="C39" s="8" t="s">
        <v>387</v>
      </c>
      <c r="D39" s="20" t="s">
        <v>1317</v>
      </c>
      <c r="F39" s="20" t="s">
        <v>1318</v>
      </c>
      <c r="G39" s="20" t="str">
        <f t="shared" si="2"/>
        <v>"Tree invasion in managed tropical forests facilitates endemic species" OR</v>
      </c>
    </row>
    <row r="40">
      <c r="C40" s="7" t="s">
        <v>727</v>
      </c>
      <c r="D40" s="20" t="s">
        <v>1319</v>
      </c>
      <c r="F40" s="20" t="s">
        <v>1320</v>
      </c>
      <c r="G40" s="20" t="str">
        <f t="shared" si="2"/>
        <v>"Traits explain community disassembly and trophic contraction following experimental environmental change" OR</v>
      </c>
    </row>
    <row r="41">
      <c r="C41" s="8" t="s">
        <v>692</v>
      </c>
      <c r="D41" s="20" t="s">
        <v>1321</v>
      </c>
      <c r="F41" s="20" t="s">
        <v>1322</v>
      </c>
      <c r="G41" s="20" t="str">
        <f t="shared" si="2"/>
        <v>"The relative role of dispersal and local interactions for alpine plant community diversity under simluated climate warming" OR</v>
      </c>
    </row>
    <row r="42">
      <c r="C42" s="7" t="s">
        <v>86</v>
      </c>
      <c r="D42" s="20" t="s">
        <v>1323</v>
      </c>
      <c r="F42" s="20" t="s">
        <v>1324</v>
      </c>
      <c r="G42" s="20" t="str">
        <f t="shared" si="2"/>
        <v>"The importance of tropical rainforest fragments to the conservation of plant species diversity in Los Tuxtlas, Mexico" OR</v>
      </c>
    </row>
    <row r="43">
      <c r="C43" s="8" t="s">
        <v>1011</v>
      </c>
      <c r="D43" s="20" t="s">
        <v>1325</v>
      </c>
      <c r="F43" s="20" t="s">
        <v>1326</v>
      </c>
      <c r="G43" s="20" t="str">
        <f t="shared" si="2"/>
        <v>"The impacts of forest clearance on lizard, small mammal, and bird communities in the arid spiny forest, souther Madagascar" OR</v>
      </c>
    </row>
    <row r="44">
      <c r="C44" s="7" t="s">
        <v>732</v>
      </c>
      <c r="D44" s="20" t="s">
        <v>1327</v>
      </c>
      <c r="F44" s="20" t="s">
        <v>1328</v>
      </c>
      <c r="G44" s="20" t="str">
        <f t="shared" si="2"/>
        <v>"The impact of the weed Chrysanthemoides monilifera ssp. rotundata on coastal leaf litter invertebrates" OR</v>
      </c>
    </row>
    <row r="45">
      <c r="C45" s="7" t="s">
        <v>710</v>
      </c>
      <c r="D45" s="20" t="s">
        <v>1329</v>
      </c>
      <c r="F45" s="20" t="s">
        <v>1330</v>
      </c>
      <c r="G45" s="20" t="str">
        <f t="shared" si="2"/>
        <v>"The impact of the invasive alien grass Cortaderia jubata (Lemoine) Stapf on an endangered mediterranean-type shrubland in California" OR</v>
      </c>
    </row>
    <row r="46">
      <c r="C46" s="7" t="s">
        <v>857</v>
      </c>
      <c r="D46" s="20" t="s">
        <v>1331</v>
      </c>
      <c r="F46" s="20" t="s">
        <v>1332</v>
      </c>
      <c r="G46" s="20" t="str">
        <f t="shared" si="2"/>
        <v>"The impact of land-use change on larval insect communities: Testing the role of habitat elements in conservation" OR</v>
      </c>
    </row>
    <row r="47">
      <c r="C47" s="8" t="s">
        <v>621</v>
      </c>
      <c r="D47" s="20" t="s">
        <v>1333</v>
      </c>
      <c r="F47" s="20" t="s">
        <v>1334</v>
      </c>
      <c r="G47" s="20" t="str">
        <f t="shared" si="2"/>
        <v>"The effet of eelgrass habitat loss on estuarine fish communities of Southern New England" OR</v>
      </c>
    </row>
    <row r="48">
      <c r="C48" s="7" t="s">
        <v>814</v>
      </c>
      <c r="D48" s="20" t="s">
        <v>1335</v>
      </c>
      <c r="F48" s="20" t="s">
        <v>1336</v>
      </c>
      <c r="G48" s="20" t="str">
        <f t="shared" si="2"/>
        <v>"The effects of land-use change on arthropod richness and abundance on Santa Maria Island (Azores): unmanaged plantations favour endemic beetles" OR</v>
      </c>
    </row>
    <row r="49">
      <c r="C49" s="7" t="s">
        <v>1086</v>
      </c>
      <c r="D49" s="20" t="s">
        <v>1337</v>
      </c>
      <c r="F49" s="20" t="s">
        <v>1338</v>
      </c>
      <c r="G49" s="20" t="str">
        <f t="shared" si="2"/>
        <v>"Testing the effects of an introduced palm on a riparian invertebrate community in Southern California" OR</v>
      </c>
    </row>
    <row r="50">
      <c r="C50" s="8" t="s">
        <v>113</v>
      </c>
      <c r="D50" s="20" t="s">
        <v>1339</v>
      </c>
      <c r="F50" s="20" t="s">
        <v>1340</v>
      </c>
      <c r="G50" s="20" t="str">
        <f t="shared" si="2"/>
        <v>"Temperature- and moisture induced changes in the structure of the nematode fauna of a semiarid grassland --patterns and mechanisms" OR</v>
      </c>
    </row>
    <row r="51">
      <c r="C51" s="8" t="s">
        <v>557</v>
      </c>
      <c r="D51" s="20" t="s">
        <v>1341</v>
      </c>
      <c r="F51" s="20" t="s">
        <v>1342</v>
      </c>
      <c r="G51" s="20" t="str">
        <f t="shared" si="2"/>
        <v>"Temperature mediates competitive exclusion and diversity in benthic microalgae under different N:P stoichiometry" OR</v>
      </c>
    </row>
    <row r="52">
      <c r="C52" s="8" t="s">
        <v>461</v>
      </c>
      <c r="D52" s="20" t="s">
        <v>1343</v>
      </c>
      <c r="F52" s="20" t="s">
        <v>1344</v>
      </c>
      <c r="G52" s="20" t="str">
        <f t="shared" si="2"/>
        <v>"Strengthened insectivory in a temperate fragmented forest" OR</v>
      </c>
    </row>
    <row r="53">
      <c r="C53" s="7" t="s">
        <v>400</v>
      </c>
      <c r="D53" s="20" t="s">
        <v>1345</v>
      </c>
      <c r="F53" s="20" t="s">
        <v>1346</v>
      </c>
      <c r="G53" s="20" t="str">
        <f t="shared" si="2"/>
        <v>"Species richness in a successional grassland: Effects of nitrogen enrichment and plant litter" OR</v>
      </c>
    </row>
    <row r="54">
      <c r="C54" s="8" t="s">
        <v>943</v>
      </c>
      <c r="D54" s="20" t="s">
        <v>1347</v>
      </c>
      <c r="F54" s="20" t="s">
        <v>1348</v>
      </c>
      <c r="G54" s="20" t="str">
        <f t="shared" si="2"/>
        <v>"Species richness and food web structure of soil decomposer community as affected by the size of habitat fragment and habitat corridors" OR</v>
      </c>
    </row>
    <row r="55">
      <c r="C55" s="7" t="s">
        <v>308</v>
      </c>
      <c r="D55" s="20" t="s">
        <v>1349</v>
      </c>
      <c r="F55" s="20" t="s">
        <v>1350</v>
      </c>
      <c r="G55" s="20" t="str">
        <f t="shared" si="2"/>
        <v>"Species groups occupying different trophic levels respond differently to the invasion of semi-natural vegetation by Solidago canadensis" OR</v>
      </c>
    </row>
    <row r="56">
      <c r="C56" s="8" t="s">
        <v>116</v>
      </c>
      <c r="D56" s="20" t="s">
        <v>1351</v>
      </c>
      <c r="F56" s="20" t="s">
        <v>1352</v>
      </c>
      <c r="G56" s="20" t="str">
        <f t="shared" si="2"/>
        <v>"Soil nematode community structure as affected by temperature and moisture in a temperate semiarid shrubland" OR</v>
      </c>
    </row>
    <row r="57">
      <c r="C57" s="7" t="s">
        <v>250</v>
      </c>
      <c r="D57" s="20" t="s">
        <v>1353</v>
      </c>
      <c r="F57" s="20" t="s">
        <v>1354</v>
      </c>
      <c r="G57" s="20" t="str">
        <f t="shared" si="2"/>
        <v>"Small-sized fish assemblages do not differ between a native and a recently established non-indigenous macrophyte in a neotropical ecosystem" OR</v>
      </c>
    </row>
    <row r="58">
      <c r="C58" s="8" t="s">
        <v>665</v>
      </c>
      <c r="D58" s="20" t="s">
        <v>1355</v>
      </c>
      <c r="F58" s="20" t="s">
        <v>1356</v>
      </c>
      <c r="G58" s="20" t="str">
        <f t="shared" si="2"/>
        <v>"Small-scale experimental habitat fragmentation reduces colonization rates in species-rich grasslands" OR</v>
      </c>
    </row>
    <row r="59">
      <c r="C59" s="7" t="s">
        <v>1113</v>
      </c>
      <c r="D59" s="20" t="s">
        <v>1357</v>
      </c>
      <c r="F59" s="20" t="s">
        <v>1358</v>
      </c>
      <c r="G59" s="20" t="str">
        <f t="shared" si="2"/>
        <v>"Small mammals in a mosaic of forest remnants and anthropogenic habitats--evaluating matrix quality in an Atlantic forest landscape" OR</v>
      </c>
    </row>
    <row r="60">
      <c r="C60" s="8" t="s">
        <v>688</v>
      </c>
      <c r="D60" s="20" t="s">
        <v>1359</v>
      </c>
      <c r="F60" s="20" t="s">
        <v>1360</v>
      </c>
      <c r="G60" s="20" t="str">
        <f t="shared" si="2"/>
        <v>"Simulated climate change altered dominance hierarchies and diversity of an apline biodiversity hotspot" OR</v>
      </c>
    </row>
    <row r="61">
      <c r="C61" s="8" t="s">
        <v>1209</v>
      </c>
      <c r="D61" s="20" t="s">
        <v>1361</v>
      </c>
      <c r="F61" s="20" t="s">
        <v>1362</v>
      </c>
      <c r="G61" s="20" t="str">
        <f t="shared" si="2"/>
        <v>"Sensitivity of three grassland communities to simulated extreme temperature and rainfall events" OR</v>
      </c>
    </row>
    <row r="62">
      <c r="C62" s="7" t="s">
        <v>508</v>
      </c>
      <c r="D62" s="20" t="s">
        <v>1363</v>
      </c>
      <c r="F62" s="20" t="s">
        <v>1364</v>
      </c>
      <c r="G62" s="20" t="str">
        <f t="shared" si="2"/>
        <v>"Sediment diatom species and community response to nitrogen addition in Oregon (USA) estuarine tidal wetlands" OR</v>
      </c>
    </row>
    <row r="63">
      <c r="C63" s="7" t="s">
        <v>1228</v>
      </c>
      <c r="D63" s="20" t="s">
        <v>1365</v>
      </c>
      <c r="F63" s="20" t="s">
        <v>1366</v>
      </c>
      <c r="G63" s="20" t="str">
        <f t="shared" si="2"/>
        <v>"Seasonal exposure to drought and air warming affects soil collembola and mites" OR</v>
      </c>
    </row>
    <row r="64">
      <c r="C64" s="8" t="s">
        <v>950</v>
      </c>
      <c r="D64" s="20" t="s">
        <v>1367</v>
      </c>
      <c r="F64" s="20" t="s">
        <v>1368</v>
      </c>
      <c r="G64" s="20" t="str">
        <f t="shared" si="2"/>
        <v>"Seagrass habitat disturbance: how loss and fragmentation of eelgrass Zostera marina influences epifaunal abundance and diversity" OR</v>
      </c>
    </row>
    <row r="65">
      <c r="C65" s="8" t="s">
        <v>490</v>
      </c>
      <c r="D65" s="20" t="s">
        <v>1369</v>
      </c>
      <c r="F65" s="20" t="s">
        <v>1370</v>
      </c>
      <c r="G65" s="20" t="str">
        <f t="shared" si="2"/>
        <v>"Richness and species composition of arboreal arthropods affected by nutrients and predators: a press experiment" OR</v>
      </c>
    </row>
    <row r="66">
      <c r="C66" s="8" t="s">
        <v>910</v>
      </c>
      <c r="D66" s="20" t="s">
        <v>1371</v>
      </c>
      <c r="F66" s="20" t="s">
        <v>1372</v>
      </c>
      <c r="G66" s="20" t="str">
        <f t="shared" si="2"/>
        <v>"Responses of a subarctic dwarf shrub heath community to simulated environmental change" OR</v>
      </c>
    </row>
    <row r="67">
      <c r="C67" s="8" t="s">
        <v>425</v>
      </c>
      <c r="D67" s="20" t="s">
        <v>1373</v>
      </c>
      <c r="F67" s="20" t="s">
        <v>1374</v>
      </c>
      <c r="G67" s="20" t="str">
        <f t="shared" si="2"/>
        <v>"Response of termite community and wood decomposition rates to habitat fragmentation in a subtropical dry forest" OR</v>
      </c>
    </row>
    <row r="68">
      <c r="C68" s="7" t="s">
        <v>745</v>
      </c>
      <c r="D68" s="20" t="s">
        <v>1375</v>
      </c>
      <c r="F68" s="20" t="s">
        <v>1376</v>
      </c>
      <c r="G68" s="20" t="str">
        <f t="shared" si="2"/>
        <v>"Relationship between the presence of House Sparrows (Passer domesticus) and Neotropical bird community structure and diversity" OR</v>
      </c>
    </row>
    <row r="69">
      <c r="C69" s="7" t="s">
        <v>1104</v>
      </c>
      <c r="D69" s="20" t="s">
        <v>1377</v>
      </c>
      <c r="F69" s="20" t="s">
        <v>1378</v>
      </c>
      <c r="G69" s="20" t="str">
        <f t="shared" si="2"/>
        <v>"Relationship between the abundance of Lythrum salicaria (purple loosestrife) and plant species richness along the Bar River, Canada" OR</v>
      </c>
    </row>
    <row r="70">
      <c r="C70" s="7" t="s">
        <v>1027</v>
      </c>
      <c r="D70" s="20" t="s">
        <v>1379</v>
      </c>
      <c r="F70" s="20" t="s">
        <v>1380</v>
      </c>
      <c r="G70" s="20" t="str">
        <f t="shared" si="2"/>
        <v>"Relationship between scotch broom, soil nutrients, and plant diversity in the Garry oak savannah ecosystem" OR</v>
      </c>
    </row>
    <row r="71">
      <c r="C71" s="7" t="s">
        <v>236</v>
      </c>
      <c r="D71" s="20" t="s">
        <v>1381</v>
      </c>
      <c r="F71" s="20" t="s">
        <v>1382</v>
      </c>
      <c r="G71" s="20" t="str">
        <f t="shared" si="2"/>
        <v>"Relating microarthropod community structure and diversity to soil fertility manipulations in temperate grassland" OR</v>
      </c>
    </row>
    <row r="72">
      <c r="C72" s="7" t="s">
        <v>955</v>
      </c>
      <c r="D72" s="20" t="s">
        <v>1383</v>
      </c>
      <c r="F72" s="20" t="s">
        <v>1384</v>
      </c>
      <c r="G72" s="20" t="str">
        <f t="shared" si="2"/>
        <v>"Refugia and local controls: Benthic invertebrate dynamics in lower Green Bay, Lake Michigan following zebra mussel invasion" OR</v>
      </c>
    </row>
    <row r="73">
      <c r="C73" s="7" t="s">
        <v>553</v>
      </c>
      <c r="D73" s="20" t="s">
        <v>1385</v>
      </c>
      <c r="F73" s="20" t="s">
        <v>1386</v>
      </c>
      <c r="G73" s="20" t="str">
        <f t="shared" si="2"/>
        <v>"Reduction of riparian arthropod abundance and diversity as a consequence of giant reed (Arundo donax) invasion" OR</v>
      </c>
    </row>
    <row r="74">
      <c r="C74" s="8" t="s">
        <v>934</v>
      </c>
      <c r="D74" s="20" t="s">
        <v>1387</v>
      </c>
      <c r="F74" s="20" t="s">
        <v>1388</v>
      </c>
      <c r="G74" s="20" t="str">
        <f t="shared" si="2"/>
        <v>"Rapid recovery of dung beetle communities following habitat fragmentation in Central Amazonia" OR</v>
      </c>
    </row>
    <row r="75">
      <c r="C75" s="7" t="s">
        <v>504</v>
      </c>
      <c r="D75" s="20" t="s">
        <v>1389</v>
      </c>
      <c r="F75" s="20" t="s">
        <v>1390</v>
      </c>
      <c r="G75" s="20" t="str">
        <f t="shared" si="2"/>
        <v>"Predicted levels of future ocean acidification and temperature rise could alter community structure and biodiversity in marine benthic communities" OR</v>
      </c>
    </row>
    <row r="76">
      <c r="C76" s="7" t="s">
        <v>1015</v>
      </c>
      <c r="D76" s="20" t="s">
        <v>1391</v>
      </c>
      <c r="F76" s="20" t="s">
        <v>1392</v>
      </c>
      <c r="G76" s="20" t="str">
        <f t="shared" si="2"/>
        <v>"Plant species richness, productivitiy, and nitrogen and phosphorus limitations across a snowpack gradient in Alpine Tundra, Colorado, USA" OR</v>
      </c>
    </row>
    <row r="77">
      <c r="C77" s="7" t="s">
        <v>1091</v>
      </c>
      <c r="D77" s="20" t="s">
        <v>1393</v>
      </c>
      <c r="F77" s="20" t="s">
        <v>1394</v>
      </c>
      <c r="G77" s="20" t="str">
        <f t="shared" si="2"/>
        <v>"Plant invasion impacts on arthropod abundance, diversity and feeding consistent across environmental and geographic gradients" OR</v>
      </c>
    </row>
    <row r="78">
      <c r="C78" s="7" t="s">
        <v>511</v>
      </c>
      <c r="D78" s="20" t="s">
        <v>1395</v>
      </c>
      <c r="F78" s="20" t="s">
        <v>1396</v>
      </c>
      <c r="G78" s="20" t="str">
        <f t="shared" si="2"/>
        <v>"Plant diversity and insect herbivores: effects of environmental change in contrasting model systems" OR</v>
      </c>
    </row>
    <row r="79">
      <c r="C79" s="7" t="s">
        <v>939</v>
      </c>
      <c r="D79" s="20" t="s">
        <v>1397</v>
      </c>
      <c r="F79" s="20" t="s">
        <v>1398</v>
      </c>
      <c r="G79" s="20" t="str">
        <f t="shared" si="2"/>
        <v>"Plant communities and the reproductive success of native plants after the invasion of an ornamental herb" OR</v>
      </c>
    </row>
    <row r="80">
      <c r="C80" s="8" t="s">
        <v>1080</v>
      </c>
      <c r="D80" s="20" t="s">
        <v>1399</v>
      </c>
      <c r="F80" s="20" t="s">
        <v>1400</v>
      </c>
      <c r="G80" s="20" t="str">
        <f t="shared" si="2"/>
        <v>"Physical and biological disturbances interact differently with productivity: effects on floral and faunal richness. 2010" OR</v>
      </c>
    </row>
    <row r="81">
      <c r="C81" s="8" t="s">
        <v>1134</v>
      </c>
      <c r="D81" s="20" t="s">
        <v>1401</v>
      </c>
      <c r="F81" s="20" t="s">
        <v>1402</v>
      </c>
      <c r="G81" s="20" t="str">
        <f t="shared" si="2"/>
        <v>"Patterns in fish assemblages 25 years after major seagrass loss" OR</v>
      </c>
    </row>
    <row r="82">
      <c r="C82" s="7" t="s">
        <v>404</v>
      </c>
      <c r="D82" s="20" t="s">
        <v>1403</v>
      </c>
      <c r="F82" s="20" t="s">
        <v>1404</v>
      </c>
      <c r="G82" s="20" t="str">
        <f t="shared" si="2"/>
        <v>"Nutrient effects on seagrass epiphyte community structure in Florida Bay" OR</v>
      </c>
    </row>
    <row r="83">
      <c r="C83" s="7" t="s">
        <v>772</v>
      </c>
      <c r="D83" s="20" t="s">
        <v>1405</v>
      </c>
      <c r="F83" s="20" t="s">
        <v>1406</v>
      </c>
      <c r="G83" s="20" t="str">
        <f t="shared" si="2"/>
        <v>"Norway Maple (Acer platanoides) invasion of a natural forest stand: understory consequence and regeneration pattern" OR</v>
      </c>
    </row>
    <row r="84">
      <c r="C84" s="8" t="s">
        <v>392</v>
      </c>
      <c r="D84" s="20" t="s">
        <v>1407</v>
      </c>
      <c r="F84" s="20" t="s">
        <v>1408</v>
      </c>
      <c r="G84" s="20" t="str">
        <f t="shared" si="2"/>
        <v>"Non-native grass invasion alters native plant composition in experimental communities" OR</v>
      </c>
    </row>
    <row r="85">
      <c r="C85" s="8" t="s">
        <v>363</v>
      </c>
      <c r="D85" s="20" t="s">
        <v>1409</v>
      </c>
      <c r="F85" s="20" t="s">
        <v>1410</v>
      </c>
      <c r="G85" s="20" t="str">
        <f t="shared" si="2"/>
        <v>"Non-flying mammals and landscape changes in the tropical rainforest region of Los Tuxtlas, Mexico" OR</v>
      </c>
    </row>
    <row r="86">
      <c r="C86" s="7" t="s">
        <v>336</v>
      </c>
      <c r="D86" s="20" t="s">
        <v>1411</v>
      </c>
      <c r="F86" s="20" t="s">
        <v>1412</v>
      </c>
      <c r="G86" s="20" t="str">
        <f t="shared" si="2"/>
        <v>"Nitrogen availability alters macrofungal basidiomycete community structure in optimally fertilized loblolly pine forests" OR</v>
      </c>
    </row>
    <row r="87">
      <c r="C87" s="7" t="s">
        <v>1224</v>
      </c>
      <c r="D87" s="20" t="s">
        <v>1413</v>
      </c>
      <c r="F87" s="20" t="s">
        <v>1414</v>
      </c>
      <c r="G87" s="20" t="str">
        <f t="shared" si="2"/>
        <v>"Negative responses of Collembola in a forest soil (Alptal, Switzerland) under experimentally increased N deposition" OR</v>
      </c>
    </row>
    <row r="88">
      <c r="C88" s="7" t="s">
        <v>803</v>
      </c>
      <c r="D88" s="20" t="s">
        <v>1415</v>
      </c>
      <c r="F88" s="20" t="s">
        <v>1416</v>
      </c>
      <c r="G88" s="20" t="str">
        <f t="shared" si="2"/>
        <v>"Native plant community composition and genetic diversity associated with long-term weed invasions" OR</v>
      </c>
    </row>
    <row r="89">
      <c r="C89" s="7" t="s">
        <v>208</v>
      </c>
      <c r="D89" s="20" t="s">
        <v>1417</v>
      </c>
      <c r="F89" s="20" t="s">
        <v>1418</v>
      </c>
      <c r="G89" s="20" t="str">
        <f t="shared" si="2"/>
        <v>"Native fish and anuran assemblages differ between impoundments with and without non-native centrarchids and bullfrogs" OR</v>
      </c>
    </row>
    <row r="90">
      <c r="C90" s="7" t="s">
        <v>788</v>
      </c>
      <c r="D90" s="20" t="s">
        <v>1419</v>
      </c>
      <c r="F90" s="20" t="s">
        <v>1420</v>
      </c>
      <c r="G90" s="20" t="str">
        <f t="shared" si="2"/>
        <v>"Native and invasive plant interactions in wetlands and the minimal role of invasiveness" OR</v>
      </c>
    </row>
    <row r="91">
      <c r="C91" s="7" t="s">
        <v>906</v>
      </c>
      <c r="D91" s="20" t="s">
        <v>1421</v>
      </c>
      <c r="F91" s="20" t="s">
        <v>1422</v>
      </c>
      <c r="G91" s="20" t="str">
        <f t="shared" si="2"/>
        <v>"Multiple stressors in agricultural streams: a mesocosm study of interactions among raised water temperature, sediment addition, and nutrient enrichment" OR</v>
      </c>
    </row>
    <row r="92">
      <c r="C92" s="7" t="s">
        <v>549</v>
      </c>
      <c r="D92" s="20" t="s">
        <v>1423</v>
      </c>
      <c r="F92" s="20" t="s">
        <v>1424</v>
      </c>
      <c r="G92" s="20" t="str">
        <f t="shared" si="2"/>
        <v>"Multi-scale impacts of crested wheatgrass invasion in mixed-grass prairie" OR</v>
      </c>
    </row>
    <row r="93">
      <c r="C93" s="8" t="s">
        <v>605</v>
      </c>
      <c r="D93" s="20" t="s">
        <v>1425</v>
      </c>
      <c r="F93" s="20" t="s">
        <v>1426</v>
      </c>
      <c r="G93" s="20" t="str">
        <f t="shared" si="2"/>
        <v>"Mixed effects of habitat fragmentation on species richness and community structure in a microarthropod microecosystem" OR</v>
      </c>
    </row>
    <row r="94">
      <c r="C94" s="7" t="s">
        <v>561</v>
      </c>
      <c r="D94" s="20" t="s">
        <v>1427</v>
      </c>
      <c r="F94" s="20" t="s">
        <v>1428</v>
      </c>
      <c r="G94" s="20" t="str">
        <f t="shared" si="2"/>
        <v>"Marine microbenthic community structure regulated by nitrogen loading and grazing pressure" OR</v>
      </c>
    </row>
    <row r="95">
      <c r="C95" s="7" t="s">
        <v>794</v>
      </c>
      <c r="D95" s="20" t="s">
        <v>1429</v>
      </c>
      <c r="F95" s="20" t="s">
        <v>1430</v>
      </c>
      <c r="G95" s="20" t="str">
        <f t="shared" si="2"/>
        <v>"Macrozooplankter responses to simulated climate warming in experimental freshwater microcosms" OR</v>
      </c>
    </row>
    <row r="96">
      <c r="C96" s="8" t="s">
        <v>834</v>
      </c>
      <c r="D96" s="20" t="s">
        <v>1431</v>
      </c>
      <c r="F96" s="20" t="s">
        <v>1432</v>
      </c>
      <c r="G96" s="20" t="str">
        <f t="shared" si="2"/>
        <v>"Macroinvertebrate diversity in fragmented alpine streams: implications for freshwater conservation" OR</v>
      </c>
    </row>
    <row r="97">
      <c r="C97" s="7" t="s">
        <v>50</v>
      </c>
      <c r="D97" s="20" t="s">
        <v>1433</v>
      </c>
      <c r="F97" s="20" t="s">
        <v>1434</v>
      </c>
      <c r="G97" s="20" t="str">
        <f t="shared" si="2"/>
        <v>"Long-tern assessment of the effect of introduced predatory fish on minnow diversity in a regional protected area" OR</v>
      </c>
    </row>
    <row r="98">
      <c r="C98" s="7" t="s">
        <v>372</v>
      </c>
      <c r="D98" s="20" t="s">
        <v>1435</v>
      </c>
      <c r="F98" s="20" t="s">
        <v>1436</v>
      </c>
      <c r="G98" s="20" t="str">
        <f t="shared" si="2"/>
        <v>"Long-term nitrogen addition leads to loss of species richness due to litter accumulation and soil acidification in a temperate steppe" OR</v>
      </c>
    </row>
    <row r="99">
      <c r="C99" s="7" t="s">
        <v>231</v>
      </c>
      <c r="D99" s="20" t="s">
        <v>1437</v>
      </c>
      <c r="F99" s="20" t="s">
        <v>1438</v>
      </c>
      <c r="G99" s="20" t="str">
        <f t="shared" si="2"/>
        <v>"Long-term ecosystem impacts of an introduced grass in the northern Great Plains" OR</v>
      </c>
    </row>
    <row r="100">
      <c r="C100" s="8" t="s">
        <v>1138</v>
      </c>
      <c r="D100" s="20" t="s">
        <v>1439</v>
      </c>
      <c r="F100" s="20" t="s">
        <v>1440</v>
      </c>
      <c r="G100" s="20" t="str">
        <f t="shared" si="2"/>
        <v>"Long term effects of forest fragmentation on Amazonian ant communities" OR</v>
      </c>
    </row>
    <row r="101">
      <c r="C101" s="7" t="s">
        <v>1149</v>
      </c>
      <c r="D101" s="20" t="s">
        <v>1441</v>
      </c>
      <c r="F101" s="20" t="s">
        <v>1442</v>
      </c>
      <c r="G101" s="20" t="str">
        <f t="shared" si="2"/>
        <v>"Local and regional assessments of the impacts of plant invaders on vegetations structure and soil properties of Mediterranean islands" OR</v>
      </c>
    </row>
    <row r="102">
      <c r="C102" s="7" t="s">
        <v>1205</v>
      </c>
      <c r="D102" s="20" t="s">
        <v>1443</v>
      </c>
      <c r="F102" s="20" t="s">
        <v>1444</v>
      </c>
      <c r="G102" s="20" t="str">
        <f t="shared" si="2"/>
        <v>"Invasive shrub alters native forest amphibian communities" OR</v>
      </c>
    </row>
    <row r="103">
      <c r="C103" s="7" t="s">
        <v>1020</v>
      </c>
      <c r="D103" s="20" t="s">
        <v>1445</v>
      </c>
      <c r="F103" s="20" t="s">
        <v>1446</v>
      </c>
      <c r="G103" s="20" t="str">
        <f t="shared" si="2"/>
        <v>"Invasive Salix fragilis alters benthic invertebrate communities and litter decomposition in northern Patagonian streams" OR</v>
      </c>
    </row>
    <row r="104">
      <c r="C104" s="7" t="s">
        <v>1039</v>
      </c>
      <c r="D104" s="20" t="s">
        <v>1447</v>
      </c>
      <c r="F104" s="20" t="s">
        <v>1448</v>
      </c>
      <c r="G104" s="20" t="str">
        <f t="shared" si="2"/>
        <v>"Invasive alien goldenrods negatively affect grassland bird communities in Eastern Europe" OR</v>
      </c>
    </row>
    <row r="105">
      <c r="C105" s="7" t="s">
        <v>926</v>
      </c>
      <c r="D105" s="20" t="s">
        <v>1449</v>
      </c>
      <c r="F105" s="20" t="s">
        <v>1450</v>
      </c>
      <c r="G105" s="20" t="str">
        <f t="shared" si="2"/>
        <v>"Invasion of Heracleum mantegazzianum in different habitats in the Czech Republic" OR</v>
      </c>
    </row>
    <row r="106">
      <c r="C106" s="8" t="s">
        <v>901</v>
      </c>
      <c r="D106" s="20" t="s">
        <v>1451</v>
      </c>
      <c r="F106" s="20" t="s">
        <v>1452</v>
      </c>
      <c r="G106" s="20" t="str">
        <f t="shared" si="2"/>
        <v>"Invasion of alien macroalgae in different Mediterranean habitats" OR</v>
      </c>
    </row>
    <row r="107">
      <c r="C107" s="7" t="s">
        <v>826</v>
      </c>
      <c r="D107" s="20" t="s">
        <v>1453</v>
      </c>
      <c r="F107" s="20" t="s">
        <v>1454</v>
      </c>
      <c r="G107" s="20" t="str">
        <f t="shared" si="2"/>
        <v>"Invasion and management of alien Hedychium gardnerianum alter plant species composition of a montane rainforest on the island of Hawai'i" OR</v>
      </c>
    </row>
    <row r="108">
      <c r="C108" s="7" t="s">
        <v>203</v>
      </c>
      <c r="D108" s="20" t="s">
        <v>1455</v>
      </c>
      <c r="F108" s="20" t="s">
        <v>1456</v>
      </c>
      <c r="G108" s="20" t="str">
        <f t="shared" si="2"/>
        <v>"Interactive effects of nitrogen deposition, fire and grazing on diversity and composition of low-alpine prostrate Calluna vulgaris heathland" OR</v>
      </c>
    </row>
    <row r="109">
      <c r="C109" s="7" t="s">
        <v>185</v>
      </c>
      <c r="D109" s="20" t="s">
        <v>1457</v>
      </c>
      <c r="F109" s="20" t="s">
        <v>1458</v>
      </c>
      <c r="G109" s="20" t="str">
        <f t="shared" si="2"/>
        <v>"Insect diversity responses to forest conversion and agroforestry management" OR</v>
      </c>
    </row>
    <row r="110">
      <c r="C110" s="7" t="s">
        <v>278</v>
      </c>
      <c r="D110" s="20" t="s">
        <v>1459</v>
      </c>
      <c r="F110" s="20" t="s">
        <v>1460</v>
      </c>
      <c r="G110" s="20" t="str">
        <f t="shared" si="2"/>
        <v>"Influence of the invasive herb garlic mustard (Alliaria petiolata) on ground beetle (Coleoptera: Carabidae) assemblages" OR</v>
      </c>
    </row>
    <row r="111">
      <c r="C111" s="7" t="s">
        <v>930</v>
      </c>
      <c r="D111" s="20" t="s">
        <v>1461</v>
      </c>
      <c r="F111" s="20" t="s">
        <v>1462</v>
      </c>
      <c r="G111" s="20" t="str">
        <f t="shared" si="2"/>
        <v>"Influence of habitat fragmentation and crop system on columbia basin shrubsteppe communities" OR</v>
      </c>
    </row>
    <row r="112">
      <c r="C112" s="8" t="s">
        <v>1217</v>
      </c>
      <c r="D112" s="20" t="s">
        <v>1463</v>
      </c>
      <c r="F112" s="20" t="s">
        <v>1464</v>
      </c>
      <c r="G112" s="20" t="str">
        <f t="shared" si="2"/>
        <v>"Increased primary productivity shifts the stucture and composition of a terrestrial arthropod community" OR</v>
      </c>
    </row>
    <row r="113">
      <c r="C113" s="7" t="s">
        <v>581</v>
      </c>
      <c r="D113" s="20" t="s">
        <v>1255</v>
      </c>
      <c r="F113" s="20" t="s">
        <v>1256</v>
      </c>
      <c r="G113" s="20" t="str">
        <f t="shared" si="2"/>
        <v>"Increased frequency of drought reduces species richness of enchytraeid communities in both wet and dry heathland soils" OR</v>
      </c>
    </row>
    <row r="114">
      <c r="C114" s="7" t="s">
        <v>570</v>
      </c>
      <c r="D114" s="20" t="s">
        <v>1465</v>
      </c>
      <c r="F114" s="20" t="s">
        <v>1466</v>
      </c>
      <c r="G114" s="20" t="str">
        <f t="shared" si="2"/>
        <v>"Impacts of an invasive willow on riparian bird assemblages in south-eastern Australia" OR</v>
      </c>
    </row>
    <row r="115">
      <c r="C115" s="7" t="s">
        <v>782</v>
      </c>
      <c r="D115" s="20" t="s">
        <v>1467</v>
      </c>
      <c r="F115" s="20" t="s">
        <v>1468</v>
      </c>
      <c r="G115" s="20" t="str">
        <f t="shared" si="2"/>
        <v>"Impacts of a woody invader vary in different vegetation communities" OR</v>
      </c>
    </row>
    <row r="116">
      <c r="C116" s="8" t="s">
        <v>1054</v>
      </c>
      <c r="D116" s="20" t="s">
        <v>1469</v>
      </c>
      <c r="F116" s="20" t="s">
        <v>1470</v>
      </c>
      <c r="G116" s="20" t="str">
        <f t="shared" si="2"/>
        <v>"Impacts of a simulated heat wave on composition of a marine community" OR</v>
      </c>
    </row>
    <row r="117">
      <c r="C117" s="7" t="s">
        <v>821</v>
      </c>
      <c r="D117" s="20" t="s">
        <v>1471</v>
      </c>
      <c r="F117" s="20" t="s">
        <v>1472</v>
      </c>
      <c r="G117" s="20" t="str">
        <f t="shared" si="2"/>
        <v>"Impact of resource availability on species composition and diversity in freshwater nematodes" OR</v>
      </c>
    </row>
    <row r="118">
      <c r="C118" s="7" t="s">
        <v>223</v>
      </c>
      <c r="D118" s="20" t="s">
        <v>1473</v>
      </c>
      <c r="F118" s="20" t="s">
        <v>1474</v>
      </c>
      <c r="G118" s="20" t="str">
        <f t="shared" si="2"/>
        <v>"Impact of Prunus serotina invasion on understory functional diversity in a European temperate forest" OR</v>
      </c>
    </row>
    <row r="119">
      <c r="C119" s="7" t="s">
        <v>1475</v>
      </c>
      <c r="D119" s="20" t="s">
        <v>1476</v>
      </c>
      <c r="F119" s="20" t="s">
        <v>1477</v>
      </c>
      <c r="G119" s="20" t="str">
        <f t="shared" si="2"/>
        <v>"Impact of Parthenium hysterophorus L. invasion on plant species composition and soil properties of grassland communities in Nepal" OR</v>
      </c>
    </row>
    <row r="120">
      <c r="C120" s="7" t="s">
        <v>524</v>
      </c>
      <c r="D120" s="20" t="s">
        <v>1478</v>
      </c>
      <c r="F120" s="20" t="s">
        <v>1479</v>
      </c>
      <c r="G120" s="20" t="str">
        <f t="shared" si="2"/>
        <v>"Impact of invasive plants on the species richness, diversity, and composition of invaded communities" OR</v>
      </c>
    </row>
    <row r="121">
      <c r="C121" s="8" t="s">
        <v>159</v>
      </c>
      <c r="D121" s="20" t="s">
        <v>1480</v>
      </c>
      <c r="F121" s="20" t="s">
        <v>1481</v>
      </c>
      <c r="G121" s="20" t="str">
        <f t="shared" si="2"/>
        <v>"Impact of forest fragmentation on understorey plant species richness in Amazonia" OR</v>
      </c>
    </row>
    <row r="122">
      <c r="C122" s="7" t="s">
        <v>396</v>
      </c>
      <c r="D122" s="20" t="s">
        <v>1482</v>
      </c>
      <c r="F122" s="20" t="s">
        <v>1483</v>
      </c>
      <c r="G122" s="20" t="str">
        <f t="shared" si="2"/>
        <v>"Immigration and zooplankton community responses to nutrient enrichment: a mesocosm experiment" OR</v>
      </c>
    </row>
    <row r="123">
      <c r="C123" s="8" t="s">
        <v>838</v>
      </c>
      <c r="D123" s="20" t="s">
        <v>1276</v>
      </c>
      <c r="F123" s="20" t="s">
        <v>1277</v>
      </c>
      <c r="G123" s="20" t="str">
        <f t="shared" si="2"/>
        <v>"How important is climate? Effects of warming, nutrient, and fish on phytoplankton in shallow lake microcosms" OR</v>
      </c>
    </row>
    <row r="124">
      <c r="C124" s="7" t="s">
        <v>917</v>
      </c>
      <c r="D124" s="20" t="s">
        <v>1484</v>
      </c>
      <c r="F124" s="20" t="s">
        <v>1485</v>
      </c>
      <c r="G124" s="20" t="str">
        <f t="shared" si="2"/>
        <v>"How deforestation pattern in the Amazon influences vertebrate richness and community composition" OR</v>
      </c>
    </row>
    <row r="125">
      <c r="C125" s="8" t="s">
        <v>1486</v>
      </c>
      <c r="D125" s="20" t="s">
        <v>1487</v>
      </c>
      <c r="F125" s="20" t="s">
        <v>1488</v>
      </c>
      <c r="G125" s="20" t="str">
        <f t="shared" si="2"/>
        <v>"Higher abundance and diversity in faunal assemblages with the invasion of Codium fragile ssp. fragile in eelgrass meadows" OR</v>
      </c>
    </row>
    <row r="126">
      <c r="C126" s="8" t="s">
        <v>617</v>
      </c>
      <c r="D126" s="20" t="s">
        <v>1489</v>
      </c>
      <c r="F126" s="20" t="s">
        <v>1490</v>
      </c>
      <c r="G126" s="20" t="str">
        <f t="shared" si="2"/>
        <v>"High Arctic plant community resists 15 years of climate warming" OR</v>
      </c>
    </row>
    <row r="127">
      <c r="C127" s="8" t="s">
        <v>457</v>
      </c>
      <c r="D127" s="20" t="s">
        <v>1491</v>
      </c>
      <c r="F127" s="20" t="s">
        <v>1492</v>
      </c>
      <c r="G127" s="20" t="str">
        <f t="shared" si="2"/>
        <v>"Heterotroph species extinction, abundance, and biomass dynamics in an experimentally fragmented microecosystem" OR</v>
      </c>
    </row>
    <row r="128">
      <c r="C128" s="8" t="s">
        <v>1234</v>
      </c>
      <c r="D128" s="20" t="s">
        <v>1493</v>
      </c>
      <c r="F128" s="20" t="s">
        <v>1494</v>
      </c>
      <c r="G128" s="20" t="str">
        <f t="shared" si="2"/>
        <v>"Habitat fragmentation impacts on epiphyllous bryophyte communities in central amazonia" OR</v>
      </c>
    </row>
    <row r="129">
      <c r="C129" s="7" t="s">
        <v>441</v>
      </c>
      <c r="D129" s="20" t="s">
        <v>1495</v>
      </c>
      <c r="F129" s="20" t="s">
        <v>1496</v>
      </c>
      <c r="G129" s="20" t="str">
        <f t="shared" si="2"/>
        <v>"Habitat fragmentation and arthropod community change: Carrion beetles, phoeretic mites, and flies" OR</v>
      </c>
    </row>
    <row r="130">
      <c r="C130" s="7" t="s">
        <v>340</v>
      </c>
      <c r="D130" s="20" t="s">
        <v>1497</v>
      </c>
      <c r="F130" s="20" t="s">
        <v>1498</v>
      </c>
      <c r="G130" s="20" t="str">
        <f t="shared" si="2"/>
        <v>"Ground beetle assemblages along an urbanization gradient near Soro, Zealand, Denmark" OR</v>
      </c>
    </row>
    <row r="131">
      <c r="C131" s="7" t="s">
        <v>486</v>
      </c>
      <c r="D131" s="20" t="s">
        <v>1499</v>
      </c>
      <c r="F131" s="20" t="s">
        <v>1500</v>
      </c>
      <c r="G131" s="20" t="str">
        <f t="shared" si="2"/>
        <v>"Grassland invasibility and diversity: responses to nutrients, seed input, and disturbance" OR</v>
      </c>
    </row>
    <row r="132">
      <c r="C132" s="7" t="s">
        <v>468</v>
      </c>
      <c r="D132" s="20" t="s">
        <v>1501</v>
      </c>
      <c r="F132" s="20" t="s">
        <v>1502</v>
      </c>
      <c r="G132" s="20" t="str">
        <f t="shared" si="2"/>
        <v>"Gardening in the desert changes bee communities and pollination network characteristics" OR</v>
      </c>
    </row>
    <row r="133">
      <c r="C133" s="8" t="s">
        <v>227</v>
      </c>
      <c r="D133" s="20" t="s">
        <v>1503</v>
      </c>
      <c r="F133" s="20" t="s">
        <v>1504</v>
      </c>
      <c r="G133" s="20" t="str">
        <f t="shared" si="2"/>
        <v>"Fragmentation and alteration of seed dispersal processes: An initial evaluation of dung beetles, seed fate, and seedling diversity" OR</v>
      </c>
    </row>
    <row r="134">
      <c r="C134" s="7" t="s">
        <v>892</v>
      </c>
      <c r="D134" s="20" t="s">
        <v>1505</v>
      </c>
      <c r="F134" s="20" t="s">
        <v>1506</v>
      </c>
      <c r="G134" s="20" t="str">
        <f t="shared" si="2"/>
        <v>"Fragmentation alters stream fish community structure in dendritic ecological networks" OR</v>
      </c>
    </row>
    <row r="135">
      <c r="C135" s="7" t="s">
        <v>1126</v>
      </c>
      <c r="D135" s="20" t="s">
        <v>1507</v>
      </c>
      <c r="F135" s="20" t="s">
        <v>1508</v>
      </c>
      <c r="G135" s="20" t="str">
        <f t="shared" si="2"/>
        <v>"Flora and lepidoptera fauna adversely affected by invasive Lupinus polyphyllus along road verges" OR</v>
      </c>
    </row>
    <row r="136">
      <c r="C136" s="7" t="s">
        <v>749</v>
      </c>
      <c r="D136" s="20" t="s">
        <v>1509</v>
      </c>
      <c r="F136" s="20" t="s">
        <v>1510</v>
      </c>
      <c r="G136" s="20" t="str">
        <f t="shared" si="2"/>
        <v>"Fish responses to experimental fragmentation of seagrass habitat" OR</v>
      </c>
    </row>
    <row r="137">
      <c r="C137" s="7" t="s">
        <v>882</v>
      </c>
      <c r="D137" s="20" t="s">
        <v>1511</v>
      </c>
      <c r="F137" s="20" t="s">
        <v>1512</v>
      </c>
      <c r="G137" s="20" t="str">
        <f t="shared" si="2"/>
        <v>"Fertilization with nitrogen and phosphorus increases abundance of non-native species in Hawaiian montane forests" OR</v>
      </c>
    </row>
    <row r="138">
      <c r="C138" s="7" t="s">
        <v>1201</v>
      </c>
      <c r="D138" s="20" t="s">
        <v>1513</v>
      </c>
      <c r="F138" s="20" t="s">
        <v>1514</v>
      </c>
      <c r="G138" s="20" t="str">
        <f t="shared" si="2"/>
        <v>"Fertilization and litter effects on the functional group biomass, species diversity of plants, microbial biomass, and enxyme activity of two alpine meadow communities" OR</v>
      </c>
    </row>
    <row r="139">
      <c r="C139" s="8" t="s">
        <v>421</v>
      </c>
      <c r="D139" s="20" t="s">
        <v>1515</v>
      </c>
      <c r="F139" s="20" t="s">
        <v>1516</v>
      </c>
      <c r="G139" s="20" t="str">
        <f t="shared" si="2"/>
        <v>"Experimental warming causes rapid loss of plant diversity in New England salt marshes" OR</v>
      </c>
    </row>
    <row r="140">
      <c r="C140" s="8" t="s">
        <v>696</v>
      </c>
      <c r="D140" s="20" t="s">
        <v>1517</v>
      </c>
      <c r="F140" s="20" t="s">
        <v>1518</v>
      </c>
      <c r="G140" s="20" t="str">
        <f t="shared" si="2"/>
        <v>"Experimental warming causes large and rapid species loss, dampened by simulated grazing, on the Tibetan Plateau" OR</v>
      </c>
    </row>
    <row r="141">
      <c r="C141" s="8" t="s">
        <v>198</v>
      </c>
      <c r="D141" s="20" t="s">
        <v>1519</v>
      </c>
      <c r="F141" s="20" t="s">
        <v>1520</v>
      </c>
      <c r="G141" s="20" t="str">
        <f t="shared" si="2"/>
        <v>"Experimental small scale grassland fragmentation alters aphid population dynamics" OR</v>
      </c>
    </row>
    <row r="142">
      <c r="C142" s="7" t="s">
        <v>494</v>
      </c>
      <c r="D142" s="20" t="s">
        <v>1521</v>
      </c>
      <c r="F142" s="20" t="s">
        <v>1522</v>
      </c>
      <c r="G142" s="20" t="str">
        <f t="shared" si="2"/>
        <v>"Experimental removal of a dominant species at two levels of soil fertility" OR</v>
      </c>
    </row>
    <row r="143">
      <c r="C143" s="8" t="s">
        <v>1035</v>
      </c>
      <c r="D143" s="20" t="s">
        <v>1523</v>
      </c>
      <c r="F143" s="20" t="s">
        <v>1524</v>
      </c>
      <c r="G143" s="20" t="str">
        <f t="shared" si="2"/>
        <v>"Experimental plant invasion reduces arthropod abundance and richness across multiple trophic levels" OR</v>
      </c>
    </row>
    <row r="144">
      <c r="C144" s="7" t="s">
        <v>810</v>
      </c>
      <c r="D144" s="20" t="s">
        <v>1525</v>
      </c>
      <c r="F144" s="20" t="s">
        <v>1526</v>
      </c>
      <c r="G144" s="20" t="str">
        <f t="shared" si="2"/>
        <v>"Experimental introduction of the alien plant Hieracium lepidulum reveals no significant impact on Montane plant communities in New Zealand" OR</v>
      </c>
    </row>
    <row r="145">
      <c r="C145" s="7" t="s">
        <v>1067</v>
      </c>
      <c r="D145" s="20" t="s">
        <v>1527</v>
      </c>
      <c r="F145" s="20" t="s">
        <v>1528</v>
      </c>
      <c r="G145" s="20" t="str">
        <f t="shared" si="2"/>
        <v>"Experimental habitat fragmentation and invertebrate grazing in a herbaceous grassland species" OR</v>
      </c>
    </row>
    <row r="146">
      <c r="C146" s="8" t="s">
        <v>736</v>
      </c>
      <c r="D146" s="20" t="s">
        <v>1529</v>
      </c>
      <c r="F146" s="20" t="s">
        <v>1530</v>
      </c>
      <c r="G146" s="20" t="str">
        <f t="shared" si="2"/>
        <v>"Experimental evidence of reduced diversity of seedlings due to climate modification in a Mediterranean-type community" OR</v>
      </c>
    </row>
    <row r="147">
      <c r="C147" s="7" t="s">
        <v>1096</v>
      </c>
      <c r="D147" s="20" t="s">
        <v>1531</v>
      </c>
      <c r="F147" s="20" t="s">
        <v>1532</v>
      </c>
      <c r="G147" s="20" t="str">
        <f t="shared" si="2"/>
        <v>"Experimental evidence for positive effects of invasive seaweed on native invertebrates via habitat-formation in a seagrass bed" OR</v>
      </c>
    </row>
    <row r="148">
      <c r="C148" s="7" t="s">
        <v>921</v>
      </c>
      <c r="D148" s="20" t="s">
        <v>1533</v>
      </c>
      <c r="F148" s="20" t="s">
        <v>1534</v>
      </c>
      <c r="G148" s="20" t="str">
        <f t="shared" si="2"/>
        <v>"Experimental evidence for interactive impact of human activities on lake algal species richness" OR</v>
      </c>
    </row>
    <row r="149">
      <c r="C149" s="8" t="s">
        <v>453</v>
      </c>
      <c r="D149" s="20" t="s">
        <v>1535</v>
      </c>
      <c r="F149" s="20" t="s">
        <v>1536</v>
      </c>
      <c r="G149" s="20" t="str">
        <f t="shared" si="2"/>
        <v>"Experimental effects of habitat fragmentation on old-field canopy insects: community, guild, and species responses" OR</v>
      </c>
    </row>
    <row r="150">
      <c r="C150" s="8" t="s">
        <v>913</v>
      </c>
      <c r="D150" s="20" t="s">
        <v>1537</v>
      </c>
      <c r="F150" s="20" t="s">
        <v>1538</v>
      </c>
      <c r="G150" s="20" t="str">
        <f t="shared" si="2"/>
        <v>"Experimental drought and warming decrease diversity and slow down post-fire succession in a Mediterranean shrubland" OR</v>
      </c>
    </row>
    <row r="151">
      <c r="C151" s="7" t="s">
        <v>430</v>
      </c>
      <c r="D151" s="20" t="s">
        <v>1539</v>
      </c>
      <c r="F151" s="20" t="s">
        <v>1540</v>
      </c>
      <c r="G151" s="20" t="str">
        <f t="shared" si="2"/>
        <v>"Exotic invasive knotweeds (Fallopia spp.) negatively affect native plant and invertebrate assemblages in European riparian habitats" OR</v>
      </c>
    </row>
    <row r="152">
      <c r="C152" s="8" t="s">
        <v>1189</v>
      </c>
      <c r="D152" s="20" t="s">
        <v>1541</v>
      </c>
      <c r="F152" s="20" t="s">
        <v>1542</v>
      </c>
      <c r="G152" s="20" t="str">
        <f t="shared" si="2"/>
        <v>"Elevated air temperature alters an old-field insect community in a multifactor climate change experiment" OR</v>
      </c>
    </row>
    <row r="153">
      <c r="C153" s="7" t="s">
        <v>1197</v>
      </c>
      <c r="D153" s="20" t="s">
        <v>1543</v>
      </c>
      <c r="F153" s="20" t="s">
        <v>1544</v>
      </c>
      <c r="G153" s="20" t="str">
        <f t="shared" si="2"/>
        <v>"Effects of urbanization on plant species diversity in central Arizona" OR</v>
      </c>
    </row>
    <row r="154">
      <c r="C154" s="7" t="s">
        <v>756</v>
      </c>
      <c r="D154" s="20" t="s">
        <v>1545</v>
      </c>
      <c r="F154" s="20" t="s">
        <v>1546</v>
      </c>
      <c r="G154" s="20" t="str">
        <f t="shared" si="2"/>
        <v>"Effects of urbanization on ground-dwelling spiders in forest patches, in Hungary" OR</v>
      </c>
    </row>
    <row r="155">
      <c r="C155" s="7" t="s">
        <v>1193</v>
      </c>
      <c r="D155" s="20" t="s">
        <v>1547</v>
      </c>
      <c r="F155" s="20" t="s">
        <v>1548</v>
      </c>
      <c r="G155" s="20" t="str">
        <f t="shared" si="2"/>
        <v>"Effects of urbanization and urban stream restoration on the physical and biological structure of stream ecosystems" OR</v>
      </c>
    </row>
    <row r="156">
      <c r="C156" s="7" t="s">
        <v>320</v>
      </c>
      <c r="D156" s="20" t="s">
        <v>1549</v>
      </c>
      <c r="F156" s="20" t="s">
        <v>1550</v>
      </c>
      <c r="G156" s="20" t="str">
        <f t="shared" si="2"/>
        <v>"Effects of the exotic macrophyte, para grass (Urochloa mutica), on benthic and epiphytic macroinvertebrates of a tropical floodplain" OR</v>
      </c>
    </row>
    <row r="157">
      <c r="C157" s="7" t="s">
        <v>946</v>
      </c>
      <c r="D157" s="20" t="s">
        <v>1551</v>
      </c>
      <c r="F157" s="20" t="s">
        <v>1552</v>
      </c>
      <c r="G157" s="20" t="str">
        <f t="shared" si="2"/>
        <v>"Effects of small-scale habitat fragmentation, habitat corridors and mainland dispersal on soil decomposer organisms" OR</v>
      </c>
    </row>
    <row r="158">
      <c r="C158" s="7" t="s">
        <v>960</v>
      </c>
      <c r="D158" s="20" t="s">
        <v>1553</v>
      </c>
      <c r="F158" s="20" t="s">
        <v>1554</v>
      </c>
      <c r="G158" s="20" t="str">
        <f t="shared" si="2"/>
        <v>"Effects of road salt and Phragmites australis invasion on the vegetation of a Western Massacheusetts calcareous lake-basin fen" OR</v>
      </c>
    </row>
    <row r="159">
      <c r="C159" s="8" t="s">
        <v>1555</v>
      </c>
      <c r="D159" s="20" t="s">
        <v>1556</v>
      </c>
      <c r="F159" s="20" t="s">
        <v>1557</v>
      </c>
      <c r="G159" s="20" t="str">
        <f t="shared" si="2"/>
        <v>"Effects of point-source nutrient addtiion and mussel removal on epibiotic assemblages in Perumytilus purpuratus beds" OR</v>
      </c>
    </row>
    <row r="160">
      <c r="C160" s="7" t="s">
        <v>174</v>
      </c>
      <c r="D160" s="20" t="s">
        <v>1558</v>
      </c>
      <c r="F160" s="20" t="s">
        <v>1559</v>
      </c>
      <c r="G160" s="20" t="str">
        <f t="shared" si="2"/>
        <v>"Effects of nutrient enrichment in Dutch chalk grassland" OR</v>
      </c>
    </row>
    <row r="161">
      <c r="C161" s="8" t="s">
        <v>977</v>
      </c>
      <c r="D161" s="20" t="s">
        <v>1560</v>
      </c>
      <c r="F161" s="20" t="s">
        <v>1561</v>
      </c>
      <c r="G161" s="20" t="str">
        <f t="shared" si="2"/>
        <v>"Effects of nutrient addition and acidification on plant species diversity and seed germination in heathland" OR</v>
      </c>
    </row>
    <row r="162">
      <c r="C162" s="7" t="s">
        <v>1242</v>
      </c>
      <c r="D162" s="20" t="s">
        <v>1562</v>
      </c>
      <c r="F162" s="20" t="s">
        <v>1563</v>
      </c>
      <c r="G162" s="20" t="str">
        <f t="shared" si="2"/>
        <v>"Effects of non-native plants on the native insect community of Delaware" OR</v>
      </c>
    </row>
    <row r="163">
      <c r="C163" s="7" t="s">
        <v>408</v>
      </c>
      <c r="D163" s="20" t="s">
        <v>1564</v>
      </c>
      <c r="F163" s="20" t="s">
        <v>1565</v>
      </c>
      <c r="G163" s="20" t="str">
        <f t="shared" si="2"/>
        <v>"Effects of nitrogen and phosphorus additions on primary production and invertebrate densities in a Georgia (USA) tidal freshwater marsh" OR</v>
      </c>
    </row>
    <row r="164">
      <c r="C164" s="7" t="s">
        <v>613</v>
      </c>
      <c r="D164" s="20" t="s">
        <v>1566</v>
      </c>
      <c r="F164" s="20" t="s">
        <v>1567</v>
      </c>
      <c r="G164" s="20" t="str">
        <f t="shared" si="2"/>
        <v>"Effects of nitrogen addition on successional dynamics and species diversity in Michigan old-fields" OR</v>
      </c>
    </row>
    <row r="165">
      <c r="C165" s="8" t="s">
        <v>722</v>
      </c>
      <c r="D165" s="20" t="s">
        <v>1568</v>
      </c>
      <c r="F165" s="20" t="s">
        <v>1569</v>
      </c>
      <c r="G165" s="20" t="str">
        <f t="shared" si="2"/>
        <v>"Effects of long-term nutrient fertilisation and irrigation on the microarthropod community in a boreal Norway spruce stand" OR</v>
      </c>
    </row>
    <row r="166">
      <c r="C166" s="7" t="s">
        <v>679</v>
      </c>
      <c r="D166" s="20" t="s">
        <v>1570</v>
      </c>
      <c r="F166" s="20" t="s">
        <v>1571</v>
      </c>
      <c r="G166" s="20" t="str">
        <f t="shared" si="2"/>
        <v>"Effects of logged and unlogged forest patches on avifaunal diversity" OR</v>
      </c>
    </row>
    <row r="167">
      <c r="C167" s="7" t="s">
        <v>303</v>
      </c>
      <c r="D167" s="20" t="s">
        <v>1572</v>
      </c>
      <c r="F167" s="20" t="s">
        <v>1573</v>
      </c>
      <c r="G167" s="20" t="str">
        <f t="shared" si="2"/>
        <v>"Effects of land usage on dung beetle assemblage structure: Kruger National Park vesus adjacent farmland in South Africa" OR</v>
      </c>
    </row>
    <row r="168">
      <c r="C168" s="7" t="s">
        <v>657</v>
      </c>
      <c r="D168" s="20" t="s">
        <v>1574</v>
      </c>
      <c r="F168" s="20" t="s">
        <v>1575</v>
      </c>
      <c r="G168" s="20" t="str">
        <f t="shared" si="2"/>
        <v>"Effects of habitat-modifying invasive macroalgae on epiphytic algal communities" OR</v>
      </c>
    </row>
    <row r="169">
      <c r="C169" s="8" t="s">
        <v>1237</v>
      </c>
      <c r="D169" s="20" t="s">
        <v>1576</v>
      </c>
      <c r="F169" s="20" t="s">
        <v>1577</v>
      </c>
      <c r="G169" s="20" t="str">
        <f t="shared" si="2"/>
        <v>"Effects of habitat loss, habitat fragmentation, and isolation on the density, species richness, and distribution of ladybeetles in manipulated alfalfa landscapes" OR</v>
      </c>
    </row>
    <row r="170">
      <c r="C170" s="7" t="s">
        <v>482</v>
      </c>
      <c r="D170" s="20" t="s">
        <v>1578</v>
      </c>
      <c r="F170" s="20" t="s">
        <v>1579</v>
      </c>
      <c r="G170" s="20" t="str">
        <f t="shared" si="2"/>
        <v>"Effects of habitat loss and fragmentation on the abundance and species richness of aphidophagous beetles and aphids in experimental alfalfa landscapes" OR</v>
      </c>
    </row>
    <row r="171">
      <c r="C171" s="8" t="s">
        <v>283</v>
      </c>
      <c r="D171" s="20" t="s">
        <v>1580</v>
      </c>
      <c r="F171" s="20" t="s">
        <v>1581</v>
      </c>
      <c r="G171" s="20" t="str">
        <f t="shared" si="2"/>
        <v>"Effects of habitat fragmentation on carabid beetles: experimental evidence" OR</v>
      </c>
    </row>
    <row r="172">
      <c r="C172" s="8" t="s">
        <v>245</v>
      </c>
      <c r="D172" s="20" t="s">
        <v>1582</v>
      </c>
      <c r="F172" s="20" t="s">
        <v>1583</v>
      </c>
      <c r="G172" s="20" t="str">
        <f t="shared" si="2"/>
        <v>"Effects of grassland fragmentation on insect species loss, colonization, and movement patterns" OR</v>
      </c>
    </row>
    <row r="173">
      <c r="C173" s="8" t="s">
        <v>121</v>
      </c>
      <c r="D173" s="20" t="s">
        <v>1584</v>
      </c>
      <c r="F173" s="20" t="s">
        <v>1585</v>
      </c>
      <c r="G173" s="20" t="str">
        <f t="shared" si="2"/>
        <v>"Effects of forest fragmentation on the beetle assemblage at the relict forest of Fray Jorge, Chile" OR</v>
      </c>
    </row>
    <row r="174">
      <c r="C174" s="8" t="s">
        <v>376</v>
      </c>
      <c r="D174" s="20" t="s">
        <v>1586</v>
      </c>
      <c r="F174" s="20" t="s">
        <v>1587</v>
      </c>
      <c r="G174" s="20" t="str">
        <f t="shared" si="2"/>
        <v>"Effects of forest fragmentation on a dung beetle community in French Guiana" OR</v>
      </c>
    </row>
    <row r="175">
      <c r="C175" s="7" t="s">
        <v>990</v>
      </c>
      <c r="D175" s="20" t="s">
        <v>1588</v>
      </c>
      <c r="F175" s="20" t="s">
        <v>1589</v>
      </c>
      <c r="G175" s="20" t="str">
        <f t="shared" si="2"/>
        <v>"Effects of fertilizer and land-use type on soil properties and ground beetle assemblages" OR</v>
      </c>
    </row>
    <row r="176">
      <c r="C176" s="8" t="s">
        <v>740</v>
      </c>
      <c r="D176" s="20" t="s">
        <v>1590</v>
      </c>
      <c r="F176" s="20" t="s">
        <v>1591</v>
      </c>
      <c r="G176" s="20" t="str">
        <f t="shared" si="2"/>
        <v>"Effects of experimental nitrogen additions on plant diversity in an old-growth tropical forest" OR</v>
      </c>
    </row>
    <row r="177">
      <c r="C177" s="7" t="s">
        <v>164</v>
      </c>
      <c r="D177" s="20" t="s">
        <v>1592</v>
      </c>
      <c r="F177" s="20" t="s">
        <v>1593</v>
      </c>
      <c r="G177" s="20" t="str">
        <f t="shared" si="2"/>
        <v>"Effects of English ivy (Hedera helix) on seed bank formation and germination" OR</v>
      </c>
    </row>
    <row r="178">
      <c r="C178" s="7" t="s">
        <v>1008</v>
      </c>
      <c r="D178" s="20" t="s">
        <v>1594</v>
      </c>
      <c r="F178" s="20" t="s">
        <v>1595</v>
      </c>
      <c r="G178" s="20" t="str">
        <f t="shared" si="2"/>
        <v>"Effects of elevated nitrogen and exotic plant invasion on soil seed bank composition in Joshua Tree National Park" OR</v>
      </c>
    </row>
    <row r="179">
      <c r="C179" s="8" t="s">
        <v>263</v>
      </c>
      <c r="D179" s="20" t="s">
        <v>1596</v>
      </c>
      <c r="F179" s="20" t="s">
        <v>1597</v>
      </c>
      <c r="G179" s="20" t="str">
        <f t="shared" si="2"/>
        <v>"Effects of anthropogenic activities on lizard communities in northern Madagascar" OR</v>
      </c>
    </row>
    <row r="180">
      <c r="C180" s="7" t="s">
        <v>75</v>
      </c>
      <c r="D180" s="20" t="s">
        <v>1598</v>
      </c>
      <c r="F180" s="20" t="s">
        <v>1599</v>
      </c>
      <c r="G180" s="20" t="str">
        <f t="shared" si="2"/>
        <v>"Effects of an invasive cattail species (Typha x glauca) on sediment nitrogen and microbial community composition in a freshwater wetland" OR</v>
      </c>
    </row>
    <row r="181">
      <c r="C181" s="7" t="s">
        <v>1076</v>
      </c>
      <c r="D181" s="20" t="s">
        <v>1600</v>
      </c>
      <c r="F181" s="20" t="s">
        <v>1601</v>
      </c>
      <c r="G181" s="20" t="str">
        <f t="shared" si="2"/>
        <v>"Effects of additional N on herbaceous species of desertified steppe in arid regions of China: a four-year field study" OR</v>
      </c>
    </row>
    <row r="182">
      <c r="C182" s="7" t="s">
        <v>846</v>
      </c>
      <c r="D182" s="20" t="s">
        <v>1602</v>
      </c>
      <c r="F182" s="20" t="s">
        <v>1603</v>
      </c>
      <c r="G182" s="20" t="str">
        <f t="shared" si="2"/>
        <v>"Effect of weeds Lantan camara and Chronelina odorata growth on the species diversity, regeneration and stem density of tree and shrub layer in BRT sanctuary" OR</v>
      </c>
    </row>
    <row r="183">
      <c r="C183" s="8" t="s">
        <v>499</v>
      </c>
      <c r="D183" s="20" t="s">
        <v>1604</v>
      </c>
      <c r="F183" s="20" t="s">
        <v>1605</v>
      </c>
      <c r="G183" s="20" t="str">
        <f t="shared" si="2"/>
        <v>"Effect of simulated environmental change on alpine soil arthropods" OR</v>
      </c>
    </row>
    <row r="184">
      <c r="C184" s="7" t="s">
        <v>986</v>
      </c>
      <c r="D184" s="20" t="s">
        <v>1606</v>
      </c>
      <c r="F184" s="20" t="s">
        <v>1607</v>
      </c>
      <c r="G184" s="20" t="str">
        <f t="shared" si="2"/>
        <v>"Effect of land use on anuran species composition in north-eastern KwaZulu-Natal, South Africa" OR</v>
      </c>
    </row>
    <row r="185">
      <c r="C185" s="8" t="s">
        <v>292</v>
      </c>
      <c r="D185" s="20" t="s">
        <v>1608</v>
      </c>
      <c r="F185" s="20" t="s">
        <v>1609</v>
      </c>
      <c r="G185" s="20" t="str">
        <f t="shared" si="2"/>
        <v>"Effect of deforestation on a Southwest Ghana dung beetle assemblage (Coleoptera:Scarabaediae) at the periphery of Ankasa conservation area" OR</v>
      </c>
    </row>
    <row r="186">
      <c r="C186" s="7" t="s">
        <v>635</v>
      </c>
      <c r="D186" s="20" t="s">
        <v>1610</v>
      </c>
      <c r="F186" s="20" t="s">
        <v>1611</v>
      </c>
      <c r="G186" s="20" t="str">
        <f t="shared" si="2"/>
        <v>"Effect of catchment urbanization on ant diversity in remnant riparian corridors" OR</v>
      </c>
    </row>
    <row r="187">
      <c r="C187" s="7" t="s">
        <v>1612</v>
      </c>
      <c r="D187" s="20" t="s">
        <v>1613</v>
      </c>
      <c r="F187" s="20" t="s">
        <v>1614</v>
      </c>
      <c r="G187" s="20" t="str">
        <f t="shared" si="2"/>
        <v>"Ecological impacts of the invasive grass Sorghum halepense on native tallgrass prairie" OR</v>
      </c>
    </row>
    <row r="188">
      <c r="C188" s="7" t="s">
        <v>873</v>
      </c>
      <c r="D188" s="20" t="s">
        <v>1615</v>
      </c>
      <c r="F188" s="20" t="s">
        <v>1616</v>
      </c>
      <c r="G188" s="20" t="str">
        <f t="shared" si="2"/>
        <v>"Dung beetles of the Kabale forest, Uganda: comparison between virgin and managed forests" OR</v>
      </c>
    </row>
    <row r="189">
      <c r="C189" s="7" t="s">
        <v>352</v>
      </c>
      <c r="D189" s="20" t="s">
        <v>1617</v>
      </c>
      <c r="F189" s="20" t="s">
        <v>1618</v>
      </c>
      <c r="G189" s="20" t="str">
        <f t="shared" si="2"/>
        <v>"Dung beetles in continuous forest, forest fragments and in a agricultural mosaic habitat island at Los Tuxtlas, Mexico" OR</v>
      </c>
    </row>
    <row r="190">
      <c r="C190" s="7" t="s">
        <v>297</v>
      </c>
      <c r="D190" s="20" t="s">
        <v>1619</v>
      </c>
      <c r="F190" s="20" t="s">
        <v>1620</v>
      </c>
      <c r="G190" s="20" t="str">
        <f t="shared" si="2"/>
        <v>"Dung beetles as indicators of change in the forests of northern Borneo" OR</v>
      </c>
    </row>
    <row r="191">
      <c r="C191" s="8" t="s">
        <v>852</v>
      </c>
      <c r="D191" s="20" t="s">
        <v>1621</v>
      </c>
      <c r="F191" s="20" t="s">
        <v>1622</v>
      </c>
      <c r="G191" s="20" t="str">
        <f t="shared" si="2"/>
        <v>"Dung beetle diversity in continous forest, forest fragments, and cattle pastures in a landscape of Chiapas, Mexico: the effects of anthropogenic changes" OR</v>
      </c>
    </row>
    <row r="192">
      <c r="C192" s="7" t="s">
        <v>998</v>
      </c>
      <c r="D192" s="20" t="s">
        <v>1623</v>
      </c>
      <c r="F192" s="20" t="s">
        <v>1624</v>
      </c>
      <c r="G192" s="20" t="str">
        <f t="shared" si="2"/>
        <v>"Dung beetle diversity and community structure across three disturbance regimes in Eastern Amazonia" OR</v>
      </c>
    </row>
    <row r="193">
      <c r="C193" s="8" t="s">
        <v>98</v>
      </c>
      <c r="D193" s="20" t="s">
        <v>1625</v>
      </c>
      <c r="F193" s="20" t="s">
        <v>1626</v>
      </c>
      <c r="G193" s="20" t="str">
        <f t="shared" si="2"/>
        <v>"Dung beetle community (Coleoptera:Scarabaedae:Scarabaeinae) in a tropical landscape at the Lachua Region, Guatemala" OR</v>
      </c>
    </row>
    <row r="194">
      <c r="C194" s="8" t="s">
        <v>68</v>
      </c>
      <c r="D194" s="20" t="s">
        <v>1627</v>
      </c>
      <c r="F194" s="20" t="s">
        <v>1628</v>
      </c>
      <c r="G194" s="20" t="str">
        <f t="shared" si="2"/>
        <v>"Dung beetle assemblages in primary forest and disturbed habitats in a tropical dry forest landscape in western Mexico" OR</v>
      </c>
    </row>
    <row r="195">
      <c r="C195" s="8" t="s">
        <v>366</v>
      </c>
      <c r="D195" s="20" t="s">
        <v>1629</v>
      </c>
      <c r="F195" s="20" t="s">
        <v>1630</v>
      </c>
      <c r="G195" s="20" t="str">
        <f t="shared" si="2"/>
        <v>"Dung and carrion beetles in tropical rain forest fragments and agricultural habitats at Los Tuxtlas, Mexico" OR</v>
      </c>
    </row>
    <row r="196">
      <c r="C196" s="7" t="s">
        <v>190</v>
      </c>
      <c r="D196" s="20" t="s">
        <v>1631</v>
      </c>
      <c r="F196" s="20" t="s">
        <v>1632</v>
      </c>
      <c r="G196" s="20" t="str">
        <f t="shared" si="2"/>
        <v>"Dug beetle community and functions along a habitat-disturbance gradient in the Amazon: A rapid assessment of ecological functions associated to biodiversity" OR</v>
      </c>
    </row>
    <row r="197">
      <c r="C197" s="7" t="s">
        <v>473</v>
      </c>
      <c r="D197" s="20" t="s">
        <v>1633</v>
      </c>
      <c r="F197" s="20" t="s">
        <v>1634</v>
      </c>
      <c r="G197" s="20" t="str">
        <f t="shared" si="2"/>
        <v>"Dry heath arctic tundra responses to long-term nutrient and light manipulation" OR</v>
      </c>
    </row>
    <row r="198">
      <c r="C198" s="8" t="s">
        <v>360</v>
      </c>
      <c r="D198" s="20" t="s">
        <v>1635</v>
      </c>
      <c r="F198" s="20" t="s">
        <v>1636</v>
      </c>
      <c r="G198" s="20" t="str">
        <f t="shared" si="2"/>
        <v>"Diversity of neotropical migratory landbird species assemblages in forest fragments and man-made vegetation in Los Tuxtlas, Mexico" OR</v>
      </c>
    </row>
    <row r="199">
      <c r="C199" s="7" t="s">
        <v>43</v>
      </c>
      <c r="D199" s="20" t="s">
        <v>1637</v>
      </c>
      <c r="F199" s="20" t="s">
        <v>1638</v>
      </c>
      <c r="G199" s="20" t="str">
        <f t="shared" si="2"/>
        <v>"Diversity declines in Microstegium vimineum (Japanese stiltgrass) patches" OR</v>
      </c>
    </row>
    <row r="200">
      <c r="C200" s="7" t="s">
        <v>705</v>
      </c>
      <c r="D200" s="20" t="s">
        <v>1639</v>
      </c>
      <c r="F200" s="20" t="s">
        <v>1640</v>
      </c>
      <c r="G200" s="20" t="str">
        <f t="shared" si="2"/>
        <v>"Diversity and distribution of macroinvertebrates in lentic habitats in massively altered landscapes in south-eastern Australia" OR</v>
      </c>
    </row>
    <row r="201">
      <c r="C201" s="8" t="s">
        <v>168</v>
      </c>
      <c r="D201" s="20" t="s">
        <v>1641</v>
      </c>
      <c r="F201" s="20" t="s">
        <v>1642</v>
      </c>
      <c r="G201" s="20" t="str">
        <f t="shared" si="2"/>
        <v>"Disturbance effects on species diversity and functional diversity in riparian and upland plant communities" OR</v>
      </c>
    </row>
    <row r="202">
      <c r="C202" s="7" t="s">
        <v>1221</v>
      </c>
      <c r="D202" s="20" t="s">
        <v>1643</v>
      </c>
      <c r="F202" s="20" t="s">
        <v>1644</v>
      </c>
      <c r="G202" s="20" t="str">
        <f t="shared" si="2"/>
        <v>"Direct versus indirect effects of habitat fragmentation on community patterns in experimental landscapes" OR</v>
      </c>
    </row>
    <row r="203">
      <c r="C203" s="7" t="s">
        <v>241</v>
      </c>
      <c r="D203" s="20" t="s">
        <v>1645</v>
      </c>
      <c r="F203" s="20" t="s">
        <v>1646</v>
      </c>
      <c r="G203" s="20" t="str">
        <f t="shared" si="2"/>
        <v>"Diminished plant richness and abundance below Lonicera maackii, an invasive shrub" OR</v>
      </c>
    </row>
    <row r="204">
      <c r="C204" s="8" t="s">
        <v>969</v>
      </c>
      <c r="D204" s="20" t="s">
        <v>1647</v>
      </c>
      <c r="F204" s="20" t="s">
        <v>1648</v>
      </c>
      <c r="G204" s="20" t="str">
        <f t="shared" si="2"/>
        <v>"Differential effects of native and invasive algal wrack on macrofaunal assemblages inhabiting exposed sandy beaches" OR</v>
      </c>
    </row>
    <row r="205">
      <c r="C205" s="7" t="s">
        <v>878</v>
      </c>
      <c r="D205" s="20" t="s">
        <v>1649</v>
      </c>
      <c r="F205" s="20" t="s">
        <v>1650</v>
      </c>
      <c r="G205" s="20" t="str">
        <f t="shared" si="2"/>
        <v>"Differences in the effects of selective logging on apmphibian assemblages in three west African forest types" OR</v>
      </c>
    </row>
    <row r="206">
      <c r="C206" s="8" t="s">
        <v>887</v>
      </c>
      <c r="D206" s="20" t="s">
        <v>1651</v>
      </c>
      <c r="F206" s="20" t="s">
        <v>1652</v>
      </c>
      <c r="G206" s="20" t="str">
        <f t="shared" si="2"/>
        <v>"Density-dependant impacts of exotic conifer invasion on grassland invertebrate assemblages" OR</v>
      </c>
    </row>
    <row r="207">
      <c r="C207" s="8" t="s">
        <v>589</v>
      </c>
      <c r="D207" s="20" t="s">
        <v>1653</v>
      </c>
      <c r="F207" s="20" t="s">
        <v>1654</v>
      </c>
      <c r="G207" s="20" t="str">
        <f t="shared" si="2"/>
        <v>"Countryside biogeography of tropical butterflies" OR</v>
      </c>
    </row>
    <row r="208">
      <c r="C208" s="8" t="s">
        <v>268</v>
      </c>
      <c r="D208" s="20" t="s">
        <v>1655</v>
      </c>
      <c r="F208" s="20" t="s">
        <v>1656</v>
      </c>
      <c r="G208" s="20" t="str">
        <f t="shared" si="2"/>
        <v>"Countryside biogeography of neotropical mammals: Conservation opportunities in agricultural landscapes of Costa Rica" OR</v>
      </c>
    </row>
    <row r="209">
      <c r="C209" s="8" t="s">
        <v>964</v>
      </c>
      <c r="D209" s="20" t="s">
        <v>1657</v>
      </c>
      <c r="F209" s="20" t="s">
        <v>1658</v>
      </c>
      <c r="G209" s="20" t="str">
        <f t="shared" si="2"/>
        <v>"Countryside biogeography of moths in a fragmented landscape: biodiversity in native and agricultural habitats" OR</v>
      </c>
    </row>
    <row r="210">
      <c r="C210" s="8" t="s">
        <v>445</v>
      </c>
      <c r="D210" s="20" t="s">
        <v>1659</v>
      </c>
      <c r="F210" s="20" t="s">
        <v>1660</v>
      </c>
      <c r="G210" s="20" t="str">
        <f t="shared" si="2"/>
        <v>"Corridors maintain species richness in the fragmented landscapes of a microecosystem" OR</v>
      </c>
    </row>
    <row r="211">
      <c r="C211" s="7" t="s">
        <v>1213</v>
      </c>
      <c r="D211" s="20" t="s">
        <v>1661</v>
      </c>
      <c r="F211" s="20" t="s">
        <v>1662</v>
      </c>
      <c r="G211" s="20" t="str">
        <f t="shared" si="2"/>
        <v>"Control of epibenthic ciliate communities by grazers and nutrients" OR</v>
      </c>
    </row>
    <row r="212">
      <c r="C212" s="7" t="s">
        <v>565</v>
      </c>
      <c r="D212" s="20" t="s">
        <v>1663</v>
      </c>
      <c r="F212" s="20" t="s">
        <v>1664</v>
      </c>
      <c r="G212" s="20" t="str">
        <f t="shared" si="2"/>
        <v>"Contrasting landscape effects on species diversity and invasion success within a predator community" OR</v>
      </c>
    </row>
    <row r="213">
      <c r="C213" s="7" t="s">
        <v>126</v>
      </c>
      <c r="D213" s="20" t="s">
        <v>1665</v>
      </c>
      <c r="F213" s="20" t="s">
        <v>1666</v>
      </c>
      <c r="G213" s="20" t="str">
        <f t="shared" si="2"/>
        <v>"Contrasting effects of invasive plants in plant-pollinator networks" OR</v>
      </c>
    </row>
    <row r="214">
      <c r="C214" s="8" t="s">
        <v>180</v>
      </c>
      <c r="D214" s="20" t="s">
        <v>1667</v>
      </c>
      <c r="F214" s="20" t="s">
        <v>1668</v>
      </c>
      <c r="G214" s="20" t="str">
        <f t="shared" si="2"/>
        <v>"Contrasting effects of habitat loss and fragmentation on coral-associated reef fishes" OR</v>
      </c>
    </row>
    <row r="215">
      <c r="C215" s="7" t="s">
        <v>1669</v>
      </c>
      <c r="D215" s="20" t="s">
        <v>1670</v>
      </c>
      <c r="F215" s="20" t="s">
        <v>1671</v>
      </c>
      <c r="G215" s="20" t="str">
        <f t="shared" si="2"/>
        <v>"Consequences of invasion by the alien plant Mimulus guttatus on the species composition and soil properties of riparian plant communities in Scotland" OR</v>
      </c>
    </row>
    <row r="216">
      <c r="C216" s="8" t="s">
        <v>1063</v>
      </c>
      <c r="D216" s="20" t="s">
        <v>1672</v>
      </c>
      <c r="F216" s="20" t="s">
        <v>1673</v>
      </c>
      <c r="G216" s="20" t="str">
        <f t="shared" si="2"/>
        <v>"Connectivity, non-random extinction, and ecosystem function in experimental meta-communities" OR</v>
      </c>
    </row>
    <row r="217">
      <c r="C217" s="7" t="s">
        <v>701</v>
      </c>
      <c r="D217" s="20" t="s">
        <v>1674</v>
      </c>
      <c r="F217" s="20" t="s">
        <v>1675</v>
      </c>
      <c r="G217" s="20" t="str">
        <f t="shared" si="2"/>
        <v>"Compositional and functional stability of arthropod communities in the face of ant invasions" OR</v>
      </c>
    </row>
    <row r="218">
      <c r="C218" s="8" t="s">
        <v>215</v>
      </c>
      <c r="D218" s="20" t="s">
        <v>1676</v>
      </c>
      <c r="F218" s="20" t="s">
        <v>1677</v>
      </c>
      <c r="G218" s="20" t="str">
        <f t="shared" si="2"/>
        <v>"Complex responses within a desert bee guild (Hymenoptera: Apiformes) to urban habitat fragmentation" OR</v>
      </c>
    </row>
    <row r="219">
      <c r="C219" s="7" t="s">
        <v>107</v>
      </c>
      <c r="D219" s="20" t="s">
        <v>1678</v>
      </c>
      <c r="F219" s="20" t="s">
        <v>1679</v>
      </c>
      <c r="G219" s="20" t="str">
        <f t="shared" si="2"/>
        <v>"Competitive abilities of native and introduced grasses" OR</v>
      </c>
    </row>
    <row r="220">
      <c r="C220" s="7" t="s">
        <v>1031</v>
      </c>
      <c r="D220" s="20" t="s">
        <v>1680</v>
      </c>
      <c r="F220" s="20" t="s">
        <v>1681</v>
      </c>
      <c r="G220" s="20" t="str">
        <f t="shared" si="2"/>
        <v>"Comparison of plant diversity in protected and communal lands in the Bushbuckridge lowveld savanna, South Africa" OR</v>
      </c>
    </row>
    <row r="221">
      <c r="C221" s="7" t="s">
        <v>288</v>
      </c>
      <c r="D221" s="20" t="s">
        <v>1682</v>
      </c>
      <c r="F221" s="20" t="s">
        <v>1683</v>
      </c>
      <c r="G221" s="20" t="str">
        <f t="shared" si="2"/>
        <v>"Comparison of medusahead-invaded and noninvaded Wyoming big sagebrush steppe in Southeastern Oregon" OR</v>
      </c>
    </row>
    <row r="222">
      <c r="C222" s="7" t="s">
        <v>1143</v>
      </c>
      <c r="D222" s="20" t="s">
        <v>1684</v>
      </c>
      <c r="F222" s="20" t="s">
        <v>1685</v>
      </c>
      <c r="G222" s="20" t="str">
        <f t="shared" si="2"/>
        <v>"Comparison between amphipod assemblages associated with Caulerpa racemosa var. cylindracea and those of other Mediterannean habitats on soft substrate" OR</v>
      </c>
    </row>
    <row r="223">
      <c r="C223" s="8" t="s">
        <v>449</v>
      </c>
      <c r="D223" s="20" t="s">
        <v>1686</v>
      </c>
      <c r="F223" s="20" t="s">
        <v>1687</v>
      </c>
      <c r="G223" s="20" t="str">
        <f t="shared" si="2"/>
        <v>"Comparing bird assemblages in large and small fragments of the Atlantic forest hotspots" OR</v>
      </c>
    </row>
    <row r="224">
      <c r="C224" s="7" t="s">
        <v>255</v>
      </c>
      <c r="D224" s="20" t="s">
        <v>1688</v>
      </c>
      <c r="F224" s="20" t="s">
        <v>1689</v>
      </c>
      <c r="G224" s="20" t="str">
        <f t="shared" si="2"/>
        <v>"Community-level consequences of invasion: impacts of exotic clonal plants on riparian vegetaion" OR</v>
      </c>
    </row>
    <row r="225">
      <c r="C225" s="8" t="s">
        <v>62</v>
      </c>
      <c r="D225" s="20" t="s">
        <v>1690</v>
      </c>
      <c r="F225" s="20" t="s">
        <v>1691</v>
      </c>
      <c r="G225" s="20" t="str">
        <f t="shared" si="2"/>
        <v>"Community-level consequences of a plant invasion: Effects on three habitats in coastal California" OR</v>
      </c>
    </row>
    <row r="226">
      <c r="C226" s="8" t="s">
        <v>1231</v>
      </c>
      <c r="D226" s="20" t="s">
        <v>1692</v>
      </c>
      <c r="F226" s="20" t="s">
        <v>1693</v>
      </c>
      <c r="G226" s="20" t="str">
        <f t="shared" si="2"/>
        <v>"Community structure and composition in response to climate change in a temperate steppe" OR</v>
      </c>
    </row>
    <row r="227">
      <c r="C227" s="7" t="s">
        <v>464</v>
      </c>
      <c r="D227" s="20" t="s">
        <v>1694</v>
      </c>
      <c r="F227" s="20" t="s">
        <v>1695</v>
      </c>
      <c r="G227" s="20" t="str">
        <f t="shared" si="2"/>
        <v>"Community relaxation in fragmented landscapes: The relation between species richness, area, and age" OR</v>
      </c>
    </row>
    <row r="228">
      <c r="C228" s="7" t="s">
        <v>674</v>
      </c>
      <c r="D228" s="20" t="s">
        <v>1696</v>
      </c>
      <c r="F228" s="20" t="s">
        <v>1697</v>
      </c>
      <c r="G228" s="20" t="str">
        <f t="shared" si="2"/>
        <v>"Community impacts of Prospis juliflora invasion: Biogeographic and congeneric comparisons" OR</v>
      </c>
    </row>
    <row r="229">
      <c r="C229" s="8" t="s">
        <v>669</v>
      </c>
      <c r="D229" s="20" t="s">
        <v>1698</v>
      </c>
      <c r="F229" s="20" t="s">
        <v>1699</v>
      </c>
      <c r="G229" s="20" t="str">
        <f t="shared" si="2"/>
        <v>"Climate change effects on soil microarthropod abundance and community structure" OR</v>
      </c>
    </row>
    <row r="230">
      <c r="C230" s="8" t="s">
        <v>332</v>
      </c>
      <c r="D230" s="20" t="s">
        <v>1700</v>
      </c>
      <c r="F230" s="20" t="s">
        <v>1701</v>
      </c>
      <c r="G230" s="20" t="str">
        <f t="shared" si="2"/>
        <v>"Changes in species diversity following habitat disturbance and dependent on spatial scale: theoretical and empirical evidence" OR</v>
      </c>
    </row>
    <row r="231">
      <c r="C231" s="7" t="s">
        <v>752</v>
      </c>
      <c r="D231" s="20" t="s">
        <v>1702</v>
      </c>
      <c r="F231" s="20" t="s">
        <v>1703</v>
      </c>
      <c r="G231" s="20" t="str">
        <f t="shared" si="2"/>
        <v>"Changes in carabid beetles assemblages along an urbanization gradient in the city of Debrecen, Hungary" OR</v>
      </c>
    </row>
    <row r="232">
      <c r="C232" s="7" t="s">
        <v>630</v>
      </c>
      <c r="D232" s="20" t="s">
        <v>1704</v>
      </c>
      <c r="F232" s="20" t="s">
        <v>1705</v>
      </c>
      <c r="G232" s="20" t="str">
        <f t="shared" si="2"/>
        <v>"Changes in carabid beetles assemblages across an urban-rural gradient in Japan" OR</v>
      </c>
    </row>
    <row r="233">
      <c r="C233" s="7" t="s">
        <v>80</v>
      </c>
      <c r="D233" s="20" t="s">
        <v>1706</v>
      </c>
      <c r="F233" s="20" t="s">
        <v>1707</v>
      </c>
      <c r="G233" s="20" t="str">
        <f t="shared" si="2"/>
        <v>"Changes in bird communities following conversion of lowland forest to oil palm and rubber plantations in southern Thailand" OR</v>
      </c>
    </row>
    <row r="234">
      <c r="C234" s="7" t="s">
        <v>136</v>
      </c>
      <c r="D234" s="20" t="s">
        <v>1708</v>
      </c>
      <c r="F234" s="20" t="s">
        <v>1709</v>
      </c>
      <c r="G234" s="20" t="str">
        <f t="shared" si="2"/>
        <v>"Changes in arthropod assemblages along a wide gradient of disturbance in Gabon" OR</v>
      </c>
    </row>
    <row r="235">
      <c r="C235" s="7" t="s">
        <v>866</v>
      </c>
      <c r="D235" s="20" t="s">
        <v>1710</v>
      </c>
      <c r="F235" s="20" t="s">
        <v>1711</v>
      </c>
      <c r="G235" s="20" t="str">
        <f t="shared" si="2"/>
        <v>"Carabid beetle assemblages across urban-rural gradients: an international comparison" OR</v>
      </c>
    </row>
    <row r="236">
      <c r="C236" s="7" t="s">
        <v>57</v>
      </c>
      <c r="D236" s="20" t="s">
        <v>1712</v>
      </c>
      <c r="F236" s="20" t="s">
        <v>1713</v>
      </c>
      <c r="G236" s="20" t="str">
        <f t="shared" si="2"/>
        <v>"Carabid beetle and spider assemblages along a forested urban-rural gradient in southern Finland" OR</v>
      </c>
    </row>
    <row r="237">
      <c r="C237" s="7" t="s">
        <v>437</v>
      </c>
      <c r="D237" s="20" t="s">
        <v>1714</v>
      </c>
      <c r="F237" s="20" t="s">
        <v>1715</v>
      </c>
      <c r="G237" s="20" t="str">
        <f t="shared" si="2"/>
        <v>"Canopy effects of the invasive shrub Pyracantha angustifolia on a seed bank composition, richness and density in a montane shrubland (Cordoba, Argentina)" OR</v>
      </c>
    </row>
    <row r="238">
      <c r="C238" s="7" t="s">
        <v>382</v>
      </c>
      <c r="D238" s="20" t="s">
        <v>1716</v>
      </c>
      <c r="F238" s="20" t="s">
        <v>1717</v>
      </c>
      <c r="G238" s="20" t="str">
        <f t="shared" si="2"/>
        <v>"Bromus inermus invasion of a native grassland: diversity and resource reduction" OR</v>
      </c>
    </row>
    <row r="239">
      <c r="C239" s="7" t="s">
        <v>798</v>
      </c>
      <c r="D239" s="20" t="s">
        <v>1718</v>
      </c>
      <c r="F239" s="20" t="s">
        <v>1719</v>
      </c>
      <c r="G239" s="20" t="str">
        <f t="shared" si="2"/>
        <v>"Biomass compensation and plant responses to 7 years of plant functional group removals" OR</v>
      </c>
    </row>
    <row r="240">
      <c r="C240" s="8" t="s">
        <v>1045</v>
      </c>
      <c r="D240" s="20" t="s">
        <v>1720</v>
      </c>
      <c r="F240" s="20" t="s">
        <v>1721</v>
      </c>
      <c r="G240" s="20" t="str">
        <f t="shared" si="2"/>
        <v>"Biodiversity and ecosystem function of tropical forest dung beetles under contrasting logging regimes" OR</v>
      </c>
    </row>
    <row r="241">
      <c r="C241" s="7" t="s">
        <v>515</v>
      </c>
      <c r="D241" s="20" t="s">
        <v>1722</v>
      </c>
      <c r="F241" s="20" t="s">
        <v>1723</v>
      </c>
      <c r="G241" s="20" t="str">
        <f t="shared" si="2"/>
        <v>"Biodiversity and abundance of terrestrial isopods along a gradient of disturbance in Sabah, East Malaysia" OR</v>
      </c>
    </row>
    <row r="242">
      <c r="C242" s="7" t="s">
        <v>356</v>
      </c>
      <c r="D242" s="20" t="s">
        <v>1724</v>
      </c>
      <c r="F242" s="20" t="s">
        <v>1725</v>
      </c>
      <c r="G242" s="20" t="str">
        <f t="shared" si="2"/>
        <v>"Bats in continous forest, forest fragments, and in an agricultural mosaic habitat-island at Los Tuxtlas, Mexico" OR</v>
      </c>
    </row>
    <row r="243">
      <c r="C243" s="7" t="s">
        <v>315</v>
      </c>
      <c r="D243" s="20" t="s">
        <v>1726</v>
      </c>
      <c r="F243" s="20" t="s">
        <v>1727</v>
      </c>
      <c r="G243" s="20" t="str">
        <f t="shared" si="2"/>
        <v>"Avian assemblages in native Acacia and alien Prosopis drainage line woodland in the Kalahari, South Africa" OR</v>
      </c>
    </row>
    <row r="244">
      <c r="C244" s="7" t="s">
        <v>830</v>
      </c>
      <c r="D244" s="20" t="s">
        <v>1728</v>
      </c>
      <c r="F244" s="20" t="s">
        <v>1729</v>
      </c>
      <c r="G244" s="20" t="str">
        <f t="shared" si="2"/>
        <v>"Assessing urban impacts on water quality, benthic communities, and fish in streams of the Andes Mountains, Patagonia (Argentina)" OR</v>
      </c>
    </row>
    <row r="245">
      <c r="C245" s="8" t="s">
        <v>349</v>
      </c>
      <c r="D245" s="20" t="s">
        <v>1730</v>
      </c>
      <c r="F245" s="20" t="s">
        <v>1731</v>
      </c>
      <c r="G245" s="20" t="str">
        <f t="shared" si="2"/>
        <v>"Anthropogenic landscape changes and avian diversity at Los Tuxtlas, Mexico" OR</v>
      </c>
    </row>
    <row r="246">
      <c r="C246" s="8" t="s">
        <v>575</v>
      </c>
      <c r="D246" s="20" t="s">
        <v>1732</v>
      </c>
      <c r="F246" s="20" t="s">
        <v>1733</v>
      </c>
      <c r="G246" s="20" t="str">
        <f t="shared" si="2"/>
        <v>"An invasive crab alters interaction webs in a marine community" OR</v>
      </c>
    </row>
    <row r="247">
      <c r="C247" s="7" t="s">
        <v>777</v>
      </c>
      <c r="D247" s="20" t="s">
        <v>1734</v>
      </c>
      <c r="F247" s="20" t="s">
        <v>1735</v>
      </c>
      <c r="G247" s="20" t="str">
        <f t="shared" si="2"/>
        <v>"A preliminary assessment of the response of a native reptile assemblage to spot-spraying invasive Bitou Bush with glyphosate herbicide" OR</v>
      </c>
    </row>
    <row r="248">
      <c r="C248" s="7" t="s">
        <v>1004</v>
      </c>
      <c r="D248" s="20" t="s">
        <v>1736</v>
      </c>
      <c r="F248" s="20" t="s">
        <v>1737</v>
      </c>
      <c r="G248" s="20" t="str">
        <f t="shared" si="2"/>
        <v>"A comparison of epifauna and epiphytes on native kelps (Laminaria species) and an invasive alga (Codium fraglie ssp. Tomentosoides) in Nova Scotia, Canada" OR</v>
      </c>
    </row>
    <row r="249">
      <c r="C249" s="7" t="s">
        <v>92</v>
      </c>
      <c r="D249" s="2" t="s">
        <v>1738</v>
      </c>
      <c r="F249" s="20" t="s">
        <v>1739</v>
      </c>
      <c r="G249" s="20" t="str">
        <f t="shared" si="2"/>
        <v>"Assessing impacts of introduced aquaculture species on native fish communities: Nile tilapia and major carps in SE Asian freshwaters" OR</v>
      </c>
    </row>
    <row r="250">
      <c r="C250" s="7" t="s">
        <v>94</v>
      </c>
      <c r="D250" s="2" t="s">
        <v>1738</v>
      </c>
      <c r="F250" s="20" t="s">
        <v>1739</v>
      </c>
      <c r="G250" s="20" t="str">
        <f t="shared" si="2"/>
        <v>"Assessing impacts of introduced aquaculture species on native fish communities: Nile tilapia and major carps in SE Asian freshwaters" OR</v>
      </c>
    </row>
  </sheetData>
  <autoFilter ref="$C$2:$D$250">
    <sortState ref="C2:D250">
      <sortCondition descending="1" ref="D2:D250"/>
    </sortState>
  </autoFilter>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2.63" defaultRowHeight="15.75"/>
  <cols>
    <col customWidth="1" min="1" max="72" width="8.0"/>
  </cols>
  <sheetData>
    <row r="1" ht="12.75" customHeight="1">
      <c r="A1" s="20" t="s">
        <v>1740</v>
      </c>
      <c r="B1" s="20" t="s">
        <v>1741</v>
      </c>
      <c r="C1" s="20" t="s">
        <v>1742</v>
      </c>
      <c r="D1" s="20" t="s">
        <v>1743</v>
      </c>
      <c r="E1" s="20" t="s">
        <v>1744</v>
      </c>
      <c r="F1" s="20" t="s">
        <v>1745</v>
      </c>
      <c r="G1" s="20" t="s">
        <v>1746</v>
      </c>
      <c r="H1" s="20" t="s">
        <v>1747</v>
      </c>
      <c r="I1" s="20" t="s">
        <v>1748</v>
      </c>
      <c r="J1" s="20" t="s">
        <v>1749</v>
      </c>
      <c r="K1" s="20" t="s">
        <v>1750</v>
      </c>
      <c r="L1" s="20" t="s">
        <v>1751</v>
      </c>
      <c r="M1" s="20" t="s">
        <v>1752</v>
      </c>
      <c r="N1" s="20" t="s">
        <v>1753</v>
      </c>
      <c r="O1" s="20" t="s">
        <v>1754</v>
      </c>
      <c r="P1" s="20" t="s">
        <v>1755</v>
      </c>
      <c r="Q1" s="20" t="s">
        <v>1756</v>
      </c>
      <c r="R1" s="20" t="s">
        <v>1757</v>
      </c>
      <c r="S1" s="20" t="s">
        <v>1758</v>
      </c>
      <c r="T1" s="20" t="s">
        <v>1759</v>
      </c>
      <c r="U1" s="20" t="s">
        <v>1760</v>
      </c>
      <c r="V1" s="20" t="s">
        <v>1761</v>
      </c>
      <c r="W1" s="20" t="s">
        <v>1762</v>
      </c>
      <c r="X1" s="20" t="s">
        <v>1763</v>
      </c>
      <c r="Y1" s="20" t="s">
        <v>1764</v>
      </c>
      <c r="Z1" s="20" t="s">
        <v>1765</v>
      </c>
      <c r="AA1" s="20" t="s">
        <v>1766</v>
      </c>
      <c r="AB1" s="20" t="s">
        <v>1767</v>
      </c>
      <c r="AC1" s="20" t="s">
        <v>1768</v>
      </c>
      <c r="AD1" s="20" t="s">
        <v>1769</v>
      </c>
      <c r="AE1" s="20" t="s">
        <v>1770</v>
      </c>
      <c r="AF1" s="20" t="s">
        <v>1771</v>
      </c>
      <c r="AG1" s="20" t="s">
        <v>1772</v>
      </c>
      <c r="AH1" s="20" t="s">
        <v>1773</v>
      </c>
      <c r="AI1" s="20" t="s">
        <v>1774</v>
      </c>
      <c r="AJ1" s="20" t="s">
        <v>1775</v>
      </c>
      <c r="AK1" s="20" t="s">
        <v>1776</v>
      </c>
      <c r="AL1" s="20" t="s">
        <v>1777</v>
      </c>
      <c r="AM1" s="20" t="s">
        <v>1778</v>
      </c>
      <c r="AN1" s="20" t="s">
        <v>1779</v>
      </c>
      <c r="AO1" s="20" t="s">
        <v>1780</v>
      </c>
      <c r="AP1" s="20" t="s">
        <v>1781</v>
      </c>
      <c r="AQ1" s="20" t="s">
        <v>1782</v>
      </c>
      <c r="AR1" s="20" t="s">
        <v>1783</v>
      </c>
      <c r="AS1" s="20" t="s">
        <v>1784</v>
      </c>
      <c r="AT1" s="20" t="s">
        <v>1785</v>
      </c>
      <c r="AU1" s="20" t="s">
        <v>1786</v>
      </c>
      <c r="AV1" s="20" t="s">
        <v>1787</v>
      </c>
      <c r="AW1" s="20" t="s">
        <v>1788</v>
      </c>
      <c r="AX1" s="20" t="s">
        <v>1789</v>
      </c>
      <c r="AY1" s="20" t="s">
        <v>1790</v>
      </c>
      <c r="AZ1" s="20" t="s">
        <v>1791</v>
      </c>
      <c r="BA1" s="20" t="s">
        <v>1792</v>
      </c>
      <c r="BB1" s="20" t="s">
        <v>1793</v>
      </c>
      <c r="BC1" s="20" t="s">
        <v>1794</v>
      </c>
      <c r="BD1" s="20" t="s">
        <v>1795</v>
      </c>
      <c r="BE1" s="20" t="s">
        <v>1245</v>
      </c>
      <c r="BF1" s="20" t="s">
        <v>1796</v>
      </c>
      <c r="BG1" s="20" t="s">
        <v>1797</v>
      </c>
      <c r="BH1" s="20" t="s">
        <v>1798</v>
      </c>
      <c r="BI1" s="20" t="s">
        <v>1799</v>
      </c>
      <c r="BJ1" s="20" t="s">
        <v>1800</v>
      </c>
      <c r="BK1" s="20" t="s">
        <v>1801</v>
      </c>
      <c r="BL1" s="20" t="s">
        <v>1802</v>
      </c>
      <c r="BM1" s="20" t="s">
        <v>1803</v>
      </c>
      <c r="BN1" s="20" t="s">
        <v>1804</v>
      </c>
      <c r="BO1" s="20" t="s">
        <v>1805</v>
      </c>
      <c r="BP1" s="20" t="s">
        <v>1806</v>
      </c>
      <c r="BQ1" s="20" t="s">
        <v>1807</v>
      </c>
      <c r="BR1" s="20" t="s">
        <v>1808</v>
      </c>
      <c r="BS1" s="20" t="s">
        <v>1809</v>
      </c>
      <c r="BT1" s="20" t="s">
        <v>1810</v>
      </c>
    </row>
    <row r="2" ht="12.75" customHeight="1">
      <c r="A2" s="20" t="s">
        <v>1811</v>
      </c>
      <c r="B2" s="20" t="s">
        <v>1812</v>
      </c>
      <c r="C2" s="20" t="s">
        <v>1813</v>
      </c>
      <c r="D2" s="20" t="s">
        <v>1813</v>
      </c>
      <c r="E2" s="20" t="s">
        <v>1813</v>
      </c>
      <c r="F2" s="20" t="s">
        <v>1814</v>
      </c>
      <c r="G2" s="20" t="s">
        <v>1813</v>
      </c>
      <c r="H2" s="20" t="s">
        <v>1813</v>
      </c>
      <c r="I2" s="20" t="s">
        <v>1639</v>
      </c>
      <c r="J2" s="20" t="s">
        <v>1815</v>
      </c>
      <c r="K2" s="20" t="s">
        <v>1813</v>
      </c>
      <c r="L2" s="20" t="s">
        <v>1813</v>
      </c>
      <c r="M2" s="20" t="s">
        <v>1816</v>
      </c>
      <c r="N2" s="20" t="s">
        <v>1817</v>
      </c>
      <c r="O2" s="20" t="s">
        <v>1813</v>
      </c>
      <c r="P2" s="20" t="s">
        <v>1813</v>
      </c>
      <c r="Q2" s="20" t="s">
        <v>1813</v>
      </c>
      <c r="R2" s="20" t="s">
        <v>1813</v>
      </c>
      <c r="S2" s="20" t="s">
        <v>1813</v>
      </c>
      <c r="T2" s="20" t="s">
        <v>1818</v>
      </c>
      <c r="U2" s="20" t="s">
        <v>1819</v>
      </c>
      <c r="V2" s="20" t="s">
        <v>1820</v>
      </c>
      <c r="W2" s="20" t="s">
        <v>1821</v>
      </c>
      <c r="X2" s="20" t="s">
        <v>1822</v>
      </c>
      <c r="Y2" s="20" t="s">
        <v>1823</v>
      </c>
      <c r="Z2" s="20" t="s">
        <v>1824</v>
      </c>
      <c r="AA2" s="20" t="s">
        <v>1825</v>
      </c>
      <c r="AB2" s="20" t="s">
        <v>1813</v>
      </c>
      <c r="AC2" s="20" t="s">
        <v>1826</v>
      </c>
      <c r="AD2" s="20" t="s">
        <v>1827</v>
      </c>
      <c r="AE2" s="20" t="s">
        <v>1828</v>
      </c>
      <c r="AF2" s="20" t="s">
        <v>1813</v>
      </c>
      <c r="AG2" s="20">
        <v>53.0</v>
      </c>
      <c r="AH2" s="20">
        <v>10.0</v>
      </c>
      <c r="AI2" s="20">
        <v>11.0</v>
      </c>
      <c r="AJ2" s="20">
        <v>1.0</v>
      </c>
      <c r="AK2" s="20">
        <v>44.0</v>
      </c>
      <c r="AL2" s="20" t="s">
        <v>1829</v>
      </c>
      <c r="AM2" s="20" t="s">
        <v>1830</v>
      </c>
      <c r="AN2" s="20" t="s">
        <v>1831</v>
      </c>
      <c r="AO2" s="20" t="s">
        <v>1832</v>
      </c>
      <c r="AP2" s="20" t="s">
        <v>1833</v>
      </c>
      <c r="AQ2" s="20" t="s">
        <v>1813</v>
      </c>
      <c r="AR2" s="20" t="s">
        <v>1834</v>
      </c>
      <c r="AS2" s="20" t="s">
        <v>1835</v>
      </c>
      <c r="AT2" s="20" t="s">
        <v>1836</v>
      </c>
      <c r="AU2" s="20">
        <v>2010.0</v>
      </c>
      <c r="AV2" s="20">
        <v>16.0</v>
      </c>
      <c r="AW2" s="20">
        <v>5.0</v>
      </c>
      <c r="AX2" s="20" t="s">
        <v>1813</v>
      </c>
      <c r="AY2" s="20" t="s">
        <v>1813</v>
      </c>
      <c r="AZ2" s="20" t="s">
        <v>1813</v>
      </c>
      <c r="BA2" s="20" t="s">
        <v>1813</v>
      </c>
      <c r="BB2" s="20">
        <v>713.0</v>
      </c>
      <c r="BC2" s="20">
        <v>724.0</v>
      </c>
      <c r="BD2" s="20" t="s">
        <v>1813</v>
      </c>
      <c r="BE2" s="20" t="s">
        <v>1837</v>
      </c>
      <c r="BF2" s="22" t="str">
        <f>HYPERLINK("http://dx.doi.org/10.1111/j.1472-4642.2010.00685.x","http://dx.doi.org/10.1111/j.1472-4642.2010.00685.x")</f>
        <v>http://dx.doi.org/10.1111/j.1472-4642.2010.00685.x</v>
      </c>
      <c r="BG2" s="20" t="s">
        <v>1813</v>
      </c>
      <c r="BH2" s="20" t="s">
        <v>1813</v>
      </c>
      <c r="BI2" s="20">
        <v>12.0</v>
      </c>
      <c r="BJ2" s="20" t="s">
        <v>1838</v>
      </c>
      <c r="BK2" s="20" t="s">
        <v>1839</v>
      </c>
      <c r="BL2" s="20" t="s">
        <v>1840</v>
      </c>
      <c r="BM2" s="20" t="s">
        <v>1841</v>
      </c>
      <c r="BN2" s="20" t="s">
        <v>1813</v>
      </c>
      <c r="BO2" s="20" t="s">
        <v>1813</v>
      </c>
      <c r="BP2" s="20" t="s">
        <v>1813</v>
      </c>
      <c r="BQ2" s="20" t="s">
        <v>1813</v>
      </c>
      <c r="BR2" s="20" t="s">
        <v>1842</v>
      </c>
      <c r="BS2" s="20" t="s">
        <v>1843</v>
      </c>
      <c r="BT2" s="20" t="str">
        <f>HYPERLINK("https%3A%2F%2Fwww.webofscience.com%2Fwos%2Fwoscc%2Ffull-record%2FWOS:000280973100001","View Full Record in Web of Science")</f>
        <v>View Full Record in Web of Science</v>
      </c>
    </row>
    <row r="3" ht="12.75" customHeight="1">
      <c r="A3" s="20" t="s">
        <v>1811</v>
      </c>
      <c r="B3" s="20" t="s">
        <v>1844</v>
      </c>
      <c r="C3" s="20" t="s">
        <v>1813</v>
      </c>
      <c r="D3" s="20" t="s">
        <v>1813</v>
      </c>
      <c r="E3" s="20" t="s">
        <v>1813</v>
      </c>
      <c r="F3" s="20" t="s">
        <v>1844</v>
      </c>
      <c r="G3" s="20" t="s">
        <v>1813</v>
      </c>
      <c r="H3" s="20" t="s">
        <v>1813</v>
      </c>
      <c r="I3" s="20" t="s">
        <v>1730</v>
      </c>
      <c r="J3" s="20" t="s">
        <v>1845</v>
      </c>
      <c r="K3" s="20" t="s">
        <v>1813</v>
      </c>
      <c r="L3" s="20" t="s">
        <v>1813</v>
      </c>
      <c r="M3" s="20" t="s">
        <v>1816</v>
      </c>
      <c r="N3" s="20" t="s">
        <v>1817</v>
      </c>
      <c r="O3" s="20" t="s">
        <v>1813</v>
      </c>
      <c r="P3" s="20" t="s">
        <v>1813</v>
      </c>
      <c r="Q3" s="20" t="s">
        <v>1813</v>
      </c>
      <c r="R3" s="20" t="s">
        <v>1813</v>
      </c>
      <c r="S3" s="20" t="s">
        <v>1813</v>
      </c>
      <c r="T3" s="20" t="s">
        <v>1846</v>
      </c>
      <c r="U3" s="20" t="s">
        <v>1847</v>
      </c>
      <c r="V3" s="20" t="s">
        <v>1848</v>
      </c>
      <c r="W3" s="20" t="s">
        <v>1813</v>
      </c>
      <c r="X3" s="20" t="s">
        <v>1813</v>
      </c>
      <c r="Y3" s="20" t="s">
        <v>1849</v>
      </c>
      <c r="Z3" s="20" t="s">
        <v>1813</v>
      </c>
      <c r="AA3" s="20" t="s">
        <v>1850</v>
      </c>
      <c r="AB3" s="20" t="s">
        <v>1851</v>
      </c>
      <c r="AC3" s="20" t="s">
        <v>1813</v>
      </c>
      <c r="AD3" s="20" t="s">
        <v>1813</v>
      </c>
      <c r="AE3" s="20" t="s">
        <v>1813</v>
      </c>
      <c r="AF3" s="20" t="s">
        <v>1813</v>
      </c>
      <c r="AG3" s="20">
        <v>29.0</v>
      </c>
      <c r="AH3" s="20">
        <v>152.0</v>
      </c>
      <c r="AI3" s="20">
        <v>190.0</v>
      </c>
      <c r="AJ3" s="20">
        <v>1.0</v>
      </c>
      <c r="AK3" s="20">
        <v>43.0</v>
      </c>
      <c r="AL3" s="20" t="s">
        <v>1852</v>
      </c>
      <c r="AM3" s="20" t="s">
        <v>1853</v>
      </c>
      <c r="AN3" s="20" t="s">
        <v>1854</v>
      </c>
      <c r="AO3" s="20" t="s">
        <v>1855</v>
      </c>
      <c r="AP3" s="20" t="s">
        <v>1813</v>
      </c>
      <c r="AQ3" s="20" t="s">
        <v>1813</v>
      </c>
      <c r="AR3" s="20" t="s">
        <v>1856</v>
      </c>
      <c r="AS3" s="20" t="s">
        <v>1857</v>
      </c>
      <c r="AT3" s="20" t="s">
        <v>1858</v>
      </c>
      <c r="AU3" s="20">
        <v>1997.0</v>
      </c>
      <c r="AV3" s="20">
        <v>6.0</v>
      </c>
      <c r="AW3" s="20">
        <v>1.0</v>
      </c>
      <c r="AX3" s="20" t="s">
        <v>1813</v>
      </c>
      <c r="AY3" s="20" t="s">
        <v>1813</v>
      </c>
      <c r="AZ3" s="20" t="s">
        <v>1813</v>
      </c>
      <c r="BA3" s="20" t="s">
        <v>1813</v>
      </c>
      <c r="BB3" s="20">
        <v>19.0</v>
      </c>
      <c r="BC3" s="20">
        <v>43.0</v>
      </c>
      <c r="BD3" s="20" t="s">
        <v>1813</v>
      </c>
      <c r="BE3" s="20" t="s">
        <v>1859</v>
      </c>
      <c r="BF3" s="22" t="str">
        <f>HYPERLINK("http://dx.doi.org/10.1023/A:1018328930981","http://dx.doi.org/10.1023/A:1018328930981")</f>
        <v>http://dx.doi.org/10.1023/A:1018328930981</v>
      </c>
      <c r="BG3" s="20" t="s">
        <v>1813</v>
      </c>
      <c r="BH3" s="20" t="s">
        <v>1813</v>
      </c>
      <c r="BI3" s="20">
        <v>25.0</v>
      </c>
      <c r="BJ3" s="20" t="s">
        <v>1860</v>
      </c>
      <c r="BK3" s="20" t="s">
        <v>1839</v>
      </c>
      <c r="BL3" s="20" t="s">
        <v>1840</v>
      </c>
      <c r="BM3" s="20" t="s">
        <v>1861</v>
      </c>
      <c r="BN3" s="20" t="s">
        <v>1813</v>
      </c>
      <c r="BO3" s="20" t="s">
        <v>1813</v>
      </c>
      <c r="BP3" s="20" t="s">
        <v>1813</v>
      </c>
      <c r="BQ3" s="20" t="s">
        <v>1813</v>
      </c>
      <c r="BR3" s="20" t="s">
        <v>1842</v>
      </c>
      <c r="BS3" s="20" t="s">
        <v>1862</v>
      </c>
      <c r="BT3" s="20" t="str">
        <f>HYPERLINK("https%3A%2F%2Fwww.webofscience.com%2Fwos%2Fwoscc%2Ffull-record%2FWOS:A1997WL15900002","View Full Record in Web of Science")</f>
        <v>View Full Record in Web of Science</v>
      </c>
    </row>
    <row r="4" ht="12.75" customHeight="1">
      <c r="A4" s="20" t="s">
        <v>1811</v>
      </c>
      <c r="B4" s="20" t="s">
        <v>1863</v>
      </c>
      <c r="C4" s="20" t="s">
        <v>1813</v>
      </c>
      <c r="D4" s="20" t="s">
        <v>1813</v>
      </c>
      <c r="E4" s="20" t="s">
        <v>1813</v>
      </c>
      <c r="F4" s="20" t="s">
        <v>1864</v>
      </c>
      <c r="G4" s="20" t="s">
        <v>1813</v>
      </c>
      <c r="H4" s="20" t="s">
        <v>1813</v>
      </c>
      <c r="I4" s="20" t="s">
        <v>1663</v>
      </c>
      <c r="J4" s="20" t="s">
        <v>1815</v>
      </c>
      <c r="K4" s="20" t="s">
        <v>1813</v>
      </c>
      <c r="L4" s="20" t="s">
        <v>1813</v>
      </c>
      <c r="M4" s="20" t="s">
        <v>1816</v>
      </c>
      <c r="N4" s="20" t="s">
        <v>1817</v>
      </c>
      <c r="O4" s="20" t="s">
        <v>1813</v>
      </c>
      <c r="P4" s="20" t="s">
        <v>1813</v>
      </c>
      <c r="Q4" s="20" t="s">
        <v>1813</v>
      </c>
      <c r="R4" s="20" t="s">
        <v>1813</v>
      </c>
      <c r="S4" s="20" t="s">
        <v>1813</v>
      </c>
      <c r="T4" s="20" t="s">
        <v>1865</v>
      </c>
      <c r="U4" s="20" t="s">
        <v>1866</v>
      </c>
      <c r="V4" s="20" t="s">
        <v>1867</v>
      </c>
      <c r="W4" s="20" t="s">
        <v>1868</v>
      </c>
      <c r="X4" s="20" t="s">
        <v>1869</v>
      </c>
      <c r="Y4" s="20" t="s">
        <v>1870</v>
      </c>
      <c r="Z4" s="20" t="s">
        <v>1871</v>
      </c>
      <c r="AA4" s="20" t="s">
        <v>1813</v>
      </c>
      <c r="AB4" s="20" t="s">
        <v>1813</v>
      </c>
      <c r="AC4" s="20" t="s">
        <v>1872</v>
      </c>
      <c r="AD4" s="20" t="s">
        <v>1873</v>
      </c>
      <c r="AE4" s="20" t="s">
        <v>1874</v>
      </c>
      <c r="AF4" s="20" t="s">
        <v>1813</v>
      </c>
      <c r="AG4" s="20">
        <v>55.0</v>
      </c>
      <c r="AH4" s="20">
        <v>17.0</v>
      </c>
      <c r="AI4" s="20">
        <v>19.0</v>
      </c>
      <c r="AJ4" s="20">
        <v>0.0</v>
      </c>
      <c r="AK4" s="20">
        <v>140.0</v>
      </c>
      <c r="AL4" s="20" t="s">
        <v>1829</v>
      </c>
      <c r="AM4" s="20" t="s">
        <v>1830</v>
      </c>
      <c r="AN4" s="20" t="s">
        <v>1831</v>
      </c>
      <c r="AO4" s="20" t="s">
        <v>1832</v>
      </c>
      <c r="AP4" s="20" t="s">
        <v>1833</v>
      </c>
      <c r="AQ4" s="20" t="s">
        <v>1813</v>
      </c>
      <c r="AR4" s="20" t="s">
        <v>1834</v>
      </c>
      <c r="AS4" s="20" t="s">
        <v>1835</v>
      </c>
      <c r="AT4" s="20" t="s">
        <v>1875</v>
      </c>
      <c r="AU4" s="20">
        <v>2013.0</v>
      </c>
      <c r="AV4" s="20">
        <v>19.0</v>
      </c>
      <c r="AW4" s="20">
        <v>3.0</v>
      </c>
      <c r="AX4" s="20" t="s">
        <v>1813</v>
      </c>
      <c r="AY4" s="20" t="s">
        <v>1813</v>
      </c>
      <c r="AZ4" s="20" t="s">
        <v>1813</v>
      </c>
      <c r="BA4" s="20" t="s">
        <v>1813</v>
      </c>
      <c r="BB4" s="20">
        <v>281.0</v>
      </c>
      <c r="BC4" s="20">
        <v>293.0</v>
      </c>
      <c r="BD4" s="20" t="s">
        <v>1813</v>
      </c>
      <c r="BE4" s="20" t="s">
        <v>1876</v>
      </c>
      <c r="BF4" s="22" t="str">
        <f>HYPERLINK("http://dx.doi.org/10.1111/j.1472-4642.2012.00935.x","http://dx.doi.org/10.1111/j.1472-4642.2012.00935.x")</f>
        <v>http://dx.doi.org/10.1111/j.1472-4642.2012.00935.x</v>
      </c>
      <c r="BG4" s="20" t="s">
        <v>1813</v>
      </c>
      <c r="BH4" s="20" t="s">
        <v>1813</v>
      </c>
      <c r="BI4" s="20">
        <v>13.0</v>
      </c>
      <c r="BJ4" s="20" t="s">
        <v>1838</v>
      </c>
      <c r="BK4" s="20" t="s">
        <v>1839</v>
      </c>
      <c r="BL4" s="20" t="s">
        <v>1840</v>
      </c>
      <c r="BM4" s="20" t="s">
        <v>1877</v>
      </c>
      <c r="BN4" s="20" t="s">
        <v>1813</v>
      </c>
      <c r="BO4" s="20" t="s">
        <v>1878</v>
      </c>
      <c r="BP4" s="20" t="s">
        <v>1813</v>
      </c>
      <c r="BQ4" s="20" t="s">
        <v>1813</v>
      </c>
      <c r="BR4" s="20" t="s">
        <v>1842</v>
      </c>
      <c r="BS4" s="20" t="s">
        <v>1879</v>
      </c>
      <c r="BT4" s="20" t="str">
        <f>HYPERLINK("https%3A%2F%2Fwww.webofscience.com%2Fwos%2Fwoscc%2Ffull-record%2FWOS:000315404100004","View Full Record in Web of Science")</f>
        <v>View Full Record in Web of Science</v>
      </c>
    </row>
    <row r="5" ht="12.75" customHeight="1">
      <c r="A5" s="20" t="s">
        <v>1811</v>
      </c>
      <c r="B5" s="20" t="s">
        <v>1880</v>
      </c>
      <c r="C5" s="20" t="s">
        <v>1813</v>
      </c>
      <c r="D5" s="20" t="s">
        <v>1813</v>
      </c>
      <c r="E5" s="20" t="s">
        <v>1813</v>
      </c>
      <c r="F5" s="20" t="s">
        <v>1881</v>
      </c>
      <c r="G5" s="20" t="s">
        <v>1813</v>
      </c>
      <c r="H5" s="20" t="s">
        <v>1813</v>
      </c>
      <c r="I5" s="20" t="s">
        <v>1331</v>
      </c>
      <c r="J5" s="20" t="s">
        <v>1882</v>
      </c>
      <c r="K5" s="20" t="s">
        <v>1813</v>
      </c>
      <c r="L5" s="20" t="s">
        <v>1813</v>
      </c>
      <c r="M5" s="20" t="s">
        <v>1816</v>
      </c>
      <c r="N5" s="20" t="s">
        <v>1817</v>
      </c>
      <c r="O5" s="20" t="s">
        <v>1813</v>
      </c>
      <c r="P5" s="20" t="s">
        <v>1813</v>
      </c>
      <c r="Q5" s="20" t="s">
        <v>1813</v>
      </c>
      <c r="R5" s="20" t="s">
        <v>1813</v>
      </c>
      <c r="S5" s="20" t="s">
        <v>1813</v>
      </c>
      <c r="T5" s="20" t="s">
        <v>1883</v>
      </c>
      <c r="U5" s="20" t="s">
        <v>1884</v>
      </c>
      <c r="V5" s="20" t="s">
        <v>1885</v>
      </c>
      <c r="W5" s="20" t="s">
        <v>1886</v>
      </c>
      <c r="X5" s="20" t="s">
        <v>1887</v>
      </c>
      <c r="Y5" s="20" t="s">
        <v>1888</v>
      </c>
      <c r="Z5" s="20" t="s">
        <v>1889</v>
      </c>
      <c r="AA5" s="20" t="s">
        <v>1890</v>
      </c>
      <c r="AB5" s="20" t="s">
        <v>1891</v>
      </c>
      <c r="AC5" s="20" t="s">
        <v>1813</v>
      </c>
      <c r="AD5" s="20" t="s">
        <v>1813</v>
      </c>
      <c r="AE5" s="20" t="s">
        <v>1813</v>
      </c>
      <c r="AF5" s="20" t="s">
        <v>1813</v>
      </c>
      <c r="AG5" s="20">
        <v>72.0</v>
      </c>
      <c r="AH5" s="20">
        <v>14.0</v>
      </c>
      <c r="AI5" s="20">
        <v>16.0</v>
      </c>
      <c r="AJ5" s="20">
        <v>0.0</v>
      </c>
      <c r="AK5" s="20">
        <v>23.0</v>
      </c>
      <c r="AL5" s="20" t="s">
        <v>1892</v>
      </c>
      <c r="AM5" s="20" t="s">
        <v>1893</v>
      </c>
      <c r="AN5" s="20" t="s">
        <v>1894</v>
      </c>
      <c r="AO5" s="20" t="s">
        <v>1895</v>
      </c>
      <c r="AP5" s="20" t="s">
        <v>1896</v>
      </c>
      <c r="AQ5" s="20" t="s">
        <v>1813</v>
      </c>
      <c r="AR5" s="20" t="s">
        <v>1882</v>
      </c>
      <c r="AS5" s="20" t="s">
        <v>1897</v>
      </c>
      <c r="AT5" s="20" t="s">
        <v>1813</v>
      </c>
      <c r="AU5" s="20">
        <v>2008.0</v>
      </c>
      <c r="AV5" s="20">
        <v>15.0</v>
      </c>
      <c r="AW5" s="20">
        <v>2.0</v>
      </c>
      <c r="AX5" s="20" t="s">
        <v>1813</v>
      </c>
      <c r="AY5" s="20" t="s">
        <v>1813</v>
      </c>
      <c r="AZ5" s="20" t="s">
        <v>1813</v>
      </c>
      <c r="BA5" s="20" t="s">
        <v>1813</v>
      </c>
      <c r="BB5" s="20">
        <v>160.0</v>
      </c>
      <c r="BC5" s="20">
        <v>168.0</v>
      </c>
      <c r="BD5" s="20" t="s">
        <v>1813</v>
      </c>
      <c r="BE5" s="20" t="s">
        <v>1898</v>
      </c>
      <c r="BF5" s="22" t="str">
        <f>HYPERLINK("http://dx.doi.org/10.2980/15-2-3098","http://dx.doi.org/10.2980/15-2-3098")</f>
        <v>http://dx.doi.org/10.2980/15-2-3098</v>
      </c>
      <c r="BG5" s="20" t="s">
        <v>1813</v>
      </c>
      <c r="BH5" s="20" t="s">
        <v>1813</v>
      </c>
      <c r="BI5" s="20">
        <v>9.0</v>
      </c>
      <c r="BJ5" s="20" t="s">
        <v>1899</v>
      </c>
      <c r="BK5" s="20" t="s">
        <v>1839</v>
      </c>
      <c r="BL5" s="20" t="s">
        <v>1900</v>
      </c>
      <c r="BM5" s="20" t="s">
        <v>1901</v>
      </c>
      <c r="BN5" s="20" t="s">
        <v>1813</v>
      </c>
      <c r="BO5" s="20" t="s">
        <v>1813</v>
      </c>
      <c r="BP5" s="20" t="s">
        <v>1813</v>
      </c>
      <c r="BQ5" s="20" t="s">
        <v>1813</v>
      </c>
      <c r="BR5" s="20" t="s">
        <v>1842</v>
      </c>
      <c r="BS5" s="20" t="s">
        <v>1902</v>
      </c>
      <c r="BT5" s="20" t="str">
        <f>HYPERLINK("https%3A%2F%2Fwww.webofscience.com%2Fwos%2Fwoscc%2Ffull-record%2FWOS:000257412900003","View Full Record in Web of Science")</f>
        <v>View Full Record in Web of Science</v>
      </c>
    </row>
    <row r="6" ht="12.75" customHeight="1">
      <c r="A6" s="20" t="s">
        <v>1811</v>
      </c>
      <c r="B6" s="20" t="s">
        <v>1903</v>
      </c>
      <c r="C6" s="20" t="s">
        <v>1813</v>
      </c>
      <c r="D6" s="20" t="s">
        <v>1813</v>
      </c>
      <c r="E6" s="20" t="s">
        <v>1813</v>
      </c>
      <c r="F6" s="20" t="s">
        <v>1903</v>
      </c>
      <c r="G6" s="20" t="s">
        <v>1813</v>
      </c>
      <c r="H6" s="20" t="s">
        <v>1813</v>
      </c>
      <c r="I6" s="20" t="s">
        <v>1517</v>
      </c>
      <c r="J6" s="20" t="s">
        <v>1904</v>
      </c>
      <c r="K6" s="20" t="s">
        <v>1813</v>
      </c>
      <c r="L6" s="20" t="s">
        <v>1813</v>
      </c>
      <c r="M6" s="20" t="s">
        <v>1816</v>
      </c>
      <c r="N6" s="20" t="s">
        <v>1817</v>
      </c>
      <c r="O6" s="20" t="s">
        <v>1813</v>
      </c>
      <c r="P6" s="20" t="s">
        <v>1813</v>
      </c>
      <c r="Q6" s="20" t="s">
        <v>1813</v>
      </c>
      <c r="R6" s="20" t="s">
        <v>1813</v>
      </c>
      <c r="S6" s="20" t="s">
        <v>1813</v>
      </c>
      <c r="T6" s="20" t="s">
        <v>1905</v>
      </c>
      <c r="U6" s="20" t="s">
        <v>1906</v>
      </c>
      <c r="V6" s="20" t="s">
        <v>1907</v>
      </c>
      <c r="W6" s="20" t="s">
        <v>1908</v>
      </c>
      <c r="X6" s="20" t="s">
        <v>1909</v>
      </c>
      <c r="Y6" s="20" t="s">
        <v>1910</v>
      </c>
      <c r="Z6" s="20" t="s">
        <v>1911</v>
      </c>
      <c r="AA6" s="20" t="s">
        <v>1813</v>
      </c>
      <c r="AB6" s="20" t="s">
        <v>1813</v>
      </c>
      <c r="AC6" s="20" t="s">
        <v>1813</v>
      </c>
      <c r="AD6" s="20" t="s">
        <v>1813</v>
      </c>
      <c r="AE6" s="20" t="s">
        <v>1813</v>
      </c>
      <c r="AF6" s="20" t="s">
        <v>1813</v>
      </c>
      <c r="AG6" s="20">
        <v>48.0</v>
      </c>
      <c r="AH6" s="20">
        <v>477.0</v>
      </c>
      <c r="AI6" s="20">
        <v>639.0</v>
      </c>
      <c r="AJ6" s="20">
        <v>15.0</v>
      </c>
      <c r="AK6" s="20">
        <v>583.0</v>
      </c>
      <c r="AL6" s="20" t="s">
        <v>1829</v>
      </c>
      <c r="AM6" s="20" t="s">
        <v>1830</v>
      </c>
      <c r="AN6" s="20" t="s">
        <v>1831</v>
      </c>
      <c r="AO6" s="20" t="s">
        <v>1912</v>
      </c>
      <c r="AP6" s="20" t="s">
        <v>1913</v>
      </c>
      <c r="AQ6" s="20" t="s">
        <v>1813</v>
      </c>
      <c r="AR6" s="20" t="s">
        <v>1914</v>
      </c>
      <c r="AS6" s="20" t="s">
        <v>1915</v>
      </c>
      <c r="AT6" s="20" t="s">
        <v>1916</v>
      </c>
      <c r="AU6" s="20">
        <v>2004.0</v>
      </c>
      <c r="AV6" s="20">
        <v>7.0</v>
      </c>
      <c r="AW6" s="20">
        <v>12.0</v>
      </c>
      <c r="AX6" s="20" t="s">
        <v>1813</v>
      </c>
      <c r="AY6" s="20" t="s">
        <v>1813</v>
      </c>
      <c r="AZ6" s="20" t="s">
        <v>1813</v>
      </c>
      <c r="BA6" s="20" t="s">
        <v>1813</v>
      </c>
      <c r="BB6" s="20">
        <v>1170.0</v>
      </c>
      <c r="BC6" s="20">
        <v>1179.0</v>
      </c>
      <c r="BD6" s="20" t="s">
        <v>1813</v>
      </c>
      <c r="BE6" s="20" t="s">
        <v>1917</v>
      </c>
      <c r="BF6" s="22" t="str">
        <f>HYPERLINK("http://dx.doi.org/10.1111/j.1461-0248.2004.00677.x","http://dx.doi.org/10.1111/j.1461-0248.2004.00677.x")</f>
        <v>http://dx.doi.org/10.1111/j.1461-0248.2004.00677.x</v>
      </c>
      <c r="BG6" s="20" t="s">
        <v>1813</v>
      </c>
      <c r="BH6" s="20" t="s">
        <v>1813</v>
      </c>
      <c r="BI6" s="20">
        <v>10.0</v>
      </c>
      <c r="BJ6" s="20" t="s">
        <v>1899</v>
      </c>
      <c r="BK6" s="20" t="s">
        <v>1839</v>
      </c>
      <c r="BL6" s="20" t="s">
        <v>1900</v>
      </c>
      <c r="BM6" s="20" t="s">
        <v>1918</v>
      </c>
      <c r="BN6" s="20" t="s">
        <v>1813</v>
      </c>
      <c r="BO6" s="20" t="s">
        <v>1878</v>
      </c>
      <c r="BP6" s="20" t="s">
        <v>1813</v>
      </c>
      <c r="BQ6" s="20" t="s">
        <v>1813</v>
      </c>
      <c r="BR6" s="20" t="s">
        <v>1842</v>
      </c>
      <c r="BS6" s="20" t="s">
        <v>1919</v>
      </c>
      <c r="BT6" s="20" t="str">
        <f>HYPERLINK("https%3A%2F%2Fwww.webofscience.com%2Fwos%2Fwoscc%2Ffull-record%2FWOS:000225078000007","View Full Record in Web of Science")</f>
        <v>View Full Record in Web of Science</v>
      </c>
    </row>
    <row r="7" ht="12.75" customHeight="1">
      <c r="A7" s="20" t="s">
        <v>1811</v>
      </c>
      <c r="B7" s="20" t="s">
        <v>1920</v>
      </c>
      <c r="C7" s="20" t="s">
        <v>1813</v>
      </c>
      <c r="D7" s="20" t="s">
        <v>1813</v>
      </c>
      <c r="E7" s="20" t="s">
        <v>1813</v>
      </c>
      <c r="F7" s="20" t="s">
        <v>1921</v>
      </c>
      <c r="G7" s="20" t="s">
        <v>1813</v>
      </c>
      <c r="H7" s="20" t="s">
        <v>1813</v>
      </c>
      <c r="I7" s="20" t="s">
        <v>1922</v>
      </c>
      <c r="J7" s="20" t="s">
        <v>1923</v>
      </c>
      <c r="K7" s="20" t="s">
        <v>1813</v>
      </c>
      <c r="L7" s="20" t="s">
        <v>1813</v>
      </c>
      <c r="M7" s="20" t="s">
        <v>1816</v>
      </c>
      <c r="N7" s="20" t="s">
        <v>1817</v>
      </c>
      <c r="O7" s="20" t="s">
        <v>1813</v>
      </c>
      <c r="P7" s="20" t="s">
        <v>1813</v>
      </c>
      <c r="Q7" s="20" t="s">
        <v>1813</v>
      </c>
      <c r="R7" s="20" t="s">
        <v>1813</v>
      </c>
      <c r="S7" s="20" t="s">
        <v>1813</v>
      </c>
      <c r="T7" s="20" t="s">
        <v>1924</v>
      </c>
      <c r="U7" s="20" t="s">
        <v>1925</v>
      </c>
      <c r="V7" s="20" t="s">
        <v>1926</v>
      </c>
      <c r="W7" s="20" t="s">
        <v>1927</v>
      </c>
      <c r="X7" s="20" t="s">
        <v>1928</v>
      </c>
      <c r="Y7" s="20" t="s">
        <v>1929</v>
      </c>
      <c r="Z7" s="20" t="s">
        <v>1930</v>
      </c>
      <c r="AA7" s="20" t="s">
        <v>1931</v>
      </c>
      <c r="AB7" s="20" t="s">
        <v>1932</v>
      </c>
      <c r="AC7" s="20" t="s">
        <v>1933</v>
      </c>
      <c r="AD7" s="20" t="s">
        <v>1934</v>
      </c>
      <c r="AE7" s="20" t="s">
        <v>1813</v>
      </c>
      <c r="AF7" s="20" t="s">
        <v>1813</v>
      </c>
      <c r="AG7" s="20">
        <v>59.0</v>
      </c>
      <c r="AH7" s="20">
        <v>280.0</v>
      </c>
      <c r="AI7" s="20">
        <v>318.0</v>
      </c>
      <c r="AJ7" s="20">
        <v>2.0</v>
      </c>
      <c r="AK7" s="20">
        <v>148.0</v>
      </c>
      <c r="AL7" s="20" t="s">
        <v>1829</v>
      </c>
      <c r="AM7" s="20" t="s">
        <v>1830</v>
      </c>
      <c r="AN7" s="20" t="s">
        <v>1831</v>
      </c>
      <c r="AO7" s="20" t="s">
        <v>1935</v>
      </c>
      <c r="AP7" s="20" t="s">
        <v>1936</v>
      </c>
      <c r="AQ7" s="20" t="s">
        <v>1813</v>
      </c>
      <c r="AR7" s="20" t="s">
        <v>1937</v>
      </c>
      <c r="AS7" s="20" t="s">
        <v>1938</v>
      </c>
      <c r="AT7" s="20" t="s">
        <v>1939</v>
      </c>
      <c r="AU7" s="20">
        <v>2008.0</v>
      </c>
      <c r="AV7" s="20">
        <v>45.0</v>
      </c>
      <c r="AW7" s="20">
        <v>3.0</v>
      </c>
      <c r="AX7" s="20" t="s">
        <v>1813</v>
      </c>
      <c r="AY7" s="20" t="s">
        <v>1813</v>
      </c>
      <c r="AZ7" s="20" t="s">
        <v>1813</v>
      </c>
      <c r="BA7" s="20" t="s">
        <v>1813</v>
      </c>
      <c r="BB7" s="20">
        <v>883.0</v>
      </c>
      <c r="BC7" s="20">
        <v>893.0</v>
      </c>
      <c r="BD7" s="20" t="s">
        <v>1813</v>
      </c>
      <c r="BE7" s="20" t="s">
        <v>1940</v>
      </c>
      <c r="BF7" s="22" t="str">
        <f>HYPERLINK("http://dx.doi.org/10.1111/j.1365-2664.2008.01454.x","http://dx.doi.org/10.1111/j.1365-2664.2008.01454.x")</f>
        <v>http://dx.doi.org/10.1111/j.1365-2664.2008.01454.x</v>
      </c>
      <c r="BG7" s="20" t="s">
        <v>1813</v>
      </c>
      <c r="BH7" s="20" t="s">
        <v>1813</v>
      </c>
      <c r="BI7" s="20">
        <v>11.0</v>
      </c>
      <c r="BJ7" s="20" t="s">
        <v>1838</v>
      </c>
      <c r="BK7" s="20" t="s">
        <v>1839</v>
      </c>
      <c r="BL7" s="20" t="s">
        <v>1840</v>
      </c>
      <c r="BM7" s="20" t="s">
        <v>1941</v>
      </c>
      <c r="BN7" s="20" t="s">
        <v>1813</v>
      </c>
      <c r="BO7" s="20" t="s">
        <v>1878</v>
      </c>
      <c r="BP7" s="20" t="s">
        <v>1813</v>
      </c>
      <c r="BQ7" s="20" t="s">
        <v>1813</v>
      </c>
      <c r="BR7" s="20" t="s">
        <v>1842</v>
      </c>
      <c r="BS7" s="20" t="s">
        <v>1942</v>
      </c>
      <c r="BT7" s="20" t="str">
        <f>HYPERLINK("https%3A%2F%2Fwww.webofscience.com%2Fwos%2Fwoscc%2Ffull-record%2FWOS:000255464600016","View Full Record in Web of Science")</f>
        <v>View Full Record in Web of Science</v>
      </c>
    </row>
    <row r="8" ht="12.75" customHeight="1">
      <c r="A8" s="20" t="s">
        <v>1811</v>
      </c>
      <c r="B8" s="20" t="s">
        <v>1943</v>
      </c>
      <c r="C8" s="20" t="s">
        <v>1813</v>
      </c>
      <c r="D8" s="20" t="s">
        <v>1813</v>
      </c>
      <c r="E8" s="20" t="s">
        <v>1813</v>
      </c>
      <c r="F8" s="20" t="s">
        <v>1944</v>
      </c>
      <c r="G8" s="20" t="s">
        <v>1813</v>
      </c>
      <c r="H8" s="20" t="s">
        <v>1813</v>
      </c>
      <c r="I8" s="20" t="s">
        <v>1282</v>
      </c>
      <c r="J8" s="20" t="s">
        <v>1945</v>
      </c>
      <c r="K8" s="20" t="s">
        <v>1813</v>
      </c>
      <c r="L8" s="20" t="s">
        <v>1813</v>
      </c>
      <c r="M8" s="20" t="s">
        <v>1816</v>
      </c>
      <c r="N8" s="20" t="s">
        <v>1817</v>
      </c>
      <c r="O8" s="20" t="s">
        <v>1813</v>
      </c>
      <c r="P8" s="20" t="s">
        <v>1813</v>
      </c>
      <c r="Q8" s="20" t="s">
        <v>1813</v>
      </c>
      <c r="R8" s="20" t="s">
        <v>1813</v>
      </c>
      <c r="S8" s="20" t="s">
        <v>1813</v>
      </c>
      <c r="T8" s="20" t="s">
        <v>1946</v>
      </c>
      <c r="U8" s="20" t="s">
        <v>1947</v>
      </c>
      <c r="V8" s="20" t="s">
        <v>1948</v>
      </c>
      <c r="W8" s="20" t="s">
        <v>1949</v>
      </c>
      <c r="X8" s="20" t="s">
        <v>1950</v>
      </c>
      <c r="Y8" s="20" t="s">
        <v>1951</v>
      </c>
      <c r="Z8" s="20" t="s">
        <v>1952</v>
      </c>
      <c r="AA8" s="20" t="s">
        <v>1953</v>
      </c>
      <c r="AB8" s="20" t="s">
        <v>1954</v>
      </c>
      <c r="AC8" s="20" t="s">
        <v>1955</v>
      </c>
      <c r="AD8" s="20" t="s">
        <v>1956</v>
      </c>
      <c r="AE8" s="20" t="s">
        <v>1957</v>
      </c>
      <c r="AF8" s="20" t="s">
        <v>1813</v>
      </c>
      <c r="AG8" s="20">
        <v>44.0</v>
      </c>
      <c r="AH8" s="20">
        <v>469.0</v>
      </c>
      <c r="AI8" s="20">
        <v>543.0</v>
      </c>
      <c r="AJ8" s="20">
        <v>5.0</v>
      </c>
      <c r="AK8" s="20">
        <v>547.0</v>
      </c>
      <c r="AL8" s="20" t="s">
        <v>1958</v>
      </c>
      <c r="AM8" s="20" t="s">
        <v>1959</v>
      </c>
      <c r="AN8" s="20" t="s">
        <v>1960</v>
      </c>
      <c r="AO8" s="20" t="s">
        <v>1961</v>
      </c>
      <c r="AP8" s="20" t="s">
        <v>1813</v>
      </c>
      <c r="AQ8" s="20" t="s">
        <v>1813</v>
      </c>
      <c r="AR8" s="20" t="s">
        <v>1962</v>
      </c>
      <c r="AS8" s="20" t="s">
        <v>1963</v>
      </c>
      <c r="AT8" s="20" t="s">
        <v>1964</v>
      </c>
      <c r="AU8" s="20">
        <v>2013.0</v>
      </c>
      <c r="AV8" s="20">
        <v>110.0</v>
      </c>
      <c r="AW8" s="20">
        <v>3.0</v>
      </c>
      <c r="AX8" s="20" t="s">
        <v>1813</v>
      </c>
      <c r="AY8" s="20" t="s">
        <v>1813</v>
      </c>
      <c r="AZ8" s="20" t="s">
        <v>1813</v>
      </c>
      <c r="BA8" s="20" t="s">
        <v>1813</v>
      </c>
      <c r="BB8" s="20">
        <v>988.0</v>
      </c>
      <c r="BC8" s="20">
        <v>993.0</v>
      </c>
      <c r="BD8" s="20" t="s">
        <v>1813</v>
      </c>
      <c r="BE8" s="20" t="s">
        <v>1965</v>
      </c>
      <c r="BF8" s="22" t="str">
        <f>HYPERLINK("http://dx.doi.org/10.1073/pnas.1220608110","http://dx.doi.org/10.1073/pnas.1220608110")</f>
        <v>http://dx.doi.org/10.1073/pnas.1220608110</v>
      </c>
      <c r="BG8" s="20" t="s">
        <v>1813</v>
      </c>
      <c r="BH8" s="20" t="s">
        <v>1813</v>
      </c>
      <c r="BI8" s="20">
        <v>6.0</v>
      </c>
      <c r="BJ8" s="20" t="s">
        <v>1966</v>
      </c>
      <c r="BK8" s="20" t="s">
        <v>1839</v>
      </c>
      <c r="BL8" s="20" t="s">
        <v>1967</v>
      </c>
      <c r="BM8" s="20" t="s">
        <v>1968</v>
      </c>
      <c r="BN8" s="20">
        <v>2.327181E7</v>
      </c>
      <c r="BO8" s="20" t="s">
        <v>1969</v>
      </c>
      <c r="BP8" s="20" t="s">
        <v>1813</v>
      </c>
      <c r="BQ8" s="20" t="s">
        <v>1813</v>
      </c>
      <c r="BR8" s="20" t="s">
        <v>1842</v>
      </c>
      <c r="BS8" s="20" t="s">
        <v>1970</v>
      </c>
      <c r="BT8" s="20" t="str">
        <f>HYPERLINK("https%3A%2F%2Fwww.webofscience.com%2Fwos%2Fwoscc%2Ffull-record%2FWOS:000313909100047","View Full Record in Web of Science")</f>
        <v>View Full Record in Web of Science</v>
      </c>
    </row>
    <row r="9" ht="12.75" customHeight="1">
      <c r="A9" s="20" t="s">
        <v>1811</v>
      </c>
      <c r="B9" s="20" t="s">
        <v>1971</v>
      </c>
      <c r="C9" s="20" t="s">
        <v>1813</v>
      </c>
      <c r="D9" s="20" t="s">
        <v>1813</v>
      </c>
      <c r="E9" s="20" t="s">
        <v>1813</v>
      </c>
      <c r="F9" s="20" t="s">
        <v>1971</v>
      </c>
      <c r="G9" s="20" t="s">
        <v>1813</v>
      </c>
      <c r="H9" s="20" t="s">
        <v>1813</v>
      </c>
      <c r="I9" s="20" t="s">
        <v>1503</v>
      </c>
      <c r="J9" s="20" t="s">
        <v>1972</v>
      </c>
      <c r="K9" s="20" t="s">
        <v>1813</v>
      </c>
      <c r="L9" s="20" t="s">
        <v>1813</v>
      </c>
      <c r="M9" s="20" t="s">
        <v>1816</v>
      </c>
      <c r="N9" s="20" t="s">
        <v>1817</v>
      </c>
      <c r="O9" s="20" t="s">
        <v>1813</v>
      </c>
      <c r="P9" s="20" t="s">
        <v>1813</v>
      </c>
      <c r="Q9" s="20" t="s">
        <v>1813</v>
      </c>
      <c r="R9" s="20" t="s">
        <v>1813</v>
      </c>
      <c r="S9" s="20" t="s">
        <v>1813</v>
      </c>
      <c r="T9" s="20" t="s">
        <v>1973</v>
      </c>
      <c r="U9" s="20" t="s">
        <v>1974</v>
      </c>
      <c r="V9" s="20" t="s">
        <v>1975</v>
      </c>
      <c r="W9" s="20" t="s">
        <v>1976</v>
      </c>
      <c r="X9" s="20" t="s">
        <v>1977</v>
      </c>
      <c r="Y9" s="20" t="s">
        <v>1978</v>
      </c>
      <c r="Z9" s="20" t="s">
        <v>1813</v>
      </c>
      <c r="AA9" s="20" t="s">
        <v>1979</v>
      </c>
      <c r="AB9" s="20" t="s">
        <v>1980</v>
      </c>
      <c r="AC9" s="20" t="s">
        <v>1813</v>
      </c>
      <c r="AD9" s="20" t="s">
        <v>1813</v>
      </c>
      <c r="AE9" s="20" t="s">
        <v>1813</v>
      </c>
      <c r="AF9" s="20" t="s">
        <v>1813</v>
      </c>
      <c r="AG9" s="20">
        <v>61.0</v>
      </c>
      <c r="AH9" s="20">
        <v>61.0</v>
      </c>
      <c r="AI9" s="20">
        <v>75.0</v>
      </c>
      <c r="AJ9" s="20">
        <v>1.0</v>
      </c>
      <c r="AK9" s="20">
        <v>44.0</v>
      </c>
      <c r="AL9" s="20" t="s">
        <v>1829</v>
      </c>
      <c r="AM9" s="20" t="s">
        <v>1830</v>
      </c>
      <c r="AN9" s="20" t="s">
        <v>1831</v>
      </c>
      <c r="AO9" s="20" t="s">
        <v>1981</v>
      </c>
      <c r="AP9" s="20" t="s">
        <v>1982</v>
      </c>
      <c r="AQ9" s="20" t="s">
        <v>1813</v>
      </c>
      <c r="AR9" s="20" t="s">
        <v>1972</v>
      </c>
      <c r="AS9" s="20" t="s">
        <v>1983</v>
      </c>
      <c r="AT9" s="20" t="s">
        <v>1836</v>
      </c>
      <c r="AU9" s="20">
        <v>2003.0</v>
      </c>
      <c r="AV9" s="20">
        <v>35.0</v>
      </c>
      <c r="AW9" s="20">
        <v>3.0</v>
      </c>
      <c r="AX9" s="20" t="s">
        <v>1813</v>
      </c>
      <c r="AY9" s="20" t="s">
        <v>1813</v>
      </c>
      <c r="AZ9" s="20" t="s">
        <v>1813</v>
      </c>
      <c r="BA9" s="20" t="s">
        <v>1813</v>
      </c>
      <c r="BB9" s="20">
        <v>382.0</v>
      </c>
      <c r="BC9" s="20">
        <v>393.0</v>
      </c>
      <c r="BD9" s="20" t="s">
        <v>1813</v>
      </c>
      <c r="BE9" s="20" t="s">
        <v>1984</v>
      </c>
      <c r="BF9" s="22" t="str">
        <f>HYPERLINK("http://dx.doi.org/10.1646/02149","http://dx.doi.org/10.1646/02149")</f>
        <v>http://dx.doi.org/10.1646/02149</v>
      </c>
      <c r="BG9" s="20" t="s">
        <v>1813</v>
      </c>
      <c r="BH9" s="20" t="s">
        <v>1813</v>
      </c>
      <c r="BI9" s="20">
        <v>12.0</v>
      </c>
      <c r="BJ9" s="20" t="s">
        <v>1899</v>
      </c>
      <c r="BK9" s="20" t="s">
        <v>1839</v>
      </c>
      <c r="BL9" s="20" t="s">
        <v>1900</v>
      </c>
      <c r="BM9" s="20" t="s">
        <v>1985</v>
      </c>
      <c r="BN9" s="20" t="s">
        <v>1813</v>
      </c>
      <c r="BO9" s="20" t="s">
        <v>1813</v>
      </c>
      <c r="BP9" s="20" t="s">
        <v>1813</v>
      </c>
      <c r="BQ9" s="20" t="s">
        <v>1813</v>
      </c>
      <c r="BR9" s="20" t="s">
        <v>1842</v>
      </c>
      <c r="BS9" s="20" t="s">
        <v>1986</v>
      </c>
      <c r="BT9" s="20" t="str">
        <f>HYPERLINK("https%3A%2F%2Fwww.webofscience.com%2Fwos%2Fwoscc%2Ffull-record%2FWOS:000186644700008","View Full Record in Web of Science")</f>
        <v>View Full Record in Web of Science</v>
      </c>
    </row>
    <row r="10" ht="12.75" customHeight="1">
      <c r="A10" s="20" t="s">
        <v>1811</v>
      </c>
      <c r="B10" s="20" t="s">
        <v>1987</v>
      </c>
      <c r="C10" s="20" t="s">
        <v>1813</v>
      </c>
      <c r="D10" s="20" t="s">
        <v>1813</v>
      </c>
      <c r="E10" s="20" t="s">
        <v>1813</v>
      </c>
      <c r="F10" s="20" t="s">
        <v>1988</v>
      </c>
      <c r="G10" s="20" t="s">
        <v>1813</v>
      </c>
      <c r="H10" s="20" t="s">
        <v>1813</v>
      </c>
      <c r="I10" s="20" t="s">
        <v>1610</v>
      </c>
      <c r="J10" s="20" t="s">
        <v>1989</v>
      </c>
      <c r="K10" s="20" t="s">
        <v>1813</v>
      </c>
      <c r="L10" s="20" t="s">
        <v>1813</v>
      </c>
      <c r="M10" s="20" t="s">
        <v>1816</v>
      </c>
      <c r="N10" s="20" t="s">
        <v>1817</v>
      </c>
      <c r="O10" s="20" t="s">
        <v>1813</v>
      </c>
      <c r="P10" s="20" t="s">
        <v>1813</v>
      </c>
      <c r="Q10" s="20" t="s">
        <v>1813</v>
      </c>
      <c r="R10" s="20" t="s">
        <v>1813</v>
      </c>
      <c r="S10" s="20" t="s">
        <v>1813</v>
      </c>
      <c r="T10" s="20" t="s">
        <v>1990</v>
      </c>
      <c r="U10" s="20" t="s">
        <v>1991</v>
      </c>
      <c r="V10" s="20" t="s">
        <v>1992</v>
      </c>
      <c r="W10" s="20" t="s">
        <v>1993</v>
      </c>
      <c r="X10" s="20" t="s">
        <v>1994</v>
      </c>
      <c r="Y10" s="20" t="s">
        <v>1995</v>
      </c>
      <c r="Z10" s="20" t="s">
        <v>1996</v>
      </c>
      <c r="AA10" s="20" t="s">
        <v>1997</v>
      </c>
      <c r="AB10" s="20" t="s">
        <v>1998</v>
      </c>
      <c r="AC10" s="20" t="s">
        <v>1999</v>
      </c>
      <c r="AD10" s="20" t="s">
        <v>2000</v>
      </c>
      <c r="AE10" s="20" t="s">
        <v>2001</v>
      </c>
      <c r="AF10" s="20" t="s">
        <v>1813</v>
      </c>
      <c r="AG10" s="20">
        <v>72.0</v>
      </c>
      <c r="AH10" s="20">
        <v>11.0</v>
      </c>
      <c r="AI10" s="20">
        <v>17.0</v>
      </c>
      <c r="AJ10" s="20">
        <v>0.0</v>
      </c>
      <c r="AK10" s="20">
        <v>127.0</v>
      </c>
      <c r="AL10" s="20" t="s">
        <v>2002</v>
      </c>
      <c r="AM10" s="20" t="s">
        <v>2003</v>
      </c>
      <c r="AN10" s="20" t="s">
        <v>2004</v>
      </c>
      <c r="AO10" s="20" t="s">
        <v>2005</v>
      </c>
      <c r="AP10" s="20" t="s">
        <v>2006</v>
      </c>
      <c r="AQ10" s="20" t="s">
        <v>1813</v>
      </c>
      <c r="AR10" s="20" t="s">
        <v>2007</v>
      </c>
      <c r="AS10" s="20" t="s">
        <v>2008</v>
      </c>
      <c r="AT10" s="20" t="s">
        <v>2009</v>
      </c>
      <c r="AU10" s="20">
        <v>2013.0</v>
      </c>
      <c r="AV10" s="20">
        <v>110.0</v>
      </c>
      <c r="AW10" s="20" t="s">
        <v>1813</v>
      </c>
      <c r="AX10" s="20" t="s">
        <v>1813</v>
      </c>
      <c r="AY10" s="20" t="s">
        <v>1813</v>
      </c>
      <c r="AZ10" s="20" t="s">
        <v>1813</v>
      </c>
      <c r="BA10" s="20" t="s">
        <v>1813</v>
      </c>
      <c r="BB10" s="20">
        <v>155.0</v>
      </c>
      <c r="BC10" s="20">
        <v>163.0</v>
      </c>
      <c r="BD10" s="20" t="s">
        <v>1813</v>
      </c>
      <c r="BE10" s="20" t="s">
        <v>2010</v>
      </c>
      <c r="BF10" s="22" t="str">
        <f>HYPERLINK("http://dx.doi.org/10.1016/j.landurbplan.2012.11.005","http://dx.doi.org/10.1016/j.landurbplan.2012.11.005")</f>
        <v>http://dx.doi.org/10.1016/j.landurbplan.2012.11.005</v>
      </c>
      <c r="BG10" s="20" t="s">
        <v>1813</v>
      </c>
      <c r="BH10" s="20" t="s">
        <v>1813</v>
      </c>
      <c r="BI10" s="20">
        <v>9.0</v>
      </c>
      <c r="BJ10" s="20" t="s">
        <v>2011</v>
      </c>
      <c r="BK10" s="20" t="s">
        <v>2012</v>
      </c>
      <c r="BL10" s="20" t="s">
        <v>2013</v>
      </c>
      <c r="BM10" s="20" t="s">
        <v>2014</v>
      </c>
      <c r="BN10" s="20" t="s">
        <v>1813</v>
      </c>
      <c r="BO10" s="20" t="s">
        <v>1813</v>
      </c>
      <c r="BP10" s="20" t="s">
        <v>1813</v>
      </c>
      <c r="BQ10" s="20" t="s">
        <v>1813</v>
      </c>
      <c r="BR10" s="20" t="s">
        <v>1842</v>
      </c>
      <c r="BS10" s="20" t="s">
        <v>2015</v>
      </c>
      <c r="BT10" s="20" t="str">
        <f>HYPERLINK("https%3A%2F%2Fwww.webofscience.com%2Fwos%2Fwoscc%2Ffull-record%2FWOS:000314189600016","View Full Record in Web of Science")</f>
        <v>View Full Record in Web of Science</v>
      </c>
    </row>
    <row r="11" ht="12.75" customHeight="1">
      <c r="A11" s="20" t="s">
        <v>1811</v>
      </c>
      <c r="B11" s="20" t="s">
        <v>2016</v>
      </c>
      <c r="C11" s="20" t="s">
        <v>1813</v>
      </c>
      <c r="D11" s="20" t="s">
        <v>1813</v>
      </c>
      <c r="E11" s="20" t="s">
        <v>1813</v>
      </c>
      <c r="F11" s="20" t="s">
        <v>2017</v>
      </c>
      <c r="G11" s="20" t="s">
        <v>1813</v>
      </c>
      <c r="H11" s="20" t="s">
        <v>1813</v>
      </c>
      <c r="I11" s="20" t="s">
        <v>1692</v>
      </c>
      <c r="J11" s="20" t="s">
        <v>2018</v>
      </c>
      <c r="K11" s="20" t="s">
        <v>1813</v>
      </c>
      <c r="L11" s="20" t="s">
        <v>1813</v>
      </c>
      <c r="M11" s="20" t="s">
        <v>1816</v>
      </c>
      <c r="N11" s="20" t="s">
        <v>1817</v>
      </c>
      <c r="O11" s="20" t="s">
        <v>1813</v>
      </c>
      <c r="P11" s="20" t="s">
        <v>1813</v>
      </c>
      <c r="Q11" s="20" t="s">
        <v>1813</v>
      </c>
      <c r="R11" s="20" t="s">
        <v>1813</v>
      </c>
      <c r="S11" s="20" t="s">
        <v>1813</v>
      </c>
      <c r="T11" s="20" t="s">
        <v>2019</v>
      </c>
      <c r="U11" s="20" t="s">
        <v>2020</v>
      </c>
      <c r="V11" s="20" t="s">
        <v>2021</v>
      </c>
      <c r="W11" s="20" t="s">
        <v>2022</v>
      </c>
      <c r="X11" s="20" t="s">
        <v>2023</v>
      </c>
      <c r="Y11" s="20" t="s">
        <v>2024</v>
      </c>
      <c r="Z11" s="20" t="s">
        <v>2025</v>
      </c>
      <c r="AA11" s="20" t="s">
        <v>2026</v>
      </c>
      <c r="AB11" s="20" t="s">
        <v>2027</v>
      </c>
      <c r="AC11" s="20" t="s">
        <v>2028</v>
      </c>
      <c r="AD11" s="20" t="s">
        <v>2029</v>
      </c>
      <c r="AE11" s="20" t="s">
        <v>2030</v>
      </c>
      <c r="AF11" s="20" t="s">
        <v>1813</v>
      </c>
      <c r="AG11" s="20">
        <v>51.0</v>
      </c>
      <c r="AH11" s="20">
        <v>248.0</v>
      </c>
      <c r="AI11" s="20">
        <v>324.0</v>
      </c>
      <c r="AJ11" s="20">
        <v>11.0</v>
      </c>
      <c r="AK11" s="20">
        <v>496.0</v>
      </c>
      <c r="AL11" s="20" t="s">
        <v>1829</v>
      </c>
      <c r="AM11" s="20" t="s">
        <v>1830</v>
      </c>
      <c r="AN11" s="20" t="s">
        <v>1831</v>
      </c>
      <c r="AO11" s="20" t="s">
        <v>2031</v>
      </c>
      <c r="AP11" s="20" t="s">
        <v>2032</v>
      </c>
      <c r="AQ11" s="20" t="s">
        <v>1813</v>
      </c>
      <c r="AR11" s="20" t="s">
        <v>2033</v>
      </c>
      <c r="AS11" s="20" t="s">
        <v>2034</v>
      </c>
      <c r="AT11" s="20" t="s">
        <v>1858</v>
      </c>
      <c r="AU11" s="20">
        <v>2011.0</v>
      </c>
      <c r="AV11" s="20">
        <v>17.0</v>
      </c>
      <c r="AW11" s="20">
        <v>1.0</v>
      </c>
      <c r="AX11" s="20" t="s">
        <v>1813</v>
      </c>
      <c r="AY11" s="20" t="s">
        <v>1813</v>
      </c>
      <c r="AZ11" s="20" t="s">
        <v>1813</v>
      </c>
      <c r="BA11" s="20" t="s">
        <v>1813</v>
      </c>
      <c r="BB11" s="20">
        <v>452.0</v>
      </c>
      <c r="BC11" s="20">
        <v>465.0</v>
      </c>
      <c r="BD11" s="20" t="s">
        <v>1813</v>
      </c>
      <c r="BE11" s="20" t="s">
        <v>2035</v>
      </c>
      <c r="BF11" s="22" t="str">
        <f>HYPERLINK("http://dx.doi.org/10.1111/j.1365-2486.2010.02253.x","http://dx.doi.org/10.1111/j.1365-2486.2010.02253.x")</f>
        <v>http://dx.doi.org/10.1111/j.1365-2486.2010.02253.x</v>
      </c>
      <c r="BG11" s="20" t="s">
        <v>1813</v>
      </c>
      <c r="BH11" s="20" t="s">
        <v>1813</v>
      </c>
      <c r="BI11" s="20">
        <v>14.0</v>
      </c>
      <c r="BJ11" s="20" t="s">
        <v>1860</v>
      </c>
      <c r="BK11" s="20" t="s">
        <v>1839</v>
      </c>
      <c r="BL11" s="20" t="s">
        <v>1840</v>
      </c>
      <c r="BM11" s="20" t="s">
        <v>2036</v>
      </c>
      <c r="BN11" s="20" t="s">
        <v>1813</v>
      </c>
      <c r="BO11" s="20" t="s">
        <v>1878</v>
      </c>
      <c r="BP11" s="20" t="s">
        <v>1813</v>
      </c>
      <c r="BQ11" s="20" t="s">
        <v>1813</v>
      </c>
      <c r="BR11" s="20" t="s">
        <v>1842</v>
      </c>
      <c r="BS11" s="20" t="s">
        <v>2037</v>
      </c>
      <c r="BT11" s="20" t="str">
        <f>HYPERLINK("https%3A%2F%2Fwww.webofscience.com%2Fwos%2Fwoscc%2Ffull-record%2FWOS:000284851500037","View Full Record in Web of Science")</f>
        <v>View Full Record in Web of Science</v>
      </c>
    </row>
    <row r="12" ht="12.75" customHeight="1">
      <c r="A12" s="20" t="s">
        <v>1811</v>
      </c>
      <c r="B12" s="20" t="s">
        <v>2038</v>
      </c>
      <c r="C12" s="20" t="s">
        <v>1813</v>
      </c>
      <c r="D12" s="20" t="s">
        <v>1813</v>
      </c>
      <c r="E12" s="20" t="s">
        <v>1813</v>
      </c>
      <c r="F12" s="20" t="s">
        <v>2039</v>
      </c>
      <c r="G12" s="20" t="s">
        <v>1813</v>
      </c>
      <c r="H12" s="20" t="s">
        <v>1813</v>
      </c>
      <c r="I12" s="20" t="s">
        <v>1447</v>
      </c>
      <c r="J12" s="20" t="s">
        <v>2040</v>
      </c>
      <c r="K12" s="20" t="s">
        <v>1813</v>
      </c>
      <c r="L12" s="20" t="s">
        <v>1813</v>
      </c>
      <c r="M12" s="20" t="s">
        <v>1816</v>
      </c>
      <c r="N12" s="20" t="s">
        <v>1817</v>
      </c>
      <c r="O12" s="20" t="s">
        <v>1813</v>
      </c>
      <c r="P12" s="20" t="s">
        <v>1813</v>
      </c>
      <c r="Q12" s="20" t="s">
        <v>1813</v>
      </c>
      <c r="R12" s="20" t="s">
        <v>1813</v>
      </c>
      <c r="S12" s="20" t="s">
        <v>1813</v>
      </c>
      <c r="T12" s="20" t="s">
        <v>2041</v>
      </c>
      <c r="U12" s="20" t="s">
        <v>2042</v>
      </c>
      <c r="V12" s="20" t="s">
        <v>2043</v>
      </c>
      <c r="W12" s="20" t="s">
        <v>2044</v>
      </c>
      <c r="X12" s="20" t="s">
        <v>2045</v>
      </c>
      <c r="Y12" s="20" t="s">
        <v>2046</v>
      </c>
      <c r="Z12" s="20" t="s">
        <v>1813</v>
      </c>
      <c r="AA12" s="20" t="s">
        <v>2047</v>
      </c>
      <c r="AB12" s="20" t="s">
        <v>2048</v>
      </c>
      <c r="AC12" s="20" t="s">
        <v>2049</v>
      </c>
      <c r="AD12" s="20" t="s">
        <v>2050</v>
      </c>
      <c r="AE12" s="20" t="s">
        <v>2051</v>
      </c>
      <c r="AF12" s="20" t="s">
        <v>1813</v>
      </c>
      <c r="AG12" s="20">
        <v>49.0</v>
      </c>
      <c r="AH12" s="20">
        <v>80.0</v>
      </c>
      <c r="AI12" s="20">
        <v>92.0</v>
      </c>
      <c r="AJ12" s="20">
        <v>1.0</v>
      </c>
      <c r="AK12" s="20">
        <v>75.0</v>
      </c>
      <c r="AL12" s="20" t="s">
        <v>2052</v>
      </c>
      <c r="AM12" s="20" t="s">
        <v>2053</v>
      </c>
      <c r="AN12" s="20" t="s">
        <v>2054</v>
      </c>
      <c r="AO12" s="20" t="s">
        <v>2055</v>
      </c>
      <c r="AP12" s="20" t="s">
        <v>2056</v>
      </c>
      <c r="AQ12" s="20" t="s">
        <v>1813</v>
      </c>
      <c r="AR12" s="20" t="s">
        <v>2057</v>
      </c>
      <c r="AS12" s="20" t="s">
        <v>2058</v>
      </c>
      <c r="AT12" s="20" t="s">
        <v>2059</v>
      </c>
      <c r="AU12" s="20">
        <v>2010.0</v>
      </c>
      <c r="AV12" s="20">
        <v>143.0</v>
      </c>
      <c r="AW12" s="20">
        <v>4.0</v>
      </c>
      <c r="AX12" s="20" t="s">
        <v>1813</v>
      </c>
      <c r="AY12" s="20" t="s">
        <v>1813</v>
      </c>
      <c r="AZ12" s="20" t="s">
        <v>1813</v>
      </c>
      <c r="BA12" s="20" t="s">
        <v>1813</v>
      </c>
      <c r="BB12" s="20">
        <v>856.0</v>
      </c>
      <c r="BC12" s="20">
        <v>861.0</v>
      </c>
      <c r="BD12" s="20" t="s">
        <v>1813</v>
      </c>
      <c r="BE12" s="20" t="s">
        <v>2060</v>
      </c>
      <c r="BF12" s="22" t="str">
        <f>HYPERLINK("http://dx.doi.org/10.1016/j.biocon.2009.12.030","http://dx.doi.org/10.1016/j.biocon.2009.12.030")</f>
        <v>http://dx.doi.org/10.1016/j.biocon.2009.12.030</v>
      </c>
      <c r="BG12" s="20" t="s">
        <v>1813</v>
      </c>
      <c r="BH12" s="20" t="s">
        <v>1813</v>
      </c>
      <c r="BI12" s="20">
        <v>6.0</v>
      </c>
      <c r="BJ12" s="20" t="s">
        <v>1860</v>
      </c>
      <c r="BK12" s="20" t="s">
        <v>1839</v>
      </c>
      <c r="BL12" s="20" t="s">
        <v>1840</v>
      </c>
      <c r="BM12" s="20" t="s">
        <v>2061</v>
      </c>
      <c r="BN12" s="20" t="s">
        <v>1813</v>
      </c>
      <c r="BO12" s="20" t="s">
        <v>1813</v>
      </c>
      <c r="BP12" s="20" t="s">
        <v>1813</v>
      </c>
      <c r="BQ12" s="20" t="s">
        <v>1813</v>
      </c>
      <c r="BR12" s="20" t="s">
        <v>1842</v>
      </c>
      <c r="BS12" s="20" t="s">
        <v>2062</v>
      </c>
      <c r="BT12" s="20" t="str">
        <f>HYPERLINK("https%3A%2F%2Fwww.webofscience.com%2Fwos%2Fwoscc%2Ffull-record%2FWOS:000276425400006","View Full Record in Web of Science")</f>
        <v>View Full Record in Web of Science</v>
      </c>
    </row>
    <row r="13" ht="12.75" customHeight="1">
      <c r="A13" s="20" t="s">
        <v>1811</v>
      </c>
      <c r="B13" s="20" t="s">
        <v>2063</v>
      </c>
      <c r="C13" s="20" t="s">
        <v>1813</v>
      </c>
      <c r="D13" s="20" t="s">
        <v>1813</v>
      </c>
      <c r="E13" s="20" t="s">
        <v>1813</v>
      </c>
      <c r="F13" s="20" t="s">
        <v>2064</v>
      </c>
      <c r="G13" s="20" t="s">
        <v>1813</v>
      </c>
      <c r="H13" s="20" t="s">
        <v>1813</v>
      </c>
      <c r="I13" s="20" t="s">
        <v>1335</v>
      </c>
      <c r="J13" s="20" t="s">
        <v>2065</v>
      </c>
      <c r="K13" s="20" t="s">
        <v>1813</v>
      </c>
      <c r="L13" s="20" t="s">
        <v>1813</v>
      </c>
      <c r="M13" s="20" t="s">
        <v>1816</v>
      </c>
      <c r="N13" s="20" t="s">
        <v>1817</v>
      </c>
      <c r="O13" s="20" t="s">
        <v>1813</v>
      </c>
      <c r="P13" s="20" t="s">
        <v>1813</v>
      </c>
      <c r="Q13" s="20" t="s">
        <v>1813</v>
      </c>
      <c r="R13" s="20" t="s">
        <v>1813</v>
      </c>
      <c r="S13" s="20" t="s">
        <v>1813</v>
      </c>
      <c r="T13" s="20" t="s">
        <v>2066</v>
      </c>
      <c r="U13" s="20" t="s">
        <v>2067</v>
      </c>
      <c r="V13" s="20" t="s">
        <v>2068</v>
      </c>
      <c r="W13" s="20" t="s">
        <v>2069</v>
      </c>
      <c r="X13" s="20" t="s">
        <v>2070</v>
      </c>
      <c r="Y13" s="20" t="s">
        <v>2071</v>
      </c>
      <c r="Z13" s="20" t="s">
        <v>2072</v>
      </c>
      <c r="AA13" s="20" t="s">
        <v>2073</v>
      </c>
      <c r="AB13" s="20" t="s">
        <v>2074</v>
      </c>
      <c r="AC13" s="20" t="s">
        <v>2075</v>
      </c>
      <c r="AD13" s="20" t="s">
        <v>2076</v>
      </c>
      <c r="AE13" s="20" t="s">
        <v>2077</v>
      </c>
      <c r="AF13" s="20" t="s">
        <v>1813</v>
      </c>
      <c r="AG13" s="20">
        <v>77.0</v>
      </c>
      <c r="AH13" s="20">
        <v>39.0</v>
      </c>
      <c r="AI13" s="20">
        <v>47.0</v>
      </c>
      <c r="AJ13" s="20">
        <v>0.0</v>
      </c>
      <c r="AK13" s="20">
        <v>58.0</v>
      </c>
      <c r="AL13" s="20" t="s">
        <v>1852</v>
      </c>
      <c r="AM13" s="20" t="s">
        <v>1853</v>
      </c>
      <c r="AN13" s="20" t="s">
        <v>1854</v>
      </c>
      <c r="AO13" s="20" t="s">
        <v>2078</v>
      </c>
      <c r="AP13" s="20" t="s">
        <v>2079</v>
      </c>
      <c r="AQ13" s="20" t="s">
        <v>1813</v>
      </c>
      <c r="AR13" s="20" t="s">
        <v>2080</v>
      </c>
      <c r="AS13" s="20" t="s">
        <v>2081</v>
      </c>
      <c r="AT13" s="20" t="s">
        <v>2082</v>
      </c>
      <c r="AU13" s="20">
        <v>2011.0</v>
      </c>
      <c r="AV13" s="20">
        <v>15.0</v>
      </c>
      <c r="AW13" s="20">
        <v>4.0</v>
      </c>
      <c r="AX13" s="20" t="s">
        <v>1813</v>
      </c>
      <c r="AY13" s="20" t="s">
        <v>1813</v>
      </c>
      <c r="AZ13" s="20" t="s">
        <v>1813</v>
      </c>
      <c r="BA13" s="20" t="s">
        <v>1813</v>
      </c>
      <c r="BB13" s="20">
        <v>505.0</v>
      </c>
      <c r="BC13" s="20">
        <v>522.0</v>
      </c>
      <c r="BD13" s="20" t="s">
        <v>1813</v>
      </c>
      <c r="BE13" s="20" t="s">
        <v>2083</v>
      </c>
      <c r="BF13" s="22" t="str">
        <f>HYPERLINK("http://dx.doi.org/10.1007/s10841-010-9330-2","http://dx.doi.org/10.1007/s10841-010-9330-2")</f>
        <v>http://dx.doi.org/10.1007/s10841-010-9330-2</v>
      </c>
      <c r="BG13" s="20" t="s">
        <v>1813</v>
      </c>
      <c r="BH13" s="20" t="s">
        <v>1813</v>
      </c>
      <c r="BI13" s="20">
        <v>18.0</v>
      </c>
      <c r="BJ13" s="20" t="s">
        <v>2084</v>
      </c>
      <c r="BK13" s="20" t="s">
        <v>1839</v>
      </c>
      <c r="BL13" s="20" t="s">
        <v>2085</v>
      </c>
      <c r="BM13" s="20" t="s">
        <v>2086</v>
      </c>
      <c r="BN13" s="20" t="s">
        <v>1813</v>
      </c>
      <c r="BO13" s="20" t="s">
        <v>1878</v>
      </c>
      <c r="BP13" s="20" t="s">
        <v>1813</v>
      </c>
      <c r="BQ13" s="20" t="s">
        <v>1813</v>
      </c>
      <c r="BR13" s="20" t="s">
        <v>1842</v>
      </c>
      <c r="BS13" s="20" t="s">
        <v>2087</v>
      </c>
      <c r="BT13" s="20" t="str">
        <f>HYPERLINK("https%3A%2F%2Fwww.webofscience.com%2Fwos%2Fwoscc%2Ffull-record%2FWOS:000294460300002","View Full Record in Web of Science")</f>
        <v>View Full Record in Web of Science</v>
      </c>
    </row>
    <row r="14" ht="12.75" customHeight="1">
      <c r="A14" s="20" t="s">
        <v>1811</v>
      </c>
      <c r="B14" s="20" t="s">
        <v>2088</v>
      </c>
      <c r="C14" s="20" t="s">
        <v>1813</v>
      </c>
      <c r="D14" s="20" t="s">
        <v>1813</v>
      </c>
      <c r="E14" s="20" t="s">
        <v>1813</v>
      </c>
      <c r="F14" s="20" t="s">
        <v>2089</v>
      </c>
      <c r="G14" s="20" t="s">
        <v>1813</v>
      </c>
      <c r="H14" s="20" t="s">
        <v>1813</v>
      </c>
      <c r="I14" s="20" t="s">
        <v>1268</v>
      </c>
      <c r="J14" s="20" t="s">
        <v>2090</v>
      </c>
      <c r="K14" s="20" t="s">
        <v>1813</v>
      </c>
      <c r="L14" s="20" t="s">
        <v>1813</v>
      </c>
      <c r="M14" s="20" t="s">
        <v>1816</v>
      </c>
      <c r="N14" s="20" t="s">
        <v>1817</v>
      </c>
      <c r="O14" s="20" t="s">
        <v>1813</v>
      </c>
      <c r="P14" s="20" t="s">
        <v>1813</v>
      </c>
      <c r="Q14" s="20" t="s">
        <v>1813</v>
      </c>
      <c r="R14" s="20" t="s">
        <v>1813</v>
      </c>
      <c r="S14" s="20" t="s">
        <v>1813</v>
      </c>
      <c r="T14" s="20" t="s">
        <v>2091</v>
      </c>
      <c r="U14" s="20" t="s">
        <v>2092</v>
      </c>
      <c r="V14" s="20" t="s">
        <v>2093</v>
      </c>
      <c r="W14" s="20" t="s">
        <v>2094</v>
      </c>
      <c r="X14" s="20" t="s">
        <v>2095</v>
      </c>
      <c r="Y14" s="20" t="s">
        <v>2096</v>
      </c>
      <c r="Z14" s="20" t="s">
        <v>2097</v>
      </c>
      <c r="AA14" s="20" t="s">
        <v>2098</v>
      </c>
      <c r="AB14" s="20" t="s">
        <v>2099</v>
      </c>
      <c r="AC14" s="20" t="s">
        <v>2100</v>
      </c>
      <c r="AD14" s="20" t="s">
        <v>2101</v>
      </c>
      <c r="AE14" s="20" t="s">
        <v>2102</v>
      </c>
      <c r="AF14" s="20" t="s">
        <v>1813</v>
      </c>
      <c r="AG14" s="20">
        <v>37.0</v>
      </c>
      <c r="AH14" s="20">
        <v>53.0</v>
      </c>
      <c r="AI14" s="20">
        <v>61.0</v>
      </c>
      <c r="AJ14" s="20">
        <v>8.0</v>
      </c>
      <c r="AK14" s="20">
        <v>202.0</v>
      </c>
      <c r="AL14" s="20" t="s">
        <v>2002</v>
      </c>
      <c r="AM14" s="20" t="s">
        <v>2003</v>
      </c>
      <c r="AN14" s="20" t="s">
        <v>2004</v>
      </c>
      <c r="AO14" s="20" t="s">
        <v>2103</v>
      </c>
      <c r="AP14" s="20" t="s">
        <v>2104</v>
      </c>
      <c r="AQ14" s="20" t="s">
        <v>1813</v>
      </c>
      <c r="AR14" s="20" t="s">
        <v>2105</v>
      </c>
      <c r="AS14" s="20" t="s">
        <v>2106</v>
      </c>
      <c r="AT14" s="20" t="s">
        <v>2082</v>
      </c>
      <c r="AU14" s="20">
        <v>2012.0</v>
      </c>
      <c r="AV14" s="20">
        <v>72.0</v>
      </c>
      <c r="AW14" s="20" t="s">
        <v>1813</v>
      </c>
      <c r="AX14" s="20" t="s">
        <v>1813</v>
      </c>
      <c r="AY14" s="20" t="s">
        <v>1813</v>
      </c>
      <c r="AZ14" s="20" t="s">
        <v>1813</v>
      </c>
      <c r="BA14" s="20" t="s">
        <v>1813</v>
      </c>
      <c r="BB14" s="20">
        <v>87.0</v>
      </c>
      <c r="BC14" s="20">
        <v>93.0</v>
      </c>
      <c r="BD14" s="20" t="s">
        <v>1813</v>
      </c>
      <c r="BE14" s="20" t="s">
        <v>2107</v>
      </c>
      <c r="BF14" s="22" t="str">
        <f>HYPERLINK("http://dx.doi.org/10.1016/j.seares.2011.10.003","http://dx.doi.org/10.1016/j.seares.2011.10.003")</f>
        <v>http://dx.doi.org/10.1016/j.seares.2011.10.003</v>
      </c>
      <c r="BG14" s="20" t="s">
        <v>1813</v>
      </c>
      <c r="BH14" s="20" t="s">
        <v>1813</v>
      </c>
      <c r="BI14" s="20">
        <v>7.0</v>
      </c>
      <c r="BJ14" s="20" t="s">
        <v>2108</v>
      </c>
      <c r="BK14" s="20" t="s">
        <v>1839</v>
      </c>
      <c r="BL14" s="20" t="s">
        <v>2108</v>
      </c>
      <c r="BM14" s="20" t="s">
        <v>2109</v>
      </c>
      <c r="BN14" s="20" t="s">
        <v>1813</v>
      </c>
      <c r="BO14" s="20" t="s">
        <v>1813</v>
      </c>
      <c r="BP14" s="20" t="s">
        <v>1813</v>
      </c>
      <c r="BQ14" s="20" t="s">
        <v>1813</v>
      </c>
      <c r="BR14" s="20" t="s">
        <v>1842</v>
      </c>
      <c r="BS14" s="20" t="s">
        <v>2110</v>
      </c>
      <c r="BT14" s="20" t="str">
        <f>HYPERLINK("https%3A%2F%2Fwww.webofscience.com%2Fwos%2Fwoscc%2Ffull-record%2FWOS:000307687500011","View Full Record in Web of Science")</f>
        <v>View Full Record in Web of Science</v>
      </c>
    </row>
    <row r="15" ht="12.75" customHeight="1">
      <c r="A15" s="20" t="s">
        <v>1811</v>
      </c>
      <c r="B15" s="20" t="s">
        <v>2111</v>
      </c>
      <c r="C15" s="20" t="s">
        <v>1813</v>
      </c>
      <c r="D15" s="20" t="s">
        <v>1813</v>
      </c>
      <c r="E15" s="20" t="s">
        <v>1813</v>
      </c>
      <c r="F15" s="20" t="s">
        <v>2112</v>
      </c>
      <c r="G15" s="20" t="s">
        <v>1813</v>
      </c>
      <c r="H15" s="20" t="s">
        <v>1813</v>
      </c>
      <c r="I15" s="20" t="s">
        <v>2113</v>
      </c>
      <c r="J15" s="20" t="s">
        <v>2065</v>
      </c>
      <c r="K15" s="20" t="s">
        <v>1813</v>
      </c>
      <c r="L15" s="20" t="s">
        <v>1813</v>
      </c>
      <c r="M15" s="20" t="s">
        <v>1816</v>
      </c>
      <c r="N15" s="20" t="s">
        <v>1817</v>
      </c>
      <c r="O15" s="20" t="s">
        <v>1813</v>
      </c>
      <c r="P15" s="20" t="s">
        <v>1813</v>
      </c>
      <c r="Q15" s="20" t="s">
        <v>1813</v>
      </c>
      <c r="R15" s="20" t="s">
        <v>1813</v>
      </c>
      <c r="S15" s="20" t="s">
        <v>1813</v>
      </c>
      <c r="T15" s="20" t="s">
        <v>2114</v>
      </c>
      <c r="U15" s="20" t="s">
        <v>2115</v>
      </c>
      <c r="V15" s="20" t="s">
        <v>2116</v>
      </c>
      <c r="W15" s="20" t="s">
        <v>2117</v>
      </c>
      <c r="X15" s="20" t="s">
        <v>2118</v>
      </c>
      <c r="Y15" s="20" t="s">
        <v>2119</v>
      </c>
      <c r="Z15" s="20" t="s">
        <v>2120</v>
      </c>
      <c r="AA15" s="20" t="s">
        <v>2121</v>
      </c>
      <c r="AB15" s="20" t="s">
        <v>1813</v>
      </c>
      <c r="AC15" s="20" t="s">
        <v>2122</v>
      </c>
      <c r="AD15" s="20" t="s">
        <v>2123</v>
      </c>
      <c r="AE15" s="20" t="s">
        <v>2124</v>
      </c>
      <c r="AF15" s="20" t="s">
        <v>1813</v>
      </c>
      <c r="AG15" s="20">
        <v>90.0</v>
      </c>
      <c r="AH15" s="20">
        <v>37.0</v>
      </c>
      <c r="AI15" s="20">
        <v>44.0</v>
      </c>
      <c r="AJ15" s="20">
        <v>2.0</v>
      </c>
      <c r="AK15" s="20">
        <v>35.0</v>
      </c>
      <c r="AL15" s="20" t="s">
        <v>1852</v>
      </c>
      <c r="AM15" s="20" t="s">
        <v>1853</v>
      </c>
      <c r="AN15" s="20" t="s">
        <v>1854</v>
      </c>
      <c r="AO15" s="20" t="s">
        <v>2078</v>
      </c>
      <c r="AP15" s="20" t="s">
        <v>2079</v>
      </c>
      <c r="AQ15" s="20" t="s">
        <v>1813</v>
      </c>
      <c r="AR15" s="20" t="s">
        <v>2080</v>
      </c>
      <c r="AS15" s="20" t="s">
        <v>2081</v>
      </c>
      <c r="AT15" s="20" t="s">
        <v>1916</v>
      </c>
      <c r="AU15" s="20">
        <v>2008.0</v>
      </c>
      <c r="AV15" s="20">
        <v>12.0</v>
      </c>
      <c r="AW15" s="20">
        <v>6.0</v>
      </c>
      <c r="AX15" s="20" t="s">
        <v>1813</v>
      </c>
      <c r="AY15" s="20" t="s">
        <v>1813</v>
      </c>
      <c r="AZ15" s="20" t="s">
        <v>1813</v>
      </c>
      <c r="BA15" s="20" t="s">
        <v>1813</v>
      </c>
      <c r="BB15" s="20">
        <v>639.0</v>
      </c>
      <c r="BC15" s="20">
        <v>650.0</v>
      </c>
      <c r="BD15" s="20" t="s">
        <v>1813</v>
      </c>
      <c r="BE15" s="20" t="s">
        <v>2125</v>
      </c>
      <c r="BF15" s="22" t="str">
        <f>HYPERLINK("http://dx.doi.org/10.1007/s10841-007-9100-y","http://dx.doi.org/10.1007/s10841-007-9100-y")</f>
        <v>http://dx.doi.org/10.1007/s10841-007-9100-y</v>
      </c>
      <c r="BG15" s="20" t="s">
        <v>1813</v>
      </c>
      <c r="BH15" s="20" t="s">
        <v>1813</v>
      </c>
      <c r="BI15" s="20">
        <v>12.0</v>
      </c>
      <c r="BJ15" s="20" t="s">
        <v>2084</v>
      </c>
      <c r="BK15" s="20" t="s">
        <v>1839</v>
      </c>
      <c r="BL15" s="20" t="s">
        <v>2085</v>
      </c>
      <c r="BM15" s="20" t="s">
        <v>2126</v>
      </c>
      <c r="BN15" s="20" t="s">
        <v>1813</v>
      </c>
      <c r="BO15" s="20" t="s">
        <v>1813</v>
      </c>
      <c r="BP15" s="20" t="s">
        <v>1813</v>
      </c>
      <c r="BQ15" s="20" t="s">
        <v>1813</v>
      </c>
      <c r="BR15" s="20" t="s">
        <v>1842</v>
      </c>
      <c r="BS15" s="20" t="s">
        <v>2127</v>
      </c>
      <c r="BT15" s="20" t="str">
        <f>HYPERLINK("https%3A%2F%2Fwww.webofscience.com%2Fwos%2Fwoscc%2Ffull-record%2FWOS:000259671900006","View Full Record in Web of Science")</f>
        <v>View Full Record in Web of Science</v>
      </c>
    </row>
    <row r="16" ht="12.75" customHeight="1">
      <c r="A16" s="20" t="s">
        <v>1811</v>
      </c>
      <c r="B16" s="20" t="s">
        <v>2128</v>
      </c>
      <c r="C16" s="20" t="s">
        <v>1813</v>
      </c>
      <c r="D16" s="20" t="s">
        <v>1813</v>
      </c>
      <c r="E16" s="20" t="s">
        <v>1813</v>
      </c>
      <c r="F16" s="20" t="s">
        <v>2129</v>
      </c>
      <c r="G16" s="20" t="s">
        <v>1813</v>
      </c>
      <c r="H16" s="20" t="s">
        <v>1813</v>
      </c>
      <c r="I16" s="20" t="s">
        <v>1319</v>
      </c>
      <c r="J16" s="20" t="s">
        <v>2018</v>
      </c>
      <c r="K16" s="20" t="s">
        <v>1813</v>
      </c>
      <c r="L16" s="20" t="s">
        <v>1813</v>
      </c>
      <c r="M16" s="20" t="s">
        <v>1816</v>
      </c>
      <c r="N16" s="20" t="s">
        <v>1817</v>
      </c>
      <c r="O16" s="20" t="s">
        <v>1813</v>
      </c>
      <c r="P16" s="20" t="s">
        <v>1813</v>
      </c>
      <c r="Q16" s="20" t="s">
        <v>1813</v>
      </c>
      <c r="R16" s="20" t="s">
        <v>1813</v>
      </c>
      <c r="S16" s="20" t="s">
        <v>1813</v>
      </c>
      <c r="T16" s="20" t="s">
        <v>2130</v>
      </c>
      <c r="U16" s="20" t="s">
        <v>2131</v>
      </c>
      <c r="V16" s="20" t="s">
        <v>2132</v>
      </c>
      <c r="W16" s="20" t="s">
        <v>2133</v>
      </c>
      <c r="X16" s="20" t="s">
        <v>2134</v>
      </c>
      <c r="Y16" s="20" t="s">
        <v>2135</v>
      </c>
      <c r="Z16" s="20" t="s">
        <v>2136</v>
      </c>
      <c r="AA16" s="20" t="s">
        <v>2137</v>
      </c>
      <c r="AB16" s="20" t="s">
        <v>2138</v>
      </c>
      <c r="AC16" s="20" t="s">
        <v>2139</v>
      </c>
      <c r="AD16" s="20" t="s">
        <v>2140</v>
      </c>
      <c r="AE16" s="20" t="s">
        <v>2141</v>
      </c>
      <c r="AF16" s="20" t="s">
        <v>1813</v>
      </c>
      <c r="AG16" s="20">
        <v>60.0</v>
      </c>
      <c r="AH16" s="20">
        <v>78.0</v>
      </c>
      <c r="AI16" s="20">
        <v>94.0</v>
      </c>
      <c r="AJ16" s="20">
        <v>9.0</v>
      </c>
      <c r="AK16" s="20">
        <v>168.0</v>
      </c>
      <c r="AL16" s="20" t="s">
        <v>1829</v>
      </c>
      <c r="AM16" s="20" t="s">
        <v>1830</v>
      </c>
      <c r="AN16" s="20" t="s">
        <v>1831</v>
      </c>
      <c r="AO16" s="20" t="s">
        <v>2031</v>
      </c>
      <c r="AP16" s="20" t="s">
        <v>2032</v>
      </c>
      <c r="AQ16" s="20" t="s">
        <v>1813</v>
      </c>
      <c r="AR16" s="20" t="s">
        <v>2033</v>
      </c>
      <c r="AS16" s="20" t="s">
        <v>2034</v>
      </c>
      <c r="AT16" s="20" t="s">
        <v>2082</v>
      </c>
      <c r="AU16" s="20">
        <v>2012.0</v>
      </c>
      <c r="AV16" s="20">
        <v>18.0</v>
      </c>
      <c r="AW16" s="20">
        <v>8.0</v>
      </c>
      <c r="AX16" s="20" t="s">
        <v>1813</v>
      </c>
      <c r="AY16" s="20" t="s">
        <v>1813</v>
      </c>
      <c r="AZ16" s="20" t="s">
        <v>1813</v>
      </c>
      <c r="BA16" s="20" t="s">
        <v>1813</v>
      </c>
      <c r="BB16" s="20">
        <v>2448.0</v>
      </c>
      <c r="BC16" s="20">
        <v>2457.0</v>
      </c>
      <c r="BD16" s="20" t="s">
        <v>1813</v>
      </c>
      <c r="BE16" s="20" t="s">
        <v>2142</v>
      </c>
      <c r="BF16" s="22" t="str">
        <f>HYPERLINK("http://dx.doi.org/10.1111/j.1365-2486.2012.02725.x","http://dx.doi.org/10.1111/j.1365-2486.2012.02725.x")</f>
        <v>http://dx.doi.org/10.1111/j.1365-2486.2012.02725.x</v>
      </c>
      <c r="BG16" s="20" t="s">
        <v>1813</v>
      </c>
      <c r="BH16" s="20" t="s">
        <v>1813</v>
      </c>
      <c r="BI16" s="20">
        <v>10.0</v>
      </c>
      <c r="BJ16" s="20" t="s">
        <v>1860</v>
      </c>
      <c r="BK16" s="20" t="s">
        <v>1839</v>
      </c>
      <c r="BL16" s="20" t="s">
        <v>1840</v>
      </c>
      <c r="BM16" s="20" t="s">
        <v>2143</v>
      </c>
      <c r="BN16" s="20" t="s">
        <v>1813</v>
      </c>
      <c r="BO16" s="20" t="s">
        <v>1813</v>
      </c>
      <c r="BP16" s="20" t="s">
        <v>1813</v>
      </c>
      <c r="BQ16" s="20" t="s">
        <v>1813</v>
      </c>
      <c r="BR16" s="20" t="s">
        <v>1842</v>
      </c>
      <c r="BS16" s="20" t="s">
        <v>2144</v>
      </c>
      <c r="BT16" s="20" t="str">
        <f>HYPERLINK("https%3A%2F%2Fwww.webofscience.com%2Fwos%2Fwoscc%2Ffull-record%2FWOS:000306228300007","View Full Record in Web of Science")</f>
        <v>View Full Record in Web of Science</v>
      </c>
    </row>
    <row r="17" ht="12.75" customHeight="1">
      <c r="A17" s="20" t="s">
        <v>1811</v>
      </c>
      <c r="B17" s="20" t="s">
        <v>2145</v>
      </c>
      <c r="C17" s="20" t="s">
        <v>1813</v>
      </c>
      <c r="D17" s="20" t="s">
        <v>1813</v>
      </c>
      <c r="E17" s="20" t="s">
        <v>1813</v>
      </c>
      <c r="F17" s="20" t="s">
        <v>2146</v>
      </c>
      <c r="G17" s="20" t="s">
        <v>1813</v>
      </c>
      <c r="H17" s="20" t="s">
        <v>1813</v>
      </c>
      <c r="I17" s="20" t="s">
        <v>1501</v>
      </c>
      <c r="J17" s="20" t="s">
        <v>2147</v>
      </c>
      <c r="K17" s="20" t="s">
        <v>1813</v>
      </c>
      <c r="L17" s="20" t="s">
        <v>1813</v>
      </c>
      <c r="M17" s="20" t="s">
        <v>1816</v>
      </c>
      <c r="N17" s="20" t="s">
        <v>1817</v>
      </c>
      <c r="O17" s="20" t="s">
        <v>1813</v>
      </c>
      <c r="P17" s="20" t="s">
        <v>1813</v>
      </c>
      <c r="Q17" s="20" t="s">
        <v>1813</v>
      </c>
      <c r="R17" s="20" t="s">
        <v>1813</v>
      </c>
      <c r="S17" s="20" t="s">
        <v>1813</v>
      </c>
      <c r="T17" s="20" t="s">
        <v>2148</v>
      </c>
      <c r="U17" s="20" t="s">
        <v>2149</v>
      </c>
      <c r="V17" s="20" t="s">
        <v>2150</v>
      </c>
      <c r="W17" s="20" t="s">
        <v>2151</v>
      </c>
      <c r="X17" s="20" t="s">
        <v>2152</v>
      </c>
      <c r="Y17" s="20" t="s">
        <v>2153</v>
      </c>
      <c r="Z17" s="20" t="s">
        <v>2154</v>
      </c>
      <c r="AA17" s="20" t="s">
        <v>2155</v>
      </c>
      <c r="AB17" s="20" t="s">
        <v>1813</v>
      </c>
      <c r="AC17" s="20" t="s">
        <v>2156</v>
      </c>
      <c r="AD17" s="20" t="s">
        <v>2156</v>
      </c>
      <c r="AE17" s="20" t="s">
        <v>2157</v>
      </c>
      <c r="AF17" s="20" t="s">
        <v>1813</v>
      </c>
      <c r="AG17" s="20">
        <v>58.0</v>
      </c>
      <c r="AH17" s="20">
        <v>30.0</v>
      </c>
      <c r="AI17" s="20">
        <v>44.0</v>
      </c>
      <c r="AJ17" s="20">
        <v>2.0</v>
      </c>
      <c r="AK17" s="20">
        <v>84.0</v>
      </c>
      <c r="AL17" s="20" t="s">
        <v>2158</v>
      </c>
      <c r="AM17" s="20" t="s">
        <v>2159</v>
      </c>
      <c r="AN17" s="20" t="s">
        <v>2160</v>
      </c>
      <c r="AO17" s="20" t="s">
        <v>2161</v>
      </c>
      <c r="AP17" s="20" t="s">
        <v>2162</v>
      </c>
      <c r="AQ17" s="20" t="s">
        <v>1813</v>
      </c>
      <c r="AR17" s="20" t="s">
        <v>2163</v>
      </c>
      <c r="AS17" s="20" t="s">
        <v>2164</v>
      </c>
      <c r="AT17" s="20" t="s">
        <v>1813</v>
      </c>
      <c r="AU17" s="20">
        <v>2011.0</v>
      </c>
      <c r="AV17" s="20">
        <v>12.0</v>
      </c>
      <c r="AW17" s="20">
        <v>4.0</v>
      </c>
      <c r="AX17" s="20" t="s">
        <v>1813</v>
      </c>
      <c r="AY17" s="20" t="s">
        <v>1813</v>
      </c>
      <c r="AZ17" s="20" t="s">
        <v>1813</v>
      </c>
      <c r="BA17" s="20" t="s">
        <v>1813</v>
      </c>
      <c r="BB17" s="20">
        <v>310.0</v>
      </c>
      <c r="BC17" s="20">
        <v>320.0</v>
      </c>
      <c r="BD17" s="20" t="s">
        <v>1813</v>
      </c>
      <c r="BE17" s="20" t="s">
        <v>2165</v>
      </c>
      <c r="BF17" s="22" t="str">
        <f>HYPERLINK("http://dx.doi.org/10.1016/j.baae.2010.12.003","http://dx.doi.org/10.1016/j.baae.2010.12.003")</f>
        <v>http://dx.doi.org/10.1016/j.baae.2010.12.003</v>
      </c>
      <c r="BG17" s="20" t="s">
        <v>1813</v>
      </c>
      <c r="BH17" s="20" t="s">
        <v>1813</v>
      </c>
      <c r="BI17" s="20">
        <v>11.0</v>
      </c>
      <c r="BJ17" s="20" t="s">
        <v>1899</v>
      </c>
      <c r="BK17" s="20" t="s">
        <v>1839</v>
      </c>
      <c r="BL17" s="20" t="s">
        <v>1900</v>
      </c>
      <c r="BM17" s="20" t="s">
        <v>2166</v>
      </c>
      <c r="BN17" s="20" t="s">
        <v>1813</v>
      </c>
      <c r="BO17" s="20" t="s">
        <v>1813</v>
      </c>
      <c r="BP17" s="20" t="s">
        <v>1813</v>
      </c>
      <c r="BQ17" s="20" t="s">
        <v>1813</v>
      </c>
      <c r="BR17" s="20" t="s">
        <v>1842</v>
      </c>
      <c r="BS17" s="20" t="s">
        <v>2167</v>
      </c>
      <c r="BT17" s="20" t="str">
        <f>HYPERLINK("https%3A%2F%2Fwww.webofscience.com%2Fwos%2Fwoscc%2Ffull-record%2FWOS:000293312600005","View Full Record in Web of Science")</f>
        <v>View Full Record in Web of Science</v>
      </c>
    </row>
    <row r="18" ht="12.75" customHeight="1">
      <c r="A18" s="20" t="s">
        <v>1811</v>
      </c>
      <c r="B18" s="20" t="s">
        <v>2168</v>
      </c>
      <c r="C18" s="20" t="s">
        <v>1813</v>
      </c>
      <c r="D18" s="20" t="s">
        <v>1813</v>
      </c>
      <c r="E18" s="20" t="s">
        <v>1813</v>
      </c>
      <c r="F18" s="20" t="s">
        <v>2169</v>
      </c>
      <c r="G18" s="20" t="s">
        <v>1813</v>
      </c>
      <c r="H18" s="20" t="s">
        <v>1813</v>
      </c>
      <c r="I18" s="20" t="s">
        <v>1667</v>
      </c>
      <c r="J18" s="20" t="s">
        <v>2170</v>
      </c>
      <c r="K18" s="20" t="s">
        <v>1813</v>
      </c>
      <c r="L18" s="20" t="s">
        <v>1813</v>
      </c>
      <c r="M18" s="20" t="s">
        <v>1816</v>
      </c>
      <c r="N18" s="20" t="s">
        <v>1817</v>
      </c>
      <c r="O18" s="20" t="s">
        <v>1813</v>
      </c>
      <c r="P18" s="20" t="s">
        <v>1813</v>
      </c>
      <c r="Q18" s="20" t="s">
        <v>1813</v>
      </c>
      <c r="R18" s="20" t="s">
        <v>1813</v>
      </c>
      <c r="S18" s="20" t="s">
        <v>1813</v>
      </c>
      <c r="T18" s="20" t="s">
        <v>2171</v>
      </c>
      <c r="U18" s="20" t="s">
        <v>2172</v>
      </c>
      <c r="V18" s="20" t="s">
        <v>2173</v>
      </c>
      <c r="W18" s="20" t="s">
        <v>2174</v>
      </c>
      <c r="X18" s="20" t="s">
        <v>2175</v>
      </c>
      <c r="Y18" s="20" t="s">
        <v>2176</v>
      </c>
      <c r="Z18" s="20" t="s">
        <v>2177</v>
      </c>
      <c r="AA18" s="20" t="s">
        <v>2178</v>
      </c>
      <c r="AB18" s="20" t="s">
        <v>2179</v>
      </c>
      <c r="AC18" s="20" t="s">
        <v>2180</v>
      </c>
      <c r="AD18" s="20" t="s">
        <v>2181</v>
      </c>
      <c r="AE18" s="20" t="s">
        <v>2182</v>
      </c>
      <c r="AF18" s="20" t="s">
        <v>1813</v>
      </c>
      <c r="AG18" s="20">
        <v>51.0</v>
      </c>
      <c r="AH18" s="20">
        <v>68.0</v>
      </c>
      <c r="AI18" s="20">
        <v>86.0</v>
      </c>
      <c r="AJ18" s="20">
        <v>4.0</v>
      </c>
      <c r="AK18" s="20">
        <v>162.0</v>
      </c>
      <c r="AL18" s="20" t="s">
        <v>1829</v>
      </c>
      <c r="AM18" s="20" t="s">
        <v>1830</v>
      </c>
      <c r="AN18" s="20" t="s">
        <v>1831</v>
      </c>
      <c r="AO18" s="20" t="s">
        <v>2183</v>
      </c>
      <c r="AP18" s="20" t="s">
        <v>2184</v>
      </c>
      <c r="AQ18" s="20" t="s">
        <v>1813</v>
      </c>
      <c r="AR18" s="20" t="s">
        <v>2170</v>
      </c>
      <c r="AS18" s="20" t="s">
        <v>1899</v>
      </c>
      <c r="AT18" s="20" t="s">
        <v>2185</v>
      </c>
      <c r="AU18" s="20">
        <v>2011.0</v>
      </c>
      <c r="AV18" s="20">
        <v>92.0</v>
      </c>
      <c r="AW18" s="20">
        <v>7.0</v>
      </c>
      <c r="AX18" s="20" t="s">
        <v>1813</v>
      </c>
      <c r="AY18" s="20" t="s">
        <v>1813</v>
      </c>
      <c r="AZ18" s="20" t="s">
        <v>1813</v>
      </c>
      <c r="BA18" s="20" t="s">
        <v>1813</v>
      </c>
      <c r="BB18" s="20">
        <v>1503.0</v>
      </c>
      <c r="BC18" s="20">
        <v>1512.0</v>
      </c>
      <c r="BD18" s="20" t="s">
        <v>1813</v>
      </c>
      <c r="BE18" s="20" t="s">
        <v>2186</v>
      </c>
      <c r="BF18" s="22" t="str">
        <f>HYPERLINK("http://dx.doi.org/10.1890/10-0627.1","http://dx.doi.org/10.1890/10-0627.1")</f>
        <v>http://dx.doi.org/10.1890/10-0627.1</v>
      </c>
      <c r="BG18" s="20" t="s">
        <v>1813</v>
      </c>
      <c r="BH18" s="20" t="s">
        <v>1813</v>
      </c>
      <c r="BI18" s="20">
        <v>10.0</v>
      </c>
      <c r="BJ18" s="20" t="s">
        <v>1899</v>
      </c>
      <c r="BK18" s="20" t="s">
        <v>1839</v>
      </c>
      <c r="BL18" s="20" t="s">
        <v>1900</v>
      </c>
      <c r="BM18" s="20" t="s">
        <v>2187</v>
      </c>
      <c r="BN18" s="20">
        <v>2.1870624E7</v>
      </c>
      <c r="BO18" s="20" t="s">
        <v>1813</v>
      </c>
      <c r="BP18" s="20" t="s">
        <v>1813</v>
      </c>
      <c r="BQ18" s="20" t="s">
        <v>1813</v>
      </c>
      <c r="BR18" s="20" t="s">
        <v>1842</v>
      </c>
      <c r="BS18" s="20" t="s">
        <v>2188</v>
      </c>
      <c r="BT18" s="20" t="str">
        <f>HYPERLINK("https%3A%2F%2Fwww.webofscience.com%2Fwos%2Fwoscc%2Ffull-record%2FWOS:000292814300014","View Full Record in Web of Science")</f>
        <v>View Full Record in Web of Science</v>
      </c>
    </row>
    <row r="19" ht="12.75" customHeight="1">
      <c r="A19" s="20" t="s">
        <v>1811</v>
      </c>
      <c r="B19" s="20" t="s">
        <v>2189</v>
      </c>
      <c r="C19" s="20" t="s">
        <v>1813</v>
      </c>
      <c r="D19" s="20" t="s">
        <v>1813</v>
      </c>
      <c r="E19" s="20" t="s">
        <v>1813</v>
      </c>
      <c r="F19" s="20" t="s">
        <v>2190</v>
      </c>
      <c r="G19" s="20" t="s">
        <v>1813</v>
      </c>
      <c r="H19" s="20" t="s">
        <v>1813</v>
      </c>
      <c r="I19" s="20" t="s">
        <v>2191</v>
      </c>
      <c r="J19" s="20" t="s">
        <v>2192</v>
      </c>
      <c r="K19" s="20" t="s">
        <v>1813</v>
      </c>
      <c r="L19" s="20" t="s">
        <v>1813</v>
      </c>
      <c r="M19" s="20" t="s">
        <v>1816</v>
      </c>
      <c r="N19" s="20" t="s">
        <v>1817</v>
      </c>
      <c r="O19" s="20" t="s">
        <v>1813</v>
      </c>
      <c r="P19" s="20" t="s">
        <v>1813</v>
      </c>
      <c r="Q19" s="20" t="s">
        <v>1813</v>
      </c>
      <c r="R19" s="20" t="s">
        <v>1813</v>
      </c>
      <c r="S19" s="20" t="s">
        <v>1813</v>
      </c>
      <c r="T19" s="20" t="s">
        <v>1813</v>
      </c>
      <c r="U19" s="20" t="s">
        <v>2193</v>
      </c>
      <c r="V19" s="20" t="s">
        <v>2194</v>
      </c>
      <c r="W19" s="20" t="s">
        <v>2195</v>
      </c>
      <c r="X19" s="20" t="s">
        <v>2196</v>
      </c>
      <c r="Y19" s="20" t="s">
        <v>2197</v>
      </c>
      <c r="Z19" s="20" t="s">
        <v>2198</v>
      </c>
      <c r="AA19" s="20" t="s">
        <v>2199</v>
      </c>
      <c r="AB19" s="20" t="s">
        <v>2200</v>
      </c>
      <c r="AC19" s="20" t="s">
        <v>2201</v>
      </c>
      <c r="AD19" s="20" t="s">
        <v>2202</v>
      </c>
      <c r="AE19" s="20" t="s">
        <v>2203</v>
      </c>
      <c r="AF19" s="20" t="s">
        <v>1813</v>
      </c>
      <c r="AG19" s="20">
        <v>44.0</v>
      </c>
      <c r="AH19" s="20">
        <v>160.0</v>
      </c>
      <c r="AI19" s="20">
        <v>181.0</v>
      </c>
      <c r="AJ19" s="20">
        <v>3.0</v>
      </c>
      <c r="AK19" s="20">
        <v>215.0</v>
      </c>
      <c r="AL19" s="20" t="s">
        <v>2204</v>
      </c>
      <c r="AM19" s="20" t="s">
        <v>2205</v>
      </c>
      <c r="AN19" s="20" t="s">
        <v>2206</v>
      </c>
      <c r="AO19" s="20" t="s">
        <v>2207</v>
      </c>
      <c r="AP19" s="20" t="s">
        <v>1813</v>
      </c>
      <c r="AQ19" s="20" t="s">
        <v>1813</v>
      </c>
      <c r="AR19" s="20" t="s">
        <v>2192</v>
      </c>
      <c r="AS19" s="20" t="s">
        <v>2208</v>
      </c>
      <c r="AT19" s="20" t="s">
        <v>2209</v>
      </c>
      <c r="AU19" s="20">
        <v>2012.0</v>
      </c>
      <c r="AV19" s="20">
        <v>7.0</v>
      </c>
      <c r="AW19" s="20">
        <v>11.0</v>
      </c>
      <c r="AX19" s="20" t="s">
        <v>1813</v>
      </c>
      <c r="AY19" s="20" t="s">
        <v>1813</v>
      </c>
      <c r="AZ19" s="20" t="s">
        <v>1813</v>
      </c>
      <c r="BA19" s="20" t="s">
        <v>1813</v>
      </c>
      <c r="BB19" s="20" t="s">
        <v>1813</v>
      </c>
      <c r="BC19" s="20" t="s">
        <v>1813</v>
      </c>
      <c r="BD19" s="20" t="s">
        <v>2210</v>
      </c>
      <c r="BE19" s="20" t="s">
        <v>2211</v>
      </c>
      <c r="BF19" s="22" t="str">
        <f>HYPERLINK("http://dx.doi.org/10.1371/journal.pone.0049873","http://dx.doi.org/10.1371/journal.pone.0049873")</f>
        <v>http://dx.doi.org/10.1371/journal.pone.0049873</v>
      </c>
      <c r="BG19" s="20" t="s">
        <v>1813</v>
      </c>
      <c r="BH19" s="20" t="s">
        <v>1813</v>
      </c>
      <c r="BI19" s="20">
        <v>14.0</v>
      </c>
      <c r="BJ19" s="20" t="s">
        <v>1966</v>
      </c>
      <c r="BK19" s="20" t="s">
        <v>1839</v>
      </c>
      <c r="BL19" s="20" t="s">
        <v>1967</v>
      </c>
      <c r="BM19" s="20" t="s">
        <v>2212</v>
      </c>
      <c r="BN19" s="20">
        <v>2.3185471E7</v>
      </c>
      <c r="BO19" s="20" t="s">
        <v>2213</v>
      </c>
      <c r="BP19" s="20" t="s">
        <v>1813</v>
      </c>
      <c r="BQ19" s="20" t="s">
        <v>1813</v>
      </c>
      <c r="BR19" s="20" t="s">
        <v>1842</v>
      </c>
      <c r="BS19" s="20" t="s">
        <v>2214</v>
      </c>
      <c r="BT19" s="20" t="str">
        <f>HYPERLINK("https%3A%2F%2Fwww.webofscience.com%2Fwos%2Fwoscc%2Ffull-record%2FWOS:000311821000133","View Full Record in Web of Science")</f>
        <v>View Full Record in Web of Science</v>
      </c>
    </row>
    <row r="20" ht="12.75" customHeight="1">
      <c r="A20" s="20" t="s">
        <v>1811</v>
      </c>
      <c r="B20" s="20" t="s">
        <v>2215</v>
      </c>
      <c r="C20" s="20" t="s">
        <v>1813</v>
      </c>
      <c r="D20" s="20" t="s">
        <v>1813</v>
      </c>
      <c r="E20" s="20" t="s">
        <v>1813</v>
      </c>
      <c r="F20" s="20" t="s">
        <v>2216</v>
      </c>
      <c r="G20" s="20" t="s">
        <v>1813</v>
      </c>
      <c r="H20" s="20" t="s">
        <v>1813</v>
      </c>
      <c r="I20" s="20" t="s">
        <v>1515</v>
      </c>
      <c r="J20" s="20" t="s">
        <v>1904</v>
      </c>
      <c r="K20" s="20" t="s">
        <v>1813</v>
      </c>
      <c r="L20" s="20" t="s">
        <v>1813</v>
      </c>
      <c r="M20" s="20" t="s">
        <v>1816</v>
      </c>
      <c r="N20" s="20" t="s">
        <v>1817</v>
      </c>
      <c r="O20" s="20" t="s">
        <v>1813</v>
      </c>
      <c r="P20" s="20" t="s">
        <v>1813</v>
      </c>
      <c r="Q20" s="20" t="s">
        <v>1813</v>
      </c>
      <c r="R20" s="20" t="s">
        <v>1813</v>
      </c>
      <c r="S20" s="20" t="s">
        <v>1813</v>
      </c>
      <c r="T20" s="20" t="s">
        <v>2217</v>
      </c>
      <c r="U20" s="20" t="s">
        <v>2218</v>
      </c>
      <c r="V20" s="20" t="s">
        <v>2219</v>
      </c>
      <c r="W20" s="20" t="s">
        <v>2220</v>
      </c>
      <c r="X20" s="20" t="s">
        <v>2221</v>
      </c>
      <c r="Y20" s="20" t="s">
        <v>2222</v>
      </c>
      <c r="Z20" s="20" t="s">
        <v>2223</v>
      </c>
      <c r="AA20" s="20" t="s">
        <v>2224</v>
      </c>
      <c r="AB20" s="20" t="s">
        <v>2225</v>
      </c>
      <c r="AC20" s="20" t="s">
        <v>2226</v>
      </c>
      <c r="AD20" s="20" t="s">
        <v>2227</v>
      </c>
      <c r="AE20" s="20" t="s">
        <v>1813</v>
      </c>
      <c r="AF20" s="20" t="s">
        <v>1813</v>
      </c>
      <c r="AG20" s="20">
        <v>39.0</v>
      </c>
      <c r="AH20" s="20">
        <v>101.0</v>
      </c>
      <c r="AI20" s="20">
        <v>134.0</v>
      </c>
      <c r="AJ20" s="20">
        <v>6.0</v>
      </c>
      <c r="AK20" s="20">
        <v>212.0</v>
      </c>
      <c r="AL20" s="20" t="s">
        <v>1829</v>
      </c>
      <c r="AM20" s="20" t="s">
        <v>1830</v>
      </c>
      <c r="AN20" s="20" t="s">
        <v>1831</v>
      </c>
      <c r="AO20" s="20" t="s">
        <v>1912</v>
      </c>
      <c r="AP20" s="20" t="s">
        <v>1913</v>
      </c>
      <c r="AQ20" s="20" t="s">
        <v>1813</v>
      </c>
      <c r="AR20" s="20" t="s">
        <v>1914</v>
      </c>
      <c r="AS20" s="20" t="s">
        <v>1915</v>
      </c>
      <c r="AT20" s="20" t="s">
        <v>2082</v>
      </c>
      <c r="AU20" s="20">
        <v>2009.0</v>
      </c>
      <c r="AV20" s="20">
        <v>12.0</v>
      </c>
      <c r="AW20" s="20">
        <v>8.0</v>
      </c>
      <c r="AX20" s="20" t="s">
        <v>1813</v>
      </c>
      <c r="AY20" s="20" t="s">
        <v>1813</v>
      </c>
      <c r="AZ20" s="20" t="s">
        <v>1813</v>
      </c>
      <c r="BA20" s="20" t="s">
        <v>1813</v>
      </c>
      <c r="BB20" s="20">
        <v>842.0</v>
      </c>
      <c r="BC20" s="20">
        <v>848.0</v>
      </c>
      <c r="BD20" s="20" t="s">
        <v>1813</v>
      </c>
      <c r="BE20" s="20" t="s">
        <v>2228</v>
      </c>
      <c r="BF20" s="22" t="str">
        <f>HYPERLINK("http://dx.doi.org/10.1111/j.1461-0248.2009.01337.x","http://dx.doi.org/10.1111/j.1461-0248.2009.01337.x")</f>
        <v>http://dx.doi.org/10.1111/j.1461-0248.2009.01337.x</v>
      </c>
      <c r="BG20" s="20" t="s">
        <v>1813</v>
      </c>
      <c r="BH20" s="20" t="s">
        <v>1813</v>
      </c>
      <c r="BI20" s="20">
        <v>7.0</v>
      </c>
      <c r="BJ20" s="20" t="s">
        <v>1899</v>
      </c>
      <c r="BK20" s="20" t="s">
        <v>1839</v>
      </c>
      <c r="BL20" s="20" t="s">
        <v>1900</v>
      </c>
      <c r="BM20" s="20" t="s">
        <v>2229</v>
      </c>
      <c r="BN20" s="20">
        <v>1.9566785E7</v>
      </c>
      <c r="BO20" s="20" t="s">
        <v>1878</v>
      </c>
      <c r="BP20" s="20" t="s">
        <v>1813</v>
      </c>
      <c r="BQ20" s="20" t="s">
        <v>1813</v>
      </c>
      <c r="BR20" s="20" t="s">
        <v>1842</v>
      </c>
      <c r="BS20" s="20" t="s">
        <v>2230</v>
      </c>
      <c r="BT20" s="20" t="str">
        <f>HYPERLINK("https%3A%2F%2Fwww.webofscience.com%2Fwos%2Fwoscc%2Ffull-record%2FWOS:000267660600013","View Full Record in Web of Science")</f>
        <v>View Full Record in Web of Science</v>
      </c>
    </row>
    <row r="21" ht="12.75" customHeight="1">
      <c r="A21" s="20" t="s">
        <v>1811</v>
      </c>
      <c r="B21" s="20" t="s">
        <v>2231</v>
      </c>
      <c r="C21" s="20" t="s">
        <v>1813</v>
      </c>
      <c r="D21" s="20" t="s">
        <v>1813</v>
      </c>
      <c r="E21" s="20" t="s">
        <v>1813</v>
      </c>
      <c r="F21" s="20" t="s">
        <v>2232</v>
      </c>
      <c r="G21" s="20" t="s">
        <v>1813</v>
      </c>
      <c r="H21" s="20" t="s">
        <v>1813</v>
      </c>
      <c r="I21" s="20" t="s">
        <v>1604</v>
      </c>
      <c r="J21" s="20" t="s">
        <v>2018</v>
      </c>
      <c r="K21" s="20" t="s">
        <v>1813</v>
      </c>
      <c r="L21" s="20" t="s">
        <v>1813</v>
      </c>
      <c r="M21" s="20" t="s">
        <v>1816</v>
      </c>
      <c r="N21" s="20" t="s">
        <v>1817</v>
      </c>
      <c r="O21" s="20" t="s">
        <v>1813</v>
      </c>
      <c r="P21" s="20" t="s">
        <v>1813</v>
      </c>
      <c r="Q21" s="20" t="s">
        <v>1813</v>
      </c>
      <c r="R21" s="20" t="s">
        <v>1813</v>
      </c>
      <c r="S21" s="20" t="s">
        <v>1813</v>
      </c>
      <c r="T21" s="20" t="s">
        <v>2233</v>
      </c>
      <c r="U21" s="20" t="s">
        <v>2234</v>
      </c>
      <c r="V21" s="20" t="s">
        <v>2235</v>
      </c>
      <c r="W21" s="20" t="s">
        <v>2236</v>
      </c>
      <c r="X21" s="20" t="s">
        <v>2237</v>
      </c>
      <c r="Y21" s="20" t="s">
        <v>2238</v>
      </c>
      <c r="Z21" s="20" t="s">
        <v>2239</v>
      </c>
      <c r="AA21" s="20" t="s">
        <v>1813</v>
      </c>
      <c r="AB21" s="20" t="s">
        <v>2240</v>
      </c>
      <c r="AC21" s="20" t="s">
        <v>1813</v>
      </c>
      <c r="AD21" s="20" t="s">
        <v>1813</v>
      </c>
      <c r="AE21" s="20" t="s">
        <v>1813</v>
      </c>
      <c r="AF21" s="20" t="s">
        <v>1813</v>
      </c>
      <c r="AG21" s="20">
        <v>55.0</v>
      </c>
      <c r="AH21" s="20">
        <v>68.0</v>
      </c>
      <c r="AI21" s="20">
        <v>84.0</v>
      </c>
      <c r="AJ21" s="20">
        <v>5.0</v>
      </c>
      <c r="AK21" s="20">
        <v>142.0</v>
      </c>
      <c r="AL21" s="20" t="s">
        <v>1829</v>
      </c>
      <c r="AM21" s="20" t="s">
        <v>1830</v>
      </c>
      <c r="AN21" s="20" t="s">
        <v>1831</v>
      </c>
      <c r="AO21" s="20" t="s">
        <v>2031</v>
      </c>
      <c r="AP21" s="20" t="s">
        <v>2032</v>
      </c>
      <c r="AQ21" s="20" t="s">
        <v>1813</v>
      </c>
      <c r="AR21" s="20" t="s">
        <v>2033</v>
      </c>
      <c r="AS21" s="20" t="s">
        <v>2034</v>
      </c>
      <c r="AT21" s="20" t="s">
        <v>1916</v>
      </c>
      <c r="AU21" s="20">
        <v>2009.0</v>
      </c>
      <c r="AV21" s="20">
        <v>15.0</v>
      </c>
      <c r="AW21" s="20">
        <v>12.0</v>
      </c>
      <c r="AX21" s="20" t="s">
        <v>1813</v>
      </c>
      <c r="AY21" s="20" t="s">
        <v>1813</v>
      </c>
      <c r="AZ21" s="20" t="s">
        <v>1813</v>
      </c>
      <c r="BA21" s="20" t="s">
        <v>1813</v>
      </c>
      <c r="BB21" s="20">
        <v>2972.0</v>
      </c>
      <c r="BC21" s="20">
        <v>2980.0</v>
      </c>
      <c r="BD21" s="20" t="s">
        <v>1813</v>
      </c>
      <c r="BE21" s="20" t="s">
        <v>2241</v>
      </c>
      <c r="BF21" s="22" t="str">
        <f>HYPERLINK("http://dx.doi.org/10.1111/j.1365-2486.2009.01926.x","http://dx.doi.org/10.1111/j.1365-2486.2009.01926.x")</f>
        <v>http://dx.doi.org/10.1111/j.1365-2486.2009.01926.x</v>
      </c>
      <c r="BG21" s="20" t="s">
        <v>1813</v>
      </c>
      <c r="BH21" s="20" t="s">
        <v>1813</v>
      </c>
      <c r="BI21" s="20">
        <v>9.0</v>
      </c>
      <c r="BJ21" s="20" t="s">
        <v>1860</v>
      </c>
      <c r="BK21" s="20" t="s">
        <v>1839</v>
      </c>
      <c r="BL21" s="20" t="s">
        <v>1840</v>
      </c>
      <c r="BM21" s="20" t="s">
        <v>2242</v>
      </c>
      <c r="BN21" s="20" t="s">
        <v>1813</v>
      </c>
      <c r="BO21" s="20" t="s">
        <v>1813</v>
      </c>
      <c r="BP21" s="20" t="s">
        <v>1813</v>
      </c>
      <c r="BQ21" s="20" t="s">
        <v>1813</v>
      </c>
      <c r="BR21" s="20" t="s">
        <v>1842</v>
      </c>
      <c r="BS21" s="20" t="s">
        <v>2243</v>
      </c>
      <c r="BT21" s="20" t="str">
        <f>HYPERLINK("https%3A%2F%2Fwww.webofscience.com%2Fwos%2Fwoscc%2Ffull-record%2FWOS:000271710300014","View Full Record in Web of Science")</f>
        <v>View Full Record in Web of Science</v>
      </c>
    </row>
    <row r="22" ht="12.75" customHeight="1">
      <c r="A22" s="20" t="s">
        <v>1811</v>
      </c>
      <c r="B22" s="20" t="s">
        <v>2244</v>
      </c>
      <c r="C22" s="20" t="s">
        <v>1813</v>
      </c>
      <c r="D22" s="20" t="s">
        <v>1813</v>
      </c>
      <c r="E22" s="20" t="s">
        <v>1813</v>
      </c>
      <c r="F22" s="20" t="s">
        <v>2244</v>
      </c>
      <c r="G22" s="20" t="s">
        <v>1813</v>
      </c>
      <c r="H22" s="20" t="s">
        <v>1813</v>
      </c>
      <c r="I22" s="20" t="s">
        <v>2245</v>
      </c>
      <c r="J22" s="20" t="s">
        <v>2246</v>
      </c>
      <c r="K22" s="20" t="s">
        <v>1813</v>
      </c>
      <c r="L22" s="20" t="s">
        <v>1813</v>
      </c>
      <c r="M22" s="20" t="s">
        <v>1816</v>
      </c>
      <c r="N22" s="20" t="s">
        <v>1817</v>
      </c>
      <c r="O22" s="20" t="s">
        <v>1813</v>
      </c>
      <c r="P22" s="20" t="s">
        <v>1813</v>
      </c>
      <c r="Q22" s="20" t="s">
        <v>1813</v>
      </c>
      <c r="R22" s="20" t="s">
        <v>1813</v>
      </c>
      <c r="S22" s="20" t="s">
        <v>1813</v>
      </c>
      <c r="T22" s="20" t="s">
        <v>2247</v>
      </c>
      <c r="U22" s="20" t="s">
        <v>2248</v>
      </c>
      <c r="V22" s="20" t="s">
        <v>2249</v>
      </c>
      <c r="W22" s="20" t="s">
        <v>2250</v>
      </c>
      <c r="X22" s="20" t="s">
        <v>2251</v>
      </c>
      <c r="Y22" s="20" t="s">
        <v>2252</v>
      </c>
      <c r="Z22" s="20" t="s">
        <v>2253</v>
      </c>
      <c r="AA22" s="20" t="s">
        <v>2254</v>
      </c>
      <c r="AB22" s="20" t="s">
        <v>2255</v>
      </c>
      <c r="AC22" s="20" t="s">
        <v>1813</v>
      </c>
      <c r="AD22" s="20" t="s">
        <v>1813</v>
      </c>
      <c r="AE22" s="20" t="s">
        <v>1813</v>
      </c>
      <c r="AF22" s="20" t="s">
        <v>1813</v>
      </c>
      <c r="AG22" s="20">
        <v>62.0</v>
      </c>
      <c r="AH22" s="20">
        <v>67.0</v>
      </c>
      <c r="AI22" s="20">
        <v>79.0</v>
      </c>
      <c r="AJ22" s="20">
        <v>0.0</v>
      </c>
      <c r="AK22" s="20">
        <v>55.0</v>
      </c>
      <c r="AL22" s="20" t="s">
        <v>2256</v>
      </c>
      <c r="AM22" s="20" t="s">
        <v>2257</v>
      </c>
      <c r="AN22" s="20" t="s">
        <v>2258</v>
      </c>
      <c r="AO22" s="20" t="s">
        <v>2259</v>
      </c>
      <c r="AP22" s="20" t="s">
        <v>2260</v>
      </c>
      <c r="AQ22" s="20" t="s">
        <v>1813</v>
      </c>
      <c r="AR22" s="20" t="s">
        <v>2261</v>
      </c>
      <c r="AS22" s="20" t="s">
        <v>2262</v>
      </c>
      <c r="AT22" s="20" t="s">
        <v>1916</v>
      </c>
      <c r="AU22" s="20">
        <v>2005.0</v>
      </c>
      <c r="AV22" s="20">
        <v>67.0</v>
      </c>
      <c r="AW22" s="20">
        <v>4.0</v>
      </c>
      <c r="AX22" s="20" t="s">
        <v>1813</v>
      </c>
      <c r="AY22" s="20" t="s">
        <v>1813</v>
      </c>
      <c r="AZ22" s="20" t="s">
        <v>1813</v>
      </c>
      <c r="BA22" s="20" t="s">
        <v>1813</v>
      </c>
      <c r="BB22" s="20">
        <v>454.0</v>
      </c>
      <c r="BC22" s="20">
        <v>464.0</v>
      </c>
      <c r="BD22" s="20" t="s">
        <v>1813</v>
      </c>
      <c r="BE22" s="20" t="s">
        <v>2263</v>
      </c>
      <c r="BF22" s="22" t="str">
        <f>HYPERLINK("http://dx.doi.org/10.1007/s00027-005-0787-0","http://dx.doi.org/10.1007/s00027-005-0787-0")</f>
        <v>http://dx.doi.org/10.1007/s00027-005-0787-0</v>
      </c>
      <c r="BG22" s="20" t="s">
        <v>1813</v>
      </c>
      <c r="BH22" s="20" t="s">
        <v>1813</v>
      </c>
      <c r="BI22" s="20">
        <v>11.0</v>
      </c>
      <c r="BJ22" s="20" t="s">
        <v>2264</v>
      </c>
      <c r="BK22" s="20" t="s">
        <v>1839</v>
      </c>
      <c r="BL22" s="20" t="s">
        <v>2265</v>
      </c>
      <c r="BM22" s="20" t="s">
        <v>2266</v>
      </c>
      <c r="BN22" s="20" t="s">
        <v>1813</v>
      </c>
      <c r="BO22" s="20" t="s">
        <v>2267</v>
      </c>
      <c r="BP22" s="20" t="s">
        <v>1813</v>
      </c>
      <c r="BQ22" s="20" t="s">
        <v>1813</v>
      </c>
      <c r="BR22" s="20" t="s">
        <v>1842</v>
      </c>
      <c r="BS22" s="20" t="s">
        <v>2268</v>
      </c>
      <c r="BT22" s="20" t="str">
        <f>HYPERLINK("https%3A%2F%2Fwww.webofscience.com%2Fwos%2Fwoscc%2Ffull-record%2FWOS:000233867700006","View Full Record in Web of Science")</f>
        <v>View Full Record in Web of Science</v>
      </c>
    </row>
    <row r="23" ht="12.75" customHeight="1">
      <c r="A23" s="20" t="s">
        <v>1811</v>
      </c>
      <c r="B23" s="20" t="s">
        <v>2269</v>
      </c>
      <c r="C23" s="20" t="s">
        <v>1813</v>
      </c>
      <c r="D23" s="20" t="s">
        <v>1813</v>
      </c>
      <c r="E23" s="20" t="s">
        <v>1813</v>
      </c>
      <c r="F23" s="20" t="s">
        <v>2270</v>
      </c>
      <c r="G23" s="20" t="s">
        <v>1813</v>
      </c>
      <c r="H23" s="20" t="s">
        <v>1813</v>
      </c>
      <c r="I23" s="20" t="s">
        <v>1469</v>
      </c>
      <c r="J23" s="20" t="s">
        <v>2271</v>
      </c>
      <c r="K23" s="20" t="s">
        <v>1813</v>
      </c>
      <c r="L23" s="20" t="s">
        <v>1813</v>
      </c>
      <c r="M23" s="20" t="s">
        <v>1816</v>
      </c>
      <c r="N23" s="20" t="s">
        <v>1817</v>
      </c>
      <c r="O23" s="20" t="s">
        <v>1813</v>
      </c>
      <c r="P23" s="20" t="s">
        <v>1813</v>
      </c>
      <c r="Q23" s="20" t="s">
        <v>1813</v>
      </c>
      <c r="R23" s="20" t="s">
        <v>1813</v>
      </c>
      <c r="S23" s="20" t="s">
        <v>1813</v>
      </c>
      <c r="T23" s="20" t="s">
        <v>1813</v>
      </c>
      <c r="U23" s="20" t="s">
        <v>2272</v>
      </c>
      <c r="V23" s="20" t="s">
        <v>2273</v>
      </c>
      <c r="W23" s="20" t="s">
        <v>2274</v>
      </c>
      <c r="X23" s="20" t="s">
        <v>2275</v>
      </c>
      <c r="Y23" s="20" t="s">
        <v>2276</v>
      </c>
      <c r="Z23" s="20" t="s">
        <v>2277</v>
      </c>
      <c r="AA23" s="20" t="s">
        <v>2278</v>
      </c>
      <c r="AB23" s="20" t="s">
        <v>2279</v>
      </c>
      <c r="AC23" s="20" t="s">
        <v>2280</v>
      </c>
      <c r="AD23" s="20" t="s">
        <v>2281</v>
      </c>
      <c r="AE23" s="20" t="s">
        <v>2282</v>
      </c>
      <c r="AF23" s="20" t="s">
        <v>1813</v>
      </c>
      <c r="AG23" s="20">
        <v>62.0</v>
      </c>
      <c r="AH23" s="20">
        <v>83.0</v>
      </c>
      <c r="AI23" s="20">
        <v>96.0</v>
      </c>
      <c r="AJ23" s="20">
        <v>2.0</v>
      </c>
      <c r="AK23" s="20">
        <v>100.0</v>
      </c>
      <c r="AL23" s="20" t="s">
        <v>1829</v>
      </c>
      <c r="AM23" s="20" t="s">
        <v>1830</v>
      </c>
      <c r="AN23" s="20" t="s">
        <v>1831</v>
      </c>
      <c r="AO23" s="20" t="s">
        <v>2283</v>
      </c>
      <c r="AP23" s="20" t="s">
        <v>2284</v>
      </c>
      <c r="AQ23" s="20" t="s">
        <v>1813</v>
      </c>
      <c r="AR23" s="20" t="s">
        <v>2271</v>
      </c>
      <c r="AS23" s="20" t="s">
        <v>2285</v>
      </c>
      <c r="AT23" s="20" t="s">
        <v>1916</v>
      </c>
      <c r="AU23" s="20">
        <v>2010.0</v>
      </c>
      <c r="AV23" s="20">
        <v>119.0</v>
      </c>
      <c r="AW23" s="20">
        <v>12.0</v>
      </c>
      <c r="AX23" s="20" t="s">
        <v>1813</v>
      </c>
      <c r="AY23" s="20" t="s">
        <v>1813</v>
      </c>
      <c r="AZ23" s="20" t="s">
        <v>1813</v>
      </c>
      <c r="BA23" s="20" t="s">
        <v>1813</v>
      </c>
      <c r="BB23" s="20">
        <v>1909.0</v>
      </c>
      <c r="BC23" s="20">
        <v>1918.0</v>
      </c>
      <c r="BD23" s="20" t="s">
        <v>1813</v>
      </c>
      <c r="BE23" s="20" t="s">
        <v>2286</v>
      </c>
      <c r="BF23" s="22" t="str">
        <f>HYPERLINK("http://dx.doi.org/10.1111/j.1600-0706.2010.18663.x","http://dx.doi.org/10.1111/j.1600-0706.2010.18663.x")</f>
        <v>http://dx.doi.org/10.1111/j.1600-0706.2010.18663.x</v>
      </c>
      <c r="BG23" s="20" t="s">
        <v>1813</v>
      </c>
      <c r="BH23" s="20" t="s">
        <v>1813</v>
      </c>
      <c r="BI23" s="20">
        <v>10.0</v>
      </c>
      <c r="BJ23" s="20" t="s">
        <v>1899</v>
      </c>
      <c r="BK23" s="20" t="s">
        <v>1839</v>
      </c>
      <c r="BL23" s="20" t="s">
        <v>1900</v>
      </c>
      <c r="BM23" s="20" t="s">
        <v>2287</v>
      </c>
      <c r="BN23" s="20" t="s">
        <v>1813</v>
      </c>
      <c r="BO23" s="20" t="s">
        <v>1813</v>
      </c>
      <c r="BP23" s="20" t="s">
        <v>1813</v>
      </c>
      <c r="BQ23" s="20" t="s">
        <v>1813</v>
      </c>
      <c r="BR23" s="20" t="s">
        <v>1842</v>
      </c>
      <c r="BS23" s="20" t="s">
        <v>2288</v>
      </c>
      <c r="BT23" s="20" t="str">
        <f>HYPERLINK("https%3A%2F%2Fwww.webofscience.com%2Fwos%2Fwoscc%2Ffull-record%2FWOS:000284371000007","View Full Record in Web of Science")</f>
        <v>View Full Record in Web of Science</v>
      </c>
    </row>
    <row r="24" ht="12.75" customHeight="1">
      <c r="A24" s="20" t="s">
        <v>1811</v>
      </c>
      <c r="B24" s="20" t="s">
        <v>2289</v>
      </c>
      <c r="C24" s="20" t="s">
        <v>1813</v>
      </c>
      <c r="D24" s="20" t="s">
        <v>1813</v>
      </c>
      <c r="E24" s="20" t="s">
        <v>1813</v>
      </c>
      <c r="F24" s="20" t="s">
        <v>2289</v>
      </c>
      <c r="G24" s="20" t="s">
        <v>1813</v>
      </c>
      <c r="H24" s="20" t="s">
        <v>1813</v>
      </c>
      <c r="I24" s="20" t="s">
        <v>1303</v>
      </c>
      <c r="J24" s="20" t="s">
        <v>2018</v>
      </c>
      <c r="K24" s="20" t="s">
        <v>1813</v>
      </c>
      <c r="L24" s="20" t="s">
        <v>1813</v>
      </c>
      <c r="M24" s="20" t="s">
        <v>1816</v>
      </c>
      <c r="N24" s="20" t="s">
        <v>1817</v>
      </c>
      <c r="O24" s="20" t="s">
        <v>1813</v>
      </c>
      <c r="P24" s="20" t="s">
        <v>1813</v>
      </c>
      <c r="Q24" s="20" t="s">
        <v>1813</v>
      </c>
      <c r="R24" s="20" t="s">
        <v>1813</v>
      </c>
      <c r="S24" s="20" t="s">
        <v>1813</v>
      </c>
      <c r="T24" s="20" t="s">
        <v>2290</v>
      </c>
      <c r="U24" s="20" t="s">
        <v>2291</v>
      </c>
      <c r="V24" s="20" t="s">
        <v>2292</v>
      </c>
      <c r="W24" s="20" t="s">
        <v>2293</v>
      </c>
      <c r="X24" s="20" t="s">
        <v>2294</v>
      </c>
      <c r="Y24" s="20" t="s">
        <v>2295</v>
      </c>
      <c r="Z24" s="20" t="s">
        <v>2296</v>
      </c>
      <c r="AA24" s="20" t="s">
        <v>2297</v>
      </c>
      <c r="AB24" s="20" t="s">
        <v>2298</v>
      </c>
      <c r="AC24" s="20" t="s">
        <v>1813</v>
      </c>
      <c r="AD24" s="20" t="s">
        <v>1813</v>
      </c>
      <c r="AE24" s="20" t="s">
        <v>1813</v>
      </c>
      <c r="AF24" s="20" t="s">
        <v>1813</v>
      </c>
      <c r="AG24" s="20">
        <v>46.0</v>
      </c>
      <c r="AH24" s="20">
        <v>94.0</v>
      </c>
      <c r="AI24" s="20">
        <v>112.0</v>
      </c>
      <c r="AJ24" s="20">
        <v>0.0</v>
      </c>
      <c r="AK24" s="20">
        <v>132.0</v>
      </c>
      <c r="AL24" s="20" t="s">
        <v>1829</v>
      </c>
      <c r="AM24" s="20" t="s">
        <v>1830</v>
      </c>
      <c r="AN24" s="20" t="s">
        <v>1831</v>
      </c>
      <c r="AO24" s="20" t="s">
        <v>2031</v>
      </c>
      <c r="AP24" s="20" t="s">
        <v>2032</v>
      </c>
      <c r="AQ24" s="20" t="s">
        <v>1813</v>
      </c>
      <c r="AR24" s="20" t="s">
        <v>2033</v>
      </c>
      <c r="AS24" s="20" t="s">
        <v>2034</v>
      </c>
      <c r="AT24" s="20" t="s">
        <v>2059</v>
      </c>
      <c r="AU24" s="20">
        <v>2005.0</v>
      </c>
      <c r="AV24" s="20">
        <v>11.0</v>
      </c>
      <c r="AW24" s="20">
        <v>4.0</v>
      </c>
      <c r="AX24" s="20" t="s">
        <v>1813</v>
      </c>
      <c r="AY24" s="20" t="s">
        <v>1813</v>
      </c>
      <c r="AZ24" s="20" t="s">
        <v>1813</v>
      </c>
      <c r="BA24" s="20" t="s">
        <v>1813</v>
      </c>
      <c r="BB24" s="20">
        <v>553.0</v>
      </c>
      <c r="BC24" s="20">
        <v>563.0</v>
      </c>
      <c r="BD24" s="20" t="s">
        <v>1813</v>
      </c>
      <c r="BE24" s="20" t="s">
        <v>2299</v>
      </c>
      <c r="BF24" s="22" t="str">
        <f>HYPERLINK("http://dx.doi.org/10.1111/j.1365-2486.2005.00928.x","http://dx.doi.org/10.1111/j.1365-2486.2005.00928.x")</f>
        <v>http://dx.doi.org/10.1111/j.1365-2486.2005.00928.x</v>
      </c>
      <c r="BG24" s="20" t="s">
        <v>1813</v>
      </c>
      <c r="BH24" s="20" t="s">
        <v>1813</v>
      </c>
      <c r="BI24" s="20">
        <v>11.0</v>
      </c>
      <c r="BJ24" s="20" t="s">
        <v>1860</v>
      </c>
      <c r="BK24" s="20" t="s">
        <v>1839</v>
      </c>
      <c r="BL24" s="20" t="s">
        <v>1840</v>
      </c>
      <c r="BM24" s="20" t="s">
        <v>2300</v>
      </c>
      <c r="BN24" s="20" t="s">
        <v>1813</v>
      </c>
      <c r="BO24" s="20" t="s">
        <v>1813</v>
      </c>
      <c r="BP24" s="20" t="s">
        <v>1813</v>
      </c>
      <c r="BQ24" s="20" t="s">
        <v>1813</v>
      </c>
      <c r="BR24" s="20" t="s">
        <v>1842</v>
      </c>
      <c r="BS24" s="20" t="s">
        <v>2301</v>
      </c>
      <c r="BT24" s="20" t="str">
        <f>HYPERLINK("https%3A%2F%2Fwww.webofscience.com%2Fwos%2Fwoscc%2Ffull-record%2FWOS:000228179500003","View Full Record in Web of Science")</f>
        <v>View Full Record in Web of Science</v>
      </c>
    </row>
    <row r="25" ht="12.75" customHeight="1">
      <c r="A25" s="20" t="s">
        <v>1811</v>
      </c>
      <c r="B25" s="20" t="s">
        <v>2302</v>
      </c>
      <c r="C25" s="20" t="s">
        <v>1813</v>
      </c>
      <c r="D25" s="20" t="s">
        <v>1813</v>
      </c>
      <c r="E25" s="20" t="s">
        <v>1813</v>
      </c>
      <c r="F25" s="20" t="s">
        <v>2302</v>
      </c>
      <c r="G25" s="20" t="s">
        <v>1813</v>
      </c>
      <c r="H25" s="20" t="s">
        <v>1813</v>
      </c>
      <c r="I25" s="20" t="s">
        <v>1361</v>
      </c>
      <c r="J25" s="20" t="s">
        <v>2018</v>
      </c>
      <c r="K25" s="20" t="s">
        <v>1813</v>
      </c>
      <c r="L25" s="20" t="s">
        <v>1813</v>
      </c>
      <c r="M25" s="20" t="s">
        <v>1816</v>
      </c>
      <c r="N25" s="20" t="s">
        <v>1817</v>
      </c>
      <c r="O25" s="20" t="s">
        <v>1813</v>
      </c>
      <c r="P25" s="20" t="s">
        <v>1813</v>
      </c>
      <c r="Q25" s="20" t="s">
        <v>1813</v>
      </c>
      <c r="R25" s="20" t="s">
        <v>1813</v>
      </c>
      <c r="S25" s="20" t="s">
        <v>1813</v>
      </c>
      <c r="T25" s="20" t="s">
        <v>2303</v>
      </c>
      <c r="U25" s="20" t="s">
        <v>2304</v>
      </c>
      <c r="V25" s="20" t="s">
        <v>2305</v>
      </c>
      <c r="W25" s="20" t="s">
        <v>2306</v>
      </c>
      <c r="X25" s="20" t="s">
        <v>2307</v>
      </c>
      <c r="Y25" s="20" t="s">
        <v>2308</v>
      </c>
      <c r="Z25" s="20" t="s">
        <v>2309</v>
      </c>
      <c r="AA25" s="20" t="s">
        <v>2310</v>
      </c>
      <c r="AB25" s="20" t="s">
        <v>2311</v>
      </c>
      <c r="AC25" s="20" t="s">
        <v>1813</v>
      </c>
      <c r="AD25" s="20" t="s">
        <v>1813</v>
      </c>
      <c r="AE25" s="20" t="s">
        <v>1813</v>
      </c>
      <c r="AF25" s="20" t="s">
        <v>1813</v>
      </c>
      <c r="AG25" s="20">
        <v>60.0</v>
      </c>
      <c r="AH25" s="20">
        <v>85.0</v>
      </c>
      <c r="AI25" s="20">
        <v>106.0</v>
      </c>
      <c r="AJ25" s="20">
        <v>4.0</v>
      </c>
      <c r="AK25" s="20">
        <v>141.0</v>
      </c>
      <c r="AL25" s="20" t="s">
        <v>1829</v>
      </c>
      <c r="AM25" s="20" t="s">
        <v>1830</v>
      </c>
      <c r="AN25" s="20" t="s">
        <v>1831</v>
      </c>
      <c r="AO25" s="20" t="s">
        <v>2031</v>
      </c>
      <c r="AP25" s="20" t="s">
        <v>2032</v>
      </c>
      <c r="AQ25" s="20" t="s">
        <v>1813</v>
      </c>
      <c r="AR25" s="20" t="s">
        <v>2033</v>
      </c>
      <c r="AS25" s="20" t="s">
        <v>2034</v>
      </c>
      <c r="AT25" s="20" t="s">
        <v>2082</v>
      </c>
      <c r="AU25" s="20">
        <v>2000.0</v>
      </c>
      <c r="AV25" s="20">
        <v>6.0</v>
      </c>
      <c r="AW25" s="20">
        <v>6.0</v>
      </c>
      <c r="AX25" s="20" t="s">
        <v>1813</v>
      </c>
      <c r="AY25" s="20" t="s">
        <v>1813</v>
      </c>
      <c r="AZ25" s="20" t="s">
        <v>1813</v>
      </c>
      <c r="BA25" s="20" t="s">
        <v>1813</v>
      </c>
      <c r="BB25" s="20">
        <v>671.0</v>
      </c>
      <c r="BC25" s="20">
        <v>684.0</v>
      </c>
      <c r="BD25" s="20" t="s">
        <v>1813</v>
      </c>
      <c r="BE25" s="20" t="s">
        <v>2312</v>
      </c>
      <c r="BF25" s="22" t="str">
        <f>HYPERLINK("http://dx.doi.org/10.1046/j.1365-2486.2000.00344.x","http://dx.doi.org/10.1046/j.1365-2486.2000.00344.x")</f>
        <v>http://dx.doi.org/10.1046/j.1365-2486.2000.00344.x</v>
      </c>
      <c r="BG25" s="20" t="s">
        <v>1813</v>
      </c>
      <c r="BH25" s="20" t="s">
        <v>1813</v>
      </c>
      <c r="BI25" s="20">
        <v>14.0</v>
      </c>
      <c r="BJ25" s="20" t="s">
        <v>1860</v>
      </c>
      <c r="BK25" s="20" t="s">
        <v>1839</v>
      </c>
      <c r="BL25" s="20" t="s">
        <v>1840</v>
      </c>
      <c r="BM25" s="20" t="s">
        <v>2313</v>
      </c>
      <c r="BN25" s="20" t="s">
        <v>1813</v>
      </c>
      <c r="BO25" s="20" t="s">
        <v>1813</v>
      </c>
      <c r="BP25" s="20" t="s">
        <v>1813</v>
      </c>
      <c r="BQ25" s="20" t="s">
        <v>1813</v>
      </c>
      <c r="BR25" s="20" t="s">
        <v>1842</v>
      </c>
      <c r="BS25" s="20" t="s">
        <v>2314</v>
      </c>
      <c r="BT25" s="20" t="str">
        <f>HYPERLINK("https%3A%2F%2Fwww.webofscience.com%2Fwos%2Fwoscc%2Ffull-record%2FWOS:000088808000007","View Full Record in Web of Science")</f>
        <v>View Full Record in Web of Science</v>
      </c>
    </row>
    <row r="26" ht="12.75" customHeight="1">
      <c r="A26" s="20" t="s">
        <v>1811</v>
      </c>
      <c r="B26" s="20" t="s">
        <v>2315</v>
      </c>
      <c r="C26" s="20" t="s">
        <v>1813</v>
      </c>
      <c r="D26" s="20" t="s">
        <v>1813</v>
      </c>
      <c r="E26" s="20" t="s">
        <v>1813</v>
      </c>
      <c r="F26" s="20" t="s">
        <v>2316</v>
      </c>
      <c r="G26" s="20" t="s">
        <v>1813</v>
      </c>
      <c r="H26" s="20" t="s">
        <v>1813</v>
      </c>
      <c r="I26" s="20" t="s">
        <v>1541</v>
      </c>
      <c r="J26" s="20" t="s">
        <v>2018</v>
      </c>
      <c r="K26" s="20" t="s">
        <v>1813</v>
      </c>
      <c r="L26" s="20" t="s">
        <v>1813</v>
      </c>
      <c r="M26" s="20" t="s">
        <v>1816</v>
      </c>
      <c r="N26" s="20" t="s">
        <v>1817</v>
      </c>
      <c r="O26" s="20" t="s">
        <v>1813</v>
      </c>
      <c r="P26" s="20" t="s">
        <v>1813</v>
      </c>
      <c r="Q26" s="20" t="s">
        <v>1813</v>
      </c>
      <c r="R26" s="20" t="s">
        <v>1813</v>
      </c>
      <c r="S26" s="20" t="s">
        <v>1813</v>
      </c>
      <c r="T26" s="20" t="s">
        <v>2317</v>
      </c>
      <c r="U26" s="20" t="s">
        <v>2318</v>
      </c>
      <c r="V26" s="20" t="s">
        <v>2319</v>
      </c>
      <c r="W26" s="20" t="s">
        <v>2320</v>
      </c>
      <c r="X26" s="20" t="s">
        <v>2321</v>
      </c>
      <c r="Y26" s="20" t="s">
        <v>2322</v>
      </c>
      <c r="Z26" s="20" t="s">
        <v>2323</v>
      </c>
      <c r="AA26" s="20" t="s">
        <v>2324</v>
      </c>
      <c r="AB26" s="20" t="s">
        <v>2325</v>
      </c>
      <c r="AC26" s="20" t="s">
        <v>2326</v>
      </c>
      <c r="AD26" s="20" t="s">
        <v>2327</v>
      </c>
      <c r="AE26" s="20" t="s">
        <v>2328</v>
      </c>
      <c r="AF26" s="20" t="s">
        <v>1813</v>
      </c>
      <c r="AG26" s="20">
        <v>52.0</v>
      </c>
      <c r="AH26" s="20">
        <v>46.0</v>
      </c>
      <c r="AI26" s="20">
        <v>60.0</v>
      </c>
      <c r="AJ26" s="20">
        <v>2.0</v>
      </c>
      <c r="AK26" s="20">
        <v>109.0</v>
      </c>
      <c r="AL26" s="20" t="s">
        <v>1829</v>
      </c>
      <c r="AM26" s="20" t="s">
        <v>1830</v>
      </c>
      <c r="AN26" s="20" t="s">
        <v>1831</v>
      </c>
      <c r="AO26" s="20" t="s">
        <v>2031</v>
      </c>
      <c r="AP26" s="20" t="s">
        <v>2032</v>
      </c>
      <c r="AQ26" s="20" t="s">
        <v>1813</v>
      </c>
      <c r="AR26" s="20" t="s">
        <v>2033</v>
      </c>
      <c r="AS26" s="20" t="s">
        <v>2034</v>
      </c>
      <c r="AT26" s="20" t="s">
        <v>2059</v>
      </c>
      <c r="AU26" s="20">
        <v>2009.0</v>
      </c>
      <c r="AV26" s="20">
        <v>15.0</v>
      </c>
      <c r="AW26" s="20">
        <v>4.0</v>
      </c>
      <c r="AX26" s="20" t="s">
        <v>1813</v>
      </c>
      <c r="AY26" s="20" t="s">
        <v>1813</v>
      </c>
      <c r="AZ26" s="20" t="s">
        <v>1813</v>
      </c>
      <c r="BA26" s="20" t="s">
        <v>1813</v>
      </c>
      <c r="BB26" s="20">
        <v>930.0</v>
      </c>
      <c r="BC26" s="20">
        <v>942.0</v>
      </c>
      <c r="BD26" s="20" t="s">
        <v>1813</v>
      </c>
      <c r="BE26" s="20" t="s">
        <v>2329</v>
      </c>
      <c r="BF26" s="22" t="str">
        <f>HYPERLINK("http://dx.doi.org/10.1111/j.1365-2486.2008.01721.x","http://dx.doi.org/10.1111/j.1365-2486.2008.01721.x")</f>
        <v>http://dx.doi.org/10.1111/j.1365-2486.2008.01721.x</v>
      </c>
      <c r="BG26" s="20" t="s">
        <v>1813</v>
      </c>
      <c r="BH26" s="20" t="s">
        <v>1813</v>
      </c>
      <c r="BI26" s="20">
        <v>13.0</v>
      </c>
      <c r="BJ26" s="20" t="s">
        <v>1860</v>
      </c>
      <c r="BK26" s="20" t="s">
        <v>1839</v>
      </c>
      <c r="BL26" s="20" t="s">
        <v>1840</v>
      </c>
      <c r="BM26" s="20" t="s">
        <v>2330</v>
      </c>
      <c r="BN26" s="20" t="s">
        <v>1813</v>
      </c>
      <c r="BO26" s="20" t="s">
        <v>1813</v>
      </c>
      <c r="BP26" s="20" t="s">
        <v>1813</v>
      </c>
      <c r="BQ26" s="20" t="s">
        <v>1813</v>
      </c>
      <c r="BR26" s="20" t="s">
        <v>1842</v>
      </c>
      <c r="BS26" s="20" t="s">
        <v>2331</v>
      </c>
      <c r="BT26" s="20" t="str">
        <f>HYPERLINK("https%3A%2F%2Fwww.webofscience.com%2Fwos%2Fwoscc%2Ffull-record%2FWOS:000263752300013","View Full Record in Web of Science")</f>
        <v>View Full Record in Web of Science</v>
      </c>
    </row>
    <row r="27" ht="12.75" customHeight="1">
      <c r="A27" s="20" t="s">
        <v>1811</v>
      </c>
      <c r="B27" s="20" t="s">
        <v>2332</v>
      </c>
      <c r="C27" s="20" t="s">
        <v>1813</v>
      </c>
      <c r="D27" s="20" t="s">
        <v>1813</v>
      </c>
      <c r="E27" s="20" t="s">
        <v>1813</v>
      </c>
      <c r="F27" s="20" t="s">
        <v>2333</v>
      </c>
      <c r="G27" s="20" t="s">
        <v>1813</v>
      </c>
      <c r="H27" s="20" t="s">
        <v>1813</v>
      </c>
      <c r="I27" s="20" t="s">
        <v>2334</v>
      </c>
      <c r="J27" s="20" t="s">
        <v>2335</v>
      </c>
      <c r="K27" s="20" t="s">
        <v>1813</v>
      </c>
      <c r="L27" s="20" t="s">
        <v>1813</v>
      </c>
      <c r="M27" s="20" t="s">
        <v>1816</v>
      </c>
      <c r="N27" s="20" t="s">
        <v>1817</v>
      </c>
      <c r="O27" s="20" t="s">
        <v>1813</v>
      </c>
      <c r="P27" s="20" t="s">
        <v>1813</v>
      </c>
      <c r="Q27" s="20" t="s">
        <v>1813</v>
      </c>
      <c r="R27" s="20" t="s">
        <v>1813</v>
      </c>
      <c r="S27" s="20" t="s">
        <v>1813</v>
      </c>
      <c r="T27" s="20" t="s">
        <v>2336</v>
      </c>
      <c r="U27" s="20" t="s">
        <v>2337</v>
      </c>
      <c r="V27" s="20" t="s">
        <v>2338</v>
      </c>
      <c r="W27" s="20" t="s">
        <v>2339</v>
      </c>
      <c r="X27" s="20" t="s">
        <v>2340</v>
      </c>
      <c r="Y27" s="20" t="s">
        <v>2341</v>
      </c>
      <c r="Z27" s="20" t="s">
        <v>2342</v>
      </c>
      <c r="AA27" s="20" t="s">
        <v>1813</v>
      </c>
      <c r="AB27" s="20" t="s">
        <v>1813</v>
      </c>
      <c r="AC27" s="20" t="s">
        <v>1813</v>
      </c>
      <c r="AD27" s="20" t="s">
        <v>1813</v>
      </c>
      <c r="AE27" s="20" t="s">
        <v>1813</v>
      </c>
      <c r="AF27" s="20" t="s">
        <v>1813</v>
      </c>
      <c r="AG27" s="20">
        <v>54.0</v>
      </c>
      <c r="AH27" s="20">
        <v>62.0</v>
      </c>
      <c r="AI27" s="20">
        <v>87.0</v>
      </c>
      <c r="AJ27" s="20">
        <v>1.0</v>
      </c>
      <c r="AK27" s="20">
        <v>93.0</v>
      </c>
      <c r="AL27" s="20" t="s">
        <v>2343</v>
      </c>
      <c r="AM27" s="20" t="s">
        <v>2344</v>
      </c>
      <c r="AN27" s="20" t="s">
        <v>2345</v>
      </c>
      <c r="AO27" s="20" t="s">
        <v>2346</v>
      </c>
      <c r="AP27" s="20" t="s">
        <v>2347</v>
      </c>
      <c r="AQ27" s="20" t="s">
        <v>1813</v>
      </c>
      <c r="AR27" s="20" t="s">
        <v>2348</v>
      </c>
      <c r="AS27" s="20" t="s">
        <v>2349</v>
      </c>
      <c r="AT27" s="20" t="s">
        <v>1813</v>
      </c>
      <c r="AU27" s="20">
        <v>2006.0</v>
      </c>
      <c r="AV27" s="20">
        <v>326.0</v>
      </c>
      <c r="AW27" s="20" t="s">
        <v>1813</v>
      </c>
      <c r="AX27" s="20" t="s">
        <v>1813</v>
      </c>
      <c r="AY27" s="20" t="s">
        <v>1813</v>
      </c>
      <c r="AZ27" s="20" t="s">
        <v>1813</v>
      </c>
      <c r="BA27" s="20" t="s">
        <v>1813</v>
      </c>
      <c r="BB27" s="20">
        <v>133.0</v>
      </c>
      <c r="BC27" s="20">
        <v>143.0</v>
      </c>
      <c r="BD27" s="20" t="s">
        <v>1813</v>
      </c>
      <c r="BE27" s="20" t="s">
        <v>2350</v>
      </c>
      <c r="BF27" s="22" t="str">
        <f>HYPERLINK("http://dx.doi.org/10.3354/meps326133","http://dx.doi.org/10.3354/meps326133")</f>
        <v>http://dx.doi.org/10.3354/meps326133</v>
      </c>
      <c r="BG27" s="20" t="s">
        <v>1813</v>
      </c>
      <c r="BH27" s="20" t="s">
        <v>1813</v>
      </c>
      <c r="BI27" s="20">
        <v>11.0</v>
      </c>
      <c r="BJ27" s="20" t="s">
        <v>2351</v>
      </c>
      <c r="BK27" s="20" t="s">
        <v>1839</v>
      </c>
      <c r="BL27" s="20" t="s">
        <v>2352</v>
      </c>
      <c r="BM27" s="20" t="s">
        <v>2353</v>
      </c>
      <c r="BN27" s="20" t="s">
        <v>1813</v>
      </c>
      <c r="BO27" s="20" t="s">
        <v>1878</v>
      </c>
      <c r="BP27" s="20" t="s">
        <v>1813</v>
      </c>
      <c r="BQ27" s="20" t="s">
        <v>1813</v>
      </c>
      <c r="BR27" s="20" t="s">
        <v>1842</v>
      </c>
      <c r="BS27" s="20" t="s">
        <v>2354</v>
      </c>
      <c r="BT27" s="20" t="str">
        <f>HYPERLINK("https%3A%2F%2Fwww.webofscience.com%2Fwos%2Fwoscc%2Ffull-record%2FWOS:000243104300011","View Full Record in Web of Science")</f>
        <v>View Full Record in Web of Science</v>
      </c>
    </row>
    <row r="28" ht="12.75" customHeight="1">
      <c r="A28" s="20" t="s">
        <v>1811</v>
      </c>
      <c r="B28" s="20" t="s">
        <v>2355</v>
      </c>
      <c r="C28" s="20" t="s">
        <v>1813</v>
      </c>
      <c r="D28" s="20" t="s">
        <v>1813</v>
      </c>
      <c r="E28" s="20" t="s">
        <v>1813</v>
      </c>
      <c r="F28" s="20" t="s">
        <v>2356</v>
      </c>
      <c r="G28" s="20" t="s">
        <v>1813</v>
      </c>
      <c r="H28" s="20" t="s">
        <v>1813</v>
      </c>
      <c r="I28" s="20" t="s">
        <v>1537</v>
      </c>
      <c r="J28" s="20" t="s">
        <v>2357</v>
      </c>
      <c r="K28" s="20" t="s">
        <v>1813</v>
      </c>
      <c r="L28" s="20" t="s">
        <v>1813</v>
      </c>
      <c r="M28" s="20" t="s">
        <v>1816</v>
      </c>
      <c r="N28" s="20" t="s">
        <v>1817</v>
      </c>
      <c r="O28" s="20" t="s">
        <v>1813</v>
      </c>
      <c r="P28" s="20" t="s">
        <v>1813</v>
      </c>
      <c r="Q28" s="20" t="s">
        <v>1813</v>
      </c>
      <c r="R28" s="20" t="s">
        <v>1813</v>
      </c>
      <c r="S28" s="20" t="s">
        <v>1813</v>
      </c>
      <c r="T28" s="20" t="s">
        <v>1813</v>
      </c>
      <c r="U28" s="20" t="s">
        <v>2358</v>
      </c>
      <c r="V28" s="20" t="s">
        <v>2359</v>
      </c>
      <c r="W28" s="20" t="s">
        <v>2360</v>
      </c>
      <c r="X28" s="20" t="s">
        <v>2361</v>
      </c>
      <c r="Y28" s="20" t="s">
        <v>2362</v>
      </c>
      <c r="Z28" s="20" t="s">
        <v>2363</v>
      </c>
      <c r="AA28" s="20" t="s">
        <v>2364</v>
      </c>
      <c r="AB28" s="20" t="s">
        <v>2365</v>
      </c>
      <c r="AC28" s="20" t="s">
        <v>2366</v>
      </c>
      <c r="AD28" s="20" t="s">
        <v>2367</v>
      </c>
      <c r="AE28" s="20" t="s">
        <v>2368</v>
      </c>
      <c r="AF28" s="20" t="s">
        <v>1813</v>
      </c>
      <c r="AG28" s="20">
        <v>78.0</v>
      </c>
      <c r="AH28" s="20">
        <v>57.0</v>
      </c>
      <c r="AI28" s="20">
        <v>67.0</v>
      </c>
      <c r="AJ28" s="20">
        <v>1.0</v>
      </c>
      <c r="AK28" s="20">
        <v>76.0</v>
      </c>
      <c r="AL28" s="20" t="s">
        <v>1829</v>
      </c>
      <c r="AM28" s="20" t="s">
        <v>1830</v>
      </c>
      <c r="AN28" s="20" t="s">
        <v>1831</v>
      </c>
      <c r="AO28" s="20" t="s">
        <v>2369</v>
      </c>
      <c r="AP28" s="20" t="s">
        <v>2370</v>
      </c>
      <c r="AQ28" s="20" t="s">
        <v>1813</v>
      </c>
      <c r="AR28" s="20" t="s">
        <v>2357</v>
      </c>
      <c r="AS28" s="20" t="s">
        <v>2371</v>
      </c>
      <c r="AT28" s="20" t="s">
        <v>2082</v>
      </c>
      <c r="AU28" s="20">
        <v>2009.0</v>
      </c>
      <c r="AV28" s="20">
        <v>32.0</v>
      </c>
      <c r="AW28" s="20">
        <v>4.0</v>
      </c>
      <c r="AX28" s="20" t="s">
        <v>1813</v>
      </c>
      <c r="AY28" s="20" t="s">
        <v>1813</v>
      </c>
      <c r="AZ28" s="20" t="s">
        <v>1813</v>
      </c>
      <c r="BA28" s="20" t="s">
        <v>1813</v>
      </c>
      <c r="BB28" s="20">
        <v>623.0</v>
      </c>
      <c r="BC28" s="20">
        <v>636.0</v>
      </c>
      <c r="BD28" s="20" t="s">
        <v>1813</v>
      </c>
      <c r="BE28" s="20" t="s">
        <v>2372</v>
      </c>
      <c r="BF28" s="22" t="str">
        <f>HYPERLINK("http://dx.doi.org/10.1111/j.1600-0587.2009.05738.x","http://dx.doi.org/10.1111/j.1600-0587.2009.05738.x")</f>
        <v>http://dx.doi.org/10.1111/j.1600-0587.2009.05738.x</v>
      </c>
      <c r="BG28" s="20" t="s">
        <v>1813</v>
      </c>
      <c r="BH28" s="20" t="s">
        <v>1813</v>
      </c>
      <c r="BI28" s="20">
        <v>14.0</v>
      </c>
      <c r="BJ28" s="20" t="s">
        <v>1838</v>
      </c>
      <c r="BK28" s="20" t="s">
        <v>1839</v>
      </c>
      <c r="BL28" s="20" t="s">
        <v>1840</v>
      </c>
      <c r="BM28" s="20" t="s">
        <v>2373</v>
      </c>
      <c r="BN28" s="20" t="s">
        <v>1813</v>
      </c>
      <c r="BO28" s="20" t="s">
        <v>2267</v>
      </c>
      <c r="BP28" s="20" t="s">
        <v>1813</v>
      </c>
      <c r="BQ28" s="20" t="s">
        <v>1813</v>
      </c>
      <c r="BR28" s="20" t="s">
        <v>1842</v>
      </c>
      <c r="BS28" s="20" t="s">
        <v>2374</v>
      </c>
      <c r="BT28" s="20" t="str">
        <f>HYPERLINK("https%3A%2F%2Fwww.webofscience.com%2Fwos%2Fwoscc%2Ffull-record%2FWOS:000269700700007","View Full Record in Web of Science")</f>
        <v>View Full Record in Web of Science</v>
      </c>
    </row>
    <row r="29" ht="12.75" customHeight="1">
      <c r="A29" s="20" t="s">
        <v>1811</v>
      </c>
      <c r="B29" s="20" t="s">
        <v>2375</v>
      </c>
      <c r="C29" s="20" t="s">
        <v>1813</v>
      </c>
      <c r="D29" s="20" t="s">
        <v>1813</v>
      </c>
      <c r="E29" s="20" t="s">
        <v>1813</v>
      </c>
      <c r="F29" s="20" t="s">
        <v>2376</v>
      </c>
      <c r="G29" s="20" t="s">
        <v>1813</v>
      </c>
      <c r="H29" s="20" t="s">
        <v>1813</v>
      </c>
      <c r="I29" s="20" t="s">
        <v>1341</v>
      </c>
      <c r="J29" s="20" t="s">
        <v>2377</v>
      </c>
      <c r="K29" s="20" t="s">
        <v>1813</v>
      </c>
      <c r="L29" s="20" t="s">
        <v>1813</v>
      </c>
      <c r="M29" s="20" t="s">
        <v>1816</v>
      </c>
      <c r="N29" s="20" t="s">
        <v>1817</v>
      </c>
      <c r="O29" s="20" t="s">
        <v>1813</v>
      </c>
      <c r="P29" s="20" t="s">
        <v>1813</v>
      </c>
      <c r="Q29" s="20" t="s">
        <v>1813</v>
      </c>
      <c r="R29" s="20" t="s">
        <v>1813</v>
      </c>
      <c r="S29" s="20" t="s">
        <v>1813</v>
      </c>
      <c r="T29" s="20" t="s">
        <v>2378</v>
      </c>
      <c r="U29" s="20" t="s">
        <v>2379</v>
      </c>
      <c r="V29" s="20" t="s">
        <v>2380</v>
      </c>
      <c r="W29" s="20" t="s">
        <v>2381</v>
      </c>
      <c r="X29" s="20" t="s">
        <v>2382</v>
      </c>
      <c r="Y29" s="20" t="s">
        <v>2383</v>
      </c>
      <c r="Z29" s="20" t="s">
        <v>2384</v>
      </c>
      <c r="AA29" s="20" t="s">
        <v>2385</v>
      </c>
      <c r="AB29" s="20" t="s">
        <v>2386</v>
      </c>
      <c r="AC29" s="20" t="s">
        <v>2387</v>
      </c>
      <c r="AD29" s="20" t="s">
        <v>2388</v>
      </c>
      <c r="AE29" s="20" t="s">
        <v>2389</v>
      </c>
      <c r="AF29" s="20" t="s">
        <v>1813</v>
      </c>
      <c r="AG29" s="20">
        <v>32.0</v>
      </c>
      <c r="AH29" s="20">
        <v>19.0</v>
      </c>
      <c r="AI29" s="20">
        <v>20.0</v>
      </c>
      <c r="AJ29" s="20">
        <v>1.0</v>
      </c>
      <c r="AK29" s="20">
        <v>81.0</v>
      </c>
      <c r="AL29" s="20" t="s">
        <v>2390</v>
      </c>
      <c r="AM29" s="20" t="s">
        <v>2391</v>
      </c>
      <c r="AN29" s="20" t="s">
        <v>2392</v>
      </c>
      <c r="AO29" s="20" t="s">
        <v>2393</v>
      </c>
      <c r="AP29" s="20" t="s">
        <v>1813</v>
      </c>
      <c r="AQ29" s="20" t="s">
        <v>1813</v>
      </c>
      <c r="AR29" s="20" t="s">
        <v>2394</v>
      </c>
      <c r="AS29" s="20" t="s">
        <v>2395</v>
      </c>
      <c r="AT29" s="20" t="s">
        <v>2396</v>
      </c>
      <c r="AU29" s="20">
        <v>2011.0</v>
      </c>
      <c r="AV29" s="20">
        <v>26.0</v>
      </c>
      <c r="AW29" s="20">
        <v>3.0</v>
      </c>
      <c r="AX29" s="20" t="s">
        <v>1813</v>
      </c>
      <c r="AY29" s="20" t="s">
        <v>1813</v>
      </c>
      <c r="AZ29" s="20" t="s">
        <v>1813</v>
      </c>
      <c r="BA29" s="20" t="s">
        <v>1813</v>
      </c>
      <c r="BB29" s="20">
        <v>533.0</v>
      </c>
      <c r="BC29" s="20">
        <v>539.0</v>
      </c>
      <c r="BD29" s="20" t="s">
        <v>1813</v>
      </c>
      <c r="BE29" s="20" t="s">
        <v>2397</v>
      </c>
      <c r="BF29" s="22" t="str">
        <f>HYPERLINK("http://dx.doi.org/10.1007/s11284-011-0810-y","http://dx.doi.org/10.1007/s11284-011-0810-y")</f>
        <v>http://dx.doi.org/10.1007/s11284-011-0810-y</v>
      </c>
      <c r="BG29" s="20" t="s">
        <v>1813</v>
      </c>
      <c r="BH29" s="20" t="s">
        <v>1813</v>
      </c>
      <c r="BI29" s="20">
        <v>7.0</v>
      </c>
      <c r="BJ29" s="20" t="s">
        <v>1899</v>
      </c>
      <c r="BK29" s="20" t="s">
        <v>1839</v>
      </c>
      <c r="BL29" s="20" t="s">
        <v>1900</v>
      </c>
      <c r="BM29" s="20" t="s">
        <v>2398</v>
      </c>
      <c r="BN29" s="20" t="s">
        <v>1813</v>
      </c>
      <c r="BO29" s="20" t="s">
        <v>1813</v>
      </c>
      <c r="BP29" s="20" t="s">
        <v>1813</v>
      </c>
      <c r="BQ29" s="20" t="s">
        <v>1813</v>
      </c>
      <c r="BR29" s="20" t="s">
        <v>1842</v>
      </c>
      <c r="BS29" s="20" t="s">
        <v>2399</v>
      </c>
      <c r="BT29" s="20" t="str">
        <f>HYPERLINK("https%3A%2F%2Fwww.webofscience.com%2Fwos%2Fwoscc%2Ffull-record%2FWOS:000290538900007","View Full Record in Web of Science")</f>
        <v>View Full Record in Web of Science</v>
      </c>
    </row>
    <row r="30" ht="12.75" customHeight="1">
      <c r="A30" s="20" t="s">
        <v>1811</v>
      </c>
      <c r="B30" s="20" t="s">
        <v>2400</v>
      </c>
      <c r="C30" s="20" t="s">
        <v>1813</v>
      </c>
      <c r="D30" s="20" t="s">
        <v>1813</v>
      </c>
      <c r="E30" s="20" t="s">
        <v>1813</v>
      </c>
      <c r="F30" s="20" t="s">
        <v>2400</v>
      </c>
      <c r="G30" s="20" t="s">
        <v>1813</v>
      </c>
      <c r="H30" s="20" t="s">
        <v>1813</v>
      </c>
      <c r="I30" s="20" t="s">
        <v>1529</v>
      </c>
      <c r="J30" s="20" t="s">
        <v>2018</v>
      </c>
      <c r="K30" s="20" t="s">
        <v>1813</v>
      </c>
      <c r="L30" s="20" t="s">
        <v>1813</v>
      </c>
      <c r="M30" s="20" t="s">
        <v>1816</v>
      </c>
      <c r="N30" s="20" t="s">
        <v>1817</v>
      </c>
      <c r="O30" s="20" t="s">
        <v>1813</v>
      </c>
      <c r="P30" s="20" t="s">
        <v>1813</v>
      </c>
      <c r="Q30" s="20" t="s">
        <v>1813</v>
      </c>
      <c r="R30" s="20" t="s">
        <v>1813</v>
      </c>
      <c r="S30" s="20" t="s">
        <v>1813</v>
      </c>
      <c r="T30" s="20" t="s">
        <v>2401</v>
      </c>
      <c r="U30" s="20" t="s">
        <v>2402</v>
      </c>
      <c r="V30" s="20" t="s">
        <v>2403</v>
      </c>
      <c r="W30" s="20" t="s">
        <v>2404</v>
      </c>
      <c r="X30" s="20" t="s">
        <v>2405</v>
      </c>
      <c r="Y30" s="20" t="s">
        <v>2406</v>
      </c>
      <c r="Z30" s="20" t="s">
        <v>2407</v>
      </c>
      <c r="AA30" s="20" t="s">
        <v>2408</v>
      </c>
      <c r="AB30" s="20" t="s">
        <v>2409</v>
      </c>
      <c r="AC30" s="20" t="s">
        <v>1813</v>
      </c>
      <c r="AD30" s="20" t="s">
        <v>1813</v>
      </c>
      <c r="AE30" s="20" t="s">
        <v>1813</v>
      </c>
      <c r="AF30" s="20" t="s">
        <v>1813</v>
      </c>
      <c r="AG30" s="20">
        <v>52.0</v>
      </c>
      <c r="AH30" s="20">
        <v>174.0</v>
      </c>
      <c r="AI30" s="20">
        <v>194.0</v>
      </c>
      <c r="AJ30" s="20">
        <v>1.0</v>
      </c>
      <c r="AK30" s="20">
        <v>90.0</v>
      </c>
      <c r="AL30" s="20" t="s">
        <v>1829</v>
      </c>
      <c r="AM30" s="20" t="s">
        <v>1830</v>
      </c>
      <c r="AN30" s="20" t="s">
        <v>1831</v>
      </c>
      <c r="AO30" s="20" t="s">
        <v>2031</v>
      </c>
      <c r="AP30" s="20" t="s">
        <v>2032</v>
      </c>
      <c r="AQ30" s="20" t="s">
        <v>1813</v>
      </c>
      <c r="AR30" s="20" t="s">
        <v>2033</v>
      </c>
      <c r="AS30" s="20" t="s">
        <v>2034</v>
      </c>
      <c r="AT30" s="20" t="s">
        <v>2009</v>
      </c>
      <c r="AU30" s="20">
        <v>2004.0</v>
      </c>
      <c r="AV30" s="20">
        <v>10.0</v>
      </c>
      <c r="AW30" s="20">
        <v>2.0</v>
      </c>
      <c r="AX30" s="20" t="s">
        <v>1813</v>
      </c>
      <c r="AY30" s="20" t="s">
        <v>1813</v>
      </c>
      <c r="AZ30" s="20" t="s">
        <v>1813</v>
      </c>
      <c r="BA30" s="20" t="s">
        <v>1813</v>
      </c>
      <c r="BB30" s="20">
        <v>248.0</v>
      </c>
      <c r="BC30" s="20">
        <v>258.0</v>
      </c>
      <c r="BD30" s="20" t="s">
        <v>1813</v>
      </c>
      <c r="BE30" s="20" t="s">
        <v>2410</v>
      </c>
      <c r="BF30" s="22" t="str">
        <f>HYPERLINK("http://dx.doi.org/10.1111/j.1365-2486.2004.00725.x","http://dx.doi.org/10.1111/j.1365-2486.2004.00725.x")</f>
        <v>http://dx.doi.org/10.1111/j.1365-2486.2004.00725.x</v>
      </c>
      <c r="BG30" s="20" t="s">
        <v>1813</v>
      </c>
      <c r="BH30" s="20" t="s">
        <v>1813</v>
      </c>
      <c r="BI30" s="20">
        <v>11.0</v>
      </c>
      <c r="BJ30" s="20" t="s">
        <v>1860</v>
      </c>
      <c r="BK30" s="20" t="s">
        <v>1839</v>
      </c>
      <c r="BL30" s="20" t="s">
        <v>1840</v>
      </c>
      <c r="BM30" s="20" t="s">
        <v>2411</v>
      </c>
      <c r="BN30" s="20" t="s">
        <v>1813</v>
      </c>
      <c r="BO30" s="20" t="s">
        <v>2267</v>
      </c>
      <c r="BP30" s="20" t="s">
        <v>1813</v>
      </c>
      <c r="BQ30" s="20" t="s">
        <v>1813</v>
      </c>
      <c r="BR30" s="20" t="s">
        <v>1842</v>
      </c>
      <c r="BS30" s="20" t="s">
        <v>2412</v>
      </c>
      <c r="BT30" s="20" t="str">
        <f>HYPERLINK("https%3A%2F%2Fwww.webofscience.com%2Fwos%2Fwoscc%2Ffull-record%2FWOS:000189025600010","View Full Record in Web of Science")</f>
        <v>View Full Record in Web of Science</v>
      </c>
    </row>
    <row r="31" ht="12.75" customHeight="1">
      <c r="A31" s="20" t="s">
        <v>1811</v>
      </c>
      <c r="B31" s="20" t="s">
        <v>2413</v>
      </c>
      <c r="C31" s="20" t="s">
        <v>1813</v>
      </c>
      <c r="D31" s="20" t="s">
        <v>1813</v>
      </c>
      <c r="E31" s="20" t="s">
        <v>1813</v>
      </c>
      <c r="F31" s="20" t="s">
        <v>2414</v>
      </c>
      <c r="G31" s="20" t="s">
        <v>1813</v>
      </c>
      <c r="H31" s="20" t="s">
        <v>1813</v>
      </c>
      <c r="I31" s="20" t="s">
        <v>2415</v>
      </c>
      <c r="J31" s="20" t="s">
        <v>2192</v>
      </c>
      <c r="K31" s="20" t="s">
        <v>1813</v>
      </c>
      <c r="L31" s="20" t="s">
        <v>1813</v>
      </c>
      <c r="M31" s="20" t="s">
        <v>1816</v>
      </c>
      <c r="N31" s="20" t="s">
        <v>1817</v>
      </c>
      <c r="O31" s="20" t="s">
        <v>1813</v>
      </c>
      <c r="P31" s="20" t="s">
        <v>1813</v>
      </c>
      <c r="Q31" s="20" t="s">
        <v>1813</v>
      </c>
      <c r="R31" s="20" t="s">
        <v>1813</v>
      </c>
      <c r="S31" s="20" t="s">
        <v>1813</v>
      </c>
      <c r="T31" s="20" t="s">
        <v>1813</v>
      </c>
      <c r="U31" s="20" t="s">
        <v>2416</v>
      </c>
      <c r="V31" s="20" t="s">
        <v>2417</v>
      </c>
      <c r="W31" s="20" t="s">
        <v>2418</v>
      </c>
      <c r="X31" s="20" t="s">
        <v>2419</v>
      </c>
      <c r="Y31" s="20" t="s">
        <v>2420</v>
      </c>
      <c r="Z31" s="20" t="s">
        <v>2421</v>
      </c>
      <c r="AA31" s="20" t="s">
        <v>2422</v>
      </c>
      <c r="AB31" s="20" t="s">
        <v>2423</v>
      </c>
      <c r="AC31" s="20" t="s">
        <v>2424</v>
      </c>
      <c r="AD31" s="20" t="s">
        <v>2425</v>
      </c>
      <c r="AE31" s="20" t="s">
        <v>2426</v>
      </c>
      <c r="AF31" s="20" t="s">
        <v>1813</v>
      </c>
      <c r="AG31" s="20">
        <v>60.0</v>
      </c>
      <c r="AH31" s="20">
        <v>56.0</v>
      </c>
      <c r="AI31" s="20">
        <v>72.0</v>
      </c>
      <c r="AJ31" s="20">
        <v>12.0</v>
      </c>
      <c r="AK31" s="20">
        <v>178.0</v>
      </c>
      <c r="AL31" s="20" t="s">
        <v>2204</v>
      </c>
      <c r="AM31" s="20" t="s">
        <v>2205</v>
      </c>
      <c r="AN31" s="20" t="s">
        <v>2206</v>
      </c>
      <c r="AO31" s="20" t="s">
        <v>2207</v>
      </c>
      <c r="AP31" s="20" t="s">
        <v>1813</v>
      </c>
      <c r="AQ31" s="20" t="s">
        <v>1813</v>
      </c>
      <c r="AR31" s="20" t="s">
        <v>2192</v>
      </c>
      <c r="AS31" s="20" t="s">
        <v>2208</v>
      </c>
      <c r="AT31" s="20" t="s">
        <v>2427</v>
      </c>
      <c r="AU31" s="20">
        <v>2012.0</v>
      </c>
      <c r="AV31" s="20">
        <v>7.0</v>
      </c>
      <c r="AW31" s="20">
        <v>8.0</v>
      </c>
      <c r="AX31" s="20" t="s">
        <v>1813</v>
      </c>
      <c r="AY31" s="20" t="s">
        <v>1813</v>
      </c>
      <c r="AZ31" s="20" t="s">
        <v>1813</v>
      </c>
      <c r="BA31" s="20" t="s">
        <v>1813</v>
      </c>
      <c r="BB31" s="20" t="s">
        <v>1813</v>
      </c>
      <c r="BC31" s="20" t="s">
        <v>1813</v>
      </c>
      <c r="BD31" s="20" t="s">
        <v>2428</v>
      </c>
      <c r="BE31" s="20" t="s">
        <v>2429</v>
      </c>
      <c r="BF31" s="22" t="str">
        <f>HYPERLINK("http://dx.doi.org/10.1371/journal.pone.0043102","http://dx.doi.org/10.1371/journal.pone.0043102")</f>
        <v>http://dx.doi.org/10.1371/journal.pone.0043102</v>
      </c>
      <c r="BG31" s="20" t="s">
        <v>1813</v>
      </c>
      <c r="BH31" s="20" t="s">
        <v>1813</v>
      </c>
      <c r="BI31" s="20">
        <v>9.0</v>
      </c>
      <c r="BJ31" s="20" t="s">
        <v>1966</v>
      </c>
      <c r="BK31" s="20" t="s">
        <v>1839</v>
      </c>
      <c r="BL31" s="20" t="s">
        <v>1967</v>
      </c>
      <c r="BM31" s="20" t="s">
        <v>2430</v>
      </c>
      <c r="BN31" s="20">
        <v>2.290521E7</v>
      </c>
      <c r="BO31" s="20" t="s">
        <v>2213</v>
      </c>
      <c r="BP31" s="20" t="s">
        <v>1813</v>
      </c>
      <c r="BQ31" s="20" t="s">
        <v>1813</v>
      </c>
      <c r="BR31" s="20" t="s">
        <v>1842</v>
      </c>
      <c r="BS31" s="20" t="s">
        <v>2431</v>
      </c>
      <c r="BT31" s="20" t="str">
        <f>HYPERLINK("https%3A%2F%2Fwww.webofscience.com%2Fwos%2Fwoscc%2Ffull-record%2FWOS:000307823600048","View Full Record in Web of Science")</f>
        <v>View Full Record in Web of Science</v>
      </c>
    </row>
    <row r="32" ht="12.75" customHeight="1">
      <c r="A32" s="20" t="s">
        <v>1811</v>
      </c>
      <c r="B32" s="20" t="s">
        <v>2432</v>
      </c>
      <c r="C32" s="20" t="s">
        <v>1813</v>
      </c>
      <c r="D32" s="20" t="s">
        <v>1813</v>
      </c>
      <c r="E32" s="20" t="s">
        <v>1813</v>
      </c>
      <c r="F32" s="20" t="s">
        <v>2432</v>
      </c>
      <c r="G32" s="20" t="s">
        <v>1813</v>
      </c>
      <c r="H32" s="20" t="s">
        <v>1813</v>
      </c>
      <c r="I32" s="20" t="s">
        <v>1568</v>
      </c>
      <c r="J32" s="20" t="s">
        <v>2433</v>
      </c>
      <c r="K32" s="20" t="s">
        <v>1813</v>
      </c>
      <c r="L32" s="20" t="s">
        <v>1813</v>
      </c>
      <c r="M32" s="20" t="s">
        <v>1816</v>
      </c>
      <c r="N32" s="20" t="s">
        <v>1817</v>
      </c>
      <c r="O32" s="20" t="s">
        <v>1813</v>
      </c>
      <c r="P32" s="20" t="s">
        <v>1813</v>
      </c>
      <c r="Q32" s="20" t="s">
        <v>1813</v>
      </c>
      <c r="R32" s="20" t="s">
        <v>1813</v>
      </c>
      <c r="S32" s="20" t="s">
        <v>1813</v>
      </c>
      <c r="T32" s="20" t="s">
        <v>2434</v>
      </c>
      <c r="U32" s="20" t="s">
        <v>2435</v>
      </c>
      <c r="V32" s="20" t="s">
        <v>2436</v>
      </c>
      <c r="W32" s="20" t="s">
        <v>2437</v>
      </c>
      <c r="X32" s="20" t="s">
        <v>2438</v>
      </c>
      <c r="Y32" s="20" t="s">
        <v>2439</v>
      </c>
      <c r="Z32" s="20" t="s">
        <v>2440</v>
      </c>
      <c r="AA32" s="20" t="s">
        <v>1813</v>
      </c>
      <c r="AB32" s="20" t="s">
        <v>1813</v>
      </c>
      <c r="AC32" s="20" t="s">
        <v>1813</v>
      </c>
      <c r="AD32" s="20" t="s">
        <v>1813</v>
      </c>
      <c r="AE32" s="20" t="s">
        <v>1813</v>
      </c>
      <c r="AF32" s="20" t="s">
        <v>1813</v>
      </c>
      <c r="AG32" s="20">
        <v>57.0</v>
      </c>
      <c r="AH32" s="20">
        <v>56.0</v>
      </c>
      <c r="AI32" s="20">
        <v>78.0</v>
      </c>
      <c r="AJ32" s="20">
        <v>3.0</v>
      </c>
      <c r="AK32" s="20">
        <v>67.0</v>
      </c>
      <c r="AL32" s="20" t="s">
        <v>2002</v>
      </c>
      <c r="AM32" s="20" t="s">
        <v>2003</v>
      </c>
      <c r="AN32" s="20" t="s">
        <v>2004</v>
      </c>
      <c r="AO32" s="20" t="s">
        <v>2441</v>
      </c>
      <c r="AP32" s="20" t="s">
        <v>2442</v>
      </c>
      <c r="AQ32" s="20" t="s">
        <v>1813</v>
      </c>
      <c r="AR32" s="20" t="s">
        <v>2443</v>
      </c>
      <c r="AS32" s="20" t="s">
        <v>2444</v>
      </c>
      <c r="AT32" s="20" t="s">
        <v>2445</v>
      </c>
      <c r="AU32" s="20">
        <v>2004.0</v>
      </c>
      <c r="AV32" s="20">
        <v>188.0</v>
      </c>
      <c r="AW32" s="20" t="s">
        <v>2446</v>
      </c>
      <c r="AX32" s="20" t="s">
        <v>1813</v>
      </c>
      <c r="AY32" s="20" t="s">
        <v>1813</v>
      </c>
      <c r="AZ32" s="20" t="s">
        <v>1813</v>
      </c>
      <c r="BA32" s="20" t="s">
        <v>1813</v>
      </c>
      <c r="BB32" s="20">
        <v>125.0</v>
      </c>
      <c r="BC32" s="20">
        <v>135.0</v>
      </c>
      <c r="BD32" s="20" t="s">
        <v>1813</v>
      </c>
      <c r="BE32" s="20" t="s">
        <v>2447</v>
      </c>
      <c r="BF32" s="22" t="str">
        <f>HYPERLINK("http://dx.doi.org/10.1016/j.foreco.2003.07.012","http://dx.doi.org/10.1016/j.foreco.2003.07.012")</f>
        <v>http://dx.doi.org/10.1016/j.foreco.2003.07.012</v>
      </c>
      <c r="BG32" s="20" t="s">
        <v>1813</v>
      </c>
      <c r="BH32" s="20" t="s">
        <v>1813</v>
      </c>
      <c r="BI32" s="20">
        <v>11.0</v>
      </c>
      <c r="BJ32" s="20" t="s">
        <v>2448</v>
      </c>
      <c r="BK32" s="20" t="s">
        <v>1839</v>
      </c>
      <c r="BL32" s="20" t="s">
        <v>2448</v>
      </c>
      <c r="BM32" s="20" t="s">
        <v>2449</v>
      </c>
      <c r="BN32" s="20" t="s">
        <v>1813</v>
      </c>
      <c r="BO32" s="20" t="s">
        <v>1813</v>
      </c>
      <c r="BP32" s="20" t="s">
        <v>1813</v>
      </c>
      <c r="BQ32" s="20" t="s">
        <v>1813</v>
      </c>
      <c r="BR32" s="20" t="s">
        <v>1842</v>
      </c>
      <c r="BS32" s="20" t="s">
        <v>2450</v>
      </c>
      <c r="BT32" s="20" t="str">
        <f>HYPERLINK("https%3A%2F%2Fwww.webofscience.com%2Fwos%2Fwoscc%2Ffull-record%2FWOS:000188294900011","View Full Record in Web of Science")</f>
        <v>View Full Record in Web of Science</v>
      </c>
    </row>
    <row r="33" ht="12.75" customHeight="1">
      <c r="A33" s="20" t="s">
        <v>1811</v>
      </c>
      <c r="B33" s="20" t="s">
        <v>2451</v>
      </c>
      <c r="C33" s="20" t="s">
        <v>1813</v>
      </c>
      <c r="D33" s="20" t="s">
        <v>1813</v>
      </c>
      <c r="E33" s="20" t="s">
        <v>1813</v>
      </c>
      <c r="F33" s="20" t="s">
        <v>2451</v>
      </c>
      <c r="G33" s="20" t="s">
        <v>1813</v>
      </c>
      <c r="H33" s="20" t="s">
        <v>1813</v>
      </c>
      <c r="I33" s="20" t="s">
        <v>1395</v>
      </c>
      <c r="J33" s="20" t="s">
        <v>2271</v>
      </c>
      <c r="K33" s="20" t="s">
        <v>1813</v>
      </c>
      <c r="L33" s="20" t="s">
        <v>1813</v>
      </c>
      <c r="M33" s="20" t="s">
        <v>1816</v>
      </c>
      <c r="N33" s="20" t="s">
        <v>2452</v>
      </c>
      <c r="O33" s="20" t="s">
        <v>2453</v>
      </c>
      <c r="P33" s="20" t="s">
        <v>2454</v>
      </c>
      <c r="Q33" s="20" t="s">
        <v>2455</v>
      </c>
      <c r="R33" s="20" t="s">
        <v>2456</v>
      </c>
      <c r="S33" s="20" t="s">
        <v>1813</v>
      </c>
      <c r="T33" s="20" t="s">
        <v>1813</v>
      </c>
      <c r="U33" s="20" t="s">
        <v>2457</v>
      </c>
      <c r="V33" s="20" t="s">
        <v>2458</v>
      </c>
      <c r="W33" s="20" t="s">
        <v>2459</v>
      </c>
      <c r="X33" s="20" t="s">
        <v>2460</v>
      </c>
      <c r="Y33" s="20" t="s">
        <v>2461</v>
      </c>
      <c r="Z33" s="20" t="s">
        <v>1813</v>
      </c>
      <c r="AA33" s="20" t="s">
        <v>2462</v>
      </c>
      <c r="AB33" s="20" t="s">
        <v>2463</v>
      </c>
      <c r="AC33" s="20" t="s">
        <v>1813</v>
      </c>
      <c r="AD33" s="20" t="s">
        <v>1813</v>
      </c>
      <c r="AE33" s="20" t="s">
        <v>1813</v>
      </c>
      <c r="AF33" s="20" t="s">
        <v>1813</v>
      </c>
      <c r="AG33" s="20">
        <v>78.0</v>
      </c>
      <c r="AH33" s="20">
        <v>26.0</v>
      </c>
      <c r="AI33" s="20">
        <v>31.0</v>
      </c>
      <c r="AJ33" s="20">
        <v>1.0</v>
      </c>
      <c r="AK33" s="20">
        <v>70.0</v>
      </c>
      <c r="AL33" s="20" t="s">
        <v>1829</v>
      </c>
      <c r="AM33" s="20" t="s">
        <v>1830</v>
      </c>
      <c r="AN33" s="20" t="s">
        <v>1831</v>
      </c>
      <c r="AO33" s="20" t="s">
        <v>2283</v>
      </c>
      <c r="AP33" s="20" t="s">
        <v>2284</v>
      </c>
      <c r="AQ33" s="20" t="s">
        <v>1813</v>
      </c>
      <c r="AR33" s="20" t="s">
        <v>2271</v>
      </c>
      <c r="AS33" s="20" t="s">
        <v>2285</v>
      </c>
      <c r="AT33" s="20" t="s">
        <v>2059</v>
      </c>
      <c r="AU33" s="20">
        <v>2003.0</v>
      </c>
      <c r="AV33" s="20">
        <v>101.0</v>
      </c>
      <c r="AW33" s="20">
        <v>1.0</v>
      </c>
      <c r="AX33" s="20" t="s">
        <v>1813</v>
      </c>
      <c r="AY33" s="20" t="s">
        <v>1813</v>
      </c>
      <c r="AZ33" s="20" t="s">
        <v>1813</v>
      </c>
      <c r="BA33" s="20" t="s">
        <v>1813</v>
      </c>
      <c r="BB33" s="20">
        <v>6.0</v>
      </c>
      <c r="BC33" s="20">
        <v>17.0</v>
      </c>
      <c r="BD33" s="20" t="s">
        <v>1813</v>
      </c>
      <c r="BE33" s="20" t="s">
        <v>2464</v>
      </c>
      <c r="BF33" s="22" t="str">
        <f>HYPERLINK("http://dx.doi.org/10.1034/j.1600-0706.2003.12566.x","http://dx.doi.org/10.1034/j.1600-0706.2003.12566.x")</f>
        <v>http://dx.doi.org/10.1034/j.1600-0706.2003.12566.x</v>
      </c>
      <c r="BG33" s="20" t="s">
        <v>1813</v>
      </c>
      <c r="BH33" s="20" t="s">
        <v>1813</v>
      </c>
      <c r="BI33" s="20">
        <v>12.0</v>
      </c>
      <c r="BJ33" s="20" t="s">
        <v>1899</v>
      </c>
      <c r="BK33" s="20" t="s">
        <v>2465</v>
      </c>
      <c r="BL33" s="20" t="s">
        <v>1900</v>
      </c>
      <c r="BM33" s="20" t="s">
        <v>2466</v>
      </c>
      <c r="BN33" s="20" t="s">
        <v>1813</v>
      </c>
      <c r="BO33" s="20" t="s">
        <v>1813</v>
      </c>
      <c r="BP33" s="20" t="s">
        <v>1813</v>
      </c>
      <c r="BQ33" s="20" t="s">
        <v>1813</v>
      </c>
      <c r="BR33" s="20" t="s">
        <v>1842</v>
      </c>
      <c r="BS33" s="20" t="s">
        <v>2467</v>
      </c>
      <c r="BT33" s="20" t="str">
        <f>HYPERLINK("https%3A%2F%2Fwww.webofscience.com%2Fwos%2Fwoscc%2Ffull-record%2FWOS:000182106600002","View Full Record in Web of Science")</f>
        <v>View Full Record in Web of Science</v>
      </c>
    </row>
    <row r="34" ht="12.75" customHeight="1">
      <c r="A34" s="20" t="s">
        <v>1811</v>
      </c>
      <c r="B34" s="20" t="s">
        <v>2468</v>
      </c>
      <c r="C34" s="20" t="s">
        <v>1813</v>
      </c>
      <c r="D34" s="20" t="s">
        <v>1813</v>
      </c>
      <c r="E34" s="20" t="s">
        <v>1813</v>
      </c>
      <c r="F34" s="20" t="s">
        <v>2468</v>
      </c>
      <c r="G34" s="20" t="s">
        <v>1813</v>
      </c>
      <c r="H34" s="20" t="s">
        <v>1813</v>
      </c>
      <c r="I34" s="20" t="s">
        <v>1371</v>
      </c>
      <c r="J34" s="20" t="s">
        <v>2469</v>
      </c>
      <c r="K34" s="20" t="s">
        <v>1813</v>
      </c>
      <c r="L34" s="20" t="s">
        <v>1813</v>
      </c>
      <c r="M34" s="20" t="s">
        <v>1816</v>
      </c>
      <c r="N34" s="20" t="s">
        <v>1817</v>
      </c>
      <c r="O34" s="20" t="s">
        <v>1813</v>
      </c>
      <c r="P34" s="20" t="s">
        <v>1813</v>
      </c>
      <c r="Q34" s="20" t="s">
        <v>1813</v>
      </c>
      <c r="R34" s="20" t="s">
        <v>1813</v>
      </c>
      <c r="S34" s="20" t="s">
        <v>1813</v>
      </c>
      <c r="T34" s="20" t="s">
        <v>2470</v>
      </c>
      <c r="U34" s="20" t="s">
        <v>2471</v>
      </c>
      <c r="V34" s="20" t="s">
        <v>2472</v>
      </c>
      <c r="W34" s="20" t="s">
        <v>2473</v>
      </c>
      <c r="X34" s="20" t="s">
        <v>2474</v>
      </c>
      <c r="Y34" s="20" t="s">
        <v>2475</v>
      </c>
      <c r="Z34" s="20" t="s">
        <v>1813</v>
      </c>
      <c r="AA34" s="20" t="s">
        <v>2476</v>
      </c>
      <c r="AB34" s="20" t="s">
        <v>1813</v>
      </c>
      <c r="AC34" s="20" t="s">
        <v>1813</v>
      </c>
      <c r="AD34" s="20" t="s">
        <v>1813</v>
      </c>
      <c r="AE34" s="20" t="s">
        <v>1813</v>
      </c>
      <c r="AF34" s="20" t="s">
        <v>1813</v>
      </c>
      <c r="AG34" s="20">
        <v>46.0</v>
      </c>
      <c r="AH34" s="20">
        <v>214.0</v>
      </c>
      <c r="AI34" s="20">
        <v>245.0</v>
      </c>
      <c r="AJ34" s="20">
        <v>1.0</v>
      </c>
      <c r="AK34" s="20">
        <v>116.0</v>
      </c>
      <c r="AL34" s="20" t="s">
        <v>1829</v>
      </c>
      <c r="AM34" s="20" t="s">
        <v>1830</v>
      </c>
      <c r="AN34" s="20" t="s">
        <v>1831</v>
      </c>
      <c r="AO34" s="20" t="s">
        <v>2477</v>
      </c>
      <c r="AP34" s="20" t="s">
        <v>2478</v>
      </c>
      <c r="AQ34" s="20" t="s">
        <v>1813</v>
      </c>
      <c r="AR34" s="20" t="s">
        <v>2479</v>
      </c>
      <c r="AS34" s="20" t="s">
        <v>2480</v>
      </c>
      <c r="AT34" s="20" t="s">
        <v>2059</v>
      </c>
      <c r="AU34" s="20">
        <v>1998.0</v>
      </c>
      <c r="AV34" s="20">
        <v>86.0</v>
      </c>
      <c r="AW34" s="20">
        <v>2.0</v>
      </c>
      <c r="AX34" s="20" t="s">
        <v>1813</v>
      </c>
      <c r="AY34" s="20" t="s">
        <v>1813</v>
      </c>
      <c r="AZ34" s="20" t="s">
        <v>1813</v>
      </c>
      <c r="BA34" s="20" t="s">
        <v>1813</v>
      </c>
      <c r="BB34" s="20">
        <v>315.0</v>
      </c>
      <c r="BC34" s="20">
        <v>327.0</v>
      </c>
      <c r="BD34" s="20" t="s">
        <v>1813</v>
      </c>
      <c r="BE34" s="20" t="s">
        <v>2481</v>
      </c>
      <c r="BF34" s="22" t="str">
        <f>HYPERLINK("http://dx.doi.org/10.1046/j.1365-2745.1998.00261.x","http://dx.doi.org/10.1046/j.1365-2745.1998.00261.x")</f>
        <v>http://dx.doi.org/10.1046/j.1365-2745.1998.00261.x</v>
      </c>
      <c r="BG34" s="20" t="s">
        <v>1813</v>
      </c>
      <c r="BH34" s="20" t="s">
        <v>1813</v>
      </c>
      <c r="BI34" s="20">
        <v>13.0</v>
      </c>
      <c r="BJ34" s="20" t="s">
        <v>2482</v>
      </c>
      <c r="BK34" s="20" t="s">
        <v>1839</v>
      </c>
      <c r="BL34" s="20" t="s">
        <v>2483</v>
      </c>
      <c r="BM34" s="20" t="s">
        <v>2484</v>
      </c>
      <c r="BN34" s="20" t="s">
        <v>1813</v>
      </c>
      <c r="BO34" s="20" t="s">
        <v>1878</v>
      </c>
      <c r="BP34" s="20" t="s">
        <v>1813</v>
      </c>
      <c r="BQ34" s="20" t="s">
        <v>1813</v>
      </c>
      <c r="BR34" s="20" t="s">
        <v>1842</v>
      </c>
      <c r="BS34" s="20" t="s">
        <v>2485</v>
      </c>
      <c r="BT34" s="20" t="str">
        <f>HYPERLINK("https%3A%2F%2Fwww.webofscience.com%2Fwos%2Fwoscc%2Ffull-record%2FWOS:000073764500011","View Full Record in Web of Science")</f>
        <v>View Full Record in Web of Science</v>
      </c>
    </row>
    <row r="35" ht="12.75" customHeight="1">
      <c r="A35" s="20" t="s">
        <v>1811</v>
      </c>
      <c r="B35" s="20" t="s">
        <v>2486</v>
      </c>
      <c r="C35" s="20" t="s">
        <v>1813</v>
      </c>
      <c r="D35" s="20" t="s">
        <v>1813</v>
      </c>
      <c r="E35" s="20" t="s">
        <v>1813</v>
      </c>
      <c r="F35" s="20" t="s">
        <v>2487</v>
      </c>
      <c r="G35" s="20" t="s">
        <v>1813</v>
      </c>
      <c r="H35" s="20" t="s">
        <v>1813</v>
      </c>
      <c r="I35" s="20" t="s">
        <v>2488</v>
      </c>
      <c r="J35" s="20" t="s">
        <v>2489</v>
      </c>
      <c r="K35" s="20" t="s">
        <v>1813</v>
      </c>
      <c r="L35" s="20" t="s">
        <v>1813</v>
      </c>
      <c r="M35" s="20" t="s">
        <v>1816</v>
      </c>
      <c r="N35" s="20" t="s">
        <v>1817</v>
      </c>
      <c r="O35" s="20" t="s">
        <v>1813</v>
      </c>
      <c r="P35" s="20" t="s">
        <v>1813</v>
      </c>
      <c r="Q35" s="20" t="s">
        <v>1813</v>
      </c>
      <c r="R35" s="20" t="s">
        <v>1813</v>
      </c>
      <c r="S35" s="20" t="s">
        <v>1813</v>
      </c>
      <c r="T35" s="20" t="s">
        <v>2490</v>
      </c>
      <c r="U35" s="20" t="s">
        <v>2491</v>
      </c>
      <c r="V35" s="20" t="s">
        <v>2492</v>
      </c>
      <c r="W35" s="20" t="s">
        <v>2493</v>
      </c>
      <c r="X35" s="20" t="s">
        <v>2494</v>
      </c>
      <c r="Y35" s="20" t="s">
        <v>2495</v>
      </c>
      <c r="Z35" s="20" t="s">
        <v>2496</v>
      </c>
      <c r="AA35" s="20" t="s">
        <v>2497</v>
      </c>
      <c r="AB35" s="20" t="s">
        <v>2498</v>
      </c>
      <c r="AC35" s="20" t="s">
        <v>2499</v>
      </c>
      <c r="AD35" s="20" t="s">
        <v>2500</v>
      </c>
      <c r="AE35" s="20" t="s">
        <v>2501</v>
      </c>
      <c r="AF35" s="20" t="s">
        <v>1813</v>
      </c>
      <c r="AG35" s="20">
        <v>63.0</v>
      </c>
      <c r="AH35" s="20">
        <v>61.0</v>
      </c>
      <c r="AI35" s="20">
        <v>72.0</v>
      </c>
      <c r="AJ35" s="20">
        <v>2.0</v>
      </c>
      <c r="AK35" s="20">
        <v>112.0</v>
      </c>
      <c r="AL35" s="20" t="s">
        <v>1829</v>
      </c>
      <c r="AM35" s="20" t="s">
        <v>1830</v>
      </c>
      <c r="AN35" s="20" t="s">
        <v>1831</v>
      </c>
      <c r="AO35" s="20" t="s">
        <v>2502</v>
      </c>
      <c r="AP35" s="20" t="s">
        <v>2503</v>
      </c>
      <c r="AQ35" s="20" t="s">
        <v>1813</v>
      </c>
      <c r="AR35" s="20" t="s">
        <v>2504</v>
      </c>
      <c r="AS35" s="20" t="s">
        <v>2505</v>
      </c>
      <c r="AT35" s="20" t="s">
        <v>1939</v>
      </c>
      <c r="AU35" s="20">
        <v>2009.0</v>
      </c>
      <c r="AV35" s="20">
        <v>23.0</v>
      </c>
      <c r="AW35" s="20">
        <v>3.0</v>
      </c>
      <c r="AX35" s="20" t="s">
        <v>1813</v>
      </c>
      <c r="AY35" s="20" t="s">
        <v>1813</v>
      </c>
      <c r="AZ35" s="20" t="s">
        <v>1813</v>
      </c>
      <c r="BA35" s="20" t="s">
        <v>1813</v>
      </c>
      <c r="BB35" s="20">
        <v>644.0</v>
      </c>
      <c r="BC35" s="20">
        <v>652.0</v>
      </c>
      <c r="BD35" s="20" t="s">
        <v>1813</v>
      </c>
      <c r="BE35" s="20" t="s">
        <v>2506</v>
      </c>
      <c r="BF35" s="22" t="str">
        <f>HYPERLINK("http://dx.doi.org/10.1111/j.1523-1739.2008.01130.x","http://dx.doi.org/10.1111/j.1523-1739.2008.01130.x")</f>
        <v>http://dx.doi.org/10.1111/j.1523-1739.2008.01130.x</v>
      </c>
      <c r="BG35" s="20" t="s">
        <v>1813</v>
      </c>
      <c r="BH35" s="20" t="s">
        <v>1813</v>
      </c>
      <c r="BI35" s="20">
        <v>9.0</v>
      </c>
      <c r="BJ35" s="20" t="s">
        <v>1860</v>
      </c>
      <c r="BK35" s="20" t="s">
        <v>1839</v>
      </c>
      <c r="BL35" s="20" t="s">
        <v>1840</v>
      </c>
      <c r="BM35" s="20" t="s">
        <v>2507</v>
      </c>
      <c r="BN35" s="20">
        <v>1.9183213E7</v>
      </c>
      <c r="BO35" s="20" t="s">
        <v>1813</v>
      </c>
      <c r="BP35" s="20" t="s">
        <v>1813</v>
      </c>
      <c r="BQ35" s="20" t="s">
        <v>1813</v>
      </c>
      <c r="BR35" s="20" t="s">
        <v>1842</v>
      </c>
      <c r="BS35" s="20" t="s">
        <v>2508</v>
      </c>
      <c r="BT35" s="20" t="str">
        <f>HYPERLINK("https%3A%2F%2Fwww.webofscience.com%2Fwos%2Fwoscc%2Ffull-record%2FWOS:000266071200019","View Full Record in Web of Science")</f>
        <v>View Full Record in Web of Science</v>
      </c>
    </row>
    <row r="36" ht="12.75" customHeight="1">
      <c r="A36" s="20" t="s">
        <v>1811</v>
      </c>
      <c r="B36" s="20" t="s">
        <v>2509</v>
      </c>
      <c r="C36" s="20" t="s">
        <v>1813</v>
      </c>
      <c r="D36" s="20" t="s">
        <v>1813</v>
      </c>
      <c r="E36" s="20" t="s">
        <v>1813</v>
      </c>
      <c r="F36" s="20" t="s">
        <v>2510</v>
      </c>
      <c r="G36" s="20" t="s">
        <v>1813</v>
      </c>
      <c r="H36" s="20" t="s">
        <v>1813</v>
      </c>
      <c r="I36" s="20" t="s">
        <v>1596</v>
      </c>
      <c r="J36" s="20" t="s">
        <v>2511</v>
      </c>
      <c r="K36" s="20" t="s">
        <v>1813</v>
      </c>
      <c r="L36" s="20" t="s">
        <v>1813</v>
      </c>
      <c r="M36" s="20" t="s">
        <v>1816</v>
      </c>
      <c r="N36" s="20" t="s">
        <v>1817</v>
      </c>
      <c r="O36" s="20" t="s">
        <v>1813</v>
      </c>
      <c r="P36" s="20" t="s">
        <v>1813</v>
      </c>
      <c r="Q36" s="20" t="s">
        <v>1813</v>
      </c>
      <c r="R36" s="20" t="s">
        <v>1813</v>
      </c>
      <c r="S36" s="20" t="s">
        <v>1813</v>
      </c>
      <c r="T36" s="20" t="s">
        <v>2512</v>
      </c>
      <c r="U36" s="20" t="s">
        <v>2513</v>
      </c>
      <c r="V36" s="20" t="s">
        <v>2514</v>
      </c>
      <c r="W36" s="20" t="s">
        <v>2515</v>
      </c>
      <c r="X36" s="20" t="s">
        <v>2516</v>
      </c>
      <c r="Y36" s="20" t="s">
        <v>2517</v>
      </c>
      <c r="Z36" s="20" t="s">
        <v>2518</v>
      </c>
      <c r="AA36" s="20" t="s">
        <v>2519</v>
      </c>
      <c r="AB36" s="20" t="s">
        <v>2520</v>
      </c>
      <c r="AC36" s="20" t="s">
        <v>2521</v>
      </c>
      <c r="AD36" s="20" t="s">
        <v>2521</v>
      </c>
      <c r="AE36" s="20" t="s">
        <v>2522</v>
      </c>
      <c r="AF36" s="20" t="s">
        <v>1813</v>
      </c>
      <c r="AG36" s="20">
        <v>54.0</v>
      </c>
      <c r="AH36" s="20">
        <v>26.0</v>
      </c>
      <c r="AI36" s="20">
        <v>31.0</v>
      </c>
      <c r="AJ36" s="20">
        <v>1.0</v>
      </c>
      <c r="AK36" s="20">
        <v>57.0</v>
      </c>
      <c r="AL36" s="20" t="s">
        <v>1829</v>
      </c>
      <c r="AM36" s="20" t="s">
        <v>1830</v>
      </c>
      <c r="AN36" s="20" t="s">
        <v>1831</v>
      </c>
      <c r="AO36" s="20" t="s">
        <v>2523</v>
      </c>
      <c r="AP36" s="20" t="s">
        <v>2524</v>
      </c>
      <c r="AQ36" s="20" t="s">
        <v>1813</v>
      </c>
      <c r="AR36" s="20" t="s">
        <v>2525</v>
      </c>
      <c r="AS36" s="20" t="s">
        <v>2526</v>
      </c>
      <c r="AT36" s="20" t="s">
        <v>2527</v>
      </c>
      <c r="AU36" s="20">
        <v>2011.0</v>
      </c>
      <c r="AV36" s="20">
        <v>14.0</v>
      </c>
      <c r="AW36" s="20">
        <v>5.0</v>
      </c>
      <c r="AX36" s="20" t="s">
        <v>1813</v>
      </c>
      <c r="AY36" s="20" t="s">
        <v>1813</v>
      </c>
      <c r="AZ36" s="20" t="s">
        <v>1813</v>
      </c>
      <c r="BA36" s="20" t="s">
        <v>1813</v>
      </c>
      <c r="BB36" s="20">
        <v>542.0</v>
      </c>
      <c r="BC36" s="20">
        <v>552.0</v>
      </c>
      <c r="BD36" s="20" t="s">
        <v>1813</v>
      </c>
      <c r="BE36" s="20" t="s">
        <v>2528</v>
      </c>
      <c r="BF36" s="22" t="str">
        <f>HYPERLINK("http://dx.doi.org/10.1111/j.1469-1795.2011.00459.x","http://dx.doi.org/10.1111/j.1469-1795.2011.00459.x")</f>
        <v>http://dx.doi.org/10.1111/j.1469-1795.2011.00459.x</v>
      </c>
      <c r="BG36" s="20" t="s">
        <v>1813</v>
      </c>
      <c r="BH36" s="20" t="s">
        <v>1813</v>
      </c>
      <c r="BI36" s="20">
        <v>11.0</v>
      </c>
      <c r="BJ36" s="20" t="s">
        <v>1838</v>
      </c>
      <c r="BK36" s="20" t="s">
        <v>1839</v>
      </c>
      <c r="BL36" s="20" t="s">
        <v>1840</v>
      </c>
      <c r="BM36" s="20" t="s">
        <v>2529</v>
      </c>
      <c r="BN36" s="20" t="s">
        <v>1813</v>
      </c>
      <c r="BO36" s="20" t="s">
        <v>1813</v>
      </c>
      <c r="BP36" s="20" t="s">
        <v>1813</v>
      </c>
      <c r="BQ36" s="20" t="s">
        <v>1813</v>
      </c>
      <c r="BR36" s="20" t="s">
        <v>1842</v>
      </c>
      <c r="BS36" s="20" t="s">
        <v>2530</v>
      </c>
      <c r="BT36" s="20" t="str">
        <f>HYPERLINK("https%3A%2F%2Fwww.webofscience.com%2Fwos%2Fwoscc%2Ffull-record%2FWOS:000296894900012","View Full Record in Web of Science")</f>
        <v>View Full Record in Web of Science</v>
      </c>
    </row>
    <row r="37" ht="12.75" customHeight="1">
      <c r="A37" s="20" t="s">
        <v>1811</v>
      </c>
      <c r="B37" s="20" t="s">
        <v>2531</v>
      </c>
      <c r="C37" s="20" t="s">
        <v>1813</v>
      </c>
      <c r="D37" s="20" t="s">
        <v>1813</v>
      </c>
      <c r="E37" s="20" t="s">
        <v>1813</v>
      </c>
      <c r="F37" s="20" t="s">
        <v>2531</v>
      </c>
      <c r="G37" s="20" t="s">
        <v>1813</v>
      </c>
      <c r="H37" s="20" t="s">
        <v>1813</v>
      </c>
      <c r="I37" s="20" t="s">
        <v>1401</v>
      </c>
      <c r="J37" s="20" t="s">
        <v>2335</v>
      </c>
      <c r="K37" s="20" t="s">
        <v>1813</v>
      </c>
      <c r="L37" s="20" t="s">
        <v>1813</v>
      </c>
      <c r="M37" s="20" t="s">
        <v>1816</v>
      </c>
      <c r="N37" s="20" t="s">
        <v>1817</v>
      </c>
      <c r="O37" s="20" t="s">
        <v>1813</v>
      </c>
      <c r="P37" s="20" t="s">
        <v>1813</v>
      </c>
      <c r="Q37" s="20" t="s">
        <v>1813</v>
      </c>
      <c r="R37" s="20" t="s">
        <v>1813</v>
      </c>
      <c r="S37" s="20" t="s">
        <v>1813</v>
      </c>
      <c r="T37" s="20" t="s">
        <v>2532</v>
      </c>
      <c r="U37" s="20" t="s">
        <v>2533</v>
      </c>
      <c r="V37" s="20" t="s">
        <v>2534</v>
      </c>
      <c r="W37" s="20" t="s">
        <v>2535</v>
      </c>
      <c r="X37" s="20" t="s">
        <v>2536</v>
      </c>
      <c r="Y37" s="20" t="s">
        <v>2537</v>
      </c>
      <c r="Z37" s="20" t="s">
        <v>2538</v>
      </c>
      <c r="AA37" s="20" t="s">
        <v>2539</v>
      </c>
      <c r="AB37" s="20" t="s">
        <v>2540</v>
      </c>
      <c r="AC37" s="20" t="s">
        <v>1813</v>
      </c>
      <c r="AD37" s="20" t="s">
        <v>1813</v>
      </c>
      <c r="AE37" s="20" t="s">
        <v>1813</v>
      </c>
      <c r="AF37" s="20" t="s">
        <v>1813</v>
      </c>
      <c r="AG37" s="20">
        <v>36.0</v>
      </c>
      <c r="AH37" s="20">
        <v>22.0</v>
      </c>
      <c r="AI37" s="20">
        <v>26.0</v>
      </c>
      <c r="AJ37" s="20">
        <v>0.0</v>
      </c>
      <c r="AK37" s="20">
        <v>9.0</v>
      </c>
      <c r="AL37" s="20" t="s">
        <v>2343</v>
      </c>
      <c r="AM37" s="20" t="s">
        <v>2344</v>
      </c>
      <c r="AN37" s="20" t="s">
        <v>2345</v>
      </c>
      <c r="AO37" s="20" t="s">
        <v>2346</v>
      </c>
      <c r="AP37" s="20" t="s">
        <v>2347</v>
      </c>
      <c r="AQ37" s="20" t="s">
        <v>1813</v>
      </c>
      <c r="AR37" s="20" t="s">
        <v>2348</v>
      </c>
      <c r="AS37" s="20" t="s">
        <v>2349</v>
      </c>
      <c r="AT37" s="20" t="s">
        <v>1813</v>
      </c>
      <c r="AU37" s="20">
        <v>2003.0</v>
      </c>
      <c r="AV37" s="20">
        <v>247.0</v>
      </c>
      <c r="AW37" s="20" t="s">
        <v>1813</v>
      </c>
      <c r="AX37" s="20" t="s">
        <v>1813</v>
      </c>
      <c r="AY37" s="20" t="s">
        <v>1813</v>
      </c>
      <c r="AZ37" s="20" t="s">
        <v>1813</v>
      </c>
      <c r="BA37" s="20" t="s">
        <v>1813</v>
      </c>
      <c r="BB37" s="20">
        <v>225.0</v>
      </c>
      <c r="BC37" s="20">
        <v>235.0</v>
      </c>
      <c r="BD37" s="20" t="s">
        <v>1813</v>
      </c>
      <c r="BE37" s="20" t="s">
        <v>2541</v>
      </c>
      <c r="BF37" s="22" t="str">
        <f>HYPERLINK("http://dx.doi.org/10.3354/meps247225","http://dx.doi.org/10.3354/meps247225")</f>
        <v>http://dx.doi.org/10.3354/meps247225</v>
      </c>
      <c r="BG37" s="20" t="s">
        <v>1813</v>
      </c>
      <c r="BH37" s="20" t="s">
        <v>1813</v>
      </c>
      <c r="BI37" s="20">
        <v>11.0</v>
      </c>
      <c r="BJ37" s="20" t="s">
        <v>2351</v>
      </c>
      <c r="BK37" s="20" t="s">
        <v>1839</v>
      </c>
      <c r="BL37" s="20" t="s">
        <v>2352</v>
      </c>
      <c r="BM37" s="20" t="s">
        <v>2542</v>
      </c>
      <c r="BN37" s="20" t="s">
        <v>1813</v>
      </c>
      <c r="BO37" s="20" t="s">
        <v>1878</v>
      </c>
      <c r="BP37" s="20" t="s">
        <v>1813</v>
      </c>
      <c r="BQ37" s="20" t="s">
        <v>1813</v>
      </c>
      <c r="BR37" s="20" t="s">
        <v>1842</v>
      </c>
      <c r="BS37" s="20" t="s">
        <v>2543</v>
      </c>
      <c r="BT37" s="20" t="str">
        <f>HYPERLINK("https%3A%2F%2Fwww.webofscience.com%2Fwos%2Fwoscc%2Ffull-record%2FWOS:000181318700020","View Full Record in Web of Science")</f>
        <v>View Full Record in Web of Science</v>
      </c>
    </row>
    <row r="38" ht="12.75" customHeight="1">
      <c r="A38" s="20" t="s">
        <v>1811</v>
      </c>
      <c r="B38" s="20" t="s">
        <v>2544</v>
      </c>
      <c r="C38" s="20" t="s">
        <v>1813</v>
      </c>
      <c r="D38" s="20" t="s">
        <v>1813</v>
      </c>
      <c r="E38" s="20" t="s">
        <v>1813</v>
      </c>
      <c r="F38" s="20" t="s">
        <v>2545</v>
      </c>
      <c r="G38" s="20" t="s">
        <v>1813</v>
      </c>
      <c r="H38" s="20" t="s">
        <v>1813</v>
      </c>
      <c r="I38" s="20" t="s">
        <v>1643</v>
      </c>
      <c r="J38" s="20" t="s">
        <v>2546</v>
      </c>
      <c r="K38" s="20" t="s">
        <v>1813</v>
      </c>
      <c r="L38" s="20" t="s">
        <v>1813</v>
      </c>
      <c r="M38" s="20" t="s">
        <v>1816</v>
      </c>
      <c r="N38" s="20" t="s">
        <v>1817</v>
      </c>
      <c r="O38" s="20" t="s">
        <v>1813</v>
      </c>
      <c r="P38" s="20" t="s">
        <v>1813</v>
      </c>
      <c r="Q38" s="20" t="s">
        <v>1813</v>
      </c>
      <c r="R38" s="20" t="s">
        <v>1813</v>
      </c>
      <c r="S38" s="20" t="s">
        <v>1813</v>
      </c>
      <c r="T38" s="20" t="s">
        <v>2547</v>
      </c>
      <c r="U38" s="20" t="s">
        <v>2548</v>
      </c>
      <c r="V38" s="20" t="s">
        <v>2549</v>
      </c>
      <c r="W38" s="20" t="s">
        <v>2550</v>
      </c>
      <c r="X38" s="20" t="s">
        <v>2551</v>
      </c>
      <c r="Y38" s="20" t="s">
        <v>2552</v>
      </c>
      <c r="Z38" s="20" t="s">
        <v>2553</v>
      </c>
      <c r="AA38" s="20" t="s">
        <v>2554</v>
      </c>
      <c r="AB38" s="20" t="s">
        <v>2555</v>
      </c>
      <c r="AC38" s="20" t="s">
        <v>2556</v>
      </c>
      <c r="AD38" s="20" t="s">
        <v>2557</v>
      </c>
      <c r="AE38" s="20" t="s">
        <v>2558</v>
      </c>
      <c r="AF38" s="20" t="s">
        <v>1813</v>
      </c>
      <c r="AG38" s="20">
        <v>28.0</v>
      </c>
      <c r="AH38" s="20">
        <v>20.0</v>
      </c>
      <c r="AI38" s="20">
        <v>25.0</v>
      </c>
      <c r="AJ38" s="20">
        <v>4.0</v>
      </c>
      <c r="AK38" s="20">
        <v>118.0</v>
      </c>
      <c r="AL38" s="20" t="s">
        <v>1852</v>
      </c>
      <c r="AM38" s="20" t="s">
        <v>2559</v>
      </c>
      <c r="AN38" s="20" t="s">
        <v>2560</v>
      </c>
      <c r="AO38" s="20" t="s">
        <v>2561</v>
      </c>
      <c r="AP38" s="20" t="s">
        <v>2562</v>
      </c>
      <c r="AQ38" s="20" t="s">
        <v>1813</v>
      </c>
      <c r="AR38" s="20" t="s">
        <v>2546</v>
      </c>
      <c r="AS38" s="20" t="s">
        <v>2563</v>
      </c>
      <c r="AT38" s="20" t="s">
        <v>2527</v>
      </c>
      <c r="AU38" s="20">
        <v>2012.0</v>
      </c>
      <c r="AV38" s="20">
        <v>170.0</v>
      </c>
      <c r="AW38" s="20">
        <v>2.0</v>
      </c>
      <c r="AX38" s="20" t="s">
        <v>1813</v>
      </c>
      <c r="AY38" s="20" t="s">
        <v>1813</v>
      </c>
      <c r="AZ38" s="20" t="s">
        <v>1813</v>
      </c>
      <c r="BA38" s="20" t="s">
        <v>1813</v>
      </c>
      <c r="BB38" s="20">
        <v>517.0</v>
      </c>
      <c r="BC38" s="20">
        <v>528.0</v>
      </c>
      <c r="BD38" s="20" t="s">
        <v>1813</v>
      </c>
      <c r="BE38" s="20" t="s">
        <v>2564</v>
      </c>
      <c r="BF38" s="22" t="str">
        <f>HYPERLINK("http://dx.doi.org/10.1007/s00442-012-2325-9","http://dx.doi.org/10.1007/s00442-012-2325-9")</f>
        <v>http://dx.doi.org/10.1007/s00442-012-2325-9</v>
      </c>
      <c r="BG38" s="20" t="s">
        <v>1813</v>
      </c>
      <c r="BH38" s="20" t="s">
        <v>1813</v>
      </c>
      <c r="BI38" s="20">
        <v>12.0</v>
      </c>
      <c r="BJ38" s="20" t="s">
        <v>1899</v>
      </c>
      <c r="BK38" s="20" t="s">
        <v>1839</v>
      </c>
      <c r="BL38" s="20" t="s">
        <v>1900</v>
      </c>
      <c r="BM38" s="20" t="s">
        <v>2565</v>
      </c>
      <c r="BN38" s="20">
        <v>2.2526941E7</v>
      </c>
      <c r="BO38" s="20" t="s">
        <v>1813</v>
      </c>
      <c r="BP38" s="20" t="s">
        <v>1813</v>
      </c>
      <c r="BQ38" s="20" t="s">
        <v>1813</v>
      </c>
      <c r="BR38" s="20" t="s">
        <v>1842</v>
      </c>
      <c r="BS38" s="20" t="s">
        <v>2566</v>
      </c>
      <c r="BT38" s="20" t="str">
        <f>HYPERLINK("https%3A%2F%2Fwww.webofscience.com%2Fwos%2Fwoscc%2Ffull-record%2FWOS:000308662100022","View Full Record in Web of Science")</f>
        <v>View Full Record in Web of Science</v>
      </c>
    </row>
    <row r="39" ht="12.75" customHeight="1">
      <c r="A39" s="20" t="s">
        <v>1811</v>
      </c>
      <c r="B39" s="20" t="s">
        <v>2567</v>
      </c>
      <c r="C39" s="20" t="s">
        <v>1813</v>
      </c>
      <c r="D39" s="20" t="s">
        <v>1813</v>
      </c>
      <c r="E39" s="20" t="s">
        <v>1813</v>
      </c>
      <c r="F39" s="20" t="s">
        <v>2568</v>
      </c>
      <c r="G39" s="20" t="s">
        <v>1813</v>
      </c>
      <c r="H39" s="20" t="s">
        <v>1813</v>
      </c>
      <c r="I39" s="20" t="s">
        <v>2569</v>
      </c>
      <c r="J39" s="20" t="s">
        <v>1845</v>
      </c>
      <c r="K39" s="20" t="s">
        <v>1813</v>
      </c>
      <c r="L39" s="20" t="s">
        <v>1813</v>
      </c>
      <c r="M39" s="20" t="s">
        <v>1816</v>
      </c>
      <c r="N39" s="20" t="s">
        <v>1817</v>
      </c>
      <c r="O39" s="20" t="s">
        <v>1813</v>
      </c>
      <c r="P39" s="20" t="s">
        <v>1813</v>
      </c>
      <c r="Q39" s="20" t="s">
        <v>1813</v>
      </c>
      <c r="R39" s="20" t="s">
        <v>1813</v>
      </c>
      <c r="S39" s="20" t="s">
        <v>1813</v>
      </c>
      <c r="T39" s="20" t="s">
        <v>2570</v>
      </c>
      <c r="U39" s="20" t="s">
        <v>2571</v>
      </c>
      <c r="V39" s="20" t="s">
        <v>2572</v>
      </c>
      <c r="W39" s="20" t="s">
        <v>2573</v>
      </c>
      <c r="X39" s="20" t="s">
        <v>2574</v>
      </c>
      <c r="Y39" s="20" t="s">
        <v>2575</v>
      </c>
      <c r="Z39" s="20" t="s">
        <v>2576</v>
      </c>
      <c r="AA39" s="20" t="s">
        <v>1813</v>
      </c>
      <c r="AB39" s="20" t="s">
        <v>2577</v>
      </c>
      <c r="AC39" s="20" t="s">
        <v>1813</v>
      </c>
      <c r="AD39" s="20" t="s">
        <v>1813</v>
      </c>
      <c r="AE39" s="20" t="s">
        <v>1813</v>
      </c>
      <c r="AF39" s="20" t="s">
        <v>1813</v>
      </c>
      <c r="AG39" s="20">
        <v>57.0</v>
      </c>
      <c r="AH39" s="20">
        <v>48.0</v>
      </c>
      <c r="AI39" s="20">
        <v>58.0</v>
      </c>
      <c r="AJ39" s="20">
        <v>0.0</v>
      </c>
      <c r="AK39" s="20">
        <v>53.0</v>
      </c>
      <c r="AL39" s="20" t="s">
        <v>1852</v>
      </c>
      <c r="AM39" s="20" t="s">
        <v>1853</v>
      </c>
      <c r="AN39" s="20" t="s">
        <v>1854</v>
      </c>
      <c r="AO39" s="20" t="s">
        <v>1855</v>
      </c>
      <c r="AP39" s="20" t="s">
        <v>2578</v>
      </c>
      <c r="AQ39" s="20" t="s">
        <v>1813</v>
      </c>
      <c r="AR39" s="20" t="s">
        <v>1856</v>
      </c>
      <c r="AS39" s="20" t="s">
        <v>1857</v>
      </c>
      <c r="AT39" s="20" t="s">
        <v>2396</v>
      </c>
      <c r="AU39" s="20">
        <v>2008.0</v>
      </c>
      <c r="AV39" s="20">
        <v>17.0</v>
      </c>
      <c r="AW39" s="20">
        <v>5.0</v>
      </c>
      <c r="AX39" s="20" t="s">
        <v>1813</v>
      </c>
      <c r="AY39" s="20" t="s">
        <v>1813</v>
      </c>
      <c r="AZ39" s="20" t="s">
        <v>1813</v>
      </c>
      <c r="BA39" s="20" t="s">
        <v>1813</v>
      </c>
      <c r="BB39" s="20">
        <v>1251.0</v>
      </c>
      <c r="BC39" s="20">
        <v>1265.0</v>
      </c>
      <c r="BD39" s="20" t="s">
        <v>1813</v>
      </c>
      <c r="BE39" s="20" t="s">
        <v>2579</v>
      </c>
      <c r="BF39" s="22" t="str">
        <f>HYPERLINK("http://dx.doi.org/10.1007/s10531-007-9309-9","http://dx.doi.org/10.1007/s10531-007-9309-9")</f>
        <v>http://dx.doi.org/10.1007/s10531-007-9309-9</v>
      </c>
      <c r="BG39" s="20" t="s">
        <v>1813</v>
      </c>
      <c r="BH39" s="20" t="s">
        <v>1813</v>
      </c>
      <c r="BI39" s="20">
        <v>15.0</v>
      </c>
      <c r="BJ39" s="20" t="s">
        <v>1860</v>
      </c>
      <c r="BK39" s="20" t="s">
        <v>1839</v>
      </c>
      <c r="BL39" s="20" t="s">
        <v>1840</v>
      </c>
      <c r="BM39" s="20" t="s">
        <v>2580</v>
      </c>
      <c r="BN39" s="20" t="s">
        <v>1813</v>
      </c>
      <c r="BO39" s="20" t="s">
        <v>1813</v>
      </c>
      <c r="BP39" s="20" t="s">
        <v>1813</v>
      </c>
      <c r="BQ39" s="20" t="s">
        <v>1813</v>
      </c>
      <c r="BR39" s="20" t="s">
        <v>1842</v>
      </c>
      <c r="BS39" s="20" t="s">
        <v>2581</v>
      </c>
      <c r="BT39" s="20" t="str">
        <f>HYPERLINK("https%3A%2F%2Fwww.webofscience.com%2Fwos%2Fwoscc%2Ffull-record%2FWOS:000255998100018","View Full Record in Web of Science")</f>
        <v>View Full Record in Web of Science</v>
      </c>
    </row>
    <row r="40" ht="12.75" customHeight="1">
      <c r="A40" s="20" t="s">
        <v>1811</v>
      </c>
      <c r="B40" s="20" t="s">
        <v>2582</v>
      </c>
      <c r="C40" s="20" t="s">
        <v>1813</v>
      </c>
      <c r="D40" s="20" t="s">
        <v>1813</v>
      </c>
      <c r="E40" s="20" t="s">
        <v>1813</v>
      </c>
      <c r="F40" s="20" t="s">
        <v>2582</v>
      </c>
      <c r="G40" s="20" t="s">
        <v>1813</v>
      </c>
      <c r="H40" s="20" t="s">
        <v>1813</v>
      </c>
      <c r="I40" s="20" t="s">
        <v>1580</v>
      </c>
      <c r="J40" s="20" t="s">
        <v>2583</v>
      </c>
      <c r="K40" s="20" t="s">
        <v>1813</v>
      </c>
      <c r="L40" s="20" t="s">
        <v>1813</v>
      </c>
      <c r="M40" s="20" t="s">
        <v>1816</v>
      </c>
      <c r="N40" s="20" t="s">
        <v>1817</v>
      </c>
      <c r="O40" s="20" t="s">
        <v>1813</v>
      </c>
      <c r="P40" s="20" t="s">
        <v>1813</v>
      </c>
      <c r="Q40" s="20" t="s">
        <v>1813</v>
      </c>
      <c r="R40" s="20" t="s">
        <v>1813</v>
      </c>
      <c r="S40" s="20" t="s">
        <v>1813</v>
      </c>
      <c r="T40" s="20" t="s">
        <v>2584</v>
      </c>
      <c r="U40" s="20" t="s">
        <v>2585</v>
      </c>
      <c r="V40" s="20" t="s">
        <v>2586</v>
      </c>
      <c r="W40" s="20" t="s">
        <v>2587</v>
      </c>
      <c r="X40" s="20" t="s">
        <v>2588</v>
      </c>
      <c r="Y40" s="20" t="s">
        <v>2589</v>
      </c>
      <c r="Z40" s="20" t="s">
        <v>1813</v>
      </c>
      <c r="AA40" s="20" t="s">
        <v>2590</v>
      </c>
      <c r="AB40" s="20" t="s">
        <v>1813</v>
      </c>
      <c r="AC40" s="20" t="s">
        <v>1813</v>
      </c>
      <c r="AD40" s="20" t="s">
        <v>1813</v>
      </c>
      <c r="AE40" s="20" t="s">
        <v>1813</v>
      </c>
      <c r="AF40" s="20" t="s">
        <v>1813</v>
      </c>
      <c r="AG40" s="20">
        <v>56.0</v>
      </c>
      <c r="AH40" s="20">
        <v>187.0</v>
      </c>
      <c r="AI40" s="20">
        <v>223.0</v>
      </c>
      <c r="AJ40" s="20">
        <v>2.0</v>
      </c>
      <c r="AK40" s="20">
        <v>65.0</v>
      </c>
      <c r="AL40" s="20" t="s">
        <v>2591</v>
      </c>
      <c r="AM40" s="20" t="s">
        <v>2592</v>
      </c>
      <c r="AN40" s="20" t="s">
        <v>2593</v>
      </c>
      <c r="AO40" s="20" t="s">
        <v>2594</v>
      </c>
      <c r="AP40" s="20" t="s">
        <v>1813</v>
      </c>
      <c r="AQ40" s="20" t="s">
        <v>1813</v>
      </c>
      <c r="AR40" s="20" t="s">
        <v>2595</v>
      </c>
      <c r="AS40" s="20" t="s">
        <v>2596</v>
      </c>
      <c r="AT40" s="20" t="s">
        <v>2396</v>
      </c>
      <c r="AU40" s="20">
        <v>1998.0</v>
      </c>
      <c r="AV40" s="20">
        <v>67.0</v>
      </c>
      <c r="AW40" s="20">
        <v>3.0</v>
      </c>
      <c r="AX40" s="20" t="s">
        <v>1813</v>
      </c>
      <c r="AY40" s="20" t="s">
        <v>1813</v>
      </c>
      <c r="AZ40" s="20" t="s">
        <v>1813</v>
      </c>
      <c r="BA40" s="20" t="s">
        <v>1813</v>
      </c>
      <c r="BB40" s="20">
        <v>460.0</v>
      </c>
      <c r="BC40" s="20">
        <v>471.0</v>
      </c>
      <c r="BD40" s="20" t="s">
        <v>1813</v>
      </c>
      <c r="BE40" s="20" t="s">
        <v>2597</v>
      </c>
      <c r="BF40" s="22" t="str">
        <f>HYPERLINK("http://dx.doi.org/10.1046/j.1365-2656.1998.00210.x","http://dx.doi.org/10.1046/j.1365-2656.1998.00210.x")</f>
        <v>http://dx.doi.org/10.1046/j.1365-2656.1998.00210.x</v>
      </c>
      <c r="BG40" s="20" t="s">
        <v>1813</v>
      </c>
      <c r="BH40" s="20" t="s">
        <v>1813</v>
      </c>
      <c r="BI40" s="20">
        <v>12.0</v>
      </c>
      <c r="BJ40" s="20" t="s">
        <v>2598</v>
      </c>
      <c r="BK40" s="20" t="s">
        <v>1839</v>
      </c>
      <c r="BL40" s="20" t="s">
        <v>2599</v>
      </c>
      <c r="BM40" s="20" t="s">
        <v>2600</v>
      </c>
      <c r="BN40" s="20" t="s">
        <v>1813</v>
      </c>
      <c r="BO40" s="20" t="s">
        <v>1878</v>
      </c>
      <c r="BP40" s="20" t="s">
        <v>1813</v>
      </c>
      <c r="BQ40" s="20" t="s">
        <v>1813</v>
      </c>
      <c r="BR40" s="20" t="s">
        <v>1842</v>
      </c>
      <c r="BS40" s="20" t="s">
        <v>2601</v>
      </c>
      <c r="BT40" s="20" t="str">
        <f>HYPERLINK("https%3A%2F%2Fwww.webofscience.com%2Fwos%2Fwoscc%2Ffull-record%2FWOS:000074031000012","View Full Record in Web of Science")</f>
        <v>View Full Record in Web of Science</v>
      </c>
    </row>
    <row r="41" ht="12.75" customHeight="1">
      <c r="A41" s="20" t="s">
        <v>1811</v>
      </c>
      <c r="B41" s="20" t="s">
        <v>2602</v>
      </c>
      <c r="C41" s="20" t="s">
        <v>1813</v>
      </c>
      <c r="D41" s="20" t="s">
        <v>1813</v>
      </c>
      <c r="E41" s="20" t="s">
        <v>1813</v>
      </c>
      <c r="F41" s="20" t="s">
        <v>2603</v>
      </c>
      <c r="G41" s="20" t="s">
        <v>1813</v>
      </c>
      <c r="H41" s="20" t="s">
        <v>1813</v>
      </c>
      <c r="I41" s="20" t="s">
        <v>2604</v>
      </c>
      <c r="J41" s="20" t="s">
        <v>2605</v>
      </c>
      <c r="K41" s="20" t="s">
        <v>1813</v>
      </c>
      <c r="L41" s="20" t="s">
        <v>1813</v>
      </c>
      <c r="M41" s="20" t="s">
        <v>1816</v>
      </c>
      <c r="N41" s="20" t="s">
        <v>1817</v>
      </c>
      <c r="O41" s="20" t="s">
        <v>1813</v>
      </c>
      <c r="P41" s="20" t="s">
        <v>1813</v>
      </c>
      <c r="Q41" s="20" t="s">
        <v>1813</v>
      </c>
      <c r="R41" s="20" t="s">
        <v>1813</v>
      </c>
      <c r="S41" s="20" t="s">
        <v>1813</v>
      </c>
      <c r="T41" s="20" t="s">
        <v>2606</v>
      </c>
      <c r="U41" s="20" t="s">
        <v>2607</v>
      </c>
      <c r="V41" s="20" t="s">
        <v>2608</v>
      </c>
      <c r="W41" s="20" t="s">
        <v>2609</v>
      </c>
      <c r="X41" s="20" t="s">
        <v>2610</v>
      </c>
      <c r="Y41" s="20" t="s">
        <v>2611</v>
      </c>
      <c r="Z41" s="20" t="s">
        <v>2612</v>
      </c>
      <c r="AA41" s="20" t="s">
        <v>1813</v>
      </c>
      <c r="AB41" s="20" t="s">
        <v>2613</v>
      </c>
      <c r="AC41" s="20" t="s">
        <v>2614</v>
      </c>
      <c r="AD41" s="20" t="s">
        <v>2615</v>
      </c>
      <c r="AE41" s="20" t="s">
        <v>2616</v>
      </c>
      <c r="AF41" s="20" t="s">
        <v>1813</v>
      </c>
      <c r="AG41" s="20">
        <v>68.0</v>
      </c>
      <c r="AH41" s="20">
        <v>87.0</v>
      </c>
      <c r="AI41" s="20">
        <v>119.0</v>
      </c>
      <c r="AJ41" s="20">
        <v>0.0</v>
      </c>
      <c r="AK41" s="20">
        <v>85.0</v>
      </c>
      <c r="AL41" s="20" t="s">
        <v>2617</v>
      </c>
      <c r="AM41" s="20" t="s">
        <v>2618</v>
      </c>
      <c r="AN41" s="20" t="s">
        <v>2619</v>
      </c>
      <c r="AO41" s="20" t="s">
        <v>2620</v>
      </c>
      <c r="AP41" s="20" t="s">
        <v>2621</v>
      </c>
      <c r="AQ41" s="20" t="s">
        <v>1813</v>
      </c>
      <c r="AR41" s="20" t="s">
        <v>2622</v>
      </c>
      <c r="AS41" s="20" t="s">
        <v>2623</v>
      </c>
      <c r="AT41" s="20" t="s">
        <v>2527</v>
      </c>
      <c r="AU41" s="20">
        <v>2008.0</v>
      </c>
      <c r="AV41" s="20">
        <v>194.0</v>
      </c>
      <c r="AW41" s="20" t="s">
        <v>2624</v>
      </c>
      <c r="AX41" s="20" t="s">
        <v>1813</v>
      </c>
      <c r="AY41" s="20" t="s">
        <v>1813</v>
      </c>
      <c r="AZ41" s="20" t="s">
        <v>1813</v>
      </c>
      <c r="BA41" s="20" t="s">
        <v>1813</v>
      </c>
      <c r="BB41" s="20">
        <v>91.0</v>
      </c>
      <c r="BC41" s="20">
        <v>110.0</v>
      </c>
      <c r="BD41" s="20" t="s">
        <v>1813</v>
      </c>
      <c r="BE41" s="20" t="s">
        <v>2625</v>
      </c>
      <c r="BF41" s="22" t="str">
        <f>HYPERLINK("http://dx.doi.org/10.1007/s11270-008-9701-4","http://dx.doi.org/10.1007/s11270-008-9701-4")</f>
        <v>http://dx.doi.org/10.1007/s11270-008-9701-4</v>
      </c>
      <c r="BG41" s="20" t="s">
        <v>1813</v>
      </c>
      <c r="BH41" s="20" t="s">
        <v>1813</v>
      </c>
      <c r="BI41" s="20">
        <v>20.0</v>
      </c>
      <c r="BJ41" s="20" t="s">
        <v>2626</v>
      </c>
      <c r="BK41" s="20" t="s">
        <v>1839</v>
      </c>
      <c r="BL41" s="20" t="s">
        <v>2627</v>
      </c>
      <c r="BM41" s="20" t="s">
        <v>2628</v>
      </c>
      <c r="BN41" s="20" t="s">
        <v>1813</v>
      </c>
      <c r="BO41" s="20" t="s">
        <v>1813</v>
      </c>
      <c r="BP41" s="20" t="s">
        <v>1813</v>
      </c>
      <c r="BQ41" s="20" t="s">
        <v>1813</v>
      </c>
      <c r="BR41" s="20" t="s">
        <v>1842</v>
      </c>
      <c r="BS41" s="20" t="s">
        <v>2629</v>
      </c>
      <c r="BT41" s="20" t="str">
        <f>HYPERLINK("https%3A%2F%2Fwww.webofscience.com%2Fwos%2Fwoscc%2Ffull-record%2FWOS:000259143200010","View Full Record in Web of Science")</f>
        <v>View Full Record in Web of Science</v>
      </c>
    </row>
    <row r="42" ht="12.75" customHeight="1">
      <c r="A42" s="20" t="s">
        <v>1811</v>
      </c>
      <c r="B42" s="20" t="s">
        <v>2630</v>
      </c>
      <c r="C42" s="20" t="s">
        <v>1813</v>
      </c>
      <c r="D42" s="20" t="s">
        <v>1813</v>
      </c>
      <c r="E42" s="20" t="s">
        <v>1813</v>
      </c>
      <c r="F42" s="20" t="s">
        <v>2631</v>
      </c>
      <c r="G42" s="20" t="s">
        <v>1813</v>
      </c>
      <c r="H42" s="20" t="s">
        <v>1813</v>
      </c>
      <c r="I42" s="20" t="s">
        <v>2632</v>
      </c>
      <c r="J42" s="20" t="s">
        <v>2633</v>
      </c>
      <c r="K42" s="20" t="s">
        <v>1813</v>
      </c>
      <c r="L42" s="20" t="s">
        <v>1813</v>
      </c>
      <c r="M42" s="20" t="s">
        <v>1816</v>
      </c>
      <c r="N42" s="20" t="s">
        <v>1817</v>
      </c>
      <c r="O42" s="20" t="s">
        <v>1813</v>
      </c>
      <c r="P42" s="20" t="s">
        <v>1813</v>
      </c>
      <c r="Q42" s="20" t="s">
        <v>1813</v>
      </c>
      <c r="R42" s="20" t="s">
        <v>1813</v>
      </c>
      <c r="S42" s="20" t="s">
        <v>1813</v>
      </c>
      <c r="T42" s="20" t="s">
        <v>2634</v>
      </c>
      <c r="U42" s="20" t="s">
        <v>2635</v>
      </c>
      <c r="V42" s="20" t="s">
        <v>2636</v>
      </c>
      <c r="W42" s="20" t="s">
        <v>2637</v>
      </c>
      <c r="X42" s="20" t="s">
        <v>2638</v>
      </c>
      <c r="Y42" s="20" t="s">
        <v>2639</v>
      </c>
      <c r="Z42" s="20" t="s">
        <v>2640</v>
      </c>
      <c r="AA42" s="20" t="s">
        <v>1813</v>
      </c>
      <c r="AB42" s="20" t="s">
        <v>1813</v>
      </c>
      <c r="AC42" s="20" t="s">
        <v>2641</v>
      </c>
      <c r="AD42" s="20" t="s">
        <v>2642</v>
      </c>
      <c r="AE42" s="20" t="s">
        <v>2643</v>
      </c>
      <c r="AF42" s="20" t="s">
        <v>1813</v>
      </c>
      <c r="AG42" s="20">
        <v>51.0</v>
      </c>
      <c r="AH42" s="20">
        <v>101.0</v>
      </c>
      <c r="AI42" s="20">
        <v>124.0</v>
      </c>
      <c r="AJ42" s="20">
        <v>2.0</v>
      </c>
      <c r="AK42" s="20">
        <v>48.0</v>
      </c>
      <c r="AL42" s="20" t="s">
        <v>2644</v>
      </c>
      <c r="AM42" s="20" t="s">
        <v>2645</v>
      </c>
      <c r="AN42" s="20" t="s">
        <v>2646</v>
      </c>
      <c r="AO42" s="20" t="s">
        <v>2647</v>
      </c>
      <c r="AP42" s="20" t="s">
        <v>2648</v>
      </c>
      <c r="AQ42" s="20" t="s">
        <v>1813</v>
      </c>
      <c r="AR42" s="20" t="s">
        <v>2649</v>
      </c>
      <c r="AS42" s="20" t="s">
        <v>2650</v>
      </c>
      <c r="AT42" s="20" t="s">
        <v>2651</v>
      </c>
      <c r="AU42" s="20">
        <v>2008.0</v>
      </c>
      <c r="AV42" s="20">
        <v>61.0</v>
      </c>
      <c r="AW42" s="20">
        <v>6.0</v>
      </c>
      <c r="AX42" s="20" t="s">
        <v>1813</v>
      </c>
      <c r="AY42" s="20" t="s">
        <v>1813</v>
      </c>
      <c r="AZ42" s="20" t="s">
        <v>1813</v>
      </c>
      <c r="BA42" s="20" t="s">
        <v>1813</v>
      </c>
      <c r="BB42" s="20">
        <v>623.0</v>
      </c>
      <c r="BC42" s="20">
        <v>629.0</v>
      </c>
      <c r="BD42" s="20" t="s">
        <v>1813</v>
      </c>
      <c r="BE42" s="20" t="s">
        <v>2652</v>
      </c>
      <c r="BF42" s="22" t="str">
        <f>HYPERLINK("http://dx.doi.org/10.2111/08-005.1","http://dx.doi.org/10.2111/08-005.1")</f>
        <v>http://dx.doi.org/10.2111/08-005.1</v>
      </c>
      <c r="BG42" s="20" t="s">
        <v>1813</v>
      </c>
      <c r="BH42" s="20" t="s">
        <v>1813</v>
      </c>
      <c r="BI42" s="20">
        <v>7.0</v>
      </c>
      <c r="BJ42" s="20" t="s">
        <v>2653</v>
      </c>
      <c r="BK42" s="20" t="s">
        <v>1839</v>
      </c>
      <c r="BL42" s="20" t="s">
        <v>1900</v>
      </c>
      <c r="BM42" s="20" t="s">
        <v>2654</v>
      </c>
      <c r="BN42" s="20" t="s">
        <v>1813</v>
      </c>
      <c r="BO42" s="20" t="s">
        <v>2267</v>
      </c>
      <c r="BP42" s="20" t="s">
        <v>1813</v>
      </c>
      <c r="BQ42" s="20" t="s">
        <v>1813</v>
      </c>
      <c r="BR42" s="20" t="s">
        <v>1842</v>
      </c>
      <c r="BS42" s="20" t="s">
        <v>2655</v>
      </c>
      <c r="BT42" s="20" t="str">
        <f>HYPERLINK("https%3A%2F%2Fwww.webofscience.com%2Fwos%2Fwoscc%2Ffull-record%2FWOS:000261067700007","View Full Record in Web of Science")</f>
        <v>View Full Record in Web of Science</v>
      </c>
    </row>
    <row r="43" ht="12.75" customHeight="1">
      <c r="A43" s="20" t="s">
        <v>1811</v>
      </c>
      <c r="B43" s="20" t="s">
        <v>2656</v>
      </c>
      <c r="C43" s="20" t="s">
        <v>1813</v>
      </c>
      <c r="D43" s="20" t="s">
        <v>1813</v>
      </c>
      <c r="E43" s="20" t="s">
        <v>1813</v>
      </c>
      <c r="F43" s="20" t="s">
        <v>2657</v>
      </c>
      <c r="G43" s="20" t="s">
        <v>1813</v>
      </c>
      <c r="H43" s="20" t="s">
        <v>1813</v>
      </c>
      <c r="I43" s="20" t="s">
        <v>2658</v>
      </c>
      <c r="J43" s="20" t="s">
        <v>2659</v>
      </c>
      <c r="K43" s="20" t="s">
        <v>1813</v>
      </c>
      <c r="L43" s="20" t="s">
        <v>1813</v>
      </c>
      <c r="M43" s="20" t="s">
        <v>1816</v>
      </c>
      <c r="N43" s="20" t="s">
        <v>1817</v>
      </c>
      <c r="O43" s="20" t="s">
        <v>1813</v>
      </c>
      <c r="P43" s="20" t="s">
        <v>1813</v>
      </c>
      <c r="Q43" s="20" t="s">
        <v>1813</v>
      </c>
      <c r="R43" s="20" t="s">
        <v>1813</v>
      </c>
      <c r="S43" s="20" t="s">
        <v>1813</v>
      </c>
      <c r="T43" s="20" t="s">
        <v>2660</v>
      </c>
      <c r="U43" s="20" t="s">
        <v>2661</v>
      </c>
      <c r="V43" s="20" t="s">
        <v>2662</v>
      </c>
      <c r="W43" s="20" t="s">
        <v>2663</v>
      </c>
      <c r="X43" s="20" t="s">
        <v>2664</v>
      </c>
      <c r="Y43" s="20" t="s">
        <v>2665</v>
      </c>
      <c r="Z43" s="20" t="s">
        <v>2666</v>
      </c>
      <c r="AA43" s="20" t="s">
        <v>2667</v>
      </c>
      <c r="AB43" s="20" t="s">
        <v>2668</v>
      </c>
      <c r="AC43" s="20" t="s">
        <v>2669</v>
      </c>
      <c r="AD43" s="20" t="s">
        <v>2669</v>
      </c>
      <c r="AE43" s="20" t="s">
        <v>2670</v>
      </c>
      <c r="AF43" s="20" t="s">
        <v>1813</v>
      </c>
      <c r="AG43" s="20">
        <v>67.0</v>
      </c>
      <c r="AH43" s="20">
        <v>66.0</v>
      </c>
      <c r="AI43" s="20">
        <v>85.0</v>
      </c>
      <c r="AJ43" s="20">
        <v>1.0</v>
      </c>
      <c r="AK43" s="20">
        <v>107.0</v>
      </c>
      <c r="AL43" s="20" t="s">
        <v>2002</v>
      </c>
      <c r="AM43" s="20" t="s">
        <v>2003</v>
      </c>
      <c r="AN43" s="20" t="s">
        <v>2004</v>
      </c>
      <c r="AO43" s="20" t="s">
        <v>2671</v>
      </c>
      <c r="AP43" s="20" t="s">
        <v>2672</v>
      </c>
      <c r="AQ43" s="20" t="s">
        <v>1813</v>
      </c>
      <c r="AR43" s="20" t="s">
        <v>2659</v>
      </c>
      <c r="AS43" s="20" t="s">
        <v>2673</v>
      </c>
      <c r="AT43" s="20" t="s">
        <v>2009</v>
      </c>
      <c r="AU43" s="20">
        <v>2010.0</v>
      </c>
      <c r="AV43" s="20">
        <v>299.0</v>
      </c>
      <c r="AW43" s="20" t="s">
        <v>2624</v>
      </c>
      <c r="AX43" s="20" t="s">
        <v>1813</v>
      </c>
      <c r="AY43" s="20" t="s">
        <v>1813</v>
      </c>
      <c r="AZ43" s="20" t="s">
        <v>1813</v>
      </c>
      <c r="BA43" s="20" t="s">
        <v>1813</v>
      </c>
      <c r="BB43" s="20">
        <v>81.0</v>
      </c>
      <c r="BC43" s="20">
        <v>88.0</v>
      </c>
      <c r="BD43" s="20" t="s">
        <v>1813</v>
      </c>
      <c r="BE43" s="20" t="s">
        <v>2674</v>
      </c>
      <c r="BF43" s="22" t="str">
        <f>HYPERLINK("http://dx.doi.org/10.1016/j.aquaculture.2009.11.022","http://dx.doi.org/10.1016/j.aquaculture.2009.11.022")</f>
        <v>http://dx.doi.org/10.1016/j.aquaculture.2009.11.022</v>
      </c>
      <c r="BG43" s="20" t="s">
        <v>1813</v>
      </c>
      <c r="BH43" s="20" t="s">
        <v>1813</v>
      </c>
      <c r="BI43" s="20">
        <v>8.0</v>
      </c>
      <c r="BJ43" s="20" t="s">
        <v>2675</v>
      </c>
      <c r="BK43" s="20" t="s">
        <v>1839</v>
      </c>
      <c r="BL43" s="20" t="s">
        <v>2675</v>
      </c>
      <c r="BM43" s="20" t="s">
        <v>2676</v>
      </c>
      <c r="BN43" s="20" t="s">
        <v>1813</v>
      </c>
      <c r="BO43" s="20" t="s">
        <v>1813</v>
      </c>
      <c r="BP43" s="20" t="s">
        <v>1813</v>
      </c>
      <c r="BQ43" s="20" t="s">
        <v>1813</v>
      </c>
      <c r="BR43" s="20" t="s">
        <v>1842</v>
      </c>
      <c r="BS43" s="20" t="s">
        <v>2677</v>
      </c>
      <c r="BT43" s="20" t="str">
        <f>HYPERLINK("https%3A%2F%2Fwww.webofscience.com%2Fwos%2Fwoscc%2Ffull-record%2FWOS:000275033500012","View Full Record in Web of Science")</f>
        <v>View Full Record in Web of Science</v>
      </c>
    </row>
    <row r="44" ht="12.75" customHeight="1">
      <c r="A44" s="20" t="s">
        <v>1811</v>
      </c>
      <c r="B44" s="20" t="s">
        <v>2678</v>
      </c>
      <c r="C44" s="20" t="s">
        <v>1813</v>
      </c>
      <c r="D44" s="20" t="s">
        <v>1813</v>
      </c>
      <c r="E44" s="20" t="s">
        <v>1813</v>
      </c>
      <c r="F44" s="20" t="s">
        <v>2679</v>
      </c>
      <c r="G44" s="20" t="s">
        <v>1813</v>
      </c>
      <c r="H44" s="20" t="s">
        <v>1813</v>
      </c>
      <c r="I44" s="20" t="s">
        <v>1280</v>
      </c>
      <c r="J44" s="20" t="s">
        <v>2680</v>
      </c>
      <c r="K44" s="20" t="s">
        <v>1813</v>
      </c>
      <c r="L44" s="20" t="s">
        <v>1813</v>
      </c>
      <c r="M44" s="20" t="s">
        <v>1816</v>
      </c>
      <c r="N44" s="20" t="s">
        <v>1817</v>
      </c>
      <c r="O44" s="20" t="s">
        <v>1813</v>
      </c>
      <c r="P44" s="20" t="s">
        <v>1813</v>
      </c>
      <c r="Q44" s="20" t="s">
        <v>1813</v>
      </c>
      <c r="R44" s="20" t="s">
        <v>1813</v>
      </c>
      <c r="S44" s="20" t="s">
        <v>1813</v>
      </c>
      <c r="T44" s="20" t="s">
        <v>2681</v>
      </c>
      <c r="U44" s="20" t="s">
        <v>2682</v>
      </c>
      <c r="V44" s="20" t="s">
        <v>2683</v>
      </c>
      <c r="W44" s="20" t="s">
        <v>2684</v>
      </c>
      <c r="X44" s="20" t="s">
        <v>2685</v>
      </c>
      <c r="Y44" s="20" t="s">
        <v>2686</v>
      </c>
      <c r="Z44" s="20" t="s">
        <v>2687</v>
      </c>
      <c r="AA44" s="20" t="s">
        <v>1813</v>
      </c>
      <c r="AB44" s="20" t="s">
        <v>2688</v>
      </c>
      <c r="AC44" s="20" t="s">
        <v>1813</v>
      </c>
      <c r="AD44" s="20" t="s">
        <v>1813</v>
      </c>
      <c r="AE44" s="20" t="s">
        <v>1813</v>
      </c>
      <c r="AF44" s="20" t="s">
        <v>1813</v>
      </c>
      <c r="AG44" s="20">
        <v>50.0</v>
      </c>
      <c r="AH44" s="20">
        <v>52.0</v>
      </c>
      <c r="AI44" s="20">
        <v>59.0</v>
      </c>
      <c r="AJ44" s="20">
        <v>1.0</v>
      </c>
      <c r="AK44" s="20">
        <v>49.0</v>
      </c>
      <c r="AL44" s="20" t="s">
        <v>2689</v>
      </c>
      <c r="AM44" s="20" t="s">
        <v>1959</v>
      </c>
      <c r="AN44" s="20" t="s">
        <v>2690</v>
      </c>
      <c r="AO44" s="20" t="s">
        <v>2691</v>
      </c>
      <c r="AP44" s="20" t="s">
        <v>1813</v>
      </c>
      <c r="AQ44" s="20" t="s">
        <v>1813</v>
      </c>
      <c r="AR44" s="20" t="s">
        <v>2692</v>
      </c>
      <c r="AS44" s="20" t="s">
        <v>2693</v>
      </c>
      <c r="AT44" s="20" t="s">
        <v>1939</v>
      </c>
      <c r="AU44" s="20">
        <v>2008.0</v>
      </c>
      <c r="AV44" s="20">
        <v>18.0</v>
      </c>
      <c r="AW44" s="20">
        <v>4.0</v>
      </c>
      <c r="AX44" s="20" t="s">
        <v>1813</v>
      </c>
      <c r="AY44" s="20" t="s">
        <v>1813</v>
      </c>
      <c r="AZ44" s="20" t="s">
        <v>1813</v>
      </c>
      <c r="BA44" s="20" t="s">
        <v>1813</v>
      </c>
      <c r="BB44" s="20">
        <v>847.0</v>
      </c>
      <c r="BC44" s="20">
        <v>858.0</v>
      </c>
      <c r="BD44" s="20" t="s">
        <v>1813</v>
      </c>
      <c r="BE44" s="20" t="s">
        <v>2694</v>
      </c>
      <c r="BF44" s="22" t="str">
        <f>HYPERLINK("http://dx.doi.org/10.1890/07-1295.1","http://dx.doi.org/10.1890/07-1295.1")</f>
        <v>http://dx.doi.org/10.1890/07-1295.1</v>
      </c>
      <c r="BG44" s="20" t="s">
        <v>1813</v>
      </c>
      <c r="BH44" s="20" t="s">
        <v>1813</v>
      </c>
      <c r="BI44" s="20">
        <v>12.0</v>
      </c>
      <c r="BJ44" s="20" t="s">
        <v>2653</v>
      </c>
      <c r="BK44" s="20" t="s">
        <v>1839</v>
      </c>
      <c r="BL44" s="20" t="s">
        <v>1900</v>
      </c>
      <c r="BM44" s="20" t="s">
        <v>2695</v>
      </c>
      <c r="BN44" s="20">
        <v>1.8536247E7</v>
      </c>
      <c r="BO44" s="20" t="s">
        <v>1813</v>
      </c>
      <c r="BP44" s="20" t="s">
        <v>1813</v>
      </c>
      <c r="BQ44" s="20" t="s">
        <v>1813</v>
      </c>
      <c r="BR44" s="20" t="s">
        <v>1842</v>
      </c>
      <c r="BS44" s="20" t="s">
        <v>2696</v>
      </c>
      <c r="BT44" s="20" t="str">
        <f>HYPERLINK("https%3A%2F%2Fwww.webofscience.com%2Fwos%2Fwoscc%2Ffull-record%2FWOS:000256243200004","View Full Record in Web of Science")</f>
        <v>View Full Record in Web of Science</v>
      </c>
    </row>
    <row r="45" ht="12.75" customHeight="1">
      <c r="A45" s="20" t="s">
        <v>1811</v>
      </c>
      <c r="B45" s="20" t="s">
        <v>2697</v>
      </c>
      <c r="C45" s="20" t="s">
        <v>1813</v>
      </c>
      <c r="D45" s="20" t="s">
        <v>1813</v>
      </c>
      <c r="E45" s="20" t="s">
        <v>1813</v>
      </c>
      <c r="F45" s="20" t="s">
        <v>2698</v>
      </c>
      <c r="G45" s="20" t="s">
        <v>1813</v>
      </c>
      <c r="H45" s="20" t="s">
        <v>1813</v>
      </c>
      <c r="I45" s="20" t="s">
        <v>1467</v>
      </c>
      <c r="J45" s="20" t="s">
        <v>1815</v>
      </c>
      <c r="K45" s="20" t="s">
        <v>1813</v>
      </c>
      <c r="L45" s="20" t="s">
        <v>1813</v>
      </c>
      <c r="M45" s="20" t="s">
        <v>1816</v>
      </c>
      <c r="N45" s="20" t="s">
        <v>1817</v>
      </c>
      <c r="O45" s="20" t="s">
        <v>1813</v>
      </c>
      <c r="P45" s="20" t="s">
        <v>1813</v>
      </c>
      <c r="Q45" s="20" t="s">
        <v>1813</v>
      </c>
      <c r="R45" s="20" t="s">
        <v>1813</v>
      </c>
      <c r="S45" s="20" t="s">
        <v>1813</v>
      </c>
      <c r="T45" s="20" t="s">
        <v>2699</v>
      </c>
      <c r="U45" s="20" t="s">
        <v>2700</v>
      </c>
      <c r="V45" s="20" t="s">
        <v>2701</v>
      </c>
      <c r="W45" s="20" t="s">
        <v>2702</v>
      </c>
      <c r="X45" s="20" t="s">
        <v>2703</v>
      </c>
      <c r="Y45" s="20" t="s">
        <v>2704</v>
      </c>
      <c r="Z45" s="20" t="s">
        <v>2705</v>
      </c>
      <c r="AA45" s="20" t="s">
        <v>2706</v>
      </c>
      <c r="AB45" s="20" t="s">
        <v>2707</v>
      </c>
      <c r="AC45" s="20" t="s">
        <v>1813</v>
      </c>
      <c r="AD45" s="20" t="s">
        <v>1813</v>
      </c>
      <c r="AE45" s="20" t="s">
        <v>1813</v>
      </c>
      <c r="AF45" s="20" t="s">
        <v>1813</v>
      </c>
      <c r="AG45" s="20">
        <v>68.0</v>
      </c>
      <c r="AH45" s="20">
        <v>42.0</v>
      </c>
      <c r="AI45" s="20">
        <v>49.0</v>
      </c>
      <c r="AJ45" s="20">
        <v>0.0</v>
      </c>
      <c r="AK45" s="20">
        <v>35.0</v>
      </c>
      <c r="AL45" s="20" t="s">
        <v>1829</v>
      </c>
      <c r="AM45" s="20" t="s">
        <v>1830</v>
      </c>
      <c r="AN45" s="20" t="s">
        <v>1831</v>
      </c>
      <c r="AO45" s="20" t="s">
        <v>1832</v>
      </c>
      <c r="AP45" s="20" t="s">
        <v>1833</v>
      </c>
      <c r="AQ45" s="20" t="s">
        <v>1813</v>
      </c>
      <c r="AR45" s="20" t="s">
        <v>1834</v>
      </c>
      <c r="AS45" s="20" t="s">
        <v>1835</v>
      </c>
      <c r="AT45" s="20" t="s">
        <v>1836</v>
      </c>
      <c r="AU45" s="20">
        <v>2008.0</v>
      </c>
      <c r="AV45" s="20">
        <v>14.0</v>
      </c>
      <c r="AW45" s="20">
        <v>5.0</v>
      </c>
      <c r="AX45" s="20" t="s">
        <v>1813</v>
      </c>
      <c r="AY45" s="20" t="s">
        <v>1813</v>
      </c>
      <c r="AZ45" s="20" t="s">
        <v>1813</v>
      </c>
      <c r="BA45" s="20" t="s">
        <v>1813</v>
      </c>
      <c r="BB45" s="20">
        <v>829.0</v>
      </c>
      <c r="BC45" s="20">
        <v>838.0</v>
      </c>
      <c r="BD45" s="20" t="s">
        <v>1813</v>
      </c>
      <c r="BE45" s="20" t="s">
        <v>2708</v>
      </c>
      <c r="BF45" s="22" t="str">
        <f>HYPERLINK("http://dx.doi.org/10.1111/j.1472-4642.2008.00493.x","http://dx.doi.org/10.1111/j.1472-4642.2008.00493.x")</f>
        <v>http://dx.doi.org/10.1111/j.1472-4642.2008.00493.x</v>
      </c>
      <c r="BG45" s="20" t="s">
        <v>1813</v>
      </c>
      <c r="BH45" s="20" t="s">
        <v>1813</v>
      </c>
      <c r="BI45" s="20">
        <v>10.0</v>
      </c>
      <c r="BJ45" s="20" t="s">
        <v>1838</v>
      </c>
      <c r="BK45" s="20" t="s">
        <v>1839</v>
      </c>
      <c r="BL45" s="20" t="s">
        <v>1840</v>
      </c>
      <c r="BM45" s="20" t="s">
        <v>2709</v>
      </c>
      <c r="BN45" s="20" t="s">
        <v>1813</v>
      </c>
      <c r="BO45" s="20" t="s">
        <v>1813</v>
      </c>
      <c r="BP45" s="20" t="s">
        <v>1813</v>
      </c>
      <c r="BQ45" s="20" t="s">
        <v>1813</v>
      </c>
      <c r="BR45" s="20" t="s">
        <v>1842</v>
      </c>
      <c r="BS45" s="20" t="s">
        <v>2710</v>
      </c>
      <c r="BT45" s="20" t="str">
        <f>HYPERLINK("https%3A%2F%2Fwww.webofscience.com%2Fwos%2Fwoscc%2Ffull-record%2FWOS:000258376800011","View Full Record in Web of Science")</f>
        <v>View Full Record in Web of Science</v>
      </c>
    </row>
    <row r="46" ht="12.75" customHeight="1">
      <c r="A46" s="20" t="s">
        <v>1811</v>
      </c>
      <c r="B46" s="20" t="s">
        <v>2711</v>
      </c>
      <c r="C46" s="20" t="s">
        <v>1813</v>
      </c>
      <c r="D46" s="20" t="s">
        <v>1813</v>
      </c>
      <c r="E46" s="20" t="s">
        <v>1813</v>
      </c>
      <c r="F46" s="20" t="s">
        <v>2712</v>
      </c>
      <c r="G46" s="20" t="s">
        <v>1813</v>
      </c>
      <c r="H46" s="20" t="s">
        <v>1813</v>
      </c>
      <c r="I46" s="20" t="s">
        <v>1574</v>
      </c>
      <c r="J46" s="20" t="s">
        <v>2335</v>
      </c>
      <c r="K46" s="20" t="s">
        <v>1813</v>
      </c>
      <c r="L46" s="20" t="s">
        <v>1813</v>
      </c>
      <c r="M46" s="20" t="s">
        <v>1816</v>
      </c>
      <c r="N46" s="20" t="s">
        <v>1817</v>
      </c>
      <c r="O46" s="20" t="s">
        <v>1813</v>
      </c>
      <c r="P46" s="20" t="s">
        <v>1813</v>
      </c>
      <c r="Q46" s="20" t="s">
        <v>1813</v>
      </c>
      <c r="R46" s="20" t="s">
        <v>1813</v>
      </c>
      <c r="S46" s="20" t="s">
        <v>1813</v>
      </c>
      <c r="T46" s="20" t="s">
        <v>2713</v>
      </c>
      <c r="U46" s="20" t="s">
        <v>2714</v>
      </c>
      <c r="V46" s="20" t="s">
        <v>2715</v>
      </c>
      <c r="W46" s="20" t="s">
        <v>2716</v>
      </c>
      <c r="X46" s="20" t="s">
        <v>2717</v>
      </c>
      <c r="Y46" s="20" t="s">
        <v>2718</v>
      </c>
      <c r="Z46" s="20" t="s">
        <v>2719</v>
      </c>
      <c r="AA46" s="20" t="s">
        <v>2720</v>
      </c>
      <c r="AB46" s="20" t="s">
        <v>2721</v>
      </c>
      <c r="AC46" s="20" t="s">
        <v>2722</v>
      </c>
      <c r="AD46" s="20" t="s">
        <v>2722</v>
      </c>
      <c r="AE46" s="20" t="s">
        <v>2723</v>
      </c>
      <c r="AF46" s="20" t="s">
        <v>1813</v>
      </c>
      <c r="AG46" s="20">
        <v>82.0</v>
      </c>
      <c r="AH46" s="20">
        <v>46.0</v>
      </c>
      <c r="AI46" s="20">
        <v>63.0</v>
      </c>
      <c r="AJ46" s="20">
        <v>1.0</v>
      </c>
      <c r="AK46" s="20">
        <v>49.0</v>
      </c>
      <c r="AL46" s="20" t="s">
        <v>2343</v>
      </c>
      <c r="AM46" s="20" t="s">
        <v>2344</v>
      </c>
      <c r="AN46" s="20" t="s">
        <v>2345</v>
      </c>
      <c r="AO46" s="20" t="s">
        <v>2346</v>
      </c>
      <c r="AP46" s="20" t="s">
        <v>2347</v>
      </c>
      <c r="AQ46" s="20" t="s">
        <v>1813</v>
      </c>
      <c r="AR46" s="20" t="s">
        <v>2348</v>
      </c>
      <c r="AS46" s="20" t="s">
        <v>2349</v>
      </c>
      <c r="AT46" s="20" t="s">
        <v>1813</v>
      </c>
      <c r="AU46" s="20">
        <v>2010.0</v>
      </c>
      <c r="AV46" s="20">
        <v>400.0</v>
      </c>
      <c r="AW46" s="20" t="s">
        <v>1813</v>
      </c>
      <c r="AX46" s="20" t="s">
        <v>1813</v>
      </c>
      <c r="AY46" s="20" t="s">
        <v>1813</v>
      </c>
      <c r="AZ46" s="20" t="s">
        <v>1813</v>
      </c>
      <c r="BA46" s="20" t="s">
        <v>1813</v>
      </c>
      <c r="BB46" s="20">
        <v>87.0</v>
      </c>
      <c r="BC46" s="20">
        <v>100.0</v>
      </c>
      <c r="BD46" s="20" t="s">
        <v>1813</v>
      </c>
      <c r="BE46" s="20" t="s">
        <v>2724</v>
      </c>
      <c r="BF46" s="22" t="str">
        <f>HYPERLINK("http://dx.doi.org/10.3354/meps08391","http://dx.doi.org/10.3354/meps08391")</f>
        <v>http://dx.doi.org/10.3354/meps08391</v>
      </c>
      <c r="BG46" s="20" t="s">
        <v>1813</v>
      </c>
      <c r="BH46" s="20" t="s">
        <v>1813</v>
      </c>
      <c r="BI46" s="20">
        <v>14.0</v>
      </c>
      <c r="BJ46" s="20" t="s">
        <v>2351</v>
      </c>
      <c r="BK46" s="20" t="s">
        <v>1839</v>
      </c>
      <c r="BL46" s="20" t="s">
        <v>2352</v>
      </c>
      <c r="BM46" s="20" t="s">
        <v>2725</v>
      </c>
      <c r="BN46" s="20" t="s">
        <v>1813</v>
      </c>
      <c r="BO46" s="20" t="s">
        <v>1969</v>
      </c>
      <c r="BP46" s="20" t="s">
        <v>1813</v>
      </c>
      <c r="BQ46" s="20" t="s">
        <v>1813</v>
      </c>
      <c r="BR46" s="20" t="s">
        <v>1842</v>
      </c>
      <c r="BS46" s="20" t="s">
        <v>2726</v>
      </c>
      <c r="BT46" s="20" t="str">
        <f>HYPERLINK("https%3A%2F%2Fwww.webofscience.com%2Fwos%2Fwoscc%2Ffull-record%2FWOS:000275528300008","View Full Record in Web of Science")</f>
        <v>View Full Record in Web of Science</v>
      </c>
    </row>
    <row r="47" ht="12.75" customHeight="1">
      <c r="A47" s="20" t="s">
        <v>1811</v>
      </c>
      <c r="B47" s="20" t="s">
        <v>2727</v>
      </c>
      <c r="C47" s="20" t="s">
        <v>1813</v>
      </c>
      <c r="D47" s="20" t="s">
        <v>1813</v>
      </c>
      <c r="E47" s="20" t="s">
        <v>1813</v>
      </c>
      <c r="F47" s="20" t="s">
        <v>2728</v>
      </c>
      <c r="G47" s="20" t="s">
        <v>1813</v>
      </c>
      <c r="H47" s="20" t="s">
        <v>1813</v>
      </c>
      <c r="I47" s="20" t="s">
        <v>2729</v>
      </c>
      <c r="J47" s="20" t="s">
        <v>2335</v>
      </c>
      <c r="K47" s="20" t="s">
        <v>1813</v>
      </c>
      <c r="L47" s="20" t="s">
        <v>1813</v>
      </c>
      <c r="M47" s="20" t="s">
        <v>1816</v>
      </c>
      <c r="N47" s="20" t="s">
        <v>1817</v>
      </c>
      <c r="O47" s="20" t="s">
        <v>1813</v>
      </c>
      <c r="P47" s="20" t="s">
        <v>1813</v>
      </c>
      <c r="Q47" s="20" t="s">
        <v>1813</v>
      </c>
      <c r="R47" s="20" t="s">
        <v>1813</v>
      </c>
      <c r="S47" s="20" t="s">
        <v>1813</v>
      </c>
      <c r="T47" s="20" t="s">
        <v>2730</v>
      </c>
      <c r="U47" s="20" t="s">
        <v>2731</v>
      </c>
      <c r="V47" s="20" t="s">
        <v>2732</v>
      </c>
      <c r="W47" s="20" t="s">
        <v>2733</v>
      </c>
      <c r="X47" s="20" t="s">
        <v>2734</v>
      </c>
      <c r="Y47" s="20" t="s">
        <v>2735</v>
      </c>
      <c r="Z47" s="20" t="s">
        <v>2736</v>
      </c>
      <c r="AA47" s="20" t="s">
        <v>2737</v>
      </c>
      <c r="AB47" s="20" t="s">
        <v>2738</v>
      </c>
      <c r="AC47" s="20" t="s">
        <v>2739</v>
      </c>
      <c r="AD47" s="20" t="s">
        <v>2740</v>
      </c>
      <c r="AE47" s="20" t="s">
        <v>2741</v>
      </c>
      <c r="AF47" s="20" t="s">
        <v>1813</v>
      </c>
      <c r="AG47" s="20">
        <v>56.0</v>
      </c>
      <c r="AH47" s="20">
        <v>31.0</v>
      </c>
      <c r="AI47" s="20">
        <v>37.0</v>
      </c>
      <c r="AJ47" s="20">
        <v>0.0</v>
      </c>
      <c r="AK47" s="20">
        <v>49.0</v>
      </c>
      <c r="AL47" s="20" t="s">
        <v>2343</v>
      </c>
      <c r="AM47" s="20" t="s">
        <v>2344</v>
      </c>
      <c r="AN47" s="20" t="s">
        <v>2345</v>
      </c>
      <c r="AO47" s="20" t="s">
        <v>2346</v>
      </c>
      <c r="AP47" s="20" t="s">
        <v>2347</v>
      </c>
      <c r="AQ47" s="20" t="s">
        <v>1813</v>
      </c>
      <c r="AR47" s="20" t="s">
        <v>2348</v>
      </c>
      <c r="AS47" s="20" t="s">
        <v>2349</v>
      </c>
      <c r="AT47" s="20" t="s">
        <v>1813</v>
      </c>
      <c r="AU47" s="20">
        <v>2011.0</v>
      </c>
      <c r="AV47" s="20">
        <v>424.0</v>
      </c>
      <c r="AW47" s="20" t="s">
        <v>1813</v>
      </c>
      <c r="AX47" s="20" t="s">
        <v>1813</v>
      </c>
      <c r="AY47" s="20" t="s">
        <v>1813</v>
      </c>
      <c r="AZ47" s="20" t="s">
        <v>1813</v>
      </c>
      <c r="BA47" s="20" t="s">
        <v>1813</v>
      </c>
      <c r="BB47" s="20">
        <v>105.0</v>
      </c>
      <c r="BC47" s="20">
        <v>117.0</v>
      </c>
      <c r="BD47" s="20" t="s">
        <v>1813</v>
      </c>
      <c r="BE47" s="20" t="s">
        <v>2742</v>
      </c>
      <c r="BF47" s="22" t="str">
        <f>HYPERLINK("http://dx.doi.org/10.3354/meps08961","http://dx.doi.org/10.3354/meps08961")</f>
        <v>http://dx.doi.org/10.3354/meps08961</v>
      </c>
      <c r="BG47" s="20" t="s">
        <v>1813</v>
      </c>
      <c r="BH47" s="20" t="s">
        <v>1813</v>
      </c>
      <c r="BI47" s="20">
        <v>13.0</v>
      </c>
      <c r="BJ47" s="20" t="s">
        <v>2351</v>
      </c>
      <c r="BK47" s="20" t="s">
        <v>1839</v>
      </c>
      <c r="BL47" s="20" t="s">
        <v>2352</v>
      </c>
      <c r="BM47" s="20" t="s">
        <v>2743</v>
      </c>
      <c r="BN47" s="20" t="s">
        <v>1813</v>
      </c>
      <c r="BO47" s="20" t="s">
        <v>1878</v>
      </c>
      <c r="BP47" s="20" t="s">
        <v>1813</v>
      </c>
      <c r="BQ47" s="20" t="s">
        <v>1813</v>
      </c>
      <c r="BR47" s="20" t="s">
        <v>1842</v>
      </c>
      <c r="BS47" s="20" t="s">
        <v>2744</v>
      </c>
      <c r="BT47" s="20" t="str">
        <f>HYPERLINK("https%3A%2F%2Fwww.webofscience.com%2Fwos%2Fwoscc%2Ffull-record%2FWOS:000287966400009","View Full Record in Web of Science")</f>
        <v>View Full Record in Web of Science</v>
      </c>
    </row>
    <row r="48" ht="12.75" customHeight="1">
      <c r="A48" s="20" t="s">
        <v>1811</v>
      </c>
      <c r="B48" s="20" t="s">
        <v>2745</v>
      </c>
      <c r="C48" s="20" t="s">
        <v>1813</v>
      </c>
      <c r="D48" s="20" t="s">
        <v>1813</v>
      </c>
      <c r="E48" s="20" t="s">
        <v>1813</v>
      </c>
      <c r="F48" s="20" t="s">
        <v>2745</v>
      </c>
      <c r="G48" s="20" t="s">
        <v>1813</v>
      </c>
      <c r="H48" s="20" t="s">
        <v>1813</v>
      </c>
      <c r="I48" s="20" t="s">
        <v>2746</v>
      </c>
      <c r="J48" s="20" t="s">
        <v>2680</v>
      </c>
      <c r="K48" s="20" t="s">
        <v>1813</v>
      </c>
      <c r="L48" s="20" t="s">
        <v>1813</v>
      </c>
      <c r="M48" s="20" t="s">
        <v>1816</v>
      </c>
      <c r="N48" s="20" t="s">
        <v>1817</v>
      </c>
      <c r="O48" s="20" t="s">
        <v>1813</v>
      </c>
      <c r="P48" s="20" t="s">
        <v>1813</v>
      </c>
      <c r="Q48" s="20" t="s">
        <v>1813</v>
      </c>
      <c r="R48" s="20" t="s">
        <v>1813</v>
      </c>
      <c r="S48" s="20" t="s">
        <v>1813</v>
      </c>
      <c r="T48" s="20" t="s">
        <v>2747</v>
      </c>
      <c r="U48" s="20" t="s">
        <v>2748</v>
      </c>
      <c r="V48" s="20" t="s">
        <v>2749</v>
      </c>
      <c r="W48" s="20" t="s">
        <v>2750</v>
      </c>
      <c r="X48" s="20" t="s">
        <v>2751</v>
      </c>
      <c r="Y48" s="20" t="s">
        <v>2752</v>
      </c>
      <c r="Z48" s="20" t="s">
        <v>1813</v>
      </c>
      <c r="AA48" s="20" t="s">
        <v>1813</v>
      </c>
      <c r="AB48" s="20" t="s">
        <v>1813</v>
      </c>
      <c r="AC48" s="20" t="s">
        <v>1813</v>
      </c>
      <c r="AD48" s="20" t="s">
        <v>1813</v>
      </c>
      <c r="AE48" s="20" t="s">
        <v>1813</v>
      </c>
      <c r="AF48" s="20" t="s">
        <v>1813</v>
      </c>
      <c r="AG48" s="20">
        <v>51.0</v>
      </c>
      <c r="AH48" s="20">
        <v>136.0</v>
      </c>
      <c r="AI48" s="20">
        <v>158.0</v>
      </c>
      <c r="AJ48" s="20">
        <v>4.0</v>
      </c>
      <c r="AK48" s="20">
        <v>108.0</v>
      </c>
      <c r="AL48" s="20" t="s">
        <v>2689</v>
      </c>
      <c r="AM48" s="20" t="s">
        <v>1959</v>
      </c>
      <c r="AN48" s="20" t="s">
        <v>2690</v>
      </c>
      <c r="AO48" s="20" t="s">
        <v>2691</v>
      </c>
      <c r="AP48" s="20" t="s">
        <v>1813</v>
      </c>
      <c r="AQ48" s="20" t="s">
        <v>1813</v>
      </c>
      <c r="AR48" s="20" t="s">
        <v>2692</v>
      </c>
      <c r="AS48" s="20" t="s">
        <v>2693</v>
      </c>
      <c r="AT48" s="20" t="s">
        <v>2527</v>
      </c>
      <c r="AU48" s="20">
        <v>2002.0</v>
      </c>
      <c r="AV48" s="20">
        <v>12.0</v>
      </c>
      <c r="AW48" s="20">
        <v>5.0</v>
      </c>
      <c r="AX48" s="20" t="s">
        <v>1813</v>
      </c>
      <c r="AY48" s="20" t="s">
        <v>1813</v>
      </c>
      <c r="AZ48" s="20" t="s">
        <v>1813</v>
      </c>
      <c r="BA48" s="20" t="s">
        <v>1813</v>
      </c>
      <c r="BB48" s="20">
        <v>1434.0</v>
      </c>
      <c r="BC48" s="20">
        <v>1444.0</v>
      </c>
      <c r="BD48" s="20" t="s">
        <v>1813</v>
      </c>
      <c r="BE48" s="20" t="s">
        <v>2753</v>
      </c>
      <c r="BF48" s="22" t="str">
        <f>HYPERLINK("http://dx.doi.org/10.2307/3099982","http://dx.doi.org/10.2307/3099982")</f>
        <v>http://dx.doi.org/10.2307/3099982</v>
      </c>
      <c r="BG48" s="20" t="s">
        <v>1813</v>
      </c>
      <c r="BH48" s="20" t="s">
        <v>1813</v>
      </c>
      <c r="BI48" s="20">
        <v>11.0</v>
      </c>
      <c r="BJ48" s="20" t="s">
        <v>2653</v>
      </c>
      <c r="BK48" s="20" t="s">
        <v>1839</v>
      </c>
      <c r="BL48" s="20" t="s">
        <v>1900</v>
      </c>
      <c r="BM48" s="20" t="s">
        <v>2754</v>
      </c>
      <c r="BN48" s="20" t="s">
        <v>1813</v>
      </c>
      <c r="BO48" s="20" t="s">
        <v>1813</v>
      </c>
      <c r="BP48" s="20" t="s">
        <v>1813</v>
      </c>
      <c r="BQ48" s="20" t="s">
        <v>1813</v>
      </c>
      <c r="BR48" s="20" t="s">
        <v>1842</v>
      </c>
      <c r="BS48" s="20" t="s">
        <v>2755</v>
      </c>
      <c r="BT48" s="20" t="str">
        <f>HYPERLINK("https%3A%2F%2Fwww.webofscience.com%2Fwos%2Fwoscc%2Ffull-record%2FWOS:000179198600015","View Full Record in Web of Science")</f>
        <v>View Full Record in Web of Science</v>
      </c>
    </row>
    <row r="49" ht="12.75" customHeight="1">
      <c r="A49" s="20" t="s">
        <v>1811</v>
      </c>
      <c r="B49" s="20" t="s">
        <v>2756</v>
      </c>
      <c r="C49" s="20" t="s">
        <v>1813</v>
      </c>
      <c r="D49" s="20" t="s">
        <v>1813</v>
      </c>
      <c r="E49" s="20" t="s">
        <v>1813</v>
      </c>
      <c r="F49" s="20" t="s">
        <v>2756</v>
      </c>
      <c r="G49" s="20" t="s">
        <v>1813</v>
      </c>
      <c r="H49" s="20" t="s">
        <v>1813</v>
      </c>
      <c r="I49" s="20" t="s">
        <v>2757</v>
      </c>
      <c r="J49" s="20" t="s">
        <v>2758</v>
      </c>
      <c r="K49" s="20" t="s">
        <v>1813</v>
      </c>
      <c r="L49" s="20" t="s">
        <v>1813</v>
      </c>
      <c r="M49" s="20" t="s">
        <v>1816</v>
      </c>
      <c r="N49" s="20" t="s">
        <v>1817</v>
      </c>
      <c r="O49" s="20" t="s">
        <v>1813</v>
      </c>
      <c r="P49" s="20" t="s">
        <v>1813</v>
      </c>
      <c r="Q49" s="20" t="s">
        <v>1813</v>
      </c>
      <c r="R49" s="20" t="s">
        <v>1813</v>
      </c>
      <c r="S49" s="20" t="s">
        <v>1813</v>
      </c>
      <c r="T49" s="20" t="s">
        <v>2759</v>
      </c>
      <c r="U49" s="20" t="s">
        <v>2760</v>
      </c>
      <c r="V49" s="20" t="s">
        <v>2761</v>
      </c>
      <c r="W49" s="20" t="s">
        <v>2762</v>
      </c>
      <c r="X49" s="20" t="s">
        <v>2763</v>
      </c>
      <c r="Y49" s="20" t="s">
        <v>2764</v>
      </c>
      <c r="Z49" s="20" t="s">
        <v>2765</v>
      </c>
      <c r="AA49" s="20" t="s">
        <v>1813</v>
      </c>
      <c r="AB49" s="20" t="s">
        <v>1813</v>
      </c>
      <c r="AC49" s="20" t="s">
        <v>1813</v>
      </c>
      <c r="AD49" s="20" t="s">
        <v>1813</v>
      </c>
      <c r="AE49" s="20" t="s">
        <v>1813</v>
      </c>
      <c r="AF49" s="20" t="s">
        <v>1813</v>
      </c>
      <c r="AG49" s="20">
        <v>69.0</v>
      </c>
      <c r="AH49" s="20">
        <v>98.0</v>
      </c>
      <c r="AI49" s="20">
        <v>116.0</v>
      </c>
      <c r="AJ49" s="20">
        <v>1.0</v>
      </c>
      <c r="AK49" s="20">
        <v>45.0</v>
      </c>
      <c r="AL49" s="20" t="s">
        <v>1829</v>
      </c>
      <c r="AM49" s="20" t="s">
        <v>1830</v>
      </c>
      <c r="AN49" s="20" t="s">
        <v>1831</v>
      </c>
      <c r="AO49" s="20" t="s">
        <v>2766</v>
      </c>
      <c r="AP49" s="20" t="s">
        <v>2767</v>
      </c>
      <c r="AQ49" s="20" t="s">
        <v>1813</v>
      </c>
      <c r="AR49" s="20" t="s">
        <v>2768</v>
      </c>
      <c r="AS49" s="20" t="s">
        <v>2769</v>
      </c>
      <c r="AT49" s="20" t="s">
        <v>2082</v>
      </c>
      <c r="AU49" s="20">
        <v>2005.0</v>
      </c>
      <c r="AV49" s="20">
        <v>30.0</v>
      </c>
      <c r="AW49" s="20">
        <v>5.0</v>
      </c>
      <c r="AX49" s="20" t="s">
        <v>1813</v>
      </c>
      <c r="AY49" s="20" t="s">
        <v>1813</v>
      </c>
      <c r="AZ49" s="20" t="s">
        <v>1813</v>
      </c>
      <c r="BA49" s="20" t="s">
        <v>1813</v>
      </c>
      <c r="BB49" s="20">
        <v>505.0</v>
      </c>
      <c r="BC49" s="20">
        <v>517.0</v>
      </c>
      <c r="BD49" s="20" t="s">
        <v>1813</v>
      </c>
      <c r="BE49" s="20" t="s">
        <v>2770</v>
      </c>
      <c r="BF49" s="22" t="str">
        <f>HYPERLINK("http://dx.doi.org/10.1111/j.1442-9993.2005.01465.x","http://dx.doi.org/10.1111/j.1442-9993.2005.01465.x")</f>
        <v>http://dx.doi.org/10.1111/j.1442-9993.2005.01465.x</v>
      </c>
      <c r="BG49" s="20" t="s">
        <v>1813</v>
      </c>
      <c r="BH49" s="20" t="s">
        <v>1813</v>
      </c>
      <c r="BI49" s="20">
        <v>13.0</v>
      </c>
      <c r="BJ49" s="20" t="s">
        <v>1899</v>
      </c>
      <c r="BK49" s="20" t="s">
        <v>1839</v>
      </c>
      <c r="BL49" s="20" t="s">
        <v>1900</v>
      </c>
      <c r="BM49" s="20" t="s">
        <v>2771</v>
      </c>
      <c r="BN49" s="20" t="s">
        <v>1813</v>
      </c>
      <c r="BO49" s="20" t="s">
        <v>1813</v>
      </c>
      <c r="BP49" s="20" t="s">
        <v>1813</v>
      </c>
      <c r="BQ49" s="20" t="s">
        <v>1813</v>
      </c>
      <c r="BR49" s="20" t="s">
        <v>1842</v>
      </c>
      <c r="BS49" s="20" t="s">
        <v>2772</v>
      </c>
      <c r="BT49" s="20" t="str">
        <f>HYPERLINK("https%3A%2F%2Fwww.webofscience.com%2Fwos%2Fwoscc%2Ffull-record%2FWOS:000230600700003","View Full Record in Web of Science")</f>
        <v>View Full Record in Web of Science</v>
      </c>
    </row>
    <row r="50" ht="12.75" customHeight="1">
      <c r="A50" s="20" t="s">
        <v>1811</v>
      </c>
      <c r="B50" s="20" t="s">
        <v>2773</v>
      </c>
      <c r="C50" s="20" t="s">
        <v>1813</v>
      </c>
      <c r="D50" s="20" t="s">
        <v>1813</v>
      </c>
      <c r="E50" s="20" t="s">
        <v>1813</v>
      </c>
      <c r="F50" s="20" t="s">
        <v>2774</v>
      </c>
      <c r="G50" s="20" t="s">
        <v>1813</v>
      </c>
      <c r="H50" s="20" t="s">
        <v>1813</v>
      </c>
      <c r="I50" s="20" t="s">
        <v>2775</v>
      </c>
      <c r="J50" s="20" t="s">
        <v>2776</v>
      </c>
      <c r="K50" s="20" t="s">
        <v>1813</v>
      </c>
      <c r="L50" s="20" t="s">
        <v>1813</v>
      </c>
      <c r="M50" s="20" t="s">
        <v>1816</v>
      </c>
      <c r="N50" s="20" t="s">
        <v>1817</v>
      </c>
      <c r="O50" s="20" t="s">
        <v>1813</v>
      </c>
      <c r="P50" s="20" t="s">
        <v>1813</v>
      </c>
      <c r="Q50" s="20" t="s">
        <v>1813</v>
      </c>
      <c r="R50" s="20" t="s">
        <v>1813</v>
      </c>
      <c r="S50" s="20" t="s">
        <v>1813</v>
      </c>
      <c r="T50" s="20" t="s">
        <v>2777</v>
      </c>
      <c r="U50" s="20" t="s">
        <v>2778</v>
      </c>
      <c r="V50" s="20" t="s">
        <v>2779</v>
      </c>
      <c r="W50" s="20" t="s">
        <v>2780</v>
      </c>
      <c r="X50" s="20" t="s">
        <v>2781</v>
      </c>
      <c r="Y50" s="20" t="s">
        <v>2782</v>
      </c>
      <c r="Z50" s="20" t="s">
        <v>2783</v>
      </c>
      <c r="AA50" s="20" t="s">
        <v>2784</v>
      </c>
      <c r="AB50" s="20" t="s">
        <v>2785</v>
      </c>
      <c r="AC50" s="20" t="s">
        <v>2786</v>
      </c>
      <c r="AD50" s="20" t="s">
        <v>2787</v>
      </c>
      <c r="AE50" s="20" t="s">
        <v>2788</v>
      </c>
      <c r="AF50" s="20" t="s">
        <v>1813</v>
      </c>
      <c r="AG50" s="20">
        <v>65.0</v>
      </c>
      <c r="AH50" s="20">
        <v>33.0</v>
      </c>
      <c r="AI50" s="20">
        <v>38.0</v>
      </c>
      <c r="AJ50" s="20">
        <v>1.0</v>
      </c>
      <c r="AK50" s="20">
        <v>96.0</v>
      </c>
      <c r="AL50" s="20" t="s">
        <v>2789</v>
      </c>
      <c r="AM50" s="20" t="s">
        <v>2790</v>
      </c>
      <c r="AN50" s="20" t="s">
        <v>2791</v>
      </c>
      <c r="AO50" s="20" t="s">
        <v>2792</v>
      </c>
      <c r="AP50" s="20" t="s">
        <v>1813</v>
      </c>
      <c r="AQ50" s="20" t="s">
        <v>1813</v>
      </c>
      <c r="AR50" s="20" t="s">
        <v>2793</v>
      </c>
      <c r="AS50" s="20" t="s">
        <v>2794</v>
      </c>
      <c r="AT50" s="20" t="s">
        <v>1813</v>
      </c>
      <c r="AU50" s="20">
        <v>2008.0</v>
      </c>
      <c r="AV50" s="20">
        <v>10.0</v>
      </c>
      <c r="AW50" s="20">
        <v>4.0</v>
      </c>
      <c r="AX50" s="20" t="s">
        <v>1813</v>
      </c>
      <c r="AY50" s="20" t="s">
        <v>1813</v>
      </c>
      <c r="AZ50" s="20" t="s">
        <v>1813</v>
      </c>
      <c r="BA50" s="20" t="s">
        <v>1813</v>
      </c>
      <c r="BB50" s="20">
        <v>231.0</v>
      </c>
      <c r="BC50" s="20">
        <v>240.0</v>
      </c>
      <c r="BD50" s="20" t="s">
        <v>1813</v>
      </c>
      <c r="BE50" s="20" t="s">
        <v>2795</v>
      </c>
      <c r="BF50" s="22" t="str">
        <f>HYPERLINK("http://dx.doi.org/10.1016/j.ppees.2008.04.001","http://dx.doi.org/10.1016/j.ppees.2008.04.001")</f>
        <v>http://dx.doi.org/10.1016/j.ppees.2008.04.001</v>
      </c>
      <c r="BG50" s="20" t="s">
        <v>1813</v>
      </c>
      <c r="BH50" s="20" t="s">
        <v>1813</v>
      </c>
      <c r="BI50" s="20">
        <v>10.0</v>
      </c>
      <c r="BJ50" s="20" t="s">
        <v>2482</v>
      </c>
      <c r="BK50" s="20" t="s">
        <v>1839</v>
      </c>
      <c r="BL50" s="20" t="s">
        <v>2483</v>
      </c>
      <c r="BM50" s="20" t="s">
        <v>2796</v>
      </c>
      <c r="BN50" s="20" t="s">
        <v>1813</v>
      </c>
      <c r="BO50" s="20" t="s">
        <v>1813</v>
      </c>
      <c r="BP50" s="20" t="s">
        <v>1813</v>
      </c>
      <c r="BQ50" s="20" t="s">
        <v>1813</v>
      </c>
      <c r="BR50" s="20" t="s">
        <v>1842</v>
      </c>
      <c r="BS50" s="20" t="s">
        <v>2797</v>
      </c>
      <c r="BT50" s="20" t="str">
        <f>HYPERLINK("https%3A%2F%2Fwww.webofscience.com%2Fwos%2Fwoscc%2Ffull-record%2FWOS:000262357600002","View Full Record in Web of Science")</f>
        <v>View Full Record in Web of Science</v>
      </c>
    </row>
    <row r="51" ht="12.75" customHeight="1">
      <c r="A51" s="20" t="s">
        <v>1811</v>
      </c>
      <c r="B51" s="20" t="s">
        <v>2798</v>
      </c>
      <c r="C51" s="20" t="s">
        <v>1813</v>
      </c>
      <c r="D51" s="20" t="s">
        <v>1813</v>
      </c>
      <c r="E51" s="20" t="s">
        <v>1813</v>
      </c>
      <c r="F51" s="20" t="s">
        <v>2799</v>
      </c>
      <c r="G51" s="20" t="s">
        <v>1813</v>
      </c>
      <c r="H51" s="20" t="s">
        <v>1813</v>
      </c>
      <c r="I51" s="20" t="s">
        <v>2800</v>
      </c>
      <c r="J51" s="20" t="s">
        <v>1815</v>
      </c>
      <c r="K51" s="20" t="s">
        <v>1813</v>
      </c>
      <c r="L51" s="20" t="s">
        <v>1813</v>
      </c>
      <c r="M51" s="20" t="s">
        <v>1816</v>
      </c>
      <c r="N51" s="20" t="s">
        <v>1817</v>
      </c>
      <c r="O51" s="20" t="s">
        <v>1813</v>
      </c>
      <c r="P51" s="20" t="s">
        <v>1813</v>
      </c>
      <c r="Q51" s="20" t="s">
        <v>1813</v>
      </c>
      <c r="R51" s="20" t="s">
        <v>1813</v>
      </c>
      <c r="S51" s="20" t="s">
        <v>1813</v>
      </c>
      <c r="T51" s="20" t="s">
        <v>2801</v>
      </c>
      <c r="U51" s="20" t="s">
        <v>2802</v>
      </c>
      <c r="V51" s="20" t="s">
        <v>2803</v>
      </c>
      <c r="W51" s="20" t="s">
        <v>2804</v>
      </c>
      <c r="X51" s="20" t="s">
        <v>2805</v>
      </c>
      <c r="Y51" s="20" t="s">
        <v>2806</v>
      </c>
      <c r="Z51" s="20" t="s">
        <v>2807</v>
      </c>
      <c r="AA51" s="20" t="s">
        <v>2808</v>
      </c>
      <c r="AB51" s="20" t="s">
        <v>2809</v>
      </c>
      <c r="AC51" s="20" t="s">
        <v>2810</v>
      </c>
      <c r="AD51" s="20" t="s">
        <v>2810</v>
      </c>
      <c r="AE51" s="20" t="s">
        <v>2811</v>
      </c>
      <c r="AF51" s="20" t="s">
        <v>1813</v>
      </c>
      <c r="AG51" s="20">
        <v>58.0</v>
      </c>
      <c r="AH51" s="20">
        <v>48.0</v>
      </c>
      <c r="AI51" s="20">
        <v>52.0</v>
      </c>
      <c r="AJ51" s="20">
        <v>0.0</v>
      </c>
      <c r="AK51" s="20">
        <v>41.0</v>
      </c>
      <c r="AL51" s="20" t="s">
        <v>1829</v>
      </c>
      <c r="AM51" s="20" t="s">
        <v>1830</v>
      </c>
      <c r="AN51" s="20" t="s">
        <v>1831</v>
      </c>
      <c r="AO51" s="20" t="s">
        <v>1832</v>
      </c>
      <c r="AP51" s="20" t="s">
        <v>1833</v>
      </c>
      <c r="AQ51" s="20" t="s">
        <v>1813</v>
      </c>
      <c r="AR51" s="20" t="s">
        <v>1834</v>
      </c>
      <c r="AS51" s="20" t="s">
        <v>1835</v>
      </c>
      <c r="AT51" s="20" t="s">
        <v>1836</v>
      </c>
      <c r="AU51" s="20">
        <v>2010.0</v>
      </c>
      <c r="AV51" s="20">
        <v>16.0</v>
      </c>
      <c r="AW51" s="20">
        <v>5.0</v>
      </c>
      <c r="AX51" s="20" t="s">
        <v>1813</v>
      </c>
      <c r="AY51" s="20" t="s">
        <v>1813</v>
      </c>
      <c r="AZ51" s="20" t="s">
        <v>1813</v>
      </c>
      <c r="BA51" s="20" t="s">
        <v>1813</v>
      </c>
      <c r="BB51" s="20">
        <v>804.0</v>
      </c>
      <c r="BC51" s="20">
        <v>815.0</v>
      </c>
      <c r="BD51" s="20" t="s">
        <v>1813</v>
      </c>
      <c r="BE51" s="20" t="s">
        <v>2812</v>
      </c>
      <c r="BF51" s="22" t="str">
        <f>HYPERLINK("http://dx.doi.org/10.1111/j.1472-4642.2010.00684.x","http://dx.doi.org/10.1111/j.1472-4642.2010.00684.x")</f>
        <v>http://dx.doi.org/10.1111/j.1472-4642.2010.00684.x</v>
      </c>
      <c r="BG51" s="20" t="s">
        <v>1813</v>
      </c>
      <c r="BH51" s="20" t="s">
        <v>1813</v>
      </c>
      <c r="BI51" s="20">
        <v>12.0</v>
      </c>
      <c r="BJ51" s="20" t="s">
        <v>1838</v>
      </c>
      <c r="BK51" s="20" t="s">
        <v>1839</v>
      </c>
      <c r="BL51" s="20" t="s">
        <v>1840</v>
      </c>
      <c r="BM51" s="20" t="s">
        <v>1841</v>
      </c>
      <c r="BN51" s="20" t="s">
        <v>1813</v>
      </c>
      <c r="BO51" s="20" t="s">
        <v>2813</v>
      </c>
      <c r="BP51" s="20" t="s">
        <v>1813</v>
      </c>
      <c r="BQ51" s="20" t="s">
        <v>1813</v>
      </c>
      <c r="BR51" s="20" t="s">
        <v>1842</v>
      </c>
      <c r="BS51" s="20" t="s">
        <v>2814</v>
      </c>
      <c r="BT51" s="20" t="str">
        <f>HYPERLINK("https%3A%2F%2Fwww.webofscience.com%2Fwos%2Fwoscc%2Ffull-record%2FWOS:000280973100010","View Full Record in Web of Science")</f>
        <v>View Full Record in Web of Science</v>
      </c>
    </row>
    <row r="52" ht="12.75" customHeight="1">
      <c r="A52" s="20" t="s">
        <v>1811</v>
      </c>
      <c r="B52" s="20" t="s">
        <v>2815</v>
      </c>
      <c r="C52" s="20" t="s">
        <v>1813</v>
      </c>
      <c r="D52" s="20" t="s">
        <v>1813</v>
      </c>
      <c r="E52" s="20" t="s">
        <v>1813</v>
      </c>
      <c r="F52" s="20" t="s">
        <v>2815</v>
      </c>
      <c r="G52" s="20" t="s">
        <v>1813</v>
      </c>
      <c r="H52" s="20" t="s">
        <v>1813</v>
      </c>
      <c r="I52" s="20" t="s">
        <v>1294</v>
      </c>
      <c r="J52" s="20" t="s">
        <v>1815</v>
      </c>
      <c r="K52" s="20" t="s">
        <v>1813</v>
      </c>
      <c r="L52" s="20" t="s">
        <v>1813</v>
      </c>
      <c r="M52" s="20" t="s">
        <v>1816</v>
      </c>
      <c r="N52" s="20" t="s">
        <v>1817</v>
      </c>
      <c r="O52" s="20" t="s">
        <v>1813</v>
      </c>
      <c r="P52" s="20" t="s">
        <v>1813</v>
      </c>
      <c r="Q52" s="20" t="s">
        <v>1813</v>
      </c>
      <c r="R52" s="20" t="s">
        <v>1813</v>
      </c>
      <c r="S52" s="20" t="s">
        <v>1813</v>
      </c>
      <c r="T52" s="20" t="s">
        <v>2816</v>
      </c>
      <c r="U52" s="20" t="s">
        <v>2817</v>
      </c>
      <c r="V52" s="20" t="s">
        <v>2818</v>
      </c>
      <c r="W52" s="20" t="s">
        <v>2819</v>
      </c>
      <c r="X52" s="20" t="s">
        <v>1822</v>
      </c>
      <c r="Y52" s="20" t="s">
        <v>2820</v>
      </c>
      <c r="Z52" s="20" t="s">
        <v>2821</v>
      </c>
      <c r="AA52" s="20" t="s">
        <v>1813</v>
      </c>
      <c r="AB52" s="20" t="s">
        <v>1813</v>
      </c>
      <c r="AC52" s="20" t="s">
        <v>1813</v>
      </c>
      <c r="AD52" s="20" t="s">
        <v>1813</v>
      </c>
      <c r="AE52" s="20" t="s">
        <v>1813</v>
      </c>
      <c r="AF52" s="20" t="s">
        <v>1813</v>
      </c>
      <c r="AG52" s="20">
        <v>45.0</v>
      </c>
      <c r="AH52" s="20">
        <v>69.0</v>
      </c>
      <c r="AI52" s="20">
        <v>87.0</v>
      </c>
      <c r="AJ52" s="20">
        <v>1.0</v>
      </c>
      <c r="AK52" s="20">
        <v>49.0</v>
      </c>
      <c r="AL52" s="20" t="s">
        <v>1829</v>
      </c>
      <c r="AM52" s="20" t="s">
        <v>1830</v>
      </c>
      <c r="AN52" s="20" t="s">
        <v>1831</v>
      </c>
      <c r="AO52" s="20" t="s">
        <v>1832</v>
      </c>
      <c r="AP52" s="20" t="s">
        <v>1833</v>
      </c>
      <c r="AQ52" s="20" t="s">
        <v>1813</v>
      </c>
      <c r="AR52" s="20" t="s">
        <v>1834</v>
      </c>
      <c r="AS52" s="20" t="s">
        <v>1835</v>
      </c>
      <c r="AT52" s="20" t="s">
        <v>2822</v>
      </c>
      <c r="AU52" s="20">
        <v>2004.0</v>
      </c>
      <c r="AV52" s="20">
        <v>10.0</v>
      </c>
      <c r="AW52" s="20" t="s">
        <v>2823</v>
      </c>
      <c r="AX52" s="20" t="s">
        <v>1813</v>
      </c>
      <c r="AY52" s="20" t="s">
        <v>1813</v>
      </c>
      <c r="AZ52" s="20" t="s">
        <v>1813</v>
      </c>
      <c r="BA52" s="20" t="s">
        <v>1813</v>
      </c>
      <c r="BB52" s="20">
        <v>485.0</v>
      </c>
      <c r="BC52" s="20">
        <v>492.0</v>
      </c>
      <c r="BD52" s="20" t="s">
        <v>1813</v>
      </c>
      <c r="BE52" s="20" t="s">
        <v>2824</v>
      </c>
      <c r="BF52" s="22" t="str">
        <f>HYPERLINK("http://dx.doi.org/10.1111/j.1366-9516.2004.00104.x","http://dx.doi.org/10.1111/j.1366-9516.2004.00104.x")</f>
        <v>http://dx.doi.org/10.1111/j.1366-9516.2004.00104.x</v>
      </c>
      <c r="BG52" s="20" t="s">
        <v>1813</v>
      </c>
      <c r="BH52" s="20" t="s">
        <v>1813</v>
      </c>
      <c r="BI52" s="20">
        <v>8.0</v>
      </c>
      <c r="BJ52" s="20" t="s">
        <v>1838</v>
      </c>
      <c r="BK52" s="20" t="s">
        <v>1839</v>
      </c>
      <c r="BL52" s="20" t="s">
        <v>1840</v>
      </c>
      <c r="BM52" s="20" t="s">
        <v>2825</v>
      </c>
      <c r="BN52" s="20" t="s">
        <v>1813</v>
      </c>
      <c r="BO52" s="20" t="s">
        <v>1813</v>
      </c>
      <c r="BP52" s="20" t="s">
        <v>1813</v>
      </c>
      <c r="BQ52" s="20" t="s">
        <v>1813</v>
      </c>
      <c r="BR52" s="20" t="s">
        <v>1842</v>
      </c>
      <c r="BS52" s="20" t="s">
        <v>2826</v>
      </c>
      <c r="BT52" s="20" t="str">
        <f>HYPERLINK("https%3A%2F%2Fwww.webofscience.com%2Fwos%2Fwoscc%2Ffull-record%2FWOS:000223744500018","View Full Record in Web of Science")</f>
        <v>View Full Record in Web of Science</v>
      </c>
    </row>
    <row r="53" ht="12.75" customHeight="1">
      <c r="A53" s="20" t="s">
        <v>1811</v>
      </c>
      <c r="B53" s="20" t="s">
        <v>2827</v>
      </c>
      <c r="C53" s="20" t="s">
        <v>1813</v>
      </c>
      <c r="D53" s="20" t="s">
        <v>1813</v>
      </c>
      <c r="E53" s="20" t="s">
        <v>1813</v>
      </c>
      <c r="F53" s="20" t="s">
        <v>2827</v>
      </c>
      <c r="G53" s="20" t="s">
        <v>1813</v>
      </c>
      <c r="H53" s="20" t="s">
        <v>1813</v>
      </c>
      <c r="I53" s="20" t="s">
        <v>1437</v>
      </c>
      <c r="J53" s="20" t="s">
        <v>2170</v>
      </c>
      <c r="K53" s="20" t="s">
        <v>1813</v>
      </c>
      <c r="L53" s="20" t="s">
        <v>1813</v>
      </c>
      <c r="M53" s="20" t="s">
        <v>1816</v>
      </c>
      <c r="N53" s="20" t="s">
        <v>1817</v>
      </c>
      <c r="O53" s="20" t="s">
        <v>1813</v>
      </c>
      <c r="P53" s="20" t="s">
        <v>1813</v>
      </c>
      <c r="Q53" s="20" t="s">
        <v>1813</v>
      </c>
      <c r="R53" s="20" t="s">
        <v>1813</v>
      </c>
      <c r="S53" s="20" t="s">
        <v>1813</v>
      </c>
      <c r="T53" s="20" t="s">
        <v>2828</v>
      </c>
      <c r="U53" s="20" t="s">
        <v>2829</v>
      </c>
      <c r="V53" s="20" t="s">
        <v>2830</v>
      </c>
      <c r="W53" s="20" t="s">
        <v>2831</v>
      </c>
      <c r="X53" s="20" t="s">
        <v>2832</v>
      </c>
      <c r="Y53" s="20" t="s">
        <v>2833</v>
      </c>
      <c r="Z53" s="20" t="s">
        <v>1813</v>
      </c>
      <c r="AA53" s="20" t="s">
        <v>2834</v>
      </c>
      <c r="AB53" s="20" t="s">
        <v>1813</v>
      </c>
      <c r="AC53" s="20" t="s">
        <v>1813</v>
      </c>
      <c r="AD53" s="20" t="s">
        <v>1813</v>
      </c>
      <c r="AE53" s="20" t="s">
        <v>1813</v>
      </c>
      <c r="AF53" s="20" t="s">
        <v>1813</v>
      </c>
      <c r="AG53" s="20">
        <v>59.0</v>
      </c>
      <c r="AH53" s="20">
        <v>210.0</v>
      </c>
      <c r="AI53" s="20">
        <v>275.0</v>
      </c>
      <c r="AJ53" s="20">
        <v>2.0</v>
      </c>
      <c r="AK53" s="20">
        <v>80.0</v>
      </c>
      <c r="AL53" s="20" t="s">
        <v>1829</v>
      </c>
      <c r="AM53" s="20" t="s">
        <v>1830</v>
      </c>
      <c r="AN53" s="20" t="s">
        <v>1831</v>
      </c>
      <c r="AO53" s="20" t="s">
        <v>2183</v>
      </c>
      <c r="AP53" s="20" t="s">
        <v>2184</v>
      </c>
      <c r="AQ53" s="20" t="s">
        <v>1813</v>
      </c>
      <c r="AR53" s="20" t="s">
        <v>2170</v>
      </c>
      <c r="AS53" s="20" t="s">
        <v>1899</v>
      </c>
      <c r="AT53" s="20" t="s">
        <v>2527</v>
      </c>
      <c r="AU53" s="20">
        <v>1999.0</v>
      </c>
      <c r="AV53" s="20">
        <v>80.0</v>
      </c>
      <c r="AW53" s="20">
        <v>7.0</v>
      </c>
      <c r="AX53" s="20" t="s">
        <v>1813</v>
      </c>
      <c r="AY53" s="20" t="s">
        <v>1813</v>
      </c>
      <c r="AZ53" s="20" t="s">
        <v>1813</v>
      </c>
      <c r="BA53" s="20" t="s">
        <v>1813</v>
      </c>
      <c r="BB53" s="20">
        <v>2397.0</v>
      </c>
      <c r="BC53" s="20">
        <v>2407.0</v>
      </c>
      <c r="BD53" s="20" t="s">
        <v>1813</v>
      </c>
      <c r="BE53" s="20" t="s">
        <v>2835</v>
      </c>
      <c r="BF53" s="22" t="str">
        <f>HYPERLINK("http://dx.doi.org/10.1890/0012-9658(1999)080[2397:LTEIOA]2.0.CO;2","http://dx.doi.org/10.1890/0012-9658(1999)080[2397:LTEIOA]2.0.CO;2")</f>
        <v>http://dx.doi.org/10.1890/0012-9658(1999)080[2397:LTEIOA]2.0.CO;2</v>
      </c>
      <c r="BG53" s="20" t="s">
        <v>1813</v>
      </c>
      <c r="BH53" s="20" t="s">
        <v>1813</v>
      </c>
      <c r="BI53" s="20">
        <v>11.0</v>
      </c>
      <c r="BJ53" s="20" t="s">
        <v>1899</v>
      </c>
      <c r="BK53" s="20" t="s">
        <v>1839</v>
      </c>
      <c r="BL53" s="20" t="s">
        <v>1900</v>
      </c>
      <c r="BM53" s="20" t="s">
        <v>2836</v>
      </c>
      <c r="BN53" s="20" t="s">
        <v>1813</v>
      </c>
      <c r="BO53" s="20" t="s">
        <v>1813</v>
      </c>
      <c r="BP53" s="20" t="s">
        <v>1813</v>
      </c>
      <c r="BQ53" s="20" t="s">
        <v>1813</v>
      </c>
      <c r="BR53" s="20" t="s">
        <v>1842</v>
      </c>
      <c r="BS53" s="20" t="s">
        <v>2837</v>
      </c>
      <c r="BT53" s="20" t="str">
        <f>HYPERLINK("https%3A%2F%2Fwww.webofscience.com%2Fwos%2Fwoscc%2Ffull-record%2FWOS:000083009400022","View Full Record in Web of Science")</f>
        <v>View Full Record in Web of Science</v>
      </c>
    </row>
    <row r="54" ht="12.75" customHeight="1">
      <c r="A54" s="20" t="s">
        <v>1811</v>
      </c>
      <c r="B54" s="20" t="s">
        <v>2838</v>
      </c>
      <c r="C54" s="20" t="s">
        <v>1813</v>
      </c>
      <c r="D54" s="20" t="s">
        <v>1813</v>
      </c>
      <c r="E54" s="20" t="s">
        <v>1813</v>
      </c>
      <c r="F54" s="20" t="s">
        <v>2839</v>
      </c>
      <c r="G54" s="20" t="s">
        <v>1813</v>
      </c>
      <c r="H54" s="20" t="s">
        <v>1813</v>
      </c>
      <c r="I54" s="20" t="s">
        <v>1674</v>
      </c>
      <c r="J54" s="20" t="s">
        <v>2680</v>
      </c>
      <c r="K54" s="20" t="s">
        <v>1813</v>
      </c>
      <c r="L54" s="20" t="s">
        <v>1813</v>
      </c>
      <c r="M54" s="20" t="s">
        <v>1816</v>
      </c>
      <c r="N54" s="20" t="s">
        <v>1817</v>
      </c>
      <c r="O54" s="20" t="s">
        <v>1813</v>
      </c>
      <c r="P54" s="20" t="s">
        <v>1813</v>
      </c>
      <c r="Q54" s="20" t="s">
        <v>1813</v>
      </c>
      <c r="R54" s="20" t="s">
        <v>1813</v>
      </c>
      <c r="S54" s="20" t="s">
        <v>1813</v>
      </c>
      <c r="T54" s="20" t="s">
        <v>2840</v>
      </c>
      <c r="U54" s="20" t="s">
        <v>2841</v>
      </c>
      <c r="V54" s="20" t="s">
        <v>2842</v>
      </c>
      <c r="W54" s="20" t="s">
        <v>2843</v>
      </c>
      <c r="X54" s="20" t="s">
        <v>1869</v>
      </c>
      <c r="Y54" s="20" t="s">
        <v>2844</v>
      </c>
      <c r="Z54" s="20" t="s">
        <v>2845</v>
      </c>
      <c r="AA54" s="20" t="s">
        <v>2846</v>
      </c>
      <c r="AB54" s="20" t="s">
        <v>2847</v>
      </c>
      <c r="AC54" s="20" t="s">
        <v>1813</v>
      </c>
      <c r="AD54" s="20" t="s">
        <v>1813</v>
      </c>
      <c r="AE54" s="20" t="s">
        <v>1813</v>
      </c>
      <c r="AF54" s="20" t="s">
        <v>1813</v>
      </c>
      <c r="AG54" s="20">
        <v>64.0</v>
      </c>
      <c r="AH54" s="20">
        <v>59.0</v>
      </c>
      <c r="AI54" s="20">
        <v>78.0</v>
      </c>
      <c r="AJ54" s="20">
        <v>0.0</v>
      </c>
      <c r="AK54" s="20">
        <v>64.0</v>
      </c>
      <c r="AL54" s="20" t="s">
        <v>2689</v>
      </c>
      <c r="AM54" s="20" t="s">
        <v>1959</v>
      </c>
      <c r="AN54" s="20" t="s">
        <v>2848</v>
      </c>
      <c r="AO54" s="20" t="s">
        <v>2691</v>
      </c>
      <c r="AP54" s="20" t="s">
        <v>1813</v>
      </c>
      <c r="AQ54" s="20" t="s">
        <v>1813</v>
      </c>
      <c r="AR54" s="20" t="s">
        <v>2692</v>
      </c>
      <c r="AS54" s="20" t="s">
        <v>2693</v>
      </c>
      <c r="AT54" s="20" t="s">
        <v>1836</v>
      </c>
      <c r="AU54" s="20">
        <v>2008.0</v>
      </c>
      <c r="AV54" s="20">
        <v>18.0</v>
      </c>
      <c r="AW54" s="20">
        <v>6.0</v>
      </c>
      <c r="AX54" s="20" t="s">
        <v>1813</v>
      </c>
      <c r="AY54" s="20" t="s">
        <v>1813</v>
      </c>
      <c r="AZ54" s="20" t="s">
        <v>1813</v>
      </c>
      <c r="BA54" s="20" t="s">
        <v>1813</v>
      </c>
      <c r="BB54" s="20">
        <v>1547.0</v>
      </c>
      <c r="BC54" s="20">
        <v>1562.0</v>
      </c>
      <c r="BD54" s="20" t="s">
        <v>1813</v>
      </c>
      <c r="BE54" s="20" t="s">
        <v>2849</v>
      </c>
      <c r="BF54" s="22" t="str">
        <f>HYPERLINK("http://dx.doi.org/10.1890/07-1293.1","http://dx.doi.org/10.1890/07-1293.1")</f>
        <v>http://dx.doi.org/10.1890/07-1293.1</v>
      </c>
      <c r="BG54" s="20" t="s">
        <v>1813</v>
      </c>
      <c r="BH54" s="20" t="s">
        <v>1813</v>
      </c>
      <c r="BI54" s="20">
        <v>16.0</v>
      </c>
      <c r="BJ54" s="20" t="s">
        <v>2653</v>
      </c>
      <c r="BK54" s="20" t="s">
        <v>1839</v>
      </c>
      <c r="BL54" s="20" t="s">
        <v>1900</v>
      </c>
      <c r="BM54" s="20" t="s">
        <v>2850</v>
      </c>
      <c r="BN54" s="20">
        <v>1.8767628E7</v>
      </c>
      <c r="BO54" s="20" t="s">
        <v>1813</v>
      </c>
      <c r="BP54" s="20" t="s">
        <v>1813</v>
      </c>
      <c r="BQ54" s="20" t="s">
        <v>1813</v>
      </c>
      <c r="BR54" s="20" t="s">
        <v>1842</v>
      </c>
      <c r="BS54" s="20" t="s">
        <v>2851</v>
      </c>
      <c r="BT54" s="20" t="str">
        <f>HYPERLINK("https%3A%2F%2Fwww.webofscience.com%2Fwos%2Fwoscc%2Ffull-record%2FWOS:000258413600018","View Full Record in Web of Science")</f>
        <v>View Full Record in Web of Science</v>
      </c>
    </row>
    <row r="55" ht="12.75" customHeight="1">
      <c r="A55" s="20" t="s">
        <v>1811</v>
      </c>
      <c r="B55" s="20" t="s">
        <v>2852</v>
      </c>
      <c r="C55" s="20" t="s">
        <v>1813</v>
      </c>
      <c r="D55" s="20" t="s">
        <v>1813</v>
      </c>
      <c r="E55" s="20" t="s">
        <v>1813</v>
      </c>
      <c r="F55" s="20" t="s">
        <v>2853</v>
      </c>
      <c r="G55" s="20" t="s">
        <v>1813</v>
      </c>
      <c r="H55" s="20" t="s">
        <v>1813</v>
      </c>
      <c r="I55" s="20" t="s">
        <v>2854</v>
      </c>
      <c r="J55" s="20" t="s">
        <v>2855</v>
      </c>
      <c r="K55" s="20" t="s">
        <v>1813</v>
      </c>
      <c r="L55" s="20" t="s">
        <v>1813</v>
      </c>
      <c r="M55" s="20" t="s">
        <v>1816</v>
      </c>
      <c r="N55" s="20" t="s">
        <v>1817</v>
      </c>
      <c r="O55" s="20" t="s">
        <v>1813</v>
      </c>
      <c r="P55" s="20" t="s">
        <v>1813</v>
      </c>
      <c r="Q55" s="20" t="s">
        <v>1813</v>
      </c>
      <c r="R55" s="20" t="s">
        <v>1813</v>
      </c>
      <c r="S55" s="20" t="s">
        <v>1813</v>
      </c>
      <c r="T55" s="20" t="s">
        <v>1813</v>
      </c>
      <c r="U55" s="20" t="s">
        <v>2856</v>
      </c>
      <c r="V55" s="20" t="s">
        <v>2857</v>
      </c>
      <c r="W55" s="20" t="s">
        <v>2858</v>
      </c>
      <c r="X55" s="20" t="s">
        <v>1813</v>
      </c>
      <c r="Y55" s="20" t="s">
        <v>2859</v>
      </c>
      <c r="Z55" s="20" t="s">
        <v>2860</v>
      </c>
      <c r="AA55" s="20" t="s">
        <v>1813</v>
      </c>
      <c r="AB55" s="20" t="s">
        <v>1813</v>
      </c>
      <c r="AC55" s="20" t="s">
        <v>2861</v>
      </c>
      <c r="AD55" s="20" t="s">
        <v>2861</v>
      </c>
      <c r="AE55" s="20" t="s">
        <v>2862</v>
      </c>
      <c r="AF55" s="20" t="s">
        <v>1813</v>
      </c>
      <c r="AG55" s="20">
        <v>59.0</v>
      </c>
      <c r="AH55" s="20">
        <v>11.0</v>
      </c>
      <c r="AI55" s="20">
        <v>15.0</v>
      </c>
      <c r="AJ55" s="20">
        <v>0.0</v>
      </c>
      <c r="AK55" s="20">
        <v>14.0</v>
      </c>
      <c r="AL55" s="20" t="s">
        <v>2863</v>
      </c>
      <c r="AM55" s="20" t="s">
        <v>2864</v>
      </c>
      <c r="AN55" s="20" t="s">
        <v>2865</v>
      </c>
      <c r="AO55" s="20" t="s">
        <v>2866</v>
      </c>
      <c r="AP55" s="20" t="s">
        <v>1813</v>
      </c>
      <c r="AQ55" s="20" t="s">
        <v>1813</v>
      </c>
      <c r="AR55" s="20" t="s">
        <v>2855</v>
      </c>
      <c r="AS55" s="20" t="s">
        <v>2867</v>
      </c>
      <c r="AT55" s="20" t="s">
        <v>2868</v>
      </c>
      <c r="AU55" s="20">
        <v>2008.0</v>
      </c>
      <c r="AV55" s="20" t="s">
        <v>1813</v>
      </c>
      <c r="AW55" s="20">
        <v>4.0</v>
      </c>
      <c r="AX55" s="20" t="s">
        <v>1813</v>
      </c>
      <c r="AY55" s="20" t="s">
        <v>1813</v>
      </c>
      <c r="AZ55" s="20" t="s">
        <v>1813</v>
      </c>
      <c r="BA55" s="20" t="s">
        <v>1813</v>
      </c>
      <c r="BB55" s="20">
        <v>931.0</v>
      </c>
      <c r="BC55" s="20">
        <v>939.0</v>
      </c>
      <c r="BD55" s="20" t="s">
        <v>1813</v>
      </c>
      <c r="BE55" s="20" t="s">
        <v>2869</v>
      </c>
      <c r="BF55" s="22" t="str">
        <f>HYPERLINK("http://dx.doi.org/10.1643/CE-07-089","http://dx.doi.org/10.1643/CE-07-089")</f>
        <v>http://dx.doi.org/10.1643/CE-07-089</v>
      </c>
      <c r="BG55" s="20" t="s">
        <v>1813</v>
      </c>
      <c r="BH55" s="20" t="s">
        <v>1813</v>
      </c>
      <c r="BI55" s="20">
        <v>9.0</v>
      </c>
      <c r="BJ55" s="20" t="s">
        <v>2870</v>
      </c>
      <c r="BK55" s="20" t="s">
        <v>1839</v>
      </c>
      <c r="BL55" s="20" t="s">
        <v>2870</v>
      </c>
      <c r="BM55" s="20" t="s">
        <v>2871</v>
      </c>
      <c r="BN55" s="20" t="s">
        <v>1813</v>
      </c>
      <c r="BO55" s="20" t="s">
        <v>1813</v>
      </c>
      <c r="BP55" s="20" t="s">
        <v>1813</v>
      </c>
      <c r="BQ55" s="20" t="s">
        <v>1813</v>
      </c>
      <c r="BR55" s="20" t="s">
        <v>1842</v>
      </c>
      <c r="BS55" s="20" t="s">
        <v>2872</v>
      </c>
      <c r="BT55" s="20" t="str">
        <f>HYPERLINK("https%3A%2F%2Fwww.webofscience.com%2Fwos%2Fwoscc%2Ffull-record%2FWOS:000262061200026","View Full Record in Web of Science")</f>
        <v>View Full Record in Web of Science</v>
      </c>
    </row>
    <row r="56" ht="12.75" customHeight="1">
      <c r="A56" s="20" t="s">
        <v>1811</v>
      </c>
      <c r="B56" s="20" t="s">
        <v>2873</v>
      </c>
      <c r="C56" s="20" t="s">
        <v>1813</v>
      </c>
      <c r="D56" s="20" t="s">
        <v>1813</v>
      </c>
      <c r="E56" s="20" t="s">
        <v>1813</v>
      </c>
      <c r="F56" s="20" t="s">
        <v>2873</v>
      </c>
      <c r="G56" s="20" t="s">
        <v>1813</v>
      </c>
      <c r="H56" s="20" t="s">
        <v>1813</v>
      </c>
      <c r="I56" s="20" t="s">
        <v>2874</v>
      </c>
      <c r="J56" s="20" t="s">
        <v>2875</v>
      </c>
      <c r="K56" s="20" t="s">
        <v>1813</v>
      </c>
      <c r="L56" s="20" t="s">
        <v>1813</v>
      </c>
      <c r="M56" s="20" t="s">
        <v>1816</v>
      </c>
      <c r="N56" s="20" t="s">
        <v>1817</v>
      </c>
      <c r="O56" s="20" t="s">
        <v>1813</v>
      </c>
      <c r="P56" s="20" t="s">
        <v>1813</v>
      </c>
      <c r="Q56" s="20" t="s">
        <v>1813</v>
      </c>
      <c r="R56" s="20" t="s">
        <v>1813</v>
      </c>
      <c r="S56" s="20" t="s">
        <v>1813</v>
      </c>
      <c r="T56" s="20" t="s">
        <v>2876</v>
      </c>
      <c r="U56" s="20" t="s">
        <v>2877</v>
      </c>
      <c r="V56" s="20" t="s">
        <v>2878</v>
      </c>
      <c r="W56" s="20" t="s">
        <v>2879</v>
      </c>
      <c r="X56" s="20" t="s">
        <v>2880</v>
      </c>
      <c r="Y56" s="20" t="s">
        <v>2881</v>
      </c>
      <c r="Z56" s="20" t="s">
        <v>1813</v>
      </c>
      <c r="AA56" s="20" t="s">
        <v>2882</v>
      </c>
      <c r="AB56" s="20" t="s">
        <v>2883</v>
      </c>
      <c r="AC56" s="20" t="s">
        <v>1813</v>
      </c>
      <c r="AD56" s="20" t="s">
        <v>1813</v>
      </c>
      <c r="AE56" s="20" t="s">
        <v>1813</v>
      </c>
      <c r="AF56" s="20" t="s">
        <v>1813</v>
      </c>
      <c r="AG56" s="20">
        <v>34.0</v>
      </c>
      <c r="AH56" s="20">
        <v>43.0</v>
      </c>
      <c r="AI56" s="20">
        <v>47.0</v>
      </c>
      <c r="AJ56" s="20">
        <v>1.0</v>
      </c>
      <c r="AK56" s="20">
        <v>42.0</v>
      </c>
      <c r="AL56" s="20" t="s">
        <v>2884</v>
      </c>
      <c r="AM56" s="20" t="s">
        <v>2885</v>
      </c>
      <c r="AN56" s="20" t="s">
        <v>2886</v>
      </c>
      <c r="AO56" s="20" t="s">
        <v>2887</v>
      </c>
      <c r="AP56" s="20" t="s">
        <v>1813</v>
      </c>
      <c r="AQ56" s="20" t="s">
        <v>1813</v>
      </c>
      <c r="AR56" s="20" t="s">
        <v>2888</v>
      </c>
      <c r="AS56" s="20" t="s">
        <v>2889</v>
      </c>
      <c r="AT56" s="20" t="s">
        <v>1813</v>
      </c>
      <c r="AU56" s="20">
        <v>2002.0</v>
      </c>
      <c r="AV56" s="20">
        <v>53.0</v>
      </c>
      <c r="AW56" s="20">
        <v>8.0</v>
      </c>
      <c r="AX56" s="20" t="s">
        <v>1813</v>
      </c>
      <c r="AY56" s="20" t="s">
        <v>1813</v>
      </c>
      <c r="AZ56" s="20" t="s">
        <v>1813</v>
      </c>
      <c r="BA56" s="20" t="s">
        <v>1813</v>
      </c>
      <c r="BB56" s="20">
        <v>1235.0</v>
      </c>
      <c r="BC56" s="20">
        <v>1244.0</v>
      </c>
      <c r="BD56" s="20" t="s">
        <v>1813</v>
      </c>
      <c r="BE56" s="20" t="s">
        <v>2890</v>
      </c>
      <c r="BF56" s="22" t="str">
        <f>HYPERLINK("http://dx.doi.org/10.1071/MF01042","http://dx.doi.org/10.1071/MF01042")</f>
        <v>http://dx.doi.org/10.1071/MF01042</v>
      </c>
      <c r="BG56" s="20" t="s">
        <v>1813</v>
      </c>
      <c r="BH56" s="20" t="s">
        <v>1813</v>
      </c>
      <c r="BI56" s="20">
        <v>10.0</v>
      </c>
      <c r="BJ56" s="20" t="s">
        <v>2891</v>
      </c>
      <c r="BK56" s="20" t="s">
        <v>1839</v>
      </c>
      <c r="BL56" s="20" t="s">
        <v>2892</v>
      </c>
      <c r="BM56" s="20" t="s">
        <v>2893</v>
      </c>
      <c r="BN56" s="20" t="s">
        <v>1813</v>
      </c>
      <c r="BO56" s="20" t="s">
        <v>1813</v>
      </c>
      <c r="BP56" s="20" t="s">
        <v>1813</v>
      </c>
      <c r="BQ56" s="20" t="s">
        <v>1813</v>
      </c>
      <c r="BR56" s="20" t="s">
        <v>1842</v>
      </c>
      <c r="BS56" s="20" t="s">
        <v>2894</v>
      </c>
      <c r="BT56" s="20" t="str">
        <f>HYPERLINK("https%3A%2F%2Fwww.webofscience.com%2Fwos%2Fwoscc%2Ffull-record%2FWOS:000180748100010","View Full Record in Web of Science")</f>
        <v>View Full Record in Web of Science</v>
      </c>
    </row>
    <row r="57" ht="12.75" customHeight="1">
      <c r="A57" s="20" t="s">
        <v>1811</v>
      </c>
      <c r="B57" s="20" t="s">
        <v>2895</v>
      </c>
      <c r="C57" s="20" t="s">
        <v>1813</v>
      </c>
      <c r="D57" s="20" t="s">
        <v>1813</v>
      </c>
      <c r="E57" s="20" t="s">
        <v>1813</v>
      </c>
      <c r="F57" s="20" t="s">
        <v>2896</v>
      </c>
      <c r="G57" s="20" t="s">
        <v>1813</v>
      </c>
      <c r="H57" s="20" t="s">
        <v>1813</v>
      </c>
      <c r="I57" s="20" t="s">
        <v>1720</v>
      </c>
      <c r="J57" s="20" t="s">
        <v>2040</v>
      </c>
      <c r="K57" s="20" t="s">
        <v>1813</v>
      </c>
      <c r="L57" s="20" t="s">
        <v>1813</v>
      </c>
      <c r="M57" s="20" t="s">
        <v>1816</v>
      </c>
      <c r="N57" s="20" t="s">
        <v>1817</v>
      </c>
      <c r="O57" s="20" t="s">
        <v>1813</v>
      </c>
      <c r="P57" s="20" t="s">
        <v>1813</v>
      </c>
      <c r="Q57" s="20" t="s">
        <v>1813</v>
      </c>
      <c r="R57" s="20" t="s">
        <v>1813</v>
      </c>
      <c r="S57" s="20" t="s">
        <v>1813</v>
      </c>
      <c r="T57" s="20" t="s">
        <v>2897</v>
      </c>
      <c r="U57" s="20" t="s">
        <v>2898</v>
      </c>
      <c r="V57" s="20" t="s">
        <v>2899</v>
      </c>
      <c r="W57" s="20" t="s">
        <v>2900</v>
      </c>
      <c r="X57" s="20" t="s">
        <v>2901</v>
      </c>
      <c r="Y57" s="20" t="s">
        <v>2902</v>
      </c>
      <c r="Z57" s="20" t="s">
        <v>2903</v>
      </c>
      <c r="AA57" s="20" t="s">
        <v>2904</v>
      </c>
      <c r="AB57" s="20" t="s">
        <v>2905</v>
      </c>
      <c r="AC57" s="20" t="s">
        <v>2906</v>
      </c>
      <c r="AD57" s="20" t="s">
        <v>2907</v>
      </c>
      <c r="AE57" s="20" t="s">
        <v>2908</v>
      </c>
      <c r="AF57" s="20" t="s">
        <v>1813</v>
      </c>
      <c r="AG57" s="20">
        <v>73.0</v>
      </c>
      <c r="AH57" s="20">
        <v>150.0</v>
      </c>
      <c r="AI57" s="20">
        <v>177.0</v>
      </c>
      <c r="AJ57" s="20">
        <v>4.0</v>
      </c>
      <c r="AK57" s="20">
        <v>107.0</v>
      </c>
      <c r="AL57" s="20" t="s">
        <v>2052</v>
      </c>
      <c r="AM57" s="20" t="s">
        <v>2053</v>
      </c>
      <c r="AN57" s="20" t="s">
        <v>2054</v>
      </c>
      <c r="AO57" s="20" t="s">
        <v>2055</v>
      </c>
      <c r="AP57" s="20" t="s">
        <v>2056</v>
      </c>
      <c r="AQ57" s="20" t="s">
        <v>1813</v>
      </c>
      <c r="AR57" s="20" t="s">
        <v>2057</v>
      </c>
      <c r="AS57" s="20" t="s">
        <v>2058</v>
      </c>
      <c r="AT57" s="20" t="s">
        <v>1858</v>
      </c>
      <c r="AU57" s="20">
        <v>2011.0</v>
      </c>
      <c r="AV57" s="20">
        <v>144.0</v>
      </c>
      <c r="AW57" s="20">
        <v>1.0</v>
      </c>
      <c r="AX57" s="20" t="s">
        <v>1813</v>
      </c>
      <c r="AY57" s="20" t="s">
        <v>1813</v>
      </c>
      <c r="AZ57" s="20" t="s">
        <v>1813</v>
      </c>
      <c r="BA57" s="20" t="s">
        <v>1813</v>
      </c>
      <c r="BB57" s="20">
        <v>166.0</v>
      </c>
      <c r="BC57" s="20">
        <v>174.0</v>
      </c>
      <c r="BD57" s="20" t="s">
        <v>1813</v>
      </c>
      <c r="BE57" s="20" t="s">
        <v>2909</v>
      </c>
      <c r="BF57" s="22" t="str">
        <f>HYPERLINK("http://dx.doi.org/10.1016/j.biocon.2010.08.011","http://dx.doi.org/10.1016/j.biocon.2010.08.011")</f>
        <v>http://dx.doi.org/10.1016/j.biocon.2010.08.011</v>
      </c>
      <c r="BG57" s="20" t="s">
        <v>1813</v>
      </c>
      <c r="BH57" s="20" t="s">
        <v>1813</v>
      </c>
      <c r="BI57" s="20">
        <v>9.0</v>
      </c>
      <c r="BJ57" s="20" t="s">
        <v>1860</v>
      </c>
      <c r="BK57" s="20" t="s">
        <v>1839</v>
      </c>
      <c r="BL57" s="20" t="s">
        <v>1840</v>
      </c>
      <c r="BM57" s="20" t="s">
        <v>2910</v>
      </c>
      <c r="BN57" s="20" t="s">
        <v>1813</v>
      </c>
      <c r="BO57" s="20" t="s">
        <v>1813</v>
      </c>
      <c r="BP57" s="20" t="s">
        <v>1813</v>
      </c>
      <c r="BQ57" s="20" t="s">
        <v>1813</v>
      </c>
      <c r="BR57" s="20" t="s">
        <v>1842</v>
      </c>
      <c r="BS57" s="20" t="s">
        <v>2911</v>
      </c>
      <c r="BT57" s="20" t="str">
        <f>HYPERLINK("https%3A%2F%2Fwww.webofscience.com%2Fwos%2Fwoscc%2Ffull-record%2FWOS:000287168100017","View Full Record in Web of Science")</f>
        <v>View Full Record in Web of Science</v>
      </c>
    </row>
    <row r="58" ht="12.75" customHeight="1">
      <c r="A58" s="20" t="s">
        <v>1811</v>
      </c>
      <c r="B58" s="20" t="s">
        <v>2912</v>
      </c>
      <c r="C58" s="20" t="s">
        <v>1813</v>
      </c>
      <c r="D58" s="20" t="s">
        <v>1813</v>
      </c>
      <c r="E58" s="20" t="s">
        <v>1813</v>
      </c>
      <c r="F58" s="20" t="s">
        <v>2913</v>
      </c>
      <c r="G58" s="20" t="s">
        <v>1813</v>
      </c>
      <c r="H58" s="20" t="s">
        <v>1813</v>
      </c>
      <c r="I58" s="20" t="s">
        <v>1539</v>
      </c>
      <c r="J58" s="20" t="s">
        <v>2040</v>
      </c>
      <c r="K58" s="20" t="s">
        <v>1813</v>
      </c>
      <c r="L58" s="20" t="s">
        <v>1813</v>
      </c>
      <c r="M58" s="20" t="s">
        <v>1816</v>
      </c>
      <c r="N58" s="20" t="s">
        <v>1817</v>
      </c>
      <c r="O58" s="20" t="s">
        <v>1813</v>
      </c>
      <c r="P58" s="20" t="s">
        <v>1813</v>
      </c>
      <c r="Q58" s="20" t="s">
        <v>1813</v>
      </c>
      <c r="R58" s="20" t="s">
        <v>1813</v>
      </c>
      <c r="S58" s="20" t="s">
        <v>1813</v>
      </c>
      <c r="T58" s="20" t="s">
        <v>2914</v>
      </c>
      <c r="U58" s="20" t="s">
        <v>2915</v>
      </c>
      <c r="V58" s="20" t="s">
        <v>2916</v>
      </c>
      <c r="W58" s="20" t="s">
        <v>2917</v>
      </c>
      <c r="X58" s="20" t="s">
        <v>2918</v>
      </c>
      <c r="Y58" s="20" t="s">
        <v>2919</v>
      </c>
      <c r="Z58" s="20" t="s">
        <v>2920</v>
      </c>
      <c r="AA58" s="20" t="s">
        <v>2921</v>
      </c>
      <c r="AB58" s="20" t="s">
        <v>2922</v>
      </c>
      <c r="AC58" s="20" t="s">
        <v>1813</v>
      </c>
      <c r="AD58" s="20" t="s">
        <v>1813</v>
      </c>
      <c r="AE58" s="20" t="s">
        <v>1813</v>
      </c>
      <c r="AF58" s="20" t="s">
        <v>1813</v>
      </c>
      <c r="AG58" s="20">
        <v>36.0</v>
      </c>
      <c r="AH58" s="20">
        <v>239.0</v>
      </c>
      <c r="AI58" s="20">
        <v>294.0</v>
      </c>
      <c r="AJ58" s="20">
        <v>1.0</v>
      </c>
      <c r="AK58" s="20">
        <v>256.0</v>
      </c>
      <c r="AL58" s="20" t="s">
        <v>2052</v>
      </c>
      <c r="AM58" s="20" t="s">
        <v>2053</v>
      </c>
      <c r="AN58" s="20" t="s">
        <v>2054</v>
      </c>
      <c r="AO58" s="20" t="s">
        <v>2055</v>
      </c>
      <c r="AP58" s="20" t="s">
        <v>2056</v>
      </c>
      <c r="AQ58" s="20" t="s">
        <v>1813</v>
      </c>
      <c r="AR58" s="20" t="s">
        <v>2057</v>
      </c>
      <c r="AS58" s="20" t="s">
        <v>2058</v>
      </c>
      <c r="AT58" s="20" t="s">
        <v>1875</v>
      </c>
      <c r="AU58" s="20">
        <v>2008.0</v>
      </c>
      <c r="AV58" s="20">
        <v>141.0</v>
      </c>
      <c r="AW58" s="20">
        <v>3.0</v>
      </c>
      <c r="AX58" s="20" t="s">
        <v>1813</v>
      </c>
      <c r="AY58" s="20" t="s">
        <v>1813</v>
      </c>
      <c r="AZ58" s="20" t="s">
        <v>1813</v>
      </c>
      <c r="BA58" s="20" t="s">
        <v>1813</v>
      </c>
      <c r="BB58" s="20">
        <v>646.0</v>
      </c>
      <c r="BC58" s="20">
        <v>654.0</v>
      </c>
      <c r="BD58" s="20" t="s">
        <v>1813</v>
      </c>
      <c r="BE58" s="20" t="s">
        <v>2923</v>
      </c>
      <c r="BF58" s="22" t="str">
        <f>HYPERLINK("http://dx.doi.org/10.1016/j.biocon.2007.12.009","http://dx.doi.org/10.1016/j.biocon.2007.12.009")</f>
        <v>http://dx.doi.org/10.1016/j.biocon.2007.12.009</v>
      </c>
      <c r="BG58" s="20" t="s">
        <v>1813</v>
      </c>
      <c r="BH58" s="20" t="s">
        <v>1813</v>
      </c>
      <c r="BI58" s="20">
        <v>9.0</v>
      </c>
      <c r="BJ58" s="20" t="s">
        <v>1860</v>
      </c>
      <c r="BK58" s="20" t="s">
        <v>1839</v>
      </c>
      <c r="BL58" s="20" t="s">
        <v>1840</v>
      </c>
      <c r="BM58" s="20" t="s">
        <v>2924</v>
      </c>
      <c r="BN58" s="20" t="s">
        <v>1813</v>
      </c>
      <c r="BO58" s="20" t="s">
        <v>1813</v>
      </c>
      <c r="BP58" s="20" t="s">
        <v>1813</v>
      </c>
      <c r="BQ58" s="20" t="s">
        <v>1813</v>
      </c>
      <c r="BR58" s="20" t="s">
        <v>1842</v>
      </c>
      <c r="BS58" s="20" t="s">
        <v>2925</v>
      </c>
      <c r="BT58" s="20" t="str">
        <f>HYPERLINK("https%3A%2F%2Fwww.webofscience.com%2Fwos%2Fwoscc%2Ffull-record%2FWOS:000254729500006","View Full Record in Web of Science")</f>
        <v>View Full Record in Web of Science</v>
      </c>
    </row>
    <row r="59" ht="12.75" customHeight="1">
      <c r="A59" s="20" t="s">
        <v>1811</v>
      </c>
      <c r="B59" s="20" t="s">
        <v>2926</v>
      </c>
      <c r="C59" s="20" t="s">
        <v>1813</v>
      </c>
      <c r="D59" s="20" t="s">
        <v>1813</v>
      </c>
      <c r="E59" s="20" t="s">
        <v>1813</v>
      </c>
      <c r="F59" s="20" t="s">
        <v>2927</v>
      </c>
      <c r="G59" s="20" t="s">
        <v>1813</v>
      </c>
      <c r="H59" s="20" t="s">
        <v>1813</v>
      </c>
      <c r="I59" s="20" t="s">
        <v>1507</v>
      </c>
      <c r="J59" s="20" t="s">
        <v>2040</v>
      </c>
      <c r="K59" s="20" t="s">
        <v>1813</v>
      </c>
      <c r="L59" s="20" t="s">
        <v>1813</v>
      </c>
      <c r="M59" s="20" t="s">
        <v>1816</v>
      </c>
      <c r="N59" s="20" t="s">
        <v>1817</v>
      </c>
      <c r="O59" s="20" t="s">
        <v>1813</v>
      </c>
      <c r="P59" s="20" t="s">
        <v>1813</v>
      </c>
      <c r="Q59" s="20" t="s">
        <v>1813</v>
      </c>
      <c r="R59" s="20" t="s">
        <v>1813</v>
      </c>
      <c r="S59" s="20" t="s">
        <v>1813</v>
      </c>
      <c r="T59" s="20" t="s">
        <v>2928</v>
      </c>
      <c r="U59" s="20" t="s">
        <v>2929</v>
      </c>
      <c r="V59" s="20" t="s">
        <v>2930</v>
      </c>
      <c r="W59" s="20" t="s">
        <v>2931</v>
      </c>
      <c r="X59" s="20" t="s">
        <v>1813</v>
      </c>
      <c r="Y59" s="20" t="s">
        <v>2932</v>
      </c>
      <c r="Z59" s="20" t="s">
        <v>2933</v>
      </c>
      <c r="AA59" s="20" t="s">
        <v>1813</v>
      </c>
      <c r="AB59" s="20" t="s">
        <v>1813</v>
      </c>
      <c r="AC59" s="20" t="s">
        <v>1813</v>
      </c>
      <c r="AD59" s="20" t="s">
        <v>1813</v>
      </c>
      <c r="AE59" s="20" t="s">
        <v>1813</v>
      </c>
      <c r="AF59" s="20" t="s">
        <v>1813</v>
      </c>
      <c r="AG59" s="20">
        <v>54.0</v>
      </c>
      <c r="AH59" s="20">
        <v>88.0</v>
      </c>
      <c r="AI59" s="20">
        <v>108.0</v>
      </c>
      <c r="AJ59" s="20">
        <v>6.0</v>
      </c>
      <c r="AK59" s="20">
        <v>185.0</v>
      </c>
      <c r="AL59" s="20" t="s">
        <v>2052</v>
      </c>
      <c r="AM59" s="20" t="s">
        <v>2053</v>
      </c>
      <c r="AN59" s="20" t="s">
        <v>2054</v>
      </c>
      <c r="AO59" s="20" t="s">
        <v>2055</v>
      </c>
      <c r="AP59" s="20" t="s">
        <v>2056</v>
      </c>
      <c r="AQ59" s="20" t="s">
        <v>1813</v>
      </c>
      <c r="AR59" s="20" t="s">
        <v>2057</v>
      </c>
      <c r="AS59" s="20" t="s">
        <v>2058</v>
      </c>
      <c r="AT59" s="20" t="s">
        <v>1916</v>
      </c>
      <c r="AU59" s="20">
        <v>2006.0</v>
      </c>
      <c r="AV59" s="20">
        <v>133.0</v>
      </c>
      <c r="AW59" s="20">
        <v>3.0</v>
      </c>
      <c r="AX59" s="20" t="s">
        <v>1813</v>
      </c>
      <c r="AY59" s="20" t="s">
        <v>1813</v>
      </c>
      <c r="AZ59" s="20" t="s">
        <v>1813</v>
      </c>
      <c r="BA59" s="20" t="s">
        <v>1813</v>
      </c>
      <c r="BB59" s="20">
        <v>389.0</v>
      </c>
      <c r="BC59" s="20">
        <v>396.0</v>
      </c>
      <c r="BD59" s="20" t="s">
        <v>1813</v>
      </c>
      <c r="BE59" s="20" t="s">
        <v>2934</v>
      </c>
      <c r="BF59" s="22" t="str">
        <f>HYPERLINK("http://dx.doi.org/10.1016/j.biocon.2006.06.015","http://dx.doi.org/10.1016/j.biocon.2006.06.015")</f>
        <v>http://dx.doi.org/10.1016/j.biocon.2006.06.015</v>
      </c>
      <c r="BG59" s="20" t="s">
        <v>1813</v>
      </c>
      <c r="BH59" s="20" t="s">
        <v>1813</v>
      </c>
      <c r="BI59" s="20">
        <v>8.0</v>
      </c>
      <c r="BJ59" s="20" t="s">
        <v>1860</v>
      </c>
      <c r="BK59" s="20" t="s">
        <v>1839</v>
      </c>
      <c r="BL59" s="20" t="s">
        <v>1840</v>
      </c>
      <c r="BM59" s="20" t="s">
        <v>2935</v>
      </c>
      <c r="BN59" s="20" t="s">
        <v>1813</v>
      </c>
      <c r="BO59" s="20" t="s">
        <v>1813</v>
      </c>
      <c r="BP59" s="20" t="s">
        <v>1813</v>
      </c>
      <c r="BQ59" s="20" t="s">
        <v>1813</v>
      </c>
      <c r="BR59" s="20" t="s">
        <v>1842</v>
      </c>
      <c r="BS59" s="20" t="s">
        <v>2936</v>
      </c>
      <c r="BT59" s="20" t="str">
        <f>HYPERLINK("https%3A%2F%2Fwww.webofscience.com%2Fwos%2Fwoscc%2Ffull-record%2FWOS:000242797500011","View Full Record in Web of Science")</f>
        <v>View Full Record in Web of Science</v>
      </c>
    </row>
    <row r="60" ht="12.75" customHeight="1">
      <c r="A60" s="20" t="s">
        <v>1811</v>
      </c>
      <c r="B60" s="20" t="s">
        <v>2937</v>
      </c>
      <c r="C60" s="20" t="s">
        <v>1813</v>
      </c>
      <c r="D60" s="20" t="s">
        <v>1813</v>
      </c>
      <c r="E60" s="20" t="s">
        <v>1813</v>
      </c>
      <c r="F60" s="20" t="s">
        <v>2938</v>
      </c>
      <c r="G60" s="20" t="s">
        <v>1813</v>
      </c>
      <c r="H60" s="20" t="s">
        <v>1813</v>
      </c>
      <c r="I60" s="20" t="s">
        <v>1389</v>
      </c>
      <c r="J60" s="20" t="s">
        <v>2271</v>
      </c>
      <c r="K60" s="20" t="s">
        <v>1813</v>
      </c>
      <c r="L60" s="20" t="s">
        <v>1813</v>
      </c>
      <c r="M60" s="20" t="s">
        <v>1816</v>
      </c>
      <c r="N60" s="20" t="s">
        <v>1817</v>
      </c>
      <c r="O60" s="20" t="s">
        <v>1813</v>
      </c>
      <c r="P60" s="20" t="s">
        <v>1813</v>
      </c>
      <c r="Q60" s="20" t="s">
        <v>1813</v>
      </c>
      <c r="R60" s="20" t="s">
        <v>1813</v>
      </c>
      <c r="S60" s="20" t="s">
        <v>1813</v>
      </c>
      <c r="T60" s="20" t="s">
        <v>1813</v>
      </c>
      <c r="U60" s="20" t="s">
        <v>2939</v>
      </c>
      <c r="V60" s="20" t="s">
        <v>2940</v>
      </c>
      <c r="W60" s="20" t="s">
        <v>2941</v>
      </c>
      <c r="X60" s="20" t="s">
        <v>2942</v>
      </c>
      <c r="Y60" s="20" t="s">
        <v>2943</v>
      </c>
      <c r="Z60" s="20" t="s">
        <v>2944</v>
      </c>
      <c r="AA60" s="20" t="s">
        <v>2945</v>
      </c>
      <c r="AB60" s="20" t="s">
        <v>2946</v>
      </c>
      <c r="AC60" s="20" t="s">
        <v>2947</v>
      </c>
      <c r="AD60" s="20" t="s">
        <v>2948</v>
      </c>
      <c r="AE60" s="20" t="s">
        <v>2949</v>
      </c>
      <c r="AF60" s="20" t="s">
        <v>1813</v>
      </c>
      <c r="AG60" s="20">
        <v>57.0</v>
      </c>
      <c r="AH60" s="20">
        <v>181.0</v>
      </c>
      <c r="AI60" s="20">
        <v>206.0</v>
      </c>
      <c r="AJ60" s="20">
        <v>2.0</v>
      </c>
      <c r="AK60" s="20">
        <v>224.0</v>
      </c>
      <c r="AL60" s="20" t="s">
        <v>1829</v>
      </c>
      <c r="AM60" s="20" t="s">
        <v>1830</v>
      </c>
      <c r="AN60" s="20" t="s">
        <v>1831</v>
      </c>
      <c r="AO60" s="20" t="s">
        <v>2283</v>
      </c>
      <c r="AP60" s="20" t="s">
        <v>2284</v>
      </c>
      <c r="AQ60" s="20" t="s">
        <v>1813</v>
      </c>
      <c r="AR60" s="20" t="s">
        <v>2271</v>
      </c>
      <c r="AS60" s="20" t="s">
        <v>2285</v>
      </c>
      <c r="AT60" s="20" t="s">
        <v>2396</v>
      </c>
      <c r="AU60" s="20">
        <v>2011.0</v>
      </c>
      <c r="AV60" s="20">
        <v>120.0</v>
      </c>
      <c r="AW60" s="20">
        <v>5.0</v>
      </c>
      <c r="AX60" s="20" t="s">
        <v>1813</v>
      </c>
      <c r="AY60" s="20" t="s">
        <v>1813</v>
      </c>
      <c r="AZ60" s="20" t="s">
        <v>1813</v>
      </c>
      <c r="BA60" s="20" t="s">
        <v>1813</v>
      </c>
      <c r="BB60" s="20">
        <v>661.0</v>
      </c>
      <c r="BC60" s="20">
        <v>674.0</v>
      </c>
      <c r="BD60" s="20" t="s">
        <v>1813</v>
      </c>
      <c r="BE60" s="20" t="s">
        <v>2950</v>
      </c>
      <c r="BF60" s="22" t="str">
        <f>HYPERLINK("http://dx.doi.org/10.1111/j.1600-0706.2010.19469.x","http://dx.doi.org/10.1111/j.1600-0706.2010.19469.x")</f>
        <v>http://dx.doi.org/10.1111/j.1600-0706.2010.19469.x</v>
      </c>
      <c r="BG60" s="20" t="s">
        <v>1813</v>
      </c>
      <c r="BH60" s="20" t="s">
        <v>1813</v>
      </c>
      <c r="BI60" s="20">
        <v>14.0</v>
      </c>
      <c r="BJ60" s="20" t="s">
        <v>1899</v>
      </c>
      <c r="BK60" s="20" t="s">
        <v>1839</v>
      </c>
      <c r="BL60" s="20" t="s">
        <v>1900</v>
      </c>
      <c r="BM60" s="20" t="s">
        <v>2951</v>
      </c>
      <c r="BN60" s="20" t="s">
        <v>1813</v>
      </c>
      <c r="BO60" s="20" t="s">
        <v>2267</v>
      </c>
      <c r="BP60" s="20" t="s">
        <v>1813</v>
      </c>
      <c r="BQ60" s="20" t="s">
        <v>1813</v>
      </c>
      <c r="BR60" s="20" t="s">
        <v>1842</v>
      </c>
      <c r="BS60" s="20" t="s">
        <v>2952</v>
      </c>
      <c r="BT60" s="20" t="str">
        <f>HYPERLINK("https%3A%2F%2Fwww.webofscience.com%2Fwos%2Fwoscc%2Ffull-record%2FWOS:000289740200003","View Full Record in Web of Science")</f>
        <v>View Full Record in Web of Science</v>
      </c>
    </row>
    <row r="61" ht="12.75" customHeight="1">
      <c r="A61" s="20" t="s">
        <v>1811</v>
      </c>
      <c r="B61" s="20" t="s">
        <v>2953</v>
      </c>
      <c r="C61" s="20" t="s">
        <v>1813</v>
      </c>
      <c r="D61" s="20" t="s">
        <v>1813</v>
      </c>
      <c r="E61" s="20" t="s">
        <v>1813</v>
      </c>
      <c r="F61" s="20" t="s">
        <v>2954</v>
      </c>
      <c r="G61" s="20" t="s">
        <v>1813</v>
      </c>
      <c r="H61" s="20" t="s">
        <v>1813</v>
      </c>
      <c r="I61" s="20" t="s">
        <v>1473</v>
      </c>
      <c r="J61" s="20" t="s">
        <v>2955</v>
      </c>
      <c r="K61" s="20" t="s">
        <v>1813</v>
      </c>
      <c r="L61" s="20" t="s">
        <v>1813</v>
      </c>
      <c r="M61" s="20" t="s">
        <v>1816</v>
      </c>
      <c r="N61" s="20" t="s">
        <v>1817</v>
      </c>
      <c r="O61" s="20" t="s">
        <v>1813</v>
      </c>
      <c r="P61" s="20" t="s">
        <v>1813</v>
      </c>
      <c r="Q61" s="20" t="s">
        <v>1813</v>
      </c>
      <c r="R61" s="20" t="s">
        <v>1813</v>
      </c>
      <c r="S61" s="20" t="s">
        <v>1813</v>
      </c>
      <c r="T61" s="20" t="s">
        <v>2956</v>
      </c>
      <c r="U61" s="20" t="s">
        <v>2957</v>
      </c>
      <c r="V61" s="20" t="s">
        <v>2958</v>
      </c>
      <c r="W61" s="20" t="s">
        <v>2959</v>
      </c>
      <c r="X61" s="20" t="s">
        <v>2960</v>
      </c>
      <c r="Y61" s="20" t="s">
        <v>2961</v>
      </c>
      <c r="Z61" s="20" t="s">
        <v>2962</v>
      </c>
      <c r="AA61" s="20" t="s">
        <v>1813</v>
      </c>
      <c r="AB61" s="20" t="s">
        <v>2963</v>
      </c>
      <c r="AC61" s="20" t="s">
        <v>2964</v>
      </c>
      <c r="AD61" s="20" t="s">
        <v>2965</v>
      </c>
      <c r="AE61" s="20" t="s">
        <v>2966</v>
      </c>
      <c r="AF61" s="20" t="s">
        <v>1813</v>
      </c>
      <c r="AG61" s="20">
        <v>80.0</v>
      </c>
      <c r="AH61" s="20">
        <v>63.0</v>
      </c>
      <c r="AI61" s="20">
        <v>68.0</v>
      </c>
      <c r="AJ61" s="20">
        <v>0.0</v>
      </c>
      <c r="AK61" s="20">
        <v>79.0</v>
      </c>
      <c r="AL61" s="20" t="s">
        <v>1852</v>
      </c>
      <c r="AM61" s="20" t="s">
        <v>1853</v>
      </c>
      <c r="AN61" s="20" t="s">
        <v>1854</v>
      </c>
      <c r="AO61" s="20" t="s">
        <v>2967</v>
      </c>
      <c r="AP61" s="20" t="s">
        <v>2968</v>
      </c>
      <c r="AQ61" s="20" t="s">
        <v>1813</v>
      </c>
      <c r="AR61" s="20" t="s">
        <v>2969</v>
      </c>
      <c r="AS61" s="20" t="s">
        <v>2970</v>
      </c>
      <c r="AT61" s="20" t="s">
        <v>1939</v>
      </c>
      <c r="AU61" s="20">
        <v>2010.0</v>
      </c>
      <c r="AV61" s="20">
        <v>12.0</v>
      </c>
      <c r="AW61" s="20">
        <v>6.0</v>
      </c>
      <c r="AX61" s="20" t="s">
        <v>1813</v>
      </c>
      <c r="AY61" s="20" t="s">
        <v>1813</v>
      </c>
      <c r="AZ61" s="20" t="s">
        <v>1813</v>
      </c>
      <c r="BA61" s="20" t="s">
        <v>1813</v>
      </c>
      <c r="BB61" s="20">
        <v>1891.0</v>
      </c>
      <c r="BC61" s="20">
        <v>1907.0</v>
      </c>
      <c r="BD61" s="20" t="s">
        <v>1813</v>
      </c>
      <c r="BE61" s="20" t="s">
        <v>2971</v>
      </c>
      <c r="BF61" s="22" t="str">
        <f>HYPERLINK("http://dx.doi.org/10.1007/s10530-009-9599-9","http://dx.doi.org/10.1007/s10530-009-9599-9")</f>
        <v>http://dx.doi.org/10.1007/s10530-009-9599-9</v>
      </c>
      <c r="BG61" s="20" t="s">
        <v>1813</v>
      </c>
      <c r="BH61" s="20" t="s">
        <v>1813</v>
      </c>
      <c r="BI61" s="20">
        <v>17.0</v>
      </c>
      <c r="BJ61" s="20" t="s">
        <v>1838</v>
      </c>
      <c r="BK61" s="20" t="s">
        <v>1839</v>
      </c>
      <c r="BL61" s="20" t="s">
        <v>1840</v>
      </c>
      <c r="BM61" s="20" t="s">
        <v>2972</v>
      </c>
      <c r="BN61" s="20" t="s">
        <v>1813</v>
      </c>
      <c r="BO61" s="20" t="s">
        <v>1813</v>
      </c>
      <c r="BP61" s="20" t="s">
        <v>1813</v>
      </c>
      <c r="BQ61" s="20" t="s">
        <v>1813</v>
      </c>
      <c r="BR61" s="20" t="s">
        <v>1842</v>
      </c>
      <c r="BS61" s="20" t="s">
        <v>2973</v>
      </c>
      <c r="BT61" s="20" t="str">
        <f>HYPERLINK("https%3A%2F%2Fwww.webofscience.com%2Fwos%2Fwoscc%2Ffull-record%2FWOS:000277410800042","View Full Record in Web of Science")</f>
        <v>View Full Record in Web of Science</v>
      </c>
    </row>
    <row r="62" ht="12.75" customHeight="1">
      <c r="A62" s="20" t="s">
        <v>1811</v>
      </c>
      <c r="B62" s="20" t="s">
        <v>2974</v>
      </c>
      <c r="C62" s="20" t="s">
        <v>1813</v>
      </c>
      <c r="D62" s="20" t="s">
        <v>1813</v>
      </c>
      <c r="E62" s="20" t="s">
        <v>1813</v>
      </c>
      <c r="F62" s="20" t="s">
        <v>2975</v>
      </c>
      <c r="G62" s="20" t="s">
        <v>1813</v>
      </c>
      <c r="H62" s="20" t="s">
        <v>1813</v>
      </c>
      <c r="I62" s="20" t="s">
        <v>1594</v>
      </c>
      <c r="J62" s="20" t="s">
        <v>2976</v>
      </c>
      <c r="K62" s="20" t="s">
        <v>1813</v>
      </c>
      <c r="L62" s="20" t="s">
        <v>1813</v>
      </c>
      <c r="M62" s="20" t="s">
        <v>1816</v>
      </c>
      <c r="N62" s="20" t="s">
        <v>1817</v>
      </c>
      <c r="O62" s="20" t="s">
        <v>1813</v>
      </c>
      <c r="P62" s="20" t="s">
        <v>1813</v>
      </c>
      <c r="Q62" s="20" t="s">
        <v>1813</v>
      </c>
      <c r="R62" s="20" t="s">
        <v>1813</v>
      </c>
      <c r="S62" s="20" t="s">
        <v>1813</v>
      </c>
      <c r="T62" s="20" t="s">
        <v>2977</v>
      </c>
      <c r="U62" s="20" t="s">
        <v>2978</v>
      </c>
      <c r="V62" s="20" t="s">
        <v>2979</v>
      </c>
      <c r="W62" s="20" t="s">
        <v>2980</v>
      </c>
      <c r="X62" s="20" t="s">
        <v>2981</v>
      </c>
      <c r="Y62" s="20" t="s">
        <v>2982</v>
      </c>
      <c r="Z62" s="20" t="s">
        <v>2983</v>
      </c>
      <c r="AA62" s="20" t="s">
        <v>1813</v>
      </c>
      <c r="AB62" s="20" t="s">
        <v>1813</v>
      </c>
      <c r="AC62" s="20" t="s">
        <v>2984</v>
      </c>
      <c r="AD62" s="20" t="s">
        <v>2985</v>
      </c>
      <c r="AE62" s="20" t="s">
        <v>2986</v>
      </c>
      <c r="AF62" s="20" t="s">
        <v>1813</v>
      </c>
      <c r="AG62" s="20">
        <v>48.0</v>
      </c>
      <c r="AH62" s="20">
        <v>34.0</v>
      </c>
      <c r="AI62" s="20">
        <v>40.0</v>
      </c>
      <c r="AJ62" s="20">
        <v>1.0</v>
      </c>
      <c r="AK62" s="20">
        <v>137.0</v>
      </c>
      <c r="AL62" s="20" t="s">
        <v>1852</v>
      </c>
      <c r="AM62" s="20" t="s">
        <v>1853</v>
      </c>
      <c r="AN62" s="20" t="s">
        <v>1854</v>
      </c>
      <c r="AO62" s="20" t="s">
        <v>2987</v>
      </c>
      <c r="AP62" s="20" t="s">
        <v>2988</v>
      </c>
      <c r="AQ62" s="20" t="s">
        <v>1813</v>
      </c>
      <c r="AR62" s="20" t="s">
        <v>2989</v>
      </c>
      <c r="AS62" s="20" t="s">
        <v>2990</v>
      </c>
      <c r="AT62" s="20" t="s">
        <v>2082</v>
      </c>
      <c r="AU62" s="20">
        <v>2012.0</v>
      </c>
      <c r="AV62" s="20">
        <v>213.0</v>
      </c>
      <c r="AW62" s="20">
        <v>8.0</v>
      </c>
      <c r="AX62" s="20" t="s">
        <v>1813</v>
      </c>
      <c r="AY62" s="20" t="s">
        <v>1813</v>
      </c>
      <c r="AZ62" s="20" t="s">
        <v>1813</v>
      </c>
      <c r="BA62" s="20" t="s">
        <v>1813</v>
      </c>
      <c r="BB62" s="20">
        <v>1277.0</v>
      </c>
      <c r="BC62" s="20">
        <v>1287.0</v>
      </c>
      <c r="BD62" s="20" t="s">
        <v>1813</v>
      </c>
      <c r="BE62" s="20" t="s">
        <v>2991</v>
      </c>
      <c r="BF62" s="22" t="str">
        <f>HYPERLINK("http://dx.doi.org/10.1007/s11258-012-0085-6","http://dx.doi.org/10.1007/s11258-012-0085-6")</f>
        <v>http://dx.doi.org/10.1007/s11258-012-0085-6</v>
      </c>
      <c r="BG62" s="20" t="s">
        <v>1813</v>
      </c>
      <c r="BH62" s="20" t="s">
        <v>1813</v>
      </c>
      <c r="BI62" s="20">
        <v>11.0</v>
      </c>
      <c r="BJ62" s="20" t="s">
        <v>2992</v>
      </c>
      <c r="BK62" s="20" t="s">
        <v>1839</v>
      </c>
      <c r="BL62" s="20" t="s">
        <v>2993</v>
      </c>
      <c r="BM62" s="20" t="s">
        <v>2994</v>
      </c>
      <c r="BN62" s="20" t="s">
        <v>1813</v>
      </c>
      <c r="BO62" s="20" t="s">
        <v>1813</v>
      </c>
      <c r="BP62" s="20" t="s">
        <v>1813</v>
      </c>
      <c r="BQ62" s="20" t="s">
        <v>1813</v>
      </c>
      <c r="BR62" s="20" t="s">
        <v>1842</v>
      </c>
      <c r="BS62" s="20" t="s">
        <v>2995</v>
      </c>
      <c r="BT62" s="20" t="str">
        <f>HYPERLINK("https%3A%2F%2Fwww.webofscience.com%2Fwos%2Fwoscc%2Ffull-record%2FWOS:000306694200007","View Full Record in Web of Science")</f>
        <v>View Full Record in Web of Science</v>
      </c>
    </row>
    <row r="63" ht="12.75" customHeight="1">
      <c r="A63" s="20" t="s">
        <v>1811</v>
      </c>
      <c r="B63" s="20" t="s">
        <v>2996</v>
      </c>
      <c r="C63" s="20" t="s">
        <v>1813</v>
      </c>
      <c r="D63" s="20" t="s">
        <v>1813</v>
      </c>
      <c r="E63" s="20" t="s">
        <v>1813</v>
      </c>
      <c r="F63" s="20" t="s">
        <v>2997</v>
      </c>
      <c r="G63" s="20" t="s">
        <v>1813</v>
      </c>
      <c r="H63" s="20" t="s">
        <v>1813</v>
      </c>
      <c r="I63" s="20" t="s">
        <v>1562</v>
      </c>
      <c r="J63" s="20" t="s">
        <v>2955</v>
      </c>
      <c r="K63" s="20" t="s">
        <v>1813</v>
      </c>
      <c r="L63" s="20" t="s">
        <v>1813</v>
      </c>
      <c r="M63" s="20" t="s">
        <v>1816</v>
      </c>
      <c r="N63" s="20" t="s">
        <v>1817</v>
      </c>
      <c r="O63" s="20" t="s">
        <v>1813</v>
      </c>
      <c r="P63" s="20" t="s">
        <v>1813</v>
      </c>
      <c r="Q63" s="20" t="s">
        <v>1813</v>
      </c>
      <c r="R63" s="20" t="s">
        <v>1813</v>
      </c>
      <c r="S63" s="20" t="s">
        <v>1813</v>
      </c>
      <c r="T63" s="20" t="s">
        <v>2998</v>
      </c>
      <c r="U63" s="20" t="s">
        <v>2999</v>
      </c>
      <c r="V63" s="20" t="s">
        <v>3000</v>
      </c>
      <c r="W63" s="20" t="s">
        <v>3001</v>
      </c>
      <c r="X63" s="20" t="s">
        <v>3002</v>
      </c>
      <c r="Y63" s="20" t="s">
        <v>3003</v>
      </c>
      <c r="Z63" s="20" t="s">
        <v>3004</v>
      </c>
      <c r="AA63" s="20" t="s">
        <v>1813</v>
      </c>
      <c r="AB63" s="20" t="s">
        <v>3005</v>
      </c>
      <c r="AC63" s="20" t="s">
        <v>3006</v>
      </c>
      <c r="AD63" s="20" t="s">
        <v>3007</v>
      </c>
      <c r="AE63" s="20" t="s">
        <v>3008</v>
      </c>
      <c r="AF63" s="20" t="s">
        <v>1813</v>
      </c>
      <c r="AG63" s="20">
        <v>57.0</v>
      </c>
      <c r="AH63" s="20">
        <v>37.0</v>
      </c>
      <c r="AI63" s="20">
        <v>51.0</v>
      </c>
      <c r="AJ63" s="20">
        <v>1.0</v>
      </c>
      <c r="AK63" s="20">
        <v>87.0</v>
      </c>
      <c r="AL63" s="20" t="s">
        <v>1852</v>
      </c>
      <c r="AM63" s="20" t="s">
        <v>1853</v>
      </c>
      <c r="AN63" s="20" t="s">
        <v>1854</v>
      </c>
      <c r="AO63" s="20" t="s">
        <v>2967</v>
      </c>
      <c r="AP63" s="20" t="s">
        <v>1813</v>
      </c>
      <c r="AQ63" s="20" t="s">
        <v>1813</v>
      </c>
      <c r="AR63" s="20" t="s">
        <v>2969</v>
      </c>
      <c r="AS63" s="20" t="s">
        <v>2970</v>
      </c>
      <c r="AT63" s="20" t="s">
        <v>2527</v>
      </c>
      <c r="AU63" s="20">
        <v>2008.0</v>
      </c>
      <c r="AV63" s="20">
        <v>10.0</v>
      </c>
      <c r="AW63" s="20">
        <v>7.0</v>
      </c>
      <c r="AX63" s="20" t="s">
        <v>1813</v>
      </c>
      <c r="AY63" s="20" t="s">
        <v>1813</v>
      </c>
      <c r="AZ63" s="20" t="s">
        <v>1813</v>
      </c>
      <c r="BA63" s="20" t="s">
        <v>1813</v>
      </c>
      <c r="BB63" s="20">
        <v>1159.0</v>
      </c>
      <c r="BC63" s="20">
        <v>1169.0</v>
      </c>
      <c r="BD63" s="20" t="s">
        <v>1813</v>
      </c>
      <c r="BE63" s="20" t="s">
        <v>3009</v>
      </c>
      <c r="BF63" s="22" t="str">
        <f>HYPERLINK("http://dx.doi.org/10.1007/s10530-007-9193-y","http://dx.doi.org/10.1007/s10530-007-9193-y")</f>
        <v>http://dx.doi.org/10.1007/s10530-007-9193-y</v>
      </c>
      <c r="BG63" s="20" t="s">
        <v>1813</v>
      </c>
      <c r="BH63" s="20" t="s">
        <v>1813</v>
      </c>
      <c r="BI63" s="20">
        <v>11.0</v>
      </c>
      <c r="BJ63" s="20" t="s">
        <v>1838</v>
      </c>
      <c r="BK63" s="20" t="s">
        <v>1839</v>
      </c>
      <c r="BL63" s="20" t="s">
        <v>1840</v>
      </c>
      <c r="BM63" s="20" t="s">
        <v>3010</v>
      </c>
      <c r="BN63" s="20" t="s">
        <v>1813</v>
      </c>
      <c r="BO63" s="20" t="s">
        <v>1813</v>
      </c>
      <c r="BP63" s="20" t="s">
        <v>1813</v>
      </c>
      <c r="BQ63" s="20" t="s">
        <v>1813</v>
      </c>
      <c r="BR63" s="20" t="s">
        <v>1842</v>
      </c>
      <c r="BS63" s="20" t="s">
        <v>3011</v>
      </c>
      <c r="BT63" s="20" t="str">
        <f>HYPERLINK("https%3A%2F%2Fwww.webofscience.com%2Fwos%2Fwoscc%2Ffull-record%2FWOS:000258704400021","View Full Record in Web of Science")</f>
        <v>View Full Record in Web of Science</v>
      </c>
    </row>
    <row r="64" ht="12.75" customHeight="1">
      <c r="A64" s="20" t="s">
        <v>1811</v>
      </c>
      <c r="B64" s="20" t="s">
        <v>3012</v>
      </c>
      <c r="C64" s="20" t="s">
        <v>1813</v>
      </c>
      <c r="D64" s="20" t="s">
        <v>1813</v>
      </c>
      <c r="E64" s="20" t="s">
        <v>1813</v>
      </c>
      <c r="F64" s="20" t="s">
        <v>3013</v>
      </c>
      <c r="G64" s="20" t="s">
        <v>1813</v>
      </c>
      <c r="H64" s="20" t="s">
        <v>1813</v>
      </c>
      <c r="I64" s="20" t="s">
        <v>1665</v>
      </c>
      <c r="J64" s="20" t="s">
        <v>2546</v>
      </c>
      <c r="K64" s="20" t="s">
        <v>1813</v>
      </c>
      <c r="L64" s="20" t="s">
        <v>1813</v>
      </c>
      <c r="M64" s="20" t="s">
        <v>1816</v>
      </c>
      <c r="N64" s="20" t="s">
        <v>1817</v>
      </c>
      <c r="O64" s="20" t="s">
        <v>1813</v>
      </c>
      <c r="P64" s="20" t="s">
        <v>1813</v>
      </c>
      <c r="Q64" s="20" t="s">
        <v>1813</v>
      </c>
      <c r="R64" s="20" t="s">
        <v>1813</v>
      </c>
      <c r="S64" s="20" t="s">
        <v>1813</v>
      </c>
      <c r="T64" s="20" t="s">
        <v>3014</v>
      </c>
      <c r="U64" s="20" t="s">
        <v>3015</v>
      </c>
      <c r="V64" s="20" t="s">
        <v>3016</v>
      </c>
      <c r="W64" s="20" t="s">
        <v>3017</v>
      </c>
      <c r="X64" s="20" t="s">
        <v>3018</v>
      </c>
      <c r="Y64" s="20" t="s">
        <v>3019</v>
      </c>
      <c r="Z64" s="20" t="s">
        <v>3020</v>
      </c>
      <c r="AA64" s="20" t="s">
        <v>3021</v>
      </c>
      <c r="AB64" s="20" t="s">
        <v>3022</v>
      </c>
      <c r="AC64" s="20" t="s">
        <v>1813</v>
      </c>
      <c r="AD64" s="20" t="s">
        <v>1813</v>
      </c>
      <c r="AE64" s="20" t="s">
        <v>1813</v>
      </c>
      <c r="AF64" s="20" t="s">
        <v>1813</v>
      </c>
      <c r="AG64" s="20">
        <v>51.0</v>
      </c>
      <c r="AH64" s="20">
        <v>295.0</v>
      </c>
      <c r="AI64" s="20">
        <v>360.0</v>
      </c>
      <c r="AJ64" s="20">
        <v>5.0</v>
      </c>
      <c r="AK64" s="20">
        <v>310.0</v>
      </c>
      <c r="AL64" s="20" t="s">
        <v>1852</v>
      </c>
      <c r="AM64" s="20" t="s">
        <v>2559</v>
      </c>
      <c r="AN64" s="20" t="s">
        <v>3023</v>
      </c>
      <c r="AO64" s="20" t="s">
        <v>2561</v>
      </c>
      <c r="AP64" s="20" t="s">
        <v>2562</v>
      </c>
      <c r="AQ64" s="20" t="s">
        <v>1813</v>
      </c>
      <c r="AR64" s="20" t="s">
        <v>2546</v>
      </c>
      <c r="AS64" s="20" t="s">
        <v>2563</v>
      </c>
      <c r="AT64" s="20" t="s">
        <v>2059</v>
      </c>
      <c r="AU64" s="20">
        <v>2008.0</v>
      </c>
      <c r="AV64" s="20">
        <v>155.0</v>
      </c>
      <c r="AW64" s="20">
        <v>4.0</v>
      </c>
      <c r="AX64" s="20" t="s">
        <v>1813</v>
      </c>
      <c r="AY64" s="20" t="s">
        <v>1813</v>
      </c>
      <c r="AZ64" s="20" t="s">
        <v>1813</v>
      </c>
      <c r="BA64" s="20" t="s">
        <v>1813</v>
      </c>
      <c r="BB64" s="20">
        <v>761.0</v>
      </c>
      <c r="BC64" s="20">
        <v>770.0</v>
      </c>
      <c r="BD64" s="20" t="s">
        <v>1813</v>
      </c>
      <c r="BE64" s="20" t="s">
        <v>3024</v>
      </c>
      <c r="BF64" s="22" t="str">
        <f>HYPERLINK("http://dx.doi.org/10.1007/s00442-007-0946-1","http://dx.doi.org/10.1007/s00442-007-0946-1")</f>
        <v>http://dx.doi.org/10.1007/s00442-007-0946-1</v>
      </c>
      <c r="BG64" s="20" t="s">
        <v>1813</v>
      </c>
      <c r="BH64" s="20" t="s">
        <v>1813</v>
      </c>
      <c r="BI64" s="20">
        <v>10.0</v>
      </c>
      <c r="BJ64" s="20" t="s">
        <v>1899</v>
      </c>
      <c r="BK64" s="20" t="s">
        <v>1839</v>
      </c>
      <c r="BL64" s="20" t="s">
        <v>1900</v>
      </c>
      <c r="BM64" s="20" t="s">
        <v>3025</v>
      </c>
      <c r="BN64" s="20">
        <v>1.8188603E7</v>
      </c>
      <c r="BO64" s="20" t="s">
        <v>2267</v>
      </c>
      <c r="BP64" s="20" t="s">
        <v>1813</v>
      </c>
      <c r="BQ64" s="20" t="s">
        <v>1813</v>
      </c>
      <c r="BR64" s="20" t="s">
        <v>1842</v>
      </c>
      <c r="BS64" s="20" t="s">
        <v>3026</v>
      </c>
      <c r="BT64" s="20" t="str">
        <f>HYPERLINK("https%3A%2F%2Fwww.webofscience.com%2Fwos%2Fwoscc%2Ffull-record%2FWOS:000254238700010","View Full Record in Web of Science")</f>
        <v>View Full Record in Web of Science</v>
      </c>
    </row>
    <row r="65" ht="12.75" customHeight="1">
      <c r="A65" s="20" t="s">
        <v>1811</v>
      </c>
      <c r="B65" s="20" t="s">
        <v>3027</v>
      </c>
      <c r="C65" s="20" t="s">
        <v>1813</v>
      </c>
      <c r="D65" s="20" t="s">
        <v>1813</v>
      </c>
      <c r="E65" s="20" t="s">
        <v>1813</v>
      </c>
      <c r="F65" s="20" t="s">
        <v>3028</v>
      </c>
      <c r="G65" s="20" t="s">
        <v>1813</v>
      </c>
      <c r="H65" s="20" t="s">
        <v>1813</v>
      </c>
      <c r="I65" s="20" t="s">
        <v>3029</v>
      </c>
      <c r="J65" s="20" t="s">
        <v>3030</v>
      </c>
      <c r="K65" s="20" t="s">
        <v>1813</v>
      </c>
      <c r="L65" s="20" t="s">
        <v>1813</v>
      </c>
      <c r="M65" s="20" t="s">
        <v>1816</v>
      </c>
      <c r="N65" s="20" t="s">
        <v>1817</v>
      </c>
      <c r="O65" s="20" t="s">
        <v>1813</v>
      </c>
      <c r="P65" s="20" t="s">
        <v>1813</v>
      </c>
      <c r="Q65" s="20" t="s">
        <v>1813</v>
      </c>
      <c r="R65" s="20" t="s">
        <v>1813</v>
      </c>
      <c r="S65" s="20" t="s">
        <v>1813</v>
      </c>
      <c r="T65" s="20" t="s">
        <v>3031</v>
      </c>
      <c r="U65" s="20" t="s">
        <v>3032</v>
      </c>
      <c r="V65" s="20" t="s">
        <v>3033</v>
      </c>
      <c r="W65" s="20" t="s">
        <v>3034</v>
      </c>
      <c r="X65" s="20" t="s">
        <v>3035</v>
      </c>
      <c r="Y65" s="20" t="s">
        <v>3036</v>
      </c>
      <c r="Z65" s="20" t="s">
        <v>3037</v>
      </c>
      <c r="AA65" s="20" t="s">
        <v>3038</v>
      </c>
      <c r="AB65" s="20" t="s">
        <v>3039</v>
      </c>
      <c r="AC65" s="20" t="s">
        <v>3040</v>
      </c>
      <c r="AD65" s="20" t="s">
        <v>3041</v>
      </c>
      <c r="AE65" s="20" t="s">
        <v>3042</v>
      </c>
      <c r="AF65" s="20" t="s">
        <v>1813</v>
      </c>
      <c r="AG65" s="20">
        <v>53.0</v>
      </c>
      <c r="AH65" s="20">
        <v>76.0</v>
      </c>
      <c r="AI65" s="20">
        <v>93.0</v>
      </c>
      <c r="AJ65" s="20">
        <v>1.0</v>
      </c>
      <c r="AK65" s="20">
        <v>51.0</v>
      </c>
      <c r="AL65" s="20" t="s">
        <v>2158</v>
      </c>
      <c r="AM65" s="20" t="s">
        <v>2159</v>
      </c>
      <c r="AN65" s="20" t="s">
        <v>2160</v>
      </c>
      <c r="AO65" s="20" t="s">
        <v>3043</v>
      </c>
      <c r="AP65" s="20" t="s">
        <v>3044</v>
      </c>
      <c r="AQ65" s="20" t="s">
        <v>1813</v>
      </c>
      <c r="AR65" s="20" t="s">
        <v>3030</v>
      </c>
      <c r="AS65" s="20" t="s">
        <v>3045</v>
      </c>
      <c r="AT65" s="20" t="s">
        <v>1813</v>
      </c>
      <c r="AU65" s="20">
        <v>2011.0</v>
      </c>
      <c r="AV65" s="20">
        <v>206.0</v>
      </c>
      <c r="AW65" s="20">
        <v>3.0</v>
      </c>
      <c r="AX65" s="20" t="s">
        <v>1813</v>
      </c>
      <c r="AY65" s="20" t="s">
        <v>1813</v>
      </c>
      <c r="AZ65" s="20" t="s">
        <v>1813</v>
      </c>
      <c r="BA65" s="20" t="s">
        <v>1813</v>
      </c>
      <c r="BB65" s="20">
        <v>233.0</v>
      </c>
      <c r="BC65" s="20">
        <v>240.0</v>
      </c>
      <c r="BD65" s="20" t="s">
        <v>1813</v>
      </c>
      <c r="BE65" s="20" t="s">
        <v>3046</v>
      </c>
      <c r="BF65" s="22" t="str">
        <f>HYPERLINK("http://dx.doi.org/10.1016/j.flora.2010.09.004","http://dx.doi.org/10.1016/j.flora.2010.09.004")</f>
        <v>http://dx.doi.org/10.1016/j.flora.2010.09.004</v>
      </c>
      <c r="BG65" s="20" t="s">
        <v>1813</v>
      </c>
      <c r="BH65" s="20" t="s">
        <v>1813</v>
      </c>
      <c r="BI65" s="20">
        <v>8.0</v>
      </c>
      <c r="BJ65" s="20" t="s">
        <v>2482</v>
      </c>
      <c r="BK65" s="20" t="s">
        <v>1839</v>
      </c>
      <c r="BL65" s="20" t="s">
        <v>2483</v>
      </c>
      <c r="BM65" s="20" t="s">
        <v>3047</v>
      </c>
      <c r="BN65" s="20" t="s">
        <v>1813</v>
      </c>
      <c r="BO65" s="20" t="s">
        <v>3048</v>
      </c>
      <c r="BP65" s="20" t="s">
        <v>1813</v>
      </c>
      <c r="BQ65" s="20" t="s">
        <v>1813</v>
      </c>
      <c r="BR65" s="20" t="s">
        <v>1842</v>
      </c>
      <c r="BS65" s="20" t="s">
        <v>3049</v>
      </c>
      <c r="BT65" s="20" t="str">
        <f>HYPERLINK("https%3A%2F%2Fwww.webofscience.com%2Fwos%2Fwoscc%2Ffull-record%2FWOS:000289708300008","View Full Record in Web of Science")</f>
        <v>View Full Record in Web of Science</v>
      </c>
    </row>
    <row r="66" ht="12.75" customHeight="1">
      <c r="A66" s="20" t="s">
        <v>1811</v>
      </c>
      <c r="B66" s="20" t="s">
        <v>3050</v>
      </c>
      <c r="C66" s="20" t="s">
        <v>1813</v>
      </c>
      <c r="D66" s="20" t="s">
        <v>1813</v>
      </c>
      <c r="E66" s="20" t="s">
        <v>1813</v>
      </c>
      <c r="F66" s="20" t="s">
        <v>3050</v>
      </c>
      <c r="G66" s="20" t="s">
        <v>1813</v>
      </c>
      <c r="H66" s="20" t="s">
        <v>1813</v>
      </c>
      <c r="I66" s="20" t="s">
        <v>1511</v>
      </c>
      <c r="J66" s="20" t="s">
        <v>2976</v>
      </c>
      <c r="K66" s="20" t="s">
        <v>1813</v>
      </c>
      <c r="L66" s="20" t="s">
        <v>1813</v>
      </c>
      <c r="M66" s="20" t="s">
        <v>1816</v>
      </c>
      <c r="N66" s="20" t="s">
        <v>1817</v>
      </c>
      <c r="O66" s="20" t="s">
        <v>1813</v>
      </c>
      <c r="P66" s="20" t="s">
        <v>1813</v>
      </c>
      <c r="Q66" s="20" t="s">
        <v>1813</v>
      </c>
      <c r="R66" s="20" t="s">
        <v>1813</v>
      </c>
      <c r="S66" s="20" t="s">
        <v>1813</v>
      </c>
      <c r="T66" s="20" t="s">
        <v>3051</v>
      </c>
      <c r="U66" s="20" t="s">
        <v>3052</v>
      </c>
      <c r="V66" s="20" t="s">
        <v>3053</v>
      </c>
      <c r="W66" s="20" t="s">
        <v>3054</v>
      </c>
      <c r="X66" s="20" t="s">
        <v>3055</v>
      </c>
      <c r="Y66" s="20" t="s">
        <v>3056</v>
      </c>
      <c r="Z66" s="20" t="s">
        <v>1813</v>
      </c>
      <c r="AA66" s="20" t="s">
        <v>3057</v>
      </c>
      <c r="AB66" s="20" t="s">
        <v>3058</v>
      </c>
      <c r="AC66" s="20" t="s">
        <v>1813</v>
      </c>
      <c r="AD66" s="20" t="s">
        <v>1813</v>
      </c>
      <c r="AE66" s="20" t="s">
        <v>1813</v>
      </c>
      <c r="AF66" s="20" t="s">
        <v>1813</v>
      </c>
      <c r="AG66" s="20">
        <v>55.0</v>
      </c>
      <c r="AH66" s="20">
        <v>80.0</v>
      </c>
      <c r="AI66" s="20">
        <v>96.0</v>
      </c>
      <c r="AJ66" s="20">
        <v>1.0</v>
      </c>
      <c r="AK66" s="20">
        <v>106.0</v>
      </c>
      <c r="AL66" s="20" t="s">
        <v>3059</v>
      </c>
      <c r="AM66" s="20" t="s">
        <v>1853</v>
      </c>
      <c r="AN66" s="20" t="s">
        <v>1854</v>
      </c>
      <c r="AO66" s="20" t="s">
        <v>2987</v>
      </c>
      <c r="AP66" s="20" t="s">
        <v>1813</v>
      </c>
      <c r="AQ66" s="20" t="s">
        <v>1813</v>
      </c>
      <c r="AR66" s="20" t="s">
        <v>2989</v>
      </c>
      <c r="AS66" s="20" t="s">
        <v>2990</v>
      </c>
      <c r="AT66" s="20" t="s">
        <v>1836</v>
      </c>
      <c r="AU66" s="20">
        <v>2002.0</v>
      </c>
      <c r="AV66" s="20">
        <v>162.0</v>
      </c>
      <c r="AW66" s="20">
        <v>1.0</v>
      </c>
      <c r="AX66" s="20" t="s">
        <v>1813</v>
      </c>
      <c r="AY66" s="20" t="s">
        <v>1813</v>
      </c>
      <c r="AZ66" s="20" t="s">
        <v>1813</v>
      </c>
      <c r="BA66" s="20" t="s">
        <v>1813</v>
      </c>
      <c r="BB66" s="20">
        <v>77.0</v>
      </c>
      <c r="BC66" s="20">
        <v>90.0</v>
      </c>
      <c r="BD66" s="20" t="s">
        <v>1813</v>
      </c>
      <c r="BE66" s="20" t="s">
        <v>3060</v>
      </c>
      <c r="BF66" s="22" t="str">
        <f>HYPERLINK("http://dx.doi.org/10.1023/A:1020332824836","http://dx.doi.org/10.1023/A:1020332824836")</f>
        <v>http://dx.doi.org/10.1023/A:1020332824836</v>
      </c>
      <c r="BG66" s="20" t="s">
        <v>1813</v>
      </c>
      <c r="BH66" s="20" t="s">
        <v>1813</v>
      </c>
      <c r="BI66" s="20">
        <v>14.0</v>
      </c>
      <c r="BJ66" s="20" t="s">
        <v>2992</v>
      </c>
      <c r="BK66" s="20" t="s">
        <v>1839</v>
      </c>
      <c r="BL66" s="20" t="s">
        <v>2993</v>
      </c>
      <c r="BM66" s="20" t="s">
        <v>3061</v>
      </c>
      <c r="BN66" s="20" t="s">
        <v>1813</v>
      </c>
      <c r="BO66" s="20" t="s">
        <v>1813</v>
      </c>
      <c r="BP66" s="20" t="s">
        <v>1813</v>
      </c>
      <c r="BQ66" s="20" t="s">
        <v>1813</v>
      </c>
      <c r="BR66" s="20" t="s">
        <v>1842</v>
      </c>
      <c r="BS66" s="20" t="s">
        <v>3062</v>
      </c>
      <c r="BT66" s="20" t="str">
        <f>HYPERLINK("https%3A%2F%2Fwww.webofscience.com%2Fwos%2Fwoscc%2Ffull-record%2FWOS:000178213200007","View Full Record in Web of Science")</f>
        <v>View Full Record in Web of Science</v>
      </c>
    </row>
    <row r="67" ht="12.75" customHeight="1">
      <c r="A67" s="20" t="s">
        <v>1811</v>
      </c>
      <c r="B67" s="20" t="s">
        <v>3063</v>
      </c>
      <c r="C67" s="20" t="s">
        <v>1813</v>
      </c>
      <c r="D67" s="20" t="s">
        <v>1813</v>
      </c>
      <c r="E67" s="20" t="s">
        <v>1813</v>
      </c>
      <c r="F67" s="20" t="s">
        <v>3064</v>
      </c>
      <c r="G67" s="20" t="s">
        <v>1813</v>
      </c>
      <c r="H67" s="20" t="s">
        <v>1813</v>
      </c>
      <c r="I67" s="20" t="s">
        <v>1349</v>
      </c>
      <c r="J67" s="20" t="s">
        <v>2040</v>
      </c>
      <c r="K67" s="20" t="s">
        <v>1813</v>
      </c>
      <c r="L67" s="20" t="s">
        <v>1813</v>
      </c>
      <c r="M67" s="20" t="s">
        <v>1816</v>
      </c>
      <c r="N67" s="20" t="s">
        <v>1817</v>
      </c>
      <c r="O67" s="20" t="s">
        <v>1813</v>
      </c>
      <c r="P67" s="20" t="s">
        <v>1813</v>
      </c>
      <c r="Q67" s="20" t="s">
        <v>1813</v>
      </c>
      <c r="R67" s="20" t="s">
        <v>1813</v>
      </c>
      <c r="S67" s="20" t="s">
        <v>1813</v>
      </c>
      <c r="T67" s="20" t="s">
        <v>3065</v>
      </c>
      <c r="U67" s="20" t="s">
        <v>3066</v>
      </c>
      <c r="V67" s="20" t="s">
        <v>3067</v>
      </c>
      <c r="W67" s="20" t="s">
        <v>3068</v>
      </c>
      <c r="X67" s="20" t="s">
        <v>3069</v>
      </c>
      <c r="Y67" s="20" t="s">
        <v>3070</v>
      </c>
      <c r="Z67" s="20" t="s">
        <v>3071</v>
      </c>
      <c r="AA67" s="20" t="s">
        <v>3072</v>
      </c>
      <c r="AB67" s="20" t="s">
        <v>3073</v>
      </c>
      <c r="AC67" s="20" t="s">
        <v>1813</v>
      </c>
      <c r="AD67" s="20" t="s">
        <v>1813</v>
      </c>
      <c r="AE67" s="20" t="s">
        <v>1813</v>
      </c>
      <c r="AF67" s="20" t="s">
        <v>1813</v>
      </c>
      <c r="AG67" s="20">
        <v>43.0</v>
      </c>
      <c r="AH67" s="20">
        <v>89.0</v>
      </c>
      <c r="AI67" s="20">
        <v>109.0</v>
      </c>
      <c r="AJ67" s="20">
        <v>2.0</v>
      </c>
      <c r="AK67" s="20">
        <v>93.0</v>
      </c>
      <c r="AL67" s="20" t="s">
        <v>2052</v>
      </c>
      <c r="AM67" s="20" t="s">
        <v>2053</v>
      </c>
      <c r="AN67" s="20" t="s">
        <v>2054</v>
      </c>
      <c r="AO67" s="20" t="s">
        <v>2055</v>
      </c>
      <c r="AP67" s="20" t="s">
        <v>2056</v>
      </c>
      <c r="AQ67" s="20" t="s">
        <v>1813</v>
      </c>
      <c r="AR67" s="20" t="s">
        <v>2057</v>
      </c>
      <c r="AS67" s="20" t="s">
        <v>2058</v>
      </c>
      <c r="AT67" s="20" t="s">
        <v>2396</v>
      </c>
      <c r="AU67" s="20">
        <v>2007.0</v>
      </c>
      <c r="AV67" s="20">
        <v>136.0</v>
      </c>
      <c r="AW67" s="20">
        <v>4.0</v>
      </c>
      <c r="AX67" s="20" t="s">
        <v>1813</v>
      </c>
      <c r="AY67" s="20" t="s">
        <v>1813</v>
      </c>
      <c r="AZ67" s="20" t="s">
        <v>1813</v>
      </c>
      <c r="BA67" s="20" t="s">
        <v>1813</v>
      </c>
      <c r="BB67" s="20">
        <v>612.0</v>
      </c>
      <c r="BC67" s="20">
        <v>617.0</v>
      </c>
      <c r="BD67" s="20" t="s">
        <v>1813</v>
      </c>
      <c r="BE67" s="20" t="s">
        <v>3074</v>
      </c>
      <c r="BF67" s="22" t="str">
        <f>HYPERLINK("http://dx.doi.org/10.1016/j.biocon.2007.01.005","http://dx.doi.org/10.1016/j.biocon.2007.01.005")</f>
        <v>http://dx.doi.org/10.1016/j.biocon.2007.01.005</v>
      </c>
      <c r="BG67" s="20" t="s">
        <v>1813</v>
      </c>
      <c r="BH67" s="20" t="s">
        <v>1813</v>
      </c>
      <c r="BI67" s="20">
        <v>6.0</v>
      </c>
      <c r="BJ67" s="20" t="s">
        <v>1860</v>
      </c>
      <c r="BK67" s="20" t="s">
        <v>1839</v>
      </c>
      <c r="BL67" s="20" t="s">
        <v>1840</v>
      </c>
      <c r="BM67" s="20" t="s">
        <v>3075</v>
      </c>
      <c r="BN67" s="20" t="s">
        <v>1813</v>
      </c>
      <c r="BO67" s="20" t="s">
        <v>3076</v>
      </c>
      <c r="BP67" s="20" t="s">
        <v>1813</v>
      </c>
      <c r="BQ67" s="20" t="s">
        <v>1813</v>
      </c>
      <c r="BR67" s="20" t="s">
        <v>1842</v>
      </c>
      <c r="BS67" s="20" t="s">
        <v>3077</v>
      </c>
      <c r="BT67" s="20" t="str">
        <f>HYPERLINK("https%3A%2F%2Fwww.webofscience.com%2Fwos%2Fwoscc%2Ffull-record%2FWOS:000247228800011","View Full Record in Web of Science")</f>
        <v>View Full Record in Web of Science</v>
      </c>
    </row>
    <row r="68" ht="12.75" customHeight="1">
      <c r="A68" s="20" t="s">
        <v>1811</v>
      </c>
      <c r="B68" s="20" t="s">
        <v>3078</v>
      </c>
      <c r="C68" s="20" t="s">
        <v>1813</v>
      </c>
      <c r="D68" s="20" t="s">
        <v>1813</v>
      </c>
      <c r="E68" s="20" t="s">
        <v>1813</v>
      </c>
      <c r="F68" s="20" t="s">
        <v>3078</v>
      </c>
      <c r="G68" s="20" t="s">
        <v>1813</v>
      </c>
      <c r="H68" s="20" t="s">
        <v>1813</v>
      </c>
      <c r="I68" s="20" t="s">
        <v>1369</v>
      </c>
      <c r="J68" s="20" t="s">
        <v>2546</v>
      </c>
      <c r="K68" s="20" t="s">
        <v>1813</v>
      </c>
      <c r="L68" s="20" t="s">
        <v>1813</v>
      </c>
      <c r="M68" s="20" t="s">
        <v>1816</v>
      </c>
      <c r="N68" s="20" t="s">
        <v>1817</v>
      </c>
      <c r="O68" s="20" t="s">
        <v>1813</v>
      </c>
      <c r="P68" s="20" t="s">
        <v>1813</v>
      </c>
      <c r="Q68" s="20" t="s">
        <v>1813</v>
      </c>
      <c r="R68" s="20" t="s">
        <v>1813</v>
      </c>
      <c r="S68" s="20" t="s">
        <v>1813</v>
      </c>
      <c r="T68" s="20" t="s">
        <v>3079</v>
      </c>
      <c r="U68" s="20" t="s">
        <v>3080</v>
      </c>
      <c r="V68" s="20" t="s">
        <v>3081</v>
      </c>
      <c r="W68" s="20" t="s">
        <v>3082</v>
      </c>
      <c r="X68" s="20" t="s">
        <v>3083</v>
      </c>
      <c r="Y68" s="20" t="s">
        <v>3084</v>
      </c>
      <c r="Z68" s="20" t="s">
        <v>3085</v>
      </c>
      <c r="AA68" s="20" t="s">
        <v>3086</v>
      </c>
      <c r="AB68" s="20" t="s">
        <v>3087</v>
      </c>
      <c r="AC68" s="20" t="s">
        <v>1813</v>
      </c>
      <c r="AD68" s="20" t="s">
        <v>1813</v>
      </c>
      <c r="AE68" s="20" t="s">
        <v>1813</v>
      </c>
      <c r="AF68" s="20" t="s">
        <v>1813</v>
      </c>
      <c r="AG68" s="20">
        <v>95.0</v>
      </c>
      <c r="AH68" s="20">
        <v>29.0</v>
      </c>
      <c r="AI68" s="20">
        <v>33.0</v>
      </c>
      <c r="AJ68" s="20">
        <v>0.0</v>
      </c>
      <c r="AK68" s="20">
        <v>46.0</v>
      </c>
      <c r="AL68" s="20" t="s">
        <v>1852</v>
      </c>
      <c r="AM68" s="20" t="s">
        <v>2559</v>
      </c>
      <c r="AN68" s="20" t="s">
        <v>2560</v>
      </c>
      <c r="AO68" s="20" t="s">
        <v>2561</v>
      </c>
      <c r="AP68" s="20" t="s">
        <v>2562</v>
      </c>
      <c r="AQ68" s="20" t="s">
        <v>1813</v>
      </c>
      <c r="AR68" s="20" t="s">
        <v>2546</v>
      </c>
      <c r="AS68" s="20" t="s">
        <v>2563</v>
      </c>
      <c r="AT68" s="20" t="s">
        <v>2059</v>
      </c>
      <c r="AU68" s="20">
        <v>2006.0</v>
      </c>
      <c r="AV68" s="20">
        <v>147.0</v>
      </c>
      <c r="AW68" s="20">
        <v>4.0</v>
      </c>
      <c r="AX68" s="20" t="s">
        <v>1813</v>
      </c>
      <c r="AY68" s="20" t="s">
        <v>1813</v>
      </c>
      <c r="AZ68" s="20" t="s">
        <v>1813</v>
      </c>
      <c r="BA68" s="20" t="s">
        <v>1813</v>
      </c>
      <c r="BB68" s="20">
        <v>714.0</v>
      </c>
      <c r="BC68" s="20">
        <v>724.0</v>
      </c>
      <c r="BD68" s="20" t="s">
        <v>1813</v>
      </c>
      <c r="BE68" s="20" t="s">
        <v>3088</v>
      </c>
      <c r="BF68" s="22" t="str">
        <f>HYPERLINK("http://dx.doi.org/10.1007/s00442-005-0337-4","http://dx.doi.org/10.1007/s00442-005-0337-4")</f>
        <v>http://dx.doi.org/10.1007/s00442-005-0337-4</v>
      </c>
      <c r="BG68" s="20" t="s">
        <v>1813</v>
      </c>
      <c r="BH68" s="20" t="s">
        <v>1813</v>
      </c>
      <c r="BI68" s="20">
        <v>11.0</v>
      </c>
      <c r="BJ68" s="20" t="s">
        <v>1899</v>
      </c>
      <c r="BK68" s="20" t="s">
        <v>1839</v>
      </c>
      <c r="BL68" s="20" t="s">
        <v>1900</v>
      </c>
      <c r="BM68" s="20" t="s">
        <v>3089</v>
      </c>
      <c r="BN68" s="20">
        <v>1.6425047E7</v>
      </c>
      <c r="BO68" s="20" t="s">
        <v>1813</v>
      </c>
      <c r="BP68" s="20" t="s">
        <v>1813</v>
      </c>
      <c r="BQ68" s="20" t="s">
        <v>1813</v>
      </c>
      <c r="BR68" s="20" t="s">
        <v>1842</v>
      </c>
      <c r="BS68" s="20" t="s">
        <v>3090</v>
      </c>
      <c r="BT68" s="20" t="str">
        <f>HYPERLINK("https%3A%2F%2Fwww.webofscience.com%2Fwos%2Fwoscc%2Ffull-record%2FWOS:000236207900016","View Full Record in Web of Science")</f>
        <v>View Full Record in Web of Science</v>
      </c>
    </row>
    <row r="69" ht="12.75" customHeight="1">
      <c r="A69" s="20" t="s">
        <v>1811</v>
      </c>
      <c r="B69" s="20" t="s">
        <v>3091</v>
      </c>
      <c r="C69" s="20" t="s">
        <v>1813</v>
      </c>
      <c r="D69" s="20" t="s">
        <v>1813</v>
      </c>
      <c r="E69" s="20" t="s">
        <v>1813</v>
      </c>
      <c r="F69" s="20" t="s">
        <v>3092</v>
      </c>
      <c r="G69" s="20" t="s">
        <v>1813</v>
      </c>
      <c r="H69" s="20" t="s">
        <v>1813</v>
      </c>
      <c r="I69" s="20" t="s">
        <v>3093</v>
      </c>
      <c r="J69" s="20" t="s">
        <v>3094</v>
      </c>
      <c r="K69" s="20" t="s">
        <v>1813</v>
      </c>
      <c r="L69" s="20" t="s">
        <v>1813</v>
      </c>
      <c r="M69" s="20" t="s">
        <v>1816</v>
      </c>
      <c r="N69" s="20" t="s">
        <v>1817</v>
      </c>
      <c r="O69" s="20" t="s">
        <v>1813</v>
      </c>
      <c r="P69" s="20" t="s">
        <v>1813</v>
      </c>
      <c r="Q69" s="20" t="s">
        <v>1813</v>
      </c>
      <c r="R69" s="20" t="s">
        <v>1813</v>
      </c>
      <c r="S69" s="20" t="s">
        <v>1813</v>
      </c>
      <c r="T69" s="20" t="s">
        <v>3095</v>
      </c>
      <c r="U69" s="20" t="s">
        <v>3096</v>
      </c>
      <c r="V69" s="20" t="s">
        <v>3097</v>
      </c>
      <c r="W69" s="20" t="s">
        <v>3098</v>
      </c>
      <c r="X69" s="20" t="s">
        <v>3099</v>
      </c>
      <c r="Y69" s="20" t="s">
        <v>3100</v>
      </c>
      <c r="Z69" s="20" t="s">
        <v>3101</v>
      </c>
      <c r="AA69" s="20" t="s">
        <v>3102</v>
      </c>
      <c r="AB69" s="20" t="s">
        <v>3103</v>
      </c>
      <c r="AC69" s="20" t="s">
        <v>3104</v>
      </c>
      <c r="AD69" s="20" t="s">
        <v>3105</v>
      </c>
      <c r="AE69" s="20" t="s">
        <v>3106</v>
      </c>
      <c r="AF69" s="20" t="s">
        <v>1813</v>
      </c>
      <c r="AG69" s="20">
        <v>24.0</v>
      </c>
      <c r="AH69" s="20">
        <v>23.0</v>
      </c>
      <c r="AI69" s="20">
        <v>26.0</v>
      </c>
      <c r="AJ69" s="20">
        <v>0.0</v>
      </c>
      <c r="AK69" s="20">
        <v>10.0</v>
      </c>
      <c r="AL69" s="20" t="s">
        <v>3107</v>
      </c>
      <c r="AM69" s="20" t="s">
        <v>3108</v>
      </c>
      <c r="AN69" s="20" t="s">
        <v>3109</v>
      </c>
      <c r="AO69" s="20" t="s">
        <v>3110</v>
      </c>
      <c r="AP69" s="20" t="s">
        <v>3111</v>
      </c>
      <c r="AQ69" s="20" t="s">
        <v>1813</v>
      </c>
      <c r="AR69" s="20" t="s">
        <v>3112</v>
      </c>
      <c r="AS69" s="20" t="s">
        <v>3113</v>
      </c>
      <c r="AT69" s="20" t="s">
        <v>2185</v>
      </c>
      <c r="AU69" s="20">
        <v>2011.0</v>
      </c>
      <c r="AV69" s="20">
        <v>9.0</v>
      </c>
      <c r="AW69" s="20">
        <v>1.0</v>
      </c>
      <c r="AX69" s="20" t="s">
        <v>1813</v>
      </c>
      <c r="AY69" s="20" t="s">
        <v>1813</v>
      </c>
      <c r="AZ69" s="20" t="s">
        <v>1813</v>
      </c>
      <c r="BA69" s="20" t="s">
        <v>1813</v>
      </c>
      <c r="BB69" s="20">
        <v>61.0</v>
      </c>
      <c r="BC69" s="20">
        <v>66.0</v>
      </c>
      <c r="BD69" s="20" t="s">
        <v>1813</v>
      </c>
      <c r="BE69" s="20" t="s">
        <v>3114</v>
      </c>
      <c r="BF69" s="22" t="str">
        <f>HYPERLINK("http://dx.doi.org/10.4322/natcon.2011.007","http://dx.doi.org/10.4322/natcon.2011.007")</f>
        <v>http://dx.doi.org/10.4322/natcon.2011.007</v>
      </c>
      <c r="BG69" s="20" t="s">
        <v>1813</v>
      </c>
      <c r="BH69" s="20" t="s">
        <v>1813</v>
      </c>
      <c r="BI69" s="20">
        <v>6.0</v>
      </c>
      <c r="BJ69" s="20" t="s">
        <v>3115</v>
      </c>
      <c r="BK69" s="20" t="s">
        <v>1839</v>
      </c>
      <c r="BL69" s="20" t="s">
        <v>3116</v>
      </c>
      <c r="BM69" s="20" t="s">
        <v>3117</v>
      </c>
      <c r="BN69" s="20" t="s">
        <v>1813</v>
      </c>
      <c r="BO69" s="20" t="s">
        <v>1878</v>
      </c>
      <c r="BP69" s="20" t="s">
        <v>1813</v>
      </c>
      <c r="BQ69" s="20" t="s">
        <v>1813</v>
      </c>
      <c r="BR69" s="20" t="s">
        <v>1842</v>
      </c>
      <c r="BS69" s="20" t="s">
        <v>3118</v>
      </c>
      <c r="BT69" s="20" t="str">
        <f>HYPERLINK("https%3A%2F%2Fwww.webofscience.com%2Fwos%2Fwoscc%2Ffull-record%2FWOS:000293259300007","View Full Record in Web of Science")</f>
        <v>View Full Record in Web of Science</v>
      </c>
    </row>
    <row r="70" ht="12.75" customHeight="1">
      <c r="A70" s="20" t="s">
        <v>1811</v>
      </c>
      <c r="B70" s="20" t="s">
        <v>3119</v>
      </c>
      <c r="C70" s="20" t="s">
        <v>1813</v>
      </c>
      <c r="D70" s="20" t="s">
        <v>1813</v>
      </c>
      <c r="E70" s="20" t="s">
        <v>1813</v>
      </c>
      <c r="F70" s="20" t="s">
        <v>3120</v>
      </c>
      <c r="G70" s="20" t="s">
        <v>1813</v>
      </c>
      <c r="H70" s="20" t="s">
        <v>1813</v>
      </c>
      <c r="I70" s="20" t="s">
        <v>1407</v>
      </c>
      <c r="J70" s="20" t="s">
        <v>2955</v>
      </c>
      <c r="K70" s="20" t="s">
        <v>1813</v>
      </c>
      <c r="L70" s="20" t="s">
        <v>1813</v>
      </c>
      <c r="M70" s="20" t="s">
        <v>1816</v>
      </c>
      <c r="N70" s="20" t="s">
        <v>1817</v>
      </c>
      <c r="O70" s="20" t="s">
        <v>1813</v>
      </c>
      <c r="P70" s="20" t="s">
        <v>1813</v>
      </c>
      <c r="Q70" s="20" t="s">
        <v>1813</v>
      </c>
      <c r="R70" s="20" t="s">
        <v>1813</v>
      </c>
      <c r="S70" s="20" t="s">
        <v>1813</v>
      </c>
      <c r="T70" s="20" t="s">
        <v>3121</v>
      </c>
      <c r="U70" s="20" t="s">
        <v>3122</v>
      </c>
      <c r="V70" s="20" t="s">
        <v>3123</v>
      </c>
      <c r="W70" s="20" t="s">
        <v>3124</v>
      </c>
      <c r="X70" s="20" t="s">
        <v>3125</v>
      </c>
      <c r="Y70" s="20" t="s">
        <v>3126</v>
      </c>
      <c r="Z70" s="20" t="s">
        <v>3127</v>
      </c>
      <c r="AA70" s="20" t="s">
        <v>3128</v>
      </c>
      <c r="AB70" s="20" t="s">
        <v>1813</v>
      </c>
      <c r="AC70" s="20" t="s">
        <v>3129</v>
      </c>
      <c r="AD70" s="20" t="s">
        <v>3130</v>
      </c>
      <c r="AE70" s="20" t="s">
        <v>3131</v>
      </c>
      <c r="AF70" s="20" t="s">
        <v>1813</v>
      </c>
      <c r="AG70" s="20">
        <v>50.0</v>
      </c>
      <c r="AH70" s="20">
        <v>132.0</v>
      </c>
      <c r="AI70" s="20">
        <v>165.0</v>
      </c>
      <c r="AJ70" s="20">
        <v>1.0</v>
      </c>
      <c r="AK70" s="20">
        <v>147.0</v>
      </c>
      <c r="AL70" s="20" t="s">
        <v>1852</v>
      </c>
      <c r="AM70" s="20" t="s">
        <v>1853</v>
      </c>
      <c r="AN70" s="20" t="s">
        <v>1854</v>
      </c>
      <c r="AO70" s="20" t="s">
        <v>2967</v>
      </c>
      <c r="AP70" s="20" t="s">
        <v>2968</v>
      </c>
      <c r="AQ70" s="20" t="s">
        <v>1813</v>
      </c>
      <c r="AR70" s="20" t="s">
        <v>2969</v>
      </c>
      <c r="AS70" s="20" t="s">
        <v>2970</v>
      </c>
      <c r="AT70" s="20" t="s">
        <v>2396</v>
      </c>
      <c r="AU70" s="20">
        <v>2010.0</v>
      </c>
      <c r="AV70" s="20">
        <v>12.0</v>
      </c>
      <c r="AW70" s="20">
        <v>5.0</v>
      </c>
      <c r="AX70" s="20" t="s">
        <v>1813</v>
      </c>
      <c r="AY70" s="20" t="s">
        <v>1813</v>
      </c>
      <c r="AZ70" s="20" t="s">
        <v>1813</v>
      </c>
      <c r="BA70" s="20" t="s">
        <v>1813</v>
      </c>
      <c r="BB70" s="20">
        <v>1285.0</v>
      </c>
      <c r="BC70" s="20">
        <v>1294.0</v>
      </c>
      <c r="BD70" s="20" t="s">
        <v>1813</v>
      </c>
      <c r="BE70" s="20" t="s">
        <v>3132</v>
      </c>
      <c r="BF70" s="22" t="str">
        <f>HYPERLINK("http://dx.doi.org/10.1007/s10530-009-9546-9","http://dx.doi.org/10.1007/s10530-009-9546-9")</f>
        <v>http://dx.doi.org/10.1007/s10530-009-9546-9</v>
      </c>
      <c r="BG70" s="20" t="s">
        <v>1813</v>
      </c>
      <c r="BH70" s="20" t="s">
        <v>1813</v>
      </c>
      <c r="BI70" s="20">
        <v>10.0</v>
      </c>
      <c r="BJ70" s="20" t="s">
        <v>1838</v>
      </c>
      <c r="BK70" s="20" t="s">
        <v>1839</v>
      </c>
      <c r="BL70" s="20" t="s">
        <v>1840</v>
      </c>
      <c r="BM70" s="20" t="s">
        <v>3133</v>
      </c>
      <c r="BN70" s="20" t="s">
        <v>1813</v>
      </c>
      <c r="BO70" s="20" t="s">
        <v>1813</v>
      </c>
      <c r="BP70" s="20" t="s">
        <v>1813</v>
      </c>
      <c r="BQ70" s="20" t="s">
        <v>1813</v>
      </c>
      <c r="BR70" s="20" t="s">
        <v>1842</v>
      </c>
      <c r="BS70" s="20" t="s">
        <v>3134</v>
      </c>
      <c r="BT70" s="20" t="str">
        <f>HYPERLINK("https%3A%2F%2Fwww.webofscience.com%2Fwos%2Fwoscc%2Ffull-record%2FWOS:000276509400029","View Full Record in Web of Science")</f>
        <v>View Full Record in Web of Science</v>
      </c>
    </row>
    <row r="71" ht="12.75" customHeight="1">
      <c r="A71" s="20" t="s">
        <v>1811</v>
      </c>
      <c r="B71" s="20" t="s">
        <v>3135</v>
      </c>
      <c r="C71" s="20" t="s">
        <v>1813</v>
      </c>
      <c r="D71" s="20" t="s">
        <v>1813</v>
      </c>
      <c r="E71" s="20" t="s">
        <v>1813</v>
      </c>
      <c r="F71" s="20" t="s">
        <v>3136</v>
      </c>
      <c r="G71" s="20" t="s">
        <v>1813</v>
      </c>
      <c r="H71" s="20" t="s">
        <v>1813</v>
      </c>
      <c r="I71" s="20" t="s">
        <v>1445</v>
      </c>
      <c r="J71" s="20" t="s">
        <v>3137</v>
      </c>
      <c r="K71" s="20" t="s">
        <v>1813</v>
      </c>
      <c r="L71" s="20" t="s">
        <v>1813</v>
      </c>
      <c r="M71" s="20" t="s">
        <v>1816</v>
      </c>
      <c r="N71" s="20" t="s">
        <v>1817</v>
      </c>
      <c r="O71" s="20" t="s">
        <v>1813</v>
      </c>
      <c r="P71" s="20" t="s">
        <v>1813</v>
      </c>
      <c r="Q71" s="20" t="s">
        <v>1813</v>
      </c>
      <c r="R71" s="20" t="s">
        <v>1813</v>
      </c>
      <c r="S71" s="20" t="s">
        <v>1813</v>
      </c>
      <c r="T71" s="20" t="s">
        <v>3138</v>
      </c>
      <c r="U71" s="20" t="s">
        <v>3139</v>
      </c>
      <c r="V71" s="20" t="s">
        <v>3140</v>
      </c>
      <c r="W71" s="20" t="s">
        <v>3141</v>
      </c>
      <c r="X71" s="20" t="s">
        <v>3142</v>
      </c>
      <c r="Y71" s="20" t="s">
        <v>3143</v>
      </c>
      <c r="Z71" s="20" t="s">
        <v>3144</v>
      </c>
      <c r="AA71" s="20" t="s">
        <v>1813</v>
      </c>
      <c r="AB71" s="20" t="s">
        <v>3145</v>
      </c>
      <c r="AC71" s="20" t="s">
        <v>3146</v>
      </c>
      <c r="AD71" s="20" t="s">
        <v>3147</v>
      </c>
      <c r="AE71" s="20" t="s">
        <v>3148</v>
      </c>
      <c r="AF71" s="20" t="s">
        <v>1813</v>
      </c>
      <c r="AG71" s="20">
        <v>63.0</v>
      </c>
      <c r="AH71" s="20">
        <v>33.0</v>
      </c>
      <c r="AI71" s="20">
        <v>38.0</v>
      </c>
      <c r="AJ71" s="20">
        <v>2.0</v>
      </c>
      <c r="AK71" s="20">
        <v>71.0</v>
      </c>
      <c r="AL71" s="20" t="s">
        <v>1852</v>
      </c>
      <c r="AM71" s="20" t="s">
        <v>1853</v>
      </c>
      <c r="AN71" s="20" t="s">
        <v>1854</v>
      </c>
      <c r="AO71" s="20" t="s">
        <v>3149</v>
      </c>
      <c r="AP71" s="20" t="s">
        <v>3150</v>
      </c>
      <c r="AQ71" s="20" t="s">
        <v>1813</v>
      </c>
      <c r="AR71" s="20" t="s">
        <v>3137</v>
      </c>
      <c r="AS71" s="20" t="s">
        <v>3151</v>
      </c>
      <c r="AT71" s="20" t="s">
        <v>1858</v>
      </c>
      <c r="AU71" s="20">
        <v>2013.0</v>
      </c>
      <c r="AV71" s="20">
        <v>701.0</v>
      </c>
      <c r="AW71" s="20">
        <v>1.0</v>
      </c>
      <c r="AX71" s="20" t="s">
        <v>1813</v>
      </c>
      <c r="AY71" s="20" t="s">
        <v>1813</v>
      </c>
      <c r="AZ71" s="20" t="s">
        <v>1813</v>
      </c>
      <c r="BA71" s="20" t="s">
        <v>1813</v>
      </c>
      <c r="BB71" s="20">
        <v>173.0</v>
      </c>
      <c r="BC71" s="20">
        <v>188.0</v>
      </c>
      <c r="BD71" s="20" t="s">
        <v>1813</v>
      </c>
      <c r="BE71" s="20" t="s">
        <v>3152</v>
      </c>
      <c r="BF71" s="22" t="str">
        <f>HYPERLINK("http://dx.doi.org/10.1007/s10750-012-1270-2","http://dx.doi.org/10.1007/s10750-012-1270-2")</f>
        <v>http://dx.doi.org/10.1007/s10750-012-1270-2</v>
      </c>
      <c r="BG71" s="20" t="s">
        <v>1813</v>
      </c>
      <c r="BH71" s="20" t="s">
        <v>1813</v>
      </c>
      <c r="BI71" s="20">
        <v>16.0</v>
      </c>
      <c r="BJ71" s="20" t="s">
        <v>3153</v>
      </c>
      <c r="BK71" s="20" t="s">
        <v>1839</v>
      </c>
      <c r="BL71" s="20" t="s">
        <v>3153</v>
      </c>
      <c r="BM71" s="20" t="s">
        <v>3154</v>
      </c>
      <c r="BN71" s="20" t="s">
        <v>1813</v>
      </c>
      <c r="BO71" s="20" t="s">
        <v>2267</v>
      </c>
      <c r="BP71" s="20" t="s">
        <v>1813</v>
      </c>
      <c r="BQ71" s="20" t="s">
        <v>1813</v>
      </c>
      <c r="BR71" s="20" t="s">
        <v>1842</v>
      </c>
      <c r="BS71" s="20" t="s">
        <v>3155</v>
      </c>
      <c r="BT71" s="20" t="str">
        <f>HYPERLINK("https%3A%2F%2Fwww.webofscience.com%2Fwos%2Fwoscc%2Ffull-record%2FWOS:000312339100014","View Full Record in Web of Science")</f>
        <v>View Full Record in Web of Science</v>
      </c>
    </row>
    <row r="72" ht="12.75" customHeight="1">
      <c r="A72" s="20" t="s">
        <v>1811</v>
      </c>
      <c r="B72" s="20" t="s">
        <v>3156</v>
      </c>
      <c r="C72" s="20" t="s">
        <v>1813</v>
      </c>
      <c r="D72" s="20" t="s">
        <v>1813</v>
      </c>
      <c r="E72" s="20" t="s">
        <v>1813</v>
      </c>
      <c r="F72" s="20" t="s">
        <v>3157</v>
      </c>
      <c r="G72" s="20" t="s">
        <v>1813</v>
      </c>
      <c r="H72" s="20" t="s">
        <v>1813</v>
      </c>
      <c r="I72" s="20" t="s">
        <v>1307</v>
      </c>
      <c r="J72" s="20" t="s">
        <v>3158</v>
      </c>
      <c r="K72" s="20" t="s">
        <v>1813</v>
      </c>
      <c r="L72" s="20" t="s">
        <v>1813</v>
      </c>
      <c r="M72" s="20" t="s">
        <v>1816</v>
      </c>
      <c r="N72" s="20" t="s">
        <v>1817</v>
      </c>
      <c r="O72" s="20" t="s">
        <v>1813</v>
      </c>
      <c r="P72" s="20" t="s">
        <v>1813</v>
      </c>
      <c r="Q72" s="20" t="s">
        <v>1813</v>
      </c>
      <c r="R72" s="20" t="s">
        <v>1813</v>
      </c>
      <c r="S72" s="20" t="s">
        <v>1813</v>
      </c>
      <c r="T72" s="20" t="s">
        <v>3159</v>
      </c>
      <c r="U72" s="20" t="s">
        <v>3160</v>
      </c>
      <c r="V72" s="20" t="s">
        <v>3161</v>
      </c>
      <c r="W72" s="20" t="s">
        <v>3162</v>
      </c>
      <c r="X72" s="20" t="s">
        <v>3163</v>
      </c>
      <c r="Y72" s="20" t="s">
        <v>3164</v>
      </c>
      <c r="Z72" s="20" t="s">
        <v>3165</v>
      </c>
      <c r="AA72" s="20" t="s">
        <v>3166</v>
      </c>
      <c r="AB72" s="20" t="s">
        <v>1813</v>
      </c>
      <c r="AC72" s="20" t="s">
        <v>1813</v>
      </c>
      <c r="AD72" s="20" t="s">
        <v>1813</v>
      </c>
      <c r="AE72" s="20" t="s">
        <v>1813</v>
      </c>
      <c r="AF72" s="20" t="s">
        <v>1813</v>
      </c>
      <c r="AG72" s="20">
        <v>34.0</v>
      </c>
      <c r="AH72" s="20">
        <v>3.0</v>
      </c>
      <c r="AI72" s="20">
        <v>4.0</v>
      </c>
      <c r="AJ72" s="20">
        <v>0.0</v>
      </c>
      <c r="AK72" s="20">
        <v>8.0</v>
      </c>
      <c r="AL72" s="20" t="s">
        <v>2002</v>
      </c>
      <c r="AM72" s="20" t="s">
        <v>2003</v>
      </c>
      <c r="AN72" s="20" t="s">
        <v>2004</v>
      </c>
      <c r="AO72" s="20" t="s">
        <v>3167</v>
      </c>
      <c r="AP72" s="20" t="s">
        <v>3168</v>
      </c>
      <c r="AQ72" s="20" t="s">
        <v>1813</v>
      </c>
      <c r="AR72" s="20" t="s">
        <v>3169</v>
      </c>
      <c r="AS72" s="20" t="s">
        <v>3170</v>
      </c>
      <c r="AT72" s="20" t="s">
        <v>2059</v>
      </c>
      <c r="AU72" s="20">
        <v>2010.0</v>
      </c>
      <c r="AV72" s="20">
        <v>76.0</v>
      </c>
      <c r="AW72" s="20">
        <v>2.0</v>
      </c>
      <c r="AX72" s="20" t="s">
        <v>1813</v>
      </c>
      <c r="AY72" s="20" t="s">
        <v>1813</v>
      </c>
      <c r="AZ72" s="20" t="s">
        <v>1813</v>
      </c>
      <c r="BA72" s="20" t="s">
        <v>1813</v>
      </c>
      <c r="BB72" s="20">
        <v>365.0</v>
      </c>
      <c r="BC72" s="20">
        <v>368.0</v>
      </c>
      <c r="BD72" s="20" t="s">
        <v>1813</v>
      </c>
      <c r="BE72" s="20" t="s">
        <v>3171</v>
      </c>
      <c r="BF72" s="22" t="str">
        <f>HYPERLINK("http://dx.doi.org/10.1016/j.sajb.2009.12.004","http://dx.doi.org/10.1016/j.sajb.2009.12.004")</f>
        <v>http://dx.doi.org/10.1016/j.sajb.2009.12.004</v>
      </c>
      <c r="BG72" s="20" t="s">
        <v>1813</v>
      </c>
      <c r="BH72" s="20" t="s">
        <v>1813</v>
      </c>
      <c r="BI72" s="20">
        <v>4.0</v>
      </c>
      <c r="BJ72" s="20" t="s">
        <v>3172</v>
      </c>
      <c r="BK72" s="20" t="s">
        <v>1839</v>
      </c>
      <c r="BL72" s="20" t="s">
        <v>3172</v>
      </c>
      <c r="BM72" s="20" t="s">
        <v>3173</v>
      </c>
      <c r="BN72" s="20" t="s">
        <v>1813</v>
      </c>
      <c r="BO72" s="20" t="s">
        <v>2813</v>
      </c>
      <c r="BP72" s="20" t="s">
        <v>1813</v>
      </c>
      <c r="BQ72" s="20" t="s">
        <v>1813</v>
      </c>
      <c r="BR72" s="20" t="s">
        <v>1842</v>
      </c>
      <c r="BS72" s="20" t="s">
        <v>3174</v>
      </c>
      <c r="BT72" s="20" t="str">
        <f>HYPERLINK("https%3A%2F%2Fwww.webofscience.com%2Fwos%2Fwoscc%2Ffull-record%2FWOS:000277902300023","View Full Record in Web of Science")</f>
        <v>View Full Record in Web of Science</v>
      </c>
    </row>
    <row r="73" ht="12.75" customHeight="1">
      <c r="A73" s="20" t="s">
        <v>1811</v>
      </c>
      <c r="B73" s="20" t="s">
        <v>3175</v>
      </c>
      <c r="C73" s="20" t="s">
        <v>1813</v>
      </c>
      <c r="D73" s="20" t="s">
        <v>1813</v>
      </c>
      <c r="E73" s="20" t="s">
        <v>1813</v>
      </c>
      <c r="F73" s="20" t="s">
        <v>3176</v>
      </c>
      <c r="G73" s="20" t="s">
        <v>1813</v>
      </c>
      <c r="H73" s="20" t="s">
        <v>1813</v>
      </c>
      <c r="I73" s="20" t="s">
        <v>3177</v>
      </c>
      <c r="J73" s="20" t="s">
        <v>2192</v>
      </c>
      <c r="K73" s="20" t="s">
        <v>1813</v>
      </c>
      <c r="L73" s="20" t="s">
        <v>1813</v>
      </c>
      <c r="M73" s="20" t="s">
        <v>1816</v>
      </c>
      <c r="N73" s="20" t="s">
        <v>1817</v>
      </c>
      <c r="O73" s="20" t="s">
        <v>1813</v>
      </c>
      <c r="P73" s="20" t="s">
        <v>1813</v>
      </c>
      <c r="Q73" s="20" t="s">
        <v>1813</v>
      </c>
      <c r="R73" s="20" t="s">
        <v>1813</v>
      </c>
      <c r="S73" s="20" t="s">
        <v>1813</v>
      </c>
      <c r="T73" s="20" t="s">
        <v>1813</v>
      </c>
      <c r="U73" s="20" t="s">
        <v>3178</v>
      </c>
      <c r="V73" s="20" t="s">
        <v>3179</v>
      </c>
      <c r="W73" s="20" t="s">
        <v>3180</v>
      </c>
      <c r="X73" s="20" t="s">
        <v>3181</v>
      </c>
      <c r="Y73" s="20" t="s">
        <v>3182</v>
      </c>
      <c r="Z73" s="20" t="s">
        <v>3183</v>
      </c>
      <c r="AA73" s="20" t="s">
        <v>3184</v>
      </c>
      <c r="AB73" s="20" t="s">
        <v>3185</v>
      </c>
      <c r="AC73" s="20" t="s">
        <v>3186</v>
      </c>
      <c r="AD73" s="20" t="s">
        <v>3187</v>
      </c>
      <c r="AE73" s="20" t="s">
        <v>3188</v>
      </c>
      <c r="AF73" s="20" t="s">
        <v>1813</v>
      </c>
      <c r="AG73" s="20">
        <v>56.0</v>
      </c>
      <c r="AH73" s="20">
        <v>70.0</v>
      </c>
      <c r="AI73" s="20">
        <v>101.0</v>
      </c>
      <c r="AJ73" s="20">
        <v>10.0</v>
      </c>
      <c r="AK73" s="20">
        <v>269.0</v>
      </c>
      <c r="AL73" s="20" t="s">
        <v>2204</v>
      </c>
      <c r="AM73" s="20" t="s">
        <v>2205</v>
      </c>
      <c r="AN73" s="20" t="s">
        <v>2206</v>
      </c>
      <c r="AO73" s="20" t="s">
        <v>2207</v>
      </c>
      <c r="AP73" s="20" t="s">
        <v>1813</v>
      </c>
      <c r="AQ73" s="20" t="s">
        <v>1813</v>
      </c>
      <c r="AR73" s="20" t="s">
        <v>2192</v>
      </c>
      <c r="AS73" s="20" t="s">
        <v>2208</v>
      </c>
      <c r="AT73" s="20" t="s">
        <v>3189</v>
      </c>
      <c r="AU73" s="20">
        <v>2012.0</v>
      </c>
      <c r="AV73" s="20">
        <v>7.0</v>
      </c>
      <c r="AW73" s="20">
        <v>10.0</v>
      </c>
      <c r="AX73" s="20" t="s">
        <v>1813</v>
      </c>
      <c r="AY73" s="20" t="s">
        <v>1813</v>
      </c>
      <c r="AZ73" s="20" t="s">
        <v>1813</v>
      </c>
      <c r="BA73" s="20" t="s">
        <v>1813</v>
      </c>
      <c r="BB73" s="20" t="s">
        <v>1813</v>
      </c>
      <c r="BC73" s="20" t="s">
        <v>1813</v>
      </c>
      <c r="BD73" s="20" t="s">
        <v>3190</v>
      </c>
      <c r="BE73" s="20" t="s">
        <v>3191</v>
      </c>
      <c r="BF73" s="22" t="str">
        <f>HYPERLINK("http://dx.doi.org/10.1371/journal.pone.0047369","http://dx.doi.org/10.1371/journal.pone.0047369")</f>
        <v>http://dx.doi.org/10.1371/journal.pone.0047369</v>
      </c>
      <c r="BG73" s="20" t="s">
        <v>1813</v>
      </c>
      <c r="BH73" s="20" t="s">
        <v>1813</v>
      </c>
      <c r="BI73" s="20">
        <v>8.0</v>
      </c>
      <c r="BJ73" s="20" t="s">
        <v>1966</v>
      </c>
      <c r="BK73" s="20" t="s">
        <v>1839</v>
      </c>
      <c r="BL73" s="20" t="s">
        <v>1967</v>
      </c>
      <c r="BM73" s="20" t="s">
        <v>3192</v>
      </c>
      <c r="BN73" s="20">
        <v>2.3077603E7</v>
      </c>
      <c r="BO73" s="20" t="s">
        <v>2213</v>
      </c>
      <c r="BP73" s="20" t="s">
        <v>1813</v>
      </c>
      <c r="BQ73" s="20" t="s">
        <v>1813</v>
      </c>
      <c r="BR73" s="20" t="s">
        <v>1842</v>
      </c>
      <c r="BS73" s="20" t="s">
        <v>3193</v>
      </c>
      <c r="BT73" s="20" t="str">
        <f>HYPERLINK("https%3A%2F%2Fwww.webofscience.com%2Fwos%2Fwoscc%2Ffull-record%2FWOS:000309809500045","View Full Record in Web of Science")</f>
        <v>View Full Record in Web of Science</v>
      </c>
    </row>
    <row r="74" ht="12.75" customHeight="1">
      <c r="A74" s="20" t="s">
        <v>1811</v>
      </c>
      <c r="B74" s="20" t="s">
        <v>3194</v>
      </c>
      <c r="C74" s="20" t="s">
        <v>1813</v>
      </c>
      <c r="D74" s="20" t="s">
        <v>1813</v>
      </c>
      <c r="E74" s="20" t="s">
        <v>1813</v>
      </c>
      <c r="F74" s="20" t="s">
        <v>3195</v>
      </c>
      <c r="G74" s="20" t="s">
        <v>1813</v>
      </c>
      <c r="H74" s="20" t="s">
        <v>1813</v>
      </c>
      <c r="I74" s="20" t="s">
        <v>3196</v>
      </c>
      <c r="J74" s="20" t="s">
        <v>2170</v>
      </c>
      <c r="K74" s="20" t="s">
        <v>1813</v>
      </c>
      <c r="L74" s="20" t="s">
        <v>1813</v>
      </c>
      <c r="M74" s="20" t="s">
        <v>1816</v>
      </c>
      <c r="N74" s="20" t="s">
        <v>1817</v>
      </c>
      <c r="O74" s="20" t="s">
        <v>1813</v>
      </c>
      <c r="P74" s="20" t="s">
        <v>1813</v>
      </c>
      <c r="Q74" s="20" t="s">
        <v>1813</v>
      </c>
      <c r="R74" s="20" t="s">
        <v>1813</v>
      </c>
      <c r="S74" s="20" t="s">
        <v>1813</v>
      </c>
      <c r="T74" s="20" t="s">
        <v>3197</v>
      </c>
      <c r="U74" s="20" t="s">
        <v>3198</v>
      </c>
      <c r="V74" s="20" t="s">
        <v>3199</v>
      </c>
      <c r="W74" s="20" t="s">
        <v>3200</v>
      </c>
      <c r="X74" s="20" t="s">
        <v>2516</v>
      </c>
      <c r="Y74" s="20" t="s">
        <v>3201</v>
      </c>
      <c r="Z74" s="20" t="s">
        <v>3202</v>
      </c>
      <c r="AA74" s="20" t="s">
        <v>3203</v>
      </c>
      <c r="AB74" s="20" t="s">
        <v>1813</v>
      </c>
      <c r="AC74" s="20" t="s">
        <v>1813</v>
      </c>
      <c r="AD74" s="20" t="s">
        <v>1813</v>
      </c>
      <c r="AE74" s="20" t="s">
        <v>1813</v>
      </c>
      <c r="AF74" s="20" t="s">
        <v>1813</v>
      </c>
      <c r="AG74" s="20">
        <v>59.0</v>
      </c>
      <c r="AH74" s="20">
        <v>28.0</v>
      </c>
      <c r="AI74" s="20">
        <v>35.0</v>
      </c>
      <c r="AJ74" s="20">
        <v>0.0</v>
      </c>
      <c r="AK74" s="20">
        <v>55.0</v>
      </c>
      <c r="AL74" s="20" t="s">
        <v>1829</v>
      </c>
      <c r="AM74" s="20" t="s">
        <v>1830</v>
      </c>
      <c r="AN74" s="20" t="s">
        <v>1831</v>
      </c>
      <c r="AO74" s="20" t="s">
        <v>2183</v>
      </c>
      <c r="AP74" s="20" t="s">
        <v>2184</v>
      </c>
      <c r="AQ74" s="20" t="s">
        <v>1813</v>
      </c>
      <c r="AR74" s="20" t="s">
        <v>2170</v>
      </c>
      <c r="AS74" s="20" t="s">
        <v>1899</v>
      </c>
      <c r="AT74" s="20" t="s">
        <v>2396</v>
      </c>
      <c r="AU74" s="20">
        <v>2006.0</v>
      </c>
      <c r="AV74" s="20">
        <v>87.0</v>
      </c>
      <c r="AW74" s="20">
        <v>5.0</v>
      </c>
      <c r="AX74" s="20" t="s">
        <v>1813</v>
      </c>
      <c r="AY74" s="20" t="s">
        <v>1813</v>
      </c>
      <c r="AZ74" s="20" t="s">
        <v>1813</v>
      </c>
      <c r="BA74" s="20" t="s">
        <v>1813</v>
      </c>
      <c r="BB74" s="20">
        <v>1314.0</v>
      </c>
      <c r="BC74" s="20">
        <v>1324.0</v>
      </c>
      <c r="BD74" s="20" t="s">
        <v>1813</v>
      </c>
      <c r="BE74" s="20" t="s">
        <v>3204</v>
      </c>
      <c r="BF74" s="22" t="str">
        <f>HYPERLINK("http://dx.doi.org/10.1890/0012-9658(2006)87[1314:ASMASB]2.0.CO;2","http://dx.doi.org/10.1890/0012-9658(2006)87[1314:ASMASB]2.0.CO;2")</f>
        <v>http://dx.doi.org/10.1890/0012-9658(2006)87[1314:ASMASB]2.0.CO;2</v>
      </c>
      <c r="BG74" s="20" t="s">
        <v>1813</v>
      </c>
      <c r="BH74" s="20" t="s">
        <v>1813</v>
      </c>
      <c r="BI74" s="20">
        <v>11.0</v>
      </c>
      <c r="BJ74" s="20" t="s">
        <v>1899</v>
      </c>
      <c r="BK74" s="20" t="s">
        <v>1839</v>
      </c>
      <c r="BL74" s="20" t="s">
        <v>1900</v>
      </c>
      <c r="BM74" s="20" t="s">
        <v>3205</v>
      </c>
      <c r="BN74" s="20">
        <v>1.6761609E7</v>
      </c>
      <c r="BO74" s="20" t="s">
        <v>1813</v>
      </c>
      <c r="BP74" s="20" t="s">
        <v>1813</v>
      </c>
      <c r="BQ74" s="20" t="s">
        <v>1813</v>
      </c>
      <c r="BR74" s="20" t="s">
        <v>1842</v>
      </c>
      <c r="BS74" s="20" t="s">
        <v>3206</v>
      </c>
      <c r="BT74" s="20" t="str">
        <f>HYPERLINK("https%3A%2F%2Fwww.webofscience.com%2Fwos%2Fwoscc%2Ffull-record%2FWOS:000237552400026","View Full Record in Web of Science")</f>
        <v>View Full Record in Web of Science</v>
      </c>
    </row>
    <row r="75" ht="12.75" customHeight="1">
      <c r="A75" s="20" t="s">
        <v>1811</v>
      </c>
      <c r="B75" s="20" t="s">
        <v>3207</v>
      </c>
      <c r="C75" s="20" t="s">
        <v>1813</v>
      </c>
      <c r="D75" s="20" t="s">
        <v>1813</v>
      </c>
      <c r="E75" s="20" t="s">
        <v>1813</v>
      </c>
      <c r="F75" s="20" t="s">
        <v>3207</v>
      </c>
      <c r="G75" s="20" t="s">
        <v>1813</v>
      </c>
      <c r="H75" s="20" t="s">
        <v>1813</v>
      </c>
      <c r="I75" s="20" t="s">
        <v>3208</v>
      </c>
      <c r="J75" s="20" t="s">
        <v>2170</v>
      </c>
      <c r="K75" s="20" t="s">
        <v>1813</v>
      </c>
      <c r="L75" s="20" t="s">
        <v>1813</v>
      </c>
      <c r="M75" s="20" t="s">
        <v>1816</v>
      </c>
      <c r="N75" s="20" t="s">
        <v>1817</v>
      </c>
      <c r="O75" s="20" t="s">
        <v>1813</v>
      </c>
      <c r="P75" s="20" t="s">
        <v>1813</v>
      </c>
      <c r="Q75" s="20" t="s">
        <v>1813</v>
      </c>
      <c r="R75" s="20" t="s">
        <v>1813</v>
      </c>
      <c r="S75" s="20" t="s">
        <v>1813</v>
      </c>
      <c r="T75" s="20" t="s">
        <v>3209</v>
      </c>
      <c r="U75" s="20" t="s">
        <v>3210</v>
      </c>
      <c r="V75" s="20" t="s">
        <v>3211</v>
      </c>
      <c r="W75" s="20" t="s">
        <v>3212</v>
      </c>
      <c r="X75" s="20" t="s">
        <v>3213</v>
      </c>
      <c r="Y75" s="20" t="s">
        <v>3214</v>
      </c>
      <c r="Z75" s="20" t="s">
        <v>3215</v>
      </c>
      <c r="AA75" s="20" t="s">
        <v>1813</v>
      </c>
      <c r="AB75" s="20" t="s">
        <v>1813</v>
      </c>
      <c r="AC75" s="20" t="s">
        <v>1813</v>
      </c>
      <c r="AD75" s="20" t="s">
        <v>1813</v>
      </c>
      <c r="AE75" s="20" t="s">
        <v>1813</v>
      </c>
      <c r="AF75" s="20" t="s">
        <v>1813</v>
      </c>
      <c r="AG75" s="20">
        <v>36.0</v>
      </c>
      <c r="AH75" s="20">
        <v>143.0</v>
      </c>
      <c r="AI75" s="20">
        <v>196.0</v>
      </c>
      <c r="AJ75" s="20">
        <v>4.0</v>
      </c>
      <c r="AK75" s="20">
        <v>176.0</v>
      </c>
      <c r="AL75" s="20" t="s">
        <v>1829</v>
      </c>
      <c r="AM75" s="20" t="s">
        <v>1830</v>
      </c>
      <c r="AN75" s="20" t="s">
        <v>1831</v>
      </c>
      <c r="AO75" s="20" t="s">
        <v>2183</v>
      </c>
      <c r="AP75" s="20" t="s">
        <v>2184</v>
      </c>
      <c r="AQ75" s="20" t="s">
        <v>1813</v>
      </c>
      <c r="AR75" s="20" t="s">
        <v>2170</v>
      </c>
      <c r="AS75" s="20" t="s">
        <v>1899</v>
      </c>
      <c r="AT75" s="20" t="s">
        <v>2651</v>
      </c>
      <c r="AU75" s="20">
        <v>2005.0</v>
      </c>
      <c r="AV75" s="20">
        <v>86.0</v>
      </c>
      <c r="AW75" s="20">
        <v>11.0</v>
      </c>
      <c r="AX75" s="20" t="s">
        <v>1813</v>
      </c>
      <c r="AY75" s="20" t="s">
        <v>1813</v>
      </c>
      <c r="AZ75" s="20" t="s">
        <v>1813</v>
      </c>
      <c r="BA75" s="20" t="s">
        <v>1813</v>
      </c>
      <c r="BB75" s="20">
        <v>3007.0</v>
      </c>
      <c r="BC75" s="20">
        <v>3017.0</v>
      </c>
      <c r="BD75" s="20" t="s">
        <v>1813</v>
      </c>
      <c r="BE75" s="20" t="s">
        <v>3216</v>
      </c>
      <c r="BF75" s="22" t="str">
        <f>HYPERLINK("http://dx.doi.org/10.1890/05-0333","http://dx.doi.org/10.1890/05-0333")</f>
        <v>http://dx.doi.org/10.1890/05-0333</v>
      </c>
      <c r="BG75" s="20" t="s">
        <v>1813</v>
      </c>
      <c r="BH75" s="20" t="s">
        <v>1813</v>
      </c>
      <c r="BI75" s="20">
        <v>11.0</v>
      </c>
      <c r="BJ75" s="20" t="s">
        <v>1899</v>
      </c>
      <c r="BK75" s="20" t="s">
        <v>1839</v>
      </c>
      <c r="BL75" s="20" t="s">
        <v>1900</v>
      </c>
      <c r="BM75" s="20" t="s">
        <v>3217</v>
      </c>
      <c r="BN75" s="20" t="s">
        <v>1813</v>
      </c>
      <c r="BO75" s="20" t="s">
        <v>1813</v>
      </c>
      <c r="BP75" s="20" t="s">
        <v>1813</v>
      </c>
      <c r="BQ75" s="20" t="s">
        <v>1813</v>
      </c>
      <c r="BR75" s="20" t="s">
        <v>1842</v>
      </c>
      <c r="BS75" s="20" t="s">
        <v>3218</v>
      </c>
      <c r="BT75" s="20" t="str">
        <f>HYPERLINK("https%3A%2F%2Fwww.webofscience.com%2Fwos%2Fwoscc%2Ffull-record%2FWOS:000233419600017","View Full Record in Web of Science")</f>
        <v>View Full Record in Web of Science</v>
      </c>
    </row>
    <row r="76" ht="12.75" customHeight="1">
      <c r="A76" s="20" t="s">
        <v>1811</v>
      </c>
      <c r="B76" s="20" t="s">
        <v>3219</v>
      </c>
      <c r="C76" s="20" t="s">
        <v>1813</v>
      </c>
      <c r="D76" s="20" t="s">
        <v>1813</v>
      </c>
      <c r="E76" s="20" t="s">
        <v>1813</v>
      </c>
      <c r="F76" s="20" t="s">
        <v>3219</v>
      </c>
      <c r="G76" s="20" t="s">
        <v>1813</v>
      </c>
      <c r="H76" s="20" t="s">
        <v>1813</v>
      </c>
      <c r="I76" s="20" t="s">
        <v>1560</v>
      </c>
      <c r="J76" s="20" t="s">
        <v>1923</v>
      </c>
      <c r="K76" s="20" t="s">
        <v>1813</v>
      </c>
      <c r="L76" s="20" t="s">
        <v>1813</v>
      </c>
      <c r="M76" s="20" t="s">
        <v>1816</v>
      </c>
      <c r="N76" s="20" t="s">
        <v>1817</v>
      </c>
      <c r="O76" s="20" t="s">
        <v>1813</v>
      </c>
      <c r="P76" s="20" t="s">
        <v>1813</v>
      </c>
      <c r="Q76" s="20" t="s">
        <v>1813</v>
      </c>
      <c r="R76" s="20" t="s">
        <v>1813</v>
      </c>
      <c r="S76" s="20" t="s">
        <v>1813</v>
      </c>
      <c r="T76" s="20" t="s">
        <v>3220</v>
      </c>
      <c r="U76" s="20" t="s">
        <v>3221</v>
      </c>
      <c r="V76" s="20" t="s">
        <v>3222</v>
      </c>
      <c r="W76" s="20" t="s">
        <v>3223</v>
      </c>
      <c r="X76" s="20" t="s">
        <v>3224</v>
      </c>
      <c r="Y76" s="20" t="s">
        <v>3225</v>
      </c>
      <c r="Z76" s="20" t="s">
        <v>1813</v>
      </c>
      <c r="AA76" s="20" t="s">
        <v>1813</v>
      </c>
      <c r="AB76" s="20" t="s">
        <v>3226</v>
      </c>
      <c r="AC76" s="20" t="s">
        <v>1813</v>
      </c>
      <c r="AD76" s="20" t="s">
        <v>1813</v>
      </c>
      <c r="AE76" s="20" t="s">
        <v>1813</v>
      </c>
      <c r="AF76" s="20" t="s">
        <v>1813</v>
      </c>
      <c r="AG76" s="20">
        <v>38.0</v>
      </c>
      <c r="AH76" s="20">
        <v>145.0</v>
      </c>
      <c r="AI76" s="20">
        <v>165.0</v>
      </c>
      <c r="AJ76" s="20">
        <v>2.0</v>
      </c>
      <c r="AK76" s="20">
        <v>128.0</v>
      </c>
      <c r="AL76" s="20" t="s">
        <v>3227</v>
      </c>
      <c r="AM76" s="20" t="s">
        <v>2053</v>
      </c>
      <c r="AN76" s="20" t="s">
        <v>3228</v>
      </c>
      <c r="AO76" s="20" t="s">
        <v>1935</v>
      </c>
      <c r="AP76" s="20" t="s">
        <v>1813</v>
      </c>
      <c r="AQ76" s="20" t="s">
        <v>1813</v>
      </c>
      <c r="AR76" s="20" t="s">
        <v>1937</v>
      </c>
      <c r="AS76" s="20" t="s">
        <v>1938</v>
      </c>
      <c r="AT76" s="20" t="s">
        <v>1916</v>
      </c>
      <c r="AU76" s="20">
        <v>2002.0</v>
      </c>
      <c r="AV76" s="20">
        <v>39.0</v>
      </c>
      <c r="AW76" s="20">
        <v>6.0</v>
      </c>
      <c r="AX76" s="20" t="s">
        <v>1813</v>
      </c>
      <c r="AY76" s="20" t="s">
        <v>1813</v>
      </c>
      <c r="AZ76" s="20" t="s">
        <v>1813</v>
      </c>
      <c r="BA76" s="20" t="s">
        <v>1813</v>
      </c>
      <c r="BB76" s="20">
        <v>937.0</v>
      </c>
      <c r="BC76" s="20">
        <v>948.0</v>
      </c>
      <c r="BD76" s="20" t="s">
        <v>1813</v>
      </c>
      <c r="BE76" s="20" t="s">
        <v>3229</v>
      </c>
      <c r="BF76" s="22" t="str">
        <f>HYPERLINK("http://dx.doi.org/10.1046/j.1365-2664.2002.00768.x","http://dx.doi.org/10.1046/j.1365-2664.2002.00768.x")</f>
        <v>http://dx.doi.org/10.1046/j.1365-2664.2002.00768.x</v>
      </c>
      <c r="BG76" s="20" t="s">
        <v>1813</v>
      </c>
      <c r="BH76" s="20" t="s">
        <v>1813</v>
      </c>
      <c r="BI76" s="20">
        <v>12.0</v>
      </c>
      <c r="BJ76" s="20" t="s">
        <v>1838</v>
      </c>
      <c r="BK76" s="20" t="s">
        <v>1839</v>
      </c>
      <c r="BL76" s="20" t="s">
        <v>1840</v>
      </c>
      <c r="BM76" s="20" t="s">
        <v>3230</v>
      </c>
      <c r="BN76" s="20" t="s">
        <v>1813</v>
      </c>
      <c r="BO76" s="20" t="s">
        <v>3076</v>
      </c>
      <c r="BP76" s="20" t="s">
        <v>1813</v>
      </c>
      <c r="BQ76" s="20" t="s">
        <v>1813</v>
      </c>
      <c r="BR76" s="20" t="s">
        <v>1842</v>
      </c>
      <c r="BS76" s="20" t="s">
        <v>3231</v>
      </c>
      <c r="BT76" s="20" t="str">
        <f>HYPERLINK("https%3A%2F%2Fwww.webofscience.com%2Fwos%2Fwoscc%2Ffull-record%2FWOS:000179578800008","View Full Record in Web of Science")</f>
        <v>View Full Record in Web of Science</v>
      </c>
    </row>
    <row r="77" ht="12.75" customHeight="1">
      <c r="A77" s="20" t="s">
        <v>1811</v>
      </c>
      <c r="B77" s="20" t="s">
        <v>3232</v>
      </c>
      <c r="C77" s="20" t="s">
        <v>1813</v>
      </c>
      <c r="D77" s="20" t="s">
        <v>1813</v>
      </c>
      <c r="E77" s="20" t="s">
        <v>1813</v>
      </c>
      <c r="F77" s="20" t="s">
        <v>3233</v>
      </c>
      <c r="G77" s="20" t="s">
        <v>1813</v>
      </c>
      <c r="H77" s="20" t="s">
        <v>1813</v>
      </c>
      <c r="I77" s="20" t="s">
        <v>3234</v>
      </c>
      <c r="J77" s="20" t="s">
        <v>2040</v>
      </c>
      <c r="K77" s="20" t="s">
        <v>1813</v>
      </c>
      <c r="L77" s="20" t="s">
        <v>1813</v>
      </c>
      <c r="M77" s="20" t="s">
        <v>1816</v>
      </c>
      <c r="N77" s="20" t="s">
        <v>1817</v>
      </c>
      <c r="O77" s="20" t="s">
        <v>1813</v>
      </c>
      <c r="P77" s="20" t="s">
        <v>1813</v>
      </c>
      <c r="Q77" s="20" t="s">
        <v>1813</v>
      </c>
      <c r="R77" s="20" t="s">
        <v>1813</v>
      </c>
      <c r="S77" s="20" t="s">
        <v>1813</v>
      </c>
      <c r="T77" s="20" t="s">
        <v>3235</v>
      </c>
      <c r="U77" s="20" t="s">
        <v>3236</v>
      </c>
      <c r="V77" s="20" t="s">
        <v>3237</v>
      </c>
      <c r="W77" s="20" t="s">
        <v>3238</v>
      </c>
      <c r="X77" s="20" t="s">
        <v>3239</v>
      </c>
      <c r="Y77" s="20" t="s">
        <v>3240</v>
      </c>
      <c r="Z77" s="20" t="s">
        <v>3241</v>
      </c>
      <c r="AA77" s="20" t="s">
        <v>3242</v>
      </c>
      <c r="AB77" s="20" t="s">
        <v>1813</v>
      </c>
      <c r="AC77" s="20" t="s">
        <v>1813</v>
      </c>
      <c r="AD77" s="20" t="s">
        <v>1813</v>
      </c>
      <c r="AE77" s="20" t="s">
        <v>1813</v>
      </c>
      <c r="AF77" s="20" t="s">
        <v>1813</v>
      </c>
      <c r="AG77" s="20">
        <v>68.0</v>
      </c>
      <c r="AH77" s="20">
        <v>205.0</v>
      </c>
      <c r="AI77" s="20">
        <v>237.0</v>
      </c>
      <c r="AJ77" s="20">
        <v>1.0</v>
      </c>
      <c r="AK77" s="20">
        <v>159.0</v>
      </c>
      <c r="AL77" s="20" t="s">
        <v>2052</v>
      </c>
      <c r="AM77" s="20" t="s">
        <v>2053</v>
      </c>
      <c r="AN77" s="20" t="s">
        <v>2054</v>
      </c>
      <c r="AO77" s="20" t="s">
        <v>2055</v>
      </c>
      <c r="AP77" s="20" t="s">
        <v>2056</v>
      </c>
      <c r="AQ77" s="20" t="s">
        <v>1813</v>
      </c>
      <c r="AR77" s="20" t="s">
        <v>2057</v>
      </c>
      <c r="AS77" s="20" t="s">
        <v>2058</v>
      </c>
      <c r="AT77" s="20" t="s">
        <v>2527</v>
      </c>
      <c r="AU77" s="20">
        <v>2006.0</v>
      </c>
      <c r="AV77" s="20">
        <v>132.0</v>
      </c>
      <c r="AW77" s="20">
        <v>2.0</v>
      </c>
      <c r="AX77" s="20" t="s">
        <v>1813</v>
      </c>
      <c r="AY77" s="20" t="s">
        <v>1813</v>
      </c>
      <c r="AZ77" s="20" t="s">
        <v>1813</v>
      </c>
      <c r="BA77" s="20" t="s">
        <v>1813</v>
      </c>
      <c r="BB77" s="20">
        <v>143.0</v>
      </c>
      <c r="BC77" s="20">
        <v>152.0</v>
      </c>
      <c r="BD77" s="20" t="s">
        <v>1813</v>
      </c>
      <c r="BE77" s="20" t="s">
        <v>3243</v>
      </c>
      <c r="BF77" s="22" t="str">
        <f>HYPERLINK("http://dx.doi.org/10.1016/j.biocon.2006.03.025","http://dx.doi.org/10.1016/j.biocon.2006.03.025")</f>
        <v>http://dx.doi.org/10.1016/j.biocon.2006.03.025</v>
      </c>
      <c r="BG77" s="20" t="s">
        <v>1813</v>
      </c>
      <c r="BH77" s="20" t="s">
        <v>1813</v>
      </c>
      <c r="BI77" s="20">
        <v>10.0</v>
      </c>
      <c r="BJ77" s="20" t="s">
        <v>1860</v>
      </c>
      <c r="BK77" s="20" t="s">
        <v>1839</v>
      </c>
      <c r="BL77" s="20" t="s">
        <v>1840</v>
      </c>
      <c r="BM77" s="20" t="s">
        <v>3244</v>
      </c>
      <c r="BN77" s="20" t="s">
        <v>1813</v>
      </c>
      <c r="BO77" s="20" t="s">
        <v>1813</v>
      </c>
      <c r="BP77" s="20" t="s">
        <v>1813</v>
      </c>
      <c r="BQ77" s="20" t="s">
        <v>1813</v>
      </c>
      <c r="BR77" s="20" t="s">
        <v>1842</v>
      </c>
      <c r="BS77" s="20" t="s">
        <v>3245</v>
      </c>
      <c r="BT77" s="20" t="str">
        <f>HYPERLINK("https%3A%2F%2Fwww.webofscience.com%2Fwos%2Fwoscc%2Ffull-record%2FWOS:000240480900001","View Full Record in Web of Science")</f>
        <v>View Full Record in Web of Science</v>
      </c>
    </row>
    <row r="78" ht="12.75" customHeight="1">
      <c r="A78" s="20" t="s">
        <v>1811</v>
      </c>
      <c r="B78" s="20" t="s">
        <v>3246</v>
      </c>
      <c r="C78" s="20" t="s">
        <v>1813</v>
      </c>
      <c r="D78" s="20" t="s">
        <v>1813</v>
      </c>
      <c r="E78" s="20" t="s">
        <v>1813</v>
      </c>
      <c r="F78" s="20" t="s">
        <v>3247</v>
      </c>
      <c r="G78" s="20" t="s">
        <v>1813</v>
      </c>
      <c r="H78" s="20" t="s">
        <v>1813</v>
      </c>
      <c r="I78" s="20" t="s">
        <v>1375</v>
      </c>
      <c r="J78" s="20" t="s">
        <v>2955</v>
      </c>
      <c r="K78" s="20" t="s">
        <v>1813</v>
      </c>
      <c r="L78" s="20" t="s">
        <v>1813</v>
      </c>
      <c r="M78" s="20" t="s">
        <v>1816</v>
      </c>
      <c r="N78" s="20" t="s">
        <v>1817</v>
      </c>
      <c r="O78" s="20" t="s">
        <v>1813</v>
      </c>
      <c r="P78" s="20" t="s">
        <v>1813</v>
      </c>
      <c r="Q78" s="20" t="s">
        <v>1813</v>
      </c>
      <c r="R78" s="20" t="s">
        <v>1813</v>
      </c>
      <c r="S78" s="20" t="s">
        <v>1813</v>
      </c>
      <c r="T78" s="20" t="s">
        <v>3248</v>
      </c>
      <c r="U78" s="20" t="s">
        <v>3249</v>
      </c>
      <c r="V78" s="20" t="s">
        <v>3250</v>
      </c>
      <c r="W78" s="20" t="s">
        <v>3251</v>
      </c>
      <c r="X78" s="20" t="s">
        <v>3252</v>
      </c>
      <c r="Y78" s="20" t="s">
        <v>3253</v>
      </c>
      <c r="Z78" s="20" t="s">
        <v>3254</v>
      </c>
      <c r="AA78" s="20" t="s">
        <v>3255</v>
      </c>
      <c r="AB78" s="20" t="s">
        <v>3256</v>
      </c>
      <c r="AC78" s="20" t="s">
        <v>3257</v>
      </c>
      <c r="AD78" s="20" t="s">
        <v>3258</v>
      </c>
      <c r="AE78" s="20" t="s">
        <v>3259</v>
      </c>
      <c r="AF78" s="20" t="s">
        <v>1813</v>
      </c>
      <c r="AG78" s="20">
        <v>40.0</v>
      </c>
      <c r="AH78" s="20">
        <v>71.0</v>
      </c>
      <c r="AI78" s="20">
        <v>90.0</v>
      </c>
      <c r="AJ78" s="20">
        <v>0.0</v>
      </c>
      <c r="AK78" s="20">
        <v>63.0</v>
      </c>
      <c r="AL78" s="20" t="s">
        <v>1852</v>
      </c>
      <c r="AM78" s="20" t="s">
        <v>1853</v>
      </c>
      <c r="AN78" s="20" t="s">
        <v>1854</v>
      </c>
      <c r="AO78" s="20" t="s">
        <v>2967</v>
      </c>
      <c r="AP78" s="20" t="s">
        <v>1813</v>
      </c>
      <c r="AQ78" s="20" t="s">
        <v>1813</v>
      </c>
      <c r="AR78" s="20" t="s">
        <v>2969</v>
      </c>
      <c r="AS78" s="20" t="s">
        <v>2970</v>
      </c>
      <c r="AT78" s="20" t="s">
        <v>1858</v>
      </c>
      <c r="AU78" s="20">
        <v>2010.0</v>
      </c>
      <c r="AV78" s="20">
        <v>12.0</v>
      </c>
      <c r="AW78" s="20">
        <v>1.0</v>
      </c>
      <c r="AX78" s="20" t="s">
        <v>1813</v>
      </c>
      <c r="AY78" s="20" t="s">
        <v>1813</v>
      </c>
      <c r="AZ78" s="20" t="s">
        <v>1813</v>
      </c>
      <c r="BA78" s="20" t="s">
        <v>1813</v>
      </c>
      <c r="BB78" s="20">
        <v>87.0</v>
      </c>
      <c r="BC78" s="20">
        <v>96.0</v>
      </c>
      <c r="BD78" s="20" t="s">
        <v>1813</v>
      </c>
      <c r="BE78" s="20" t="s">
        <v>3260</v>
      </c>
      <c r="BF78" s="22" t="str">
        <f>HYPERLINK("http://dx.doi.org/10.1007/s10530-009-9432-5","http://dx.doi.org/10.1007/s10530-009-9432-5")</f>
        <v>http://dx.doi.org/10.1007/s10530-009-9432-5</v>
      </c>
      <c r="BG78" s="20" t="s">
        <v>1813</v>
      </c>
      <c r="BH78" s="20" t="s">
        <v>1813</v>
      </c>
      <c r="BI78" s="20">
        <v>10.0</v>
      </c>
      <c r="BJ78" s="20" t="s">
        <v>1838</v>
      </c>
      <c r="BK78" s="20" t="s">
        <v>1839</v>
      </c>
      <c r="BL78" s="20" t="s">
        <v>1840</v>
      </c>
      <c r="BM78" s="20" t="s">
        <v>3261</v>
      </c>
      <c r="BN78" s="20" t="s">
        <v>1813</v>
      </c>
      <c r="BO78" s="20" t="s">
        <v>1813</v>
      </c>
      <c r="BP78" s="20" t="s">
        <v>1813</v>
      </c>
      <c r="BQ78" s="20" t="s">
        <v>1813</v>
      </c>
      <c r="BR78" s="20" t="s">
        <v>1842</v>
      </c>
      <c r="BS78" s="20" t="s">
        <v>3262</v>
      </c>
      <c r="BT78" s="20" t="str">
        <f>HYPERLINK("https%3A%2F%2Fwww.webofscience.com%2Fwos%2Fwoscc%2Ffull-record%2FWOS:000272847900008","View Full Record in Web of Science")</f>
        <v>View Full Record in Web of Science</v>
      </c>
    </row>
    <row r="79" ht="12.75" customHeight="1">
      <c r="A79" s="20" t="s">
        <v>1811</v>
      </c>
      <c r="B79" s="20" t="s">
        <v>3263</v>
      </c>
      <c r="C79" s="20" t="s">
        <v>1813</v>
      </c>
      <c r="D79" s="20" t="s">
        <v>1813</v>
      </c>
      <c r="E79" s="20" t="s">
        <v>1813</v>
      </c>
      <c r="F79" s="20" t="s">
        <v>3263</v>
      </c>
      <c r="G79" s="20" t="s">
        <v>1813</v>
      </c>
      <c r="H79" s="20" t="s">
        <v>1813</v>
      </c>
      <c r="I79" s="20" t="s">
        <v>1415</v>
      </c>
      <c r="J79" s="20" t="s">
        <v>3264</v>
      </c>
      <c r="K79" s="20" t="s">
        <v>1813</v>
      </c>
      <c r="L79" s="20" t="s">
        <v>1813</v>
      </c>
      <c r="M79" s="20" t="s">
        <v>1816</v>
      </c>
      <c r="N79" s="20" t="s">
        <v>1817</v>
      </c>
      <c r="O79" s="20" t="s">
        <v>1813</v>
      </c>
      <c r="P79" s="20" t="s">
        <v>1813</v>
      </c>
      <c r="Q79" s="20" t="s">
        <v>1813</v>
      </c>
      <c r="R79" s="20" t="s">
        <v>1813</v>
      </c>
      <c r="S79" s="20" t="s">
        <v>1813</v>
      </c>
      <c r="T79" s="20" t="s">
        <v>3265</v>
      </c>
      <c r="U79" s="20" t="s">
        <v>3266</v>
      </c>
      <c r="V79" s="20" t="s">
        <v>3267</v>
      </c>
      <c r="W79" s="20" t="s">
        <v>3268</v>
      </c>
      <c r="X79" s="20" t="s">
        <v>3269</v>
      </c>
      <c r="Y79" s="20" t="s">
        <v>3270</v>
      </c>
      <c r="Z79" s="20" t="s">
        <v>1813</v>
      </c>
      <c r="AA79" s="20" t="s">
        <v>1813</v>
      </c>
      <c r="AB79" s="20" t="s">
        <v>1813</v>
      </c>
      <c r="AC79" s="20" t="s">
        <v>1813</v>
      </c>
      <c r="AD79" s="20" t="s">
        <v>1813</v>
      </c>
      <c r="AE79" s="20" t="s">
        <v>1813</v>
      </c>
      <c r="AF79" s="20" t="s">
        <v>1813</v>
      </c>
      <c r="AG79" s="20">
        <v>55.0</v>
      </c>
      <c r="AH79" s="20">
        <v>22.0</v>
      </c>
      <c r="AI79" s="20">
        <v>33.0</v>
      </c>
      <c r="AJ79" s="20">
        <v>0.0</v>
      </c>
      <c r="AK79" s="20">
        <v>21.0</v>
      </c>
      <c r="AL79" s="20" t="s">
        <v>3271</v>
      </c>
      <c r="AM79" s="20" t="s">
        <v>3272</v>
      </c>
      <c r="AN79" s="20" t="s">
        <v>3273</v>
      </c>
      <c r="AO79" s="20" t="s">
        <v>3274</v>
      </c>
      <c r="AP79" s="20" t="s">
        <v>1813</v>
      </c>
      <c r="AQ79" s="20" t="s">
        <v>1813</v>
      </c>
      <c r="AR79" s="20" t="s">
        <v>3275</v>
      </c>
      <c r="AS79" s="20" t="s">
        <v>3276</v>
      </c>
      <c r="AT79" s="20" t="s">
        <v>2527</v>
      </c>
      <c r="AU79" s="20">
        <v>2004.0</v>
      </c>
      <c r="AV79" s="20">
        <v>64.0</v>
      </c>
      <c r="AW79" s="20">
        <v>4.0</v>
      </c>
      <c r="AX79" s="20" t="s">
        <v>1813</v>
      </c>
      <c r="AY79" s="20" t="s">
        <v>1813</v>
      </c>
      <c r="AZ79" s="20" t="s">
        <v>1813</v>
      </c>
      <c r="BA79" s="20" t="s">
        <v>1813</v>
      </c>
      <c r="BB79" s="20">
        <v>503.0</v>
      </c>
      <c r="BC79" s="20">
        <v>513.0</v>
      </c>
      <c r="BD79" s="20" t="s">
        <v>1813</v>
      </c>
      <c r="BE79" s="20" t="s">
        <v>1813</v>
      </c>
      <c r="BF79" s="20" t="s">
        <v>1813</v>
      </c>
      <c r="BG79" s="20" t="s">
        <v>1813</v>
      </c>
      <c r="BH79" s="20" t="s">
        <v>1813</v>
      </c>
      <c r="BI79" s="20">
        <v>11.0</v>
      </c>
      <c r="BJ79" s="20" t="s">
        <v>1838</v>
      </c>
      <c r="BK79" s="20" t="s">
        <v>1839</v>
      </c>
      <c r="BL79" s="20" t="s">
        <v>1840</v>
      </c>
      <c r="BM79" s="20" t="s">
        <v>3277</v>
      </c>
      <c r="BN79" s="20" t="s">
        <v>1813</v>
      </c>
      <c r="BO79" s="20" t="s">
        <v>1813</v>
      </c>
      <c r="BP79" s="20" t="s">
        <v>1813</v>
      </c>
      <c r="BQ79" s="20" t="s">
        <v>1813</v>
      </c>
      <c r="BR79" s="20" t="s">
        <v>1842</v>
      </c>
      <c r="BS79" s="20" t="s">
        <v>3278</v>
      </c>
      <c r="BT79" s="20" t="str">
        <f>HYPERLINK("https%3A%2F%2Fwww.webofscience.com%2Fwos%2Fwoscc%2Ffull-record%2FWOS:000224952700011","View Full Record in Web of Science")</f>
        <v>View Full Record in Web of Science</v>
      </c>
    </row>
    <row r="80" ht="12.75" customHeight="1">
      <c r="A80" s="20" t="s">
        <v>1811</v>
      </c>
      <c r="B80" s="20" t="s">
        <v>3279</v>
      </c>
      <c r="C80" s="20" t="s">
        <v>1813</v>
      </c>
      <c r="D80" s="20" t="s">
        <v>1813</v>
      </c>
      <c r="E80" s="20" t="s">
        <v>1813</v>
      </c>
      <c r="F80" s="20" t="s">
        <v>3280</v>
      </c>
      <c r="G80" s="20" t="s">
        <v>1813</v>
      </c>
      <c r="H80" s="20" t="s">
        <v>1813</v>
      </c>
      <c r="I80" s="20" t="s">
        <v>1613</v>
      </c>
      <c r="J80" s="20" t="s">
        <v>2955</v>
      </c>
      <c r="K80" s="20" t="s">
        <v>1813</v>
      </c>
      <c r="L80" s="20" t="s">
        <v>1813</v>
      </c>
      <c r="M80" s="20" t="s">
        <v>1816</v>
      </c>
      <c r="N80" s="20" t="s">
        <v>1817</v>
      </c>
      <c r="O80" s="20" t="s">
        <v>1813</v>
      </c>
      <c r="P80" s="20" t="s">
        <v>1813</v>
      </c>
      <c r="Q80" s="20" t="s">
        <v>1813</v>
      </c>
      <c r="R80" s="20" t="s">
        <v>1813</v>
      </c>
      <c r="S80" s="20" t="s">
        <v>1813</v>
      </c>
      <c r="T80" s="20" t="s">
        <v>3281</v>
      </c>
      <c r="U80" s="20" t="s">
        <v>3282</v>
      </c>
      <c r="V80" s="20" t="s">
        <v>3283</v>
      </c>
      <c r="W80" s="20" t="s">
        <v>3284</v>
      </c>
      <c r="X80" s="20" t="s">
        <v>3285</v>
      </c>
      <c r="Y80" s="20" t="s">
        <v>3286</v>
      </c>
      <c r="Z80" s="20" t="s">
        <v>3287</v>
      </c>
      <c r="AA80" s="20" t="s">
        <v>3288</v>
      </c>
      <c r="AB80" s="20" t="s">
        <v>3289</v>
      </c>
      <c r="AC80" s="20" t="s">
        <v>3290</v>
      </c>
      <c r="AD80" s="20" t="s">
        <v>2557</v>
      </c>
      <c r="AE80" s="20" t="s">
        <v>3291</v>
      </c>
      <c r="AF80" s="20" t="s">
        <v>1813</v>
      </c>
      <c r="AG80" s="20">
        <v>45.0</v>
      </c>
      <c r="AH80" s="20">
        <v>27.0</v>
      </c>
      <c r="AI80" s="20">
        <v>34.0</v>
      </c>
      <c r="AJ80" s="20">
        <v>1.0</v>
      </c>
      <c r="AK80" s="20">
        <v>152.0</v>
      </c>
      <c r="AL80" s="20" t="s">
        <v>1852</v>
      </c>
      <c r="AM80" s="20" t="s">
        <v>1853</v>
      </c>
      <c r="AN80" s="20" t="s">
        <v>1854</v>
      </c>
      <c r="AO80" s="20" t="s">
        <v>2967</v>
      </c>
      <c r="AP80" s="20" t="s">
        <v>2968</v>
      </c>
      <c r="AQ80" s="20" t="s">
        <v>1813</v>
      </c>
      <c r="AR80" s="20" t="s">
        <v>2969</v>
      </c>
      <c r="AS80" s="20" t="s">
        <v>2970</v>
      </c>
      <c r="AT80" s="20" t="s">
        <v>2009</v>
      </c>
      <c r="AU80" s="20">
        <v>2013.0</v>
      </c>
      <c r="AV80" s="20">
        <v>15.0</v>
      </c>
      <c r="AW80" s="20">
        <v>2.0</v>
      </c>
      <c r="AX80" s="20" t="s">
        <v>1813</v>
      </c>
      <c r="AY80" s="20" t="s">
        <v>1813</v>
      </c>
      <c r="AZ80" s="20" t="s">
        <v>1813</v>
      </c>
      <c r="BA80" s="20" t="s">
        <v>1813</v>
      </c>
      <c r="BB80" s="20">
        <v>327.0</v>
      </c>
      <c r="BC80" s="20">
        <v>339.0</v>
      </c>
      <c r="BD80" s="20" t="s">
        <v>1813</v>
      </c>
      <c r="BE80" s="20" t="s">
        <v>3292</v>
      </c>
      <c r="BF80" s="22" t="str">
        <f>HYPERLINK("http://dx.doi.org/10.1007/s10530-012-0289-7","http://dx.doi.org/10.1007/s10530-012-0289-7")</f>
        <v>http://dx.doi.org/10.1007/s10530-012-0289-7</v>
      </c>
      <c r="BG80" s="20" t="s">
        <v>1813</v>
      </c>
      <c r="BH80" s="20" t="s">
        <v>1813</v>
      </c>
      <c r="BI80" s="20">
        <v>13.0</v>
      </c>
      <c r="BJ80" s="20" t="s">
        <v>1838</v>
      </c>
      <c r="BK80" s="20" t="s">
        <v>1839</v>
      </c>
      <c r="BL80" s="20" t="s">
        <v>1840</v>
      </c>
      <c r="BM80" s="20" t="s">
        <v>3293</v>
      </c>
      <c r="BN80" s="20" t="s">
        <v>1813</v>
      </c>
      <c r="BO80" s="20" t="s">
        <v>1813</v>
      </c>
      <c r="BP80" s="20" t="s">
        <v>1813</v>
      </c>
      <c r="BQ80" s="20" t="s">
        <v>1813</v>
      </c>
      <c r="BR80" s="20" t="s">
        <v>1842</v>
      </c>
      <c r="BS80" s="20" t="s">
        <v>3294</v>
      </c>
      <c r="BT80" s="20" t="str">
        <f>HYPERLINK("https%3A%2F%2Fwww.webofscience.com%2Fwos%2Fwoscc%2Ffull-record%2FWOS:000313030500010","View Full Record in Web of Science")</f>
        <v>View Full Record in Web of Science</v>
      </c>
    </row>
    <row r="81" ht="12.75" customHeight="1">
      <c r="A81" s="20" t="s">
        <v>1811</v>
      </c>
      <c r="B81" s="20" t="s">
        <v>3295</v>
      </c>
      <c r="C81" s="20" t="s">
        <v>1813</v>
      </c>
      <c r="D81" s="20" t="s">
        <v>1813</v>
      </c>
      <c r="E81" s="20" t="s">
        <v>1813</v>
      </c>
      <c r="F81" s="20" t="s">
        <v>3296</v>
      </c>
      <c r="G81" s="20" t="s">
        <v>1813</v>
      </c>
      <c r="H81" s="20" t="s">
        <v>1813</v>
      </c>
      <c r="I81" s="20" t="s">
        <v>1393</v>
      </c>
      <c r="J81" s="20" t="s">
        <v>2955</v>
      </c>
      <c r="K81" s="20" t="s">
        <v>1813</v>
      </c>
      <c r="L81" s="20" t="s">
        <v>1813</v>
      </c>
      <c r="M81" s="20" t="s">
        <v>1816</v>
      </c>
      <c r="N81" s="20" t="s">
        <v>1817</v>
      </c>
      <c r="O81" s="20" t="s">
        <v>1813</v>
      </c>
      <c r="P81" s="20" t="s">
        <v>1813</v>
      </c>
      <c r="Q81" s="20" t="s">
        <v>1813</v>
      </c>
      <c r="R81" s="20" t="s">
        <v>1813</v>
      </c>
      <c r="S81" s="20" t="s">
        <v>1813</v>
      </c>
      <c r="T81" s="20" t="s">
        <v>3297</v>
      </c>
      <c r="U81" s="20" t="s">
        <v>3298</v>
      </c>
      <c r="V81" s="20" t="s">
        <v>3299</v>
      </c>
      <c r="W81" s="20" t="s">
        <v>3300</v>
      </c>
      <c r="X81" s="20" t="s">
        <v>3301</v>
      </c>
      <c r="Y81" s="20" t="s">
        <v>3302</v>
      </c>
      <c r="Z81" s="20" t="s">
        <v>3303</v>
      </c>
      <c r="AA81" s="20" t="s">
        <v>3304</v>
      </c>
      <c r="AB81" s="20" t="s">
        <v>3305</v>
      </c>
      <c r="AC81" s="20" t="s">
        <v>3306</v>
      </c>
      <c r="AD81" s="20" t="s">
        <v>2557</v>
      </c>
      <c r="AE81" s="20" t="s">
        <v>3307</v>
      </c>
      <c r="AF81" s="20" t="s">
        <v>1813</v>
      </c>
      <c r="AG81" s="20">
        <v>59.0</v>
      </c>
      <c r="AH81" s="20">
        <v>13.0</v>
      </c>
      <c r="AI81" s="20">
        <v>20.0</v>
      </c>
      <c r="AJ81" s="20">
        <v>0.0</v>
      </c>
      <c r="AK81" s="20">
        <v>73.0</v>
      </c>
      <c r="AL81" s="20" t="s">
        <v>1852</v>
      </c>
      <c r="AM81" s="20" t="s">
        <v>1853</v>
      </c>
      <c r="AN81" s="20" t="s">
        <v>1854</v>
      </c>
      <c r="AO81" s="20" t="s">
        <v>2967</v>
      </c>
      <c r="AP81" s="20" t="s">
        <v>2968</v>
      </c>
      <c r="AQ81" s="20" t="s">
        <v>1813</v>
      </c>
      <c r="AR81" s="20" t="s">
        <v>2969</v>
      </c>
      <c r="AS81" s="20" t="s">
        <v>2970</v>
      </c>
      <c r="AT81" s="20" t="s">
        <v>1916</v>
      </c>
      <c r="AU81" s="20">
        <v>2012.0</v>
      </c>
      <c r="AV81" s="20">
        <v>14.0</v>
      </c>
      <c r="AW81" s="20">
        <v>12.0</v>
      </c>
      <c r="AX81" s="20" t="s">
        <v>1813</v>
      </c>
      <c r="AY81" s="20" t="s">
        <v>1813</v>
      </c>
      <c r="AZ81" s="20" t="s">
        <v>1813</v>
      </c>
      <c r="BA81" s="20" t="s">
        <v>1813</v>
      </c>
      <c r="BB81" s="20">
        <v>2625.0</v>
      </c>
      <c r="BC81" s="20">
        <v>2637.0</v>
      </c>
      <c r="BD81" s="20" t="s">
        <v>1813</v>
      </c>
      <c r="BE81" s="20" t="s">
        <v>3308</v>
      </c>
      <c r="BF81" s="22" t="str">
        <f>HYPERLINK("http://dx.doi.org/10.1007/s10530-012-0258-1","http://dx.doi.org/10.1007/s10530-012-0258-1")</f>
        <v>http://dx.doi.org/10.1007/s10530-012-0258-1</v>
      </c>
      <c r="BG81" s="20" t="s">
        <v>1813</v>
      </c>
      <c r="BH81" s="20" t="s">
        <v>1813</v>
      </c>
      <c r="BI81" s="20">
        <v>13.0</v>
      </c>
      <c r="BJ81" s="20" t="s">
        <v>1838</v>
      </c>
      <c r="BK81" s="20" t="s">
        <v>1839</v>
      </c>
      <c r="BL81" s="20" t="s">
        <v>1840</v>
      </c>
      <c r="BM81" s="20" t="s">
        <v>3309</v>
      </c>
      <c r="BN81" s="20" t="s">
        <v>1813</v>
      </c>
      <c r="BO81" s="20" t="s">
        <v>1813</v>
      </c>
      <c r="BP81" s="20" t="s">
        <v>1813</v>
      </c>
      <c r="BQ81" s="20" t="s">
        <v>1813</v>
      </c>
      <c r="BR81" s="20" t="s">
        <v>1842</v>
      </c>
      <c r="BS81" s="20" t="s">
        <v>3310</v>
      </c>
      <c r="BT81" s="20" t="str">
        <f>HYPERLINK("https%3A%2F%2Fwww.webofscience.com%2Fwos%2Fwoscc%2Ffull-record%2FWOS:000310464500014","View Full Record in Web of Science")</f>
        <v>View Full Record in Web of Science</v>
      </c>
    </row>
    <row r="82" ht="12.75" customHeight="1">
      <c r="A82" s="20" t="s">
        <v>1811</v>
      </c>
      <c r="B82" s="20" t="s">
        <v>3311</v>
      </c>
      <c r="C82" s="20" t="s">
        <v>1813</v>
      </c>
      <c r="D82" s="20" t="s">
        <v>1813</v>
      </c>
      <c r="E82" s="20" t="s">
        <v>1813</v>
      </c>
      <c r="F82" s="20" t="s">
        <v>3312</v>
      </c>
      <c r="G82" s="20" t="s">
        <v>1813</v>
      </c>
      <c r="H82" s="20" t="s">
        <v>1813</v>
      </c>
      <c r="I82" s="20" t="s">
        <v>1523</v>
      </c>
      <c r="J82" s="20" t="s">
        <v>2271</v>
      </c>
      <c r="K82" s="20" t="s">
        <v>1813</v>
      </c>
      <c r="L82" s="20" t="s">
        <v>1813</v>
      </c>
      <c r="M82" s="20" t="s">
        <v>1816</v>
      </c>
      <c r="N82" s="20" t="s">
        <v>1817</v>
      </c>
      <c r="O82" s="20" t="s">
        <v>1813</v>
      </c>
      <c r="P82" s="20" t="s">
        <v>1813</v>
      </c>
      <c r="Q82" s="20" t="s">
        <v>1813</v>
      </c>
      <c r="R82" s="20" t="s">
        <v>1813</v>
      </c>
      <c r="S82" s="20" t="s">
        <v>1813</v>
      </c>
      <c r="T82" s="20" t="s">
        <v>1813</v>
      </c>
      <c r="U82" s="20" t="s">
        <v>3313</v>
      </c>
      <c r="V82" s="20" t="s">
        <v>3314</v>
      </c>
      <c r="W82" s="20" t="s">
        <v>3315</v>
      </c>
      <c r="X82" s="20" t="s">
        <v>3316</v>
      </c>
      <c r="Y82" s="20" t="s">
        <v>3317</v>
      </c>
      <c r="Z82" s="20" t="s">
        <v>3318</v>
      </c>
      <c r="AA82" s="20" t="s">
        <v>1813</v>
      </c>
      <c r="AB82" s="20" t="s">
        <v>1813</v>
      </c>
      <c r="AC82" s="20" t="s">
        <v>3319</v>
      </c>
      <c r="AD82" s="20" t="s">
        <v>3320</v>
      </c>
      <c r="AE82" s="20" t="s">
        <v>3321</v>
      </c>
      <c r="AF82" s="20" t="s">
        <v>1813</v>
      </c>
      <c r="AG82" s="20">
        <v>59.0</v>
      </c>
      <c r="AH82" s="20">
        <v>87.0</v>
      </c>
      <c r="AI82" s="20">
        <v>111.0</v>
      </c>
      <c r="AJ82" s="20">
        <v>4.0</v>
      </c>
      <c r="AK82" s="20">
        <v>134.0</v>
      </c>
      <c r="AL82" s="20" t="s">
        <v>1829</v>
      </c>
      <c r="AM82" s="20" t="s">
        <v>1830</v>
      </c>
      <c r="AN82" s="20" t="s">
        <v>1831</v>
      </c>
      <c r="AO82" s="20" t="s">
        <v>2283</v>
      </c>
      <c r="AP82" s="20" t="s">
        <v>2284</v>
      </c>
      <c r="AQ82" s="20" t="s">
        <v>1813</v>
      </c>
      <c r="AR82" s="20" t="s">
        <v>2271</v>
      </c>
      <c r="AS82" s="20" t="s">
        <v>2285</v>
      </c>
      <c r="AT82" s="20" t="s">
        <v>2527</v>
      </c>
      <c r="AU82" s="20">
        <v>2010.0</v>
      </c>
      <c r="AV82" s="20">
        <v>119.0</v>
      </c>
      <c r="AW82" s="20">
        <v>10.0</v>
      </c>
      <c r="AX82" s="20" t="s">
        <v>1813</v>
      </c>
      <c r="AY82" s="20" t="s">
        <v>1813</v>
      </c>
      <c r="AZ82" s="20" t="s">
        <v>1813</v>
      </c>
      <c r="BA82" s="20" t="s">
        <v>1813</v>
      </c>
      <c r="BB82" s="20">
        <v>1553.0</v>
      </c>
      <c r="BC82" s="20">
        <v>1562.0</v>
      </c>
      <c r="BD82" s="20" t="s">
        <v>1813</v>
      </c>
      <c r="BE82" s="20" t="s">
        <v>3322</v>
      </c>
      <c r="BF82" s="22" t="str">
        <f>HYPERLINK("http://dx.doi.org/10.1111/j.1600-0706.2010.18382.x","http://dx.doi.org/10.1111/j.1600-0706.2010.18382.x")</f>
        <v>http://dx.doi.org/10.1111/j.1600-0706.2010.18382.x</v>
      </c>
      <c r="BG82" s="20" t="s">
        <v>1813</v>
      </c>
      <c r="BH82" s="20" t="s">
        <v>1813</v>
      </c>
      <c r="BI82" s="20">
        <v>10.0</v>
      </c>
      <c r="BJ82" s="20" t="s">
        <v>1899</v>
      </c>
      <c r="BK82" s="20" t="s">
        <v>1839</v>
      </c>
      <c r="BL82" s="20" t="s">
        <v>1900</v>
      </c>
      <c r="BM82" s="20" t="s">
        <v>3323</v>
      </c>
      <c r="BN82" s="20" t="s">
        <v>1813</v>
      </c>
      <c r="BO82" s="20" t="s">
        <v>1813</v>
      </c>
      <c r="BP82" s="20" t="s">
        <v>1813</v>
      </c>
      <c r="BQ82" s="20" t="s">
        <v>1813</v>
      </c>
      <c r="BR82" s="20" t="s">
        <v>1842</v>
      </c>
      <c r="BS82" s="20" t="s">
        <v>3324</v>
      </c>
      <c r="BT82" s="20" t="str">
        <f>HYPERLINK("https%3A%2F%2Fwww.webofscience.com%2Fwos%2Fwoscc%2Ffull-record%2FWOS:000281833700003","View Full Record in Web of Science")</f>
        <v>View Full Record in Web of Science</v>
      </c>
    </row>
    <row r="83" ht="12.75" customHeight="1">
      <c r="A83" s="20" t="s">
        <v>1811</v>
      </c>
      <c r="B83" s="20" t="s">
        <v>3325</v>
      </c>
      <c r="C83" s="20" t="s">
        <v>1813</v>
      </c>
      <c r="D83" s="20" t="s">
        <v>1813</v>
      </c>
      <c r="E83" s="20" t="s">
        <v>1813</v>
      </c>
      <c r="F83" s="20" t="s">
        <v>3325</v>
      </c>
      <c r="G83" s="20" t="s">
        <v>1813</v>
      </c>
      <c r="H83" s="20" t="s">
        <v>1813</v>
      </c>
      <c r="I83" s="20" t="s">
        <v>1680</v>
      </c>
      <c r="J83" s="20" t="s">
        <v>2040</v>
      </c>
      <c r="K83" s="20" t="s">
        <v>1813</v>
      </c>
      <c r="L83" s="20" t="s">
        <v>1813</v>
      </c>
      <c r="M83" s="20" t="s">
        <v>1816</v>
      </c>
      <c r="N83" s="20" t="s">
        <v>1817</v>
      </c>
      <c r="O83" s="20" t="s">
        <v>1813</v>
      </c>
      <c r="P83" s="20" t="s">
        <v>1813</v>
      </c>
      <c r="Q83" s="20" t="s">
        <v>1813</v>
      </c>
      <c r="R83" s="20" t="s">
        <v>1813</v>
      </c>
      <c r="S83" s="20" t="s">
        <v>1813</v>
      </c>
      <c r="T83" s="20" t="s">
        <v>1813</v>
      </c>
      <c r="U83" s="20" t="s">
        <v>3326</v>
      </c>
      <c r="V83" s="20" t="s">
        <v>3327</v>
      </c>
      <c r="W83" s="20" t="s">
        <v>3328</v>
      </c>
      <c r="X83" s="20" t="s">
        <v>3329</v>
      </c>
      <c r="Y83" s="20" t="s">
        <v>3330</v>
      </c>
      <c r="Z83" s="20" t="s">
        <v>1813</v>
      </c>
      <c r="AA83" s="20" t="s">
        <v>3331</v>
      </c>
      <c r="AB83" s="20" t="s">
        <v>3332</v>
      </c>
      <c r="AC83" s="20" t="s">
        <v>1813</v>
      </c>
      <c r="AD83" s="20" t="s">
        <v>1813</v>
      </c>
      <c r="AE83" s="20" t="s">
        <v>1813</v>
      </c>
      <c r="AF83" s="20" t="s">
        <v>1813</v>
      </c>
      <c r="AG83" s="20">
        <v>56.0</v>
      </c>
      <c r="AH83" s="20">
        <v>87.0</v>
      </c>
      <c r="AI83" s="20">
        <v>121.0</v>
      </c>
      <c r="AJ83" s="20">
        <v>0.0</v>
      </c>
      <c r="AK83" s="20">
        <v>22.0</v>
      </c>
      <c r="AL83" s="20" t="s">
        <v>2052</v>
      </c>
      <c r="AM83" s="20" t="s">
        <v>2053</v>
      </c>
      <c r="AN83" s="20" t="s">
        <v>2054</v>
      </c>
      <c r="AO83" s="20" t="s">
        <v>2055</v>
      </c>
      <c r="AP83" s="20" t="s">
        <v>1813</v>
      </c>
      <c r="AQ83" s="20" t="s">
        <v>1813</v>
      </c>
      <c r="AR83" s="20" t="s">
        <v>2057</v>
      </c>
      <c r="AS83" s="20" t="s">
        <v>2058</v>
      </c>
      <c r="AT83" s="20" t="s">
        <v>2185</v>
      </c>
      <c r="AU83" s="20">
        <v>2000.0</v>
      </c>
      <c r="AV83" s="20">
        <v>94.0</v>
      </c>
      <c r="AW83" s="20">
        <v>3.0</v>
      </c>
      <c r="AX83" s="20" t="s">
        <v>1813</v>
      </c>
      <c r="AY83" s="20" t="s">
        <v>1813</v>
      </c>
      <c r="AZ83" s="20" t="s">
        <v>1813</v>
      </c>
      <c r="BA83" s="20" t="s">
        <v>1813</v>
      </c>
      <c r="BB83" s="20">
        <v>273.0</v>
      </c>
      <c r="BC83" s="20">
        <v>285.0</v>
      </c>
      <c r="BD83" s="20" t="s">
        <v>1813</v>
      </c>
      <c r="BE83" s="20" t="s">
        <v>3333</v>
      </c>
      <c r="BF83" s="22" t="str">
        <f>HYPERLINK("http://dx.doi.org/10.1016/S0006-3207(00)00001-X","http://dx.doi.org/10.1016/S0006-3207(00)00001-X")</f>
        <v>http://dx.doi.org/10.1016/S0006-3207(00)00001-X</v>
      </c>
      <c r="BG83" s="20" t="s">
        <v>1813</v>
      </c>
      <c r="BH83" s="20" t="s">
        <v>1813</v>
      </c>
      <c r="BI83" s="20">
        <v>13.0</v>
      </c>
      <c r="BJ83" s="20" t="s">
        <v>1860</v>
      </c>
      <c r="BK83" s="20" t="s">
        <v>1839</v>
      </c>
      <c r="BL83" s="20" t="s">
        <v>1840</v>
      </c>
      <c r="BM83" s="20" t="s">
        <v>3334</v>
      </c>
      <c r="BN83" s="20" t="s">
        <v>1813</v>
      </c>
      <c r="BO83" s="20" t="s">
        <v>1813</v>
      </c>
      <c r="BP83" s="20" t="s">
        <v>1813</v>
      </c>
      <c r="BQ83" s="20" t="s">
        <v>1813</v>
      </c>
      <c r="BR83" s="20" t="s">
        <v>1842</v>
      </c>
      <c r="BS83" s="20" t="s">
        <v>3335</v>
      </c>
      <c r="BT83" s="20" t="str">
        <f>HYPERLINK("https%3A%2F%2Fwww.webofscience.com%2Fwos%2Fwoscc%2Ffull-record%2FWOS:000087218600002","View Full Record in Web of Science")</f>
        <v>View Full Record in Web of Science</v>
      </c>
    </row>
    <row r="84" ht="12.75" customHeight="1">
      <c r="A84" s="20" t="s">
        <v>1811</v>
      </c>
      <c r="B84" s="20" t="s">
        <v>3336</v>
      </c>
      <c r="C84" s="20" t="s">
        <v>1813</v>
      </c>
      <c r="D84" s="20" t="s">
        <v>1813</v>
      </c>
      <c r="E84" s="20" t="s">
        <v>1813</v>
      </c>
      <c r="F84" s="20" t="s">
        <v>3336</v>
      </c>
      <c r="G84" s="20" t="s">
        <v>1813</v>
      </c>
      <c r="H84" s="20" t="s">
        <v>1813</v>
      </c>
      <c r="I84" s="20" t="s">
        <v>1423</v>
      </c>
      <c r="J84" s="20" t="s">
        <v>2955</v>
      </c>
      <c r="K84" s="20" t="s">
        <v>1813</v>
      </c>
      <c r="L84" s="20" t="s">
        <v>1813</v>
      </c>
      <c r="M84" s="20" t="s">
        <v>1816</v>
      </c>
      <c r="N84" s="20" t="s">
        <v>1817</v>
      </c>
      <c r="O84" s="20" t="s">
        <v>1813</v>
      </c>
      <c r="P84" s="20" t="s">
        <v>1813</v>
      </c>
      <c r="Q84" s="20" t="s">
        <v>1813</v>
      </c>
      <c r="R84" s="20" t="s">
        <v>1813</v>
      </c>
      <c r="S84" s="20" t="s">
        <v>1813</v>
      </c>
      <c r="T84" s="20" t="s">
        <v>3337</v>
      </c>
      <c r="U84" s="20" t="s">
        <v>3338</v>
      </c>
      <c r="V84" s="20" t="s">
        <v>3339</v>
      </c>
      <c r="W84" s="20" t="s">
        <v>3340</v>
      </c>
      <c r="X84" s="20" t="s">
        <v>3341</v>
      </c>
      <c r="Y84" s="20" t="s">
        <v>3342</v>
      </c>
      <c r="Z84" s="20" t="s">
        <v>3343</v>
      </c>
      <c r="AA84" s="20" t="s">
        <v>1813</v>
      </c>
      <c r="AB84" s="20" t="s">
        <v>3344</v>
      </c>
      <c r="AC84" s="20" t="s">
        <v>1813</v>
      </c>
      <c r="AD84" s="20" t="s">
        <v>1813</v>
      </c>
      <c r="AE84" s="20" t="s">
        <v>1813</v>
      </c>
      <c r="AF84" s="20" t="s">
        <v>1813</v>
      </c>
      <c r="AG84" s="20">
        <v>70.0</v>
      </c>
      <c r="AH84" s="20">
        <v>51.0</v>
      </c>
      <c r="AI84" s="20">
        <v>80.0</v>
      </c>
      <c r="AJ84" s="20">
        <v>3.0</v>
      </c>
      <c r="AK84" s="20">
        <v>62.0</v>
      </c>
      <c r="AL84" s="20" t="s">
        <v>1852</v>
      </c>
      <c r="AM84" s="20" t="s">
        <v>1853</v>
      </c>
      <c r="AN84" s="20" t="s">
        <v>1854</v>
      </c>
      <c r="AO84" s="20" t="s">
        <v>2967</v>
      </c>
      <c r="AP84" s="20" t="s">
        <v>2968</v>
      </c>
      <c r="AQ84" s="20" t="s">
        <v>1813</v>
      </c>
      <c r="AR84" s="20" t="s">
        <v>2969</v>
      </c>
      <c r="AS84" s="20" t="s">
        <v>2970</v>
      </c>
      <c r="AT84" s="20" t="s">
        <v>2185</v>
      </c>
      <c r="AU84" s="20">
        <v>2005.0</v>
      </c>
      <c r="AV84" s="20">
        <v>7.0</v>
      </c>
      <c r="AW84" s="20">
        <v>4.0</v>
      </c>
      <c r="AX84" s="20" t="s">
        <v>1813</v>
      </c>
      <c r="AY84" s="20" t="s">
        <v>1813</v>
      </c>
      <c r="AZ84" s="20" t="s">
        <v>1813</v>
      </c>
      <c r="BA84" s="20" t="s">
        <v>1813</v>
      </c>
      <c r="BB84" s="20">
        <v>639.0</v>
      </c>
      <c r="BC84" s="20">
        <v>650.0</v>
      </c>
      <c r="BD84" s="20" t="s">
        <v>1813</v>
      </c>
      <c r="BE84" s="20" t="s">
        <v>3345</v>
      </c>
      <c r="BF84" s="22" t="str">
        <f>HYPERLINK("http://dx.doi.org/10.1007/s10530-004-6669-x","http://dx.doi.org/10.1007/s10530-004-6669-x")</f>
        <v>http://dx.doi.org/10.1007/s10530-004-6669-x</v>
      </c>
      <c r="BG84" s="20" t="s">
        <v>1813</v>
      </c>
      <c r="BH84" s="20" t="s">
        <v>1813</v>
      </c>
      <c r="BI84" s="20">
        <v>12.0</v>
      </c>
      <c r="BJ84" s="20" t="s">
        <v>1838</v>
      </c>
      <c r="BK84" s="20" t="s">
        <v>1839</v>
      </c>
      <c r="BL84" s="20" t="s">
        <v>1840</v>
      </c>
      <c r="BM84" s="20" t="s">
        <v>3346</v>
      </c>
      <c r="BN84" s="20" t="s">
        <v>1813</v>
      </c>
      <c r="BO84" s="20" t="s">
        <v>1813</v>
      </c>
      <c r="BP84" s="20" t="s">
        <v>1813</v>
      </c>
      <c r="BQ84" s="20" t="s">
        <v>1813</v>
      </c>
      <c r="BR84" s="20" t="s">
        <v>1842</v>
      </c>
      <c r="BS84" s="20" t="s">
        <v>3347</v>
      </c>
      <c r="BT84" s="20" t="str">
        <f>HYPERLINK("https%3A%2F%2Fwww.webofscience.com%2Fwos%2Fwoscc%2Ffull-record%2FWOS:000231804500009","View Full Record in Web of Science")</f>
        <v>View Full Record in Web of Science</v>
      </c>
    </row>
    <row r="85" ht="12.75" customHeight="1">
      <c r="A85" s="20" t="s">
        <v>1811</v>
      </c>
      <c r="B85" s="20" t="s">
        <v>3348</v>
      </c>
      <c r="C85" s="20" t="s">
        <v>1813</v>
      </c>
      <c r="D85" s="20" t="s">
        <v>1813</v>
      </c>
      <c r="E85" s="20" t="s">
        <v>1813</v>
      </c>
      <c r="F85" s="20" t="s">
        <v>3348</v>
      </c>
      <c r="G85" s="20" t="s">
        <v>1813</v>
      </c>
      <c r="H85" s="20" t="s">
        <v>1813</v>
      </c>
      <c r="I85" s="20" t="s">
        <v>1411</v>
      </c>
      <c r="J85" s="20" t="s">
        <v>3349</v>
      </c>
      <c r="K85" s="20" t="s">
        <v>1813</v>
      </c>
      <c r="L85" s="20" t="s">
        <v>1813</v>
      </c>
      <c r="M85" s="20" t="s">
        <v>1816</v>
      </c>
      <c r="N85" s="20" t="s">
        <v>1817</v>
      </c>
      <c r="O85" s="20" t="s">
        <v>1813</v>
      </c>
      <c r="P85" s="20" t="s">
        <v>1813</v>
      </c>
      <c r="Q85" s="20" t="s">
        <v>1813</v>
      </c>
      <c r="R85" s="20" t="s">
        <v>1813</v>
      </c>
      <c r="S85" s="20" t="s">
        <v>1813</v>
      </c>
      <c r="T85" s="20" t="s">
        <v>3350</v>
      </c>
      <c r="U85" s="20" t="s">
        <v>3351</v>
      </c>
      <c r="V85" s="20" t="s">
        <v>3352</v>
      </c>
      <c r="W85" s="20" t="s">
        <v>3353</v>
      </c>
      <c r="X85" s="20" t="s">
        <v>3354</v>
      </c>
      <c r="Y85" s="20" t="s">
        <v>3355</v>
      </c>
      <c r="Z85" s="20" t="s">
        <v>3356</v>
      </c>
      <c r="AA85" s="20" t="s">
        <v>3357</v>
      </c>
      <c r="AB85" s="20" t="s">
        <v>3358</v>
      </c>
      <c r="AC85" s="20" t="s">
        <v>1813</v>
      </c>
      <c r="AD85" s="20" t="s">
        <v>1813</v>
      </c>
      <c r="AE85" s="20" t="s">
        <v>1813</v>
      </c>
      <c r="AF85" s="20" t="s">
        <v>1813</v>
      </c>
      <c r="AG85" s="20">
        <v>75.0</v>
      </c>
      <c r="AH85" s="20">
        <v>43.0</v>
      </c>
      <c r="AI85" s="20">
        <v>48.0</v>
      </c>
      <c r="AJ85" s="20">
        <v>0.0</v>
      </c>
      <c r="AK85" s="20">
        <v>15.0</v>
      </c>
      <c r="AL85" s="20" t="s">
        <v>1829</v>
      </c>
      <c r="AM85" s="20" t="s">
        <v>1830</v>
      </c>
      <c r="AN85" s="20" t="s">
        <v>1831</v>
      </c>
      <c r="AO85" s="20" t="s">
        <v>3359</v>
      </c>
      <c r="AP85" s="20" t="s">
        <v>3360</v>
      </c>
      <c r="AQ85" s="20" t="s">
        <v>1813</v>
      </c>
      <c r="AR85" s="20" t="s">
        <v>3361</v>
      </c>
      <c r="AS85" s="20" t="s">
        <v>3362</v>
      </c>
      <c r="AT85" s="20" t="s">
        <v>1939</v>
      </c>
      <c r="AU85" s="20">
        <v>2004.0</v>
      </c>
      <c r="AV85" s="20">
        <v>162.0</v>
      </c>
      <c r="AW85" s="20">
        <v>3.0</v>
      </c>
      <c r="AX85" s="20" t="s">
        <v>1813</v>
      </c>
      <c r="AY85" s="20" t="s">
        <v>1813</v>
      </c>
      <c r="AZ85" s="20" t="s">
        <v>1813</v>
      </c>
      <c r="BA85" s="20" t="s">
        <v>1813</v>
      </c>
      <c r="BB85" s="20">
        <v>755.0</v>
      </c>
      <c r="BC85" s="20">
        <v>770.0</v>
      </c>
      <c r="BD85" s="20" t="s">
        <v>1813</v>
      </c>
      <c r="BE85" s="20" t="s">
        <v>3363</v>
      </c>
      <c r="BF85" s="22" t="str">
        <f>HYPERLINK("http://dx.doi.org/10.1111/j.1469-8137.2004.01074.x","http://dx.doi.org/10.1111/j.1469-8137.2004.01074.x")</f>
        <v>http://dx.doi.org/10.1111/j.1469-8137.2004.01074.x</v>
      </c>
      <c r="BG85" s="20" t="s">
        <v>1813</v>
      </c>
      <c r="BH85" s="20" t="s">
        <v>1813</v>
      </c>
      <c r="BI85" s="20">
        <v>16.0</v>
      </c>
      <c r="BJ85" s="20" t="s">
        <v>3172</v>
      </c>
      <c r="BK85" s="20" t="s">
        <v>1839</v>
      </c>
      <c r="BL85" s="20" t="s">
        <v>3172</v>
      </c>
      <c r="BM85" s="20" t="s">
        <v>3364</v>
      </c>
      <c r="BN85" s="20">
        <v>3.3873755E7</v>
      </c>
      <c r="BO85" s="20" t="s">
        <v>1878</v>
      </c>
      <c r="BP85" s="20" t="s">
        <v>1813</v>
      </c>
      <c r="BQ85" s="20" t="s">
        <v>1813</v>
      </c>
      <c r="BR85" s="20" t="s">
        <v>1842</v>
      </c>
      <c r="BS85" s="20" t="s">
        <v>3365</v>
      </c>
      <c r="BT85" s="20" t="str">
        <f>HYPERLINK("https%3A%2F%2Fwww.webofscience.com%2Fwos%2Fwoscc%2Ffull-record%2FWOS:000221913500017","View Full Record in Web of Science")</f>
        <v>View Full Record in Web of Science</v>
      </c>
    </row>
    <row r="86" ht="12.75" customHeight="1">
      <c r="A86" s="20" t="s">
        <v>1811</v>
      </c>
      <c r="B86" s="20" t="s">
        <v>3366</v>
      </c>
      <c r="C86" s="20" t="s">
        <v>1813</v>
      </c>
      <c r="D86" s="20" t="s">
        <v>1813</v>
      </c>
      <c r="E86" s="20" t="s">
        <v>1813</v>
      </c>
      <c r="F86" s="20" t="s">
        <v>3367</v>
      </c>
      <c r="G86" s="20" t="s">
        <v>1813</v>
      </c>
      <c r="H86" s="20" t="s">
        <v>1813</v>
      </c>
      <c r="I86" s="20" t="s">
        <v>1443</v>
      </c>
      <c r="J86" s="20" t="s">
        <v>2040</v>
      </c>
      <c r="K86" s="20" t="s">
        <v>1813</v>
      </c>
      <c r="L86" s="20" t="s">
        <v>1813</v>
      </c>
      <c r="M86" s="20" t="s">
        <v>1816</v>
      </c>
      <c r="N86" s="20" t="s">
        <v>1817</v>
      </c>
      <c r="O86" s="20" t="s">
        <v>1813</v>
      </c>
      <c r="P86" s="20" t="s">
        <v>1813</v>
      </c>
      <c r="Q86" s="20" t="s">
        <v>1813</v>
      </c>
      <c r="R86" s="20" t="s">
        <v>1813</v>
      </c>
      <c r="S86" s="20" t="s">
        <v>1813</v>
      </c>
      <c r="T86" s="20" t="s">
        <v>3368</v>
      </c>
      <c r="U86" s="20" t="s">
        <v>3369</v>
      </c>
      <c r="V86" s="20" t="s">
        <v>3370</v>
      </c>
      <c r="W86" s="20" t="s">
        <v>3371</v>
      </c>
      <c r="X86" s="20" t="s">
        <v>3372</v>
      </c>
      <c r="Y86" s="20" t="s">
        <v>3373</v>
      </c>
      <c r="Z86" s="20" t="s">
        <v>3374</v>
      </c>
      <c r="AA86" s="20" t="s">
        <v>1813</v>
      </c>
      <c r="AB86" s="20" t="s">
        <v>3375</v>
      </c>
      <c r="AC86" s="20" t="s">
        <v>3376</v>
      </c>
      <c r="AD86" s="20" t="s">
        <v>3376</v>
      </c>
      <c r="AE86" s="20" t="s">
        <v>3377</v>
      </c>
      <c r="AF86" s="20" t="s">
        <v>1813</v>
      </c>
      <c r="AG86" s="20">
        <v>36.0</v>
      </c>
      <c r="AH86" s="20">
        <v>56.0</v>
      </c>
      <c r="AI86" s="20">
        <v>81.0</v>
      </c>
      <c r="AJ86" s="20">
        <v>0.0</v>
      </c>
      <c r="AK86" s="20">
        <v>107.0</v>
      </c>
      <c r="AL86" s="20" t="s">
        <v>2052</v>
      </c>
      <c r="AM86" s="20" t="s">
        <v>2053</v>
      </c>
      <c r="AN86" s="20" t="s">
        <v>2054</v>
      </c>
      <c r="AO86" s="20" t="s">
        <v>2055</v>
      </c>
      <c r="AP86" s="20" t="s">
        <v>1813</v>
      </c>
      <c r="AQ86" s="20" t="s">
        <v>1813</v>
      </c>
      <c r="AR86" s="20" t="s">
        <v>2057</v>
      </c>
      <c r="AS86" s="20" t="s">
        <v>2058</v>
      </c>
      <c r="AT86" s="20" t="s">
        <v>2651</v>
      </c>
      <c r="AU86" s="20">
        <v>2011.0</v>
      </c>
      <c r="AV86" s="20">
        <v>144.0</v>
      </c>
      <c r="AW86" s="20">
        <v>11.0</v>
      </c>
      <c r="AX86" s="20" t="s">
        <v>1813</v>
      </c>
      <c r="AY86" s="20" t="s">
        <v>1813</v>
      </c>
      <c r="AZ86" s="20" t="s">
        <v>1813</v>
      </c>
      <c r="BA86" s="20" t="s">
        <v>1813</v>
      </c>
      <c r="BB86" s="20">
        <v>2597.0</v>
      </c>
      <c r="BC86" s="20">
        <v>2601.0</v>
      </c>
      <c r="BD86" s="20" t="s">
        <v>1813</v>
      </c>
      <c r="BE86" s="20" t="s">
        <v>3378</v>
      </c>
      <c r="BF86" s="22" t="str">
        <f>HYPERLINK("http://dx.doi.org/10.1016/j.biocon.2011.07.005","http://dx.doi.org/10.1016/j.biocon.2011.07.005")</f>
        <v>http://dx.doi.org/10.1016/j.biocon.2011.07.005</v>
      </c>
      <c r="BG86" s="20" t="s">
        <v>1813</v>
      </c>
      <c r="BH86" s="20" t="s">
        <v>1813</v>
      </c>
      <c r="BI86" s="20">
        <v>5.0</v>
      </c>
      <c r="BJ86" s="20" t="s">
        <v>1860</v>
      </c>
      <c r="BK86" s="20" t="s">
        <v>1839</v>
      </c>
      <c r="BL86" s="20" t="s">
        <v>1840</v>
      </c>
      <c r="BM86" s="20" t="s">
        <v>3379</v>
      </c>
      <c r="BN86" s="20" t="s">
        <v>1813</v>
      </c>
      <c r="BO86" s="20" t="s">
        <v>1813</v>
      </c>
      <c r="BP86" s="20" t="s">
        <v>1813</v>
      </c>
      <c r="BQ86" s="20" t="s">
        <v>1813</v>
      </c>
      <c r="BR86" s="20" t="s">
        <v>1842</v>
      </c>
      <c r="BS86" s="20" t="s">
        <v>3380</v>
      </c>
      <c r="BT86" s="20" t="str">
        <f>HYPERLINK("https%3A%2F%2Fwww.webofscience.com%2Fwos%2Fwoscc%2Ffull-record%2FWOS:000295442900006","View Full Record in Web of Science")</f>
        <v>View Full Record in Web of Science</v>
      </c>
    </row>
    <row r="87" ht="12.75" customHeight="1">
      <c r="A87" s="20" t="s">
        <v>1811</v>
      </c>
      <c r="B87" s="20" t="s">
        <v>3381</v>
      </c>
      <c r="C87" s="20" t="s">
        <v>1813</v>
      </c>
      <c r="D87" s="20" t="s">
        <v>1813</v>
      </c>
      <c r="E87" s="20" t="s">
        <v>1813</v>
      </c>
      <c r="F87" s="20" t="s">
        <v>3382</v>
      </c>
      <c r="G87" s="20" t="s">
        <v>1813</v>
      </c>
      <c r="H87" s="20" t="s">
        <v>1813</v>
      </c>
      <c r="I87" s="20" t="s">
        <v>1455</v>
      </c>
      <c r="J87" s="20" t="s">
        <v>1923</v>
      </c>
      <c r="K87" s="20" t="s">
        <v>1813</v>
      </c>
      <c r="L87" s="20" t="s">
        <v>1813</v>
      </c>
      <c r="M87" s="20" t="s">
        <v>1816</v>
      </c>
      <c r="N87" s="20" t="s">
        <v>1817</v>
      </c>
      <c r="O87" s="20" t="s">
        <v>1813</v>
      </c>
      <c r="P87" s="20" t="s">
        <v>1813</v>
      </c>
      <c r="Q87" s="20" t="s">
        <v>1813</v>
      </c>
      <c r="R87" s="20" t="s">
        <v>1813</v>
      </c>
      <c r="S87" s="20" t="s">
        <v>1813</v>
      </c>
      <c r="T87" s="20" t="s">
        <v>3383</v>
      </c>
      <c r="U87" s="20" t="s">
        <v>3384</v>
      </c>
      <c r="V87" s="20" t="s">
        <v>3385</v>
      </c>
      <c r="W87" s="20" t="s">
        <v>3386</v>
      </c>
      <c r="X87" s="20" t="s">
        <v>3387</v>
      </c>
      <c r="Y87" s="20" t="s">
        <v>3388</v>
      </c>
      <c r="Z87" s="20" t="s">
        <v>3389</v>
      </c>
      <c r="AA87" s="20" t="s">
        <v>3390</v>
      </c>
      <c r="AB87" s="20" t="s">
        <v>3391</v>
      </c>
      <c r="AC87" s="20" t="s">
        <v>1813</v>
      </c>
      <c r="AD87" s="20" t="s">
        <v>1813</v>
      </c>
      <c r="AE87" s="20" t="s">
        <v>1813</v>
      </c>
      <c r="AF87" s="20" t="s">
        <v>1813</v>
      </c>
      <c r="AG87" s="20">
        <v>52.0</v>
      </c>
      <c r="AH87" s="20">
        <v>73.0</v>
      </c>
      <c r="AI87" s="20">
        <v>83.0</v>
      </c>
      <c r="AJ87" s="20">
        <v>4.0</v>
      </c>
      <c r="AK87" s="20">
        <v>106.0</v>
      </c>
      <c r="AL87" s="20" t="s">
        <v>1829</v>
      </c>
      <c r="AM87" s="20" t="s">
        <v>1830</v>
      </c>
      <c r="AN87" s="20" t="s">
        <v>1831</v>
      </c>
      <c r="AO87" s="20" t="s">
        <v>1935</v>
      </c>
      <c r="AP87" s="20" t="s">
        <v>1936</v>
      </c>
      <c r="AQ87" s="20" t="s">
        <v>1813</v>
      </c>
      <c r="AR87" s="20" t="s">
        <v>1937</v>
      </c>
      <c r="AS87" s="20" t="s">
        <v>1938</v>
      </c>
      <c r="AT87" s="20" t="s">
        <v>2009</v>
      </c>
      <c r="AU87" s="20">
        <v>2007.0</v>
      </c>
      <c r="AV87" s="20">
        <v>44.0</v>
      </c>
      <c r="AW87" s="20">
        <v>1.0</v>
      </c>
      <c r="AX87" s="20" t="s">
        <v>1813</v>
      </c>
      <c r="AY87" s="20" t="s">
        <v>1813</v>
      </c>
      <c r="AZ87" s="20" t="s">
        <v>1813</v>
      </c>
      <c r="BA87" s="20" t="s">
        <v>1813</v>
      </c>
      <c r="BB87" s="20">
        <v>125.0</v>
      </c>
      <c r="BC87" s="20">
        <v>135.0</v>
      </c>
      <c r="BD87" s="20" t="s">
        <v>1813</v>
      </c>
      <c r="BE87" s="20" t="s">
        <v>3392</v>
      </c>
      <c r="BF87" s="22" t="str">
        <f>HYPERLINK("http://dx.doi.org/10.1111/j.1365-2664.2006.01251.x","http://dx.doi.org/10.1111/j.1365-2664.2006.01251.x")</f>
        <v>http://dx.doi.org/10.1111/j.1365-2664.2006.01251.x</v>
      </c>
      <c r="BG87" s="20" t="s">
        <v>1813</v>
      </c>
      <c r="BH87" s="20" t="s">
        <v>1813</v>
      </c>
      <c r="BI87" s="20">
        <v>11.0</v>
      </c>
      <c r="BJ87" s="20" t="s">
        <v>1838</v>
      </c>
      <c r="BK87" s="20" t="s">
        <v>1839</v>
      </c>
      <c r="BL87" s="20" t="s">
        <v>1840</v>
      </c>
      <c r="BM87" s="20" t="s">
        <v>3393</v>
      </c>
      <c r="BN87" s="20" t="s">
        <v>1813</v>
      </c>
      <c r="BO87" s="20" t="s">
        <v>1813</v>
      </c>
      <c r="BP87" s="20" t="s">
        <v>1813</v>
      </c>
      <c r="BQ87" s="20" t="s">
        <v>1813</v>
      </c>
      <c r="BR87" s="20" t="s">
        <v>1842</v>
      </c>
      <c r="BS87" s="20" t="s">
        <v>3394</v>
      </c>
      <c r="BT87" s="20" t="str">
        <f>HYPERLINK("https%3A%2F%2Fwww.webofscience.com%2Fwos%2Fwoscc%2Ffull-record%2FWOS:000243023600014","View Full Record in Web of Science")</f>
        <v>View Full Record in Web of Science</v>
      </c>
    </row>
    <row r="88" ht="12.75" customHeight="1">
      <c r="A88" s="20" t="s">
        <v>1811</v>
      </c>
      <c r="B88" s="20" t="s">
        <v>3395</v>
      </c>
      <c r="C88" s="20" t="s">
        <v>1813</v>
      </c>
      <c r="D88" s="20" t="s">
        <v>1813</v>
      </c>
      <c r="E88" s="20" t="s">
        <v>1813</v>
      </c>
      <c r="F88" s="20" t="s">
        <v>3395</v>
      </c>
      <c r="G88" s="20" t="s">
        <v>1813</v>
      </c>
      <c r="H88" s="20" t="s">
        <v>1813</v>
      </c>
      <c r="I88" s="20" t="s">
        <v>3396</v>
      </c>
      <c r="J88" s="20" t="s">
        <v>3397</v>
      </c>
      <c r="K88" s="20" t="s">
        <v>1813</v>
      </c>
      <c r="L88" s="20" t="s">
        <v>1813</v>
      </c>
      <c r="M88" s="20" t="s">
        <v>1816</v>
      </c>
      <c r="N88" s="20" t="s">
        <v>1817</v>
      </c>
      <c r="O88" s="20" t="s">
        <v>1813</v>
      </c>
      <c r="P88" s="20" t="s">
        <v>1813</v>
      </c>
      <c r="Q88" s="20" t="s">
        <v>1813</v>
      </c>
      <c r="R88" s="20" t="s">
        <v>1813</v>
      </c>
      <c r="S88" s="20" t="s">
        <v>1813</v>
      </c>
      <c r="T88" s="20" t="s">
        <v>3398</v>
      </c>
      <c r="U88" s="20" t="s">
        <v>3399</v>
      </c>
      <c r="V88" s="20" t="s">
        <v>3400</v>
      </c>
      <c r="W88" s="20" t="s">
        <v>3401</v>
      </c>
      <c r="X88" s="20" t="s">
        <v>3402</v>
      </c>
      <c r="Y88" s="20" t="s">
        <v>3403</v>
      </c>
      <c r="Z88" s="20" t="s">
        <v>3404</v>
      </c>
      <c r="AA88" s="20" t="s">
        <v>1813</v>
      </c>
      <c r="AB88" s="20" t="s">
        <v>1813</v>
      </c>
      <c r="AC88" s="20" t="s">
        <v>1813</v>
      </c>
      <c r="AD88" s="20" t="s">
        <v>1813</v>
      </c>
      <c r="AE88" s="20" t="s">
        <v>1813</v>
      </c>
      <c r="AF88" s="20" t="s">
        <v>1813</v>
      </c>
      <c r="AG88" s="20">
        <v>26.0</v>
      </c>
      <c r="AH88" s="20">
        <v>17.0</v>
      </c>
      <c r="AI88" s="20">
        <v>20.0</v>
      </c>
      <c r="AJ88" s="20">
        <v>0.0</v>
      </c>
      <c r="AK88" s="20">
        <v>26.0</v>
      </c>
      <c r="AL88" s="20" t="s">
        <v>3405</v>
      </c>
      <c r="AM88" s="20" t="s">
        <v>3406</v>
      </c>
      <c r="AN88" s="20" t="s">
        <v>3407</v>
      </c>
      <c r="AO88" s="20" t="s">
        <v>3408</v>
      </c>
      <c r="AP88" s="20" t="s">
        <v>1813</v>
      </c>
      <c r="AQ88" s="20" t="s">
        <v>1813</v>
      </c>
      <c r="AR88" s="20" t="s">
        <v>3409</v>
      </c>
      <c r="AS88" s="20" t="s">
        <v>3410</v>
      </c>
      <c r="AT88" s="20" t="s">
        <v>1813</v>
      </c>
      <c r="AU88" s="20">
        <v>2004.0</v>
      </c>
      <c r="AV88" s="20">
        <v>30.0</v>
      </c>
      <c r="AW88" s="20">
        <v>3.0</v>
      </c>
      <c r="AX88" s="20" t="s">
        <v>1813</v>
      </c>
      <c r="AY88" s="20" t="s">
        <v>1813</v>
      </c>
      <c r="AZ88" s="20" t="s">
        <v>1813</v>
      </c>
      <c r="BA88" s="20" t="s">
        <v>1813</v>
      </c>
      <c r="BB88" s="20">
        <v>390.0</v>
      </c>
      <c r="BC88" s="20">
        <v>396.0</v>
      </c>
      <c r="BD88" s="20" t="s">
        <v>1813</v>
      </c>
      <c r="BE88" s="20" t="s">
        <v>3411</v>
      </c>
      <c r="BF88" s="22" t="str">
        <f>HYPERLINK("http://dx.doi.org/10.1016/S0380-1330(04)70356-1","http://dx.doi.org/10.1016/S0380-1330(04)70356-1")</f>
        <v>http://dx.doi.org/10.1016/S0380-1330(04)70356-1</v>
      </c>
      <c r="BG88" s="20" t="s">
        <v>1813</v>
      </c>
      <c r="BH88" s="20" t="s">
        <v>1813</v>
      </c>
      <c r="BI88" s="20">
        <v>7.0</v>
      </c>
      <c r="BJ88" s="20" t="s">
        <v>2264</v>
      </c>
      <c r="BK88" s="20" t="s">
        <v>1839</v>
      </c>
      <c r="BL88" s="20" t="s">
        <v>2265</v>
      </c>
      <c r="BM88" s="20" t="s">
        <v>3412</v>
      </c>
      <c r="BN88" s="20" t="s">
        <v>1813</v>
      </c>
      <c r="BO88" s="20" t="s">
        <v>1813</v>
      </c>
      <c r="BP88" s="20" t="s">
        <v>1813</v>
      </c>
      <c r="BQ88" s="20" t="s">
        <v>1813</v>
      </c>
      <c r="BR88" s="20" t="s">
        <v>1842</v>
      </c>
      <c r="BS88" s="20" t="s">
        <v>3413</v>
      </c>
      <c r="BT88" s="20" t="str">
        <f>HYPERLINK("https%3A%2F%2Fwww.webofscience.com%2Fwos%2Fwoscc%2Ffull-record%2FWOS:000224463400005","View Full Record in Web of Science")</f>
        <v>View Full Record in Web of Science</v>
      </c>
    </row>
    <row r="89" ht="12.75" customHeight="1">
      <c r="A89" s="20" t="s">
        <v>1811</v>
      </c>
      <c r="B89" s="20" t="s">
        <v>3414</v>
      </c>
      <c r="C89" s="20" t="s">
        <v>1813</v>
      </c>
      <c r="D89" s="20" t="s">
        <v>1813</v>
      </c>
      <c r="E89" s="20" t="s">
        <v>1813</v>
      </c>
      <c r="F89" s="20" t="s">
        <v>3414</v>
      </c>
      <c r="G89" s="20" t="s">
        <v>1813</v>
      </c>
      <c r="H89" s="20" t="s">
        <v>1813</v>
      </c>
      <c r="I89" s="20" t="s">
        <v>1549</v>
      </c>
      <c r="J89" s="20" t="s">
        <v>3415</v>
      </c>
      <c r="K89" s="20" t="s">
        <v>1813</v>
      </c>
      <c r="L89" s="20" t="s">
        <v>1813</v>
      </c>
      <c r="M89" s="20" t="s">
        <v>1816</v>
      </c>
      <c r="N89" s="20" t="s">
        <v>1817</v>
      </c>
      <c r="O89" s="20" t="s">
        <v>1813</v>
      </c>
      <c r="P89" s="20" t="s">
        <v>1813</v>
      </c>
      <c r="Q89" s="20" t="s">
        <v>1813</v>
      </c>
      <c r="R89" s="20" t="s">
        <v>1813</v>
      </c>
      <c r="S89" s="20" t="s">
        <v>1813</v>
      </c>
      <c r="T89" s="20" t="s">
        <v>3416</v>
      </c>
      <c r="U89" s="20" t="s">
        <v>3417</v>
      </c>
      <c r="V89" s="20" t="s">
        <v>3418</v>
      </c>
      <c r="W89" s="20" t="s">
        <v>3419</v>
      </c>
      <c r="X89" s="20" t="s">
        <v>3420</v>
      </c>
      <c r="Y89" s="20" t="s">
        <v>3421</v>
      </c>
      <c r="Z89" s="20" t="s">
        <v>1813</v>
      </c>
      <c r="AA89" s="20" t="s">
        <v>3422</v>
      </c>
      <c r="AB89" s="20" t="s">
        <v>3423</v>
      </c>
      <c r="AC89" s="20" t="s">
        <v>1813</v>
      </c>
      <c r="AD89" s="20" t="s">
        <v>1813</v>
      </c>
      <c r="AE89" s="20" t="s">
        <v>1813</v>
      </c>
      <c r="AF89" s="20" t="s">
        <v>1813</v>
      </c>
      <c r="AG89" s="20">
        <v>31.0</v>
      </c>
      <c r="AH89" s="20">
        <v>40.0</v>
      </c>
      <c r="AI89" s="20">
        <v>45.0</v>
      </c>
      <c r="AJ89" s="20">
        <v>1.0</v>
      </c>
      <c r="AK89" s="20">
        <v>33.0</v>
      </c>
      <c r="AL89" s="20" t="s">
        <v>3227</v>
      </c>
      <c r="AM89" s="20" t="s">
        <v>2053</v>
      </c>
      <c r="AN89" s="20" t="s">
        <v>3228</v>
      </c>
      <c r="AO89" s="20" t="s">
        <v>3424</v>
      </c>
      <c r="AP89" s="20" t="s">
        <v>1813</v>
      </c>
      <c r="AQ89" s="20" t="s">
        <v>1813</v>
      </c>
      <c r="AR89" s="20" t="s">
        <v>3425</v>
      </c>
      <c r="AS89" s="20" t="s">
        <v>3426</v>
      </c>
      <c r="AT89" s="20" t="s">
        <v>1939</v>
      </c>
      <c r="AU89" s="20">
        <v>2003.0</v>
      </c>
      <c r="AV89" s="20">
        <v>48.0</v>
      </c>
      <c r="AW89" s="20">
        <v>6.0</v>
      </c>
      <c r="AX89" s="20" t="s">
        <v>1813</v>
      </c>
      <c r="AY89" s="20" t="s">
        <v>1813</v>
      </c>
      <c r="AZ89" s="20" t="s">
        <v>1813</v>
      </c>
      <c r="BA89" s="20" t="s">
        <v>1813</v>
      </c>
      <c r="BB89" s="20">
        <v>962.0</v>
      </c>
      <c r="BC89" s="20">
        <v>971.0</v>
      </c>
      <c r="BD89" s="20" t="s">
        <v>1813</v>
      </c>
      <c r="BE89" s="20" t="s">
        <v>3427</v>
      </c>
      <c r="BF89" s="22" t="str">
        <f>HYPERLINK("http://dx.doi.org/10.1046/j.1365-2427.2003.01072.x","http://dx.doi.org/10.1046/j.1365-2427.2003.01072.x")</f>
        <v>http://dx.doi.org/10.1046/j.1365-2427.2003.01072.x</v>
      </c>
      <c r="BG89" s="20" t="s">
        <v>1813</v>
      </c>
      <c r="BH89" s="20" t="s">
        <v>1813</v>
      </c>
      <c r="BI89" s="20">
        <v>10.0</v>
      </c>
      <c r="BJ89" s="20" t="s">
        <v>3428</v>
      </c>
      <c r="BK89" s="20" t="s">
        <v>1839</v>
      </c>
      <c r="BL89" s="20" t="s">
        <v>2265</v>
      </c>
      <c r="BM89" s="20" t="s">
        <v>3429</v>
      </c>
      <c r="BN89" s="20" t="s">
        <v>1813</v>
      </c>
      <c r="BO89" s="20" t="s">
        <v>1878</v>
      </c>
      <c r="BP89" s="20" t="s">
        <v>1813</v>
      </c>
      <c r="BQ89" s="20" t="s">
        <v>1813</v>
      </c>
      <c r="BR89" s="20" t="s">
        <v>1842</v>
      </c>
      <c r="BS89" s="20" t="s">
        <v>3430</v>
      </c>
      <c r="BT89" s="20" t="str">
        <f>HYPERLINK("https%3A%2F%2Fwww.webofscience.com%2Fwos%2Fwoscc%2Ffull-record%2FWOS:000182948500002","View Full Record in Web of Science")</f>
        <v>View Full Record in Web of Science</v>
      </c>
    </row>
    <row r="90" ht="12.75" customHeight="1">
      <c r="A90" s="20" t="s">
        <v>1811</v>
      </c>
      <c r="B90" s="20" t="s">
        <v>3431</v>
      </c>
      <c r="C90" s="20" t="s">
        <v>1813</v>
      </c>
      <c r="D90" s="20" t="s">
        <v>1813</v>
      </c>
      <c r="E90" s="20" t="s">
        <v>1813</v>
      </c>
      <c r="F90" s="20" t="s">
        <v>3431</v>
      </c>
      <c r="G90" s="20" t="s">
        <v>1813</v>
      </c>
      <c r="H90" s="20" t="s">
        <v>1813</v>
      </c>
      <c r="I90" s="20" t="s">
        <v>3432</v>
      </c>
      <c r="J90" s="20" t="s">
        <v>2583</v>
      </c>
      <c r="K90" s="20" t="s">
        <v>1813</v>
      </c>
      <c r="L90" s="20" t="s">
        <v>1813</v>
      </c>
      <c r="M90" s="20" t="s">
        <v>1816</v>
      </c>
      <c r="N90" s="20" t="s">
        <v>1817</v>
      </c>
      <c r="O90" s="20" t="s">
        <v>1813</v>
      </c>
      <c r="P90" s="20" t="s">
        <v>1813</v>
      </c>
      <c r="Q90" s="20" t="s">
        <v>1813</v>
      </c>
      <c r="R90" s="20" t="s">
        <v>1813</v>
      </c>
      <c r="S90" s="20" t="s">
        <v>1813</v>
      </c>
      <c r="T90" s="20" t="s">
        <v>3433</v>
      </c>
      <c r="U90" s="20" t="s">
        <v>3434</v>
      </c>
      <c r="V90" s="20" t="s">
        <v>3435</v>
      </c>
      <c r="W90" s="20" t="s">
        <v>3436</v>
      </c>
      <c r="X90" s="20" t="s">
        <v>3437</v>
      </c>
      <c r="Y90" s="20" t="s">
        <v>3438</v>
      </c>
      <c r="Z90" s="20" t="s">
        <v>1813</v>
      </c>
      <c r="AA90" s="20" t="s">
        <v>3439</v>
      </c>
      <c r="AB90" s="20" t="s">
        <v>3440</v>
      </c>
      <c r="AC90" s="20" t="s">
        <v>1813</v>
      </c>
      <c r="AD90" s="20" t="s">
        <v>1813</v>
      </c>
      <c r="AE90" s="20" t="s">
        <v>1813</v>
      </c>
      <c r="AF90" s="20" t="s">
        <v>1813</v>
      </c>
      <c r="AG90" s="20">
        <v>60.0</v>
      </c>
      <c r="AH90" s="20">
        <v>130.0</v>
      </c>
      <c r="AI90" s="20">
        <v>147.0</v>
      </c>
      <c r="AJ90" s="20">
        <v>0.0</v>
      </c>
      <c r="AK90" s="20">
        <v>72.0</v>
      </c>
      <c r="AL90" s="20" t="s">
        <v>3227</v>
      </c>
      <c r="AM90" s="20" t="s">
        <v>2053</v>
      </c>
      <c r="AN90" s="20" t="s">
        <v>3228</v>
      </c>
      <c r="AO90" s="20" t="s">
        <v>2594</v>
      </c>
      <c r="AP90" s="20" t="s">
        <v>1813</v>
      </c>
      <c r="AQ90" s="20" t="s">
        <v>1813</v>
      </c>
      <c r="AR90" s="20" t="s">
        <v>2595</v>
      </c>
      <c r="AS90" s="20" t="s">
        <v>2596</v>
      </c>
      <c r="AT90" s="20" t="s">
        <v>2185</v>
      </c>
      <c r="AU90" s="20">
        <v>2002.0</v>
      </c>
      <c r="AV90" s="20">
        <v>71.0</v>
      </c>
      <c r="AW90" s="20">
        <v>4.0</v>
      </c>
      <c r="AX90" s="20" t="s">
        <v>1813</v>
      </c>
      <c r="AY90" s="20" t="s">
        <v>1813</v>
      </c>
      <c r="AZ90" s="20" t="s">
        <v>1813</v>
      </c>
      <c r="BA90" s="20" t="s">
        <v>1813</v>
      </c>
      <c r="BB90" s="20">
        <v>594.0</v>
      </c>
      <c r="BC90" s="20">
        <v>602.0</v>
      </c>
      <c r="BD90" s="20" t="s">
        <v>1813</v>
      </c>
      <c r="BE90" s="20" t="s">
        <v>3441</v>
      </c>
      <c r="BF90" s="22" t="str">
        <f>HYPERLINK("http://dx.doi.org/10.1046/j.1365-2656.2002.00625.x","http://dx.doi.org/10.1046/j.1365-2656.2002.00625.x")</f>
        <v>http://dx.doi.org/10.1046/j.1365-2656.2002.00625.x</v>
      </c>
      <c r="BG90" s="20" t="s">
        <v>1813</v>
      </c>
      <c r="BH90" s="20" t="s">
        <v>1813</v>
      </c>
      <c r="BI90" s="20">
        <v>9.0</v>
      </c>
      <c r="BJ90" s="20" t="s">
        <v>2598</v>
      </c>
      <c r="BK90" s="20" t="s">
        <v>1839</v>
      </c>
      <c r="BL90" s="20" t="s">
        <v>2599</v>
      </c>
      <c r="BM90" s="20" t="s">
        <v>3442</v>
      </c>
      <c r="BN90" s="20" t="s">
        <v>1813</v>
      </c>
      <c r="BO90" s="20" t="s">
        <v>1878</v>
      </c>
      <c r="BP90" s="20" t="s">
        <v>1813</v>
      </c>
      <c r="BQ90" s="20" t="s">
        <v>1813</v>
      </c>
      <c r="BR90" s="20" t="s">
        <v>1842</v>
      </c>
      <c r="BS90" s="20" t="s">
        <v>3443</v>
      </c>
      <c r="BT90" s="20" t="str">
        <f>HYPERLINK("https%3A%2F%2Fwww.webofscience.com%2Fwos%2Fwoscc%2Ffull-record%2FWOS:000176745900005","View Full Record in Web of Science")</f>
        <v>View Full Record in Web of Science</v>
      </c>
    </row>
    <row r="91" ht="12.75" customHeight="1">
      <c r="A91" s="20" t="s">
        <v>1811</v>
      </c>
      <c r="B91" s="20" t="s">
        <v>3444</v>
      </c>
      <c r="C91" s="20" t="s">
        <v>1813</v>
      </c>
      <c r="D91" s="20" t="s">
        <v>1813</v>
      </c>
      <c r="E91" s="20" t="s">
        <v>1813</v>
      </c>
      <c r="F91" s="20" t="s">
        <v>3444</v>
      </c>
      <c r="G91" s="20" t="s">
        <v>1813</v>
      </c>
      <c r="H91" s="20" t="s">
        <v>1813</v>
      </c>
      <c r="I91" s="20" t="s">
        <v>1347</v>
      </c>
      <c r="J91" s="20" t="s">
        <v>2018</v>
      </c>
      <c r="K91" s="20" t="s">
        <v>1813</v>
      </c>
      <c r="L91" s="20" t="s">
        <v>1813</v>
      </c>
      <c r="M91" s="20" t="s">
        <v>1816</v>
      </c>
      <c r="N91" s="20" t="s">
        <v>1817</v>
      </c>
      <c r="O91" s="20" t="s">
        <v>1813</v>
      </c>
      <c r="P91" s="20" t="s">
        <v>1813</v>
      </c>
      <c r="Q91" s="20" t="s">
        <v>1813</v>
      </c>
      <c r="R91" s="20" t="s">
        <v>1813</v>
      </c>
      <c r="S91" s="20" t="s">
        <v>1813</v>
      </c>
      <c r="T91" s="20" t="s">
        <v>3445</v>
      </c>
      <c r="U91" s="20" t="s">
        <v>3446</v>
      </c>
      <c r="V91" s="20" t="s">
        <v>3447</v>
      </c>
      <c r="W91" s="20" t="s">
        <v>3448</v>
      </c>
      <c r="X91" s="20" t="s">
        <v>3449</v>
      </c>
      <c r="Y91" s="20" t="s">
        <v>3450</v>
      </c>
      <c r="Z91" s="20" t="s">
        <v>3451</v>
      </c>
      <c r="AA91" s="20" t="s">
        <v>3452</v>
      </c>
      <c r="AB91" s="20" t="s">
        <v>3453</v>
      </c>
      <c r="AC91" s="20" t="s">
        <v>1813</v>
      </c>
      <c r="AD91" s="20" t="s">
        <v>1813</v>
      </c>
      <c r="AE91" s="20" t="s">
        <v>1813</v>
      </c>
      <c r="AF91" s="20" t="s">
        <v>1813</v>
      </c>
      <c r="AG91" s="20">
        <v>70.0</v>
      </c>
      <c r="AH91" s="20">
        <v>32.0</v>
      </c>
      <c r="AI91" s="20">
        <v>33.0</v>
      </c>
      <c r="AJ91" s="20">
        <v>0.0</v>
      </c>
      <c r="AK91" s="20">
        <v>76.0</v>
      </c>
      <c r="AL91" s="20" t="s">
        <v>1829</v>
      </c>
      <c r="AM91" s="20" t="s">
        <v>1830</v>
      </c>
      <c r="AN91" s="20" t="s">
        <v>1831</v>
      </c>
      <c r="AO91" s="20" t="s">
        <v>2031</v>
      </c>
      <c r="AP91" s="20" t="s">
        <v>2032</v>
      </c>
      <c r="AQ91" s="20" t="s">
        <v>1813</v>
      </c>
      <c r="AR91" s="20" t="s">
        <v>2033</v>
      </c>
      <c r="AS91" s="20" t="s">
        <v>2034</v>
      </c>
      <c r="AT91" s="20" t="s">
        <v>2527</v>
      </c>
      <c r="AU91" s="20">
        <v>2005.0</v>
      </c>
      <c r="AV91" s="20">
        <v>11.0</v>
      </c>
      <c r="AW91" s="20">
        <v>10.0</v>
      </c>
      <c r="AX91" s="20" t="s">
        <v>1813</v>
      </c>
      <c r="AY91" s="20" t="s">
        <v>1813</v>
      </c>
      <c r="AZ91" s="20" t="s">
        <v>1813</v>
      </c>
      <c r="BA91" s="20" t="s">
        <v>1813</v>
      </c>
      <c r="BB91" s="20">
        <v>1614.0</v>
      </c>
      <c r="BC91" s="20">
        <v>1627.0</v>
      </c>
      <c r="BD91" s="20" t="s">
        <v>1813</v>
      </c>
      <c r="BE91" s="20" t="s">
        <v>3454</v>
      </c>
      <c r="BF91" s="22" t="str">
        <f>HYPERLINK("http://dx.doi.org/10.1111/j.1365-2486.2005.000999.x","http://dx.doi.org/10.1111/j.1365-2486.2005.000999.x")</f>
        <v>http://dx.doi.org/10.1111/j.1365-2486.2005.000999.x</v>
      </c>
      <c r="BG91" s="20" t="s">
        <v>1813</v>
      </c>
      <c r="BH91" s="20" t="s">
        <v>1813</v>
      </c>
      <c r="BI91" s="20">
        <v>14.0</v>
      </c>
      <c r="BJ91" s="20" t="s">
        <v>1860</v>
      </c>
      <c r="BK91" s="20" t="s">
        <v>1839</v>
      </c>
      <c r="BL91" s="20" t="s">
        <v>1840</v>
      </c>
      <c r="BM91" s="20" t="s">
        <v>3455</v>
      </c>
      <c r="BN91" s="20" t="s">
        <v>1813</v>
      </c>
      <c r="BO91" s="20" t="s">
        <v>1813</v>
      </c>
      <c r="BP91" s="20" t="s">
        <v>1813</v>
      </c>
      <c r="BQ91" s="20" t="s">
        <v>1813</v>
      </c>
      <c r="BR91" s="20" t="s">
        <v>1842</v>
      </c>
      <c r="BS91" s="20" t="s">
        <v>3456</v>
      </c>
      <c r="BT91" s="20" t="str">
        <f>HYPERLINK("https%3A%2F%2Fwww.webofscience.com%2Fwos%2Fwoscc%2Ffull-record%2FWOS:000232390200006","View Full Record in Web of Science")</f>
        <v>View Full Record in Web of Science</v>
      </c>
    </row>
    <row r="92" ht="12.75" customHeight="1">
      <c r="A92" s="20" t="s">
        <v>1811</v>
      </c>
      <c r="B92" s="20" t="s">
        <v>3457</v>
      </c>
      <c r="C92" s="20" t="s">
        <v>1813</v>
      </c>
      <c r="D92" s="20" t="s">
        <v>1813</v>
      </c>
      <c r="E92" s="20" t="s">
        <v>1813</v>
      </c>
      <c r="F92" s="20" t="s">
        <v>3458</v>
      </c>
      <c r="G92" s="20" t="s">
        <v>1813</v>
      </c>
      <c r="H92" s="20" t="s">
        <v>1813</v>
      </c>
      <c r="I92" s="20" t="s">
        <v>1637</v>
      </c>
      <c r="J92" s="20" t="s">
        <v>2040</v>
      </c>
      <c r="K92" s="20" t="s">
        <v>1813</v>
      </c>
      <c r="L92" s="20" t="s">
        <v>1813</v>
      </c>
      <c r="M92" s="20" t="s">
        <v>1816</v>
      </c>
      <c r="N92" s="20" t="s">
        <v>1817</v>
      </c>
      <c r="O92" s="20" t="s">
        <v>1813</v>
      </c>
      <c r="P92" s="20" t="s">
        <v>1813</v>
      </c>
      <c r="Q92" s="20" t="s">
        <v>1813</v>
      </c>
      <c r="R92" s="20" t="s">
        <v>1813</v>
      </c>
      <c r="S92" s="20" t="s">
        <v>1813</v>
      </c>
      <c r="T92" s="20" t="s">
        <v>3459</v>
      </c>
      <c r="U92" s="20" t="s">
        <v>3460</v>
      </c>
      <c r="V92" s="20" t="s">
        <v>3461</v>
      </c>
      <c r="W92" s="20" t="s">
        <v>3462</v>
      </c>
      <c r="X92" s="20" t="s">
        <v>3463</v>
      </c>
      <c r="Y92" s="20" t="s">
        <v>3464</v>
      </c>
      <c r="Z92" s="20" t="s">
        <v>3465</v>
      </c>
      <c r="AA92" s="20" t="s">
        <v>3466</v>
      </c>
      <c r="AB92" s="20" t="s">
        <v>1813</v>
      </c>
      <c r="AC92" s="20" t="s">
        <v>3467</v>
      </c>
      <c r="AD92" s="20" t="s">
        <v>3467</v>
      </c>
      <c r="AE92" s="20" t="s">
        <v>3468</v>
      </c>
      <c r="AF92" s="20" t="s">
        <v>1813</v>
      </c>
      <c r="AG92" s="20">
        <v>53.0</v>
      </c>
      <c r="AH92" s="20">
        <v>62.0</v>
      </c>
      <c r="AI92" s="20">
        <v>78.0</v>
      </c>
      <c r="AJ92" s="20">
        <v>1.0</v>
      </c>
      <c r="AK92" s="20">
        <v>50.0</v>
      </c>
      <c r="AL92" s="20" t="s">
        <v>2052</v>
      </c>
      <c r="AM92" s="20" t="s">
        <v>2053</v>
      </c>
      <c r="AN92" s="20" t="s">
        <v>2054</v>
      </c>
      <c r="AO92" s="20" t="s">
        <v>2055</v>
      </c>
      <c r="AP92" s="20" t="s">
        <v>2056</v>
      </c>
      <c r="AQ92" s="20" t="s">
        <v>1813</v>
      </c>
      <c r="AR92" s="20" t="s">
        <v>2057</v>
      </c>
      <c r="AS92" s="20" t="s">
        <v>2058</v>
      </c>
      <c r="AT92" s="20" t="s">
        <v>2396</v>
      </c>
      <c r="AU92" s="20">
        <v>2009.0</v>
      </c>
      <c r="AV92" s="20">
        <v>142.0</v>
      </c>
      <c r="AW92" s="20">
        <v>5.0</v>
      </c>
      <c r="AX92" s="20" t="s">
        <v>1813</v>
      </c>
      <c r="AY92" s="20" t="s">
        <v>1813</v>
      </c>
      <c r="AZ92" s="20" t="s">
        <v>1813</v>
      </c>
      <c r="BA92" s="20" t="s">
        <v>1813</v>
      </c>
      <c r="BB92" s="20">
        <v>1003.0</v>
      </c>
      <c r="BC92" s="20">
        <v>1010.0</v>
      </c>
      <c r="BD92" s="20" t="s">
        <v>1813</v>
      </c>
      <c r="BE92" s="20" t="s">
        <v>3469</v>
      </c>
      <c r="BF92" s="22" t="str">
        <f>HYPERLINK("http://dx.doi.org/10.1016/j.biocon.2009.01.009","http://dx.doi.org/10.1016/j.biocon.2009.01.009")</f>
        <v>http://dx.doi.org/10.1016/j.biocon.2009.01.009</v>
      </c>
      <c r="BG92" s="20" t="s">
        <v>1813</v>
      </c>
      <c r="BH92" s="20" t="s">
        <v>1813</v>
      </c>
      <c r="BI92" s="20">
        <v>8.0</v>
      </c>
      <c r="BJ92" s="20" t="s">
        <v>1860</v>
      </c>
      <c r="BK92" s="20" t="s">
        <v>1839</v>
      </c>
      <c r="BL92" s="20" t="s">
        <v>1840</v>
      </c>
      <c r="BM92" s="20" t="s">
        <v>3470</v>
      </c>
      <c r="BN92" s="20" t="s">
        <v>1813</v>
      </c>
      <c r="BO92" s="20" t="s">
        <v>1813</v>
      </c>
      <c r="BP92" s="20" t="s">
        <v>1813</v>
      </c>
      <c r="BQ92" s="20" t="s">
        <v>1813</v>
      </c>
      <c r="BR92" s="20" t="s">
        <v>1842</v>
      </c>
      <c r="BS92" s="20" t="s">
        <v>3471</v>
      </c>
      <c r="BT92" s="20" t="str">
        <f>HYPERLINK("https%3A%2F%2Fwww.webofscience.com%2Fwos%2Fwoscc%2Ffull-record%2FWOS:000265338600008","View Full Record in Web of Science")</f>
        <v>View Full Record in Web of Science</v>
      </c>
    </row>
    <row r="93" ht="12.75" customHeight="1">
      <c r="A93" s="20" t="s">
        <v>1811</v>
      </c>
      <c r="B93" s="20" t="s">
        <v>3472</v>
      </c>
      <c r="C93" s="20" t="s">
        <v>1813</v>
      </c>
      <c r="D93" s="20" t="s">
        <v>1813</v>
      </c>
      <c r="E93" s="20" t="s">
        <v>1813</v>
      </c>
      <c r="F93" s="20" t="s">
        <v>3473</v>
      </c>
      <c r="G93" s="20" t="s">
        <v>1813</v>
      </c>
      <c r="H93" s="20" t="s">
        <v>1813</v>
      </c>
      <c r="I93" s="20" t="s">
        <v>1301</v>
      </c>
      <c r="J93" s="20" t="s">
        <v>3474</v>
      </c>
      <c r="K93" s="20" t="s">
        <v>1813</v>
      </c>
      <c r="L93" s="20" t="s">
        <v>1813</v>
      </c>
      <c r="M93" s="20" t="s">
        <v>1816</v>
      </c>
      <c r="N93" s="20" t="s">
        <v>1817</v>
      </c>
      <c r="O93" s="20" t="s">
        <v>1813</v>
      </c>
      <c r="P93" s="20" t="s">
        <v>1813</v>
      </c>
      <c r="Q93" s="20" t="s">
        <v>1813</v>
      </c>
      <c r="R93" s="20" t="s">
        <v>1813</v>
      </c>
      <c r="S93" s="20" t="s">
        <v>1813</v>
      </c>
      <c r="T93" s="20" t="s">
        <v>1813</v>
      </c>
      <c r="U93" s="20" t="s">
        <v>3475</v>
      </c>
      <c r="V93" s="20" t="s">
        <v>3476</v>
      </c>
      <c r="W93" s="20" t="s">
        <v>3477</v>
      </c>
      <c r="X93" s="20" t="s">
        <v>3478</v>
      </c>
      <c r="Y93" s="20" t="s">
        <v>3479</v>
      </c>
      <c r="Z93" s="20" t="s">
        <v>3480</v>
      </c>
      <c r="AA93" s="20" t="s">
        <v>3481</v>
      </c>
      <c r="AB93" s="20" t="s">
        <v>3482</v>
      </c>
      <c r="AC93" s="20" t="s">
        <v>1813</v>
      </c>
      <c r="AD93" s="20" t="s">
        <v>1813</v>
      </c>
      <c r="AE93" s="20" t="s">
        <v>1813</v>
      </c>
      <c r="AF93" s="20" t="s">
        <v>1813</v>
      </c>
      <c r="AG93" s="20">
        <v>44.0</v>
      </c>
      <c r="AH93" s="20">
        <v>70.0</v>
      </c>
      <c r="AI93" s="20">
        <v>92.0</v>
      </c>
      <c r="AJ93" s="20">
        <v>1.0</v>
      </c>
      <c r="AK93" s="20">
        <v>73.0</v>
      </c>
      <c r="AL93" s="20" t="s">
        <v>3483</v>
      </c>
      <c r="AM93" s="20" t="s">
        <v>3484</v>
      </c>
      <c r="AN93" s="20" t="s">
        <v>3485</v>
      </c>
      <c r="AO93" s="20" t="s">
        <v>3486</v>
      </c>
      <c r="AP93" s="20" t="s">
        <v>1813</v>
      </c>
      <c r="AQ93" s="20" t="s">
        <v>1813</v>
      </c>
      <c r="AR93" s="20" t="s">
        <v>3487</v>
      </c>
      <c r="AS93" s="20" t="s">
        <v>3488</v>
      </c>
      <c r="AT93" s="20" t="s">
        <v>1836</v>
      </c>
      <c r="AU93" s="20">
        <v>2006.0</v>
      </c>
      <c r="AV93" s="20">
        <v>63.0</v>
      </c>
      <c r="AW93" s="20">
        <v>9.0</v>
      </c>
      <c r="AX93" s="20" t="s">
        <v>1813</v>
      </c>
      <c r="AY93" s="20" t="s">
        <v>1813</v>
      </c>
      <c r="AZ93" s="20" t="s">
        <v>1813</v>
      </c>
      <c r="BA93" s="20" t="s">
        <v>1813</v>
      </c>
      <c r="BB93" s="20">
        <v>2126.0</v>
      </c>
      <c r="BC93" s="20">
        <v>2136.0</v>
      </c>
      <c r="BD93" s="20" t="s">
        <v>1813</v>
      </c>
      <c r="BE93" s="20" t="s">
        <v>3489</v>
      </c>
      <c r="BF93" s="22" t="str">
        <f>HYPERLINK("http://dx.doi.org/10.1139/F06-105","http://dx.doi.org/10.1139/F06-105")</f>
        <v>http://dx.doi.org/10.1139/F06-105</v>
      </c>
      <c r="BG93" s="20" t="s">
        <v>1813</v>
      </c>
      <c r="BH93" s="20" t="s">
        <v>1813</v>
      </c>
      <c r="BI93" s="20">
        <v>11.0</v>
      </c>
      <c r="BJ93" s="20" t="s">
        <v>2675</v>
      </c>
      <c r="BK93" s="20" t="s">
        <v>1839</v>
      </c>
      <c r="BL93" s="20" t="s">
        <v>2675</v>
      </c>
      <c r="BM93" s="20" t="s">
        <v>3490</v>
      </c>
      <c r="BN93" s="20" t="s">
        <v>1813</v>
      </c>
      <c r="BO93" s="20" t="s">
        <v>1813</v>
      </c>
      <c r="BP93" s="20" t="s">
        <v>1813</v>
      </c>
      <c r="BQ93" s="20" t="s">
        <v>1813</v>
      </c>
      <c r="BR93" s="20" t="s">
        <v>1842</v>
      </c>
      <c r="BS93" s="20" t="s">
        <v>3491</v>
      </c>
      <c r="BT93" s="20" t="str">
        <f>HYPERLINK("https%3A%2F%2Fwww.webofscience.com%2Fwos%2Fwoscc%2Ffull-record%2FWOS:000241162300019","View Full Record in Web of Science")</f>
        <v>View Full Record in Web of Science</v>
      </c>
    </row>
    <row r="94" ht="12.75" customHeight="1">
      <c r="A94" s="20" t="s">
        <v>1811</v>
      </c>
      <c r="B94" s="20" t="s">
        <v>3492</v>
      </c>
      <c r="C94" s="20" t="s">
        <v>1813</v>
      </c>
      <c r="D94" s="20" t="s">
        <v>1813</v>
      </c>
      <c r="E94" s="20" t="s">
        <v>1813</v>
      </c>
      <c r="F94" s="20" t="s">
        <v>3492</v>
      </c>
      <c r="G94" s="20" t="s">
        <v>1813</v>
      </c>
      <c r="H94" s="20" t="s">
        <v>1813</v>
      </c>
      <c r="I94" s="20" t="s">
        <v>1427</v>
      </c>
      <c r="J94" s="20" t="s">
        <v>2335</v>
      </c>
      <c r="K94" s="20" t="s">
        <v>1813</v>
      </c>
      <c r="L94" s="20" t="s">
        <v>1813</v>
      </c>
      <c r="M94" s="20" t="s">
        <v>1816</v>
      </c>
      <c r="N94" s="20" t="s">
        <v>1817</v>
      </c>
      <c r="O94" s="20" t="s">
        <v>1813</v>
      </c>
      <c r="P94" s="20" t="s">
        <v>1813</v>
      </c>
      <c r="Q94" s="20" t="s">
        <v>1813</v>
      </c>
      <c r="R94" s="20" t="s">
        <v>1813</v>
      </c>
      <c r="S94" s="20" t="s">
        <v>1813</v>
      </c>
      <c r="T94" s="20" t="s">
        <v>3493</v>
      </c>
      <c r="U94" s="20" t="s">
        <v>3494</v>
      </c>
      <c r="V94" s="20" t="s">
        <v>3495</v>
      </c>
      <c r="W94" s="20" t="s">
        <v>3496</v>
      </c>
      <c r="X94" s="20" t="s">
        <v>1813</v>
      </c>
      <c r="Y94" s="20" t="s">
        <v>3497</v>
      </c>
      <c r="Z94" s="20" t="s">
        <v>3498</v>
      </c>
      <c r="AA94" s="20" t="s">
        <v>3499</v>
      </c>
      <c r="AB94" s="20" t="s">
        <v>3500</v>
      </c>
      <c r="AC94" s="20" t="s">
        <v>1813</v>
      </c>
      <c r="AD94" s="20" t="s">
        <v>1813</v>
      </c>
      <c r="AE94" s="20" t="s">
        <v>1813</v>
      </c>
      <c r="AF94" s="20" t="s">
        <v>1813</v>
      </c>
      <c r="AG94" s="20">
        <v>59.0</v>
      </c>
      <c r="AH94" s="20">
        <v>150.0</v>
      </c>
      <c r="AI94" s="20">
        <v>169.0</v>
      </c>
      <c r="AJ94" s="20">
        <v>0.0</v>
      </c>
      <c r="AK94" s="20">
        <v>55.0</v>
      </c>
      <c r="AL94" s="20" t="s">
        <v>2343</v>
      </c>
      <c r="AM94" s="20" t="s">
        <v>2344</v>
      </c>
      <c r="AN94" s="20" t="s">
        <v>2345</v>
      </c>
      <c r="AO94" s="20" t="s">
        <v>2346</v>
      </c>
      <c r="AP94" s="20" t="s">
        <v>2347</v>
      </c>
      <c r="AQ94" s="20" t="s">
        <v>1813</v>
      </c>
      <c r="AR94" s="20" t="s">
        <v>2348</v>
      </c>
      <c r="AS94" s="20" t="s">
        <v>2349</v>
      </c>
      <c r="AT94" s="20" t="s">
        <v>1813</v>
      </c>
      <c r="AU94" s="20">
        <v>2000.0</v>
      </c>
      <c r="AV94" s="20">
        <v>204.0</v>
      </c>
      <c r="AW94" s="20" t="s">
        <v>1813</v>
      </c>
      <c r="AX94" s="20" t="s">
        <v>1813</v>
      </c>
      <c r="AY94" s="20" t="s">
        <v>1813</v>
      </c>
      <c r="AZ94" s="20" t="s">
        <v>1813</v>
      </c>
      <c r="BA94" s="20" t="s">
        <v>1813</v>
      </c>
      <c r="BB94" s="20">
        <v>27.0</v>
      </c>
      <c r="BC94" s="20">
        <v>38.0</v>
      </c>
      <c r="BD94" s="20" t="s">
        <v>1813</v>
      </c>
      <c r="BE94" s="20" t="s">
        <v>3501</v>
      </c>
      <c r="BF94" s="22" t="str">
        <f>HYPERLINK("http://dx.doi.org/10.3354/meps204027","http://dx.doi.org/10.3354/meps204027")</f>
        <v>http://dx.doi.org/10.3354/meps204027</v>
      </c>
      <c r="BG94" s="20" t="s">
        <v>1813</v>
      </c>
      <c r="BH94" s="20" t="s">
        <v>1813</v>
      </c>
      <c r="BI94" s="20">
        <v>12.0</v>
      </c>
      <c r="BJ94" s="20" t="s">
        <v>2351</v>
      </c>
      <c r="BK94" s="20" t="s">
        <v>1839</v>
      </c>
      <c r="BL94" s="20" t="s">
        <v>2352</v>
      </c>
      <c r="BM94" s="20" t="s">
        <v>3502</v>
      </c>
      <c r="BN94" s="20" t="s">
        <v>1813</v>
      </c>
      <c r="BO94" s="20" t="s">
        <v>3503</v>
      </c>
      <c r="BP94" s="20" t="s">
        <v>1813</v>
      </c>
      <c r="BQ94" s="20" t="s">
        <v>1813</v>
      </c>
      <c r="BR94" s="20" t="s">
        <v>1842</v>
      </c>
      <c r="BS94" s="20" t="s">
        <v>3504</v>
      </c>
      <c r="BT94" s="20" t="str">
        <f>HYPERLINK("https%3A%2F%2Fwww.webofscience.com%2Fwos%2Fwoscc%2Ffull-record%2FWOS:000089943900003","View Full Record in Web of Science")</f>
        <v>View Full Record in Web of Science</v>
      </c>
    </row>
    <row r="95" ht="12.75" customHeight="1">
      <c r="A95" s="20" t="s">
        <v>1811</v>
      </c>
      <c r="B95" s="20" t="s">
        <v>3505</v>
      </c>
      <c r="C95" s="20" t="s">
        <v>1813</v>
      </c>
      <c r="D95" s="20" t="s">
        <v>1813</v>
      </c>
      <c r="E95" s="20" t="s">
        <v>1813</v>
      </c>
      <c r="F95" s="20" t="s">
        <v>3506</v>
      </c>
      <c r="G95" s="20" t="s">
        <v>1813</v>
      </c>
      <c r="H95" s="20" t="s">
        <v>1813</v>
      </c>
      <c r="I95" s="20" t="s">
        <v>1732</v>
      </c>
      <c r="J95" s="20" t="s">
        <v>2955</v>
      </c>
      <c r="K95" s="20" t="s">
        <v>1813</v>
      </c>
      <c r="L95" s="20" t="s">
        <v>1813</v>
      </c>
      <c r="M95" s="20" t="s">
        <v>1816</v>
      </c>
      <c r="N95" s="20" t="s">
        <v>1817</v>
      </c>
      <c r="O95" s="20" t="s">
        <v>1813</v>
      </c>
      <c r="P95" s="20" t="s">
        <v>1813</v>
      </c>
      <c r="Q95" s="20" t="s">
        <v>1813</v>
      </c>
      <c r="R95" s="20" t="s">
        <v>1813</v>
      </c>
      <c r="S95" s="20" t="s">
        <v>1813</v>
      </c>
      <c r="T95" s="20" t="s">
        <v>3507</v>
      </c>
      <c r="U95" s="20" t="s">
        <v>3508</v>
      </c>
      <c r="V95" s="20" t="s">
        <v>3509</v>
      </c>
      <c r="W95" s="20" t="s">
        <v>3510</v>
      </c>
      <c r="X95" s="20" t="s">
        <v>3511</v>
      </c>
      <c r="Y95" s="20" t="s">
        <v>3512</v>
      </c>
      <c r="Z95" s="20" t="s">
        <v>3513</v>
      </c>
      <c r="AA95" s="20" t="s">
        <v>3514</v>
      </c>
      <c r="AB95" s="20" t="s">
        <v>3515</v>
      </c>
      <c r="AC95" s="20" t="s">
        <v>1813</v>
      </c>
      <c r="AD95" s="20" t="s">
        <v>1813</v>
      </c>
      <c r="AE95" s="20" t="s">
        <v>1813</v>
      </c>
      <c r="AF95" s="20" t="s">
        <v>1813</v>
      </c>
      <c r="AG95" s="20">
        <v>37.0</v>
      </c>
      <c r="AH95" s="20">
        <v>64.0</v>
      </c>
      <c r="AI95" s="20">
        <v>78.0</v>
      </c>
      <c r="AJ95" s="20">
        <v>1.0</v>
      </c>
      <c r="AK95" s="20">
        <v>65.0</v>
      </c>
      <c r="AL95" s="20" t="s">
        <v>1852</v>
      </c>
      <c r="AM95" s="20" t="s">
        <v>1853</v>
      </c>
      <c r="AN95" s="20" t="s">
        <v>1854</v>
      </c>
      <c r="AO95" s="20" t="s">
        <v>2967</v>
      </c>
      <c r="AP95" s="20" t="s">
        <v>1813</v>
      </c>
      <c r="AQ95" s="20" t="s">
        <v>1813</v>
      </c>
      <c r="AR95" s="20" t="s">
        <v>2969</v>
      </c>
      <c r="AS95" s="20" t="s">
        <v>2970</v>
      </c>
      <c r="AT95" s="20" t="s">
        <v>1875</v>
      </c>
      <c r="AU95" s="20">
        <v>2008.0</v>
      </c>
      <c r="AV95" s="20">
        <v>10.0</v>
      </c>
      <c r="AW95" s="20">
        <v>3.0</v>
      </c>
      <c r="AX95" s="20" t="s">
        <v>1813</v>
      </c>
      <c r="AY95" s="20" t="s">
        <v>1813</v>
      </c>
      <c r="AZ95" s="20" t="s">
        <v>1813</v>
      </c>
      <c r="BA95" s="20" t="s">
        <v>1813</v>
      </c>
      <c r="BB95" s="20">
        <v>347.0</v>
      </c>
      <c r="BC95" s="20">
        <v>358.0</v>
      </c>
      <c r="BD95" s="20" t="s">
        <v>1813</v>
      </c>
      <c r="BE95" s="20" t="s">
        <v>3516</v>
      </c>
      <c r="BF95" s="22" t="str">
        <f>HYPERLINK("http://dx.doi.org/10.1007/s10530-007-9134-9","http://dx.doi.org/10.1007/s10530-007-9134-9")</f>
        <v>http://dx.doi.org/10.1007/s10530-007-9134-9</v>
      </c>
      <c r="BG95" s="20" t="s">
        <v>1813</v>
      </c>
      <c r="BH95" s="20" t="s">
        <v>1813</v>
      </c>
      <c r="BI95" s="20">
        <v>12.0</v>
      </c>
      <c r="BJ95" s="20" t="s">
        <v>1838</v>
      </c>
      <c r="BK95" s="20" t="s">
        <v>1839</v>
      </c>
      <c r="BL95" s="20" t="s">
        <v>1840</v>
      </c>
      <c r="BM95" s="20" t="s">
        <v>3517</v>
      </c>
      <c r="BN95" s="20" t="s">
        <v>1813</v>
      </c>
      <c r="BO95" s="20" t="s">
        <v>1813</v>
      </c>
      <c r="BP95" s="20" t="s">
        <v>1813</v>
      </c>
      <c r="BQ95" s="20" t="s">
        <v>1813</v>
      </c>
      <c r="BR95" s="20" t="s">
        <v>1842</v>
      </c>
      <c r="BS95" s="20" t="s">
        <v>3518</v>
      </c>
      <c r="BT95" s="20" t="str">
        <f>HYPERLINK("https%3A%2F%2Fwww.webofscience.com%2Fwos%2Fwoscc%2Ffull-record%2FWOS:000253198500008","View Full Record in Web of Science")</f>
        <v>View Full Record in Web of Science</v>
      </c>
    </row>
    <row r="96" ht="12.75" customHeight="1">
      <c r="A96" s="20" t="s">
        <v>1811</v>
      </c>
      <c r="B96" s="20" t="s">
        <v>3519</v>
      </c>
      <c r="C96" s="20" t="s">
        <v>1813</v>
      </c>
      <c r="D96" s="20" t="s">
        <v>1813</v>
      </c>
      <c r="E96" s="20" t="s">
        <v>1813</v>
      </c>
      <c r="F96" s="20" t="s">
        <v>3520</v>
      </c>
      <c r="G96" s="20" t="s">
        <v>1813</v>
      </c>
      <c r="H96" s="20" t="s">
        <v>1813</v>
      </c>
      <c r="I96" s="20" t="s">
        <v>1706</v>
      </c>
      <c r="J96" s="20" t="s">
        <v>3521</v>
      </c>
      <c r="K96" s="20" t="s">
        <v>1813</v>
      </c>
      <c r="L96" s="20" t="s">
        <v>1813</v>
      </c>
      <c r="M96" s="20" t="s">
        <v>1816</v>
      </c>
      <c r="N96" s="20" t="s">
        <v>1817</v>
      </c>
      <c r="O96" s="20" t="s">
        <v>1813</v>
      </c>
      <c r="P96" s="20" t="s">
        <v>1813</v>
      </c>
      <c r="Q96" s="20" t="s">
        <v>1813</v>
      </c>
      <c r="R96" s="20" t="s">
        <v>1813</v>
      </c>
      <c r="S96" s="20" t="s">
        <v>1813</v>
      </c>
      <c r="T96" s="20" t="s">
        <v>1813</v>
      </c>
      <c r="U96" s="20" t="s">
        <v>3522</v>
      </c>
      <c r="V96" s="20" t="s">
        <v>3523</v>
      </c>
      <c r="W96" s="20" t="s">
        <v>3524</v>
      </c>
      <c r="X96" s="20" t="s">
        <v>3525</v>
      </c>
      <c r="Y96" s="20" t="s">
        <v>3526</v>
      </c>
      <c r="Z96" s="20" t="s">
        <v>3527</v>
      </c>
      <c r="AA96" s="20" t="s">
        <v>3528</v>
      </c>
      <c r="AB96" s="20" t="s">
        <v>3529</v>
      </c>
      <c r="AC96" s="20" t="s">
        <v>1813</v>
      </c>
      <c r="AD96" s="20" t="s">
        <v>1813</v>
      </c>
      <c r="AE96" s="20" t="s">
        <v>1813</v>
      </c>
      <c r="AF96" s="20" t="s">
        <v>1813</v>
      </c>
      <c r="AG96" s="20">
        <v>34.0</v>
      </c>
      <c r="AH96" s="20">
        <v>193.0</v>
      </c>
      <c r="AI96" s="20">
        <v>235.0</v>
      </c>
      <c r="AJ96" s="20">
        <v>3.0</v>
      </c>
      <c r="AK96" s="20">
        <v>105.0</v>
      </c>
      <c r="AL96" s="20" t="s">
        <v>3530</v>
      </c>
      <c r="AM96" s="20" t="s">
        <v>2559</v>
      </c>
      <c r="AN96" s="20" t="s">
        <v>3531</v>
      </c>
      <c r="AO96" s="20" t="s">
        <v>3532</v>
      </c>
      <c r="AP96" s="20" t="s">
        <v>3533</v>
      </c>
      <c r="AQ96" s="20" t="s">
        <v>1813</v>
      </c>
      <c r="AR96" s="20" t="s">
        <v>3534</v>
      </c>
      <c r="AS96" s="20" t="s">
        <v>3535</v>
      </c>
      <c r="AT96" s="20" t="s">
        <v>1875</v>
      </c>
      <c r="AU96" s="20">
        <v>2006.0</v>
      </c>
      <c r="AV96" s="20">
        <v>16.0</v>
      </c>
      <c r="AW96" s="20">
        <v>1.0</v>
      </c>
      <c r="AX96" s="20" t="s">
        <v>1813</v>
      </c>
      <c r="AY96" s="20" t="s">
        <v>1813</v>
      </c>
      <c r="AZ96" s="20" t="s">
        <v>1813</v>
      </c>
      <c r="BA96" s="20" t="s">
        <v>1813</v>
      </c>
      <c r="BB96" s="20">
        <v>71.0</v>
      </c>
      <c r="BC96" s="20">
        <v>82.0</v>
      </c>
      <c r="BD96" s="20" t="s">
        <v>1813</v>
      </c>
      <c r="BE96" s="20" t="s">
        <v>3536</v>
      </c>
      <c r="BF96" s="22" t="str">
        <f>HYPERLINK("http://dx.doi.org/10.1017/S0959270906000062","http://dx.doi.org/10.1017/S0959270906000062")</f>
        <v>http://dx.doi.org/10.1017/S0959270906000062</v>
      </c>
      <c r="BG96" s="20" t="s">
        <v>1813</v>
      </c>
      <c r="BH96" s="20" t="s">
        <v>1813</v>
      </c>
      <c r="BI96" s="20">
        <v>12.0</v>
      </c>
      <c r="BJ96" s="20" t="s">
        <v>3537</v>
      </c>
      <c r="BK96" s="20" t="s">
        <v>1839</v>
      </c>
      <c r="BL96" s="20" t="s">
        <v>3538</v>
      </c>
      <c r="BM96" s="20" t="s">
        <v>3539</v>
      </c>
      <c r="BN96" s="20" t="s">
        <v>1813</v>
      </c>
      <c r="BO96" s="20" t="s">
        <v>1878</v>
      </c>
      <c r="BP96" s="20" t="s">
        <v>1813</v>
      </c>
      <c r="BQ96" s="20" t="s">
        <v>1813</v>
      </c>
      <c r="BR96" s="20" t="s">
        <v>1842</v>
      </c>
      <c r="BS96" s="20" t="s">
        <v>3540</v>
      </c>
      <c r="BT96" s="20" t="str">
        <f>HYPERLINK("https%3A%2F%2Fwww.webofscience.com%2Fwos%2Fwoscc%2Ffull-record%2FWOS:000237789400005","View Full Record in Web of Science")</f>
        <v>View Full Record in Web of Science</v>
      </c>
    </row>
    <row r="97" ht="12.75" customHeight="1">
      <c r="A97" s="20" t="s">
        <v>1811</v>
      </c>
      <c r="B97" s="20" t="s">
        <v>3541</v>
      </c>
      <c r="C97" s="20" t="s">
        <v>1813</v>
      </c>
      <c r="D97" s="20" t="s">
        <v>1813</v>
      </c>
      <c r="E97" s="20" t="s">
        <v>1813</v>
      </c>
      <c r="F97" s="20" t="s">
        <v>3542</v>
      </c>
      <c r="G97" s="20" t="s">
        <v>1813</v>
      </c>
      <c r="H97" s="20" t="s">
        <v>1813</v>
      </c>
      <c r="I97" s="20" t="s">
        <v>3543</v>
      </c>
      <c r="J97" s="20" t="s">
        <v>3544</v>
      </c>
      <c r="K97" s="20" t="s">
        <v>1813</v>
      </c>
      <c r="L97" s="20" t="s">
        <v>1813</v>
      </c>
      <c r="M97" s="20" t="s">
        <v>1816</v>
      </c>
      <c r="N97" s="20" t="s">
        <v>1817</v>
      </c>
      <c r="O97" s="20" t="s">
        <v>1813</v>
      </c>
      <c r="P97" s="20" t="s">
        <v>1813</v>
      </c>
      <c r="Q97" s="20" t="s">
        <v>1813</v>
      </c>
      <c r="R97" s="20" t="s">
        <v>1813</v>
      </c>
      <c r="S97" s="20" t="s">
        <v>1813</v>
      </c>
      <c r="T97" s="20" t="s">
        <v>3545</v>
      </c>
      <c r="U97" s="20" t="s">
        <v>3546</v>
      </c>
      <c r="V97" s="20" t="s">
        <v>3547</v>
      </c>
      <c r="W97" s="20" t="s">
        <v>3548</v>
      </c>
      <c r="X97" s="20" t="s">
        <v>3549</v>
      </c>
      <c r="Y97" s="20" t="s">
        <v>3550</v>
      </c>
      <c r="Z97" s="20" t="s">
        <v>3551</v>
      </c>
      <c r="AA97" s="20" t="s">
        <v>3552</v>
      </c>
      <c r="AB97" s="20" t="s">
        <v>3553</v>
      </c>
      <c r="AC97" s="20" t="s">
        <v>3554</v>
      </c>
      <c r="AD97" s="20" t="s">
        <v>3555</v>
      </c>
      <c r="AE97" s="20" t="s">
        <v>3556</v>
      </c>
      <c r="AF97" s="20" t="s">
        <v>1813</v>
      </c>
      <c r="AG97" s="20">
        <v>65.0</v>
      </c>
      <c r="AH97" s="20">
        <v>5.0</v>
      </c>
      <c r="AI97" s="20">
        <v>8.0</v>
      </c>
      <c r="AJ97" s="20">
        <v>1.0</v>
      </c>
      <c r="AK97" s="20">
        <v>72.0</v>
      </c>
      <c r="AL97" s="20" t="s">
        <v>1852</v>
      </c>
      <c r="AM97" s="20" t="s">
        <v>1853</v>
      </c>
      <c r="AN97" s="20" t="s">
        <v>1854</v>
      </c>
      <c r="AO97" s="20" t="s">
        <v>3557</v>
      </c>
      <c r="AP97" s="20" t="s">
        <v>3558</v>
      </c>
      <c r="AQ97" s="20" t="s">
        <v>1813</v>
      </c>
      <c r="AR97" s="20" t="s">
        <v>3544</v>
      </c>
      <c r="AS97" s="20" t="s">
        <v>3559</v>
      </c>
      <c r="AT97" s="20" t="s">
        <v>1916</v>
      </c>
      <c r="AU97" s="20">
        <v>2012.0</v>
      </c>
      <c r="AV97" s="20">
        <v>32.0</v>
      </c>
      <c r="AW97" s="20">
        <v>6.0</v>
      </c>
      <c r="AX97" s="20" t="s">
        <v>1813</v>
      </c>
      <c r="AY97" s="20" t="s">
        <v>1813</v>
      </c>
      <c r="AZ97" s="20" t="s">
        <v>1813</v>
      </c>
      <c r="BA97" s="20" t="s">
        <v>1813</v>
      </c>
      <c r="BB97" s="20">
        <v>1023.0</v>
      </c>
      <c r="BC97" s="20">
        <v>1031.0</v>
      </c>
      <c r="BD97" s="20" t="s">
        <v>1813</v>
      </c>
      <c r="BE97" s="20" t="s">
        <v>3560</v>
      </c>
      <c r="BF97" s="22" t="str">
        <f>HYPERLINK("http://dx.doi.org/10.1007/s13157-012-0332-6","http://dx.doi.org/10.1007/s13157-012-0332-6")</f>
        <v>http://dx.doi.org/10.1007/s13157-012-0332-6</v>
      </c>
      <c r="BG97" s="20" t="s">
        <v>1813</v>
      </c>
      <c r="BH97" s="20" t="s">
        <v>1813</v>
      </c>
      <c r="BI97" s="20">
        <v>9.0</v>
      </c>
      <c r="BJ97" s="20" t="s">
        <v>2653</v>
      </c>
      <c r="BK97" s="20" t="s">
        <v>1839</v>
      </c>
      <c r="BL97" s="20" t="s">
        <v>1900</v>
      </c>
      <c r="BM97" s="20" t="s">
        <v>3561</v>
      </c>
      <c r="BN97" s="20" t="s">
        <v>1813</v>
      </c>
      <c r="BO97" s="20" t="s">
        <v>1813</v>
      </c>
      <c r="BP97" s="20" t="s">
        <v>1813</v>
      </c>
      <c r="BQ97" s="20" t="s">
        <v>1813</v>
      </c>
      <c r="BR97" s="20" t="s">
        <v>1842</v>
      </c>
      <c r="BS97" s="20" t="s">
        <v>3562</v>
      </c>
      <c r="BT97" s="20" t="str">
        <f>HYPERLINK("https%3A%2F%2Fwww.webofscience.com%2Fwos%2Fwoscc%2Ffull-record%2FWOS:000311540400004","View Full Record in Web of Science")</f>
        <v>View Full Record in Web of Science</v>
      </c>
    </row>
    <row r="98" ht="12.75" customHeight="1">
      <c r="A98" s="20" t="s">
        <v>1811</v>
      </c>
      <c r="B98" s="20" t="s">
        <v>3563</v>
      </c>
      <c r="C98" s="20" t="s">
        <v>1813</v>
      </c>
      <c r="D98" s="20" t="s">
        <v>1813</v>
      </c>
      <c r="E98" s="20" t="s">
        <v>1813</v>
      </c>
      <c r="F98" s="20" t="s">
        <v>3564</v>
      </c>
      <c r="G98" s="20" t="s">
        <v>1813</v>
      </c>
      <c r="H98" s="20" t="s">
        <v>1813</v>
      </c>
      <c r="I98" s="20" t="s">
        <v>1385</v>
      </c>
      <c r="J98" s="20" t="s">
        <v>2955</v>
      </c>
      <c r="K98" s="20" t="s">
        <v>1813</v>
      </c>
      <c r="L98" s="20" t="s">
        <v>1813</v>
      </c>
      <c r="M98" s="20" t="s">
        <v>1816</v>
      </c>
      <c r="N98" s="20" t="s">
        <v>1817</v>
      </c>
      <c r="O98" s="20" t="s">
        <v>1813</v>
      </c>
      <c r="P98" s="20" t="s">
        <v>1813</v>
      </c>
      <c r="Q98" s="20" t="s">
        <v>1813</v>
      </c>
      <c r="R98" s="20" t="s">
        <v>1813</v>
      </c>
      <c r="S98" s="20" t="s">
        <v>1813</v>
      </c>
      <c r="T98" s="20" t="s">
        <v>3565</v>
      </c>
      <c r="U98" s="20" t="s">
        <v>3566</v>
      </c>
      <c r="V98" s="20" t="s">
        <v>3567</v>
      </c>
      <c r="W98" s="20" t="s">
        <v>3568</v>
      </c>
      <c r="X98" s="20" t="s">
        <v>3569</v>
      </c>
      <c r="Y98" s="20" t="s">
        <v>3570</v>
      </c>
      <c r="Z98" s="20" t="s">
        <v>3571</v>
      </c>
      <c r="AA98" s="20" t="s">
        <v>1813</v>
      </c>
      <c r="AB98" s="20" t="s">
        <v>1813</v>
      </c>
      <c r="AC98" s="20" t="s">
        <v>3572</v>
      </c>
      <c r="AD98" s="20" t="s">
        <v>3573</v>
      </c>
      <c r="AE98" s="20" t="s">
        <v>3574</v>
      </c>
      <c r="AF98" s="20" t="s">
        <v>1813</v>
      </c>
      <c r="AG98" s="20">
        <v>51.0</v>
      </c>
      <c r="AH98" s="20">
        <v>147.0</v>
      </c>
      <c r="AI98" s="20">
        <v>196.0</v>
      </c>
      <c r="AJ98" s="20">
        <v>1.0</v>
      </c>
      <c r="AK98" s="20">
        <v>89.0</v>
      </c>
      <c r="AL98" s="20" t="s">
        <v>1852</v>
      </c>
      <c r="AM98" s="20" t="s">
        <v>1853</v>
      </c>
      <c r="AN98" s="20" t="s">
        <v>1854</v>
      </c>
      <c r="AO98" s="20" t="s">
        <v>2967</v>
      </c>
      <c r="AP98" s="20" t="s">
        <v>2968</v>
      </c>
      <c r="AQ98" s="20" t="s">
        <v>1813</v>
      </c>
      <c r="AR98" s="20" t="s">
        <v>2969</v>
      </c>
      <c r="AS98" s="20" t="s">
        <v>2970</v>
      </c>
      <c r="AT98" s="20" t="s">
        <v>1836</v>
      </c>
      <c r="AU98" s="20">
        <v>2003.0</v>
      </c>
      <c r="AV98" s="20">
        <v>5.0</v>
      </c>
      <c r="AW98" s="20">
        <v>3.0</v>
      </c>
      <c r="AX98" s="20" t="s">
        <v>1813</v>
      </c>
      <c r="AY98" s="20" t="s">
        <v>1813</v>
      </c>
      <c r="AZ98" s="20" t="s">
        <v>1813</v>
      </c>
      <c r="BA98" s="20" t="s">
        <v>1813</v>
      </c>
      <c r="BB98" s="20">
        <v>167.0</v>
      </c>
      <c r="BC98" s="20">
        <v>177.0</v>
      </c>
      <c r="BD98" s="20" t="s">
        <v>1813</v>
      </c>
      <c r="BE98" s="20" t="s">
        <v>3575</v>
      </c>
      <c r="BF98" s="22" t="str">
        <f>HYPERLINK("http://dx.doi.org/10.1023/A:1026190115521","http://dx.doi.org/10.1023/A:1026190115521")</f>
        <v>http://dx.doi.org/10.1023/A:1026190115521</v>
      </c>
      <c r="BG98" s="20" t="s">
        <v>1813</v>
      </c>
      <c r="BH98" s="20" t="s">
        <v>1813</v>
      </c>
      <c r="BI98" s="20">
        <v>11.0</v>
      </c>
      <c r="BJ98" s="20" t="s">
        <v>1838</v>
      </c>
      <c r="BK98" s="20" t="s">
        <v>1839</v>
      </c>
      <c r="BL98" s="20" t="s">
        <v>1840</v>
      </c>
      <c r="BM98" s="20" t="s">
        <v>3576</v>
      </c>
      <c r="BN98" s="20" t="s">
        <v>1813</v>
      </c>
      <c r="BO98" s="20" t="s">
        <v>1813</v>
      </c>
      <c r="BP98" s="20" t="s">
        <v>1813</v>
      </c>
      <c r="BQ98" s="20" t="s">
        <v>1813</v>
      </c>
      <c r="BR98" s="20" t="s">
        <v>1842</v>
      </c>
      <c r="BS98" s="20" t="s">
        <v>3577</v>
      </c>
      <c r="BT98" s="20" t="str">
        <f>HYPERLINK("https%3A%2F%2Fwww.webofscience.com%2Fwos%2Fwoscc%2Ffull-record%2FWOS:000208663500002","View Full Record in Web of Science")</f>
        <v>View Full Record in Web of Science</v>
      </c>
    </row>
    <row r="99" ht="12.75" customHeight="1">
      <c r="A99" s="20" t="s">
        <v>1811</v>
      </c>
      <c r="B99" s="20" t="s">
        <v>3578</v>
      </c>
      <c r="C99" s="20" t="s">
        <v>1813</v>
      </c>
      <c r="D99" s="20" t="s">
        <v>1813</v>
      </c>
      <c r="E99" s="20" t="s">
        <v>1813</v>
      </c>
      <c r="F99" s="20" t="s">
        <v>3579</v>
      </c>
      <c r="G99" s="20" t="s">
        <v>1813</v>
      </c>
      <c r="H99" s="20" t="s">
        <v>1813</v>
      </c>
      <c r="I99" s="20" t="s">
        <v>3580</v>
      </c>
      <c r="J99" s="20" t="s">
        <v>3544</v>
      </c>
      <c r="K99" s="20" t="s">
        <v>1813</v>
      </c>
      <c r="L99" s="20" t="s">
        <v>1813</v>
      </c>
      <c r="M99" s="20" t="s">
        <v>1816</v>
      </c>
      <c r="N99" s="20" t="s">
        <v>1817</v>
      </c>
      <c r="O99" s="20" t="s">
        <v>1813</v>
      </c>
      <c r="P99" s="20" t="s">
        <v>1813</v>
      </c>
      <c r="Q99" s="20" t="s">
        <v>1813</v>
      </c>
      <c r="R99" s="20" t="s">
        <v>1813</v>
      </c>
      <c r="S99" s="20" t="s">
        <v>1813</v>
      </c>
      <c r="T99" s="20" t="s">
        <v>3581</v>
      </c>
      <c r="U99" s="20" t="s">
        <v>3582</v>
      </c>
      <c r="V99" s="20" t="s">
        <v>3583</v>
      </c>
      <c r="W99" s="20" t="s">
        <v>3584</v>
      </c>
      <c r="X99" s="20" t="s">
        <v>3125</v>
      </c>
      <c r="Y99" s="20" t="s">
        <v>3585</v>
      </c>
      <c r="Z99" s="20" t="s">
        <v>3586</v>
      </c>
      <c r="AA99" s="20" t="s">
        <v>1813</v>
      </c>
      <c r="AB99" s="20" t="s">
        <v>1813</v>
      </c>
      <c r="AC99" s="20" t="s">
        <v>3587</v>
      </c>
      <c r="AD99" s="20" t="s">
        <v>3588</v>
      </c>
      <c r="AE99" s="20" t="s">
        <v>3589</v>
      </c>
      <c r="AF99" s="20" t="s">
        <v>1813</v>
      </c>
      <c r="AG99" s="20">
        <v>42.0</v>
      </c>
      <c r="AH99" s="20">
        <v>31.0</v>
      </c>
      <c r="AI99" s="20">
        <v>45.0</v>
      </c>
      <c r="AJ99" s="20">
        <v>4.0</v>
      </c>
      <c r="AK99" s="20">
        <v>83.0</v>
      </c>
      <c r="AL99" s="20" t="s">
        <v>1852</v>
      </c>
      <c r="AM99" s="20" t="s">
        <v>1853</v>
      </c>
      <c r="AN99" s="20" t="s">
        <v>1854</v>
      </c>
      <c r="AO99" s="20" t="s">
        <v>3557</v>
      </c>
      <c r="AP99" s="20" t="s">
        <v>3558</v>
      </c>
      <c r="AQ99" s="20" t="s">
        <v>1813</v>
      </c>
      <c r="AR99" s="20" t="s">
        <v>3544</v>
      </c>
      <c r="AS99" s="20" t="s">
        <v>3559</v>
      </c>
      <c r="AT99" s="20" t="s">
        <v>1875</v>
      </c>
      <c r="AU99" s="20">
        <v>2009.0</v>
      </c>
      <c r="AV99" s="20">
        <v>29.0</v>
      </c>
      <c r="AW99" s="20">
        <v>1.0</v>
      </c>
      <c r="AX99" s="20" t="s">
        <v>1813</v>
      </c>
      <c r="AY99" s="20" t="s">
        <v>1813</v>
      </c>
      <c r="AZ99" s="20" t="s">
        <v>1813</v>
      </c>
      <c r="BA99" s="20" t="s">
        <v>1813</v>
      </c>
      <c r="BB99" s="20">
        <v>196.0</v>
      </c>
      <c r="BC99" s="20">
        <v>203.0</v>
      </c>
      <c r="BD99" s="20" t="s">
        <v>1813</v>
      </c>
      <c r="BE99" s="20" t="s">
        <v>3590</v>
      </c>
      <c r="BF99" s="22" t="str">
        <f>HYPERLINK("http://dx.doi.org/10.1672/07-79.1","http://dx.doi.org/10.1672/07-79.1")</f>
        <v>http://dx.doi.org/10.1672/07-79.1</v>
      </c>
      <c r="BG99" s="20" t="s">
        <v>1813</v>
      </c>
      <c r="BH99" s="20" t="s">
        <v>1813</v>
      </c>
      <c r="BI99" s="20">
        <v>8.0</v>
      </c>
      <c r="BJ99" s="20" t="s">
        <v>2653</v>
      </c>
      <c r="BK99" s="20" t="s">
        <v>1839</v>
      </c>
      <c r="BL99" s="20" t="s">
        <v>1900</v>
      </c>
      <c r="BM99" s="20" t="s">
        <v>3591</v>
      </c>
      <c r="BN99" s="20" t="s">
        <v>1813</v>
      </c>
      <c r="BO99" s="20" t="s">
        <v>1813</v>
      </c>
      <c r="BP99" s="20" t="s">
        <v>1813</v>
      </c>
      <c r="BQ99" s="20" t="s">
        <v>1813</v>
      </c>
      <c r="BR99" s="20" t="s">
        <v>1842</v>
      </c>
      <c r="BS99" s="20" t="s">
        <v>3592</v>
      </c>
      <c r="BT99" s="20" t="str">
        <f>HYPERLINK("https%3A%2F%2Fwww.webofscience.com%2Fwos%2Fwoscc%2Ffull-record%2FWOS:000265294500020","View Full Record in Web of Science")</f>
        <v>View Full Record in Web of Science</v>
      </c>
    </row>
    <row r="100" ht="12.75" customHeight="1">
      <c r="A100" s="20" t="s">
        <v>1811</v>
      </c>
      <c r="B100" s="20" t="s">
        <v>3593</v>
      </c>
      <c r="C100" s="20" t="s">
        <v>1813</v>
      </c>
      <c r="D100" s="20" t="s">
        <v>1813</v>
      </c>
      <c r="E100" s="20" t="s">
        <v>1813</v>
      </c>
      <c r="F100" s="20" t="s">
        <v>3594</v>
      </c>
      <c r="G100" s="20" t="s">
        <v>1813</v>
      </c>
      <c r="H100" s="20" t="s">
        <v>1813</v>
      </c>
      <c r="I100" s="20" t="s">
        <v>3595</v>
      </c>
      <c r="J100" s="20" t="s">
        <v>2680</v>
      </c>
      <c r="K100" s="20" t="s">
        <v>1813</v>
      </c>
      <c r="L100" s="20" t="s">
        <v>1813</v>
      </c>
      <c r="M100" s="20" t="s">
        <v>1816</v>
      </c>
      <c r="N100" s="20" t="s">
        <v>1817</v>
      </c>
      <c r="O100" s="20" t="s">
        <v>1813</v>
      </c>
      <c r="P100" s="20" t="s">
        <v>1813</v>
      </c>
      <c r="Q100" s="20" t="s">
        <v>1813</v>
      </c>
      <c r="R100" s="20" t="s">
        <v>1813</v>
      </c>
      <c r="S100" s="20" t="s">
        <v>1813</v>
      </c>
      <c r="T100" s="20" t="s">
        <v>3596</v>
      </c>
      <c r="U100" s="20" t="s">
        <v>3597</v>
      </c>
      <c r="V100" s="20" t="s">
        <v>3598</v>
      </c>
      <c r="W100" s="20" t="s">
        <v>3599</v>
      </c>
      <c r="X100" s="20" t="s">
        <v>3600</v>
      </c>
      <c r="Y100" s="20" t="s">
        <v>3601</v>
      </c>
      <c r="Z100" s="20" t="s">
        <v>3602</v>
      </c>
      <c r="AA100" s="20" t="s">
        <v>3603</v>
      </c>
      <c r="AB100" s="20" t="s">
        <v>3604</v>
      </c>
      <c r="AC100" s="20" t="s">
        <v>3605</v>
      </c>
      <c r="AD100" s="20" t="s">
        <v>3606</v>
      </c>
      <c r="AE100" s="20" t="s">
        <v>3607</v>
      </c>
      <c r="AF100" s="20" t="s">
        <v>1813</v>
      </c>
      <c r="AG100" s="20">
        <v>84.0</v>
      </c>
      <c r="AH100" s="20">
        <v>54.0</v>
      </c>
      <c r="AI100" s="20">
        <v>72.0</v>
      </c>
      <c r="AJ100" s="20">
        <v>2.0</v>
      </c>
      <c r="AK100" s="20">
        <v>106.0</v>
      </c>
      <c r="AL100" s="20" t="s">
        <v>1829</v>
      </c>
      <c r="AM100" s="20" t="s">
        <v>1830</v>
      </c>
      <c r="AN100" s="20" t="s">
        <v>1831</v>
      </c>
      <c r="AO100" s="20" t="s">
        <v>2691</v>
      </c>
      <c r="AP100" s="20" t="s">
        <v>3608</v>
      </c>
      <c r="AQ100" s="20" t="s">
        <v>1813</v>
      </c>
      <c r="AR100" s="20" t="s">
        <v>2692</v>
      </c>
      <c r="AS100" s="20" t="s">
        <v>2693</v>
      </c>
      <c r="AT100" s="20" t="s">
        <v>1836</v>
      </c>
      <c r="AU100" s="20">
        <v>2011.0</v>
      </c>
      <c r="AV100" s="20">
        <v>21.0</v>
      </c>
      <c r="AW100" s="20">
        <v>6.0</v>
      </c>
      <c r="AX100" s="20" t="s">
        <v>1813</v>
      </c>
      <c r="AY100" s="20" t="s">
        <v>1813</v>
      </c>
      <c r="AZ100" s="20" t="s">
        <v>1813</v>
      </c>
      <c r="BA100" s="20" t="s">
        <v>1813</v>
      </c>
      <c r="BB100" s="20">
        <v>2297.0</v>
      </c>
      <c r="BC100" s="20">
        <v>2312.0</v>
      </c>
      <c r="BD100" s="20" t="s">
        <v>1813</v>
      </c>
      <c r="BE100" s="20" t="s">
        <v>3609</v>
      </c>
      <c r="BF100" s="22" t="str">
        <f>HYPERLINK("http://dx.doi.org/10.1890/09-1905.1","http://dx.doi.org/10.1890/09-1905.1")</f>
        <v>http://dx.doi.org/10.1890/09-1905.1</v>
      </c>
      <c r="BG100" s="20" t="s">
        <v>1813</v>
      </c>
      <c r="BH100" s="20" t="s">
        <v>1813</v>
      </c>
      <c r="BI100" s="20">
        <v>16.0</v>
      </c>
      <c r="BJ100" s="20" t="s">
        <v>2653</v>
      </c>
      <c r="BK100" s="20" t="s">
        <v>1839</v>
      </c>
      <c r="BL100" s="20" t="s">
        <v>1900</v>
      </c>
      <c r="BM100" s="20" t="s">
        <v>3610</v>
      </c>
      <c r="BN100" s="20">
        <v>2.1939062E7</v>
      </c>
      <c r="BO100" s="20" t="s">
        <v>1813</v>
      </c>
      <c r="BP100" s="20" t="s">
        <v>1813</v>
      </c>
      <c r="BQ100" s="20" t="s">
        <v>1813</v>
      </c>
      <c r="BR100" s="20" t="s">
        <v>1842</v>
      </c>
      <c r="BS100" s="20" t="s">
        <v>3611</v>
      </c>
      <c r="BT100" s="20" t="str">
        <f>HYPERLINK("https%3A%2F%2Fwww.webofscience.com%2Fwos%2Fwoscc%2Ffull-record%2FWOS:000294155900033","View Full Record in Web of Science")</f>
        <v>View Full Record in Web of Science</v>
      </c>
    </row>
    <row r="101" ht="12.75" customHeight="1">
      <c r="A101" s="20" t="s">
        <v>1811</v>
      </c>
      <c r="B101" s="20" t="s">
        <v>3612</v>
      </c>
      <c r="C101" s="20" t="s">
        <v>1813</v>
      </c>
      <c r="D101" s="20" t="s">
        <v>1813</v>
      </c>
      <c r="E101" s="20" t="s">
        <v>1813</v>
      </c>
      <c r="F101" s="20" t="s">
        <v>3612</v>
      </c>
      <c r="G101" s="20" t="s">
        <v>1813</v>
      </c>
      <c r="H101" s="20" t="s">
        <v>1813</v>
      </c>
      <c r="I101" s="20" t="s">
        <v>1584</v>
      </c>
      <c r="J101" s="20" t="s">
        <v>2546</v>
      </c>
      <c r="K101" s="20" t="s">
        <v>1813</v>
      </c>
      <c r="L101" s="20" t="s">
        <v>1813</v>
      </c>
      <c r="M101" s="20" t="s">
        <v>1816</v>
      </c>
      <c r="N101" s="20" t="s">
        <v>1817</v>
      </c>
      <c r="O101" s="20" t="s">
        <v>1813</v>
      </c>
      <c r="P101" s="20" t="s">
        <v>1813</v>
      </c>
      <c r="Q101" s="20" t="s">
        <v>1813</v>
      </c>
      <c r="R101" s="20" t="s">
        <v>1813</v>
      </c>
      <c r="S101" s="20" t="s">
        <v>1813</v>
      </c>
      <c r="T101" s="20" t="s">
        <v>3613</v>
      </c>
      <c r="U101" s="20" t="s">
        <v>3614</v>
      </c>
      <c r="V101" s="20" t="s">
        <v>3615</v>
      </c>
      <c r="W101" s="20" t="s">
        <v>3616</v>
      </c>
      <c r="X101" s="20" t="s">
        <v>3617</v>
      </c>
      <c r="Y101" s="20" t="s">
        <v>3618</v>
      </c>
      <c r="Z101" s="20" t="s">
        <v>3619</v>
      </c>
      <c r="AA101" s="20" t="s">
        <v>3620</v>
      </c>
      <c r="AB101" s="20" t="s">
        <v>3621</v>
      </c>
      <c r="AC101" s="20" t="s">
        <v>1813</v>
      </c>
      <c r="AD101" s="20" t="s">
        <v>1813</v>
      </c>
      <c r="AE101" s="20" t="s">
        <v>1813</v>
      </c>
      <c r="AF101" s="20" t="s">
        <v>1813</v>
      </c>
      <c r="AG101" s="20">
        <v>69.0</v>
      </c>
      <c r="AH101" s="20">
        <v>71.0</v>
      </c>
      <c r="AI101" s="20">
        <v>84.0</v>
      </c>
      <c r="AJ101" s="20">
        <v>0.0</v>
      </c>
      <c r="AK101" s="20">
        <v>53.0</v>
      </c>
      <c r="AL101" s="20" t="s">
        <v>1852</v>
      </c>
      <c r="AM101" s="20" t="s">
        <v>2559</v>
      </c>
      <c r="AN101" s="20" t="s">
        <v>2560</v>
      </c>
      <c r="AO101" s="20" t="s">
        <v>2561</v>
      </c>
      <c r="AP101" s="20" t="s">
        <v>2562</v>
      </c>
      <c r="AQ101" s="20" t="s">
        <v>1813</v>
      </c>
      <c r="AR101" s="20" t="s">
        <v>2546</v>
      </c>
      <c r="AS101" s="20" t="s">
        <v>2563</v>
      </c>
      <c r="AT101" s="20" t="s">
        <v>2185</v>
      </c>
      <c r="AU101" s="20">
        <v>2002.0</v>
      </c>
      <c r="AV101" s="20">
        <v>132.0</v>
      </c>
      <c r="AW101" s="20">
        <v>2.0</v>
      </c>
      <c r="AX101" s="20" t="s">
        <v>1813</v>
      </c>
      <c r="AY101" s="20" t="s">
        <v>1813</v>
      </c>
      <c r="AZ101" s="20" t="s">
        <v>1813</v>
      </c>
      <c r="BA101" s="20" t="s">
        <v>1813</v>
      </c>
      <c r="BB101" s="20">
        <v>296.0</v>
      </c>
      <c r="BC101" s="20">
        <v>306.0</v>
      </c>
      <c r="BD101" s="20" t="s">
        <v>1813</v>
      </c>
      <c r="BE101" s="20" t="s">
        <v>3622</v>
      </c>
      <c r="BF101" s="22" t="str">
        <f>HYPERLINK("http://dx.doi.org/10.1007/s00442-002-0951-3","http://dx.doi.org/10.1007/s00442-002-0951-3")</f>
        <v>http://dx.doi.org/10.1007/s00442-002-0951-3</v>
      </c>
      <c r="BG101" s="20" t="s">
        <v>1813</v>
      </c>
      <c r="BH101" s="20" t="s">
        <v>1813</v>
      </c>
      <c r="BI101" s="20">
        <v>11.0</v>
      </c>
      <c r="BJ101" s="20" t="s">
        <v>1899</v>
      </c>
      <c r="BK101" s="20" t="s">
        <v>1839</v>
      </c>
      <c r="BL101" s="20" t="s">
        <v>1900</v>
      </c>
      <c r="BM101" s="20" t="s">
        <v>3623</v>
      </c>
      <c r="BN101" s="20">
        <v>2.8547365E7</v>
      </c>
      <c r="BO101" s="20" t="s">
        <v>2267</v>
      </c>
      <c r="BP101" s="20" t="s">
        <v>1813</v>
      </c>
      <c r="BQ101" s="20" t="s">
        <v>1813</v>
      </c>
      <c r="BR101" s="20" t="s">
        <v>1842</v>
      </c>
      <c r="BS101" s="20" t="s">
        <v>3624</v>
      </c>
      <c r="BT101" s="20" t="str">
        <f>HYPERLINK("https%3A%2F%2Fwww.webofscience.com%2Fwos%2Fwoscc%2Ffull-record%2FWOS:000177242900019","View Full Record in Web of Science")</f>
        <v>View Full Record in Web of Science</v>
      </c>
    </row>
    <row r="102" ht="12.75" customHeight="1">
      <c r="A102" s="20" t="s">
        <v>1811</v>
      </c>
      <c r="B102" s="20" t="s">
        <v>3625</v>
      </c>
      <c r="C102" s="20" t="s">
        <v>1813</v>
      </c>
      <c r="D102" s="20" t="s">
        <v>1813</v>
      </c>
      <c r="E102" s="20" t="s">
        <v>1813</v>
      </c>
      <c r="F102" s="20" t="s">
        <v>3625</v>
      </c>
      <c r="G102" s="20" t="s">
        <v>1813</v>
      </c>
      <c r="H102" s="20" t="s">
        <v>1813</v>
      </c>
      <c r="I102" s="20" t="s">
        <v>3626</v>
      </c>
      <c r="J102" s="20" t="s">
        <v>2170</v>
      </c>
      <c r="K102" s="20" t="s">
        <v>1813</v>
      </c>
      <c r="L102" s="20" t="s">
        <v>1813</v>
      </c>
      <c r="M102" s="20" t="s">
        <v>1816</v>
      </c>
      <c r="N102" s="20" t="s">
        <v>1817</v>
      </c>
      <c r="O102" s="20" t="s">
        <v>1813</v>
      </c>
      <c r="P102" s="20" t="s">
        <v>1813</v>
      </c>
      <c r="Q102" s="20" t="s">
        <v>1813</v>
      </c>
      <c r="R102" s="20" t="s">
        <v>1813</v>
      </c>
      <c r="S102" s="20" t="s">
        <v>1813</v>
      </c>
      <c r="T102" s="20" t="s">
        <v>3627</v>
      </c>
      <c r="U102" s="20" t="s">
        <v>3628</v>
      </c>
      <c r="V102" s="20" t="s">
        <v>3629</v>
      </c>
      <c r="W102" s="20" t="s">
        <v>3630</v>
      </c>
      <c r="X102" s="20" t="s">
        <v>3631</v>
      </c>
      <c r="Y102" s="20" t="s">
        <v>3632</v>
      </c>
      <c r="Z102" s="20" t="s">
        <v>3633</v>
      </c>
      <c r="AA102" s="20" t="s">
        <v>3634</v>
      </c>
      <c r="AB102" s="20" t="s">
        <v>3635</v>
      </c>
      <c r="AC102" s="20" t="s">
        <v>1813</v>
      </c>
      <c r="AD102" s="20" t="s">
        <v>1813</v>
      </c>
      <c r="AE102" s="20" t="s">
        <v>1813</v>
      </c>
      <c r="AF102" s="20" t="s">
        <v>1813</v>
      </c>
      <c r="AG102" s="20">
        <v>53.0</v>
      </c>
      <c r="AH102" s="20">
        <v>84.0</v>
      </c>
      <c r="AI102" s="20">
        <v>106.0</v>
      </c>
      <c r="AJ102" s="20">
        <v>0.0</v>
      </c>
      <c r="AK102" s="20">
        <v>53.0</v>
      </c>
      <c r="AL102" s="20" t="s">
        <v>1829</v>
      </c>
      <c r="AM102" s="20" t="s">
        <v>1830</v>
      </c>
      <c r="AN102" s="20" t="s">
        <v>1831</v>
      </c>
      <c r="AO102" s="20" t="s">
        <v>2183</v>
      </c>
      <c r="AP102" s="20" t="s">
        <v>2184</v>
      </c>
      <c r="AQ102" s="20" t="s">
        <v>1813</v>
      </c>
      <c r="AR102" s="20" t="s">
        <v>2170</v>
      </c>
      <c r="AS102" s="20" t="s">
        <v>1899</v>
      </c>
      <c r="AT102" s="20" t="s">
        <v>2059</v>
      </c>
      <c r="AU102" s="20">
        <v>2003.0</v>
      </c>
      <c r="AV102" s="20">
        <v>84.0</v>
      </c>
      <c r="AW102" s="20">
        <v>4.0</v>
      </c>
      <c r="AX102" s="20" t="s">
        <v>1813</v>
      </c>
      <c r="AY102" s="20" t="s">
        <v>1813</v>
      </c>
      <c r="AZ102" s="20" t="s">
        <v>1813</v>
      </c>
      <c r="BA102" s="20" t="s">
        <v>1813</v>
      </c>
      <c r="BB102" s="20">
        <v>948.0</v>
      </c>
      <c r="BC102" s="20">
        <v>954.0</v>
      </c>
      <c r="BD102" s="20" t="s">
        <v>1813</v>
      </c>
      <c r="BE102" s="20" t="s">
        <v>3636</v>
      </c>
      <c r="BF102" s="22" t="str">
        <f>HYPERLINK("http://dx.doi.org/10.1890/0012-9658(2003)084[0948:HFIOEB]2.0.CO;2","http://dx.doi.org/10.1890/0012-9658(2003)084[0948:HFIOEB]2.0.CO;2")</f>
        <v>http://dx.doi.org/10.1890/0012-9658(2003)084[0948:HFIOEB]2.0.CO;2</v>
      </c>
      <c r="BG102" s="20" t="s">
        <v>1813</v>
      </c>
      <c r="BH102" s="20" t="s">
        <v>1813</v>
      </c>
      <c r="BI102" s="20">
        <v>7.0</v>
      </c>
      <c r="BJ102" s="20" t="s">
        <v>1899</v>
      </c>
      <c r="BK102" s="20" t="s">
        <v>1839</v>
      </c>
      <c r="BL102" s="20" t="s">
        <v>1900</v>
      </c>
      <c r="BM102" s="20" t="s">
        <v>3637</v>
      </c>
      <c r="BN102" s="20" t="s">
        <v>1813</v>
      </c>
      <c r="BO102" s="20" t="s">
        <v>1813</v>
      </c>
      <c r="BP102" s="20" t="s">
        <v>1813</v>
      </c>
      <c r="BQ102" s="20" t="s">
        <v>1813</v>
      </c>
      <c r="BR102" s="20" t="s">
        <v>1842</v>
      </c>
      <c r="BS102" s="20" t="s">
        <v>3638</v>
      </c>
      <c r="BT102" s="20" t="str">
        <f>HYPERLINK("https%3A%2F%2Fwww.webofscience.com%2Fwos%2Fwoscc%2Ffull-record%2FWOS:000182813600015","View Full Record in Web of Science")</f>
        <v>View Full Record in Web of Science</v>
      </c>
    </row>
    <row r="103" ht="12.75" customHeight="1">
      <c r="A103" s="20" t="s">
        <v>1811</v>
      </c>
      <c r="B103" s="20" t="s">
        <v>3639</v>
      </c>
      <c r="C103" s="20" t="s">
        <v>1813</v>
      </c>
      <c r="D103" s="20" t="s">
        <v>1813</v>
      </c>
      <c r="E103" s="20" t="s">
        <v>1813</v>
      </c>
      <c r="F103" s="20" t="s">
        <v>3640</v>
      </c>
      <c r="G103" s="20" t="s">
        <v>1813</v>
      </c>
      <c r="H103" s="20" t="s">
        <v>1813</v>
      </c>
      <c r="I103" s="20" t="s">
        <v>1590</v>
      </c>
      <c r="J103" s="20" t="s">
        <v>2018</v>
      </c>
      <c r="K103" s="20" t="s">
        <v>1813</v>
      </c>
      <c r="L103" s="20" t="s">
        <v>1813</v>
      </c>
      <c r="M103" s="20" t="s">
        <v>1816</v>
      </c>
      <c r="N103" s="20" t="s">
        <v>1817</v>
      </c>
      <c r="O103" s="20" t="s">
        <v>1813</v>
      </c>
      <c r="P103" s="20" t="s">
        <v>1813</v>
      </c>
      <c r="Q103" s="20" t="s">
        <v>1813</v>
      </c>
      <c r="R103" s="20" t="s">
        <v>1813</v>
      </c>
      <c r="S103" s="20" t="s">
        <v>1813</v>
      </c>
      <c r="T103" s="20" t="s">
        <v>3641</v>
      </c>
      <c r="U103" s="20" t="s">
        <v>3642</v>
      </c>
      <c r="V103" s="20" t="s">
        <v>3643</v>
      </c>
      <c r="W103" s="20" t="s">
        <v>3644</v>
      </c>
      <c r="X103" s="20" t="s">
        <v>3645</v>
      </c>
      <c r="Y103" s="20" t="s">
        <v>3646</v>
      </c>
      <c r="Z103" s="20" t="s">
        <v>3647</v>
      </c>
      <c r="AA103" s="20" t="s">
        <v>3648</v>
      </c>
      <c r="AB103" s="20" t="s">
        <v>3649</v>
      </c>
      <c r="AC103" s="20" t="s">
        <v>3650</v>
      </c>
      <c r="AD103" s="20" t="s">
        <v>3651</v>
      </c>
      <c r="AE103" s="20" t="s">
        <v>3652</v>
      </c>
      <c r="AF103" s="20" t="s">
        <v>1813</v>
      </c>
      <c r="AG103" s="20">
        <v>81.0</v>
      </c>
      <c r="AH103" s="20">
        <v>233.0</v>
      </c>
      <c r="AI103" s="20">
        <v>296.0</v>
      </c>
      <c r="AJ103" s="20">
        <v>12.0</v>
      </c>
      <c r="AK103" s="20">
        <v>391.0</v>
      </c>
      <c r="AL103" s="20" t="s">
        <v>1829</v>
      </c>
      <c r="AM103" s="20" t="s">
        <v>1830</v>
      </c>
      <c r="AN103" s="20" t="s">
        <v>1831</v>
      </c>
      <c r="AO103" s="20" t="s">
        <v>2031</v>
      </c>
      <c r="AP103" s="20" t="s">
        <v>2032</v>
      </c>
      <c r="AQ103" s="20" t="s">
        <v>1813</v>
      </c>
      <c r="AR103" s="20" t="s">
        <v>2033</v>
      </c>
      <c r="AS103" s="20" t="s">
        <v>2034</v>
      </c>
      <c r="AT103" s="20" t="s">
        <v>2527</v>
      </c>
      <c r="AU103" s="20">
        <v>2010.0</v>
      </c>
      <c r="AV103" s="20">
        <v>16.0</v>
      </c>
      <c r="AW103" s="20">
        <v>10.0</v>
      </c>
      <c r="AX103" s="20" t="s">
        <v>1813</v>
      </c>
      <c r="AY103" s="20" t="s">
        <v>1813</v>
      </c>
      <c r="AZ103" s="20" t="s">
        <v>1813</v>
      </c>
      <c r="BA103" s="20" t="s">
        <v>1813</v>
      </c>
      <c r="BB103" s="20">
        <v>2688.0</v>
      </c>
      <c r="BC103" s="20">
        <v>2700.0</v>
      </c>
      <c r="BD103" s="20" t="s">
        <v>1813</v>
      </c>
      <c r="BE103" s="20" t="s">
        <v>3653</v>
      </c>
      <c r="BF103" s="22" t="str">
        <f>HYPERLINK("http://dx.doi.org/10.1111/j.1365-2486.2010.02174.x","http://dx.doi.org/10.1111/j.1365-2486.2010.02174.x")</f>
        <v>http://dx.doi.org/10.1111/j.1365-2486.2010.02174.x</v>
      </c>
      <c r="BG103" s="20" t="s">
        <v>1813</v>
      </c>
      <c r="BH103" s="20" t="s">
        <v>1813</v>
      </c>
      <c r="BI103" s="20">
        <v>13.0</v>
      </c>
      <c r="BJ103" s="20" t="s">
        <v>1860</v>
      </c>
      <c r="BK103" s="20" t="s">
        <v>1839</v>
      </c>
      <c r="BL103" s="20" t="s">
        <v>1840</v>
      </c>
      <c r="BM103" s="20" t="s">
        <v>3654</v>
      </c>
      <c r="BN103" s="20" t="s">
        <v>1813</v>
      </c>
      <c r="BO103" s="20" t="s">
        <v>1969</v>
      </c>
      <c r="BP103" s="20" t="s">
        <v>1813</v>
      </c>
      <c r="BQ103" s="20" t="s">
        <v>1813</v>
      </c>
      <c r="BR103" s="20" t="s">
        <v>1842</v>
      </c>
      <c r="BS103" s="20" t="s">
        <v>3655</v>
      </c>
      <c r="BT103" s="20" t="str">
        <f>HYPERLINK("https%3A%2F%2Fwww.webofscience.com%2Fwos%2Fwoscc%2Ffull-record%2FWOS:000281676700005","View Full Record in Web of Science")</f>
        <v>View Full Record in Web of Science</v>
      </c>
    </row>
    <row r="104" ht="12.75" customHeight="1">
      <c r="A104" s="20" t="s">
        <v>1811</v>
      </c>
      <c r="B104" s="20" t="s">
        <v>3656</v>
      </c>
      <c r="C104" s="20" t="s">
        <v>1813</v>
      </c>
      <c r="D104" s="20" t="s">
        <v>1813</v>
      </c>
      <c r="E104" s="20" t="s">
        <v>1813</v>
      </c>
      <c r="F104" s="20" t="s">
        <v>3656</v>
      </c>
      <c r="G104" s="20" t="s">
        <v>1813</v>
      </c>
      <c r="H104" s="20" t="s">
        <v>1813</v>
      </c>
      <c r="I104" s="20" t="s">
        <v>1292</v>
      </c>
      <c r="J104" s="20" t="s">
        <v>3415</v>
      </c>
      <c r="K104" s="20" t="s">
        <v>1813</v>
      </c>
      <c r="L104" s="20" t="s">
        <v>1813</v>
      </c>
      <c r="M104" s="20" t="s">
        <v>1816</v>
      </c>
      <c r="N104" s="20" t="s">
        <v>1817</v>
      </c>
      <c r="O104" s="20" t="s">
        <v>1813</v>
      </c>
      <c r="P104" s="20" t="s">
        <v>1813</v>
      </c>
      <c r="Q104" s="20" t="s">
        <v>1813</v>
      </c>
      <c r="R104" s="20" t="s">
        <v>1813</v>
      </c>
      <c r="S104" s="20" t="s">
        <v>1813</v>
      </c>
      <c r="T104" s="20" t="s">
        <v>3657</v>
      </c>
      <c r="U104" s="20" t="s">
        <v>3658</v>
      </c>
      <c r="V104" s="20" t="s">
        <v>3659</v>
      </c>
      <c r="W104" s="20" t="s">
        <v>3660</v>
      </c>
      <c r="X104" s="20" t="s">
        <v>3661</v>
      </c>
      <c r="Y104" s="20" t="s">
        <v>3662</v>
      </c>
      <c r="Z104" s="20" t="s">
        <v>3663</v>
      </c>
      <c r="AA104" s="20" t="s">
        <v>3664</v>
      </c>
      <c r="AB104" s="20" t="s">
        <v>3665</v>
      </c>
      <c r="AC104" s="20" t="s">
        <v>1813</v>
      </c>
      <c r="AD104" s="20" t="s">
        <v>1813</v>
      </c>
      <c r="AE104" s="20" t="s">
        <v>1813</v>
      </c>
      <c r="AF104" s="20" t="s">
        <v>1813</v>
      </c>
      <c r="AG104" s="20">
        <v>41.0</v>
      </c>
      <c r="AH104" s="20">
        <v>35.0</v>
      </c>
      <c r="AI104" s="20">
        <v>48.0</v>
      </c>
      <c r="AJ104" s="20">
        <v>1.0</v>
      </c>
      <c r="AK104" s="20">
        <v>78.0</v>
      </c>
      <c r="AL104" s="20" t="s">
        <v>1829</v>
      </c>
      <c r="AM104" s="20" t="s">
        <v>1830</v>
      </c>
      <c r="AN104" s="20" t="s">
        <v>1831</v>
      </c>
      <c r="AO104" s="20" t="s">
        <v>3424</v>
      </c>
      <c r="AP104" s="20" t="s">
        <v>3666</v>
      </c>
      <c r="AQ104" s="20" t="s">
        <v>1813</v>
      </c>
      <c r="AR104" s="20" t="s">
        <v>3425</v>
      </c>
      <c r="AS104" s="20" t="s">
        <v>3426</v>
      </c>
      <c r="AT104" s="20" t="s">
        <v>2396</v>
      </c>
      <c r="AU104" s="20">
        <v>2004.0</v>
      </c>
      <c r="AV104" s="20">
        <v>49.0</v>
      </c>
      <c r="AW104" s="20">
        <v>5.0</v>
      </c>
      <c r="AX104" s="20" t="s">
        <v>1813</v>
      </c>
      <c r="AY104" s="20" t="s">
        <v>1813</v>
      </c>
      <c r="AZ104" s="20" t="s">
        <v>1813</v>
      </c>
      <c r="BA104" s="20" t="s">
        <v>1813</v>
      </c>
      <c r="BB104" s="20">
        <v>535.0</v>
      </c>
      <c r="BC104" s="20">
        <v>545.0</v>
      </c>
      <c r="BD104" s="20" t="s">
        <v>1813</v>
      </c>
      <c r="BE104" s="20" t="s">
        <v>3667</v>
      </c>
      <c r="BF104" s="22" t="str">
        <f>HYPERLINK("http://dx.doi.org/10.1111/j.1365-2427.2004.01207.x","http://dx.doi.org/10.1111/j.1365-2427.2004.01207.x")</f>
        <v>http://dx.doi.org/10.1111/j.1365-2427.2004.01207.x</v>
      </c>
      <c r="BG104" s="20" t="s">
        <v>1813</v>
      </c>
      <c r="BH104" s="20" t="s">
        <v>1813</v>
      </c>
      <c r="BI104" s="20">
        <v>11.0</v>
      </c>
      <c r="BJ104" s="20" t="s">
        <v>3428</v>
      </c>
      <c r="BK104" s="20" t="s">
        <v>1839</v>
      </c>
      <c r="BL104" s="20" t="s">
        <v>2265</v>
      </c>
      <c r="BM104" s="20" t="s">
        <v>3668</v>
      </c>
      <c r="BN104" s="20" t="s">
        <v>1813</v>
      </c>
      <c r="BO104" s="20" t="s">
        <v>1813</v>
      </c>
      <c r="BP104" s="20" t="s">
        <v>1813</v>
      </c>
      <c r="BQ104" s="20" t="s">
        <v>1813</v>
      </c>
      <c r="BR104" s="20" t="s">
        <v>1842</v>
      </c>
      <c r="BS104" s="20" t="s">
        <v>3669</v>
      </c>
      <c r="BT104" s="20" t="str">
        <f>HYPERLINK("https%3A%2F%2Fwww.webofscience.com%2Fwos%2Fwoscc%2Ffull-record%2FWOS:000221197400004","View Full Record in Web of Science")</f>
        <v>View Full Record in Web of Science</v>
      </c>
    </row>
    <row r="105" ht="12.75" customHeight="1">
      <c r="A105" s="20" t="s">
        <v>1811</v>
      </c>
      <c r="B105" s="20" t="s">
        <v>3670</v>
      </c>
      <c r="C105" s="20" t="s">
        <v>1813</v>
      </c>
      <c r="D105" s="20" t="s">
        <v>1813</v>
      </c>
      <c r="E105" s="20" t="s">
        <v>1813</v>
      </c>
      <c r="F105" s="20" t="s">
        <v>3671</v>
      </c>
      <c r="G105" s="20" t="s">
        <v>1813</v>
      </c>
      <c r="H105" s="20" t="s">
        <v>1813</v>
      </c>
      <c r="I105" s="20" t="s">
        <v>1413</v>
      </c>
      <c r="J105" s="20" t="s">
        <v>3672</v>
      </c>
      <c r="K105" s="20" t="s">
        <v>1813</v>
      </c>
      <c r="L105" s="20" t="s">
        <v>1813</v>
      </c>
      <c r="M105" s="20" t="s">
        <v>1816</v>
      </c>
      <c r="N105" s="20" t="s">
        <v>1817</v>
      </c>
      <c r="O105" s="20" t="s">
        <v>1813</v>
      </c>
      <c r="P105" s="20" t="s">
        <v>1813</v>
      </c>
      <c r="Q105" s="20" t="s">
        <v>1813</v>
      </c>
      <c r="R105" s="20" t="s">
        <v>1813</v>
      </c>
      <c r="S105" s="20" t="s">
        <v>1813</v>
      </c>
      <c r="T105" s="20" t="s">
        <v>3673</v>
      </c>
      <c r="U105" s="20" t="s">
        <v>3674</v>
      </c>
      <c r="V105" s="20" t="s">
        <v>3675</v>
      </c>
      <c r="W105" s="20" t="s">
        <v>3676</v>
      </c>
      <c r="X105" s="20" t="s">
        <v>2419</v>
      </c>
      <c r="Y105" s="20" t="s">
        <v>3677</v>
      </c>
      <c r="Z105" s="20" t="s">
        <v>3678</v>
      </c>
      <c r="AA105" s="20" t="s">
        <v>3679</v>
      </c>
      <c r="AB105" s="20" t="s">
        <v>3680</v>
      </c>
      <c r="AC105" s="20" t="s">
        <v>3681</v>
      </c>
      <c r="AD105" s="20" t="s">
        <v>3682</v>
      </c>
      <c r="AE105" s="20" t="s">
        <v>3683</v>
      </c>
      <c r="AF105" s="20" t="s">
        <v>1813</v>
      </c>
      <c r="AG105" s="20">
        <v>51.0</v>
      </c>
      <c r="AH105" s="20">
        <v>50.0</v>
      </c>
      <c r="AI105" s="20">
        <v>65.0</v>
      </c>
      <c r="AJ105" s="20">
        <v>1.0</v>
      </c>
      <c r="AK105" s="20">
        <v>85.0</v>
      </c>
      <c r="AL105" s="20" t="s">
        <v>2052</v>
      </c>
      <c r="AM105" s="20" t="s">
        <v>2053</v>
      </c>
      <c r="AN105" s="20" t="s">
        <v>2054</v>
      </c>
      <c r="AO105" s="20" t="s">
        <v>3684</v>
      </c>
      <c r="AP105" s="20" t="s">
        <v>3685</v>
      </c>
      <c r="AQ105" s="20" t="s">
        <v>1813</v>
      </c>
      <c r="AR105" s="20" t="s">
        <v>3686</v>
      </c>
      <c r="AS105" s="20" t="s">
        <v>3687</v>
      </c>
      <c r="AT105" s="20" t="s">
        <v>2185</v>
      </c>
      <c r="AU105" s="20">
        <v>2009.0</v>
      </c>
      <c r="AV105" s="20">
        <v>157.0</v>
      </c>
      <c r="AW105" s="20">
        <v>7.0</v>
      </c>
      <c r="AX105" s="20" t="s">
        <v>1813</v>
      </c>
      <c r="AY105" s="20" t="s">
        <v>1813</v>
      </c>
      <c r="AZ105" s="20" t="s">
        <v>1813</v>
      </c>
      <c r="BA105" s="20" t="s">
        <v>1813</v>
      </c>
      <c r="BB105" s="20">
        <v>2030.0</v>
      </c>
      <c r="BC105" s="20">
        <v>2036.0</v>
      </c>
      <c r="BD105" s="20" t="s">
        <v>1813</v>
      </c>
      <c r="BE105" s="20" t="s">
        <v>3688</v>
      </c>
      <c r="BF105" s="22" t="str">
        <f>HYPERLINK("http://dx.doi.org/10.1016/j.envpol.2009.02.026","http://dx.doi.org/10.1016/j.envpol.2009.02.026")</f>
        <v>http://dx.doi.org/10.1016/j.envpol.2009.02.026</v>
      </c>
      <c r="BG105" s="20" t="s">
        <v>1813</v>
      </c>
      <c r="BH105" s="20" t="s">
        <v>1813</v>
      </c>
      <c r="BI105" s="20">
        <v>7.0</v>
      </c>
      <c r="BJ105" s="20" t="s">
        <v>3689</v>
      </c>
      <c r="BK105" s="20" t="s">
        <v>1839</v>
      </c>
      <c r="BL105" s="20" t="s">
        <v>1900</v>
      </c>
      <c r="BM105" s="20" t="s">
        <v>3690</v>
      </c>
      <c r="BN105" s="20">
        <v>1.9303182E7</v>
      </c>
      <c r="BO105" s="20" t="s">
        <v>1813</v>
      </c>
      <c r="BP105" s="20" t="s">
        <v>1813</v>
      </c>
      <c r="BQ105" s="20" t="s">
        <v>1813</v>
      </c>
      <c r="BR105" s="20" t="s">
        <v>1842</v>
      </c>
      <c r="BS105" s="20" t="s">
        <v>3691</v>
      </c>
      <c r="BT105" s="20" t="str">
        <f>HYPERLINK("https%3A%2F%2Fwww.webofscience.com%2Fwos%2Fwoscc%2Ffull-record%2FWOS:000266350800009","View Full Record in Web of Science")</f>
        <v>View Full Record in Web of Science</v>
      </c>
    </row>
    <row r="106" ht="12.75" customHeight="1">
      <c r="A106" s="20" t="s">
        <v>1811</v>
      </c>
      <c r="B106" s="20" t="s">
        <v>3692</v>
      </c>
      <c r="C106" s="20" t="s">
        <v>1813</v>
      </c>
      <c r="D106" s="20" t="s">
        <v>1813</v>
      </c>
      <c r="E106" s="20" t="s">
        <v>1813</v>
      </c>
      <c r="F106" s="20" t="s">
        <v>3693</v>
      </c>
      <c r="G106" s="20" t="s">
        <v>1813</v>
      </c>
      <c r="H106" s="20" t="s">
        <v>1813</v>
      </c>
      <c r="I106" s="20" t="s">
        <v>1484</v>
      </c>
      <c r="J106" s="20" t="s">
        <v>3694</v>
      </c>
      <c r="K106" s="20" t="s">
        <v>1813</v>
      </c>
      <c r="L106" s="20" t="s">
        <v>1813</v>
      </c>
      <c r="M106" s="20" t="s">
        <v>1816</v>
      </c>
      <c r="N106" s="20" t="s">
        <v>1817</v>
      </c>
      <c r="O106" s="20" t="s">
        <v>1813</v>
      </c>
      <c r="P106" s="20" t="s">
        <v>1813</v>
      </c>
      <c r="Q106" s="20" t="s">
        <v>1813</v>
      </c>
      <c r="R106" s="20" t="s">
        <v>1813</v>
      </c>
      <c r="S106" s="20" t="s">
        <v>1813</v>
      </c>
      <c r="T106" s="20" t="s">
        <v>3695</v>
      </c>
      <c r="U106" s="20" t="s">
        <v>3696</v>
      </c>
      <c r="V106" s="20" t="s">
        <v>3697</v>
      </c>
      <c r="W106" s="20" t="s">
        <v>3698</v>
      </c>
      <c r="X106" s="20" t="s">
        <v>3699</v>
      </c>
      <c r="Y106" s="20" t="s">
        <v>3700</v>
      </c>
      <c r="Z106" s="20" t="s">
        <v>3701</v>
      </c>
      <c r="AA106" s="20" t="s">
        <v>3702</v>
      </c>
      <c r="AB106" s="20" t="s">
        <v>3703</v>
      </c>
      <c r="AC106" s="20" t="s">
        <v>3704</v>
      </c>
      <c r="AD106" s="20" t="s">
        <v>3705</v>
      </c>
      <c r="AE106" s="20" t="s">
        <v>3706</v>
      </c>
      <c r="AF106" s="20" t="s">
        <v>1813</v>
      </c>
      <c r="AG106" s="20">
        <v>53.0</v>
      </c>
      <c r="AH106" s="20">
        <v>23.0</v>
      </c>
      <c r="AI106" s="20">
        <v>29.0</v>
      </c>
      <c r="AJ106" s="20">
        <v>1.0</v>
      </c>
      <c r="AK106" s="20">
        <v>120.0</v>
      </c>
      <c r="AL106" s="20" t="s">
        <v>1852</v>
      </c>
      <c r="AM106" s="20" t="s">
        <v>1853</v>
      </c>
      <c r="AN106" s="20" t="s">
        <v>1854</v>
      </c>
      <c r="AO106" s="20" t="s">
        <v>3707</v>
      </c>
      <c r="AP106" s="20" t="s">
        <v>3708</v>
      </c>
      <c r="AQ106" s="20" t="s">
        <v>1813</v>
      </c>
      <c r="AR106" s="20" t="s">
        <v>3709</v>
      </c>
      <c r="AS106" s="20" t="s">
        <v>3710</v>
      </c>
      <c r="AT106" s="20" t="s">
        <v>2185</v>
      </c>
      <c r="AU106" s="20">
        <v>2012.0</v>
      </c>
      <c r="AV106" s="20">
        <v>27.0</v>
      </c>
      <c r="AW106" s="20">
        <v>6.0</v>
      </c>
      <c r="AX106" s="20" t="s">
        <v>1813</v>
      </c>
      <c r="AY106" s="20" t="s">
        <v>1813</v>
      </c>
      <c r="AZ106" s="20" t="s">
        <v>1813</v>
      </c>
      <c r="BA106" s="20" t="s">
        <v>1813</v>
      </c>
      <c r="BB106" s="20">
        <v>799.0</v>
      </c>
      <c r="BC106" s="20">
        <v>812.0</v>
      </c>
      <c r="BD106" s="20" t="s">
        <v>1813</v>
      </c>
      <c r="BE106" s="20" t="s">
        <v>3711</v>
      </c>
      <c r="BF106" s="22" t="str">
        <f>HYPERLINK("http://dx.doi.org/10.1007/s10980-012-9729-0","http://dx.doi.org/10.1007/s10980-012-9729-0")</f>
        <v>http://dx.doi.org/10.1007/s10980-012-9729-0</v>
      </c>
      <c r="BG106" s="20" t="s">
        <v>1813</v>
      </c>
      <c r="BH106" s="20" t="s">
        <v>1813</v>
      </c>
      <c r="BI106" s="20">
        <v>14.0</v>
      </c>
      <c r="BJ106" s="20" t="s">
        <v>3712</v>
      </c>
      <c r="BK106" s="20" t="s">
        <v>1839</v>
      </c>
      <c r="BL106" s="20" t="s">
        <v>3713</v>
      </c>
      <c r="BM106" s="20" t="s">
        <v>3714</v>
      </c>
      <c r="BN106" s="20" t="s">
        <v>1813</v>
      </c>
      <c r="BO106" s="20" t="s">
        <v>1813</v>
      </c>
      <c r="BP106" s="20" t="s">
        <v>1813</v>
      </c>
      <c r="BQ106" s="20" t="s">
        <v>1813</v>
      </c>
      <c r="BR106" s="20" t="s">
        <v>1842</v>
      </c>
      <c r="BS106" s="20" t="s">
        <v>3715</v>
      </c>
      <c r="BT106" s="20" t="str">
        <f>HYPERLINK("https%3A%2F%2Fwww.webofscience.com%2Fwos%2Fwoscc%2Ffull-record%2FWOS:000305218000002","View Full Record in Web of Science")</f>
        <v>View Full Record in Web of Science</v>
      </c>
    </row>
    <row r="107" ht="12.75" customHeight="1">
      <c r="A107" s="20" t="s">
        <v>1811</v>
      </c>
      <c r="B107" s="20" t="s">
        <v>3716</v>
      </c>
      <c r="C107" s="20" t="s">
        <v>1813</v>
      </c>
      <c r="D107" s="20" t="s">
        <v>1813</v>
      </c>
      <c r="E107" s="20" t="s">
        <v>1813</v>
      </c>
      <c r="F107" s="20" t="s">
        <v>3717</v>
      </c>
      <c r="G107" s="20" t="s">
        <v>1813</v>
      </c>
      <c r="H107" s="20" t="s">
        <v>1813</v>
      </c>
      <c r="I107" s="20" t="s">
        <v>3718</v>
      </c>
      <c r="J107" s="20" t="s">
        <v>2489</v>
      </c>
      <c r="K107" s="20" t="s">
        <v>1813</v>
      </c>
      <c r="L107" s="20" t="s">
        <v>1813</v>
      </c>
      <c r="M107" s="20" t="s">
        <v>1816</v>
      </c>
      <c r="N107" s="20" t="s">
        <v>1817</v>
      </c>
      <c r="O107" s="20" t="s">
        <v>1813</v>
      </c>
      <c r="P107" s="20" t="s">
        <v>1813</v>
      </c>
      <c r="Q107" s="20" t="s">
        <v>1813</v>
      </c>
      <c r="R107" s="20" t="s">
        <v>1813</v>
      </c>
      <c r="S107" s="20" t="s">
        <v>1813</v>
      </c>
      <c r="T107" s="20" t="s">
        <v>3719</v>
      </c>
      <c r="U107" s="20" t="s">
        <v>3720</v>
      </c>
      <c r="V107" s="20" t="s">
        <v>3721</v>
      </c>
      <c r="W107" s="20" t="s">
        <v>3722</v>
      </c>
      <c r="X107" s="20" t="s">
        <v>3723</v>
      </c>
      <c r="Y107" s="20" t="s">
        <v>3724</v>
      </c>
      <c r="Z107" s="20" t="s">
        <v>3725</v>
      </c>
      <c r="AA107" s="20" t="s">
        <v>3726</v>
      </c>
      <c r="AB107" s="20" t="s">
        <v>3727</v>
      </c>
      <c r="AC107" s="20" t="s">
        <v>3728</v>
      </c>
      <c r="AD107" s="20" t="s">
        <v>3728</v>
      </c>
      <c r="AE107" s="20" t="s">
        <v>3729</v>
      </c>
      <c r="AF107" s="20" t="s">
        <v>1813</v>
      </c>
      <c r="AG107" s="20">
        <v>32.0</v>
      </c>
      <c r="AH107" s="20">
        <v>48.0</v>
      </c>
      <c r="AI107" s="20">
        <v>52.0</v>
      </c>
      <c r="AJ107" s="20">
        <v>1.0</v>
      </c>
      <c r="AK107" s="20">
        <v>46.0</v>
      </c>
      <c r="AL107" s="20" t="s">
        <v>1829</v>
      </c>
      <c r="AM107" s="20" t="s">
        <v>1830</v>
      </c>
      <c r="AN107" s="20" t="s">
        <v>1831</v>
      </c>
      <c r="AO107" s="20" t="s">
        <v>2502</v>
      </c>
      <c r="AP107" s="20" t="s">
        <v>2503</v>
      </c>
      <c r="AQ107" s="20" t="s">
        <v>1813</v>
      </c>
      <c r="AR107" s="20" t="s">
        <v>2504</v>
      </c>
      <c r="AS107" s="20" t="s">
        <v>2505</v>
      </c>
      <c r="AT107" s="20" t="s">
        <v>1916</v>
      </c>
      <c r="AU107" s="20">
        <v>2008.0</v>
      </c>
      <c r="AV107" s="20">
        <v>22.0</v>
      </c>
      <c r="AW107" s="20">
        <v>6.0</v>
      </c>
      <c r="AX107" s="20" t="s">
        <v>1813</v>
      </c>
      <c r="AY107" s="20" t="s">
        <v>1813</v>
      </c>
      <c r="AZ107" s="20" t="s">
        <v>1813</v>
      </c>
      <c r="BA107" s="20" t="s">
        <v>1813</v>
      </c>
      <c r="BB107" s="20">
        <v>1552.0</v>
      </c>
      <c r="BC107" s="20">
        <v>1563.0</v>
      </c>
      <c r="BD107" s="20" t="s">
        <v>1813</v>
      </c>
      <c r="BE107" s="20" t="s">
        <v>3730</v>
      </c>
      <c r="BF107" s="22" t="str">
        <f>HYPERLINK("http://dx.doi.org/10.1111/j.1523-1739.2008.01017.x","http://dx.doi.org/10.1111/j.1523-1739.2008.01017.x")</f>
        <v>http://dx.doi.org/10.1111/j.1523-1739.2008.01017.x</v>
      </c>
      <c r="BG107" s="20" t="s">
        <v>1813</v>
      </c>
      <c r="BH107" s="20" t="s">
        <v>1813</v>
      </c>
      <c r="BI107" s="20">
        <v>12.0</v>
      </c>
      <c r="BJ107" s="20" t="s">
        <v>1860</v>
      </c>
      <c r="BK107" s="20" t="s">
        <v>1839</v>
      </c>
      <c r="BL107" s="20" t="s">
        <v>1840</v>
      </c>
      <c r="BM107" s="20" t="s">
        <v>3731</v>
      </c>
      <c r="BN107" s="20">
        <v>1.8717696E7</v>
      </c>
      <c r="BO107" s="20" t="s">
        <v>1813</v>
      </c>
      <c r="BP107" s="20" t="s">
        <v>1813</v>
      </c>
      <c r="BQ107" s="20" t="s">
        <v>1813</v>
      </c>
      <c r="BR107" s="20" t="s">
        <v>1842</v>
      </c>
      <c r="BS107" s="20" t="s">
        <v>3732</v>
      </c>
      <c r="BT107" s="20" t="str">
        <f>HYPERLINK("https%3A%2F%2Fwww.webofscience.com%2Fwos%2Fwoscc%2Ffull-record%2FWOS:000261395700031","View Full Record in Web of Science")</f>
        <v>View Full Record in Web of Science</v>
      </c>
    </row>
    <row r="108" ht="12.75" customHeight="1">
      <c r="A108" s="20" t="s">
        <v>1811</v>
      </c>
      <c r="B108" s="20" t="s">
        <v>3733</v>
      </c>
      <c r="C108" s="20" t="s">
        <v>1813</v>
      </c>
      <c r="D108" s="20" t="s">
        <v>1813</v>
      </c>
      <c r="E108" s="20" t="s">
        <v>1813</v>
      </c>
      <c r="F108" s="20" t="s">
        <v>3734</v>
      </c>
      <c r="G108" s="20" t="s">
        <v>1813</v>
      </c>
      <c r="H108" s="20" t="s">
        <v>1813</v>
      </c>
      <c r="I108" s="20" t="s">
        <v>3735</v>
      </c>
      <c r="J108" s="20" t="s">
        <v>2469</v>
      </c>
      <c r="K108" s="20" t="s">
        <v>1813</v>
      </c>
      <c r="L108" s="20" t="s">
        <v>1813</v>
      </c>
      <c r="M108" s="20" t="s">
        <v>1816</v>
      </c>
      <c r="N108" s="20" t="s">
        <v>1817</v>
      </c>
      <c r="O108" s="20" t="s">
        <v>1813</v>
      </c>
      <c r="P108" s="20" t="s">
        <v>1813</v>
      </c>
      <c r="Q108" s="20" t="s">
        <v>1813</v>
      </c>
      <c r="R108" s="20" t="s">
        <v>1813</v>
      </c>
      <c r="S108" s="20" t="s">
        <v>1813</v>
      </c>
      <c r="T108" s="20" t="s">
        <v>3736</v>
      </c>
      <c r="U108" s="20" t="s">
        <v>3737</v>
      </c>
      <c r="V108" s="20" t="s">
        <v>3738</v>
      </c>
      <c r="W108" s="20" t="s">
        <v>3739</v>
      </c>
      <c r="X108" s="20" t="s">
        <v>3239</v>
      </c>
      <c r="Y108" s="20" t="s">
        <v>3240</v>
      </c>
      <c r="Z108" s="20" t="s">
        <v>3740</v>
      </c>
      <c r="AA108" s="20" t="s">
        <v>3242</v>
      </c>
      <c r="AB108" s="20" t="s">
        <v>1813</v>
      </c>
      <c r="AC108" s="20" t="s">
        <v>3741</v>
      </c>
      <c r="AD108" s="20" t="s">
        <v>3742</v>
      </c>
      <c r="AE108" s="20" t="s">
        <v>3743</v>
      </c>
      <c r="AF108" s="20" t="s">
        <v>1813</v>
      </c>
      <c r="AG108" s="20">
        <v>53.0</v>
      </c>
      <c r="AH108" s="20">
        <v>861.0</v>
      </c>
      <c r="AI108" s="20">
        <v>1066.0</v>
      </c>
      <c r="AJ108" s="20">
        <v>20.0</v>
      </c>
      <c r="AK108" s="20">
        <v>705.0</v>
      </c>
      <c r="AL108" s="20" t="s">
        <v>1829</v>
      </c>
      <c r="AM108" s="20" t="s">
        <v>1830</v>
      </c>
      <c r="AN108" s="20" t="s">
        <v>1831</v>
      </c>
      <c r="AO108" s="20" t="s">
        <v>2477</v>
      </c>
      <c r="AP108" s="20" t="s">
        <v>2478</v>
      </c>
      <c r="AQ108" s="20" t="s">
        <v>1813</v>
      </c>
      <c r="AR108" s="20" t="s">
        <v>2479</v>
      </c>
      <c r="AS108" s="20" t="s">
        <v>2480</v>
      </c>
      <c r="AT108" s="20" t="s">
        <v>2396</v>
      </c>
      <c r="AU108" s="20">
        <v>2009.0</v>
      </c>
      <c r="AV108" s="20">
        <v>97.0</v>
      </c>
      <c r="AW108" s="20">
        <v>3.0</v>
      </c>
      <c r="AX108" s="20" t="s">
        <v>1813</v>
      </c>
      <c r="AY108" s="20" t="s">
        <v>1813</v>
      </c>
      <c r="AZ108" s="20" t="s">
        <v>1813</v>
      </c>
      <c r="BA108" s="20" t="s">
        <v>1813</v>
      </c>
      <c r="BB108" s="20">
        <v>393.0</v>
      </c>
      <c r="BC108" s="20">
        <v>403.0</v>
      </c>
      <c r="BD108" s="20" t="s">
        <v>1813</v>
      </c>
      <c r="BE108" s="20" t="s">
        <v>3744</v>
      </c>
      <c r="BF108" s="22" t="str">
        <f>HYPERLINK("http://dx.doi.org/10.1111/j.1365-2745.2009.01480.x","http://dx.doi.org/10.1111/j.1365-2745.2009.01480.x")</f>
        <v>http://dx.doi.org/10.1111/j.1365-2745.2009.01480.x</v>
      </c>
      <c r="BG108" s="20" t="s">
        <v>1813</v>
      </c>
      <c r="BH108" s="20" t="s">
        <v>1813</v>
      </c>
      <c r="BI108" s="20">
        <v>11.0</v>
      </c>
      <c r="BJ108" s="20" t="s">
        <v>2482</v>
      </c>
      <c r="BK108" s="20" t="s">
        <v>1839</v>
      </c>
      <c r="BL108" s="20" t="s">
        <v>2483</v>
      </c>
      <c r="BM108" s="20" t="s">
        <v>3745</v>
      </c>
      <c r="BN108" s="20" t="s">
        <v>1813</v>
      </c>
      <c r="BO108" s="20" t="s">
        <v>1813</v>
      </c>
      <c r="BP108" s="20" t="s">
        <v>1813</v>
      </c>
      <c r="BQ108" s="20" t="s">
        <v>1813</v>
      </c>
      <c r="BR108" s="20" t="s">
        <v>1842</v>
      </c>
      <c r="BS108" s="20" t="s">
        <v>3746</v>
      </c>
      <c r="BT108" s="20" t="str">
        <f>HYPERLINK("https%3A%2F%2Fwww.webofscience.com%2Fwos%2Fwoscc%2Ffull-record%2FWOS:000265035400003","View Full Record in Web of Science")</f>
        <v>View Full Record in Web of Science</v>
      </c>
    </row>
    <row r="109" ht="12.75" customHeight="1">
      <c r="A109" s="20" t="s">
        <v>1811</v>
      </c>
      <c r="B109" s="20" t="s">
        <v>3747</v>
      </c>
      <c r="C109" s="20" t="s">
        <v>1813</v>
      </c>
      <c r="D109" s="20" t="s">
        <v>1813</v>
      </c>
      <c r="E109" s="20" t="s">
        <v>1813</v>
      </c>
      <c r="F109" s="20" t="s">
        <v>3747</v>
      </c>
      <c r="G109" s="20" t="s">
        <v>1813</v>
      </c>
      <c r="H109" s="20" t="s">
        <v>1813</v>
      </c>
      <c r="I109" s="20" t="s">
        <v>3748</v>
      </c>
      <c r="J109" s="20" t="s">
        <v>2680</v>
      </c>
      <c r="K109" s="20" t="s">
        <v>1813</v>
      </c>
      <c r="L109" s="20" t="s">
        <v>1813</v>
      </c>
      <c r="M109" s="20" t="s">
        <v>1816</v>
      </c>
      <c r="N109" s="20" t="s">
        <v>1817</v>
      </c>
      <c r="O109" s="20" t="s">
        <v>1813</v>
      </c>
      <c r="P109" s="20" t="s">
        <v>1813</v>
      </c>
      <c r="Q109" s="20" t="s">
        <v>1813</v>
      </c>
      <c r="R109" s="20" t="s">
        <v>1813</v>
      </c>
      <c r="S109" s="20" t="s">
        <v>1813</v>
      </c>
      <c r="T109" s="20" t="s">
        <v>3749</v>
      </c>
      <c r="U109" s="20" t="s">
        <v>3750</v>
      </c>
      <c r="V109" s="20" t="s">
        <v>3751</v>
      </c>
      <c r="W109" s="20" t="s">
        <v>3752</v>
      </c>
      <c r="X109" s="20" t="s">
        <v>3753</v>
      </c>
      <c r="Y109" s="20" t="s">
        <v>3754</v>
      </c>
      <c r="Z109" s="20" t="s">
        <v>3755</v>
      </c>
      <c r="AA109" s="20" t="s">
        <v>1813</v>
      </c>
      <c r="AB109" s="20" t="s">
        <v>1813</v>
      </c>
      <c r="AC109" s="20" t="s">
        <v>1813</v>
      </c>
      <c r="AD109" s="20" t="s">
        <v>1813</v>
      </c>
      <c r="AE109" s="20" t="s">
        <v>1813</v>
      </c>
      <c r="AF109" s="20" t="s">
        <v>1813</v>
      </c>
      <c r="AG109" s="20">
        <v>85.0</v>
      </c>
      <c r="AH109" s="20">
        <v>12.0</v>
      </c>
      <c r="AI109" s="20">
        <v>13.0</v>
      </c>
      <c r="AJ109" s="20">
        <v>1.0</v>
      </c>
      <c r="AK109" s="20">
        <v>32.0</v>
      </c>
      <c r="AL109" s="20" t="s">
        <v>2689</v>
      </c>
      <c r="AM109" s="20" t="s">
        <v>1959</v>
      </c>
      <c r="AN109" s="20" t="s">
        <v>2848</v>
      </c>
      <c r="AO109" s="20" t="s">
        <v>2691</v>
      </c>
      <c r="AP109" s="20" t="s">
        <v>3608</v>
      </c>
      <c r="AQ109" s="20" t="s">
        <v>1813</v>
      </c>
      <c r="AR109" s="20" t="s">
        <v>2692</v>
      </c>
      <c r="AS109" s="20" t="s">
        <v>2693</v>
      </c>
      <c r="AT109" s="20" t="s">
        <v>1916</v>
      </c>
      <c r="AU109" s="20">
        <v>2004.0</v>
      </c>
      <c r="AV109" s="20">
        <v>14.0</v>
      </c>
      <c r="AW109" s="20">
        <v>6.0</v>
      </c>
      <c r="AX109" s="20" t="s">
        <v>1813</v>
      </c>
      <c r="AY109" s="20" t="s">
        <v>1813</v>
      </c>
      <c r="AZ109" s="20" t="s">
        <v>1813</v>
      </c>
      <c r="BA109" s="20" t="s">
        <v>1813</v>
      </c>
      <c r="BB109" s="20">
        <v>1634.0</v>
      </c>
      <c r="BC109" s="20">
        <v>1655.0</v>
      </c>
      <c r="BD109" s="20" t="s">
        <v>1813</v>
      </c>
      <c r="BE109" s="20" t="s">
        <v>3756</v>
      </c>
      <c r="BF109" s="22" t="str">
        <f>HYPERLINK("http://dx.doi.org/10.1890/03-5249","http://dx.doi.org/10.1890/03-5249")</f>
        <v>http://dx.doi.org/10.1890/03-5249</v>
      </c>
      <c r="BG109" s="20" t="s">
        <v>1813</v>
      </c>
      <c r="BH109" s="20" t="s">
        <v>1813</v>
      </c>
      <c r="BI109" s="20">
        <v>22.0</v>
      </c>
      <c r="BJ109" s="20" t="s">
        <v>2653</v>
      </c>
      <c r="BK109" s="20" t="s">
        <v>1839</v>
      </c>
      <c r="BL109" s="20" t="s">
        <v>1900</v>
      </c>
      <c r="BM109" s="20" t="s">
        <v>3757</v>
      </c>
      <c r="BN109" s="20" t="s">
        <v>1813</v>
      </c>
      <c r="BO109" s="20" t="s">
        <v>1813</v>
      </c>
      <c r="BP109" s="20" t="s">
        <v>1813</v>
      </c>
      <c r="BQ109" s="20" t="s">
        <v>1813</v>
      </c>
      <c r="BR109" s="20" t="s">
        <v>1842</v>
      </c>
      <c r="BS109" s="20" t="s">
        <v>3758</v>
      </c>
      <c r="BT109" s="20" t="str">
        <f>HYPERLINK("https%3A%2F%2Fwww.webofscience.com%2Fwos%2Fwoscc%2Ffull-record%2FWOS:000225858000003","View Full Record in Web of Science")</f>
        <v>View Full Record in Web of Science</v>
      </c>
    </row>
    <row r="110" ht="12.75" customHeight="1">
      <c r="A110" s="20" t="s">
        <v>1811</v>
      </c>
      <c r="B110" s="20" t="s">
        <v>3759</v>
      </c>
      <c r="C110" s="20" t="s">
        <v>1813</v>
      </c>
      <c r="D110" s="20" t="s">
        <v>1813</v>
      </c>
      <c r="E110" s="20" t="s">
        <v>1813</v>
      </c>
      <c r="F110" s="20" t="s">
        <v>3759</v>
      </c>
      <c r="G110" s="20" t="s">
        <v>1813</v>
      </c>
      <c r="H110" s="20" t="s">
        <v>1813</v>
      </c>
      <c r="I110" s="20" t="s">
        <v>3760</v>
      </c>
      <c r="J110" s="20" t="s">
        <v>2546</v>
      </c>
      <c r="K110" s="20" t="s">
        <v>1813</v>
      </c>
      <c r="L110" s="20" t="s">
        <v>1813</v>
      </c>
      <c r="M110" s="20" t="s">
        <v>1816</v>
      </c>
      <c r="N110" s="20" t="s">
        <v>1817</v>
      </c>
      <c r="O110" s="20" t="s">
        <v>1813</v>
      </c>
      <c r="P110" s="20" t="s">
        <v>1813</v>
      </c>
      <c r="Q110" s="20" t="s">
        <v>1813</v>
      </c>
      <c r="R110" s="20" t="s">
        <v>1813</v>
      </c>
      <c r="S110" s="20" t="s">
        <v>1813</v>
      </c>
      <c r="T110" s="20" t="s">
        <v>3761</v>
      </c>
      <c r="U110" s="20" t="s">
        <v>3762</v>
      </c>
      <c r="V110" s="20" t="s">
        <v>3763</v>
      </c>
      <c r="W110" s="20" t="s">
        <v>3764</v>
      </c>
      <c r="X110" s="20" t="s">
        <v>3765</v>
      </c>
      <c r="Y110" s="20" t="s">
        <v>3766</v>
      </c>
      <c r="Z110" s="20" t="s">
        <v>3767</v>
      </c>
      <c r="AA110" s="20" t="s">
        <v>1813</v>
      </c>
      <c r="AB110" s="20" t="s">
        <v>1813</v>
      </c>
      <c r="AC110" s="20" t="s">
        <v>1813</v>
      </c>
      <c r="AD110" s="20" t="s">
        <v>1813</v>
      </c>
      <c r="AE110" s="20" t="s">
        <v>1813</v>
      </c>
      <c r="AF110" s="20" t="s">
        <v>1813</v>
      </c>
      <c r="AG110" s="20">
        <v>52.0</v>
      </c>
      <c r="AH110" s="20">
        <v>90.0</v>
      </c>
      <c r="AI110" s="20">
        <v>115.0</v>
      </c>
      <c r="AJ110" s="20">
        <v>1.0</v>
      </c>
      <c r="AK110" s="20">
        <v>51.0</v>
      </c>
      <c r="AL110" s="20" t="s">
        <v>3768</v>
      </c>
      <c r="AM110" s="20" t="s">
        <v>2559</v>
      </c>
      <c r="AN110" s="20" t="s">
        <v>3769</v>
      </c>
      <c r="AO110" s="20" t="s">
        <v>2561</v>
      </c>
      <c r="AP110" s="20" t="s">
        <v>1813</v>
      </c>
      <c r="AQ110" s="20" t="s">
        <v>1813</v>
      </c>
      <c r="AR110" s="20" t="s">
        <v>2546</v>
      </c>
      <c r="AS110" s="20" t="s">
        <v>2563</v>
      </c>
      <c r="AT110" s="20" t="s">
        <v>1875</v>
      </c>
      <c r="AU110" s="20">
        <v>1999.0</v>
      </c>
      <c r="AV110" s="20">
        <v>118.0</v>
      </c>
      <c r="AW110" s="20">
        <v>3.0</v>
      </c>
      <c r="AX110" s="20" t="s">
        <v>1813</v>
      </c>
      <c r="AY110" s="20" t="s">
        <v>1813</v>
      </c>
      <c r="AZ110" s="20" t="s">
        <v>1813</v>
      </c>
      <c r="BA110" s="20" t="s">
        <v>1813</v>
      </c>
      <c r="BB110" s="20">
        <v>371.0</v>
      </c>
      <c r="BC110" s="20">
        <v>380.0</v>
      </c>
      <c r="BD110" s="20" t="s">
        <v>1813</v>
      </c>
      <c r="BE110" s="20" t="s">
        <v>3770</v>
      </c>
      <c r="BF110" s="22" t="str">
        <f>HYPERLINK("http://dx.doi.org/10.1007/s004420050738","http://dx.doi.org/10.1007/s004420050738")</f>
        <v>http://dx.doi.org/10.1007/s004420050738</v>
      </c>
      <c r="BG110" s="20" t="s">
        <v>1813</v>
      </c>
      <c r="BH110" s="20" t="s">
        <v>1813</v>
      </c>
      <c r="BI110" s="20">
        <v>10.0</v>
      </c>
      <c r="BJ110" s="20" t="s">
        <v>1899</v>
      </c>
      <c r="BK110" s="20" t="s">
        <v>1839</v>
      </c>
      <c r="BL110" s="20" t="s">
        <v>1900</v>
      </c>
      <c r="BM110" s="20" t="s">
        <v>3771</v>
      </c>
      <c r="BN110" s="20">
        <v>2.8307281E7</v>
      </c>
      <c r="BO110" s="20" t="s">
        <v>1813</v>
      </c>
      <c r="BP110" s="20" t="s">
        <v>1813</v>
      </c>
      <c r="BQ110" s="20" t="s">
        <v>1813</v>
      </c>
      <c r="BR110" s="20" t="s">
        <v>1842</v>
      </c>
      <c r="BS110" s="20" t="s">
        <v>3772</v>
      </c>
      <c r="BT110" s="20" t="str">
        <f>HYPERLINK("https%3A%2F%2Fwww.webofscience.com%2Fwos%2Fwoscc%2Ffull-record%2FWOS:000079391900011","View Full Record in Web of Science")</f>
        <v>View Full Record in Web of Science</v>
      </c>
    </row>
    <row r="111" ht="12.75" customHeight="1">
      <c r="A111" s="20" t="s">
        <v>1811</v>
      </c>
      <c r="B111" s="20" t="s">
        <v>3773</v>
      </c>
      <c r="C111" s="20" t="s">
        <v>1813</v>
      </c>
      <c r="D111" s="20" t="s">
        <v>1813</v>
      </c>
      <c r="E111" s="20" t="s">
        <v>1813</v>
      </c>
      <c r="F111" s="20" t="s">
        <v>3774</v>
      </c>
      <c r="G111" s="20" t="s">
        <v>1813</v>
      </c>
      <c r="H111" s="20" t="s">
        <v>1813</v>
      </c>
      <c r="I111" s="20" t="s">
        <v>3775</v>
      </c>
      <c r="J111" s="20" t="s">
        <v>2040</v>
      </c>
      <c r="K111" s="20" t="s">
        <v>1813</v>
      </c>
      <c r="L111" s="20" t="s">
        <v>1813</v>
      </c>
      <c r="M111" s="20" t="s">
        <v>1816</v>
      </c>
      <c r="N111" s="20" t="s">
        <v>1817</v>
      </c>
      <c r="O111" s="20" t="s">
        <v>1813</v>
      </c>
      <c r="P111" s="20" t="s">
        <v>1813</v>
      </c>
      <c r="Q111" s="20" t="s">
        <v>1813</v>
      </c>
      <c r="R111" s="20" t="s">
        <v>1813</v>
      </c>
      <c r="S111" s="20" t="s">
        <v>1813</v>
      </c>
      <c r="T111" s="20" t="s">
        <v>3776</v>
      </c>
      <c r="U111" s="20" t="s">
        <v>3777</v>
      </c>
      <c r="V111" s="20" t="s">
        <v>3778</v>
      </c>
      <c r="W111" s="20" t="s">
        <v>3779</v>
      </c>
      <c r="X111" s="20" t="s">
        <v>3780</v>
      </c>
      <c r="Y111" s="20" t="s">
        <v>3781</v>
      </c>
      <c r="Z111" s="20" t="s">
        <v>3782</v>
      </c>
      <c r="AA111" s="20" t="s">
        <v>3783</v>
      </c>
      <c r="AB111" s="20" t="s">
        <v>3784</v>
      </c>
      <c r="AC111" s="20" t="s">
        <v>3785</v>
      </c>
      <c r="AD111" s="20" t="s">
        <v>3786</v>
      </c>
      <c r="AE111" s="20" t="s">
        <v>1813</v>
      </c>
      <c r="AF111" s="20" t="s">
        <v>1813</v>
      </c>
      <c r="AG111" s="20">
        <v>90.0</v>
      </c>
      <c r="AH111" s="20">
        <v>59.0</v>
      </c>
      <c r="AI111" s="20">
        <v>72.0</v>
      </c>
      <c r="AJ111" s="20">
        <v>1.0</v>
      </c>
      <c r="AK111" s="20">
        <v>51.0</v>
      </c>
      <c r="AL111" s="20" t="s">
        <v>2052</v>
      </c>
      <c r="AM111" s="20" t="s">
        <v>2053</v>
      </c>
      <c r="AN111" s="20" t="s">
        <v>2054</v>
      </c>
      <c r="AO111" s="20" t="s">
        <v>2055</v>
      </c>
      <c r="AP111" s="20" t="s">
        <v>2056</v>
      </c>
      <c r="AQ111" s="20" t="s">
        <v>1813</v>
      </c>
      <c r="AR111" s="20" t="s">
        <v>2057</v>
      </c>
      <c r="AS111" s="20" t="s">
        <v>2058</v>
      </c>
      <c r="AT111" s="20" t="s">
        <v>2527</v>
      </c>
      <c r="AU111" s="20">
        <v>2007.0</v>
      </c>
      <c r="AV111" s="20">
        <v>139.0</v>
      </c>
      <c r="AW111" s="20" t="s">
        <v>3787</v>
      </c>
      <c r="AX111" s="20" t="s">
        <v>1813</v>
      </c>
      <c r="AY111" s="20" t="s">
        <v>1813</v>
      </c>
      <c r="AZ111" s="20" t="s">
        <v>1813</v>
      </c>
      <c r="BA111" s="20" t="s">
        <v>1813</v>
      </c>
      <c r="BB111" s="20">
        <v>389.0</v>
      </c>
      <c r="BC111" s="20">
        <v>400.0</v>
      </c>
      <c r="BD111" s="20" t="s">
        <v>1813</v>
      </c>
      <c r="BE111" s="20" t="s">
        <v>3788</v>
      </c>
      <c r="BF111" s="22" t="str">
        <f>HYPERLINK("http://dx.doi.org/10.1016/j.biocon.2007.07.008","http://dx.doi.org/10.1016/j.biocon.2007.07.008")</f>
        <v>http://dx.doi.org/10.1016/j.biocon.2007.07.008</v>
      </c>
      <c r="BG111" s="20" t="s">
        <v>1813</v>
      </c>
      <c r="BH111" s="20" t="s">
        <v>1813</v>
      </c>
      <c r="BI111" s="20">
        <v>12.0</v>
      </c>
      <c r="BJ111" s="20" t="s">
        <v>1860</v>
      </c>
      <c r="BK111" s="20" t="s">
        <v>1839</v>
      </c>
      <c r="BL111" s="20" t="s">
        <v>1840</v>
      </c>
      <c r="BM111" s="20" t="s">
        <v>3789</v>
      </c>
      <c r="BN111" s="20" t="s">
        <v>1813</v>
      </c>
      <c r="BO111" s="20" t="s">
        <v>1813</v>
      </c>
      <c r="BP111" s="20" t="s">
        <v>1813</v>
      </c>
      <c r="BQ111" s="20" t="s">
        <v>1813</v>
      </c>
      <c r="BR111" s="20" t="s">
        <v>1842</v>
      </c>
      <c r="BS111" s="20" t="s">
        <v>3790</v>
      </c>
      <c r="BT111" s="20" t="str">
        <f>HYPERLINK("https%3A%2F%2Fwww.webofscience.com%2Fwos%2Fwoscc%2Ffull-record%2FWOS:000250330700014","View Full Record in Web of Science")</f>
        <v>View Full Record in Web of Science</v>
      </c>
    </row>
    <row r="112" ht="12.75" customHeight="1">
      <c r="A112" s="20" t="s">
        <v>1811</v>
      </c>
      <c r="B112" s="20" t="s">
        <v>3791</v>
      </c>
      <c r="C112" s="20" t="s">
        <v>1813</v>
      </c>
      <c r="D112" s="20" t="s">
        <v>1813</v>
      </c>
      <c r="E112" s="20" t="s">
        <v>1813</v>
      </c>
      <c r="F112" s="20" t="s">
        <v>3791</v>
      </c>
      <c r="G112" s="20" t="s">
        <v>1813</v>
      </c>
      <c r="H112" s="20" t="s">
        <v>1813</v>
      </c>
      <c r="I112" s="20" t="s">
        <v>1566</v>
      </c>
      <c r="J112" s="20" t="s">
        <v>2469</v>
      </c>
      <c r="K112" s="20" t="s">
        <v>1813</v>
      </c>
      <c r="L112" s="20" t="s">
        <v>1813</v>
      </c>
      <c r="M112" s="20" t="s">
        <v>1816</v>
      </c>
      <c r="N112" s="20" t="s">
        <v>1817</v>
      </c>
      <c r="O112" s="20" t="s">
        <v>1813</v>
      </c>
      <c r="P112" s="20" t="s">
        <v>1813</v>
      </c>
      <c r="Q112" s="20" t="s">
        <v>1813</v>
      </c>
      <c r="R112" s="20" t="s">
        <v>1813</v>
      </c>
      <c r="S112" s="20" t="s">
        <v>1813</v>
      </c>
      <c r="T112" s="20" t="s">
        <v>3792</v>
      </c>
      <c r="U112" s="20" t="s">
        <v>3793</v>
      </c>
      <c r="V112" s="20" t="s">
        <v>3794</v>
      </c>
      <c r="W112" s="20" t="s">
        <v>3795</v>
      </c>
      <c r="X112" s="20" t="s">
        <v>3796</v>
      </c>
      <c r="Y112" s="20" t="s">
        <v>3797</v>
      </c>
      <c r="Z112" s="20" t="s">
        <v>3798</v>
      </c>
      <c r="AA112" s="20" t="s">
        <v>1813</v>
      </c>
      <c r="AB112" s="20" t="s">
        <v>1813</v>
      </c>
      <c r="AC112" s="20" t="s">
        <v>1813</v>
      </c>
      <c r="AD112" s="20" t="s">
        <v>1813</v>
      </c>
      <c r="AE112" s="20" t="s">
        <v>1813</v>
      </c>
      <c r="AF112" s="20" t="s">
        <v>1813</v>
      </c>
      <c r="AG112" s="20">
        <v>47.0</v>
      </c>
      <c r="AH112" s="20">
        <v>66.0</v>
      </c>
      <c r="AI112" s="20">
        <v>102.0</v>
      </c>
      <c r="AJ112" s="20">
        <v>3.0</v>
      </c>
      <c r="AK112" s="20">
        <v>78.0</v>
      </c>
      <c r="AL112" s="20" t="s">
        <v>1829</v>
      </c>
      <c r="AM112" s="20" t="s">
        <v>1830</v>
      </c>
      <c r="AN112" s="20" t="s">
        <v>1831</v>
      </c>
      <c r="AO112" s="20" t="s">
        <v>2477</v>
      </c>
      <c r="AP112" s="20" t="s">
        <v>2478</v>
      </c>
      <c r="AQ112" s="20" t="s">
        <v>1813</v>
      </c>
      <c r="AR112" s="20" t="s">
        <v>2479</v>
      </c>
      <c r="AS112" s="20" t="s">
        <v>2480</v>
      </c>
      <c r="AT112" s="20" t="s">
        <v>2527</v>
      </c>
      <c r="AU112" s="20">
        <v>1998.0</v>
      </c>
      <c r="AV112" s="20">
        <v>86.0</v>
      </c>
      <c r="AW112" s="20">
        <v>5.0</v>
      </c>
      <c r="AX112" s="20" t="s">
        <v>1813</v>
      </c>
      <c r="AY112" s="20" t="s">
        <v>1813</v>
      </c>
      <c r="AZ112" s="20" t="s">
        <v>1813</v>
      </c>
      <c r="BA112" s="20" t="s">
        <v>1813</v>
      </c>
      <c r="BB112" s="20">
        <v>794.0</v>
      </c>
      <c r="BC112" s="20">
        <v>803.0</v>
      </c>
      <c r="BD112" s="20" t="s">
        <v>1813</v>
      </c>
      <c r="BE112" s="20" t="s">
        <v>3799</v>
      </c>
      <c r="BF112" s="22" t="str">
        <f>HYPERLINK("http://dx.doi.org/10.1046/j.1365-2745.1998.8650794.x","http://dx.doi.org/10.1046/j.1365-2745.1998.8650794.x")</f>
        <v>http://dx.doi.org/10.1046/j.1365-2745.1998.8650794.x</v>
      </c>
      <c r="BG112" s="20" t="s">
        <v>1813</v>
      </c>
      <c r="BH112" s="20" t="s">
        <v>1813</v>
      </c>
      <c r="BI112" s="20">
        <v>10.0</v>
      </c>
      <c r="BJ112" s="20" t="s">
        <v>2482</v>
      </c>
      <c r="BK112" s="20" t="s">
        <v>1839</v>
      </c>
      <c r="BL112" s="20" t="s">
        <v>2483</v>
      </c>
      <c r="BM112" s="20" t="s">
        <v>3800</v>
      </c>
      <c r="BN112" s="20" t="s">
        <v>1813</v>
      </c>
      <c r="BO112" s="20" t="s">
        <v>1878</v>
      </c>
      <c r="BP112" s="20" t="s">
        <v>1813</v>
      </c>
      <c r="BQ112" s="20" t="s">
        <v>1813</v>
      </c>
      <c r="BR112" s="20" t="s">
        <v>1842</v>
      </c>
      <c r="BS112" s="20" t="s">
        <v>3801</v>
      </c>
      <c r="BT112" s="20" t="str">
        <f>HYPERLINK("https%3A%2F%2Fwww.webofscience.com%2Fwos%2Fwoscc%2Ffull-record%2FWOS:000076782200006","View Full Record in Web of Science")</f>
        <v>View Full Record in Web of Science</v>
      </c>
    </row>
    <row r="113" ht="12.75" customHeight="1">
      <c r="A113" s="20" t="s">
        <v>1811</v>
      </c>
      <c r="B113" s="20" t="s">
        <v>3802</v>
      </c>
      <c r="C113" s="20" t="s">
        <v>1813</v>
      </c>
      <c r="D113" s="20" t="s">
        <v>1813</v>
      </c>
      <c r="E113" s="20" t="s">
        <v>1813</v>
      </c>
      <c r="F113" s="20" t="s">
        <v>3803</v>
      </c>
      <c r="G113" s="20" t="s">
        <v>1813</v>
      </c>
      <c r="H113" s="20" t="s">
        <v>1813</v>
      </c>
      <c r="I113" s="20" t="s">
        <v>1600</v>
      </c>
      <c r="J113" s="20" t="s">
        <v>2377</v>
      </c>
      <c r="K113" s="20" t="s">
        <v>1813</v>
      </c>
      <c r="L113" s="20" t="s">
        <v>1813</v>
      </c>
      <c r="M113" s="20" t="s">
        <v>1816</v>
      </c>
      <c r="N113" s="20" t="s">
        <v>1817</v>
      </c>
      <c r="O113" s="20" t="s">
        <v>1813</v>
      </c>
      <c r="P113" s="20" t="s">
        <v>1813</v>
      </c>
      <c r="Q113" s="20" t="s">
        <v>1813</v>
      </c>
      <c r="R113" s="20" t="s">
        <v>1813</v>
      </c>
      <c r="S113" s="20" t="s">
        <v>1813</v>
      </c>
      <c r="T113" s="20" t="s">
        <v>3804</v>
      </c>
      <c r="U113" s="20" t="s">
        <v>3805</v>
      </c>
      <c r="V113" s="20" t="s">
        <v>3806</v>
      </c>
      <c r="W113" s="20" t="s">
        <v>3807</v>
      </c>
      <c r="X113" s="20" t="s">
        <v>3808</v>
      </c>
      <c r="Y113" s="20" t="s">
        <v>3809</v>
      </c>
      <c r="Z113" s="20" t="s">
        <v>3810</v>
      </c>
      <c r="AA113" s="20" t="s">
        <v>3811</v>
      </c>
      <c r="AB113" s="20" t="s">
        <v>1813</v>
      </c>
      <c r="AC113" s="20" t="s">
        <v>3812</v>
      </c>
      <c r="AD113" s="20" t="s">
        <v>3813</v>
      </c>
      <c r="AE113" s="20" t="s">
        <v>3814</v>
      </c>
      <c r="AF113" s="20" t="s">
        <v>1813</v>
      </c>
      <c r="AG113" s="20">
        <v>35.0</v>
      </c>
      <c r="AH113" s="20">
        <v>28.0</v>
      </c>
      <c r="AI113" s="20">
        <v>44.0</v>
      </c>
      <c r="AJ113" s="20">
        <v>3.0</v>
      </c>
      <c r="AK113" s="20">
        <v>126.0</v>
      </c>
      <c r="AL113" s="20" t="s">
        <v>3815</v>
      </c>
      <c r="AM113" s="20" t="s">
        <v>2391</v>
      </c>
      <c r="AN113" s="20" t="s">
        <v>3816</v>
      </c>
      <c r="AO113" s="20" t="s">
        <v>2393</v>
      </c>
      <c r="AP113" s="20" t="s">
        <v>1813</v>
      </c>
      <c r="AQ113" s="20" t="s">
        <v>1813</v>
      </c>
      <c r="AR113" s="20" t="s">
        <v>2394</v>
      </c>
      <c r="AS113" s="20" t="s">
        <v>2395</v>
      </c>
      <c r="AT113" s="20" t="s">
        <v>1858</v>
      </c>
      <c r="AU113" s="20">
        <v>2013.0</v>
      </c>
      <c r="AV113" s="20">
        <v>28.0</v>
      </c>
      <c r="AW113" s="20">
        <v>1.0</v>
      </c>
      <c r="AX113" s="20" t="s">
        <v>1813</v>
      </c>
      <c r="AY113" s="20" t="s">
        <v>1813</v>
      </c>
      <c r="AZ113" s="20" t="s">
        <v>1813</v>
      </c>
      <c r="BA113" s="20" t="s">
        <v>1813</v>
      </c>
      <c r="BB113" s="20">
        <v>21.0</v>
      </c>
      <c r="BC113" s="20">
        <v>28.0</v>
      </c>
      <c r="BD113" s="20" t="s">
        <v>1813</v>
      </c>
      <c r="BE113" s="20" t="s">
        <v>3817</v>
      </c>
      <c r="BF113" s="22" t="str">
        <f>HYPERLINK("http://dx.doi.org/10.1007/s11284-012-0994-9","http://dx.doi.org/10.1007/s11284-012-0994-9")</f>
        <v>http://dx.doi.org/10.1007/s11284-012-0994-9</v>
      </c>
      <c r="BG113" s="20" t="s">
        <v>1813</v>
      </c>
      <c r="BH113" s="20" t="s">
        <v>1813</v>
      </c>
      <c r="BI113" s="20">
        <v>8.0</v>
      </c>
      <c r="BJ113" s="20" t="s">
        <v>1899</v>
      </c>
      <c r="BK113" s="20" t="s">
        <v>1839</v>
      </c>
      <c r="BL113" s="20" t="s">
        <v>1900</v>
      </c>
      <c r="BM113" s="20" t="s">
        <v>3818</v>
      </c>
      <c r="BN113" s="20" t="s">
        <v>1813</v>
      </c>
      <c r="BO113" s="20" t="s">
        <v>1813</v>
      </c>
      <c r="BP113" s="20" t="s">
        <v>1813</v>
      </c>
      <c r="BQ113" s="20" t="s">
        <v>1813</v>
      </c>
      <c r="BR113" s="20" t="s">
        <v>1842</v>
      </c>
      <c r="BS113" s="20" t="s">
        <v>3819</v>
      </c>
      <c r="BT113" s="20" t="str">
        <f>HYPERLINK("https%3A%2F%2Fwww.webofscience.com%2Fwos%2Fwoscc%2Ffull-record%2FWOS:000313951000003","View Full Record in Web of Science")</f>
        <v>View Full Record in Web of Science</v>
      </c>
    </row>
    <row r="114" ht="12.75" customHeight="1">
      <c r="A114" s="20" t="s">
        <v>1811</v>
      </c>
      <c r="B114" s="20" t="s">
        <v>3820</v>
      </c>
      <c r="C114" s="20" t="s">
        <v>1813</v>
      </c>
      <c r="D114" s="20" t="s">
        <v>1813</v>
      </c>
      <c r="E114" s="20" t="s">
        <v>1813</v>
      </c>
      <c r="F114" s="20" t="s">
        <v>3821</v>
      </c>
      <c r="G114" s="20" t="s">
        <v>1813</v>
      </c>
      <c r="H114" s="20" t="s">
        <v>1813</v>
      </c>
      <c r="I114" s="20" t="s">
        <v>3822</v>
      </c>
      <c r="J114" s="20" t="s">
        <v>3823</v>
      </c>
      <c r="K114" s="20" t="s">
        <v>1813</v>
      </c>
      <c r="L114" s="20" t="s">
        <v>1813</v>
      </c>
      <c r="M114" s="20" t="s">
        <v>1816</v>
      </c>
      <c r="N114" s="20" t="s">
        <v>1817</v>
      </c>
      <c r="O114" s="20" t="s">
        <v>1813</v>
      </c>
      <c r="P114" s="20" t="s">
        <v>1813</v>
      </c>
      <c r="Q114" s="20" t="s">
        <v>1813</v>
      </c>
      <c r="R114" s="20" t="s">
        <v>1813</v>
      </c>
      <c r="S114" s="20" t="s">
        <v>1813</v>
      </c>
      <c r="T114" s="20" t="s">
        <v>3824</v>
      </c>
      <c r="U114" s="20" t="s">
        <v>3825</v>
      </c>
      <c r="V114" s="20" t="s">
        <v>3826</v>
      </c>
      <c r="W114" s="20" t="s">
        <v>3827</v>
      </c>
      <c r="X114" s="20" t="s">
        <v>3828</v>
      </c>
      <c r="Y114" s="20" t="s">
        <v>3829</v>
      </c>
      <c r="Z114" s="20" t="s">
        <v>3830</v>
      </c>
      <c r="AA114" s="20" t="s">
        <v>3831</v>
      </c>
      <c r="AB114" s="20" t="s">
        <v>3832</v>
      </c>
      <c r="AC114" s="20" t="s">
        <v>3833</v>
      </c>
      <c r="AD114" s="20" t="s">
        <v>3834</v>
      </c>
      <c r="AE114" s="20" t="s">
        <v>3835</v>
      </c>
      <c r="AF114" s="20" t="s">
        <v>1813</v>
      </c>
      <c r="AG114" s="20">
        <v>67.0</v>
      </c>
      <c r="AH114" s="20">
        <v>38.0</v>
      </c>
      <c r="AI114" s="20">
        <v>42.0</v>
      </c>
      <c r="AJ114" s="20">
        <v>0.0</v>
      </c>
      <c r="AK114" s="20">
        <v>34.0</v>
      </c>
      <c r="AL114" s="20" t="s">
        <v>2591</v>
      </c>
      <c r="AM114" s="20" t="s">
        <v>1830</v>
      </c>
      <c r="AN114" s="20" t="s">
        <v>1831</v>
      </c>
      <c r="AO114" s="20" t="s">
        <v>3836</v>
      </c>
      <c r="AP114" s="20" t="s">
        <v>3837</v>
      </c>
      <c r="AQ114" s="20" t="s">
        <v>1813</v>
      </c>
      <c r="AR114" s="20" t="s">
        <v>3838</v>
      </c>
      <c r="AS114" s="20" t="s">
        <v>3839</v>
      </c>
      <c r="AT114" s="20" t="s">
        <v>2527</v>
      </c>
      <c r="AU114" s="20">
        <v>2009.0</v>
      </c>
      <c r="AV114" s="20">
        <v>45.0</v>
      </c>
      <c r="AW114" s="20">
        <v>5.0</v>
      </c>
      <c r="AX114" s="20" t="s">
        <v>1813</v>
      </c>
      <c r="AY114" s="20" t="s">
        <v>1813</v>
      </c>
      <c r="AZ114" s="20" t="s">
        <v>1813</v>
      </c>
      <c r="BA114" s="20" t="s">
        <v>1813</v>
      </c>
      <c r="BB114" s="20">
        <v>1010.0</v>
      </c>
      <c r="BC114" s="20">
        <v>1020.0</v>
      </c>
      <c r="BD114" s="20" t="s">
        <v>1813</v>
      </c>
      <c r="BE114" s="20" t="s">
        <v>3840</v>
      </c>
      <c r="BF114" s="22" t="str">
        <f>HYPERLINK("http://dx.doi.org/10.1111/j.1529-8817.2009.00745.x","http://dx.doi.org/10.1111/j.1529-8817.2009.00745.x")</f>
        <v>http://dx.doi.org/10.1111/j.1529-8817.2009.00745.x</v>
      </c>
      <c r="BG114" s="20" t="s">
        <v>1813</v>
      </c>
      <c r="BH114" s="20" t="s">
        <v>1813</v>
      </c>
      <c r="BI114" s="20">
        <v>11.0</v>
      </c>
      <c r="BJ114" s="20" t="s">
        <v>3841</v>
      </c>
      <c r="BK114" s="20" t="s">
        <v>1839</v>
      </c>
      <c r="BL114" s="20" t="s">
        <v>3841</v>
      </c>
      <c r="BM114" s="20" t="s">
        <v>3842</v>
      </c>
      <c r="BN114" s="20">
        <v>2.7032345E7</v>
      </c>
      <c r="BO114" s="20" t="s">
        <v>1813</v>
      </c>
      <c r="BP114" s="20" t="s">
        <v>1813</v>
      </c>
      <c r="BQ114" s="20" t="s">
        <v>1813</v>
      </c>
      <c r="BR114" s="20" t="s">
        <v>1842</v>
      </c>
      <c r="BS114" s="20" t="s">
        <v>3843</v>
      </c>
      <c r="BT114" s="20" t="str">
        <f>HYPERLINK("https%3A%2F%2Fwww.webofscience.com%2Fwos%2Fwoscc%2Ffull-record%2FWOS:000270901800003","View Full Record in Web of Science")</f>
        <v>View Full Record in Web of Science</v>
      </c>
    </row>
    <row r="115" ht="12.75" customHeight="1">
      <c r="A115" s="20" t="s">
        <v>1811</v>
      </c>
      <c r="B115" s="20" t="s">
        <v>3844</v>
      </c>
      <c r="C115" s="20" t="s">
        <v>1813</v>
      </c>
      <c r="D115" s="20" t="s">
        <v>1813</v>
      </c>
      <c r="E115" s="20" t="s">
        <v>1813</v>
      </c>
      <c r="F115" s="20" t="s">
        <v>3844</v>
      </c>
      <c r="G115" s="20" t="s">
        <v>1813</v>
      </c>
      <c r="H115" s="20" t="s">
        <v>1813</v>
      </c>
      <c r="I115" s="20" t="s">
        <v>1355</v>
      </c>
      <c r="J115" s="20" t="s">
        <v>2546</v>
      </c>
      <c r="K115" s="20" t="s">
        <v>1813</v>
      </c>
      <c r="L115" s="20" t="s">
        <v>1813</v>
      </c>
      <c r="M115" s="20" t="s">
        <v>1816</v>
      </c>
      <c r="N115" s="20" t="s">
        <v>1817</v>
      </c>
      <c r="O115" s="20" t="s">
        <v>1813</v>
      </c>
      <c r="P115" s="20" t="s">
        <v>1813</v>
      </c>
      <c r="Q115" s="20" t="s">
        <v>1813</v>
      </c>
      <c r="R115" s="20" t="s">
        <v>1813</v>
      </c>
      <c r="S115" s="20" t="s">
        <v>1813</v>
      </c>
      <c r="T115" s="20" t="s">
        <v>3845</v>
      </c>
      <c r="U115" s="20" t="s">
        <v>3846</v>
      </c>
      <c r="V115" s="20" t="s">
        <v>3847</v>
      </c>
      <c r="W115" s="20" t="s">
        <v>3848</v>
      </c>
      <c r="X115" s="20" t="s">
        <v>3849</v>
      </c>
      <c r="Y115" s="20" t="s">
        <v>3850</v>
      </c>
      <c r="Z115" s="20" t="s">
        <v>3851</v>
      </c>
      <c r="AA115" s="20" t="s">
        <v>3852</v>
      </c>
      <c r="AB115" s="20" t="s">
        <v>3853</v>
      </c>
      <c r="AC115" s="20" t="s">
        <v>1813</v>
      </c>
      <c r="AD115" s="20" t="s">
        <v>1813</v>
      </c>
      <c r="AE115" s="20" t="s">
        <v>1813</v>
      </c>
      <c r="AF115" s="20" t="s">
        <v>1813</v>
      </c>
      <c r="AG115" s="20">
        <v>63.0</v>
      </c>
      <c r="AH115" s="20">
        <v>44.0</v>
      </c>
      <c r="AI115" s="20">
        <v>55.0</v>
      </c>
      <c r="AJ115" s="20">
        <v>0.0</v>
      </c>
      <c r="AK115" s="20">
        <v>63.0</v>
      </c>
      <c r="AL115" s="20" t="s">
        <v>1852</v>
      </c>
      <c r="AM115" s="20" t="s">
        <v>2559</v>
      </c>
      <c r="AN115" s="20" t="s">
        <v>2560</v>
      </c>
      <c r="AO115" s="20" t="s">
        <v>2561</v>
      </c>
      <c r="AP115" s="20" t="s">
        <v>2562</v>
      </c>
      <c r="AQ115" s="20" t="s">
        <v>1813</v>
      </c>
      <c r="AR115" s="20" t="s">
        <v>2546</v>
      </c>
      <c r="AS115" s="20" t="s">
        <v>2563</v>
      </c>
      <c r="AT115" s="20" t="s">
        <v>2396</v>
      </c>
      <c r="AU115" s="20">
        <v>2006.0</v>
      </c>
      <c r="AV115" s="20">
        <v>148.0</v>
      </c>
      <c r="AW115" s="20">
        <v>1.0</v>
      </c>
      <c r="AX115" s="20" t="s">
        <v>1813</v>
      </c>
      <c r="AY115" s="20" t="s">
        <v>1813</v>
      </c>
      <c r="AZ115" s="20" t="s">
        <v>1813</v>
      </c>
      <c r="BA115" s="20" t="s">
        <v>1813</v>
      </c>
      <c r="BB115" s="20">
        <v>144.0</v>
      </c>
      <c r="BC115" s="20">
        <v>152.0</v>
      </c>
      <c r="BD115" s="20" t="s">
        <v>1813</v>
      </c>
      <c r="BE115" s="20" t="s">
        <v>3854</v>
      </c>
      <c r="BF115" s="22" t="str">
        <f>HYPERLINK("http://dx.doi.org/10.1007/s00442-005-0341-8","http://dx.doi.org/10.1007/s00442-005-0341-8")</f>
        <v>http://dx.doi.org/10.1007/s00442-005-0341-8</v>
      </c>
      <c r="BG115" s="20" t="s">
        <v>1813</v>
      </c>
      <c r="BH115" s="20" t="s">
        <v>1813</v>
      </c>
      <c r="BI115" s="20">
        <v>9.0</v>
      </c>
      <c r="BJ115" s="20" t="s">
        <v>1899</v>
      </c>
      <c r="BK115" s="20" t="s">
        <v>1839</v>
      </c>
      <c r="BL115" s="20" t="s">
        <v>1900</v>
      </c>
      <c r="BM115" s="20" t="s">
        <v>3855</v>
      </c>
      <c r="BN115" s="20">
        <v>1.6429312E7</v>
      </c>
      <c r="BO115" s="20" t="s">
        <v>3048</v>
      </c>
      <c r="BP115" s="20" t="s">
        <v>1813</v>
      </c>
      <c r="BQ115" s="20" t="s">
        <v>1813</v>
      </c>
      <c r="BR115" s="20" t="s">
        <v>1842</v>
      </c>
      <c r="BS115" s="20" t="s">
        <v>3856</v>
      </c>
      <c r="BT115" s="20" t="str">
        <f>HYPERLINK("https%3A%2F%2Fwww.webofscience.com%2Fwos%2Fwoscc%2Ffull-record%2FWOS:000236968700016","View Full Record in Web of Science")</f>
        <v>View Full Record in Web of Science</v>
      </c>
    </row>
    <row r="116" ht="12.75" customHeight="1">
      <c r="A116" s="20" t="s">
        <v>1811</v>
      </c>
      <c r="B116" s="20" t="s">
        <v>3857</v>
      </c>
      <c r="C116" s="20" t="s">
        <v>1813</v>
      </c>
      <c r="D116" s="20" t="s">
        <v>1813</v>
      </c>
      <c r="E116" s="20" t="s">
        <v>1813</v>
      </c>
      <c r="F116" s="20" t="s">
        <v>3858</v>
      </c>
      <c r="G116" s="20" t="s">
        <v>1813</v>
      </c>
      <c r="H116" s="20" t="s">
        <v>1813</v>
      </c>
      <c r="I116" s="20" t="s">
        <v>3859</v>
      </c>
      <c r="J116" s="20" t="s">
        <v>2192</v>
      </c>
      <c r="K116" s="20" t="s">
        <v>1813</v>
      </c>
      <c r="L116" s="20" t="s">
        <v>1813</v>
      </c>
      <c r="M116" s="20" t="s">
        <v>1816</v>
      </c>
      <c r="N116" s="20" t="s">
        <v>1817</v>
      </c>
      <c r="O116" s="20" t="s">
        <v>1813</v>
      </c>
      <c r="P116" s="20" t="s">
        <v>1813</v>
      </c>
      <c r="Q116" s="20" t="s">
        <v>1813</v>
      </c>
      <c r="R116" s="20" t="s">
        <v>1813</v>
      </c>
      <c r="S116" s="20" t="s">
        <v>1813</v>
      </c>
      <c r="T116" s="20" t="s">
        <v>1813</v>
      </c>
      <c r="U116" s="20" t="s">
        <v>3860</v>
      </c>
      <c r="V116" s="20" t="s">
        <v>3861</v>
      </c>
      <c r="W116" s="20" t="s">
        <v>3862</v>
      </c>
      <c r="X116" s="20" t="s">
        <v>3863</v>
      </c>
      <c r="Y116" s="20" t="s">
        <v>3864</v>
      </c>
      <c r="Z116" s="20" t="s">
        <v>3865</v>
      </c>
      <c r="AA116" s="20" t="s">
        <v>1813</v>
      </c>
      <c r="AB116" s="20" t="s">
        <v>3866</v>
      </c>
      <c r="AC116" s="20" t="s">
        <v>3867</v>
      </c>
      <c r="AD116" s="20" t="s">
        <v>3868</v>
      </c>
      <c r="AE116" s="20" t="s">
        <v>3869</v>
      </c>
      <c r="AF116" s="20" t="s">
        <v>1813</v>
      </c>
      <c r="AG116" s="20">
        <v>36.0</v>
      </c>
      <c r="AH116" s="20">
        <v>34.0</v>
      </c>
      <c r="AI116" s="20">
        <v>38.0</v>
      </c>
      <c r="AJ116" s="20">
        <v>0.0</v>
      </c>
      <c r="AK116" s="20">
        <v>39.0</v>
      </c>
      <c r="AL116" s="20" t="s">
        <v>2204</v>
      </c>
      <c r="AM116" s="20" t="s">
        <v>2205</v>
      </c>
      <c r="AN116" s="20" t="s">
        <v>2206</v>
      </c>
      <c r="AO116" s="20" t="s">
        <v>2207</v>
      </c>
      <c r="AP116" s="20" t="s">
        <v>1813</v>
      </c>
      <c r="AQ116" s="20" t="s">
        <v>1813</v>
      </c>
      <c r="AR116" s="20" t="s">
        <v>2192</v>
      </c>
      <c r="AS116" s="20" t="s">
        <v>2208</v>
      </c>
      <c r="AT116" s="20" t="s">
        <v>3870</v>
      </c>
      <c r="AU116" s="20">
        <v>2010.0</v>
      </c>
      <c r="AV116" s="20">
        <v>5.0</v>
      </c>
      <c r="AW116" s="20">
        <v>3.0</v>
      </c>
      <c r="AX116" s="20" t="s">
        <v>1813</v>
      </c>
      <c r="AY116" s="20" t="s">
        <v>1813</v>
      </c>
      <c r="AZ116" s="20" t="s">
        <v>1813</v>
      </c>
      <c r="BA116" s="20" t="s">
        <v>1813</v>
      </c>
      <c r="BB116" s="20" t="s">
        <v>1813</v>
      </c>
      <c r="BC116" s="20" t="s">
        <v>1813</v>
      </c>
      <c r="BD116" s="20" t="s">
        <v>3871</v>
      </c>
      <c r="BE116" s="20" t="s">
        <v>3872</v>
      </c>
      <c r="BF116" s="22" t="str">
        <f>HYPERLINK("http://dx.doi.org/10.1371/journal.pone.0009534","http://dx.doi.org/10.1371/journal.pone.0009534")</f>
        <v>http://dx.doi.org/10.1371/journal.pone.0009534</v>
      </c>
      <c r="BG116" s="20" t="s">
        <v>1813</v>
      </c>
      <c r="BH116" s="20" t="s">
        <v>1813</v>
      </c>
      <c r="BI116" s="20">
        <v>8.0</v>
      </c>
      <c r="BJ116" s="20" t="s">
        <v>1966</v>
      </c>
      <c r="BK116" s="20" t="s">
        <v>1839</v>
      </c>
      <c r="BL116" s="20" t="s">
        <v>1967</v>
      </c>
      <c r="BM116" s="20" t="s">
        <v>3873</v>
      </c>
      <c r="BN116" s="20">
        <v>2.0224772E7</v>
      </c>
      <c r="BO116" s="20" t="s">
        <v>2213</v>
      </c>
      <c r="BP116" s="20" t="s">
        <v>1813</v>
      </c>
      <c r="BQ116" s="20" t="s">
        <v>1813</v>
      </c>
      <c r="BR116" s="20" t="s">
        <v>1842</v>
      </c>
      <c r="BS116" s="20" t="s">
        <v>3874</v>
      </c>
      <c r="BT116" s="20" t="str">
        <f>HYPERLINK("https%3A%2F%2Fwww.webofscience.com%2Fwos%2Fwoscc%2Ffull-record%2FWOS:000275328800006","View Full Record in Web of Science")</f>
        <v>View Full Record in Web of Science</v>
      </c>
    </row>
    <row r="117" ht="12.75" customHeight="1">
      <c r="A117" s="20" t="s">
        <v>1811</v>
      </c>
      <c r="B117" s="20" t="s">
        <v>3875</v>
      </c>
      <c r="C117" s="20" t="s">
        <v>1813</v>
      </c>
      <c r="D117" s="20" t="s">
        <v>1813</v>
      </c>
      <c r="E117" s="20" t="s">
        <v>1813</v>
      </c>
      <c r="F117" s="20" t="s">
        <v>3876</v>
      </c>
      <c r="G117" s="20" t="s">
        <v>1813</v>
      </c>
      <c r="H117" s="20" t="s">
        <v>1813</v>
      </c>
      <c r="I117" s="20" t="s">
        <v>1290</v>
      </c>
      <c r="J117" s="20" t="s">
        <v>1845</v>
      </c>
      <c r="K117" s="20" t="s">
        <v>1813</v>
      </c>
      <c r="L117" s="20" t="s">
        <v>1813</v>
      </c>
      <c r="M117" s="20" t="s">
        <v>1816</v>
      </c>
      <c r="N117" s="20" t="s">
        <v>1817</v>
      </c>
      <c r="O117" s="20" t="s">
        <v>1813</v>
      </c>
      <c r="P117" s="20" t="s">
        <v>1813</v>
      </c>
      <c r="Q117" s="20" t="s">
        <v>1813</v>
      </c>
      <c r="R117" s="20" t="s">
        <v>1813</v>
      </c>
      <c r="S117" s="20" t="s">
        <v>1813</v>
      </c>
      <c r="T117" s="20" t="s">
        <v>3877</v>
      </c>
      <c r="U117" s="20" t="s">
        <v>3878</v>
      </c>
      <c r="V117" s="20" t="s">
        <v>3879</v>
      </c>
      <c r="W117" s="20" t="s">
        <v>3880</v>
      </c>
      <c r="X117" s="20" t="s">
        <v>3881</v>
      </c>
      <c r="Y117" s="20" t="s">
        <v>3882</v>
      </c>
      <c r="Z117" s="20" t="s">
        <v>3883</v>
      </c>
      <c r="AA117" s="20" t="s">
        <v>3884</v>
      </c>
      <c r="AB117" s="20" t="s">
        <v>1813</v>
      </c>
      <c r="AC117" s="20" t="s">
        <v>1813</v>
      </c>
      <c r="AD117" s="20" t="s">
        <v>1813</v>
      </c>
      <c r="AE117" s="20" t="s">
        <v>1813</v>
      </c>
      <c r="AF117" s="20" t="s">
        <v>1813</v>
      </c>
      <c r="AG117" s="20">
        <v>30.0</v>
      </c>
      <c r="AH117" s="20">
        <v>55.0</v>
      </c>
      <c r="AI117" s="20">
        <v>76.0</v>
      </c>
      <c r="AJ117" s="20">
        <v>2.0</v>
      </c>
      <c r="AK117" s="20">
        <v>71.0</v>
      </c>
      <c r="AL117" s="20" t="s">
        <v>1852</v>
      </c>
      <c r="AM117" s="20" t="s">
        <v>1853</v>
      </c>
      <c r="AN117" s="20" t="s">
        <v>1854</v>
      </c>
      <c r="AO117" s="20" t="s">
        <v>1855</v>
      </c>
      <c r="AP117" s="20" t="s">
        <v>1813</v>
      </c>
      <c r="AQ117" s="20" t="s">
        <v>1813</v>
      </c>
      <c r="AR117" s="20" t="s">
        <v>1856</v>
      </c>
      <c r="AS117" s="20" t="s">
        <v>1857</v>
      </c>
      <c r="AT117" s="20" t="s">
        <v>2185</v>
      </c>
      <c r="AU117" s="20">
        <v>2007.0</v>
      </c>
      <c r="AV117" s="20">
        <v>16.0</v>
      </c>
      <c r="AW117" s="20">
        <v>8.0</v>
      </c>
      <c r="AX117" s="20" t="s">
        <v>1813</v>
      </c>
      <c r="AY117" s="20" t="s">
        <v>1813</v>
      </c>
      <c r="AZ117" s="20" t="s">
        <v>1813</v>
      </c>
      <c r="BA117" s="20" t="s">
        <v>1813</v>
      </c>
      <c r="BB117" s="20">
        <v>2245.0</v>
      </c>
      <c r="BC117" s="20">
        <v>2256.0</v>
      </c>
      <c r="BD117" s="20" t="s">
        <v>1813</v>
      </c>
      <c r="BE117" s="20" t="s">
        <v>3885</v>
      </c>
      <c r="BF117" s="22" t="str">
        <f>HYPERLINK("http://dx.doi.org/10.1007/s10531-007-9193-3","http://dx.doi.org/10.1007/s10531-007-9193-3")</f>
        <v>http://dx.doi.org/10.1007/s10531-007-9193-3</v>
      </c>
      <c r="BG117" s="20" t="s">
        <v>1813</v>
      </c>
      <c r="BH117" s="20" t="s">
        <v>1813</v>
      </c>
      <c r="BI117" s="20">
        <v>12.0</v>
      </c>
      <c r="BJ117" s="20" t="s">
        <v>1860</v>
      </c>
      <c r="BK117" s="20" t="s">
        <v>1839</v>
      </c>
      <c r="BL117" s="20" t="s">
        <v>1840</v>
      </c>
      <c r="BM117" s="20" t="s">
        <v>3886</v>
      </c>
      <c r="BN117" s="20" t="s">
        <v>1813</v>
      </c>
      <c r="BO117" s="20" t="s">
        <v>1813</v>
      </c>
      <c r="BP117" s="20" t="s">
        <v>1813</v>
      </c>
      <c r="BQ117" s="20" t="s">
        <v>1813</v>
      </c>
      <c r="BR117" s="20" t="s">
        <v>1842</v>
      </c>
      <c r="BS117" s="20" t="s">
        <v>3887</v>
      </c>
      <c r="BT117" s="20" t="str">
        <f>HYPERLINK("https%3A%2F%2Fwww.webofscience.com%2Fwos%2Fwoscc%2Ffull-record%2FWOS:000247932200002","View Full Record in Web of Science")</f>
        <v>View Full Record in Web of Science</v>
      </c>
    </row>
    <row r="118" ht="12.75" customHeight="1">
      <c r="A118" s="20" t="s">
        <v>1811</v>
      </c>
      <c r="B118" s="20" t="s">
        <v>3888</v>
      </c>
      <c r="C118" s="20" t="s">
        <v>1813</v>
      </c>
      <c r="D118" s="20" t="s">
        <v>1813</v>
      </c>
      <c r="E118" s="20" t="s">
        <v>1813</v>
      </c>
      <c r="F118" s="20" t="s">
        <v>3889</v>
      </c>
      <c r="G118" s="20" t="s">
        <v>1813</v>
      </c>
      <c r="H118" s="20" t="s">
        <v>1813</v>
      </c>
      <c r="I118" s="20" t="s">
        <v>1505</v>
      </c>
      <c r="J118" s="20" t="s">
        <v>2680</v>
      </c>
      <c r="K118" s="20" t="s">
        <v>1813</v>
      </c>
      <c r="L118" s="20" t="s">
        <v>1813</v>
      </c>
      <c r="M118" s="20" t="s">
        <v>1816</v>
      </c>
      <c r="N118" s="20" t="s">
        <v>1817</v>
      </c>
      <c r="O118" s="20" t="s">
        <v>1813</v>
      </c>
      <c r="P118" s="20" t="s">
        <v>1813</v>
      </c>
      <c r="Q118" s="20" t="s">
        <v>1813</v>
      </c>
      <c r="R118" s="20" t="s">
        <v>1813</v>
      </c>
      <c r="S118" s="20" t="s">
        <v>1813</v>
      </c>
      <c r="T118" s="20" t="s">
        <v>3890</v>
      </c>
      <c r="U118" s="20" t="s">
        <v>3891</v>
      </c>
      <c r="V118" s="20" t="s">
        <v>3892</v>
      </c>
      <c r="W118" s="20" t="s">
        <v>3893</v>
      </c>
      <c r="X118" s="20" t="s">
        <v>3894</v>
      </c>
      <c r="Y118" s="20" t="s">
        <v>3895</v>
      </c>
      <c r="Z118" s="20" t="s">
        <v>3896</v>
      </c>
      <c r="AA118" s="20" t="s">
        <v>3897</v>
      </c>
      <c r="AB118" s="20" t="s">
        <v>1813</v>
      </c>
      <c r="AC118" s="20" t="s">
        <v>3898</v>
      </c>
      <c r="AD118" s="20" t="s">
        <v>3898</v>
      </c>
      <c r="AE118" s="20" t="s">
        <v>3899</v>
      </c>
      <c r="AF118" s="20" t="s">
        <v>1813</v>
      </c>
      <c r="AG118" s="20">
        <v>70.0</v>
      </c>
      <c r="AH118" s="20">
        <v>175.0</v>
      </c>
      <c r="AI118" s="20">
        <v>242.0</v>
      </c>
      <c r="AJ118" s="20">
        <v>3.0</v>
      </c>
      <c r="AK118" s="20">
        <v>240.0</v>
      </c>
      <c r="AL118" s="20" t="s">
        <v>2591</v>
      </c>
      <c r="AM118" s="20" t="s">
        <v>1830</v>
      </c>
      <c r="AN118" s="20" t="s">
        <v>1831</v>
      </c>
      <c r="AO118" s="20" t="s">
        <v>2691</v>
      </c>
      <c r="AP118" s="20" t="s">
        <v>3608</v>
      </c>
      <c r="AQ118" s="20" t="s">
        <v>1813</v>
      </c>
      <c r="AR118" s="20" t="s">
        <v>2692</v>
      </c>
      <c r="AS118" s="20" t="s">
        <v>2693</v>
      </c>
      <c r="AT118" s="20" t="s">
        <v>1916</v>
      </c>
      <c r="AU118" s="20">
        <v>2012.0</v>
      </c>
      <c r="AV118" s="20">
        <v>22.0</v>
      </c>
      <c r="AW118" s="20">
        <v>8.0</v>
      </c>
      <c r="AX118" s="20" t="s">
        <v>1813</v>
      </c>
      <c r="AY118" s="20" t="s">
        <v>1813</v>
      </c>
      <c r="AZ118" s="20" t="s">
        <v>1813</v>
      </c>
      <c r="BA118" s="20" t="s">
        <v>1813</v>
      </c>
      <c r="BB118" s="20">
        <v>2176.0</v>
      </c>
      <c r="BC118" s="20">
        <v>2187.0</v>
      </c>
      <c r="BD118" s="20" t="s">
        <v>1813</v>
      </c>
      <c r="BE118" s="20" t="s">
        <v>3900</v>
      </c>
      <c r="BF118" s="22" t="str">
        <f>HYPERLINK("http://dx.doi.org/10.1890/12-0318.1","http://dx.doi.org/10.1890/12-0318.1")</f>
        <v>http://dx.doi.org/10.1890/12-0318.1</v>
      </c>
      <c r="BG118" s="20" t="s">
        <v>1813</v>
      </c>
      <c r="BH118" s="20" t="s">
        <v>1813</v>
      </c>
      <c r="BI118" s="20">
        <v>12.0</v>
      </c>
      <c r="BJ118" s="20" t="s">
        <v>2653</v>
      </c>
      <c r="BK118" s="20" t="s">
        <v>1839</v>
      </c>
      <c r="BL118" s="20" t="s">
        <v>1900</v>
      </c>
      <c r="BM118" s="20" t="s">
        <v>3901</v>
      </c>
      <c r="BN118" s="20">
        <v>2.3387118E7</v>
      </c>
      <c r="BO118" s="20" t="s">
        <v>1813</v>
      </c>
      <c r="BP118" s="20" t="s">
        <v>1813</v>
      </c>
      <c r="BQ118" s="20" t="s">
        <v>1813</v>
      </c>
      <c r="BR118" s="20" t="s">
        <v>1842</v>
      </c>
      <c r="BS118" s="20" t="s">
        <v>3902</v>
      </c>
      <c r="BT118" s="20" t="str">
        <f>HYPERLINK("https%3A%2F%2Fwww.webofscience.com%2Fwos%2Fwoscc%2Ffull-record%2FWOS:000312587300011","View Full Record in Web of Science")</f>
        <v>View Full Record in Web of Science</v>
      </c>
    </row>
    <row r="119" ht="12.75" customHeight="1">
      <c r="A119" s="20" t="s">
        <v>1811</v>
      </c>
      <c r="B119" s="20" t="s">
        <v>3903</v>
      </c>
      <c r="C119" s="20" t="s">
        <v>1813</v>
      </c>
      <c r="D119" s="20" t="s">
        <v>1813</v>
      </c>
      <c r="E119" s="20" t="s">
        <v>1813</v>
      </c>
      <c r="F119" s="20" t="s">
        <v>3903</v>
      </c>
      <c r="G119" s="20" t="s">
        <v>1813</v>
      </c>
      <c r="H119" s="20" t="s">
        <v>1813</v>
      </c>
      <c r="I119" s="20" t="s">
        <v>3904</v>
      </c>
      <c r="J119" s="20" t="s">
        <v>2170</v>
      </c>
      <c r="K119" s="20" t="s">
        <v>1813</v>
      </c>
      <c r="L119" s="20" t="s">
        <v>1813</v>
      </c>
      <c r="M119" s="20" t="s">
        <v>1816</v>
      </c>
      <c r="N119" s="20" t="s">
        <v>1817</v>
      </c>
      <c r="O119" s="20" t="s">
        <v>1813</v>
      </c>
      <c r="P119" s="20" t="s">
        <v>1813</v>
      </c>
      <c r="Q119" s="20" t="s">
        <v>1813</v>
      </c>
      <c r="R119" s="20" t="s">
        <v>1813</v>
      </c>
      <c r="S119" s="20" t="s">
        <v>1813</v>
      </c>
      <c r="T119" s="20" t="s">
        <v>3905</v>
      </c>
      <c r="U119" s="20" t="s">
        <v>3906</v>
      </c>
      <c r="V119" s="20" t="s">
        <v>3907</v>
      </c>
      <c r="W119" s="20" t="s">
        <v>3908</v>
      </c>
      <c r="X119" s="20" t="s">
        <v>3909</v>
      </c>
      <c r="Y119" s="20" t="s">
        <v>3910</v>
      </c>
      <c r="Z119" s="20" t="s">
        <v>3911</v>
      </c>
      <c r="AA119" s="20" t="s">
        <v>3912</v>
      </c>
      <c r="AB119" s="20" t="s">
        <v>3913</v>
      </c>
      <c r="AC119" s="20" t="s">
        <v>1813</v>
      </c>
      <c r="AD119" s="20" t="s">
        <v>1813</v>
      </c>
      <c r="AE119" s="20" t="s">
        <v>1813</v>
      </c>
      <c r="AF119" s="20" t="s">
        <v>1813</v>
      </c>
      <c r="AG119" s="20">
        <v>54.0</v>
      </c>
      <c r="AH119" s="20">
        <v>101.0</v>
      </c>
      <c r="AI119" s="20">
        <v>118.0</v>
      </c>
      <c r="AJ119" s="20">
        <v>1.0</v>
      </c>
      <c r="AK119" s="20">
        <v>50.0</v>
      </c>
      <c r="AL119" s="20" t="s">
        <v>1829</v>
      </c>
      <c r="AM119" s="20" t="s">
        <v>1830</v>
      </c>
      <c r="AN119" s="20" t="s">
        <v>1831</v>
      </c>
      <c r="AO119" s="20" t="s">
        <v>2183</v>
      </c>
      <c r="AP119" s="20" t="s">
        <v>2184</v>
      </c>
      <c r="AQ119" s="20" t="s">
        <v>1813</v>
      </c>
      <c r="AR119" s="20" t="s">
        <v>2170</v>
      </c>
      <c r="AS119" s="20" t="s">
        <v>1899</v>
      </c>
      <c r="AT119" s="20" t="s">
        <v>1916</v>
      </c>
      <c r="AU119" s="20">
        <v>2005.0</v>
      </c>
      <c r="AV119" s="20">
        <v>86.0</v>
      </c>
      <c r="AW119" s="20">
        <v>12.0</v>
      </c>
      <c r="AX119" s="20" t="s">
        <v>1813</v>
      </c>
      <c r="AY119" s="20" t="s">
        <v>1813</v>
      </c>
      <c r="AZ119" s="20" t="s">
        <v>1813</v>
      </c>
      <c r="BA119" s="20" t="s">
        <v>1813</v>
      </c>
      <c r="BB119" s="20">
        <v>3303.0</v>
      </c>
      <c r="BC119" s="20">
        <v>3311.0</v>
      </c>
      <c r="BD119" s="20" t="s">
        <v>1813</v>
      </c>
      <c r="BE119" s="20" t="s">
        <v>3914</v>
      </c>
      <c r="BF119" s="22" t="str">
        <f>HYPERLINK("http://dx.doi.org/10.1890/04-1960","http://dx.doi.org/10.1890/04-1960")</f>
        <v>http://dx.doi.org/10.1890/04-1960</v>
      </c>
      <c r="BG119" s="20" t="s">
        <v>1813</v>
      </c>
      <c r="BH119" s="20" t="s">
        <v>1813</v>
      </c>
      <c r="BI119" s="20">
        <v>9.0</v>
      </c>
      <c r="BJ119" s="20" t="s">
        <v>1899</v>
      </c>
      <c r="BK119" s="20" t="s">
        <v>1839</v>
      </c>
      <c r="BL119" s="20" t="s">
        <v>1900</v>
      </c>
      <c r="BM119" s="20" t="s">
        <v>3915</v>
      </c>
      <c r="BN119" s="20" t="s">
        <v>1813</v>
      </c>
      <c r="BO119" s="20" t="s">
        <v>1813</v>
      </c>
      <c r="BP119" s="20" t="s">
        <v>1813</v>
      </c>
      <c r="BQ119" s="20" t="s">
        <v>1813</v>
      </c>
      <c r="BR119" s="20" t="s">
        <v>1842</v>
      </c>
      <c r="BS119" s="20" t="s">
        <v>3916</v>
      </c>
      <c r="BT119" s="20" t="str">
        <f>HYPERLINK("https%3A%2F%2Fwww.webofscience.com%2Fwos%2Fwoscc%2Ffull-record%2FWOS:000234066700022","View Full Record in Web of Science")</f>
        <v>View Full Record in Web of Science</v>
      </c>
    </row>
    <row r="120" ht="12.75" customHeight="1">
      <c r="A120" s="20" t="s">
        <v>1811</v>
      </c>
      <c r="B120" s="20" t="s">
        <v>3917</v>
      </c>
      <c r="C120" s="20" t="s">
        <v>1813</v>
      </c>
      <c r="D120" s="20" t="s">
        <v>1813</v>
      </c>
      <c r="E120" s="20" t="s">
        <v>1813</v>
      </c>
      <c r="F120" s="20" t="s">
        <v>3918</v>
      </c>
      <c r="G120" s="20" t="s">
        <v>1813</v>
      </c>
      <c r="H120" s="20" t="s">
        <v>1813</v>
      </c>
      <c r="I120" s="20" t="s">
        <v>1722</v>
      </c>
      <c r="J120" s="20" t="s">
        <v>3919</v>
      </c>
      <c r="K120" s="20" t="s">
        <v>1813</v>
      </c>
      <c r="L120" s="20" t="s">
        <v>1813</v>
      </c>
      <c r="M120" s="20" t="s">
        <v>1816</v>
      </c>
      <c r="N120" s="20" t="s">
        <v>2452</v>
      </c>
      <c r="O120" s="20" t="s">
        <v>3920</v>
      </c>
      <c r="P120" s="20" t="s">
        <v>3921</v>
      </c>
      <c r="Q120" s="20" t="s">
        <v>3922</v>
      </c>
      <c r="R120" s="20" t="s">
        <v>1813</v>
      </c>
      <c r="S120" s="20" t="s">
        <v>3923</v>
      </c>
      <c r="T120" s="20" t="s">
        <v>3924</v>
      </c>
      <c r="U120" s="20" t="s">
        <v>3925</v>
      </c>
      <c r="V120" s="20" t="s">
        <v>3926</v>
      </c>
      <c r="W120" s="20" t="s">
        <v>3927</v>
      </c>
      <c r="X120" s="20" t="s">
        <v>3928</v>
      </c>
      <c r="Y120" s="20" t="s">
        <v>3929</v>
      </c>
      <c r="Z120" s="20" t="s">
        <v>3930</v>
      </c>
      <c r="AA120" s="20" t="s">
        <v>3931</v>
      </c>
      <c r="AB120" s="20" t="s">
        <v>3932</v>
      </c>
      <c r="AC120" s="20" t="s">
        <v>1813</v>
      </c>
      <c r="AD120" s="20" t="s">
        <v>1813</v>
      </c>
      <c r="AE120" s="20" t="s">
        <v>1813</v>
      </c>
      <c r="AF120" s="20" t="s">
        <v>1813</v>
      </c>
      <c r="AG120" s="20">
        <v>73.0</v>
      </c>
      <c r="AH120" s="20">
        <v>37.0</v>
      </c>
      <c r="AI120" s="20">
        <v>42.0</v>
      </c>
      <c r="AJ120" s="20">
        <v>1.0</v>
      </c>
      <c r="AK120" s="20">
        <v>66.0</v>
      </c>
      <c r="AL120" s="20" t="s">
        <v>3933</v>
      </c>
      <c r="AM120" s="20" t="s">
        <v>3934</v>
      </c>
      <c r="AN120" s="20" t="s">
        <v>3935</v>
      </c>
      <c r="AO120" s="20" t="s">
        <v>3936</v>
      </c>
      <c r="AP120" s="20" t="s">
        <v>1813</v>
      </c>
      <c r="AQ120" s="20" t="s">
        <v>1813</v>
      </c>
      <c r="AR120" s="20" t="s">
        <v>3937</v>
      </c>
      <c r="AS120" s="20" t="s">
        <v>3938</v>
      </c>
      <c r="AT120" s="20" t="s">
        <v>2651</v>
      </c>
      <c r="AU120" s="20">
        <v>2006.0</v>
      </c>
      <c r="AV120" s="20">
        <v>42.0</v>
      </c>
      <c r="AW120" s="20" t="s">
        <v>1813</v>
      </c>
      <c r="AX120" s="20" t="s">
        <v>1813</v>
      </c>
      <c r="AY120" s="20">
        <v>1.0</v>
      </c>
      <c r="AZ120" s="20" t="s">
        <v>1813</v>
      </c>
      <c r="BA120" s="20" t="s">
        <v>1813</v>
      </c>
      <c r="BB120" s="20" t="s">
        <v>3939</v>
      </c>
      <c r="BC120" s="20" t="s">
        <v>3940</v>
      </c>
      <c r="BD120" s="20" t="s">
        <v>1813</v>
      </c>
      <c r="BE120" s="20" t="s">
        <v>3941</v>
      </c>
      <c r="BF120" s="22" t="str">
        <f>HYPERLINK("http://dx.doi.org/10.1016/j.ejsobi.2006.07.002","http://dx.doi.org/10.1016/j.ejsobi.2006.07.002")</f>
        <v>http://dx.doi.org/10.1016/j.ejsobi.2006.07.002</v>
      </c>
      <c r="BG120" s="20" t="s">
        <v>1813</v>
      </c>
      <c r="BH120" s="20" t="s">
        <v>1813</v>
      </c>
      <c r="BI120" s="20">
        <v>11.0</v>
      </c>
      <c r="BJ120" s="20" t="s">
        <v>3942</v>
      </c>
      <c r="BK120" s="20" t="s">
        <v>3943</v>
      </c>
      <c r="BL120" s="20" t="s">
        <v>3944</v>
      </c>
      <c r="BM120" s="20" t="s">
        <v>3945</v>
      </c>
      <c r="BN120" s="20" t="s">
        <v>1813</v>
      </c>
      <c r="BO120" s="20" t="s">
        <v>1813</v>
      </c>
      <c r="BP120" s="20" t="s">
        <v>1813</v>
      </c>
      <c r="BQ120" s="20" t="s">
        <v>1813</v>
      </c>
      <c r="BR120" s="20" t="s">
        <v>1842</v>
      </c>
      <c r="BS120" s="20" t="s">
        <v>3946</v>
      </c>
      <c r="BT120" s="20" t="str">
        <f>HYPERLINK("https%3A%2F%2Fwww.webofscience.com%2Fwos%2Fwoscc%2Ffull-record%2FWOS:000243263800027","View Full Record in Web of Science")</f>
        <v>View Full Record in Web of Science</v>
      </c>
    </row>
    <row r="121" ht="12.75" customHeight="1">
      <c r="A121" s="20" t="s">
        <v>1811</v>
      </c>
      <c r="B121" s="20" t="s">
        <v>3947</v>
      </c>
      <c r="C121" s="20" t="s">
        <v>1813</v>
      </c>
      <c r="D121" s="20" t="s">
        <v>1813</v>
      </c>
      <c r="E121" s="20" t="s">
        <v>1813</v>
      </c>
      <c r="F121" s="20" t="s">
        <v>3947</v>
      </c>
      <c r="G121" s="20" t="s">
        <v>1813</v>
      </c>
      <c r="H121" s="20" t="s">
        <v>1813</v>
      </c>
      <c r="I121" s="20" t="s">
        <v>3948</v>
      </c>
      <c r="J121" s="20" t="s">
        <v>2271</v>
      </c>
      <c r="K121" s="20" t="s">
        <v>1813</v>
      </c>
      <c r="L121" s="20" t="s">
        <v>1813</v>
      </c>
      <c r="M121" s="20" t="s">
        <v>1816</v>
      </c>
      <c r="N121" s="20" t="s">
        <v>1817</v>
      </c>
      <c r="O121" s="20" t="s">
        <v>1813</v>
      </c>
      <c r="P121" s="20" t="s">
        <v>1813</v>
      </c>
      <c r="Q121" s="20" t="s">
        <v>1813</v>
      </c>
      <c r="R121" s="20" t="s">
        <v>1813</v>
      </c>
      <c r="S121" s="20" t="s">
        <v>1813</v>
      </c>
      <c r="T121" s="20" t="s">
        <v>1813</v>
      </c>
      <c r="U121" s="20" t="s">
        <v>3949</v>
      </c>
      <c r="V121" s="20" t="s">
        <v>3950</v>
      </c>
      <c r="W121" s="20" t="s">
        <v>3951</v>
      </c>
      <c r="X121" s="20" t="s">
        <v>3952</v>
      </c>
      <c r="Y121" s="20" t="s">
        <v>3953</v>
      </c>
      <c r="Z121" s="20" t="s">
        <v>3954</v>
      </c>
      <c r="AA121" s="20" t="s">
        <v>3955</v>
      </c>
      <c r="AB121" s="20" t="s">
        <v>3956</v>
      </c>
      <c r="AC121" s="20" t="s">
        <v>1813</v>
      </c>
      <c r="AD121" s="20" t="s">
        <v>1813</v>
      </c>
      <c r="AE121" s="20" t="s">
        <v>1813</v>
      </c>
      <c r="AF121" s="20" t="s">
        <v>1813</v>
      </c>
      <c r="AG121" s="20">
        <v>48.0</v>
      </c>
      <c r="AH121" s="20">
        <v>30.0</v>
      </c>
      <c r="AI121" s="20">
        <v>37.0</v>
      </c>
      <c r="AJ121" s="20">
        <v>0.0</v>
      </c>
      <c r="AK121" s="20">
        <v>32.0</v>
      </c>
      <c r="AL121" s="20" t="s">
        <v>1829</v>
      </c>
      <c r="AM121" s="20" t="s">
        <v>1830</v>
      </c>
      <c r="AN121" s="20" t="s">
        <v>1831</v>
      </c>
      <c r="AO121" s="20" t="s">
        <v>2283</v>
      </c>
      <c r="AP121" s="20" t="s">
        <v>2284</v>
      </c>
      <c r="AQ121" s="20" t="s">
        <v>1813</v>
      </c>
      <c r="AR121" s="20" t="s">
        <v>2271</v>
      </c>
      <c r="AS121" s="20" t="s">
        <v>2285</v>
      </c>
      <c r="AT121" s="20" t="s">
        <v>1875</v>
      </c>
      <c r="AU121" s="20">
        <v>2003.0</v>
      </c>
      <c r="AV121" s="20">
        <v>100.0</v>
      </c>
      <c r="AW121" s="20">
        <v>3.0</v>
      </c>
      <c r="AX121" s="20" t="s">
        <v>1813</v>
      </c>
      <c r="AY121" s="20" t="s">
        <v>1813</v>
      </c>
      <c r="AZ121" s="20" t="s">
        <v>1813</v>
      </c>
      <c r="BA121" s="20" t="s">
        <v>1813</v>
      </c>
      <c r="BB121" s="20">
        <v>581.0</v>
      </c>
      <c r="BC121" s="20">
        <v>591.0</v>
      </c>
      <c r="BD121" s="20" t="s">
        <v>1813</v>
      </c>
      <c r="BE121" s="20" t="s">
        <v>3957</v>
      </c>
      <c r="BF121" s="22" t="str">
        <f>HYPERLINK("http://dx.doi.org/10.1034/j.1600-0706.2003.12220.x","http://dx.doi.org/10.1034/j.1600-0706.2003.12220.x")</f>
        <v>http://dx.doi.org/10.1034/j.1600-0706.2003.12220.x</v>
      </c>
      <c r="BG121" s="20" t="s">
        <v>1813</v>
      </c>
      <c r="BH121" s="20" t="s">
        <v>1813</v>
      </c>
      <c r="BI121" s="20">
        <v>11.0</v>
      </c>
      <c r="BJ121" s="20" t="s">
        <v>1899</v>
      </c>
      <c r="BK121" s="20" t="s">
        <v>1839</v>
      </c>
      <c r="BL121" s="20" t="s">
        <v>1900</v>
      </c>
      <c r="BM121" s="20" t="s">
        <v>3958</v>
      </c>
      <c r="BN121" s="20" t="s">
        <v>1813</v>
      </c>
      <c r="BO121" s="20" t="s">
        <v>1813</v>
      </c>
      <c r="BP121" s="20" t="s">
        <v>1813</v>
      </c>
      <c r="BQ121" s="20" t="s">
        <v>1813</v>
      </c>
      <c r="BR121" s="20" t="s">
        <v>1842</v>
      </c>
      <c r="BS121" s="20" t="s">
        <v>3959</v>
      </c>
      <c r="BT121" s="20" t="str">
        <f>HYPERLINK("https%3A%2F%2Fwww.webofscience.com%2Fwos%2Fwoscc%2Ffull-record%2FWOS:000181963700018","View Full Record in Web of Science")</f>
        <v>View Full Record in Web of Science</v>
      </c>
    </row>
    <row r="122" ht="12.75" customHeight="1">
      <c r="A122" s="20" t="s">
        <v>1811</v>
      </c>
      <c r="B122" s="20" t="s">
        <v>3960</v>
      </c>
      <c r="C122" s="20" t="s">
        <v>1813</v>
      </c>
      <c r="D122" s="20" t="s">
        <v>1813</v>
      </c>
      <c r="E122" s="20" t="s">
        <v>1813</v>
      </c>
      <c r="F122" s="20" t="s">
        <v>3961</v>
      </c>
      <c r="G122" s="20" t="s">
        <v>1813</v>
      </c>
      <c r="H122" s="20" t="s">
        <v>1813</v>
      </c>
      <c r="I122" s="20" t="s">
        <v>1397</v>
      </c>
      <c r="J122" s="20" t="s">
        <v>2955</v>
      </c>
      <c r="K122" s="20" t="s">
        <v>1813</v>
      </c>
      <c r="L122" s="20" t="s">
        <v>1813</v>
      </c>
      <c r="M122" s="20" t="s">
        <v>1816</v>
      </c>
      <c r="N122" s="20" t="s">
        <v>1817</v>
      </c>
      <c r="O122" s="20" t="s">
        <v>1813</v>
      </c>
      <c r="P122" s="20" t="s">
        <v>1813</v>
      </c>
      <c r="Q122" s="20" t="s">
        <v>1813</v>
      </c>
      <c r="R122" s="20" t="s">
        <v>1813</v>
      </c>
      <c r="S122" s="20" t="s">
        <v>1813</v>
      </c>
      <c r="T122" s="20" t="s">
        <v>3962</v>
      </c>
      <c r="U122" s="20" t="s">
        <v>3963</v>
      </c>
      <c r="V122" s="20" t="s">
        <v>3964</v>
      </c>
      <c r="W122" s="20" t="s">
        <v>3965</v>
      </c>
      <c r="X122" s="20" t="s">
        <v>3966</v>
      </c>
      <c r="Y122" s="20" t="s">
        <v>3967</v>
      </c>
      <c r="Z122" s="20" t="s">
        <v>3968</v>
      </c>
      <c r="AA122" s="20" t="s">
        <v>1813</v>
      </c>
      <c r="AB122" s="20" t="s">
        <v>3969</v>
      </c>
      <c r="AC122" s="20" t="s">
        <v>3970</v>
      </c>
      <c r="AD122" s="20" t="s">
        <v>3971</v>
      </c>
      <c r="AE122" s="20" t="s">
        <v>3972</v>
      </c>
      <c r="AF122" s="20" t="s">
        <v>1813</v>
      </c>
      <c r="AG122" s="20">
        <v>37.0</v>
      </c>
      <c r="AH122" s="20">
        <v>41.0</v>
      </c>
      <c r="AI122" s="20">
        <v>45.0</v>
      </c>
      <c r="AJ122" s="20">
        <v>2.0</v>
      </c>
      <c r="AK122" s="20">
        <v>161.0</v>
      </c>
      <c r="AL122" s="20" t="s">
        <v>1852</v>
      </c>
      <c r="AM122" s="20" t="s">
        <v>1853</v>
      </c>
      <c r="AN122" s="20" t="s">
        <v>1854</v>
      </c>
      <c r="AO122" s="20" t="s">
        <v>2967</v>
      </c>
      <c r="AP122" s="20" t="s">
        <v>2968</v>
      </c>
      <c r="AQ122" s="20" t="s">
        <v>1813</v>
      </c>
      <c r="AR122" s="20" t="s">
        <v>2969</v>
      </c>
      <c r="AS122" s="20" t="s">
        <v>2970</v>
      </c>
      <c r="AT122" s="20" t="s">
        <v>2527</v>
      </c>
      <c r="AU122" s="20">
        <v>2012.0</v>
      </c>
      <c r="AV122" s="20">
        <v>14.0</v>
      </c>
      <c r="AW122" s="20">
        <v>10.0</v>
      </c>
      <c r="AX122" s="20" t="s">
        <v>1813</v>
      </c>
      <c r="AY122" s="20" t="s">
        <v>1813</v>
      </c>
      <c r="AZ122" s="20" t="s">
        <v>1813</v>
      </c>
      <c r="BA122" s="20" t="s">
        <v>1813</v>
      </c>
      <c r="BB122" s="20">
        <v>2079.0</v>
      </c>
      <c r="BC122" s="20">
        <v>2090.0</v>
      </c>
      <c r="BD122" s="20" t="s">
        <v>1813</v>
      </c>
      <c r="BE122" s="20" t="s">
        <v>3973</v>
      </c>
      <c r="BF122" s="22" t="str">
        <f>HYPERLINK("http://dx.doi.org/10.1007/s10530-012-0215-z","http://dx.doi.org/10.1007/s10530-012-0215-z")</f>
        <v>http://dx.doi.org/10.1007/s10530-012-0215-z</v>
      </c>
      <c r="BG122" s="20" t="s">
        <v>1813</v>
      </c>
      <c r="BH122" s="20" t="s">
        <v>1813</v>
      </c>
      <c r="BI122" s="20">
        <v>12.0</v>
      </c>
      <c r="BJ122" s="20" t="s">
        <v>1838</v>
      </c>
      <c r="BK122" s="20" t="s">
        <v>1839</v>
      </c>
      <c r="BL122" s="20" t="s">
        <v>1840</v>
      </c>
      <c r="BM122" s="20" t="s">
        <v>3974</v>
      </c>
      <c r="BN122" s="20" t="s">
        <v>1813</v>
      </c>
      <c r="BO122" s="20" t="s">
        <v>1813</v>
      </c>
      <c r="BP122" s="20" t="s">
        <v>1813</v>
      </c>
      <c r="BQ122" s="20" t="s">
        <v>1813</v>
      </c>
      <c r="BR122" s="20" t="s">
        <v>1842</v>
      </c>
      <c r="BS122" s="20" t="s">
        <v>3975</v>
      </c>
      <c r="BT122" s="20" t="str">
        <f>HYPERLINK("https%3A%2F%2Fwww.webofscience.com%2Fwos%2Fwoscc%2Ffull-record%2FWOS:000308037700010","View Full Record in Web of Science")</f>
        <v>View Full Record in Web of Science</v>
      </c>
    </row>
    <row r="123" ht="12.75" customHeight="1">
      <c r="A123" s="20" t="s">
        <v>1811</v>
      </c>
      <c r="B123" s="20" t="s">
        <v>3976</v>
      </c>
      <c r="C123" s="20" t="s">
        <v>1813</v>
      </c>
      <c r="D123" s="20" t="s">
        <v>1813</v>
      </c>
      <c r="E123" s="20" t="s">
        <v>1813</v>
      </c>
      <c r="F123" s="20" t="s">
        <v>3977</v>
      </c>
      <c r="G123" s="20" t="s">
        <v>1813</v>
      </c>
      <c r="H123" s="20" t="s">
        <v>1813</v>
      </c>
      <c r="I123" s="20" t="s">
        <v>1718</v>
      </c>
      <c r="J123" s="20" t="s">
        <v>3978</v>
      </c>
      <c r="K123" s="20" t="s">
        <v>1813</v>
      </c>
      <c r="L123" s="20" t="s">
        <v>1813</v>
      </c>
      <c r="M123" s="20" t="s">
        <v>1816</v>
      </c>
      <c r="N123" s="20" t="s">
        <v>1817</v>
      </c>
      <c r="O123" s="20" t="s">
        <v>1813</v>
      </c>
      <c r="P123" s="20" t="s">
        <v>1813</v>
      </c>
      <c r="Q123" s="20" t="s">
        <v>1813</v>
      </c>
      <c r="R123" s="20" t="s">
        <v>1813</v>
      </c>
      <c r="S123" s="20" t="s">
        <v>1813</v>
      </c>
      <c r="T123" s="20" t="s">
        <v>3979</v>
      </c>
      <c r="U123" s="20" t="s">
        <v>3980</v>
      </c>
      <c r="V123" s="20" t="s">
        <v>3981</v>
      </c>
      <c r="W123" s="20" t="s">
        <v>3982</v>
      </c>
      <c r="X123" s="20" t="s">
        <v>3983</v>
      </c>
      <c r="Y123" s="20" t="s">
        <v>3984</v>
      </c>
      <c r="Z123" s="20" t="s">
        <v>3985</v>
      </c>
      <c r="AA123" s="20" t="s">
        <v>3986</v>
      </c>
      <c r="AB123" s="20" t="s">
        <v>1813</v>
      </c>
      <c r="AC123" s="20" t="s">
        <v>3987</v>
      </c>
      <c r="AD123" s="20" t="s">
        <v>3988</v>
      </c>
      <c r="AE123" s="20" t="s">
        <v>3989</v>
      </c>
      <c r="AF123" s="20" t="s">
        <v>1813</v>
      </c>
      <c r="AG123" s="20">
        <v>45.0</v>
      </c>
      <c r="AH123" s="20">
        <v>42.0</v>
      </c>
      <c r="AI123" s="20">
        <v>48.0</v>
      </c>
      <c r="AJ123" s="20">
        <v>5.0</v>
      </c>
      <c r="AK123" s="20">
        <v>125.0</v>
      </c>
      <c r="AL123" s="20" t="s">
        <v>1829</v>
      </c>
      <c r="AM123" s="20" t="s">
        <v>1830</v>
      </c>
      <c r="AN123" s="20" t="s">
        <v>1831</v>
      </c>
      <c r="AO123" s="20" t="s">
        <v>3990</v>
      </c>
      <c r="AP123" s="20" t="s">
        <v>3991</v>
      </c>
      <c r="AQ123" s="20" t="s">
        <v>1813</v>
      </c>
      <c r="AR123" s="20" t="s">
        <v>3992</v>
      </c>
      <c r="AS123" s="20" t="s">
        <v>3993</v>
      </c>
      <c r="AT123" s="20" t="s">
        <v>1939</v>
      </c>
      <c r="AU123" s="20">
        <v>2011.0</v>
      </c>
      <c r="AV123" s="20">
        <v>22.0</v>
      </c>
      <c r="AW123" s="20">
        <v>3.0</v>
      </c>
      <c r="AX123" s="20" t="s">
        <v>1813</v>
      </c>
      <c r="AY123" s="20" t="s">
        <v>1813</v>
      </c>
      <c r="AZ123" s="20" t="s">
        <v>1813</v>
      </c>
      <c r="BA123" s="20" t="s">
        <v>1813</v>
      </c>
      <c r="BB123" s="20">
        <v>503.0</v>
      </c>
      <c r="BC123" s="20">
        <v>515.0</v>
      </c>
      <c r="BD123" s="20" t="s">
        <v>1813</v>
      </c>
      <c r="BE123" s="20" t="s">
        <v>3994</v>
      </c>
      <c r="BF123" s="22" t="str">
        <f>HYPERLINK("http://dx.doi.org/10.1111/j.1654-1103.2011.01263.x","http://dx.doi.org/10.1111/j.1654-1103.2011.01263.x")</f>
        <v>http://dx.doi.org/10.1111/j.1654-1103.2011.01263.x</v>
      </c>
      <c r="BG123" s="20" t="s">
        <v>1813</v>
      </c>
      <c r="BH123" s="20" t="s">
        <v>1813</v>
      </c>
      <c r="BI123" s="20">
        <v>13.0</v>
      </c>
      <c r="BJ123" s="20" t="s">
        <v>2992</v>
      </c>
      <c r="BK123" s="20" t="s">
        <v>1839</v>
      </c>
      <c r="BL123" s="20" t="s">
        <v>2993</v>
      </c>
      <c r="BM123" s="20" t="s">
        <v>3995</v>
      </c>
      <c r="BN123" s="20" t="s">
        <v>1813</v>
      </c>
      <c r="BO123" s="20" t="s">
        <v>1813</v>
      </c>
      <c r="BP123" s="20" t="s">
        <v>1813</v>
      </c>
      <c r="BQ123" s="20" t="s">
        <v>1813</v>
      </c>
      <c r="BR123" s="20" t="s">
        <v>1842</v>
      </c>
      <c r="BS123" s="20" t="s">
        <v>3996</v>
      </c>
      <c r="BT123" s="20" t="str">
        <f>HYPERLINK("https%3A%2F%2Fwww.webofscience.com%2Fwos%2Fwoscc%2Ffull-record%2FWOS:000289728200012","View Full Record in Web of Science")</f>
        <v>View Full Record in Web of Science</v>
      </c>
    </row>
    <row r="124" ht="12.75" customHeight="1">
      <c r="A124" s="20" t="s">
        <v>1811</v>
      </c>
      <c r="B124" s="20" t="s">
        <v>3997</v>
      </c>
      <c r="C124" s="20" t="s">
        <v>1813</v>
      </c>
      <c r="D124" s="20" t="s">
        <v>1813</v>
      </c>
      <c r="E124" s="20" t="s">
        <v>1813</v>
      </c>
      <c r="F124" s="20" t="s">
        <v>3997</v>
      </c>
      <c r="G124" s="20" t="s">
        <v>1813</v>
      </c>
      <c r="H124" s="20" t="s">
        <v>1813</v>
      </c>
      <c r="I124" s="20" t="s">
        <v>1586</v>
      </c>
      <c r="J124" s="20" t="s">
        <v>2489</v>
      </c>
      <c r="K124" s="20" t="s">
        <v>1813</v>
      </c>
      <c r="L124" s="20" t="s">
        <v>1813</v>
      </c>
      <c r="M124" s="20" t="s">
        <v>1816</v>
      </c>
      <c r="N124" s="20" t="s">
        <v>1817</v>
      </c>
      <c r="O124" s="20" t="s">
        <v>1813</v>
      </c>
      <c r="P124" s="20" t="s">
        <v>1813</v>
      </c>
      <c r="Q124" s="20" t="s">
        <v>1813</v>
      </c>
      <c r="R124" s="20" t="s">
        <v>1813</v>
      </c>
      <c r="S124" s="20" t="s">
        <v>1813</v>
      </c>
      <c r="T124" s="20" t="s">
        <v>3998</v>
      </c>
      <c r="U124" s="20" t="s">
        <v>3999</v>
      </c>
      <c r="V124" s="20" t="s">
        <v>4000</v>
      </c>
      <c r="W124" s="20" t="s">
        <v>4001</v>
      </c>
      <c r="X124" s="20" t="s">
        <v>4002</v>
      </c>
      <c r="Y124" s="20" t="s">
        <v>4003</v>
      </c>
      <c r="Z124" s="20" t="s">
        <v>4004</v>
      </c>
      <c r="AA124" s="20" t="s">
        <v>4005</v>
      </c>
      <c r="AB124" s="20" t="s">
        <v>4006</v>
      </c>
      <c r="AC124" s="20" t="s">
        <v>1813</v>
      </c>
      <c r="AD124" s="20" t="s">
        <v>1813</v>
      </c>
      <c r="AE124" s="20" t="s">
        <v>1813</v>
      </c>
      <c r="AF124" s="20" t="s">
        <v>1813</v>
      </c>
      <c r="AG124" s="20">
        <v>76.0</v>
      </c>
      <c r="AH124" s="20">
        <v>53.0</v>
      </c>
      <c r="AI124" s="20">
        <v>66.0</v>
      </c>
      <c r="AJ124" s="20">
        <v>0.0</v>
      </c>
      <c r="AK124" s="20">
        <v>40.0</v>
      </c>
      <c r="AL124" s="20" t="s">
        <v>1829</v>
      </c>
      <c r="AM124" s="20" t="s">
        <v>1830</v>
      </c>
      <c r="AN124" s="20" t="s">
        <v>1831</v>
      </c>
      <c r="AO124" s="20" t="s">
        <v>2502</v>
      </c>
      <c r="AP124" s="20" t="s">
        <v>2503</v>
      </c>
      <c r="AQ124" s="20" t="s">
        <v>1813</v>
      </c>
      <c r="AR124" s="20" t="s">
        <v>2504</v>
      </c>
      <c r="AS124" s="20" t="s">
        <v>2505</v>
      </c>
      <c r="AT124" s="20" t="s">
        <v>2082</v>
      </c>
      <c r="AU124" s="20">
        <v>2005.0</v>
      </c>
      <c r="AV124" s="20">
        <v>19.0</v>
      </c>
      <c r="AW124" s="20">
        <v>4.0</v>
      </c>
      <c r="AX124" s="20" t="s">
        <v>1813</v>
      </c>
      <c r="AY124" s="20" t="s">
        <v>1813</v>
      </c>
      <c r="AZ124" s="20" t="s">
        <v>1813</v>
      </c>
      <c r="BA124" s="20" t="s">
        <v>1813</v>
      </c>
      <c r="BB124" s="20">
        <v>1103.0</v>
      </c>
      <c r="BC124" s="20">
        <v>1112.0</v>
      </c>
      <c r="BD124" s="20" t="s">
        <v>1813</v>
      </c>
      <c r="BE124" s="20" t="s">
        <v>4007</v>
      </c>
      <c r="BF124" s="22" t="str">
        <f>HYPERLINK("http://dx.doi.org/10.1111/j.1523-1739.2005.00087.x","http://dx.doi.org/10.1111/j.1523-1739.2005.00087.x")</f>
        <v>http://dx.doi.org/10.1111/j.1523-1739.2005.00087.x</v>
      </c>
      <c r="BG124" s="20" t="s">
        <v>1813</v>
      </c>
      <c r="BH124" s="20" t="s">
        <v>1813</v>
      </c>
      <c r="BI124" s="20">
        <v>10.0</v>
      </c>
      <c r="BJ124" s="20" t="s">
        <v>1860</v>
      </c>
      <c r="BK124" s="20" t="s">
        <v>1839</v>
      </c>
      <c r="BL124" s="20" t="s">
        <v>1840</v>
      </c>
      <c r="BM124" s="20" t="s">
        <v>4008</v>
      </c>
      <c r="BN124" s="20" t="s">
        <v>1813</v>
      </c>
      <c r="BO124" s="20" t="s">
        <v>1813</v>
      </c>
      <c r="BP124" s="20" t="s">
        <v>1813</v>
      </c>
      <c r="BQ124" s="20" t="s">
        <v>1813</v>
      </c>
      <c r="BR124" s="20" t="s">
        <v>1842</v>
      </c>
      <c r="BS124" s="20" t="s">
        <v>4009</v>
      </c>
      <c r="BT124" s="20" t="str">
        <f>HYPERLINK("https%3A%2F%2Fwww.webofscience.com%2Fwos%2Fwoscc%2Ffull-record%2FWOS:000231118600017","View Full Record in Web of Science")</f>
        <v>View Full Record in Web of Science</v>
      </c>
    </row>
    <row r="125" ht="12.75" customHeight="1">
      <c r="A125" s="20" t="s">
        <v>1811</v>
      </c>
      <c r="B125" s="20" t="s">
        <v>4010</v>
      </c>
      <c r="C125" s="20" t="s">
        <v>1813</v>
      </c>
      <c r="D125" s="20" t="s">
        <v>1813</v>
      </c>
      <c r="E125" s="20" t="s">
        <v>1813</v>
      </c>
      <c r="F125" s="20" t="s">
        <v>4011</v>
      </c>
      <c r="G125" s="20" t="s">
        <v>1813</v>
      </c>
      <c r="H125" s="20" t="s">
        <v>1813</v>
      </c>
      <c r="I125" s="20" t="s">
        <v>1527</v>
      </c>
      <c r="J125" s="20" t="s">
        <v>2147</v>
      </c>
      <c r="K125" s="20" t="s">
        <v>1813</v>
      </c>
      <c r="L125" s="20" t="s">
        <v>1813</v>
      </c>
      <c r="M125" s="20" t="s">
        <v>1816</v>
      </c>
      <c r="N125" s="20" t="s">
        <v>1817</v>
      </c>
      <c r="O125" s="20" t="s">
        <v>1813</v>
      </c>
      <c r="P125" s="20" t="s">
        <v>1813</v>
      </c>
      <c r="Q125" s="20" t="s">
        <v>1813</v>
      </c>
      <c r="R125" s="20" t="s">
        <v>1813</v>
      </c>
      <c r="S125" s="20" t="s">
        <v>1813</v>
      </c>
      <c r="T125" s="20" t="s">
        <v>4012</v>
      </c>
      <c r="U125" s="20" t="s">
        <v>4013</v>
      </c>
      <c r="V125" s="20" t="s">
        <v>4014</v>
      </c>
      <c r="W125" s="20" t="s">
        <v>4015</v>
      </c>
      <c r="X125" s="20" t="s">
        <v>4016</v>
      </c>
      <c r="Y125" s="20" t="s">
        <v>4017</v>
      </c>
      <c r="Z125" s="20" t="s">
        <v>4018</v>
      </c>
      <c r="AA125" s="20" t="s">
        <v>4019</v>
      </c>
      <c r="AB125" s="20" t="s">
        <v>4020</v>
      </c>
      <c r="AC125" s="20" t="s">
        <v>1813</v>
      </c>
      <c r="AD125" s="20" t="s">
        <v>1813</v>
      </c>
      <c r="AE125" s="20" t="s">
        <v>1813</v>
      </c>
      <c r="AF125" s="20" t="s">
        <v>1813</v>
      </c>
      <c r="AG125" s="20">
        <v>53.0</v>
      </c>
      <c r="AH125" s="20">
        <v>6.0</v>
      </c>
      <c r="AI125" s="20">
        <v>9.0</v>
      </c>
      <c r="AJ125" s="20">
        <v>0.0</v>
      </c>
      <c r="AK125" s="20">
        <v>28.0</v>
      </c>
      <c r="AL125" s="20" t="s">
        <v>2158</v>
      </c>
      <c r="AM125" s="20" t="s">
        <v>2159</v>
      </c>
      <c r="AN125" s="20" t="s">
        <v>2160</v>
      </c>
      <c r="AO125" s="20" t="s">
        <v>2161</v>
      </c>
      <c r="AP125" s="20" t="s">
        <v>2162</v>
      </c>
      <c r="AQ125" s="20" t="s">
        <v>1813</v>
      </c>
      <c r="AR125" s="20" t="s">
        <v>2163</v>
      </c>
      <c r="AS125" s="20" t="s">
        <v>2164</v>
      </c>
      <c r="AT125" s="20" t="s">
        <v>1813</v>
      </c>
      <c r="AU125" s="20">
        <v>2006.0</v>
      </c>
      <c r="AV125" s="20">
        <v>7.0</v>
      </c>
      <c r="AW125" s="20">
        <v>4.0</v>
      </c>
      <c r="AX125" s="20" t="s">
        <v>1813</v>
      </c>
      <c r="AY125" s="20" t="s">
        <v>1813</v>
      </c>
      <c r="AZ125" s="20" t="s">
        <v>1813</v>
      </c>
      <c r="BA125" s="20" t="s">
        <v>1813</v>
      </c>
      <c r="BB125" s="20">
        <v>307.0</v>
      </c>
      <c r="BC125" s="20">
        <v>319.0</v>
      </c>
      <c r="BD125" s="20" t="s">
        <v>1813</v>
      </c>
      <c r="BE125" s="20" t="s">
        <v>4021</v>
      </c>
      <c r="BF125" s="22" t="str">
        <f>HYPERLINK("http://dx.doi.org/10.1016/j.baae.2005.09.001","http://dx.doi.org/10.1016/j.baae.2005.09.001")</f>
        <v>http://dx.doi.org/10.1016/j.baae.2005.09.001</v>
      </c>
      <c r="BG125" s="20" t="s">
        <v>1813</v>
      </c>
      <c r="BH125" s="20" t="s">
        <v>1813</v>
      </c>
      <c r="BI125" s="20">
        <v>13.0</v>
      </c>
      <c r="BJ125" s="20" t="s">
        <v>1899</v>
      </c>
      <c r="BK125" s="20" t="s">
        <v>1839</v>
      </c>
      <c r="BL125" s="20" t="s">
        <v>1900</v>
      </c>
      <c r="BM125" s="20" t="s">
        <v>4022</v>
      </c>
      <c r="BN125" s="20" t="s">
        <v>1813</v>
      </c>
      <c r="BO125" s="20" t="s">
        <v>1813</v>
      </c>
      <c r="BP125" s="20" t="s">
        <v>1813</v>
      </c>
      <c r="BQ125" s="20" t="s">
        <v>1813</v>
      </c>
      <c r="BR125" s="20" t="s">
        <v>1842</v>
      </c>
      <c r="BS125" s="20" t="s">
        <v>4023</v>
      </c>
      <c r="BT125" s="20" t="str">
        <f>HYPERLINK("https%3A%2F%2Fwww.webofscience.com%2Fwos%2Fwoscc%2Ffull-record%2FWOS:000239199700003","View Full Record in Web of Science")</f>
        <v>View Full Record in Web of Science</v>
      </c>
    </row>
    <row r="126" ht="12.75" customHeight="1">
      <c r="A126" s="20" t="s">
        <v>1811</v>
      </c>
      <c r="B126" s="20" t="s">
        <v>4024</v>
      </c>
      <c r="C126" s="20" t="s">
        <v>1813</v>
      </c>
      <c r="D126" s="20" t="s">
        <v>1813</v>
      </c>
      <c r="E126" s="20" t="s">
        <v>1813</v>
      </c>
      <c r="F126" s="20" t="s">
        <v>4025</v>
      </c>
      <c r="G126" s="20" t="s">
        <v>1813</v>
      </c>
      <c r="H126" s="20" t="s">
        <v>1813</v>
      </c>
      <c r="I126" s="20" t="s">
        <v>1482</v>
      </c>
      <c r="J126" s="20" t="s">
        <v>2546</v>
      </c>
      <c r="K126" s="20" t="s">
        <v>1813</v>
      </c>
      <c r="L126" s="20" t="s">
        <v>1813</v>
      </c>
      <c r="M126" s="20" t="s">
        <v>1816</v>
      </c>
      <c r="N126" s="20" t="s">
        <v>1817</v>
      </c>
      <c r="O126" s="20" t="s">
        <v>1813</v>
      </c>
      <c r="P126" s="20" t="s">
        <v>1813</v>
      </c>
      <c r="Q126" s="20" t="s">
        <v>1813</v>
      </c>
      <c r="R126" s="20" t="s">
        <v>1813</v>
      </c>
      <c r="S126" s="20" t="s">
        <v>1813</v>
      </c>
      <c r="T126" s="20" t="s">
        <v>4026</v>
      </c>
      <c r="U126" s="20" t="s">
        <v>4027</v>
      </c>
      <c r="V126" s="20" t="s">
        <v>4028</v>
      </c>
      <c r="W126" s="20" t="s">
        <v>4029</v>
      </c>
      <c r="X126" s="20" t="s">
        <v>4030</v>
      </c>
      <c r="Y126" s="20" t="s">
        <v>4031</v>
      </c>
      <c r="Z126" s="20" t="s">
        <v>4032</v>
      </c>
      <c r="AA126" s="20" t="s">
        <v>4033</v>
      </c>
      <c r="AB126" s="20" t="s">
        <v>4034</v>
      </c>
      <c r="AC126" s="20" t="s">
        <v>1813</v>
      </c>
      <c r="AD126" s="20" t="s">
        <v>1813</v>
      </c>
      <c r="AE126" s="20" t="s">
        <v>1813</v>
      </c>
      <c r="AF126" s="20" t="s">
        <v>1813</v>
      </c>
      <c r="AG126" s="20">
        <v>60.0</v>
      </c>
      <c r="AH126" s="20">
        <v>22.0</v>
      </c>
      <c r="AI126" s="20">
        <v>31.0</v>
      </c>
      <c r="AJ126" s="20">
        <v>0.0</v>
      </c>
      <c r="AK126" s="20">
        <v>39.0</v>
      </c>
      <c r="AL126" s="20" t="s">
        <v>1852</v>
      </c>
      <c r="AM126" s="20" t="s">
        <v>2559</v>
      </c>
      <c r="AN126" s="20" t="s">
        <v>3023</v>
      </c>
      <c r="AO126" s="20" t="s">
        <v>2561</v>
      </c>
      <c r="AP126" s="20" t="s">
        <v>2562</v>
      </c>
      <c r="AQ126" s="20" t="s">
        <v>1813</v>
      </c>
      <c r="AR126" s="20" t="s">
        <v>2546</v>
      </c>
      <c r="AS126" s="20" t="s">
        <v>2563</v>
      </c>
      <c r="AT126" s="20" t="s">
        <v>2651</v>
      </c>
      <c r="AU126" s="20">
        <v>2006.0</v>
      </c>
      <c r="AV126" s="20">
        <v>150.0</v>
      </c>
      <c r="AW126" s="20">
        <v>1.0</v>
      </c>
      <c r="AX126" s="20" t="s">
        <v>1813</v>
      </c>
      <c r="AY126" s="20" t="s">
        <v>1813</v>
      </c>
      <c r="AZ126" s="20" t="s">
        <v>1813</v>
      </c>
      <c r="BA126" s="20" t="s">
        <v>1813</v>
      </c>
      <c r="BB126" s="20">
        <v>119.0</v>
      </c>
      <c r="BC126" s="20">
        <v>131.0</v>
      </c>
      <c r="BD126" s="20" t="s">
        <v>1813</v>
      </c>
      <c r="BE126" s="20" t="s">
        <v>4035</v>
      </c>
      <c r="BF126" s="22" t="str">
        <f>HYPERLINK("http://dx.doi.org/10.1007/s00442-006-0490-4","http://dx.doi.org/10.1007/s00442-006-0490-4")</f>
        <v>http://dx.doi.org/10.1007/s00442-006-0490-4</v>
      </c>
      <c r="BG126" s="20" t="s">
        <v>1813</v>
      </c>
      <c r="BH126" s="20" t="s">
        <v>1813</v>
      </c>
      <c r="BI126" s="20">
        <v>13.0</v>
      </c>
      <c r="BJ126" s="20" t="s">
        <v>1899</v>
      </c>
      <c r="BK126" s="20" t="s">
        <v>1839</v>
      </c>
      <c r="BL126" s="20" t="s">
        <v>1900</v>
      </c>
      <c r="BM126" s="20" t="s">
        <v>4036</v>
      </c>
      <c r="BN126" s="20">
        <v>1.6896775E7</v>
      </c>
      <c r="BO126" s="20" t="s">
        <v>1813</v>
      </c>
      <c r="BP126" s="20" t="s">
        <v>1813</v>
      </c>
      <c r="BQ126" s="20" t="s">
        <v>1813</v>
      </c>
      <c r="BR126" s="20" t="s">
        <v>1842</v>
      </c>
      <c r="BS126" s="20" t="s">
        <v>4037</v>
      </c>
      <c r="BT126" s="20" t="str">
        <f>HYPERLINK("https%3A%2F%2Fwww.webofscience.com%2Fwos%2Fwoscc%2Ffull-record%2FWOS:000241552400013","View Full Record in Web of Science")</f>
        <v>View Full Record in Web of Science</v>
      </c>
    </row>
    <row r="127" ht="12.75" customHeight="1">
      <c r="A127" s="20" t="s">
        <v>1811</v>
      </c>
      <c r="B127" s="20" t="s">
        <v>4038</v>
      </c>
      <c r="C127" s="20" t="s">
        <v>1813</v>
      </c>
      <c r="D127" s="20" t="s">
        <v>1813</v>
      </c>
      <c r="E127" s="20" t="s">
        <v>1813</v>
      </c>
      <c r="F127" s="20" t="s">
        <v>4038</v>
      </c>
      <c r="G127" s="20" t="s">
        <v>1813</v>
      </c>
      <c r="H127" s="20" t="s">
        <v>1813</v>
      </c>
      <c r="I127" s="20" t="s">
        <v>4039</v>
      </c>
      <c r="J127" s="20" t="s">
        <v>1904</v>
      </c>
      <c r="K127" s="20" t="s">
        <v>1813</v>
      </c>
      <c r="L127" s="20" t="s">
        <v>1813</v>
      </c>
      <c r="M127" s="20" t="s">
        <v>1816</v>
      </c>
      <c r="N127" s="20" t="s">
        <v>1817</v>
      </c>
      <c r="O127" s="20" t="s">
        <v>1813</v>
      </c>
      <c r="P127" s="20" t="s">
        <v>1813</v>
      </c>
      <c r="Q127" s="20" t="s">
        <v>1813</v>
      </c>
      <c r="R127" s="20" t="s">
        <v>1813</v>
      </c>
      <c r="S127" s="20" t="s">
        <v>1813</v>
      </c>
      <c r="T127" s="20" t="s">
        <v>4040</v>
      </c>
      <c r="U127" s="20" t="s">
        <v>4041</v>
      </c>
      <c r="V127" s="20" t="s">
        <v>4042</v>
      </c>
      <c r="W127" s="20" t="s">
        <v>4043</v>
      </c>
      <c r="X127" s="20" t="s">
        <v>4044</v>
      </c>
      <c r="Y127" s="20" t="s">
        <v>4045</v>
      </c>
      <c r="Z127" s="20" t="s">
        <v>4046</v>
      </c>
      <c r="AA127" s="20" t="s">
        <v>3439</v>
      </c>
      <c r="AB127" s="20" t="s">
        <v>3440</v>
      </c>
      <c r="AC127" s="20" t="s">
        <v>1813</v>
      </c>
      <c r="AD127" s="20" t="s">
        <v>1813</v>
      </c>
      <c r="AE127" s="20" t="s">
        <v>1813</v>
      </c>
      <c r="AF127" s="20" t="s">
        <v>1813</v>
      </c>
      <c r="AG127" s="20">
        <v>37.0</v>
      </c>
      <c r="AH127" s="20">
        <v>78.0</v>
      </c>
      <c r="AI127" s="20">
        <v>87.0</v>
      </c>
      <c r="AJ127" s="20">
        <v>0.0</v>
      </c>
      <c r="AK127" s="20">
        <v>59.0</v>
      </c>
      <c r="AL127" s="20" t="s">
        <v>1829</v>
      </c>
      <c r="AM127" s="20" t="s">
        <v>1830</v>
      </c>
      <c r="AN127" s="20" t="s">
        <v>1831</v>
      </c>
      <c r="AO127" s="20" t="s">
        <v>1912</v>
      </c>
      <c r="AP127" s="20" t="s">
        <v>1913</v>
      </c>
      <c r="AQ127" s="20" t="s">
        <v>1813</v>
      </c>
      <c r="AR127" s="20" t="s">
        <v>1914</v>
      </c>
      <c r="AS127" s="20" t="s">
        <v>1915</v>
      </c>
      <c r="AT127" s="20" t="s">
        <v>1836</v>
      </c>
      <c r="AU127" s="20">
        <v>2000.0</v>
      </c>
      <c r="AV127" s="20">
        <v>3.0</v>
      </c>
      <c r="AW127" s="20">
        <v>5.0</v>
      </c>
      <c r="AX127" s="20" t="s">
        <v>1813</v>
      </c>
      <c r="AY127" s="20" t="s">
        <v>1813</v>
      </c>
      <c r="AZ127" s="20" t="s">
        <v>1813</v>
      </c>
      <c r="BA127" s="20" t="s">
        <v>1813</v>
      </c>
      <c r="BB127" s="20">
        <v>441.0</v>
      </c>
      <c r="BC127" s="20">
        <v>448.0</v>
      </c>
      <c r="BD127" s="20" t="s">
        <v>1813</v>
      </c>
      <c r="BE127" s="20" t="s">
        <v>4047</v>
      </c>
      <c r="BF127" s="22" t="str">
        <f>HYPERLINK("http://dx.doi.org/10.1046/j.1461-0248.2000.00171.x","http://dx.doi.org/10.1046/j.1461-0248.2000.00171.x")</f>
        <v>http://dx.doi.org/10.1046/j.1461-0248.2000.00171.x</v>
      </c>
      <c r="BG127" s="20" t="s">
        <v>1813</v>
      </c>
      <c r="BH127" s="20" t="s">
        <v>1813</v>
      </c>
      <c r="BI127" s="20">
        <v>8.0</v>
      </c>
      <c r="BJ127" s="20" t="s">
        <v>1899</v>
      </c>
      <c r="BK127" s="20" t="s">
        <v>1839</v>
      </c>
      <c r="BL127" s="20" t="s">
        <v>1900</v>
      </c>
      <c r="BM127" s="20" t="s">
        <v>4048</v>
      </c>
      <c r="BN127" s="20" t="s">
        <v>1813</v>
      </c>
      <c r="BO127" s="20" t="s">
        <v>1813</v>
      </c>
      <c r="BP127" s="20" t="s">
        <v>1813</v>
      </c>
      <c r="BQ127" s="20" t="s">
        <v>1813</v>
      </c>
      <c r="BR127" s="20" t="s">
        <v>1842</v>
      </c>
      <c r="BS127" s="20" t="s">
        <v>4049</v>
      </c>
      <c r="BT127" s="20" t="str">
        <f>HYPERLINK("https%3A%2F%2Fwww.webofscience.com%2Fwos%2Fwoscc%2Ffull-record%2FWOS:000089718700009","View Full Record in Web of Science")</f>
        <v>View Full Record in Web of Science</v>
      </c>
    </row>
    <row r="128" ht="12.75" customHeight="1">
      <c r="A128" s="20" t="s">
        <v>1811</v>
      </c>
      <c r="B128" s="20" t="s">
        <v>4050</v>
      </c>
      <c r="C128" s="20" t="s">
        <v>1813</v>
      </c>
      <c r="D128" s="20" t="s">
        <v>1813</v>
      </c>
      <c r="E128" s="20" t="s">
        <v>1813</v>
      </c>
      <c r="F128" s="20" t="s">
        <v>4051</v>
      </c>
      <c r="G128" s="20" t="s">
        <v>1813</v>
      </c>
      <c r="H128" s="20" t="s">
        <v>1813</v>
      </c>
      <c r="I128" s="20" t="s">
        <v>1545</v>
      </c>
      <c r="J128" s="20" t="s">
        <v>3694</v>
      </c>
      <c r="K128" s="20" t="s">
        <v>1813</v>
      </c>
      <c r="L128" s="20" t="s">
        <v>1813</v>
      </c>
      <c r="M128" s="20" t="s">
        <v>1816</v>
      </c>
      <c r="N128" s="20" t="s">
        <v>1817</v>
      </c>
      <c r="O128" s="20" t="s">
        <v>1813</v>
      </c>
      <c r="P128" s="20" t="s">
        <v>1813</v>
      </c>
      <c r="Q128" s="20" t="s">
        <v>1813</v>
      </c>
      <c r="R128" s="20" t="s">
        <v>1813</v>
      </c>
      <c r="S128" s="20" t="s">
        <v>1813</v>
      </c>
      <c r="T128" s="20" t="s">
        <v>4052</v>
      </c>
      <c r="U128" s="20" t="s">
        <v>4053</v>
      </c>
      <c r="V128" s="20" t="s">
        <v>4054</v>
      </c>
      <c r="W128" s="20" t="s">
        <v>4055</v>
      </c>
      <c r="X128" s="20" t="s">
        <v>4056</v>
      </c>
      <c r="Y128" s="20" t="s">
        <v>4057</v>
      </c>
      <c r="Z128" s="20" t="s">
        <v>4058</v>
      </c>
      <c r="AA128" s="20" t="s">
        <v>4059</v>
      </c>
      <c r="AB128" s="20" t="s">
        <v>4060</v>
      </c>
      <c r="AC128" s="20" t="s">
        <v>4061</v>
      </c>
      <c r="AD128" s="20" t="s">
        <v>4062</v>
      </c>
      <c r="AE128" s="20" t="s">
        <v>4063</v>
      </c>
      <c r="AF128" s="20" t="s">
        <v>1813</v>
      </c>
      <c r="AG128" s="20">
        <v>54.0</v>
      </c>
      <c r="AH128" s="20">
        <v>90.0</v>
      </c>
      <c r="AI128" s="20">
        <v>117.0</v>
      </c>
      <c r="AJ128" s="20">
        <v>0.0</v>
      </c>
      <c r="AK128" s="20">
        <v>61.0</v>
      </c>
      <c r="AL128" s="20" t="s">
        <v>1852</v>
      </c>
      <c r="AM128" s="20" t="s">
        <v>1853</v>
      </c>
      <c r="AN128" s="20" t="s">
        <v>1854</v>
      </c>
      <c r="AO128" s="20" t="s">
        <v>3707</v>
      </c>
      <c r="AP128" s="20" t="s">
        <v>3708</v>
      </c>
      <c r="AQ128" s="20" t="s">
        <v>1813</v>
      </c>
      <c r="AR128" s="20" t="s">
        <v>3709</v>
      </c>
      <c r="AS128" s="20" t="s">
        <v>3710</v>
      </c>
      <c r="AT128" s="20" t="s">
        <v>2059</v>
      </c>
      <c r="AU128" s="20">
        <v>2010.0</v>
      </c>
      <c r="AV128" s="20">
        <v>25.0</v>
      </c>
      <c r="AW128" s="20">
        <v>4.0</v>
      </c>
      <c r="AX128" s="20" t="s">
        <v>1813</v>
      </c>
      <c r="AY128" s="20" t="s">
        <v>1813</v>
      </c>
      <c r="AZ128" s="20" t="s">
        <v>1813</v>
      </c>
      <c r="BA128" s="20" t="s">
        <v>1813</v>
      </c>
      <c r="BB128" s="20">
        <v>621.0</v>
      </c>
      <c r="BC128" s="20">
        <v>629.0</v>
      </c>
      <c r="BD128" s="20" t="s">
        <v>1813</v>
      </c>
      <c r="BE128" s="20" t="s">
        <v>4064</v>
      </c>
      <c r="BF128" s="22" t="str">
        <f>HYPERLINK("http://dx.doi.org/10.1007/s10980-009-9445-6","http://dx.doi.org/10.1007/s10980-009-9445-6")</f>
        <v>http://dx.doi.org/10.1007/s10980-009-9445-6</v>
      </c>
      <c r="BG128" s="20" t="s">
        <v>1813</v>
      </c>
      <c r="BH128" s="20" t="s">
        <v>1813</v>
      </c>
      <c r="BI128" s="20">
        <v>9.0</v>
      </c>
      <c r="BJ128" s="20" t="s">
        <v>3712</v>
      </c>
      <c r="BK128" s="20" t="s">
        <v>1839</v>
      </c>
      <c r="BL128" s="20" t="s">
        <v>3713</v>
      </c>
      <c r="BM128" s="20" t="s">
        <v>4065</v>
      </c>
      <c r="BN128" s="20" t="s">
        <v>1813</v>
      </c>
      <c r="BO128" s="20" t="s">
        <v>2267</v>
      </c>
      <c r="BP128" s="20" t="s">
        <v>1813</v>
      </c>
      <c r="BQ128" s="20" t="s">
        <v>1813</v>
      </c>
      <c r="BR128" s="20" t="s">
        <v>1842</v>
      </c>
      <c r="BS128" s="20" t="s">
        <v>4066</v>
      </c>
      <c r="BT128" s="20" t="str">
        <f>HYPERLINK("https%3A%2F%2Fwww.webofscience.com%2Fwos%2Fwoscc%2Ffull-record%2FWOS:000275444100010","View Full Record in Web of Science")</f>
        <v>View Full Record in Web of Science</v>
      </c>
    </row>
    <row r="129" ht="12.75" customHeight="1">
      <c r="A129" s="20" t="s">
        <v>1811</v>
      </c>
      <c r="B129" s="20" t="s">
        <v>4067</v>
      </c>
      <c r="C129" s="20" t="s">
        <v>1813</v>
      </c>
      <c r="D129" s="20" t="s">
        <v>1813</v>
      </c>
      <c r="E129" s="20" t="s">
        <v>1813</v>
      </c>
      <c r="F129" s="20" t="s">
        <v>4067</v>
      </c>
      <c r="G129" s="20" t="s">
        <v>1813</v>
      </c>
      <c r="H129" s="20" t="s">
        <v>1813</v>
      </c>
      <c r="I129" s="20" t="s">
        <v>1661</v>
      </c>
      <c r="J129" s="20" t="s">
        <v>4068</v>
      </c>
      <c r="K129" s="20" t="s">
        <v>1813</v>
      </c>
      <c r="L129" s="20" t="s">
        <v>1813</v>
      </c>
      <c r="M129" s="20" t="s">
        <v>1816</v>
      </c>
      <c r="N129" s="20" t="s">
        <v>1817</v>
      </c>
      <c r="O129" s="20" t="s">
        <v>1813</v>
      </c>
      <c r="P129" s="20" t="s">
        <v>1813</v>
      </c>
      <c r="Q129" s="20" t="s">
        <v>1813</v>
      </c>
      <c r="R129" s="20" t="s">
        <v>1813</v>
      </c>
      <c r="S129" s="20" t="s">
        <v>1813</v>
      </c>
      <c r="T129" s="20" t="s">
        <v>4069</v>
      </c>
      <c r="U129" s="20" t="s">
        <v>4070</v>
      </c>
      <c r="V129" s="20" t="s">
        <v>4071</v>
      </c>
      <c r="W129" s="20" t="s">
        <v>4072</v>
      </c>
      <c r="X129" s="20" t="s">
        <v>4073</v>
      </c>
      <c r="Y129" s="20" t="s">
        <v>4074</v>
      </c>
      <c r="Z129" s="20" t="s">
        <v>4075</v>
      </c>
      <c r="AA129" s="20" t="s">
        <v>2385</v>
      </c>
      <c r="AB129" s="20" t="s">
        <v>2386</v>
      </c>
      <c r="AC129" s="20" t="s">
        <v>1813</v>
      </c>
      <c r="AD129" s="20" t="s">
        <v>1813</v>
      </c>
      <c r="AE129" s="20" t="s">
        <v>1813</v>
      </c>
      <c r="AF129" s="20" t="s">
        <v>1813</v>
      </c>
      <c r="AG129" s="20">
        <v>39.0</v>
      </c>
      <c r="AH129" s="20">
        <v>24.0</v>
      </c>
      <c r="AI129" s="20">
        <v>26.0</v>
      </c>
      <c r="AJ129" s="20">
        <v>0.0</v>
      </c>
      <c r="AK129" s="20">
        <v>8.0</v>
      </c>
      <c r="AL129" s="20" t="s">
        <v>2343</v>
      </c>
      <c r="AM129" s="20" t="s">
        <v>2344</v>
      </c>
      <c r="AN129" s="20" t="s">
        <v>2345</v>
      </c>
      <c r="AO129" s="20" t="s">
        <v>4076</v>
      </c>
      <c r="AP129" s="20" t="s">
        <v>1813</v>
      </c>
      <c r="AQ129" s="20" t="s">
        <v>1813</v>
      </c>
      <c r="AR129" s="20" t="s">
        <v>4077</v>
      </c>
      <c r="AS129" s="20" t="s">
        <v>4078</v>
      </c>
      <c r="AT129" s="20" t="s">
        <v>4079</v>
      </c>
      <c r="AU129" s="20">
        <v>2004.0</v>
      </c>
      <c r="AV129" s="20">
        <v>35.0</v>
      </c>
      <c r="AW129" s="20">
        <v>2.0</v>
      </c>
      <c r="AX129" s="20" t="s">
        <v>1813</v>
      </c>
      <c r="AY129" s="20" t="s">
        <v>1813</v>
      </c>
      <c r="AZ129" s="20" t="s">
        <v>1813</v>
      </c>
      <c r="BA129" s="20" t="s">
        <v>1813</v>
      </c>
      <c r="BB129" s="20">
        <v>153.0</v>
      </c>
      <c r="BC129" s="20">
        <v>162.0</v>
      </c>
      <c r="BD129" s="20" t="s">
        <v>1813</v>
      </c>
      <c r="BE129" s="20" t="s">
        <v>4080</v>
      </c>
      <c r="BF129" s="22" t="str">
        <f>HYPERLINK("http://dx.doi.org/10.3354/ame035153","http://dx.doi.org/10.3354/ame035153")</f>
        <v>http://dx.doi.org/10.3354/ame035153</v>
      </c>
      <c r="BG129" s="20" t="s">
        <v>1813</v>
      </c>
      <c r="BH129" s="20" t="s">
        <v>1813</v>
      </c>
      <c r="BI129" s="20">
        <v>10.0</v>
      </c>
      <c r="BJ129" s="20" t="s">
        <v>4081</v>
      </c>
      <c r="BK129" s="20" t="s">
        <v>1839</v>
      </c>
      <c r="BL129" s="20" t="s">
        <v>4082</v>
      </c>
      <c r="BM129" s="20" t="s">
        <v>4083</v>
      </c>
      <c r="BN129" s="20" t="s">
        <v>1813</v>
      </c>
      <c r="BO129" s="20" t="s">
        <v>1878</v>
      </c>
      <c r="BP129" s="20" t="s">
        <v>1813</v>
      </c>
      <c r="BQ129" s="20" t="s">
        <v>1813</v>
      </c>
      <c r="BR129" s="20" t="s">
        <v>1842</v>
      </c>
      <c r="BS129" s="20" t="s">
        <v>4084</v>
      </c>
      <c r="BT129" s="20" t="str">
        <f>HYPERLINK("https%3A%2F%2Fwww.webofscience.com%2Fwos%2Fwoscc%2Ffull-record%2FWOS:000221603500005","View Full Record in Web of Science")</f>
        <v>View Full Record in Web of Science</v>
      </c>
    </row>
    <row r="130" ht="12.75" customHeight="1">
      <c r="A130" s="20" t="s">
        <v>1811</v>
      </c>
      <c r="B130" s="20" t="s">
        <v>4085</v>
      </c>
      <c r="C130" s="20" t="s">
        <v>1813</v>
      </c>
      <c r="D130" s="20" t="s">
        <v>1813</v>
      </c>
      <c r="E130" s="20" t="s">
        <v>1813</v>
      </c>
      <c r="F130" s="20" t="s">
        <v>4086</v>
      </c>
      <c r="G130" s="20" t="s">
        <v>1813</v>
      </c>
      <c r="H130" s="20" t="s">
        <v>1813</v>
      </c>
      <c r="I130" s="20" t="s">
        <v>1547</v>
      </c>
      <c r="J130" s="20" t="s">
        <v>2680</v>
      </c>
      <c r="K130" s="20" t="s">
        <v>1813</v>
      </c>
      <c r="L130" s="20" t="s">
        <v>1813</v>
      </c>
      <c r="M130" s="20" t="s">
        <v>1816</v>
      </c>
      <c r="N130" s="20" t="s">
        <v>1817</v>
      </c>
      <c r="O130" s="20" t="s">
        <v>1813</v>
      </c>
      <c r="P130" s="20" t="s">
        <v>1813</v>
      </c>
      <c r="Q130" s="20" t="s">
        <v>1813</v>
      </c>
      <c r="R130" s="20" t="s">
        <v>1813</v>
      </c>
      <c r="S130" s="20" t="s">
        <v>1813</v>
      </c>
      <c r="T130" s="20" t="s">
        <v>4087</v>
      </c>
      <c r="U130" s="20" t="s">
        <v>4088</v>
      </c>
      <c r="V130" s="20" t="s">
        <v>4089</v>
      </c>
      <c r="W130" s="20" t="s">
        <v>4090</v>
      </c>
      <c r="X130" s="20" t="s">
        <v>4091</v>
      </c>
      <c r="Y130" s="20" t="s">
        <v>4092</v>
      </c>
      <c r="Z130" s="20" t="s">
        <v>4093</v>
      </c>
      <c r="AA130" s="20" t="s">
        <v>4094</v>
      </c>
      <c r="AB130" s="20" t="s">
        <v>4095</v>
      </c>
      <c r="AC130" s="20" t="s">
        <v>4096</v>
      </c>
      <c r="AD130" s="20" t="s">
        <v>4097</v>
      </c>
      <c r="AE130" s="20" t="s">
        <v>4098</v>
      </c>
      <c r="AF130" s="20" t="s">
        <v>1813</v>
      </c>
      <c r="AG130" s="20">
        <v>89.0</v>
      </c>
      <c r="AH130" s="20">
        <v>222.0</v>
      </c>
      <c r="AI130" s="20">
        <v>294.0</v>
      </c>
      <c r="AJ130" s="20">
        <v>4.0</v>
      </c>
      <c r="AK130" s="20">
        <v>406.0</v>
      </c>
      <c r="AL130" s="20" t="s">
        <v>1829</v>
      </c>
      <c r="AM130" s="20" t="s">
        <v>1830</v>
      </c>
      <c r="AN130" s="20" t="s">
        <v>1831</v>
      </c>
      <c r="AO130" s="20" t="s">
        <v>2691</v>
      </c>
      <c r="AP130" s="20" t="s">
        <v>3608</v>
      </c>
      <c r="AQ130" s="20" t="s">
        <v>1813</v>
      </c>
      <c r="AR130" s="20" t="s">
        <v>2692</v>
      </c>
      <c r="AS130" s="20" t="s">
        <v>2693</v>
      </c>
      <c r="AT130" s="20" t="s">
        <v>1836</v>
      </c>
      <c r="AU130" s="20">
        <v>2011.0</v>
      </c>
      <c r="AV130" s="20">
        <v>21.0</v>
      </c>
      <c r="AW130" s="20">
        <v>6.0</v>
      </c>
      <c r="AX130" s="20" t="s">
        <v>1813</v>
      </c>
      <c r="AY130" s="20" t="s">
        <v>1813</v>
      </c>
      <c r="AZ130" s="20" t="s">
        <v>1813</v>
      </c>
      <c r="BA130" s="20" t="s">
        <v>1813</v>
      </c>
      <c r="BB130" s="20">
        <v>1932.0</v>
      </c>
      <c r="BC130" s="20">
        <v>1949.0</v>
      </c>
      <c r="BD130" s="20" t="s">
        <v>1813</v>
      </c>
      <c r="BE130" s="20" t="s">
        <v>4099</v>
      </c>
      <c r="BF130" s="22" t="str">
        <f>HYPERLINK("http://dx.doi.org/10.1890/10-1551.1","http://dx.doi.org/10.1890/10-1551.1")</f>
        <v>http://dx.doi.org/10.1890/10-1551.1</v>
      </c>
      <c r="BG130" s="20" t="s">
        <v>1813</v>
      </c>
      <c r="BH130" s="20" t="s">
        <v>1813</v>
      </c>
      <c r="BI130" s="20">
        <v>18.0</v>
      </c>
      <c r="BJ130" s="20" t="s">
        <v>2653</v>
      </c>
      <c r="BK130" s="20" t="s">
        <v>1839</v>
      </c>
      <c r="BL130" s="20" t="s">
        <v>1900</v>
      </c>
      <c r="BM130" s="20" t="s">
        <v>3610</v>
      </c>
      <c r="BN130" s="20">
        <v>2.1939035E7</v>
      </c>
      <c r="BO130" s="20" t="s">
        <v>1813</v>
      </c>
      <c r="BP130" s="20" t="s">
        <v>1813</v>
      </c>
      <c r="BQ130" s="20" t="s">
        <v>1813</v>
      </c>
      <c r="BR130" s="20" t="s">
        <v>1842</v>
      </c>
      <c r="BS130" s="20" t="s">
        <v>4100</v>
      </c>
      <c r="BT130" s="20" t="str">
        <f>HYPERLINK("https%3A%2F%2Fwww.webofscience.com%2Fwos%2Fwoscc%2Ffull-record%2FWOS:000294155900006","View Full Record in Web of Science")</f>
        <v>View Full Record in Web of Science</v>
      </c>
    </row>
    <row r="131" ht="12.75" customHeight="1">
      <c r="A131" s="20" t="s">
        <v>1811</v>
      </c>
      <c r="B131" s="20" t="s">
        <v>4101</v>
      </c>
      <c r="C131" s="20" t="s">
        <v>1813</v>
      </c>
      <c r="D131" s="20" t="s">
        <v>1813</v>
      </c>
      <c r="E131" s="20" t="s">
        <v>1813</v>
      </c>
      <c r="F131" s="20" t="s">
        <v>4101</v>
      </c>
      <c r="G131" s="20" t="s">
        <v>1813</v>
      </c>
      <c r="H131" s="20" t="s">
        <v>1813</v>
      </c>
      <c r="I131" s="20" t="s">
        <v>4102</v>
      </c>
      <c r="J131" s="20" t="s">
        <v>2271</v>
      </c>
      <c r="K131" s="20" t="s">
        <v>1813</v>
      </c>
      <c r="L131" s="20" t="s">
        <v>1813</v>
      </c>
      <c r="M131" s="20" t="s">
        <v>1816</v>
      </c>
      <c r="N131" s="20" t="s">
        <v>1817</v>
      </c>
      <c r="O131" s="20" t="s">
        <v>1813</v>
      </c>
      <c r="P131" s="20" t="s">
        <v>1813</v>
      </c>
      <c r="Q131" s="20" t="s">
        <v>1813</v>
      </c>
      <c r="R131" s="20" t="s">
        <v>1813</v>
      </c>
      <c r="S131" s="20" t="s">
        <v>1813</v>
      </c>
      <c r="T131" s="20" t="s">
        <v>1813</v>
      </c>
      <c r="U131" s="20" t="s">
        <v>4103</v>
      </c>
      <c r="V131" s="20" t="s">
        <v>4104</v>
      </c>
      <c r="W131" s="20" t="s">
        <v>4105</v>
      </c>
      <c r="X131" s="20" t="s">
        <v>4106</v>
      </c>
      <c r="Y131" s="20" t="s">
        <v>4107</v>
      </c>
      <c r="Z131" s="20" t="s">
        <v>4108</v>
      </c>
      <c r="AA131" s="20" t="s">
        <v>4109</v>
      </c>
      <c r="AB131" s="20" t="s">
        <v>4110</v>
      </c>
      <c r="AC131" s="20" t="s">
        <v>1813</v>
      </c>
      <c r="AD131" s="20" t="s">
        <v>1813</v>
      </c>
      <c r="AE131" s="20" t="s">
        <v>1813</v>
      </c>
      <c r="AF131" s="20" t="s">
        <v>1813</v>
      </c>
      <c r="AG131" s="20">
        <v>36.0</v>
      </c>
      <c r="AH131" s="20">
        <v>30.0</v>
      </c>
      <c r="AI131" s="20">
        <v>33.0</v>
      </c>
      <c r="AJ131" s="20">
        <v>0.0</v>
      </c>
      <c r="AK131" s="20">
        <v>22.0</v>
      </c>
      <c r="AL131" s="20" t="s">
        <v>1829</v>
      </c>
      <c r="AM131" s="20" t="s">
        <v>1830</v>
      </c>
      <c r="AN131" s="20" t="s">
        <v>1831</v>
      </c>
      <c r="AO131" s="20" t="s">
        <v>2283</v>
      </c>
      <c r="AP131" s="20" t="s">
        <v>2284</v>
      </c>
      <c r="AQ131" s="20" t="s">
        <v>1813</v>
      </c>
      <c r="AR131" s="20" t="s">
        <v>2271</v>
      </c>
      <c r="AS131" s="20" t="s">
        <v>2285</v>
      </c>
      <c r="AT131" s="20" t="s">
        <v>2396</v>
      </c>
      <c r="AU131" s="20">
        <v>2004.0</v>
      </c>
      <c r="AV131" s="20">
        <v>105.0</v>
      </c>
      <c r="AW131" s="20">
        <v>2.0</v>
      </c>
      <c r="AX131" s="20" t="s">
        <v>1813</v>
      </c>
      <c r="AY131" s="20" t="s">
        <v>1813</v>
      </c>
      <c r="AZ131" s="20" t="s">
        <v>1813</v>
      </c>
      <c r="BA131" s="20" t="s">
        <v>1813</v>
      </c>
      <c r="BB131" s="20">
        <v>359.0</v>
      </c>
      <c r="BC131" s="20">
        <v>367.0</v>
      </c>
      <c r="BD131" s="20" t="s">
        <v>1813</v>
      </c>
      <c r="BE131" s="20" t="s">
        <v>4111</v>
      </c>
      <c r="BF131" s="22" t="str">
        <f>HYPERLINK("http://dx.doi.org/10.1111/j.0030-1299.2004.12832.x","http://dx.doi.org/10.1111/j.0030-1299.2004.12832.x")</f>
        <v>http://dx.doi.org/10.1111/j.0030-1299.2004.12832.x</v>
      </c>
      <c r="BG131" s="20" t="s">
        <v>1813</v>
      </c>
      <c r="BH131" s="20" t="s">
        <v>1813</v>
      </c>
      <c r="BI131" s="20">
        <v>9.0</v>
      </c>
      <c r="BJ131" s="20" t="s">
        <v>1899</v>
      </c>
      <c r="BK131" s="20" t="s">
        <v>1839</v>
      </c>
      <c r="BL131" s="20" t="s">
        <v>1900</v>
      </c>
      <c r="BM131" s="20" t="s">
        <v>4112</v>
      </c>
      <c r="BN131" s="20" t="s">
        <v>1813</v>
      </c>
      <c r="BO131" s="20" t="s">
        <v>1813</v>
      </c>
      <c r="BP131" s="20" t="s">
        <v>1813</v>
      </c>
      <c r="BQ131" s="20" t="s">
        <v>1813</v>
      </c>
      <c r="BR131" s="20" t="s">
        <v>1842</v>
      </c>
      <c r="BS131" s="20" t="s">
        <v>4113</v>
      </c>
      <c r="BT131" s="20" t="str">
        <f>HYPERLINK("https%3A%2F%2Fwww.webofscience.com%2Fwos%2Fwoscc%2Ffull-record%2FWOS:000220383100015","View Full Record in Web of Science")</f>
        <v>View Full Record in Web of Science</v>
      </c>
    </row>
    <row r="132" ht="12.75" customHeight="1">
      <c r="A132" s="20" t="s">
        <v>1811</v>
      </c>
      <c r="B132" s="20" t="s">
        <v>4114</v>
      </c>
      <c r="C132" s="20" t="s">
        <v>1813</v>
      </c>
      <c r="D132" s="20" t="s">
        <v>1813</v>
      </c>
      <c r="E132" s="20" t="s">
        <v>1813</v>
      </c>
      <c r="F132" s="20" t="s">
        <v>4115</v>
      </c>
      <c r="G132" s="20" t="s">
        <v>1813</v>
      </c>
      <c r="H132" s="20" t="s">
        <v>1813</v>
      </c>
      <c r="I132" s="20" t="s">
        <v>1278</v>
      </c>
      <c r="J132" s="20" t="s">
        <v>2377</v>
      </c>
      <c r="K132" s="20" t="s">
        <v>1813</v>
      </c>
      <c r="L132" s="20" t="s">
        <v>1813</v>
      </c>
      <c r="M132" s="20" t="s">
        <v>1816</v>
      </c>
      <c r="N132" s="20" t="s">
        <v>1817</v>
      </c>
      <c r="O132" s="20" t="s">
        <v>1813</v>
      </c>
      <c r="P132" s="20" t="s">
        <v>1813</v>
      </c>
      <c r="Q132" s="20" t="s">
        <v>1813</v>
      </c>
      <c r="R132" s="20" t="s">
        <v>1813</v>
      </c>
      <c r="S132" s="20" t="s">
        <v>1813</v>
      </c>
      <c r="T132" s="20" t="s">
        <v>4116</v>
      </c>
      <c r="U132" s="20" t="s">
        <v>4117</v>
      </c>
      <c r="V132" s="20" t="s">
        <v>4118</v>
      </c>
      <c r="W132" s="20" t="s">
        <v>4119</v>
      </c>
      <c r="X132" s="20" t="s">
        <v>4120</v>
      </c>
      <c r="Y132" s="20" t="s">
        <v>4121</v>
      </c>
      <c r="Z132" s="20" t="s">
        <v>4122</v>
      </c>
      <c r="AA132" s="20" t="s">
        <v>4123</v>
      </c>
      <c r="AB132" s="20" t="s">
        <v>4124</v>
      </c>
      <c r="AC132" s="20" t="s">
        <v>4125</v>
      </c>
      <c r="AD132" s="20" t="s">
        <v>4126</v>
      </c>
      <c r="AE132" s="20" t="s">
        <v>4127</v>
      </c>
      <c r="AF132" s="20" t="s">
        <v>1813</v>
      </c>
      <c r="AG132" s="20">
        <v>49.0</v>
      </c>
      <c r="AH132" s="20">
        <v>161.0</v>
      </c>
      <c r="AI132" s="20">
        <v>175.0</v>
      </c>
      <c r="AJ132" s="20">
        <v>2.0</v>
      </c>
      <c r="AK132" s="20">
        <v>168.0</v>
      </c>
      <c r="AL132" s="20" t="s">
        <v>1829</v>
      </c>
      <c r="AM132" s="20" t="s">
        <v>1830</v>
      </c>
      <c r="AN132" s="20" t="s">
        <v>1831</v>
      </c>
      <c r="AO132" s="20" t="s">
        <v>2393</v>
      </c>
      <c r="AP132" s="20" t="s">
        <v>4128</v>
      </c>
      <c r="AQ132" s="20" t="s">
        <v>1813</v>
      </c>
      <c r="AR132" s="20" t="s">
        <v>2394</v>
      </c>
      <c r="AS132" s="20" t="s">
        <v>2395</v>
      </c>
      <c r="AT132" s="20" t="s">
        <v>1836</v>
      </c>
      <c r="AU132" s="20">
        <v>2011.0</v>
      </c>
      <c r="AV132" s="20">
        <v>26.0</v>
      </c>
      <c r="AW132" s="20">
        <v>5.0</v>
      </c>
      <c r="AX132" s="20" t="s">
        <v>1813</v>
      </c>
      <c r="AY132" s="20" t="s">
        <v>1813</v>
      </c>
      <c r="AZ132" s="20" t="s">
        <v>4129</v>
      </c>
      <c r="BA132" s="20" t="s">
        <v>1813</v>
      </c>
      <c r="BB132" s="20">
        <v>969.0</v>
      </c>
      <c r="BC132" s="20">
        <v>983.0</v>
      </c>
      <c r="BD132" s="20" t="s">
        <v>1813</v>
      </c>
      <c r="BE132" s="20" t="s">
        <v>4130</v>
      </c>
      <c r="BF132" s="22" t="str">
        <f>HYPERLINK("http://dx.doi.org/10.1007/s11284-011-0852-1","http://dx.doi.org/10.1007/s11284-011-0852-1")</f>
        <v>http://dx.doi.org/10.1007/s11284-011-0852-1</v>
      </c>
      <c r="BG132" s="20" t="s">
        <v>1813</v>
      </c>
      <c r="BH132" s="20" t="s">
        <v>1813</v>
      </c>
      <c r="BI132" s="20">
        <v>15.0</v>
      </c>
      <c r="BJ132" s="20" t="s">
        <v>1899</v>
      </c>
      <c r="BK132" s="20" t="s">
        <v>1839</v>
      </c>
      <c r="BL132" s="20" t="s">
        <v>1900</v>
      </c>
      <c r="BM132" s="20" t="s">
        <v>4131</v>
      </c>
      <c r="BN132" s="20" t="s">
        <v>1813</v>
      </c>
      <c r="BO132" s="20" t="s">
        <v>2267</v>
      </c>
      <c r="BP132" s="20" t="s">
        <v>1813</v>
      </c>
      <c r="BQ132" s="20" t="s">
        <v>1813</v>
      </c>
      <c r="BR132" s="20" t="s">
        <v>1842</v>
      </c>
      <c r="BS132" s="20" t="s">
        <v>4132</v>
      </c>
      <c r="BT132" s="20" t="str">
        <f>HYPERLINK("https%3A%2F%2Fwww.webofscience.com%2Fwos%2Fwoscc%2Ffull-record%2FWOS:000297204000013","View Full Record in Web of Science")</f>
        <v>View Full Record in Web of Science</v>
      </c>
    </row>
    <row r="133" ht="12.75" customHeight="1">
      <c r="A133" s="20" t="s">
        <v>1811</v>
      </c>
      <c r="B133" s="20" t="s">
        <v>4133</v>
      </c>
      <c r="C133" s="20" t="s">
        <v>1813</v>
      </c>
      <c r="D133" s="20" t="s">
        <v>1813</v>
      </c>
      <c r="E133" s="20" t="s">
        <v>1813</v>
      </c>
      <c r="F133" s="20" t="s">
        <v>4134</v>
      </c>
      <c r="G133" s="20" t="s">
        <v>1813</v>
      </c>
      <c r="H133" s="20" t="s">
        <v>1813</v>
      </c>
      <c r="I133" s="20" t="s">
        <v>4135</v>
      </c>
      <c r="J133" s="20" t="s">
        <v>4136</v>
      </c>
      <c r="K133" s="20" t="s">
        <v>1813</v>
      </c>
      <c r="L133" s="20" t="s">
        <v>1813</v>
      </c>
      <c r="M133" s="20" t="s">
        <v>1816</v>
      </c>
      <c r="N133" s="20" t="s">
        <v>1817</v>
      </c>
      <c r="O133" s="20" t="s">
        <v>1813</v>
      </c>
      <c r="P133" s="20" t="s">
        <v>1813</v>
      </c>
      <c r="Q133" s="20" t="s">
        <v>1813</v>
      </c>
      <c r="R133" s="20" t="s">
        <v>1813</v>
      </c>
      <c r="S133" s="20" t="s">
        <v>1813</v>
      </c>
      <c r="T133" s="20" t="s">
        <v>4137</v>
      </c>
      <c r="U133" s="20" t="s">
        <v>4138</v>
      </c>
      <c r="V133" s="20" t="s">
        <v>4139</v>
      </c>
      <c r="W133" s="20" t="s">
        <v>4140</v>
      </c>
      <c r="X133" s="20" t="s">
        <v>4141</v>
      </c>
      <c r="Y133" s="20" t="s">
        <v>4142</v>
      </c>
      <c r="Z133" s="20" t="s">
        <v>4143</v>
      </c>
      <c r="AA133" s="20" t="s">
        <v>1813</v>
      </c>
      <c r="AB133" s="20" t="s">
        <v>4144</v>
      </c>
      <c r="AC133" s="20" t="s">
        <v>4145</v>
      </c>
      <c r="AD133" s="20" t="s">
        <v>4145</v>
      </c>
      <c r="AE133" s="20" t="s">
        <v>4146</v>
      </c>
      <c r="AF133" s="20" t="s">
        <v>1813</v>
      </c>
      <c r="AG133" s="20">
        <v>37.0</v>
      </c>
      <c r="AH133" s="20">
        <v>12.0</v>
      </c>
      <c r="AI133" s="20">
        <v>13.0</v>
      </c>
      <c r="AJ133" s="20">
        <v>1.0</v>
      </c>
      <c r="AK133" s="20">
        <v>63.0</v>
      </c>
      <c r="AL133" s="20" t="s">
        <v>1852</v>
      </c>
      <c r="AM133" s="20" t="s">
        <v>2559</v>
      </c>
      <c r="AN133" s="20" t="s">
        <v>3023</v>
      </c>
      <c r="AO133" s="20" t="s">
        <v>4147</v>
      </c>
      <c r="AP133" s="20" t="s">
        <v>4148</v>
      </c>
      <c r="AQ133" s="20" t="s">
        <v>1813</v>
      </c>
      <c r="AR133" s="20" t="s">
        <v>4149</v>
      </c>
      <c r="AS133" s="20" t="s">
        <v>4150</v>
      </c>
      <c r="AT133" s="20" t="s">
        <v>1875</v>
      </c>
      <c r="AU133" s="20">
        <v>2013.0</v>
      </c>
      <c r="AV133" s="20">
        <v>51.0</v>
      </c>
      <c r="AW133" s="20">
        <v>3.0</v>
      </c>
      <c r="AX133" s="20" t="s">
        <v>1813</v>
      </c>
      <c r="AY133" s="20" t="s">
        <v>1813</v>
      </c>
      <c r="AZ133" s="20" t="s">
        <v>1813</v>
      </c>
      <c r="BA133" s="20" t="s">
        <v>1813</v>
      </c>
      <c r="BB133" s="20">
        <v>750.0</v>
      </c>
      <c r="BC133" s="20">
        <v>758.0</v>
      </c>
      <c r="BD133" s="20" t="s">
        <v>1813</v>
      </c>
      <c r="BE133" s="20" t="s">
        <v>4151</v>
      </c>
      <c r="BF133" s="22" t="str">
        <f>HYPERLINK("http://dx.doi.org/10.1007/s00267-012-9979-2","http://dx.doi.org/10.1007/s00267-012-9979-2")</f>
        <v>http://dx.doi.org/10.1007/s00267-012-9979-2</v>
      </c>
      <c r="BG133" s="20" t="s">
        <v>1813</v>
      </c>
      <c r="BH133" s="20" t="s">
        <v>1813</v>
      </c>
      <c r="BI133" s="20">
        <v>9.0</v>
      </c>
      <c r="BJ133" s="20" t="s">
        <v>3689</v>
      </c>
      <c r="BK133" s="20" t="s">
        <v>1839</v>
      </c>
      <c r="BL133" s="20" t="s">
        <v>1900</v>
      </c>
      <c r="BM133" s="20" t="s">
        <v>4152</v>
      </c>
      <c r="BN133" s="20">
        <v>2.3161251E7</v>
      </c>
      <c r="BO133" s="20" t="s">
        <v>1813</v>
      </c>
      <c r="BP133" s="20" t="s">
        <v>1813</v>
      </c>
      <c r="BQ133" s="20" t="s">
        <v>1813</v>
      </c>
      <c r="BR133" s="20" t="s">
        <v>1842</v>
      </c>
      <c r="BS133" s="20" t="s">
        <v>4153</v>
      </c>
      <c r="BT133" s="20" t="str">
        <f>HYPERLINK("https%3A%2F%2Fwww.webofscience.com%2Fwos%2Fwoscc%2Ffull-record%2FWOS:000315416900018","View Full Record in Web of Science")</f>
        <v>View Full Record in Web of Science</v>
      </c>
    </row>
    <row r="134" ht="12.75" customHeight="1">
      <c r="A134" s="20" t="s">
        <v>1811</v>
      </c>
      <c r="B134" s="20" t="s">
        <v>4154</v>
      </c>
      <c r="C134" s="20" t="s">
        <v>1813</v>
      </c>
      <c r="D134" s="20" t="s">
        <v>1813</v>
      </c>
      <c r="E134" s="20" t="s">
        <v>1813</v>
      </c>
      <c r="F134" s="20" t="s">
        <v>4155</v>
      </c>
      <c r="G134" s="20" t="s">
        <v>1813</v>
      </c>
      <c r="H134" s="20" t="s">
        <v>1813</v>
      </c>
      <c r="I134" s="20" t="s">
        <v>1317</v>
      </c>
      <c r="J134" s="20" t="s">
        <v>4156</v>
      </c>
      <c r="K134" s="20" t="s">
        <v>1813</v>
      </c>
      <c r="L134" s="20" t="s">
        <v>1813</v>
      </c>
      <c r="M134" s="20" t="s">
        <v>1816</v>
      </c>
      <c r="N134" s="20" t="s">
        <v>1817</v>
      </c>
      <c r="O134" s="20" t="s">
        <v>1813</v>
      </c>
      <c r="P134" s="20" t="s">
        <v>1813</v>
      </c>
      <c r="Q134" s="20" t="s">
        <v>1813</v>
      </c>
      <c r="R134" s="20" t="s">
        <v>1813</v>
      </c>
      <c r="S134" s="20" t="s">
        <v>1813</v>
      </c>
      <c r="T134" s="20" t="s">
        <v>4157</v>
      </c>
      <c r="U134" s="20" t="s">
        <v>4158</v>
      </c>
      <c r="V134" s="20" t="s">
        <v>4159</v>
      </c>
      <c r="W134" s="20" t="s">
        <v>4160</v>
      </c>
      <c r="X134" s="20" t="s">
        <v>4161</v>
      </c>
      <c r="Y134" s="20" t="s">
        <v>4162</v>
      </c>
      <c r="Z134" s="20" t="s">
        <v>4163</v>
      </c>
      <c r="AA134" s="20" t="s">
        <v>4164</v>
      </c>
      <c r="AB134" s="20" t="s">
        <v>4165</v>
      </c>
      <c r="AC134" s="20" t="s">
        <v>4166</v>
      </c>
      <c r="AD134" s="20" t="s">
        <v>4167</v>
      </c>
      <c r="AE134" s="20" t="s">
        <v>4168</v>
      </c>
      <c r="AF134" s="20" t="s">
        <v>1813</v>
      </c>
      <c r="AG134" s="20">
        <v>66.0</v>
      </c>
      <c r="AH134" s="20">
        <v>31.0</v>
      </c>
      <c r="AI134" s="20">
        <v>35.0</v>
      </c>
      <c r="AJ134" s="20">
        <v>0.0</v>
      </c>
      <c r="AK134" s="20">
        <v>41.0</v>
      </c>
      <c r="AL134" s="20" t="s">
        <v>1829</v>
      </c>
      <c r="AM134" s="20" t="s">
        <v>1830</v>
      </c>
      <c r="AN134" s="20" t="s">
        <v>1831</v>
      </c>
      <c r="AO134" s="20" t="s">
        <v>4169</v>
      </c>
      <c r="AP134" s="20" t="s">
        <v>4170</v>
      </c>
      <c r="AQ134" s="20" t="s">
        <v>1813</v>
      </c>
      <c r="AR134" s="20" t="s">
        <v>4171</v>
      </c>
      <c r="AS134" s="20" t="s">
        <v>4172</v>
      </c>
      <c r="AT134" s="20" t="s">
        <v>1916</v>
      </c>
      <c r="AU134" s="20">
        <v>2009.0</v>
      </c>
      <c r="AV134" s="20">
        <v>36.0</v>
      </c>
      <c r="AW134" s="20">
        <v>12.0</v>
      </c>
      <c r="AX134" s="20" t="s">
        <v>1813</v>
      </c>
      <c r="AY134" s="20" t="s">
        <v>1813</v>
      </c>
      <c r="AZ134" s="20" t="s">
        <v>1813</v>
      </c>
      <c r="BA134" s="20" t="s">
        <v>1813</v>
      </c>
      <c r="BB134" s="20">
        <v>2251.0</v>
      </c>
      <c r="BC134" s="20">
        <v>2263.0</v>
      </c>
      <c r="BD134" s="20" t="s">
        <v>1813</v>
      </c>
      <c r="BE134" s="20" t="s">
        <v>4173</v>
      </c>
      <c r="BF134" s="22" t="str">
        <f>HYPERLINK("http://dx.doi.org/10.1111/j.1365-2699.2009.02173.x","http://dx.doi.org/10.1111/j.1365-2699.2009.02173.x")</f>
        <v>http://dx.doi.org/10.1111/j.1365-2699.2009.02173.x</v>
      </c>
      <c r="BG134" s="20" t="s">
        <v>1813</v>
      </c>
      <c r="BH134" s="20" t="s">
        <v>1813</v>
      </c>
      <c r="BI134" s="20">
        <v>13.0</v>
      </c>
      <c r="BJ134" s="20" t="s">
        <v>4174</v>
      </c>
      <c r="BK134" s="20" t="s">
        <v>1839</v>
      </c>
      <c r="BL134" s="20" t="s">
        <v>4175</v>
      </c>
      <c r="BM134" s="20" t="s">
        <v>4176</v>
      </c>
      <c r="BN134" s="20" t="s">
        <v>1813</v>
      </c>
      <c r="BO134" s="20" t="s">
        <v>1813</v>
      </c>
      <c r="BP134" s="20" t="s">
        <v>1813</v>
      </c>
      <c r="BQ134" s="20" t="s">
        <v>1813</v>
      </c>
      <c r="BR134" s="20" t="s">
        <v>1842</v>
      </c>
      <c r="BS134" s="20" t="s">
        <v>4177</v>
      </c>
      <c r="BT134" s="20" t="str">
        <f>HYPERLINK("https%3A%2F%2Fwww.webofscience.com%2Fwos%2Fwoscc%2Ffull-record%2FWOS:000271902200007","View Full Record in Web of Science")</f>
        <v>View Full Record in Web of Science</v>
      </c>
    </row>
    <row r="135" ht="12.75" customHeight="1">
      <c r="A135" s="20" t="s">
        <v>1811</v>
      </c>
      <c r="B135" s="20" t="s">
        <v>4178</v>
      </c>
      <c r="C135" s="20" t="s">
        <v>1813</v>
      </c>
      <c r="D135" s="20" t="s">
        <v>1813</v>
      </c>
      <c r="E135" s="20" t="s">
        <v>1813</v>
      </c>
      <c r="F135" s="20" t="s">
        <v>4178</v>
      </c>
      <c r="G135" s="20" t="s">
        <v>1813</v>
      </c>
      <c r="H135" s="20" t="s">
        <v>1813</v>
      </c>
      <c r="I135" s="20" t="s">
        <v>1345</v>
      </c>
      <c r="J135" s="20" t="s">
        <v>2170</v>
      </c>
      <c r="K135" s="20" t="s">
        <v>1813</v>
      </c>
      <c r="L135" s="20" t="s">
        <v>1813</v>
      </c>
      <c r="M135" s="20" t="s">
        <v>1816</v>
      </c>
      <c r="N135" s="20" t="s">
        <v>1817</v>
      </c>
      <c r="O135" s="20" t="s">
        <v>1813</v>
      </c>
      <c r="P135" s="20" t="s">
        <v>1813</v>
      </c>
      <c r="Q135" s="20" t="s">
        <v>1813</v>
      </c>
      <c r="R135" s="20" t="s">
        <v>1813</v>
      </c>
      <c r="S135" s="20" t="s">
        <v>1813</v>
      </c>
      <c r="T135" s="20" t="s">
        <v>4179</v>
      </c>
      <c r="U135" s="20" t="s">
        <v>4180</v>
      </c>
      <c r="V135" s="20" t="s">
        <v>4181</v>
      </c>
      <c r="W135" s="20" t="s">
        <v>4182</v>
      </c>
      <c r="X135" s="20" t="s">
        <v>4183</v>
      </c>
      <c r="Y135" s="20" t="s">
        <v>4184</v>
      </c>
      <c r="Z135" s="20" t="s">
        <v>4185</v>
      </c>
      <c r="AA135" s="20" t="s">
        <v>1813</v>
      </c>
      <c r="AB135" s="20" t="s">
        <v>1813</v>
      </c>
      <c r="AC135" s="20" t="s">
        <v>1813</v>
      </c>
      <c r="AD135" s="20" t="s">
        <v>1813</v>
      </c>
      <c r="AE135" s="20" t="s">
        <v>1813</v>
      </c>
      <c r="AF135" s="20" t="s">
        <v>1813</v>
      </c>
      <c r="AG135" s="20">
        <v>34.0</v>
      </c>
      <c r="AH135" s="20">
        <v>409.0</v>
      </c>
      <c r="AI135" s="20">
        <v>511.0</v>
      </c>
      <c r="AJ135" s="20">
        <v>3.0</v>
      </c>
      <c r="AK135" s="20">
        <v>238.0</v>
      </c>
      <c r="AL135" s="20" t="s">
        <v>1829</v>
      </c>
      <c r="AM135" s="20" t="s">
        <v>1830</v>
      </c>
      <c r="AN135" s="20" t="s">
        <v>1831</v>
      </c>
      <c r="AO135" s="20" t="s">
        <v>2183</v>
      </c>
      <c r="AP135" s="20" t="s">
        <v>2184</v>
      </c>
      <c r="AQ135" s="20" t="s">
        <v>1813</v>
      </c>
      <c r="AR135" s="20" t="s">
        <v>2170</v>
      </c>
      <c r="AS135" s="20" t="s">
        <v>1899</v>
      </c>
      <c r="AT135" s="20" t="s">
        <v>1916</v>
      </c>
      <c r="AU135" s="20">
        <v>1998.0</v>
      </c>
      <c r="AV135" s="20">
        <v>79.0</v>
      </c>
      <c r="AW135" s="20">
        <v>8.0</v>
      </c>
      <c r="AX135" s="20" t="s">
        <v>1813</v>
      </c>
      <c r="AY135" s="20" t="s">
        <v>1813</v>
      </c>
      <c r="AZ135" s="20" t="s">
        <v>1813</v>
      </c>
      <c r="BA135" s="20" t="s">
        <v>1813</v>
      </c>
      <c r="BB135" s="20">
        <v>2593.0</v>
      </c>
      <c r="BC135" s="20">
        <v>2602.0</v>
      </c>
      <c r="BD135" s="20" t="s">
        <v>1813</v>
      </c>
      <c r="BE135" s="20" t="s">
        <v>4186</v>
      </c>
      <c r="BF135" s="22" t="str">
        <f>HYPERLINK("http://dx.doi.org/10.1890/0012-9658(1998)079[2593:SRIASG]2.0.CO;2","http://dx.doi.org/10.1890/0012-9658(1998)079[2593:SRIASG]2.0.CO;2")</f>
        <v>http://dx.doi.org/10.1890/0012-9658(1998)079[2593:SRIASG]2.0.CO;2</v>
      </c>
      <c r="BG135" s="20" t="s">
        <v>1813</v>
      </c>
      <c r="BH135" s="20" t="s">
        <v>1813</v>
      </c>
      <c r="BI135" s="20">
        <v>10.0</v>
      </c>
      <c r="BJ135" s="20" t="s">
        <v>1899</v>
      </c>
      <c r="BK135" s="20" t="s">
        <v>1839</v>
      </c>
      <c r="BL135" s="20" t="s">
        <v>1900</v>
      </c>
      <c r="BM135" s="20" t="s">
        <v>4187</v>
      </c>
      <c r="BN135" s="20" t="s">
        <v>1813</v>
      </c>
      <c r="BO135" s="20" t="s">
        <v>1813</v>
      </c>
      <c r="BP135" s="20" t="s">
        <v>1813</v>
      </c>
      <c r="BQ135" s="20" t="s">
        <v>1813</v>
      </c>
      <c r="BR135" s="20" t="s">
        <v>1842</v>
      </c>
      <c r="BS135" s="20" t="s">
        <v>4188</v>
      </c>
      <c r="BT135" s="20" t="str">
        <f>HYPERLINK("https%3A%2F%2Fwww.webofscience.com%2Fwos%2Fwoscc%2Ffull-record%2FWOS:000077501000002","View Full Record in Web of Science")</f>
        <v>View Full Record in Web of Science</v>
      </c>
    </row>
    <row r="136" ht="12.75" customHeight="1">
      <c r="A136" s="20" t="s">
        <v>1811</v>
      </c>
      <c r="B136" s="20" t="s">
        <v>4189</v>
      </c>
      <c r="C136" s="20" t="s">
        <v>1813</v>
      </c>
      <c r="D136" s="20" t="s">
        <v>1813</v>
      </c>
      <c r="E136" s="20" t="s">
        <v>1813</v>
      </c>
      <c r="F136" s="20" t="s">
        <v>4189</v>
      </c>
      <c r="G136" s="20" t="s">
        <v>1813</v>
      </c>
      <c r="H136" s="20" t="s">
        <v>1813</v>
      </c>
      <c r="I136" s="20" t="s">
        <v>1343</v>
      </c>
      <c r="J136" s="20" t="s">
        <v>2546</v>
      </c>
      <c r="K136" s="20" t="s">
        <v>1813</v>
      </c>
      <c r="L136" s="20" t="s">
        <v>1813</v>
      </c>
      <c r="M136" s="20" t="s">
        <v>1816</v>
      </c>
      <c r="N136" s="20" t="s">
        <v>1817</v>
      </c>
      <c r="O136" s="20" t="s">
        <v>1813</v>
      </c>
      <c r="P136" s="20" t="s">
        <v>1813</v>
      </c>
      <c r="Q136" s="20" t="s">
        <v>1813</v>
      </c>
      <c r="R136" s="20" t="s">
        <v>1813</v>
      </c>
      <c r="S136" s="20" t="s">
        <v>1813</v>
      </c>
      <c r="T136" s="20" t="s">
        <v>4190</v>
      </c>
      <c r="U136" s="20" t="s">
        <v>4191</v>
      </c>
      <c r="V136" s="20" t="s">
        <v>4192</v>
      </c>
      <c r="W136" s="20" t="s">
        <v>4193</v>
      </c>
      <c r="X136" s="20" t="s">
        <v>4194</v>
      </c>
      <c r="Y136" s="20" t="s">
        <v>4195</v>
      </c>
      <c r="Z136" s="20" t="s">
        <v>4196</v>
      </c>
      <c r="AA136" s="20" t="s">
        <v>4197</v>
      </c>
      <c r="AB136" s="20" t="s">
        <v>4198</v>
      </c>
      <c r="AC136" s="20" t="s">
        <v>1813</v>
      </c>
      <c r="AD136" s="20" t="s">
        <v>1813</v>
      </c>
      <c r="AE136" s="20" t="s">
        <v>1813</v>
      </c>
      <c r="AF136" s="20" t="s">
        <v>1813</v>
      </c>
      <c r="AG136" s="20">
        <v>32.0</v>
      </c>
      <c r="AH136" s="20">
        <v>63.0</v>
      </c>
      <c r="AI136" s="20">
        <v>73.0</v>
      </c>
      <c r="AJ136" s="20">
        <v>1.0</v>
      </c>
      <c r="AK136" s="20">
        <v>33.0</v>
      </c>
      <c r="AL136" s="20" t="s">
        <v>1852</v>
      </c>
      <c r="AM136" s="20" t="s">
        <v>2559</v>
      </c>
      <c r="AN136" s="20" t="s">
        <v>2560</v>
      </c>
      <c r="AO136" s="20" t="s">
        <v>2561</v>
      </c>
      <c r="AP136" s="20" t="s">
        <v>2562</v>
      </c>
      <c r="AQ136" s="20" t="s">
        <v>1813</v>
      </c>
      <c r="AR136" s="20" t="s">
        <v>2546</v>
      </c>
      <c r="AS136" s="20" t="s">
        <v>2563</v>
      </c>
      <c r="AT136" s="20" t="s">
        <v>2396</v>
      </c>
      <c r="AU136" s="20">
        <v>2006.0</v>
      </c>
      <c r="AV136" s="20">
        <v>148.0</v>
      </c>
      <c r="AW136" s="20">
        <v>1.0</v>
      </c>
      <c r="AX136" s="20" t="s">
        <v>1813</v>
      </c>
      <c r="AY136" s="20" t="s">
        <v>1813</v>
      </c>
      <c r="AZ136" s="20" t="s">
        <v>1813</v>
      </c>
      <c r="BA136" s="20" t="s">
        <v>1813</v>
      </c>
      <c r="BB136" s="20">
        <v>137.0</v>
      </c>
      <c r="BC136" s="20">
        <v>143.0</v>
      </c>
      <c r="BD136" s="20" t="s">
        <v>1813</v>
      </c>
      <c r="BE136" s="20" t="s">
        <v>4199</v>
      </c>
      <c r="BF136" s="22" t="str">
        <f>HYPERLINK("http://dx.doi.org/10.1007/s00442-005-0338-3","http://dx.doi.org/10.1007/s00442-005-0338-3")</f>
        <v>http://dx.doi.org/10.1007/s00442-005-0338-3</v>
      </c>
      <c r="BG136" s="20" t="s">
        <v>1813</v>
      </c>
      <c r="BH136" s="20" t="s">
        <v>1813</v>
      </c>
      <c r="BI136" s="20">
        <v>7.0</v>
      </c>
      <c r="BJ136" s="20" t="s">
        <v>1899</v>
      </c>
      <c r="BK136" s="20" t="s">
        <v>1839</v>
      </c>
      <c r="BL136" s="20" t="s">
        <v>1900</v>
      </c>
      <c r="BM136" s="20" t="s">
        <v>3855</v>
      </c>
      <c r="BN136" s="20">
        <v>1.645018E7</v>
      </c>
      <c r="BO136" s="20" t="s">
        <v>1813</v>
      </c>
      <c r="BP136" s="20" t="s">
        <v>1813</v>
      </c>
      <c r="BQ136" s="20" t="s">
        <v>1813</v>
      </c>
      <c r="BR136" s="20" t="s">
        <v>1842</v>
      </c>
      <c r="BS136" s="20" t="s">
        <v>4200</v>
      </c>
      <c r="BT136" s="20" t="str">
        <f>HYPERLINK("https%3A%2F%2Fwww.webofscience.com%2Fwos%2Fwoscc%2Ffull-record%2FWOS:000236968700015","View Full Record in Web of Science")</f>
        <v>View Full Record in Web of Science</v>
      </c>
    </row>
    <row r="137" ht="12.75" customHeight="1">
      <c r="A137" s="20" t="s">
        <v>1811</v>
      </c>
      <c r="B137" s="20" t="s">
        <v>4201</v>
      </c>
      <c r="C137" s="20" t="s">
        <v>1813</v>
      </c>
      <c r="D137" s="20" t="s">
        <v>1813</v>
      </c>
      <c r="E137" s="20" t="s">
        <v>1813</v>
      </c>
      <c r="F137" s="20" t="s">
        <v>4201</v>
      </c>
      <c r="G137" s="20" t="s">
        <v>1813</v>
      </c>
      <c r="H137" s="20" t="s">
        <v>1813</v>
      </c>
      <c r="I137" s="20" t="s">
        <v>1653</v>
      </c>
      <c r="J137" s="20" t="s">
        <v>2489</v>
      </c>
      <c r="K137" s="20" t="s">
        <v>1813</v>
      </c>
      <c r="L137" s="20" t="s">
        <v>1813</v>
      </c>
      <c r="M137" s="20" t="s">
        <v>1816</v>
      </c>
      <c r="N137" s="20" t="s">
        <v>1817</v>
      </c>
      <c r="O137" s="20" t="s">
        <v>1813</v>
      </c>
      <c r="P137" s="20" t="s">
        <v>1813</v>
      </c>
      <c r="Q137" s="20" t="s">
        <v>1813</v>
      </c>
      <c r="R137" s="20" t="s">
        <v>1813</v>
      </c>
      <c r="S137" s="20" t="s">
        <v>1813</v>
      </c>
      <c r="T137" s="20" t="s">
        <v>1813</v>
      </c>
      <c r="U137" s="20" t="s">
        <v>4202</v>
      </c>
      <c r="V137" s="20" t="s">
        <v>4203</v>
      </c>
      <c r="W137" s="20" t="s">
        <v>4204</v>
      </c>
      <c r="X137" s="20" t="s">
        <v>4205</v>
      </c>
      <c r="Y137" s="20" t="s">
        <v>4206</v>
      </c>
      <c r="Z137" s="20" t="s">
        <v>4207</v>
      </c>
      <c r="AA137" s="20" t="s">
        <v>4208</v>
      </c>
      <c r="AB137" s="20" t="s">
        <v>4209</v>
      </c>
      <c r="AC137" s="20" t="s">
        <v>1813</v>
      </c>
      <c r="AD137" s="20" t="s">
        <v>1813</v>
      </c>
      <c r="AE137" s="20" t="s">
        <v>1813</v>
      </c>
      <c r="AF137" s="20" t="s">
        <v>1813</v>
      </c>
      <c r="AG137" s="20">
        <v>51.0</v>
      </c>
      <c r="AH137" s="20">
        <v>122.0</v>
      </c>
      <c r="AI137" s="20">
        <v>150.0</v>
      </c>
      <c r="AJ137" s="20">
        <v>0.0</v>
      </c>
      <c r="AK137" s="20">
        <v>35.0</v>
      </c>
      <c r="AL137" s="20" t="s">
        <v>1829</v>
      </c>
      <c r="AM137" s="20" t="s">
        <v>1830</v>
      </c>
      <c r="AN137" s="20" t="s">
        <v>1831</v>
      </c>
      <c r="AO137" s="20" t="s">
        <v>2502</v>
      </c>
      <c r="AP137" s="20" t="s">
        <v>2503</v>
      </c>
      <c r="AQ137" s="20" t="s">
        <v>1813</v>
      </c>
      <c r="AR137" s="20" t="s">
        <v>2504</v>
      </c>
      <c r="AS137" s="20" t="s">
        <v>2505</v>
      </c>
      <c r="AT137" s="20" t="s">
        <v>2009</v>
      </c>
      <c r="AU137" s="20">
        <v>2003.0</v>
      </c>
      <c r="AV137" s="20">
        <v>17.0</v>
      </c>
      <c r="AW137" s="20">
        <v>1.0</v>
      </c>
      <c r="AX137" s="20" t="s">
        <v>1813</v>
      </c>
      <c r="AY137" s="20" t="s">
        <v>1813</v>
      </c>
      <c r="AZ137" s="20" t="s">
        <v>1813</v>
      </c>
      <c r="BA137" s="20" t="s">
        <v>1813</v>
      </c>
      <c r="BB137" s="20">
        <v>168.0</v>
      </c>
      <c r="BC137" s="20">
        <v>177.0</v>
      </c>
      <c r="BD137" s="20" t="s">
        <v>1813</v>
      </c>
      <c r="BE137" s="20" t="s">
        <v>4210</v>
      </c>
      <c r="BF137" s="22" t="str">
        <f>HYPERLINK("http://dx.doi.org/10.1046/j.1523-1739.2003.01310.x","http://dx.doi.org/10.1046/j.1523-1739.2003.01310.x")</f>
        <v>http://dx.doi.org/10.1046/j.1523-1739.2003.01310.x</v>
      </c>
      <c r="BG137" s="20" t="s">
        <v>1813</v>
      </c>
      <c r="BH137" s="20" t="s">
        <v>1813</v>
      </c>
      <c r="BI137" s="20">
        <v>10.0</v>
      </c>
      <c r="BJ137" s="20" t="s">
        <v>1860</v>
      </c>
      <c r="BK137" s="20" t="s">
        <v>1839</v>
      </c>
      <c r="BL137" s="20" t="s">
        <v>1840</v>
      </c>
      <c r="BM137" s="20" t="s">
        <v>4211</v>
      </c>
      <c r="BN137" s="20" t="s">
        <v>1813</v>
      </c>
      <c r="BO137" s="20" t="s">
        <v>1878</v>
      </c>
      <c r="BP137" s="20" t="s">
        <v>1813</v>
      </c>
      <c r="BQ137" s="20" t="s">
        <v>1813</v>
      </c>
      <c r="BR137" s="20" t="s">
        <v>1842</v>
      </c>
      <c r="BS137" s="20" t="s">
        <v>4212</v>
      </c>
      <c r="BT137" s="20" t="str">
        <f>HYPERLINK("https%3A%2F%2Fwww.webofscience.com%2Fwos%2Fwoscc%2Ffull-record%2FWOS:000180846200021","View Full Record in Web of Science")</f>
        <v>View Full Record in Web of Science</v>
      </c>
    </row>
    <row r="138" ht="12.75" customHeight="1">
      <c r="A138" s="20" t="s">
        <v>1811</v>
      </c>
      <c r="B138" s="20" t="s">
        <v>4213</v>
      </c>
      <c r="C138" s="20" t="s">
        <v>1813</v>
      </c>
      <c r="D138" s="20" t="s">
        <v>1813</v>
      </c>
      <c r="E138" s="20" t="s">
        <v>1813</v>
      </c>
      <c r="F138" s="20" t="s">
        <v>4213</v>
      </c>
      <c r="G138" s="20" t="s">
        <v>1813</v>
      </c>
      <c r="H138" s="20" t="s">
        <v>1813</v>
      </c>
      <c r="I138" s="20" t="s">
        <v>1471</v>
      </c>
      <c r="J138" s="20" t="s">
        <v>2546</v>
      </c>
      <c r="K138" s="20" t="s">
        <v>1813</v>
      </c>
      <c r="L138" s="20" t="s">
        <v>1813</v>
      </c>
      <c r="M138" s="20" t="s">
        <v>1816</v>
      </c>
      <c r="N138" s="20" t="s">
        <v>1817</v>
      </c>
      <c r="O138" s="20" t="s">
        <v>1813</v>
      </c>
      <c r="P138" s="20" t="s">
        <v>1813</v>
      </c>
      <c r="Q138" s="20" t="s">
        <v>1813</v>
      </c>
      <c r="R138" s="20" t="s">
        <v>1813</v>
      </c>
      <c r="S138" s="20" t="s">
        <v>1813</v>
      </c>
      <c r="T138" s="20" t="s">
        <v>4214</v>
      </c>
      <c r="U138" s="20" t="s">
        <v>4215</v>
      </c>
      <c r="V138" s="20" t="s">
        <v>4216</v>
      </c>
      <c r="W138" s="20" t="s">
        <v>4217</v>
      </c>
      <c r="X138" s="20" t="s">
        <v>2685</v>
      </c>
      <c r="Y138" s="20" t="s">
        <v>4218</v>
      </c>
      <c r="Z138" s="20" t="s">
        <v>4219</v>
      </c>
      <c r="AA138" s="20" t="s">
        <v>4220</v>
      </c>
      <c r="AB138" s="20" t="s">
        <v>4221</v>
      </c>
      <c r="AC138" s="20" t="s">
        <v>1813</v>
      </c>
      <c r="AD138" s="20" t="s">
        <v>1813</v>
      </c>
      <c r="AE138" s="20" t="s">
        <v>1813</v>
      </c>
      <c r="AF138" s="20" t="s">
        <v>1813</v>
      </c>
      <c r="AG138" s="20">
        <v>45.0</v>
      </c>
      <c r="AH138" s="20">
        <v>35.0</v>
      </c>
      <c r="AI138" s="20">
        <v>40.0</v>
      </c>
      <c r="AJ138" s="20">
        <v>0.0</v>
      </c>
      <c r="AK138" s="20">
        <v>13.0</v>
      </c>
      <c r="AL138" s="20" t="s">
        <v>1852</v>
      </c>
      <c r="AM138" s="20" t="s">
        <v>2559</v>
      </c>
      <c r="AN138" s="20" t="s">
        <v>2560</v>
      </c>
      <c r="AO138" s="20" t="s">
        <v>2561</v>
      </c>
      <c r="AP138" s="20" t="s">
        <v>2562</v>
      </c>
      <c r="AQ138" s="20" t="s">
        <v>1813</v>
      </c>
      <c r="AR138" s="20" t="s">
        <v>2546</v>
      </c>
      <c r="AS138" s="20" t="s">
        <v>2563</v>
      </c>
      <c r="AT138" s="20" t="s">
        <v>1858</v>
      </c>
      <c r="AU138" s="20">
        <v>2005.0</v>
      </c>
      <c r="AV138" s="20">
        <v>142.0</v>
      </c>
      <c r="AW138" s="20">
        <v>1.0</v>
      </c>
      <c r="AX138" s="20" t="s">
        <v>1813</v>
      </c>
      <c r="AY138" s="20" t="s">
        <v>1813</v>
      </c>
      <c r="AZ138" s="20" t="s">
        <v>1813</v>
      </c>
      <c r="BA138" s="20" t="s">
        <v>1813</v>
      </c>
      <c r="BB138" s="20">
        <v>98.0</v>
      </c>
      <c r="BC138" s="20">
        <v>103.0</v>
      </c>
      <c r="BD138" s="20" t="s">
        <v>1813</v>
      </c>
      <c r="BE138" s="20" t="s">
        <v>4222</v>
      </c>
      <c r="BF138" s="22" t="str">
        <f>HYPERLINK("http://dx.doi.org/10.1007/s00442-004-1700-6","http://dx.doi.org/10.1007/s00442-004-1700-6")</f>
        <v>http://dx.doi.org/10.1007/s00442-004-1700-6</v>
      </c>
      <c r="BG138" s="20" t="s">
        <v>1813</v>
      </c>
      <c r="BH138" s="20" t="s">
        <v>1813</v>
      </c>
      <c r="BI138" s="20">
        <v>6.0</v>
      </c>
      <c r="BJ138" s="20" t="s">
        <v>1899</v>
      </c>
      <c r="BK138" s="20" t="s">
        <v>1839</v>
      </c>
      <c r="BL138" s="20" t="s">
        <v>1900</v>
      </c>
      <c r="BM138" s="20" t="s">
        <v>4223</v>
      </c>
      <c r="BN138" s="20">
        <v>1.5365809E7</v>
      </c>
      <c r="BO138" s="20" t="s">
        <v>1813</v>
      </c>
      <c r="BP138" s="20" t="s">
        <v>1813</v>
      </c>
      <c r="BQ138" s="20" t="s">
        <v>1813</v>
      </c>
      <c r="BR138" s="20" t="s">
        <v>1842</v>
      </c>
      <c r="BS138" s="20" t="s">
        <v>4224</v>
      </c>
      <c r="BT138" s="20" t="str">
        <f>HYPERLINK("https%3A%2F%2Fwww.webofscience.com%2Fwos%2Fwoscc%2Ffull-record%2FWOS:000225472100011","View Full Record in Web of Science")</f>
        <v>View Full Record in Web of Science</v>
      </c>
    </row>
    <row r="139" ht="12.75" customHeight="1">
      <c r="A139" s="20" t="s">
        <v>1811</v>
      </c>
      <c r="B139" s="20" t="s">
        <v>4225</v>
      </c>
      <c r="C139" s="20" t="s">
        <v>1813</v>
      </c>
      <c r="D139" s="20" t="s">
        <v>1813</v>
      </c>
      <c r="E139" s="20" t="s">
        <v>1813</v>
      </c>
      <c r="F139" s="20" t="s">
        <v>4226</v>
      </c>
      <c r="G139" s="20" t="s">
        <v>1813</v>
      </c>
      <c r="H139" s="20" t="s">
        <v>1813</v>
      </c>
      <c r="I139" s="20" t="s">
        <v>4227</v>
      </c>
      <c r="J139" s="20" t="s">
        <v>2192</v>
      </c>
      <c r="K139" s="20" t="s">
        <v>1813</v>
      </c>
      <c r="L139" s="20" t="s">
        <v>1813</v>
      </c>
      <c r="M139" s="20" t="s">
        <v>1816</v>
      </c>
      <c r="N139" s="20" t="s">
        <v>1817</v>
      </c>
      <c r="O139" s="20" t="s">
        <v>1813</v>
      </c>
      <c r="P139" s="20" t="s">
        <v>1813</v>
      </c>
      <c r="Q139" s="20" t="s">
        <v>1813</v>
      </c>
      <c r="R139" s="20" t="s">
        <v>1813</v>
      </c>
      <c r="S139" s="20" t="s">
        <v>1813</v>
      </c>
      <c r="T139" s="20" t="s">
        <v>1813</v>
      </c>
      <c r="U139" s="20" t="s">
        <v>4228</v>
      </c>
      <c r="V139" s="20" t="s">
        <v>4229</v>
      </c>
      <c r="W139" s="20" t="s">
        <v>4230</v>
      </c>
      <c r="X139" s="20" t="s">
        <v>4231</v>
      </c>
      <c r="Y139" s="20" t="s">
        <v>4232</v>
      </c>
      <c r="Z139" s="20" t="s">
        <v>4233</v>
      </c>
      <c r="AA139" s="20" t="s">
        <v>1813</v>
      </c>
      <c r="AB139" s="20" t="s">
        <v>1813</v>
      </c>
      <c r="AC139" s="20" t="s">
        <v>4234</v>
      </c>
      <c r="AD139" s="20" t="s">
        <v>4235</v>
      </c>
      <c r="AE139" s="20" t="s">
        <v>4236</v>
      </c>
      <c r="AF139" s="20" t="s">
        <v>1813</v>
      </c>
      <c r="AG139" s="20">
        <v>63.0</v>
      </c>
      <c r="AH139" s="20">
        <v>14.0</v>
      </c>
      <c r="AI139" s="20">
        <v>19.0</v>
      </c>
      <c r="AJ139" s="20">
        <v>0.0</v>
      </c>
      <c r="AK139" s="20">
        <v>38.0</v>
      </c>
      <c r="AL139" s="20" t="s">
        <v>2204</v>
      </c>
      <c r="AM139" s="20" t="s">
        <v>2205</v>
      </c>
      <c r="AN139" s="20" t="s">
        <v>2206</v>
      </c>
      <c r="AO139" s="20" t="s">
        <v>2207</v>
      </c>
      <c r="AP139" s="20" t="s">
        <v>1813</v>
      </c>
      <c r="AQ139" s="20" t="s">
        <v>1813</v>
      </c>
      <c r="AR139" s="20" t="s">
        <v>2192</v>
      </c>
      <c r="AS139" s="20" t="s">
        <v>2208</v>
      </c>
      <c r="AT139" s="20" t="s">
        <v>4237</v>
      </c>
      <c r="AU139" s="20">
        <v>2012.0</v>
      </c>
      <c r="AV139" s="20">
        <v>7.0</v>
      </c>
      <c r="AW139" s="20">
        <v>8.0</v>
      </c>
      <c r="AX139" s="20" t="s">
        <v>1813</v>
      </c>
      <c r="AY139" s="20" t="s">
        <v>1813</v>
      </c>
      <c r="AZ139" s="20" t="s">
        <v>1813</v>
      </c>
      <c r="BA139" s="20" t="s">
        <v>1813</v>
      </c>
      <c r="BB139" s="20" t="s">
        <v>1813</v>
      </c>
      <c r="BC139" s="20" t="s">
        <v>1813</v>
      </c>
      <c r="BD139" s="20" t="s">
        <v>4238</v>
      </c>
      <c r="BE139" s="20" t="s">
        <v>4239</v>
      </c>
      <c r="BF139" s="22" t="str">
        <f>HYPERLINK("http://dx.doi.org/10.1371/journal.pone.0042460","http://dx.doi.org/10.1371/journal.pone.0042460")</f>
        <v>http://dx.doi.org/10.1371/journal.pone.0042460</v>
      </c>
      <c r="BG139" s="20" t="s">
        <v>1813</v>
      </c>
      <c r="BH139" s="20" t="s">
        <v>1813</v>
      </c>
      <c r="BI139" s="20">
        <v>8.0</v>
      </c>
      <c r="BJ139" s="20" t="s">
        <v>1966</v>
      </c>
      <c r="BK139" s="20" t="s">
        <v>1839</v>
      </c>
      <c r="BL139" s="20" t="s">
        <v>1967</v>
      </c>
      <c r="BM139" s="20" t="s">
        <v>4240</v>
      </c>
      <c r="BN139" s="20">
        <v>2.2879991E7</v>
      </c>
      <c r="BO139" s="20" t="s">
        <v>2213</v>
      </c>
      <c r="BP139" s="20" t="s">
        <v>1813</v>
      </c>
      <c r="BQ139" s="20" t="s">
        <v>1813</v>
      </c>
      <c r="BR139" s="20" t="s">
        <v>1842</v>
      </c>
      <c r="BS139" s="20" t="s">
        <v>4241</v>
      </c>
      <c r="BT139" s="20" t="str">
        <f>HYPERLINK("https%3A%2F%2Fwww.webofscience.com%2Fwos%2Fwoscc%2Ffull-record%2FWOS:000307284100099","View Full Record in Web of Science")</f>
        <v>View Full Record in Web of Science</v>
      </c>
    </row>
    <row r="140" ht="12.75" customHeight="1">
      <c r="A140" s="20" t="s">
        <v>1811</v>
      </c>
      <c r="B140" s="20" t="s">
        <v>4242</v>
      </c>
      <c r="C140" s="20" t="s">
        <v>1813</v>
      </c>
      <c r="D140" s="20" t="s">
        <v>1813</v>
      </c>
      <c r="E140" s="20" t="s">
        <v>1813</v>
      </c>
      <c r="F140" s="20" t="s">
        <v>4243</v>
      </c>
      <c r="G140" s="20" t="s">
        <v>1813</v>
      </c>
      <c r="H140" s="20" t="s">
        <v>1813</v>
      </c>
      <c r="I140" s="20" t="s">
        <v>4244</v>
      </c>
      <c r="J140" s="20" t="s">
        <v>4156</v>
      </c>
      <c r="K140" s="20" t="s">
        <v>1813</v>
      </c>
      <c r="L140" s="20" t="s">
        <v>1813</v>
      </c>
      <c r="M140" s="20" t="s">
        <v>1816</v>
      </c>
      <c r="N140" s="20" t="s">
        <v>1817</v>
      </c>
      <c r="O140" s="20" t="s">
        <v>1813</v>
      </c>
      <c r="P140" s="20" t="s">
        <v>1813</v>
      </c>
      <c r="Q140" s="20" t="s">
        <v>1813</v>
      </c>
      <c r="R140" s="20" t="s">
        <v>1813</v>
      </c>
      <c r="S140" s="20" t="s">
        <v>1813</v>
      </c>
      <c r="T140" s="20" t="s">
        <v>4245</v>
      </c>
      <c r="U140" s="20" t="s">
        <v>4246</v>
      </c>
      <c r="V140" s="20" t="s">
        <v>4247</v>
      </c>
      <c r="W140" s="20" t="s">
        <v>4248</v>
      </c>
      <c r="X140" s="20" t="s">
        <v>4249</v>
      </c>
      <c r="Y140" s="20" t="s">
        <v>4250</v>
      </c>
      <c r="Z140" s="20" t="s">
        <v>4251</v>
      </c>
      <c r="AA140" s="20" t="s">
        <v>4252</v>
      </c>
      <c r="AB140" s="20" t="s">
        <v>4253</v>
      </c>
      <c r="AC140" s="20" t="s">
        <v>1813</v>
      </c>
      <c r="AD140" s="20" t="s">
        <v>1813</v>
      </c>
      <c r="AE140" s="20" t="s">
        <v>1813</v>
      </c>
      <c r="AF140" s="20" t="s">
        <v>1813</v>
      </c>
      <c r="AG140" s="20">
        <v>48.0</v>
      </c>
      <c r="AH140" s="20">
        <v>72.0</v>
      </c>
      <c r="AI140" s="20">
        <v>79.0</v>
      </c>
      <c r="AJ140" s="20">
        <v>0.0</v>
      </c>
      <c r="AK140" s="20">
        <v>36.0</v>
      </c>
      <c r="AL140" s="20" t="s">
        <v>1829</v>
      </c>
      <c r="AM140" s="20" t="s">
        <v>1830</v>
      </c>
      <c r="AN140" s="20" t="s">
        <v>1831</v>
      </c>
      <c r="AO140" s="20" t="s">
        <v>4169</v>
      </c>
      <c r="AP140" s="20" t="s">
        <v>4170</v>
      </c>
      <c r="AQ140" s="20" t="s">
        <v>1813</v>
      </c>
      <c r="AR140" s="20" t="s">
        <v>4171</v>
      </c>
      <c r="AS140" s="20" t="s">
        <v>4172</v>
      </c>
      <c r="AT140" s="20" t="s">
        <v>2082</v>
      </c>
      <c r="AU140" s="20">
        <v>2006.0</v>
      </c>
      <c r="AV140" s="20">
        <v>33.0</v>
      </c>
      <c r="AW140" s="20">
        <v>8.0</v>
      </c>
      <c r="AX140" s="20" t="s">
        <v>1813</v>
      </c>
      <c r="AY140" s="20" t="s">
        <v>1813</v>
      </c>
      <c r="AZ140" s="20" t="s">
        <v>1813</v>
      </c>
      <c r="BA140" s="20" t="s">
        <v>1813</v>
      </c>
      <c r="BB140" s="20">
        <v>1348.0</v>
      </c>
      <c r="BC140" s="20">
        <v>1356.0</v>
      </c>
      <c r="BD140" s="20" t="s">
        <v>1813</v>
      </c>
      <c r="BE140" s="20" t="s">
        <v>4254</v>
      </c>
      <c r="BF140" s="22" t="str">
        <f>HYPERLINK("http://dx.doi.org/10.1111/j.1365-2699.2006.01516.x","http://dx.doi.org/10.1111/j.1365-2699.2006.01516.x")</f>
        <v>http://dx.doi.org/10.1111/j.1365-2699.2006.01516.x</v>
      </c>
      <c r="BG140" s="20" t="s">
        <v>1813</v>
      </c>
      <c r="BH140" s="20" t="s">
        <v>1813</v>
      </c>
      <c r="BI140" s="20">
        <v>9.0</v>
      </c>
      <c r="BJ140" s="20" t="s">
        <v>4174</v>
      </c>
      <c r="BK140" s="20" t="s">
        <v>1839</v>
      </c>
      <c r="BL140" s="20" t="s">
        <v>4175</v>
      </c>
      <c r="BM140" s="20" t="s">
        <v>4255</v>
      </c>
      <c r="BN140" s="20" t="s">
        <v>1813</v>
      </c>
      <c r="BO140" s="20" t="s">
        <v>1813</v>
      </c>
      <c r="BP140" s="20" t="s">
        <v>1813</v>
      </c>
      <c r="BQ140" s="20" t="s">
        <v>1813</v>
      </c>
      <c r="BR140" s="20" t="s">
        <v>1842</v>
      </c>
      <c r="BS140" s="20" t="s">
        <v>4256</v>
      </c>
      <c r="BT140" s="20" t="str">
        <f>HYPERLINK("https%3A%2F%2Fwww.webofscience.com%2Fwos%2Fwoscc%2Ffull-record%2FWOS:000238887900004","View Full Record in Web of Science")</f>
        <v>View Full Record in Web of Science</v>
      </c>
    </row>
    <row r="141" ht="12.75" customHeight="1">
      <c r="A141" s="20" t="s">
        <v>1811</v>
      </c>
      <c r="B141" s="20" t="s">
        <v>4257</v>
      </c>
      <c r="C141" s="20" t="s">
        <v>1813</v>
      </c>
      <c r="D141" s="20" t="s">
        <v>1813</v>
      </c>
      <c r="E141" s="20" t="s">
        <v>1813</v>
      </c>
      <c r="F141" s="20" t="s">
        <v>4257</v>
      </c>
      <c r="G141" s="20" t="s">
        <v>1813</v>
      </c>
      <c r="H141" s="20" t="s">
        <v>1813</v>
      </c>
      <c r="I141" s="20" t="s">
        <v>4258</v>
      </c>
      <c r="J141" s="20" t="s">
        <v>1923</v>
      </c>
      <c r="K141" s="20" t="s">
        <v>1813</v>
      </c>
      <c r="L141" s="20" t="s">
        <v>1813</v>
      </c>
      <c r="M141" s="20" t="s">
        <v>1816</v>
      </c>
      <c r="N141" s="20" t="s">
        <v>1817</v>
      </c>
      <c r="O141" s="20" t="s">
        <v>1813</v>
      </c>
      <c r="P141" s="20" t="s">
        <v>1813</v>
      </c>
      <c r="Q141" s="20" t="s">
        <v>1813</v>
      </c>
      <c r="R141" s="20" t="s">
        <v>1813</v>
      </c>
      <c r="S141" s="20" t="s">
        <v>1813</v>
      </c>
      <c r="T141" s="20" t="s">
        <v>1813</v>
      </c>
      <c r="U141" s="20" t="s">
        <v>4259</v>
      </c>
      <c r="V141" s="20" t="s">
        <v>4260</v>
      </c>
      <c r="W141" s="20" t="s">
        <v>1813</v>
      </c>
      <c r="X141" s="20" t="s">
        <v>1813</v>
      </c>
      <c r="Y141" s="20" t="s">
        <v>4261</v>
      </c>
      <c r="Z141" s="20" t="s">
        <v>1813</v>
      </c>
      <c r="AA141" s="20" t="s">
        <v>4262</v>
      </c>
      <c r="AB141" s="20" t="s">
        <v>4263</v>
      </c>
      <c r="AC141" s="20" t="s">
        <v>1813</v>
      </c>
      <c r="AD141" s="20" t="s">
        <v>1813</v>
      </c>
      <c r="AE141" s="20" t="s">
        <v>1813</v>
      </c>
      <c r="AF141" s="20" t="s">
        <v>1813</v>
      </c>
      <c r="AG141" s="20">
        <v>39.0</v>
      </c>
      <c r="AH141" s="20">
        <v>230.0</v>
      </c>
      <c r="AI141" s="20">
        <v>271.0</v>
      </c>
      <c r="AJ141" s="20">
        <v>0.0</v>
      </c>
      <c r="AK141" s="20">
        <v>97.0</v>
      </c>
      <c r="AL141" s="20" t="s">
        <v>1829</v>
      </c>
      <c r="AM141" s="20" t="s">
        <v>1830</v>
      </c>
      <c r="AN141" s="20" t="s">
        <v>1831</v>
      </c>
      <c r="AO141" s="20" t="s">
        <v>1935</v>
      </c>
      <c r="AP141" s="20" t="s">
        <v>1936</v>
      </c>
      <c r="AQ141" s="20" t="s">
        <v>1813</v>
      </c>
      <c r="AR141" s="20" t="s">
        <v>1937</v>
      </c>
      <c r="AS141" s="20" t="s">
        <v>1938</v>
      </c>
      <c r="AT141" s="20" t="s">
        <v>2059</v>
      </c>
      <c r="AU141" s="20">
        <v>1991.0</v>
      </c>
      <c r="AV141" s="20">
        <v>28.0</v>
      </c>
      <c r="AW141" s="20">
        <v>1.0</v>
      </c>
      <c r="AX141" s="20" t="s">
        <v>1813</v>
      </c>
      <c r="AY141" s="20" t="s">
        <v>1813</v>
      </c>
      <c r="AZ141" s="20" t="s">
        <v>1813</v>
      </c>
      <c r="BA141" s="20" t="s">
        <v>1813</v>
      </c>
      <c r="BB141" s="20">
        <v>28.0</v>
      </c>
      <c r="BC141" s="20">
        <v>41.0</v>
      </c>
      <c r="BD141" s="20" t="s">
        <v>1813</v>
      </c>
      <c r="BE141" s="20" t="s">
        <v>4264</v>
      </c>
      <c r="BF141" s="22" t="str">
        <f>HYPERLINK("http://dx.doi.org/10.2307/2404111","http://dx.doi.org/10.2307/2404111")</f>
        <v>http://dx.doi.org/10.2307/2404111</v>
      </c>
      <c r="BG141" s="20" t="s">
        <v>1813</v>
      </c>
      <c r="BH141" s="20" t="s">
        <v>1813</v>
      </c>
      <c r="BI141" s="20">
        <v>14.0</v>
      </c>
      <c r="BJ141" s="20" t="s">
        <v>1838</v>
      </c>
      <c r="BK141" s="20" t="s">
        <v>1839</v>
      </c>
      <c r="BL141" s="20" t="s">
        <v>1840</v>
      </c>
      <c r="BM141" s="20" t="s">
        <v>4265</v>
      </c>
      <c r="BN141" s="20" t="s">
        <v>1813</v>
      </c>
      <c r="BO141" s="20" t="s">
        <v>1813</v>
      </c>
      <c r="BP141" s="20" t="s">
        <v>1813</v>
      </c>
      <c r="BQ141" s="20" t="s">
        <v>1813</v>
      </c>
      <c r="BR141" s="20" t="s">
        <v>1842</v>
      </c>
      <c r="BS141" s="20" t="s">
        <v>4266</v>
      </c>
      <c r="BT141" s="20" t="str">
        <f>HYPERLINK("https%3A%2F%2Fwww.webofscience.com%2Fwos%2Fwoscc%2Ffull-record%2FWOS:A1991FN20800003","View Full Record in Web of Science")</f>
        <v>View Full Record in Web of Science</v>
      </c>
    </row>
    <row r="142" ht="12.75" customHeight="1">
      <c r="A142" s="20" t="s">
        <v>1811</v>
      </c>
      <c r="B142" s="20" t="s">
        <v>4267</v>
      </c>
      <c r="C142" s="20" t="s">
        <v>1813</v>
      </c>
      <c r="D142" s="20" t="s">
        <v>1813</v>
      </c>
      <c r="E142" s="20" t="s">
        <v>1813</v>
      </c>
      <c r="F142" s="20" t="s">
        <v>4268</v>
      </c>
      <c r="G142" s="20" t="s">
        <v>1813</v>
      </c>
      <c r="H142" s="20" t="s">
        <v>1813</v>
      </c>
      <c r="I142" s="20" t="s">
        <v>1543</v>
      </c>
      <c r="J142" s="20" t="s">
        <v>4269</v>
      </c>
      <c r="K142" s="20" t="s">
        <v>1813</v>
      </c>
      <c r="L142" s="20" t="s">
        <v>1813</v>
      </c>
      <c r="M142" s="20" t="s">
        <v>1816</v>
      </c>
      <c r="N142" s="20" t="s">
        <v>1817</v>
      </c>
      <c r="O142" s="20" t="s">
        <v>1813</v>
      </c>
      <c r="P142" s="20" t="s">
        <v>1813</v>
      </c>
      <c r="Q142" s="20" t="s">
        <v>1813</v>
      </c>
      <c r="R142" s="20" t="s">
        <v>1813</v>
      </c>
      <c r="S142" s="20" t="s">
        <v>1813</v>
      </c>
      <c r="T142" s="20" t="s">
        <v>1813</v>
      </c>
      <c r="U142" s="20" t="s">
        <v>4270</v>
      </c>
      <c r="V142" s="20" t="s">
        <v>4271</v>
      </c>
      <c r="W142" s="20" t="s">
        <v>4272</v>
      </c>
      <c r="X142" s="20" t="s">
        <v>4273</v>
      </c>
      <c r="Y142" s="20" t="s">
        <v>4274</v>
      </c>
      <c r="Z142" s="20" t="s">
        <v>4275</v>
      </c>
      <c r="AA142" s="20" t="s">
        <v>4276</v>
      </c>
      <c r="AB142" s="20" t="s">
        <v>4277</v>
      </c>
      <c r="AC142" s="20" t="s">
        <v>1813</v>
      </c>
      <c r="AD142" s="20" t="s">
        <v>1813</v>
      </c>
      <c r="AE142" s="20" t="s">
        <v>1813</v>
      </c>
      <c r="AF142" s="20" t="s">
        <v>1813</v>
      </c>
      <c r="AG142" s="20">
        <v>32.0</v>
      </c>
      <c r="AH142" s="20">
        <v>107.0</v>
      </c>
      <c r="AI142" s="20">
        <v>170.0</v>
      </c>
      <c r="AJ142" s="20">
        <v>1.0</v>
      </c>
      <c r="AK142" s="20">
        <v>102.0</v>
      </c>
      <c r="AL142" s="20" t="s">
        <v>1829</v>
      </c>
      <c r="AM142" s="20" t="s">
        <v>1830</v>
      </c>
      <c r="AN142" s="20" t="s">
        <v>1831</v>
      </c>
      <c r="AO142" s="20" t="s">
        <v>4278</v>
      </c>
      <c r="AP142" s="20" t="s">
        <v>4279</v>
      </c>
      <c r="AQ142" s="20" t="s">
        <v>1813</v>
      </c>
      <c r="AR142" s="20" t="s">
        <v>4280</v>
      </c>
      <c r="AS142" s="20" t="s">
        <v>4281</v>
      </c>
      <c r="AT142" s="20" t="s">
        <v>2651</v>
      </c>
      <c r="AU142" s="20">
        <v>2009.0</v>
      </c>
      <c r="AV142" s="20">
        <v>7.0</v>
      </c>
      <c r="AW142" s="20">
        <v>9.0</v>
      </c>
      <c r="AX142" s="20" t="s">
        <v>1813</v>
      </c>
      <c r="AY142" s="20" t="s">
        <v>1813</v>
      </c>
      <c r="AZ142" s="20" t="s">
        <v>1813</v>
      </c>
      <c r="BA142" s="20" t="s">
        <v>1813</v>
      </c>
      <c r="BB142" s="20">
        <v>465.0</v>
      </c>
      <c r="BC142" s="20">
        <v>470.0</v>
      </c>
      <c r="BD142" s="20" t="s">
        <v>1813</v>
      </c>
      <c r="BE142" s="20" t="s">
        <v>4282</v>
      </c>
      <c r="BF142" s="22" t="str">
        <f>HYPERLINK("http://dx.doi.org/10.1890/080084","http://dx.doi.org/10.1890/080084")</f>
        <v>http://dx.doi.org/10.1890/080084</v>
      </c>
      <c r="BG142" s="20" t="s">
        <v>1813</v>
      </c>
      <c r="BH142" s="20" t="s">
        <v>1813</v>
      </c>
      <c r="BI142" s="20">
        <v>6.0</v>
      </c>
      <c r="BJ142" s="20" t="s">
        <v>2653</v>
      </c>
      <c r="BK142" s="20" t="s">
        <v>1839</v>
      </c>
      <c r="BL142" s="20" t="s">
        <v>1900</v>
      </c>
      <c r="BM142" s="20" t="s">
        <v>4283</v>
      </c>
      <c r="BN142" s="20" t="s">
        <v>1813</v>
      </c>
      <c r="BO142" s="20" t="s">
        <v>1813</v>
      </c>
      <c r="BP142" s="20" t="s">
        <v>1813</v>
      </c>
      <c r="BQ142" s="20" t="s">
        <v>1813</v>
      </c>
      <c r="BR142" s="20" t="s">
        <v>1842</v>
      </c>
      <c r="BS142" s="20" t="s">
        <v>4284</v>
      </c>
      <c r="BT142" s="20" t="str">
        <f>HYPERLINK("https%3A%2F%2Fwww.webofscience.com%2Fwos%2Fwoscc%2Ffull-record%2FWOS:000271559000014","View Full Record in Web of Science")</f>
        <v>View Full Record in Web of Science</v>
      </c>
    </row>
    <row r="143" ht="12.75" customHeight="1">
      <c r="A143" s="20" t="s">
        <v>1811</v>
      </c>
      <c r="B143" s="20" t="s">
        <v>4285</v>
      </c>
      <c r="C143" s="20" t="s">
        <v>1813</v>
      </c>
      <c r="D143" s="20" t="s">
        <v>1813</v>
      </c>
      <c r="E143" s="20" t="s">
        <v>1813</v>
      </c>
      <c r="F143" s="20" t="s">
        <v>4286</v>
      </c>
      <c r="G143" s="20" t="s">
        <v>1813</v>
      </c>
      <c r="H143" s="20" t="s">
        <v>1813</v>
      </c>
      <c r="I143" s="20" t="s">
        <v>4287</v>
      </c>
      <c r="J143" s="20" t="s">
        <v>4288</v>
      </c>
      <c r="K143" s="20" t="s">
        <v>1813</v>
      </c>
      <c r="L143" s="20" t="s">
        <v>1813</v>
      </c>
      <c r="M143" s="20" t="s">
        <v>1816</v>
      </c>
      <c r="N143" s="20" t="s">
        <v>1817</v>
      </c>
      <c r="O143" s="20" t="s">
        <v>1813</v>
      </c>
      <c r="P143" s="20" t="s">
        <v>1813</v>
      </c>
      <c r="Q143" s="20" t="s">
        <v>1813</v>
      </c>
      <c r="R143" s="20" t="s">
        <v>1813</v>
      </c>
      <c r="S143" s="20" t="s">
        <v>1813</v>
      </c>
      <c r="T143" s="20" t="s">
        <v>4289</v>
      </c>
      <c r="U143" s="20" t="s">
        <v>4290</v>
      </c>
      <c r="V143" s="20" t="s">
        <v>4291</v>
      </c>
      <c r="W143" s="20" t="s">
        <v>4292</v>
      </c>
      <c r="X143" s="20" t="s">
        <v>4293</v>
      </c>
      <c r="Y143" s="20" t="s">
        <v>4294</v>
      </c>
      <c r="Z143" s="20" t="s">
        <v>4295</v>
      </c>
      <c r="AA143" s="20" t="s">
        <v>1813</v>
      </c>
      <c r="AB143" s="20" t="s">
        <v>4296</v>
      </c>
      <c r="AC143" s="20" t="s">
        <v>4297</v>
      </c>
      <c r="AD143" s="20" t="s">
        <v>4298</v>
      </c>
      <c r="AE143" s="20" t="s">
        <v>4299</v>
      </c>
      <c r="AF143" s="20" t="s">
        <v>1813</v>
      </c>
      <c r="AG143" s="20">
        <v>46.0</v>
      </c>
      <c r="AH143" s="20">
        <v>19.0</v>
      </c>
      <c r="AI143" s="20">
        <v>22.0</v>
      </c>
      <c r="AJ143" s="20">
        <v>0.0</v>
      </c>
      <c r="AK143" s="20">
        <v>15.0</v>
      </c>
      <c r="AL143" s="20" t="s">
        <v>4300</v>
      </c>
      <c r="AM143" s="20" t="s">
        <v>4301</v>
      </c>
      <c r="AN143" s="20" t="s">
        <v>4302</v>
      </c>
      <c r="AO143" s="20" t="s">
        <v>4303</v>
      </c>
      <c r="AP143" s="20" t="s">
        <v>4304</v>
      </c>
      <c r="AQ143" s="20" t="s">
        <v>1813</v>
      </c>
      <c r="AR143" s="20" t="s">
        <v>4305</v>
      </c>
      <c r="AS143" s="20" t="s">
        <v>4306</v>
      </c>
      <c r="AT143" s="20" t="s">
        <v>1813</v>
      </c>
      <c r="AU143" s="20">
        <v>2008.0</v>
      </c>
      <c r="AV143" s="20">
        <v>4.0</v>
      </c>
      <c r="AW143" s="20">
        <v>6.0</v>
      </c>
      <c r="AX143" s="20" t="s">
        <v>1813</v>
      </c>
      <c r="AY143" s="20" t="s">
        <v>1813</v>
      </c>
      <c r="AZ143" s="20" t="s">
        <v>1813</v>
      </c>
      <c r="BA143" s="20" t="s">
        <v>1813</v>
      </c>
      <c r="BB143" s="20">
        <v>414.0</v>
      </c>
      <c r="BC143" s="20">
        <v>428.0</v>
      </c>
      <c r="BD143" s="20" t="s">
        <v>4307</v>
      </c>
      <c r="BE143" s="20" t="s">
        <v>1261</v>
      </c>
      <c r="BF143" s="22" t="str">
        <f>HYPERLINK("http://dx.doi.org/10.1080/17451000802232874","http://dx.doi.org/10.1080/17451000802232874")</f>
        <v>http://dx.doi.org/10.1080/17451000802232874</v>
      </c>
      <c r="BG143" s="20" t="s">
        <v>1813</v>
      </c>
      <c r="BH143" s="20" t="s">
        <v>1813</v>
      </c>
      <c r="BI143" s="20">
        <v>15.0</v>
      </c>
      <c r="BJ143" s="20" t="s">
        <v>3428</v>
      </c>
      <c r="BK143" s="20" t="s">
        <v>1839</v>
      </c>
      <c r="BL143" s="20" t="s">
        <v>2265</v>
      </c>
      <c r="BM143" s="20" t="s">
        <v>4308</v>
      </c>
      <c r="BN143" s="20" t="s">
        <v>1813</v>
      </c>
      <c r="BO143" s="20" t="s">
        <v>1813</v>
      </c>
      <c r="BP143" s="20" t="s">
        <v>1813</v>
      </c>
      <c r="BQ143" s="20" t="s">
        <v>1813</v>
      </c>
      <c r="BR143" s="20" t="s">
        <v>1842</v>
      </c>
      <c r="BS143" s="20" t="s">
        <v>4309</v>
      </c>
      <c r="BT143" s="20" t="str">
        <f>HYPERLINK("https%3A%2F%2Fwww.webofscience.com%2Fwos%2Fwoscc%2Ffull-record%2FWOS:000261299100002","View Full Record in Web of Science")</f>
        <v>View Full Record in Web of Science</v>
      </c>
    </row>
    <row r="144" ht="12.75" customHeight="1"/>
    <row r="145" ht="12.75" customHeight="1"/>
    <row r="146" ht="12.75" customHeight="1"/>
    <row r="147" ht="12.75" customHeight="1"/>
    <row r="148" ht="12.75" customHeight="1"/>
    <row r="149" ht="12.75" customHeight="1"/>
    <row r="150" ht="12.75" customHeight="1"/>
    <row r="151" ht="12.75" customHeight="1"/>
    <row r="152" ht="12.75" customHeight="1"/>
    <row r="153" ht="12.75" customHeight="1"/>
    <row r="154" ht="12.75" customHeight="1"/>
    <row r="155" ht="12.75" customHeight="1"/>
    <row r="156" ht="12.75" customHeight="1"/>
    <row r="157" ht="12.75" customHeight="1"/>
    <row r="158" ht="12.75" customHeight="1"/>
    <row r="159" ht="12.75" customHeight="1"/>
    <row r="160" ht="12.75" customHeight="1"/>
    <row r="161" ht="12.75" customHeight="1"/>
    <row r="162" ht="12.75" customHeight="1"/>
    <row r="163" ht="12.75" customHeight="1"/>
    <row r="164" ht="12.75" customHeight="1"/>
    <row r="165" ht="12.75" customHeight="1"/>
    <row r="166" ht="12.75" customHeight="1"/>
    <row r="167" ht="12.75" customHeight="1"/>
    <row r="168" ht="12.75" customHeight="1"/>
    <row r="169" ht="12.75" customHeight="1"/>
    <row r="170" ht="12.75" customHeight="1"/>
    <row r="171" ht="12.75" customHeight="1"/>
    <row r="172" ht="12.75" customHeight="1"/>
    <row r="173" ht="12.75" customHeight="1"/>
    <row r="174" ht="12.75" customHeight="1"/>
    <row r="175" ht="12.75" customHeight="1"/>
    <row r="176" ht="12.75" customHeight="1"/>
    <row r="177" ht="12.75" customHeight="1"/>
    <row r="178" ht="12.75" customHeight="1"/>
    <row r="179" ht="12.75" customHeight="1"/>
    <row r="180" ht="12.75" customHeight="1"/>
    <row r="181" ht="12.75" customHeight="1"/>
    <row r="182" ht="12.75" customHeight="1"/>
    <row r="183" ht="12.75" customHeight="1"/>
    <row r="184" ht="12.75" customHeight="1"/>
    <row r="185" ht="12.75" customHeight="1"/>
    <row r="186" ht="12.75" customHeight="1"/>
    <row r="187" ht="12.75" customHeight="1"/>
    <row r="188" ht="12.75" customHeight="1"/>
    <row r="189" ht="12.75" customHeight="1"/>
    <row r="190" ht="12.75" customHeight="1"/>
    <row r="191" ht="12.75" customHeight="1"/>
    <row r="192" ht="12.75" customHeight="1"/>
    <row r="193" ht="12.75" customHeight="1"/>
    <row r="194" ht="12.75" customHeight="1"/>
    <row r="195" ht="12.75" customHeight="1"/>
    <row r="196" ht="12.75" customHeight="1"/>
    <row r="197" ht="12.75" customHeight="1"/>
    <row r="198" ht="12.75" customHeight="1"/>
    <row r="199" ht="12.75" customHeight="1"/>
    <row r="200" ht="12.75" customHeight="1"/>
    <row r="201" ht="12.75" customHeight="1"/>
    <row r="202" ht="12.75" customHeight="1"/>
    <row r="203" ht="12.75" customHeight="1"/>
    <row r="204" ht="12.75" customHeight="1"/>
    <row r="205" ht="12.75" customHeight="1"/>
    <row r="206" ht="12.75" customHeight="1"/>
    <row r="207" ht="12.75" customHeight="1"/>
    <row r="208" ht="12.75" customHeight="1"/>
    <row r="209" ht="12.75" customHeight="1"/>
    <row r="210" ht="12.75" customHeight="1"/>
    <row r="211" ht="12.75" customHeight="1"/>
    <row r="212" ht="12.75" customHeight="1"/>
    <row r="213" ht="12.75" customHeight="1"/>
    <row r="214" ht="12.75" customHeight="1"/>
    <row r="215" ht="12.75" customHeight="1"/>
    <row r="216" ht="12.75" customHeight="1"/>
    <row r="217" ht="12.75" customHeight="1"/>
    <row r="218" ht="12.75" customHeight="1"/>
    <row r="219" ht="12.75" customHeight="1"/>
    <row r="220" ht="12.75" customHeight="1"/>
    <row r="221" ht="12.75" customHeight="1"/>
    <row r="222" ht="12.75" customHeight="1"/>
    <row r="223" ht="12.75" customHeight="1"/>
    <row r="224" ht="12.75" customHeight="1"/>
    <row r="225" ht="12.75" customHeight="1"/>
    <row r="226" ht="12.75" customHeight="1"/>
    <row r="227" ht="12.75" customHeight="1"/>
    <row r="228" ht="12.75" customHeight="1"/>
    <row r="229" ht="12.75" customHeight="1"/>
    <row r="230" ht="12.75" customHeight="1"/>
    <row r="231" ht="12.75" customHeight="1"/>
    <row r="232" ht="12.75" customHeight="1"/>
    <row r="233" ht="12.75" customHeight="1"/>
    <row r="234" ht="12.75" customHeight="1"/>
    <row r="235" ht="12.75" customHeight="1"/>
    <row r="236" ht="12.75" customHeight="1"/>
    <row r="237" ht="12.75" customHeight="1"/>
    <row r="238" ht="12.75" customHeight="1"/>
    <row r="239" ht="12.75" customHeight="1"/>
    <row r="240" ht="12.75" customHeight="1"/>
    <row r="241" ht="12.75" customHeight="1"/>
    <row r="242" ht="12.75" customHeight="1"/>
    <row r="243" ht="12.75" customHeight="1"/>
    <row r="244" ht="12.75" customHeight="1"/>
    <row r="245" ht="12.75" customHeight="1"/>
    <row r="246" ht="12.75" customHeight="1"/>
    <row r="247" ht="12.75" customHeight="1"/>
    <row r="248" ht="12.75" customHeight="1"/>
    <row r="249" ht="12.75" customHeight="1"/>
    <row r="250" ht="12.75" customHeight="1"/>
    <row r="251" ht="12.75" customHeight="1"/>
    <row r="252" ht="12.75" customHeight="1"/>
    <row r="253" ht="12.75" customHeight="1"/>
    <row r="254" ht="12.75" customHeight="1"/>
    <row r="255" ht="12.75" customHeight="1"/>
    <row r="256" ht="12.75" customHeight="1"/>
    <row r="257" ht="12.75" customHeight="1"/>
    <row r="258" ht="12.75" customHeight="1"/>
    <row r="259" ht="12.75" customHeight="1"/>
    <row r="260" ht="12.75" customHeight="1"/>
    <row r="261" ht="12.75" customHeight="1"/>
    <row r="262" ht="12.75" customHeight="1"/>
    <row r="263" ht="12.75" customHeight="1"/>
    <row r="264" ht="12.75" customHeight="1"/>
    <row r="265" ht="12.75" customHeight="1"/>
    <row r="266" ht="12.75" customHeight="1"/>
    <row r="267" ht="12.75" customHeight="1"/>
    <row r="268" ht="12.75" customHeight="1"/>
    <row r="269" ht="12.75" customHeight="1"/>
    <row r="270" ht="12.75" customHeight="1"/>
    <row r="271" ht="12.75" customHeight="1"/>
    <row r="272" ht="12.75" customHeight="1"/>
    <row r="273" ht="12.75" customHeight="1"/>
    <row r="274" ht="12.75" customHeight="1"/>
    <row r="275" ht="12.75" customHeight="1"/>
    <row r="276" ht="12.75" customHeight="1"/>
    <row r="277" ht="12.75" customHeight="1"/>
    <row r="278" ht="12.75" customHeight="1"/>
    <row r="279" ht="12.75" customHeight="1"/>
    <row r="280" ht="12.75" customHeight="1"/>
    <row r="281" ht="12.75" customHeight="1"/>
    <row r="282" ht="12.75" customHeight="1"/>
    <row r="283" ht="12.75" customHeight="1"/>
    <row r="284" ht="12.75" customHeight="1"/>
    <row r="285" ht="12.75" customHeight="1"/>
    <row r="286" ht="12.75" customHeight="1"/>
    <row r="287" ht="12.75" customHeight="1"/>
    <row r="288" ht="12.75" customHeight="1"/>
    <row r="289" ht="12.75" customHeight="1"/>
    <row r="290" ht="12.75" customHeight="1"/>
    <row r="291" ht="12.75" customHeight="1"/>
    <row r="292" ht="12.75" customHeight="1"/>
    <row r="293" ht="12.75" customHeight="1"/>
    <row r="294" ht="12.75" customHeight="1"/>
    <row r="295" ht="12.75" customHeight="1"/>
    <row r="296" ht="12.75" customHeight="1"/>
    <row r="297" ht="12.75" customHeight="1"/>
    <row r="298" ht="12.75" customHeight="1"/>
    <row r="299" ht="12.75" customHeight="1"/>
    <row r="300" ht="12.75" customHeight="1"/>
    <row r="301" ht="12.75" customHeight="1"/>
    <row r="302" ht="12.75" customHeight="1"/>
    <row r="303" ht="12.75" customHeight="1"/>
    <row r="304" ht="12.75" customHeight="1"/>
    <row r="305" ht="12.75" customHeight="1"/>
    <row r="306" ht="12.75" customHeight="1"/>
    <row r="307" ht="12.75" customHeight="1"/>
    <row r="308" ht="12.75" customHeight="1"/>
    <row r="309" ht="12.75" customHeight="1"/>
    <row r="310" ht="12.75" customHeight="1"/>
    <row r="311" ht="12.75" customHeight="1"/>
    <row r="312" ht="12.75" customHeight="1"/>
    <row r="313" ht="12.75" customHeight="1"/>
    <row r="314" ht="12.75" customHeight="1"/>
    <row r="315" ht="12.75" customHeight="1"/>
    <row r="316" ht="12.75" customHeight="1"/>
    <row r="317" ht="12.75" customHeight="1"/>
    <row r="318" ht="12.75" customHeight="1"/>
    <row r="319" ht="12.75" customHeight="1"/>
    <row r="320" ht="12.75" customHeight="1"/>
    <row r="321" ht="12.75" customHeight="1"/>
    <row r="322" ht="12.75" customHeight="1"/>
    <row r="323" ht="12.75" customHeight="1"/>
    <row r="324" ht="12.75" customHeight="1"/>
    <row r="325" ht="12.75" customHeight="1"/>
    <row r="326" ht="12.75" customHeight="1"/>
    <row r="327" ht="12.75" customHeight="1"/>
    <row r="328" ht="12.75" customHeight="1"/>
    <row r="329" ht="12.75" customHeight="1"/>
    <row r="330" ht="12.75" customHeight="1"/>
    <row r="331" ht="12.75" customHeight="1"/>
    <row r="332" ht="12.75" customHeight="1"/>
    <row r="333" ht="12.75" customHeight="1"/>
    <row r="334" ht="12.75" customHeight="1"/>
    <row r="335" ht="12.75" customHeight="1"/>
    <row r="336" ht="12.75" customHeight="1"/>
    <row r="337" ht="12.75" customHeight="1"/>
    <row r="338" ht="12.75" customHeight="1"/>
    <row r="339" ht="12.75" customHeight="1"/>
    <row r="340" ht="12.75" customHeight="1"/>
    <row r="341" ht="12.75" customHeight="1"/>
    <row r="342" ht="12.75" customHeight="1"/>
    <row r="343" ht="12.75" customHeight="1"/>
    <row r="344" ht="12.75" customHeight="1"/>
    <row r="345" ht="12.75" customHeight="1"/>
    <row r="346" ht="12.75" customHeight="1"/>
    <row r="347" ht="12.75" customHeight="1"/>
    <row r="348" ht="12.75" customHeight="1"/>
    <row r="349" ht="12.75" customHeight="1"/>
    <row r="350" ht="12.75" customHeight="1"/>
    <row r="351" ht="12.75" customHeight="1"/>
    <row r="352" ht="12.75" customHeight="1"/>
    <row r="353" ht="12.75" customHeight="1"/>
    <row r="354" ht="12.75" customHeight="1"/>
    <row r="355" ht="12.75" customHeight="1"/>
    <row r="356" ht="12.75" customHeight="1"/>
    <row r="357" ht="12.75" customHeight="1"/>
    <row r="358" ht="12.75" customHeight="1"/>
    <row r="359" ht="12.75" customHeight="1"/>
    <row r="360" ht="12.75" customHeight="1"/>
    <row r="361" ht="12.75" customHeight="1"/>
    <row r="362" ht="12.75" customHeight="1"/>
    <row r="363" ht="12.75" customHeight="1"/>
    <row r="364" ht="12.75" customHeight="1"/>
    <row r="365" ht="12.75" customHeight="1"/>
    <row r="366" ht="12.75" customHeight="1"/>
    <row r="367" ht="12.75" customHeight="1"/>
    <row r="368" ht="12.75" customHeight="1"/>
    <row r="369" ht="12.75" customHeight="1"/>
    <row r="370" ht="12.75" customHeight="1"/>
    <row r="371" ht="12.75" customHeight="1"/>
    <row r="372" ht="12.75" customHeight="1"/>
    <row r="373" ht="12.75" customHeight="1"/>
    <row r="374" ht="12.75" customHeight="1"/>
    <row r="375" ht="12.75" customHeight="1"/>
    <row r="376" ht="12.75" customHeight="1"/>
    <row r="377" ht="12.75" customHeight="1"/>
    <row r="378" ht="12.75" customHeight="1"/>
    <row r="379" ht="12.75" customHeight="1"/>
    <row r="380" ht="12.75" customHeight="1"/>
    <row r="381" ht="12.75" customHeight="1"/>
    <row r="382" ht="12.75" customHeight="1"/>
    <row r="383" ht="12.75" customHeight="1"/>
    <row r="384" ht="12.75" customHeight="1"/>
    <row r="385" ht="12.75" customHeight="1"/>
    <row r="386" ht="12.75" customHeight="1"/>
    <row r="387" ht="12.75" customHeight="1"/>
    <row r="388" ht="12.75" customHeight="1"/>
    <row r="389" ht="12.75" customHeight="1"/>
    <row r="390" ht="12.75" customHeight="1"/>
    <row r="391" ht="12.75" customHeight="1"/>
    <row r="392" ht="12.75" customHeight="1"/>
    <row r="393" ht="12.75" customHeight="1"/>
    <row r="394" ht="12.75" customHeight="1"/>
    <row r="395" ht="12.75" customHeight="1"/>
    <row r="396" ht="12.75" customHeight="1"/>
    <row r="397" ht="12.75" customHeight="1"/>
    <row r="398" ht="12.75" customHeight="1"/>
    <row r="399" ht="12.75" customHeight="1"/>
    <row r="400" ht="12.75" customHeight="1"/>
    <row r="401" ht="12.75" customHeight="1"/>
    <row r="402" ht="12.75" customHeight="1"/>
    <row r="403" ht="12.75" customHeight="1"/>
    <row r="404" ht="12.75" customHeight="1"/>
    <row r="405" ht="12.75" customHeight="1"/>
    <row r="406" ht="12.75" customHeight="1"/>
    <row r="407" ht="12.75" customHeight="1"/>
    <row r="408" ht="12.75" customHeight="1"/>
    <row r="409" ht="12.75" customHeight="1"/>
    <row r="410" ht="12.75" customHeight="1"/>
    <row r="411" ht="12.75" customHeight="1"/>
    <row r="412" ht="12.75" customHeight="1"/>
    <row r="413" ht="12.75" customHeight="1"/>
    <row r="414" ht="12.75" customHeight="1"/>
    <row r="415" ht="12.75" customHeight="1"/>
    <row r="416" ht="12.75" customHeight="1"/>
    <row r="417" ht="12.75" customHeight="1"/>
    <row r="418" ht="12.75" customHeight="1"/>
    <row r="419" ht="12.75" customHeight="1"/>
    <row r="420" ht="12.75" customHeight="1"/>
    <row r="421" ht="12.75" customHeight="1"/>
    <row r="422" ht="12.75" customHeight="1"/>
    <row r="423" ht="12.75" customHeight="1"/>
    <row r="424" ht="12.75" customHeight="1"/>
    <row r="425" ht="12.75" customHeight="1"/>
    <row r="426" ht="12.75" customHeight="1"/>
    <row r="427" ht="12.75" customHeight="1"/>
    <row r="428" ht="12.75" customHeight="1"/>
    <row r="429" ht="12.75" customHeight="1"/>
    <row r="430" ht="12.75" customHeight="1"/>
    <row r="431" ht="12.75" customHeight="1"/>
    <row r="432" ht="12.75" customHeight="1"/>
    <row r="433" ht="12.75" customHeight="1"/>
    <row r="434" ht="12.75" customHeight="1"/>
    <row r="435" ht="12.75" customHeight="1"/>
    <row r="436" ht="12.75" customHeight="1"/>
    <row r="437" ht="12.75" customHeight="1"/>
    <row r="438" ht="12.75" customHeight="1"/>
    <row r="439" ht="12.75" customHeight="1"/>
    <row r="440" ht="12.75" customHeight="1"/>
    <row r="441" ht="12.75" customHeight="1"/>
    <row r="442" ht="12.75" customHeight="1"/>
    <row r="443" ht="12.75" customHeight="1"/>
    <row r="444" ht="12.75" customHeight="1"/>
    <row r="445" ht="12.75" customHeight="1"/>
    <row r="446" ht="12.75" customHeight="1"/>
    <row r="447" ht="12.75" customHeight="1"/>
    <row r="448" ht="12.75" customHeight="1"/>
    <row r="449" ht="12.75" customHeight="1"/>
    <row r="450" ht="12.75" customHeight="1"/>
    <row r="451" ht="12.75" customHeight="1"/>
    <row r="452" ht="12.75" customHeight="1"/>
    <row r="453" ht="12.75" customHeight="1"/>
    <row r="454" ht="12.75" customHeight="1"/>
    <row r="455" ht="12.75" customHeight="1"/>
    <row r="456" ht="12.75" customHeight="1"/>
    <row r="457" ht="12.75" customHeight="1"/>
    <row r="458" ht="12.75" customHeight="1"/>
    <row r="459" ht="12.75" customHeight="1"/>
    <row r="460" ht="12.75" customHeight="1"/>
    <row r="461" ht="12.75" customHeight="1"/>
    <row r="462" ht="12.75" customHeight="1"/>
    <row r="463" ht="12.75" customHeight="1"/>
    <row r="464" ht="12.75" customHeight="1"/>
    <row r="465" ht="12.75" customHeight="1"/>
    <row r="466" ht="12.75" customHeight="1"/>
    <row r="467" ht="12.75" customHeight="1"/>
    <row r="468" ht="12.75" customHeight="1"/>
    <row r="469" ht="12.75" customHeight="1"/>
    <row r="470" ht="12.75" customHeight="1"/>
    <row r="471" ht="12.75" customHeight="1"/>
    <row r="472" ht="12.75" customHeight="1"/>
    <row r="473" ht="12.75" customHeight="1"/>
    <row r="474" ht="12.75" customHeight="1"/>
    <row r="475" ht="12.75" customHeight="1"/>
    <row r="476" ht="12.75" customHeight="1"/>
    <row r="477" ht="12.75" customHeight="1"/>
    <row r="478" ht="12.75" customHeight="1"/>
    <row r="479" ht="12.75" customHeight="1"/>
    <row r="480" ht="12.75" customHeight="1"/>
    <row r="481" ht="12.75" customHeight="1"/>
    <row r="482" ht="12.75" customHeight="1"/>
    <row r="483" ht="12.75" customHeight="1"/>
    <row r="484" ht="12.75" customHeight="1"/>
    <row r="485" ht="12.75" customHeight="1"/>
    <row r="486" ht="12.75" customHeight="1"/>
    <row r="487" ht="12.75" customHeight="1"/>
    <row r="488" ht="12.75" customHeight="1"/>
    <row r="489" ht="12.75" customHeight="1"/>
    <row r="490" ht="12.75" customHeight="1"/>
    <row r="491" ht="12.75" customHeight="1"/>
    <row r="492" ht="12.75" customHeight="1"/>
    <row r="493" ht="12.75" customHeight="1"/>
    <row r="494" ht="12.75" customHeight="1"/>
    <row r="495" ht="12.75" customHeight="1"/>
    <row r="496" ht="12.75" customHeight="1"/>
    <row r="497" ht="12.75" customHeight="1"/>
    <row r="498" ht="12.75" customHeight="1"/>
    <row r="499" ht="12.75" customHeight="1"/>
    <row r="500" ht="12.75" customHeight="1"/>
    <row r="501" ht="12.75" customHeight="1"/>
    <row r="502" ht="12.75" customHeight="1"/>
    <row r="503" ht="12.75" customHeight="1"/>
    <row r="504" ht="12.75" customHeight="1"/>
    <row r="505" ht="12.75" customHeight="1"/>
    <row r="506" ht="12.75" customHeight="1"/>
    <row r="507" ht="12.75" customHeight="1"/>
    <row r="508" ht="12.75" customHeight="1"/>
    <row r="509" ht="12.75" customHeight="1"/>
    <row r="510" ht="12.75" customHeight="1"/>
    <row r="511" ht="12.75" customHeight="1"/>
    <row r="512" ht="12.75" customHeight="1"/>
    <row r="513" ht="12.75" customHeight="1"/>
    <row r="514" ht="12.75" customHeight="1"/>
    <row r="515" ht="12.75" customHeight="1"/>
    <row r="516" ht="12.75" customHeight="1"/>
    <row r="517" ht="12.75" customHeight="1"/>
    <row r="518" ht="12.75" customHeight="1"/>
    <row r="519" ht="12.75" customHeight="1"/>
    <row r="520" ht="12.75" customHeight="1"/>
    <row r="521" ht="12.75" customHeight="1"/>
    <row r="522" ht="12.75" customHeight="1"/>
    <row r="523" ht="12.75" customHeight="1"/>
    <row r="524" ht="12.75" customHeight="1"/>
    <row r="525" ht="12.75" customHeight="1"/>
    <row r="526" ht="12.75" customHeight="1"/>
    <row r="527" ht="12.75" customHeight="1"/>
    <row r="528" ht="12.75" customHeight="1"/>
    <row r="529" ht="12.75" customHeight="1"/>
    <row r="530" ht="12.75" customHeight="1"/>
    <row r="531" ht="12.75" customHeight="1"/>
    <row r="532" ht="12.75" customHeight="1"/>
    <row r="533" ht="12.75" customHeight="1"/>
    <row r="534" ht="12.75" customHeight="1"/>
    <row r="535" ht="12.75" customHeight="1"/>
    <row r="536" ht="12.75" customHeight="1"/>
    <row r="537" ht="12.75" customHeight="1"/>
    <row r="538" ht="12.75" customHeight="1"/>
    <row r="539" ht="12.75" customHeight="1"/>
    <row r="540" ht="12.75" customHeight="1"/>
    <row r="541" ht="12.75" customHeight="1"/>
    <row r="542" ht="12.75" customHeight="1"/>
    <row r="543" ht="12.75" customHeight="1"/>
    <row r="544" ht="12.75" customHeight="1"/>
    <row r="545" ht="12.75" customHeight="1"/>
    <row r="546" ht="12.75" customHeight="1"/>
    <row r="547" ht="12.75" customHeight="1"/>
    <row r="548" ht="12.75" customHeight="1"/>
    <row r="549" ht="12.75" customHeight="1"/>
    <row r="550" ht="12.75" customHeight="1"/>
    <row r="551" ht="12.75" customHeight="1"/>
    <row r="552" ht="12.75" customHeight="1"/>
    <row r="553" ht="12.75" customHeight="1"/>
    <row r="554" ht="12.75" customHeight="1"/>
    <row r="555" ht="12.75" customHeight="1"/>
    <row r="556" ht="12.75" customHeight="1"/>
    <row r="557" ht="12.75" customHeight="1"/>
    <row r="558" ht="12.75" customHeight="1"/>
    <row r="559" ht="12.75" customHeight="1"/>
    <row r="560" ht="12.75" customHeight="1"/>
    <row r="561" ht="12.75" customHeight="1"/>
    <row r="562" ht="12.75" customHeight="1"/>
    <row r="563" ht="12.75" customHeight="1"/>
    <row r="564" ht="12.75" customHeight="1"/>
    <row r="565" ht="12.75" customHeight="1"/>
    <row r="566" ht="12.75" customHeight="1"/>
    <row r="567" ht="12.75" customHeight="1"/>
    <row r="568" ht="12.75" customHeight="1"/>
    <row r="569" ht="12.75" customHeight="1"/>
    <row r="570" ht="12.75" customHeight="1"/>
    <row r="571" ht="12.75" customHeight="1"/>
    <row r="572" ht="12.75" customHeight="1"/>
    <row r="573" ht="12.75" customHeight="1"/>
    <row r="574" ht="12.75" customHeight="1"/>
    <row r="575" ht="12.75" customHeight="1"/>
    <row r="576" ht="12.75" customHeight="1"/>
    <row r="577" ht="12.75" customHeight="1"/>
    <row r="578" ht="12.75" customHeight="1"/>
    <row r="579" ht="12.75" customHeight="1"/>
    <row r="580" ht="12.75" customHeight="1"/>
    <row r="581" ht="12.75" customHeight="1"/>
    <row r="582" ht="12.75" customHeight="1"/>
    <row r="583" ht="12.75" customHeight="1"/>
    <row r="584" ht="12.75" customHeight="1"/>
    <row r="585" ht="12.75" customHeight="1"/>
    <row r="586" ht="12.75" customHeight="1"/>
    <row r="587" ht="12.75" customHeight="1"/>
    <row r="588" ht="12.75" customHeight="1"/>
    <row r="589" ht="12.75" customHeight="1"/>
    <row r="590" ht="12.75" customHeight="1"/>
    <row r="591" ht="12.75" customHeight="1"/>
    <row r="592" ht="12.75" customHeight="1"/>
    <row r="593" ht="12.75" customHeight="1"/>
    <row r="594" ht="12.75" customHeight="1"/>
    <row r="595" ht="12.75" customHeight="1"/>
    <row r="596" ht="12.75" customHeight="1"/>
    <row r="597" ht="12.75" customHeight="1"/>
    <row r="598" ht="12.75" customHeight="1"/>
    <row r="599" ht="12.75" customHeight="1"/>
    <row r="600" ht="12.75" customHeight="1"/>
    <row r="601" ht="12.75" customHeight="1"/>
    <row r="602" ht="12.75" customHeight="1"/>
    <row r="603" ht="12.75" customHeight="1"/>
    <row r="604" ht="12.75" customHeight="1"/>
    <row r="605" ht="12.75" customHeight="1"/>
    <row r="606" ht="12.75" customHeight="1"/>
    <row r="607" ht="12.75" customHeight="1"/>
    <row r="608" ht="12.75" customHeight="1"/>
    <row r="609" ht="12.75" customHeight="1"/>
    <row r="610" ht="12.75" customHeight="1"/>
    <row r="611" ht="12.75" customHeight="1"/>
    <row r="612" ht="12.75" customHeight="1"/>
    <row r="613" ht="12.75" customHeight="1"/>
    <row r="614" ht="12.75" customHeight="1"/>
    <row r="615" ht="12.75" customHeight="1"/>
    <row r="616" ht="12.75" customHeight="1"/>
    <row r="617" ht="12.75" customHeight="1"/>
    <row r="618" ht="12.75" customHeight="1"/>
    <row r="619" ht="12.75" customHeight="1"/>
    <row r="620" ht="12.75" customHeight="1"/>
    <row r="621" ht="12.75" customHeight="1"/>
    <row r="622" ht="12.75" customHeight="1"/>
    <row r="623" ht="12.75" customHeight="1"/>
    <row r="624" ht="12.75" customHeight="1"/>
    <row r="625" ht="12.75" customHeight="1"/>
    <row r="626" ht="12.75" customHeight="1"/>
    <row r="627" ht="12.75" customHeight="1"/>
    <row r="628" ht="12.75" customHeight="1"/>
    <row r="629" ht="12.75" customHeight="1"/>
    <row r="630" ht="12.75" customHeight="1"/>
    <row r="631" ht="12.75" customHeight="1"/>
    <row r="632" ht="12.75" customHeight="1"/>
    <row r="633" ht="12.75" customHeight="1"/>
    <row r="634" ht="12.75" customHeight="1"/>
    <row r="635" ht="12.75" customHeight="1"/>
    <row r="636" ht="12.75" customHeight="1"/>
    <row r="637" ht="12.75" customHeight="1"/>
    <row r="638" ht="12.75" customHeight="1"/>
    <row r="639" ht="12.75" customHeight="1"/>
    <row r="640" ht="12.75" customHeight="1"/>
    <row r="641" ht="12.75" customHeight="1"/>
    <row r="642" ht="12.75" customHeight="1"/>
    <row r="643" ht="12.75" customHeight="1"/>
    <row r="644" ht="12.75" customHeight="1"/>
    <row r="645" ht="12.75" customHeight="1"/>
    <row r="646" ht="12.75" customHeight="1"/>
    <row r="647" ht="12.75" customHeight="1"/>
    <row r="648" ht="12.75" customHeight="1"/>
    <row r="649" ht="12.75" customHeight="1"/>
    <row r="650" ht="12.75" customHeight="1"/>
    <row r="651" ht="12.75" customHeight="1"/>
    <row r="652" ht="12.75" customHeight="1"/>
    <row r="653" ht="12.75" customHeight="1"/>
    <row r="654" ht="12.75" customHeight="1"/>
    <row r="655" ht="12.75" customHeight="1"/>
    <row r="656" ht="12.75" customHeight="1"/>
    <row r="657" ht="12.75" customHeight="1"/>
    <row r="658" ht="12.75" customHeight="1"/>
    <row r="659" ht="12.75" customHeight="1"/>
    <row r="660" ht="12.75" customHeight="1"/>
    <row r="661" ht="12.75" customHeight="1"/>
    <row r="662" ht="12.75" customHeight="1"/>
    <row r="663" ht="12.75" customHeight="1"/>
    <row r="664" ht="12.75" customHeight="1"/>
    <row r="665" ht="12.75" customHeight="1"/>
    <row r="666" ht="12.75" customHeight="1"/>
    <row r="667" ht="12.75" customHeight="1"/>
    <row r="668" ht="12.75" customHeight="1"/>
    <row r="669" ht="12.75" customHeight="1"/>
    <row r="670" ht="12.75" customHeight="1"/>
    <row r="671" ht="12.75" customHeight="1"/>
    <row r="672" ht="12.75" customHeight="1"/>
    <row r="673" ht="12.75" customHeight="1"/>
    <row r="674" ht="12.75" customHeight="1"/>
    <row r="675" ht="12.75" customHeight="1"/>
    <row r="676" ht="12.75" customHeight="1"/>
    <row r="677" ht="12.75" customHeight="1"/>
    <row r="678" ht="12.75" customHeight="1"/>
    <row r="679" ht="12.75" customHeight="1"/>
    <row r="680" ht="12.75" customHeight="1"/>
    <row r="681" ht="12.75" customHeight="1"/>
    <row r="682" ht="12.75" customHeight="1"/>
    <row r="683" ht="12.75" customHeight="1"/>
    <row r="684" ht="12.75" customHeight="1"/>
    <row r="685" ht="12.75" customHeight="1"/>
    <row r="686" ht="12.75" customHeight="1"/>
    <row r="687" ht="12.75" customHeight="1"/>
    <row r="688" ht="12.75" customHeight="1"/>
    <row r="689" ht="12.75" customHeight="1"/>
    <row r="690" ht="12.75" customHeight="1"/>
    <row r="691" ht="12.75" customHeight="1"/>
    <row r="692" ht="12.75" customHeight="1"/>
    <row r="693" ht="12.75" customHeight="1"/>
    <row r="694" ht="12.75" customHeight="1"/>
    <row r="695" ht="12.75" customHeight="1"/>
    <row r="696" ht="12.75" customHeight="1"/>
    <row r="697" ht="12.75" customHeight="1"/>
    <row r="698" ht="12.75" customHeight="1"/>
    <row r="699" ht="12.75" customHeight="1"/>
    <row r="700" ht="12.75" customHeight="1"/>
    <row r="701" ht="12.75" customHeight="1"/>
    <row r="702" ht="12.75" customHeight="1"/>
    <row r="703" ht="12.75" customHeight="1"/>
    <row r="704" ht="12.75" customHeight="1"/>
    <row r="705" ht="12.75" customHeight="1"/>
    <row r="706" ht="12.75" customHeight="1"/>
    <row r="707" ht="12.75" customHeight="1"/>
    <row r="708" ht="12.75" customHeight="1"/>
    <row r="709" ht="12.75" customHeight="1"/>
    <row r="710" ht="12.75" customHeight="1"/>
    <row r="711" ht="12.75" customHeight="1"/>
    <row r="712" ht="12.75" customHeight="1"/>
    <row r="713" ht="12.75" customHeight="1"/>
    <row r="714" ht="12.75" customHeight="1"/>
    <row r="715" ht="12.75" customHeight="1"/>
    <row r="716" ht="12.75" customHeight="1"/>
    <row r="717" ht="12.75" customHeight="1"/>
    <row r="718" ht="12.75" customHeight="1"/>
    <row r="719" ht="12.75" customHeight="1"/>
    <row r="720" ht="12.75" customHeight="1"/>
    <row r="721" ht="12.75" customHeight="1"/>
    <row r="722" ht="12.75" customHeight="1"/>
    <row r="723" ht="12.75" customHeight="1"/>
    <row r="724" ht="12.75" customHeight="1"/>
    <row r="725" ht="12.75" customHeight="1"/>
    <row r="726" ht="12.75" customHeight="1"/>
    <row r="727" ht="12.75" customHeight="1"/>
    <row r="728" ht="12.75" customHeight="1"/>
    <row r="729" ht="12.75" customHeight="1"/>
    <row r="730" ht="12.75" customHeight="1"/>
    <row r="731" ht="12.75" customHeight="1"/>
    <row r="732" ht="12.75" customHeight="1"/>
    <row r="733" ht="12.75" customHeight="1"/>
    <row r="734" ht="12.75" customHeight="1"/>
    <row r="735" ht="12.75" customHeight="1"/>
    <row r="736" ht="12.75" customHeight="1"/>
    <row r="737" ht="12.75" customHeight="1"/>
    <row r="738" ht="12.75" customHeight="1"/>
    <row r="739" ht="12.75" customHeight="1"/>
    <row r="740" ht="12.75" customHeight="1"/>
    <row r="741" ht="12.75" customHeight="1"/>
    <row r="742" ht="12.75" customHeight="1"/>
    <row r="743" ht="12.75" customHeight="1"/>
    <row r="744" ht="12.75" customHeight="1"/>
    <row r="745" ht="12.75" customHeight="1"/>
    <row r="746" ht="12.75" customHeight="1"/>
    <row r="747" ht="12.75" customHeight="1"/>
    <row r="748" ht="12.75" customHeight="1"/>
    <row r="749" ht="12.75" customHeight="1"/>
    <row r="750" ht="12.75" customHeight="1"/>
    <row r="751" ht="12.75" customHeight="1"/>
    <row r="752" ht="12.75" customHeight="1"/>
    <row r="753" ht="12.75" customHeight="1"/>
    <row r="754" ht="12.75" customHeight="1"/>
    <row r="755" ht="12.75" customHeight="1"/>
    <row r="756" ht="12.75" customHeight="1"/>
    <row r="757" ht="12.75" customHeight="1"/>
    <row r="758" ht="12.75" customHeight="1"/>
    <row r="759" ht="12.75" customHeight="1"/>
    <row r="760" ht="12.75" customHeight="1"/>
    <row r="761" ht="12.75" customHeight="1"/>
    <row r="762" ht="12.75" customHeight="1"/>
    <row r="763" ht="12.75" customHeight="1"/>
    <row r="764" ht="12.75" customHeight="1"/>
    <row r="765" ht="12.75" customHeight="1"/>
    <row r="766" ht="12.75" customHeight="1"/>
    <row r="767" ht="12.75" customHeight="1"/>
    <row r="768" ht="12.75" customHeight="1"/>
    <row r="769" ht="12.75" customHeight="1"/>
    <row r="770" ht="12.75" customHeight="1"/>
    <row r="771" ht="12.75" customHeight="1"/>
    <row r="772" ht="12.75" customHeight="1"/>
    <row r="773" ht="12.75" customHeight="1"/>
    <row r="774" ht="12.75" customHeight="1"/>
    <row r="775" ht="12.75" customHeight="1"/>
    <row r="776" ht="12.75" customHeight="1"/>
    <row r="777" ht="12.75" customHeight="1"/>
    <row r="778" ht="12.75" customHeight="1"/>
    <row r="779" ht="12.75" customHeight="1"/>
    <row r="780" ht="12.75" customHeight="1"/>
    <row r="781" ht="12.75" customHeight="1"/>
    <row r="782" ht="12.75" customHeight="1"/>
    <row r="783" ht="12.75" customHeight="1"/>
    <row r="784" ht="12.75" customHeight="1"/>
    <row r="785" ht="12.75" customHeight="1"/>
    <row r="786" ht="12.75" customHeight="1"/>
    <row r="787" ht="12.75" customHeight="1"/>
    <row r="788" ht="12.75" customHeight="1"/>
    <row r="789" ht="12.75" customHeight="1"/>
    <row r="790" ht="12.75" customHeight="1"/>
    <row r="791" ht="12.75" customHeight="1"/>
    <row r="792" ht="12.75" customHeight="1"/>
    <row r="793" ht="12.75" customHeight="1"/>
    <row r="794" ht="12.75" customHeight="1"/>
    <row r="795" ht="12.75" customHeight="1"/>
    <row r="796" ht="12.75" customHeight="1"/>
    <row r="797" ht="12.75" customHeight="1"/>
    <row r="798" ht="12.75" customHeight="1"/>
    <row r="799" ht="12.75" customHeight="1"/>
    <row r="800" ht="12.75" customHeight="1"/>
    <row r="801" ht="12.75" customHeight="1"/>
    <row r="802" ht="12.75" customHeight="1"/>
    <row r="803" ht="12.75" customHeight="1"/>
    <row r="804" ht="12.75" customHeight="1"/>
    <row r="805" ht="12.75" customHeight="1"/>
    <row r="806" ht="12.75" customHeight="1"/>
    <row r="807" ht="12.75" customHeight="1"/>
    <row r="808" ht="12.75" customHeight="1"/>
    <row r="809" ht="12.75" customHeight="1"/>
    <row r="810" ht="12.75" customHeight="1"/>
    <row r="811" ht="12.75" customHeight="1"/>
    <row r="812" ht="12.75" customHeight="1"/>
    <row r="813" ht="12.75" customHeight="1"/>
    <row r="814" ht="12.75" customHeight="1"/>
    <row r="815" ht="12.75" customHeight="1"/>
    <row r="816" ht="12.75" customHeight="1"/>
    <row r="817" ht="12.75" customHeight="1"/>
    <row r="818" ht="12.75" customHeight="1"/>
    <row r="819" ht="12.75" customHeight="1"/>
    <row r="820" ht="12.75" customHeight="1"/>
    <row r="821" ht="12.75" customHeight="1"/>
    <row r="822" ht="12.75" customHeight="1"/>
    <row r="823" ht="12.75" customHeight="1"/>
    <row r="824" ht="12.75" customHeight="1"/>
    <row r="825" ht="12.75" customHeight="1"/>
    <row r="826" ht="12.75" customHeight="1"/>
    <row r="827" ht="12.75" customHeight="1"/>
    <row r="828" ht="12.75" customHeight="1"/>
    <row r="829" ht="12.75" customHeight="1"/>
    <row r="830" ht="12.75" customHeight="1"/>
    <row r="831" ht="12.75" customHeight="1"/>
    <row r="832" ht="12.75" customHeight="1"/>
    <row r="833" ht="12.75" customHeight="1"/>
    <row r="834" ht="12.75" customHeight="1"/>
    <row r="835" ht="12.75" customHeight="1"/>
    <row r="836" ht="12.75" customHeight="1"/>
    <row r="837" ht="12.75" customHeight="1"/>
    <row r="838" ht="12.75" customHeight="1"/>
    <row r="839" ht="12.75" customHeight="1"/>
    <row r="840" ht="12.75" customHeight="1"/>
    <row r="841" ht="12.75" customHeight="1"/>
    <row r="842" ht="12.75" customHeight="1"/>
    <row r="843" ht="12.75" customHeight="1"/>
    <row r="844" ht="12.75" customHeight="1"/>
    <row r="845" ht="12.75" customHeight="1"/>
    <row r="846" ht="12.75" customHeight="1"/>
    <row r="847" ht="12.75" customHeight="1"/>
    <row r="848" ht="12.75" customHeight="1"/>
    <row r="849" ht="12.75" customHeight="1"/>
    <row r="850" ht="12.75" customHeight="1"/>
    <row r="851" ht="12.75" customHeight="1"/>
    <row r="852" ht="12.75" customHeight="1"/>
    <row r="853" ht="12.75" customHeight="1"/>
    <row r="854" ht="12.75" customHeight="1"/>
    <row r="855" ht="12.75" customHeight="1"/>
    <row r="856" ht="12.75" customHeight="1"/>
    <row r="857" ht="12.75" customHeight="1"/>
    <row r="858" ht="12.75" customHeight="1"/>
    <row r="859" ht="12.75" customHeight="1"/>
    <row r="860" ht="12.75" customHeight="1"/>
    <row r="861" ht="12.75" customHeight="1"/>
    <row r="862" ht="12.75" customHeight="1"/>
    <row r="863" ht="12.75" customHeight="1"/>
    <row r="864" ht="12.75" customHeight="1"/>
    <row r="865" ht="12.75" customHeight="1"/>
    <row r="866" ht="12.75" customHeight="1"/>
    <row r="867" ht="12.75" customHeight="1"/>
    <row r="868" ht="12.75" customHeight="1"/>
    <row r="869" ht="12.75" customHeight="1"/>
    <row r="870" ht="12.75" customHeight="1"/>
    <row r="871" ht="12.75" customHeight="1"/>
    <row r="872" ht="12.75" customHeight="1"/>
    <row r="873" ht="12.75" customHeight="1"/>
    <row r="874" ht="12.75" customHeight="1"/>
    <row r="875" ht="12.75" customHeight="1"/>
    <row r="876" ht="12.75" customHeight="1"/>
    <row r="877" ht="12.75" customHeight="1"/>
    <row r="878" ht="12.75" customHeight="1"/>
    <row r="879" ht="12.75" customHeight="1"/>
    <row r="880" ht="12.75" customHeight="1"/>
    <row r="881" ht="12.75" customHeight="1"/>
    <row r="882" ht="12.75" customHeight="1"/>
    <row r="883" ht="12.75" customHeight="1"/>
    <row r="884" ht="12.75" customHeight="1"/>
    <row r="885" ht="12.75" customHeight="1"/>
    <row r="886" ht="12.75" customHeight="1"/>
    <row r="887" ht="12.75" customHeight="1"/>
    <row r="888" ht="12.75" customHeight="1"/>
    <row r="889" ht="12.75" customHeight="1"/>
    <row r="890" ht="12.75" customHeight="1"/>
    <row r="891" ht="12.75" customHeight="1"/>
    <row r="892" ht="12.75" customHeight="1"/>
    <row r="893" ht="12.75" customHeight="1"/>
    <row r="894" ht="12.75" customHeight="1"/>
    <row r="895" ht="12.75" customHeight="1"/>
    <row r="896" ht="12.75" customHeight="1"/>
    <row r="897" ht="12.75" customHeight="1"/>
    <row r="898" ht="12.75" customHeight="1"/>
    <row r="899" ht="12.75" customHeight="1"/>
    <row r="900" ht="12.75" customHeight="1"/>
    <row r="901" ht="12.75" customHeight="1"/>
    <row r="902" ht="12.75" customHeight="1"/>
    <row r="903" ht="12.75" customHeight="1"/>
    <row r="904" ht="12.75" customHeight="1"/>
    <row r="905" ht="12.75" customHeight="1"/>
    <row r="906" ht="12.75" customHeight="1"/>
    <row r="907" ht="12.75" customHeight="1"/>
    <row r="908" ht="12.75" customHeight="1"/>
    <row r="909" ht="12.75" customHeight="1"/>
    <row r="910" ht="12.75" customHeight="1"/>
    <row r="911" ht="12.75" customHeight="1"/>
    <row r="912" ht="12.75" customHeight="1"/>
    <row r="913" ht="12.75" customHeight="1"/>
    <row r="914" ht="12.75" customHeight="1"/>
    <row r="915" ht="12.75" customHeight="1"/>
    <row r="916" ht="12.75" customHeight="1"/>
    <row r="917" ht="12.75" customHeight="1"/>
    <row r="918" ht="12.75" customHeight="1"/>
    <row r="919" ht="12.75" customHeight="1"/>
    <row r="920" ht="12.75" customHeight="1"/>
    <row r="921" ht="12.75" customHeight="1"/>
    <row r="922" ht="12.75" customHeight="1"/>
    <row r="923" ht="12.75" customHeight="1"/>
    <row r="924" ht="12.75" customHeight="1"/>
    <row r="925" ht="12.75" customHeight="1"/>
    <row r="926" ht="12.75" customHeight="1"/>
    <row r="927" ht="12.75" customHeight="1"/>
    <row r="928" ht="12.75" customHeight="1"/>
    <row r="929" ht="12.75" customHeight="1"/>
    <row r="930" ht="12.75" customHeight="1"/>
    <row r="931" ht="12.75" customHeight="1"/>
    <row r="932" ht="12.75" customHeight="1"/>
    <row r="933" ht="12.75" customHeight="1"/>
    <row r="934" ht="12.75" customHeight="1"/>
    <row r="935" ht="12.75" customHeight="1"/>
    <row r="936" ht="12.75" customHeight="1"/>
    <row r="937" ht="12.75" customHeight="1"/>
    <row r="938" ht="12.75" customHeight="1"/>
    <row r="939" ht="12.75" customHeight="1"/>
    <row r="940" ht="12.75" customHeight="1"/>
    <row r="941" ht="12.75" customHeight="1"/>
    <row r="942" ht="12.75" customHeight="1"/>
    <row r="943" ht="12.75" customHeight="1"/>
    <row r="944" ht="12.75" customHeight="1"/>
    <row r="945" ht="12.75" customHeight="1"/>
    <row r="946" ht="12.75" customHeight="1"/>
    <row r="947" ht="12.75" customHeight="1"/>
    <row r="948" ht="12.75" customHeight="1"/>
    <row r="949" ht="12.75" customHeight="1"/>
    <row r="950" ht="12.75" customHeight="1"/>
    <row r="951" ht="12.75" customHeight="1"/>
    <row r="952" ht="12.75" customHeight="1"/>
    <row r="953" ht="12.75" customHeight="1"/>
    <row r="954" ht="12.75" customHeight="1"/>
    <row r="955" ht="12.75" customHeight="1"/>
    <row r="956" ht="12.75" customHeight="1"/>
    <row r="957" ht="12.75" customHeight="1"/>
    <row r="958" ht="12.75" customHeight="1"/>
    <row r="959" ht="12.75" customHeight="1"/>
    <row r="960" ht="12.75" customHeight="1"/>
    <row r="961" ht="12.75" customHeight="1"/>
    <row r="962" ht="12.75" customHeight="1"/>
    <row r="963" ht="12.75" customHeight="1"/>
    <row r="964" ht="12.75" customHeight="1"/>
    <row r="965" ht="12.75" customHeight="1"/>
    <row r="966" ht="12.75" customHeight="1"/>
    <row r="967" ht="12.75" customHeight="1"/>
    <row r="968" ht="12.75" customHeight="1"/>
    <row r="969" ht="12.75" customHeight="1"/>
    <row r="970" ht="12.75" customHeight="1"/>
    <row r="971" ht="12.75" customHeight="1"/>
    <row r="972" ht="12.75" customHeight="1"/>
    <row r="973" ht="12.75" customHeight="1"/>
    <row r="974" ht="12.75" customHeight="1"/>
    <row r="975" ht="12.75" customHeight="1"/>
    <row r="976" ht="12.75" customHeight="1"/>
    <row r="977" ht="12.75" customHeight="1"/>
    <row r="978" ht="12.75" customHeight="1"/>
    <row r="979" ht="12.75" customHeight="1"/>
    <row r="980" ht="12.75" customHeight="1"/>
    <row r="981" ht="12.75" customHeight="1"/>
    <row r="982" ht="12.75" customHeight="1"/>
    <row r="983" ht="12.75" customHeight="1"/>
    <row r="984" ht="12.75" customHeight="1"/>
    <row r="985" ht="12.75" customHeight="1"/>
    <row r="986" ht="12.75" customHeight="1"/>
    <row r="987" ht="12.75" customHeight="1"/>
    <row r="988" ht="12.75" customHeight="1"/>
    <row r="989" ht="12.75" customHeight="1"/>
    <row r="990" ht="12.75" customHeight="1"/>
    <row r="991" ht="12.75" customHeight="1"/>
    <row r="992" ht="12.75" customHeight="1"/>
    <row r="993" ht="12.75" customHeight="1"/>
    <row r="994" ht="12.75" customHeight="1"/>
    <row r="995" ht="12.75" customHeight="1"/>
    <row r="996" ht="12.75" customHeight="1"/>
    <row r="997" ht="12.75" customHeight="1"/>
    <row r="998" ht="12.75" customHeight="1"/>
    <row r="999" ht="12.75" customHeight="1"/>
    <row r="1000" ht="12.75" customHeight="1"/>
  </sheetData>
  <printOptions/>
  <pageMargins bottom="0.75" footer="0.0" header="0.0" left="0.7" right="0.7" top="0.75"/>
  <pageSetup orientation="landscape"/>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2.63" defaultRowHeight="15.75"/>
  <cols>
    <col customWidth="1" min="1" max="6" width="8.0"/>
  </cols>
  <sheetData>
    <row r="1" ht="12.75" customHeight="1">
      <c r="A1" s="20" t="s">
        <v>1748</v>
      </c>
      <c r="B1" s="20" t="s">
        <v>1761</v>
      </c>
      <c r="C1" s="20" t="s">
        <v>1245</v>
      </c>
      <c r="D1" s="2" t="s">
        <v>4310</v>
      </c>
      <c r="E1" s="20" t="s">
        <v>1809</v>
      </c>
      <c r="F1" s="2" t="s">
        <v>4311</v>
      </c>
    </row>
    <row r="2" ht="12.75" customHeight="1">
      <c r="A2" s="20" t="s">
        <v>1639</v>
      </c>
      <c r="B2" s="20" t="s">
        <v>1820</v>
      </c>
      <c r="C2" s="20" t="s">
        <v>1837</v>
      </c>
      <c r="D2" s="2" t="s">
        <v>4312</v>
      </c>
      <c r="E2" s="20" t="s">
        <v>1843</v>
      </c>
      <c r="F2" s="2" t="s">
        <v>4313</v>
      </c>
    </row>
    <row r="3" ht="12.75" customHeight="1">
      <c r="A3" s="20" t="s">
        <v>1730</v>
      </c>
      <c r="B3" s="20" t="s">
        <v>1848</v>
      </c>
      <c r="C3" s="20" t="s">
        <v>1859</v>
      </c>
      <c r="D3" s="2" t="s">
        <v>4312</v>
      </c>
      <c r="E3" s="20" t="s">
        <v>1862</v>
      </c>
      <c r="F3" s="2" t="s">
        <v>4313</v>
      </c>
    </row>
    <row r="4" ht="12.75" customHeight="1">
      <c r="A4" s="20" t="s">
        <v>1663</v>
      </c>
      <c r="B4" s="20" t="s">
        <v>1867</v>
      </c>
      <c r="C4" s="20" t="s">
        <v>1876</v>
      </c>
      <c r="D4" s="2" t="s">
        <v>4312</v>
      </c>
      <c r="E4" s="20" t="s">
        <v>1879</v>
      </c>
      <c r="F4" s="2" t="s">
        <v>4313</v>
      </c>
    </row>
    <row r="5" ht="12.75" customHeight="1">
      <c r="A5" s="20" t="s">
        <v>1331</v>
      </c>
      <c r="B5" s="20" t="s">
        <v>1885</v>
      </c>
      <c r="C5" s="20" t="s">
        <v>1898</v>
      </c>
      <c r="D5" s="2" t="s">
        <v>4312</v>
      </c>
      <c r="E5" s="20" t="s">
        <v>1902</v>
      </c>
      <c r="F5" s="2" t="s">
        <v>4313</v>
      </c>
    </row>
    <row r="6" ht="12.75" customHeight="1">
      <c r="A6" s="20" t="s">
        <v>1517</v>
      </c>
      <c r="B6" s="20" t="s">
        <v>1907</v>
      </c>
      <c r="C6" s="20" t="s">
        <v>1917</v>
      </c>
      <c r="D6" s="2" t="s">
        <v>4312</v>
      </c>
      <c r="E6" s="20" t="s">
        <v>1919</v>
      </c>
      <c r="F6" s="2" t="s">
        <v>4313</v>
      </c>
    </row>
    <row r="7" ht="12.75" customHeight="1">
      <c r="A7" s="20" t="s">
        <v>1922</v>
      </c>
      <c r="B7" s="20" t="s">
        <v>1926</v>
      </c>
      <c r="C7" s="20" t="s">
        <v>1940</v>
      </c>
      <c r="D7" s="2" t="s">
        <v>4312</v>
      </c>
      <c r="E7" s="20" t="s">
        <v>1942</v>
      </c>
      <c r="F7" s="2" t="s">
        <v>4313</v>
      </c>
    </row>
    <row r="8" ht="12.75" customHeight="1">
      <c r="A8" s="20" t="s">
        <v>1282</v>
      </c>
      <c r="B8" s="20" t="s">
        <v>1948</v>
      </c>
      <c r="C8" s="20" t="s">
        <v>1965</v>
      </c>
      <c r="D8" s="2" t="s">
        <v>4312</v>
      </c>
      <c r="E8" s="20" t="s">
        <v>1970</v>
      </c>
      <c r="F8" s="2" t="s">
        <v>4313</v>
      </c>
    </row>
    <row r="9" ht="12.75" customHeight="1">
      <c r="A9" s="20" t="s">
        <v>1503</v>
      </c>
      <c r="B9" s="20" t="s">
        <v>1975</v>
      </c>
      <c r="C9" s="20" t="s">
        <v>1984</v>
      </c>
      <c r="D9" s="2" t="s">
        <v>4312</v>
      </c>
      <c r="E9" s="20" t="s">
        <v>1986</v>
      </c>
      <c r="F9" s="2" t="s">
        <v>4313</v>
      </c>
    </row>
    <row r="10" ht="12.75" customHeight="1">
      <c r="A10" s="20" t="s">
        <v>1610</v>
      </c>
      <c r="B10" s="20" t="s">
        <v>1992</v>
      </c>
      <c r="C10" s="20" t="s">
        <v>2010</v>
      </c>
      <c r="D10" s="2" t="s">
        <v>4312</v>
      </c>
      <c r="E10" s="20" t="s">
        <v>2015</v>
      </c>
      <c r="F10" s="2" t="s">
        <v>4313</v>
      </c>
    </row>
    <row r="11" ht="12.75" customHeight="1">
      <c r="A11" s="20" t="s">
        <v>1692</v>
      </c>
      <c r="B11" s="20" t="s">
        <v>2021</v>
      </c>
      <c r="C11" s="20" t="s">
        <v>2035</v>
      </c>
      <c r="D11" s="2" t="s">
        <v>4312</v>
      </c>
      <c r="E11" s="20" t="s">
        <v>2037</v>
      </c>
      <c r="F11" s="2" t="s">
        <v>4313</v>
      </c>
    </row>
    <row r="12" ht="12.75" customHeight="1">
      <c r="A12" s="20" t="s">
        <v>1447</v>
      </c>
      <c r="B12" s="20" t="s">
        <v>2043</v>
      </c>
      <c r="C12" s="20" t="s">
        <v>2060</v>
      </c>
      <c r="D12" s="2" t="s">
        <v>4312</v>
      </c>
      <c r="E12" s="20" t="s">
        <v>2062</v>
      </c>
      <c r="F12" s="2" t="s">
        <v>4313</v>
      </c>
    </row>
    <row r="13" ht="12.75" customHeight="1">
      <c r="A13" s="20" t="s">
        <v>1335</v>
      </c>
      <c r="B13" s="20" t="s">
        <v>2068</v>
      </c>
      <c r="C13" s="20" t="s">
        <v>2083</v>
      </c>
      <c r="D13" s="2" t="s">
        <v>4312</v>
      </c>
      <c r="E13" s="20" t="s">
        <v>2087</v>
      </c>
      <c r="F13" s="2" t="s">
        <v>4313</v>
      </c>
    </row>
    <row r="14" ht="12.75" customHeight="1">
      <c r="A14" s="20" t="s">
        <v>1268</v>
      </c>
      <c r="B14" s="20" t="s">
        <v>2093</v>
      </c>
      <c r="C14" s="20" t="s">
        <v>2107</v>
      </c>
      <c r="D14" s="2" t="s">
        <v>4312</v>
      </c>
      <c r="E14" s="20" t="s">
        <v>2110</v>
      </c>
      <c r="F14" s="2" t="s">
        <v>4313</v>
      </c>
    </row>
    <row r="15" ht="12.75" customHeight="1">
      <c r="A15" s="20" t="s">
        <v>2113</v>
      </c>
      <c r="B15" s="20" t="s">
        <v>2116</v>
      </c>
      <c r="C15" s="20" t="s">
        <v>2125</v>
      </c>
      <c r="D15" s="2" t="s">
        <v>4312</v>
      </c>
      <c r="E15" s="20" t="s">
        <v>2127</v>
      </c>
      <c r="F15" s="2" t="s">
        <v>4313</v>
      </c>
    </row>
    <row r="16" ht="12.75" customHeight="1">
      <c r="A16" s="20" t="s">
        <v>1319</v>
      </c>
      <c r="B16" s="20" t="s">
        <v>2132</v>
      </c>
      <c r="C16" s="20" t="s">
        <v>2142</v>
      </c>
      <c r="D16" s="2" t="s">
        <v>4312</v>
      </c>
      <c r="E16" s="20" t="s">
        <v>2144</v>
      </c>
      <c r="F16" s="2" t="s">
        <v>4313</v>
      </c>
    </row>
    <row r="17" ht="12.75" customHeight="1">
      <c r="A17" s="20" t="s">
        <v>1501</v>
      </c>
      <c r="B17" s="20" t="s">
        <v>2150</v>
      </c>
      <c r="C17" s="20" t="s">
        <v>2165</v>
      </c>
      <c r="D17" s="2" t="s">
        <v>4312</v>
      </c>
      <c r="E17" s="20" t="s">
        <v>2167</v>
      </c>
      <c r="F17" s="2" t="s">
        <v>4313</v>
      </c>
    </row>
    <row r="18" ht="12.75" customHeight="1">
      <c r="A18" s="20" t="s">
        <v>1667</v>
      </c>
      <c r="B18" s="20" t="s">
        <v>2173</v>
      </c>
      <c r="C18" s="20" t="s">
        <v>2186</v>
      </c>
      <c r="D18" s="2" t="s">
        <v>4312</v>
      </c>
      <c r="E18" s="20" t="s">
        <v>2188</v>
      </c>
      <c r="F18" s="2" t="s">
        <v>4313</v>
      </c>
    </row>
    <row r="19" ht="12.75" customHeight="1">
      <c r="A19" s="20" t="s">
        <v>2191</v>
      </c>
      <c r="B19" s="20" t="s">
        <v>2194</v>
      </c>
      <c r="C19" s="20" t="s">
        <v>2211</v>
      </c>
      <c r="D19" s="2" t="s">
        <v>4312</v>
      </c>
      <c r="E19" s="20" t="s">
        <v>2214</v>
      </c>
      <c r="F19" s="2" t="s">
        <v>4313</v>
      </c>
    </row>
    <row r="20" ht="12.75" customHeight="1">
      <c r="A20" s="20" t="s">
        <v>1515</v>
      </c>
      <c r="B20" s="20" t="s">
        <v>2219</v>
      </c>
      <c r="C20" s="20" t="s">
        <v>2228</v>
      </c>
      <c r="D20" s="2" t="s">
        <v>4312</v>
      </c>
      <c r="E20" s="20" t="s">
        <v>2230</v>
      </c>
      <c r="F20" s="2" t="s">
        <v>4313</v>
      </c>
    </row>
    <row r="21" ht="12.75" customHeight="1">
      <c r="A21" s="20" t="s">
        <v>1604</v>
      </c>
      <c r="B21" s="20" t="s">
        <v>2235</v>
      </c>
      <c r="C21" s="20" t="s">
        <v>2241</v>
      </c>
      <c r="D21" s="2" t="s">
        <v>4312</v>
      </c>
      <c r="E21" s="20" t="s">
        <v>2243</v>
      </c>
      <c r="F21" s="2" t="s">
        <v>4313</v>
      </c>
    </row>
    <row r="22" ht="12.75" customHeight="1">
      <c r="A22" s="20" t="s">
        <v>2245</v>
      </c>
      <c r="B22" s="20" t="s">
        <v>2249</v>
      </c>
      <c r="C22" s="20" t="s">
        <v>2263</v>
      </c>
      <c r="D22" s="2" t="s">
        <v>4312</v>
      </c>
      <c r="E22" s="20" t="s">
        <v>2268</v>
      </c>
      <c r="F22" s="2" t="s">
        <v>4313</v>
      </c>
    </row>
    <row r="23" ht="12.75" customHeight="1">
      <c r="A23" s="20" t="s">
        <v>1469</v>
      </c>
      <c r="B23" s="20" t="s">
        <v>2273</v>
      </c>
      <c r="C23" s="20" t="s">
        <v>2286</v>
      </c>
      <c r="D23" s="2" t="s">
        <v>4312</v>
      </c>
      <c r="E23" s="20" t="s">
        <v>2288</v>
      </c>
      <c r="F23" s="2" t="s">
        <v>4313</v>
      </c>
    </row>
    <row r="24" ht="12.75" customHeight="1">
      <c r="A24" s="20" t="s">
        <v>1303</v>
      </c>
      <c r="B24" s="20" t="s">
        <v>2292</v>
      </c>
      <c r="C24" s="20" t="s">
        <v>2299</v>
      </c>
      <c r="D24" s="2" t="s">
        <v>4312</v>
      </c>
      <c r="E24" s="20" t="s">
        <v>2301</v>
      </c>
      <c r="F24" s="2" t="s">
        <v>4313</v>
      </c>
    </row>
    <row r="25" ht="12.75" customHeight="1">
      <c r="A25" s="20" t="s">
        <v>1361</v>
      </c>
      <c r="B25" s="20" t="s">
        <v>2305</v>
      </c>
      <c r="C25" s="20" t="s">
        <v>2312</v>
      </c>
      <c r="D25" s="2" t="s">
        <v>4312</v>
      </c>
      <c r="E25" s="20" t="s">
        <v>2314</v>
      </c>
      <c r="F25" s="2" t="s">
        <v>4313</v>
      </c>
    </row>
    <row r="26" ht="12.75" customHeight="1">
      <c r="A26" s="20" t="s">
        <v>1541</v>
      </c>
      <c r="B26" s="20" t="s">
        <v>2319</v>
      </c>
      <c r="C26" s="20" t="s">
        <v>2329</v>
      </c>
      <c r="D26" s="2" t="s">
        <v>4312</v>
      </c>
      <c r="E26" s="20" t="s">
        <v>2331</v>
      </c>
      <c r="F26" s="2" t="s">
        <v>4313</v>
      </c>
    </row>
    <row r="27" ht="12.75" customHeight="1">
      <c r="A27" s="20" t="s">
        <v>2334</v>
      </c>
      <c r="B27" s="20" t="s">
        <v>2338</v>
      </c>
      <c r="C27" s="20" t="s">
        <v>2350</v>
      </c>
      <c r="D27" s="2" t="s">
        <v>4312</v>
      </c>
      <c r="E27" s="20" t="s">
        <v>2354</v>
      </c>
      <c r="F27" s="2" t="s">
        <v>4313</v>
      </c>
    </row>
    <row r="28" ht="12.75" customHeight="1">
      <c r="A28" s="20" t="s">
        <v>1537</v>
      </c>
      <c r="B28" s="20" t="s">
        <v>2359</v>
      </c>
      <c r="C28" s="20" t="s">
        <v>2372</v>
      </c>
      <c r="D28" s="2" t="s">
        <v>4312</v>
      </c>
      <c r="E28" s="20" t="s">
        <v>2374</v>
      </c>
      <c r="F28" s="2" t="s">
        <v>4313</v>
      </c>
    </row>
    <row r="29" ht="12.75" customHeight="1">
      <c r="A29" s="20" t="s">
        <v>1341</v>
      </c>
      <c r="B29" s="20" t="s">
        <v>2380</v>
      </c>
      <c r="C29" s="20" t="s">
        <v>2397</v>
      </c>
      <c r="D29" s="2" t="s">
        <v>4312</v>
      </c>
      <c r="E29" s="20" t="s">
        <v>2399</v>
      </c>
      <c r="F29" s="2" t="s">
        <v>4313</v>
      </c>
    </row>
    <row r="30" ht="12.75" customHeight="1">
      <c r="A30" s="20" t="s">
        <v>1529</v>
      </c>
      <c r="B30" s="20" t="s">
        <v>2403</v>
      </c>
      <c r="C30" s="20" t="s">
        <v>2410</v>
      </c>
      <c r="D30" s="2" t="s">
        <v>4312</v>
      </c>
      <c r="E30" s="20" t="s">
        <v>2412</v>
      </c>
      <c r="F30" s="2" t="s">
        <v>4313</v>
      </c>
    </row>
    <row r="31" ht="12.75" customHeight="1">
      <c r="A31" s="20" t="s">
        <v>2415</v>
      </c>
      <c r="B31" s="20" t="s">
        <v>2417</v>
      </c>
      <c r="C31" s="20" t="s">
        <v>2429</v>
      </c>
      <c r="D31" s="2" t="s">
        <v>4312</v>
      </c>
      <c r="E31" s="20" t="s">
        <v>2431</v>
      </c>
      <c r="F31" s="2" t="s">
        <v>4313</v>
      </c>
    </row>
    <row r="32" ht="12.75" customHeight="1">
      <c r="A32" s="20" t="s">
        <v>1568</v>
      </c>
      <c r="B32" s="20" t="s">
        <v>2436</v>
      </c>
      <c r="C32" s="20" t="s">
        <v>2447</v>
      </c>
      <c r="D32" s="2" t="s">
        <v>4312</v>
      </c>
      <c r="E32" s="20" t="s">
        <v>2450</v>
      </c>
      <c r="F32" s="2" t="s">
        <v>4313</v>
      </c>
    </row>
    <row r="33" ht="12.75" customHeight="1">
      <c r="A33" s="20" t="s">
        <v>1395</v>
      </c>
      <c r="B33" s="20" t="s">
        <v>2458</v>
      </c>
      <c r="C33" s="20" t="s">
        <v>2464</v>
      </c>
      <c r="D33" s="2" t="s">
        <v>4312</v>
      </c>
      <c r="E33" s="20" t="s">
        <v>2467</v>
      </c>
      <c r="F33" s="2" t="s">
        <v>4313</v>
      </c>
    </row>
    <row r="34" ht="12.75" customHeight="1">
      <c r="A34" s="20" t="s">
        <v>1371</v>
      </c>
      <c r="B34" s="20" t="s">
        <v>2472</v>
      </c>
      <c r="C34" s="20" t="s">
        <v>2481</v>
      </c>
      <c r="D34" s="2" t="s">
        <v>4312</v>
      </c>
      <c r="E34" s="20" t="s">
        <v>2485</v>
      </c>
      <c r="F34" s="2" t="s">
        <v>4313</v>
      </c>
    </row>
    <row r="35" ht="12.75" customHeight="1">
      <c r="A35" s="20" t="s">
        <v>2488</v>
      </c>
      <c r="B35" s="20" t="s">
        <v>2492</v>
      </c>
      <c r="C35" s="20" t="s">
        <v>2506</v>
      </c>
      <c r="D35" s="2" t="s">
        <v>4312</v>
      </c>
      <c r="E35" s="20" t="s">
        <v>2508</v>
      </c>
      <c r="F35" s="2" t="s">
        <v>4313</v>
      </c>
    </row>
    <row r="36" ht="12.75" customHeight="1">
      <c r="A36" s="20" t="s">
        <v>1596</v>
      </c>
      <c r="B36" s="20" t="s">
        <v>2514</v>
      </c>
      <c r="C36" s="20" t="s">
        <v>2528</v>
      </c>
      <c r="D36" s="2" t="s">
        <v>4312</v>
      </c>
      <c r="E36" s="20" t="s">
        <v>2530</v>
      </c>
      <c r="F36" s="2" t="s">
        <v>4313</v>
      </c>
    </row>
    <row r="37" ht="12.75" customHeight="1">
      <c r="A37" s="20" t="s">
        <v>1401</v>
      </c>
      <c r="B37" s="20" t="s">
        <v>2534</v>
      </c>
      <c r="C37" s="20" t="s">
        <v>2541</v>
      </c>
      <c r="D37" s="2" t="s">
        <v>4312</v>
      </c>
      <c r="E37" s="20" t="s">
        <v>2543</v>
      </c>
      <c r="F37" s="2" t="s">
        <v>4313</v>
      </c>
    </row>
    <row r="38" ht="12.75" customHeight="1">
      <c r="A38" s="20" t="s">
        <v>1643</v>
      </c>
      <c r="B38" s="20" t="s">
        <v>2549</v>
      </c>
      <c r="C38" s="20" t="s">
        <v>2564</v>
      </c>
      <c r="D38" s="2" t="s">
        <v>4312</v>
      </c>
      <c r="E38" s="20" t="s">
        <v>2566</v>
      </c>
      <c r="F38" s="2" t="s">
        <v>4313</v>
      </c>
    </row>
    <row r="39" ht="12.75" customHeight="1">
      <c r="A39" s="20" t="s">
        <v>2569</v>
      </c>
      <c r="B39" s="20" t="s">
        <v>2572</v>
      </c>
      <c r="C39" s="20" t="s">
        <v>2579</v>
      </c>
      <c r="D39" s="2" t="s">
        <v>4312</v>
      </c>
      <c r="E39" s="20" t="s">
        <v>2581</v>
      </c>
      <c r="F39" s="2" t="s">
        <v>4313</v>
      </c>
    </row>
    <row r="40" ht="12.75" customHeight="1">
      <c r="A40" s="20" t="s">
        <v>1580</v>
      </c>
      <c r="B40" s="20" t="s">
        <v>2586</v>
      </c>
      <c r="C40" s="20" t="s">
        <v>2597</v>
      </c>
      <c r="D40" s="2" t="s">
        <v>4312</v>
      </c>
      <c r="E40" s="20" t="s">
        <v>2601</v>
      </c>
      <c r="F40" s="2" t="s">
        <v>4313</v>
      </c>
    </row>
    <row r="41" ht="12.75" customHeight="1">
      <c r="A41" s="20" t="s">
        <v>2604</v>
      </c>
      <c r="B41" s="20" t="s">
        <v>2608</v>
      </c>
      <c r="C41" s="20" t="s">
        <v>2625</v>
      </c>
      <c r="D41" s="2" t="s">
        <v>4312</v>
      </c>
      <c r="E41" s="20" t="s">
        <v>2629</v>
      </c>
      <c r="F41" s="2" t="s">
        <v>4313</v>
      </c>
    </row>
    <row r="42" ht="12.75" customHeight="1">
      <c r="A42" s="20" t="s">
        <v>2632</v>
      </c>
      <c r="B42" s="20" t="s">
        <v>2636</v>
      </c>
      <c r="C42" s="20" t="s">
        <v>2652</v>
      </c>
      <c r="D42" s="2" t="s">
        <v>4312</v>
      </c>
      <c r="E42" s="20" t="s">
        <v>2655</v>
      </c>
      <c r="F42" s="2" t="s">
        <v>4313</v>
      </c>
    </row>
    <row r="43" ht="12.75" customHeight="1">
      <c r="A43" s="20" t="s">
        <v>2658</v>
      </c>
      <c r="B43" s="20" t="s">
        <v>2662</v>
      </c>
      <c r="C43" s="20" t="s">
        <v>2674</v>
      </c>
      <c r="D43" s="2" t="s">
        <v>4312</v>
      </c>
      <c r="E43" s="20" t="s">
        <v>2677</v>
      </c>
      <c r="F43" s="2" t="s">
        <v>4313</v>
      </c>
    </row>
    <row r="44" ht="12.75" customHeight="1">
      <c r="A44" s="20" t="s">
        <v>1280</v>
      </c>
      <c r="B44" s="20" t="s">
        <v>2683</v>
      </c>
      <c r="C44" s="20" t="s">
        <v>2694</v>
      </c>
      <c r="D44" s="2" t="s">
        <v>4312</v>
      </c>
      <c r="E44" s="20" t="s">
        <v>2696</v>
      </c>
      <c r="F44" s="2" t="s">
        <v>4313</v>
      </c>
    </row>
    <row r="45" ht="12.75" customHeight="1">
      <c r="A45" s="20" t="s">
        <v>1467</v>
      </c>
      <c r="B45" s="20" t="s">
        <v>2701</v>
      </c>
      <c r="C45" s="20" t="s">
        <v>2708</v>
      </c>
      <c r="D45" s="2" t="s">
        <v>4312</v>
      </c>
      <c r="E45" s="20" t="s">
        <v>2710</v>
      </c>
      <c r="F45" s="2" t="s">
        <v>4313</v>
      </c>
    </row>
    <row r="46" ht="12.75" customHeight="1">
      <c r="A46" s="20" t="s">
        <v>1574</v>
      </c>
      <c r="B46" s="20" t="s">
        <v>2715</v>
      </c>
      <c r="C46" s="20" t="s">
        <v>2724</v>
      </c>
      <c r="D46" s="2" t="s">
        <v>4312</v>
      </c>
      <c r="E46" s="20" t="s">
        <v>2726</v>
      </c>
      <c r="F46" s="2" t="s">
        <v>4313</v>
      </c>
    </row>
    <row r="47" ht="12.75" customHeight="1">
      <c r="A47" s="20" t="s">
        <v>2729</v>
      </c>
      <c r="B47" s="20" t="s">
        <v>2732</v>
      </c>
      <c r="C47" s="20" t="s">
        <v>2742</v>
      </c>
      <c r="D47" s="2" t="s">
        <v>4312</v>
      </c>
      <c r="E47" s="20" t="s">
        <v>2744</v>
      </c>
      <c r="F47" s="2" t="s">
        <v>4313</v>
      </c>
    </row>
    <row r="48" ht="12.75" customHeight="1">
      <c r="A48" s="20" t="s">
        <v>2746</v>
      </c>
      <c r="B48" s="20" t="s">
        <v>2749</v>
      </c>
      <c r="C48" s="20" t="s">
        <v>2753</v>
      </c>
      <c r="D48" s="2" t="s">
        <v>4312</v>
      </c>
      <c r="E48" s="20" t="s">
        <v>2755</v>
      </c>
      <c r="F48" s="2" t="s">
        <v>4313</v>
      </c>
    </row>
    <row r="49" ht="12.75" customHeight="1">
      <c r="A49" s="20" t="s">
        <v>2757</v>
      </c>
      <c r="B49" s="20" t="s">
        <v>2761</v>
      </c>
      <c r="C49" s="20" t="s">
        <v>2770</v>
      </c>
      <c r="D49" s="2" t="s">
        <v>4312</v>
      </c>
      <c r="E49" s="20" t="s">
        <v>2772</v>
      </c>
      <c r="F49" s="2" t="s">
        <v>4313</v>
      </c>
    </row>
    <row r="50" ht="12.75" customHeight="1">
      <c r="A50" s="20" t="s">
        <v>2775</v>
      </c>
      <c r="B50" s="20" t="s">
        <v>2779</v>
      </c>
      <c r="C50" s="20" t="s">
        <v>2795</v>
      </c>
      <c r="D50" s="2" t="s">
        <v>4312</v>
      </c>
      <c r="E50" s="20" t="s">
        <v>2797</v>
      </c>
      <c r="F50" s="2" t="s">
        <v>4313</v>
      </c>
    </row>
    <row r="51" ht="12.75" customHeight="1">
      <c r="A51" s="20" t="s">
        <v>2800</v>
      </c>
      <c r="B51" s="20" t="s">
        <v>2803</v>
      </c>
      <c r="C51" s="20" t="s">
        <v>2812</v>
      </c>
      <c r="D51" s="2" t="s">
        <v>4312</v>
      </c>
      <c r="E51" s="20" t="s">
        <v>2814</v>
      </c>
      <c r="F51" s="2" t="s">
        <v>4313</v>
      </c>
    </row>
    <row r="52" ht="12.75" customHeight="1">
      <c r="A52" s="20" t="s">
        <v>1294</v>
      </c>
      <c r="B52" s="20" t="s">
        <v>2818</v>
      </c>
      <c r="C52" s="20" t="s">
        <v>2824</v>
      </c>
      <c r="D52" s="2" t="s">
        <v>4312</v>
      </c>
      <c r="E52" s="20" t="s">
        <v>2826</v>
      </c>
      <c r="F52" s="2" t="s">
        <v>4313</v>
      </c>
    </row>
    <row r="53" ht="12.75" customHeight="1">
      <c r="A53" s="20" t="s">
        <v>1437</v>
      </c>
      <c r="B53" s="20" t="s">
        <v>2830</v>
      </c>
      <c r="C53" s="20" t="s">
        <v>2835</v>
      </c>
      <c r="D53" s="2" t="s">
        <v>4312</v>
      </c>
      <c r="E53" s="20" t="s">
        <v>2837</v>
      </c>
      <c r="F53" s="2" t="s">
        <v>4313</v>
      </c>
    </row>
    <row r="54" ht="12.75" customHeight="1">
      <c r="A54" s="20" t="s">
        <v>1674</v>
      </c>
      <c r="B54" s="20" t="s">
        <v>2842</v>
      </c>
      <c r="C54" s="20" t="s">
        <v>2849</v>
      </c>
      <c r="D54" s="2" t="s">
        <v>4312</v>
      </c>
      <c r="E54" s="20" t="s">
        <v>2851</v>
      </c>
      <c r="F54" s="2" t="s">
        <v>4313</v>
      </c>
    </row>
    <row r="55" ht="12.75" customHeight="1">
      <c r="A55" s="20" t="s">
        <v>2854</v>
      </c>
      <c r="B55" s="20" t="s">
        <v>2857</v>
      </c>
      <c r="C55" s="20" t="s">
        <v>2869</v>
      </c>
      <c r="D55" s="2" t="s">
        <v>4312</v>
      </c>
      <c r="E55" s="20" t="s">
        <v>2872</v>
      </c>
      <c r="F55" s="2" t="s">
        <v>4313</v>
      </c>
    </row>
    <row r="56" ht="12.75" customHeight="1">
      <c r="A56" s="20" t="s">
        <v>2874</v>
      </c>
      <c r="B56" s="20" t="s">
        <v>2878</v>
      </c>
      <c r="C56" s="20" t="s">
        <v>2890</v>
      </c>
      <c r="D56" s="2" t="s">
        <v>4312</v>
      </c>
      <c r="E56" s="20" t="s">
        <v>2894</v>
      </c>
      <c r="F56" s="2" t="s">
        <v>4313</v>
      </c>
    </row>
    <row r="57" ht="12.75" customHeight="1">
      <c r="A57" s="20" t="s">
        <v>1720</v>
      </c>
      <c r="B57" s="20" t="s">
        <v>2899</v>
      </c>
      <c r="C57" s="20" t="s">
        <v>2909</v>
      </c>
      <c r="D57" s="2" t="s">
        <v>4312</v>
      </c>
      <c r="E57" s="20" t="s">
        <v>2911</v>
      </c>
      <c r="F57" s="2" t="s">
        <v>4313</v>
      </c>
    </row>
    <row r="58" ht="12.75" customHeight="1">
      <c r="A58" s="20" t="s">
        <v>1539</v>
      </c>
      <c r="B58" s="20" t="s">
        <v>2916</v>
      </c>
      <c r="C58" s="20" t="s">
        <v>2923</v>
      </c>
      <c r="D58" s="2" t="s">
        <v>4312</v>
      </c>
      <c r="E58" s="20" t="s">
        <v>2925</v>
      </c>
      <c r="F58" s="2" t="s">
        <v>4313</v>
      </c>
    </row>
    <row r="59" ht="12.75" customHeight="1">
      <c r="A59" s="20" t="s">
        <v>1507</v>
      </c>
      <c r="B59" s="20" t="s">
        <v>2930</v>
      </c>
      <c r="C59" s="20" t="s">
        <v>2934</v>
      </c>
      <c r="D59" s="2" t="s">
        <v>4312</v>
      </c>
      <c r="E59" s="20" t="s">
        <v>2936</v>
      </c>
      <c r="F59" s="2" t="s">
        <v>4313</v>
      </c>
    </row>
    <row r="60" ht="12.75" customHeight="1">
      <c r="A60" s="20" t="s">
        <v>1389</v>
      </c>
      <c r="B60" s="20" t="s">
        <v>2940</v>
      </c>
      <c r="C60" s="20" t="s">
        <v>2950</v>
      </c>
      <c r="D60" s="2" t="s">
        <v>4312</v>
      </c>
      <c r="E60" s="20" t="s">
        <v>2952</v>
      </c>
      <c r="F60" s="2" t="s">
        <v>4313</v>
      </c>
    </row>
    <row r="61" ht="12.75" customHeight="1">
      <c r="A61" s="20" t="s">
        <v>1473</v>
      </c>
      <c r="B61" s="20" t="s">
        <v>2958</v>
      </c>
      <c r="C61" s="20" t="s">
        <v>2971</v>
      </c>
      <c r="D61" s="2" t="s">
        <v>4312</v>
      </c>
      <c r="E61" s="20" t="s">
        <v>2973</v>
      </c>
      <c r="F61" s="2" t="s">
        <v>4313</v>
      </c>
    </row>
    <row r="62" ht="12.75" customHeight="1">
      <c r="A62" s="20" t="s">
        <v>1594</v>
      </c>
      <c r="B62" s="20" t="s">
        <v>2979</v>
      </c>
      <c r="C62" s="20" t="s">
        <v>2991</v>
      </c>
      <c r="D62" s="2" t="s">
        <v>4312</v>
      </c>
      <c r="E62" s="20" t="s">
        <v>2995</v>
      </c>
      <c r="F62" s="2" t="s">
        <v>4313</v>
      </c>
    </row>
    <row r="63" ht="12.75" customHeight="1">
      <c r="A63" s="20" t="s">
        <v>1562</v>
      </c>
      <c r="B63" s="20" t="s">
        <v>3000</v>
      </c>
      <c r="C63" s="20" t="s">
        <v>3009</v>
      </c>
      <c r="D63" s="2" t="s">
        <v>4312</v>
      </c>
      <c r="E63" s="20" t="s">
        <v>3011</v>
      </c>
      <c r="F63" s="2" t="s">
        <v>4313</v>
      </c>
    </row>
    <row r="64" ht="12.75" customHeight="1">
      <c r="A64" s="20" t="s">
        <v>1665</v>
      </c>
      <c r="B64" s="20" t="s">
        <v>3016</v>
      </c>
      <c r="C64" s="20" t="s">
        <v>3024</v>
      </c>
      <c r="D64" s="2" t="s">
        <v>4312</v>
      </c>
      <c r="E64" s="20" t="s">
        <v>3026</v>
      </c>
      <c r="F64" s="2" t="s">
        <v>4313</v>
      </c>
    </row>
    <row r="65" ht="12.75" customHeight="1">
      <c r="A65" s="20" t="s">
        <v>3029</v>
      </c>
      <c r="B65" s="20" t="s">
        <v>3033</v>
      </c>
      <c r="C65" s="20" t="s">
        <v>3046</v>
      </c>
      <c r="D65" s="2" t="s">
        <v>4312</v>
      </c>
      <c r="E65" s="20" t="s">
        <v>3049</v>
      </c>
      <c r="F65" s="2" t="s">
        <v>4313</v>
      </c>
    </row>
    <row r="66" ht="12.75" customHeight="1">
      <c r="A66" s="20" t="s">
        <v>1511</v>
      </c>
      <c r="B66" s="20" t="s">
        <v>3053</v>
      </c>
      <c r="C66" s="20" t="s">
        <v>3060</v>
      </c>
      <c r="D66" s="2" t="s">
        <v>4312</v>
      </c>
      <c r="E66" s="20" t="s">
        <v>3062</v>
      </c>
      <c r="F66" s="2" t="s">
        <v>4313</v>
      </c>
    </row>
    <row r="67" ht="12.75" customHeight="1">
      <c r="A67" s="20" t="s">
        <v>1349</v>
      </c>
      <c r="B67" s="20" t="s">
        <v>3067</v>
      </c>
      <c r="C67" s="20" t="s">
        <v>3074</v>
      </c>
      <c r="D67" s="2" t="s">
        <v>4312</v>
      </c>
      <c r="E67" s="20" t="s">
        <v>3077</v>
      </c>
      <c r="F67" s="2" t="s">
        <v>4313</v>
      </c>
    </row>
    <row r="68" ht="12.75" customHeight="1">
      <c r="A68" s="20" t="s">
        <v>1369</v>
      </c>
      <c r="B68" s="20" t="s">
        <v>3081</v>
      </c>
      <c r="C68" s="20" t="s">
        <v>3088</v>
      </c>
      <c r="D68" s="2" t="s">
        <v>4312</v>
      </c>
      <c r="E68" s="20" t="s">
        <v>3090</v>
      </c>
      <c r="F68" s="2" t="s">
        <v>4313</v>
      </c>
    </row>
    <row r="69" ht="12.75" customHeight="1">
      <c r="A69" s="20" t="s">
        <v>3093</v>
      </c>
      <c r="B69" s="20" t="s">
        <v>3097</v>
      </c>
      <c r="C69" s="20" t="s">
        <v>3114</v>
      </c>
      <c r="D69" s="2" t="s">
        <v>4312</v>
      </c>
      <c r="E69" s="20" t="s">
        <v>3118</v>
      </c>
      <c r="F69" s="2" t="s">
        <v>4313</v>
      </c>
    </row>
    <row r="70" ht="12.75" customHeight="1">
      <c r="A70" s="20" t="s">
        <v>1407</v>
      </c>
      <c r="B70" s="20" t="s">
        <v>3123</v>
      </c>
      <c r="C70" s="20" t="s">
        <v>3132</v>
      </c>
      <c r="D70" s="2" t="s">
        <v>4312</v>
      </c>
      <c r="E70" s="20" t="s">
        <v>3134</v>
      </c>
      <c r="F70" s="2" t="s">
        <v>4313</v>
      </c>
    </row>
    <row r="71" ht="12.75" customHeight="1">
      <c r="A71" s="20" t="s">
        <v>1445</v>
      </c>
      <c r="B71" s="20" t="s">
        <v>3140</v>
      </c>
      <c r="C71" s="20" t="s">
        <v>3152</v>
      </c>
      <c r="D71" s="2" t="s">
        <v>4312</v>
      </c>
      <c r="E71" s="20" t="s">
        <v>3155</v>
      </c>
      <c r="F71" s="2" t="s">
        <v>4313</v>
      </c>
    </row>
    <row r="72" ht="12.75" customHeight="1">
      <c r="A72" s="20" t="s">
        <v>1307</v>
      </c>
      <c r="B72" s="20" t="s">
        <v>3161</v>
      </c>
      <c r="C72" s="20" t="s">
        <v>3171</v>
      </c>
      <c r="D72" s="2" t="s">
        <v>4312</v>
      </c>
      <c r="E72" s="20" t="s">
        <v>3174</v>
      </c>
      <c r="F72" s="2" t="s">
        <v>4313</v>
      </c>
    </row>
    <row r="73" ht="12.75" customHeight="1">
      <c r="A73" s="20" t="s">
        <v>3177</v>
      </c>
      <c r="B73" s="20" t="s">
        <v>3179</v>
      </c>
      <c r="C73" s="20" t="s">
        <v>3191</v>
      </c>
      <c r="D73" s="2" t="s">
        <v>4312</v>
      </c>
      <c r="E73" s="20" t="s">
        <v>3193</v>
      </c>
      <c r="F73" s="2" t="s">
        <v>4313</v>
      </c>
    </row>
    <row r="74" ht="12.75" customHeight="1">
      <c r="A74" s="20" t="s">
        <v>3196</v>
      </c>
      <c r="B74" s="20" t="s">
        <v>3199</v>
      </c>
      <c r="C74" s="20" t="s">
        <v>3204</v>
      </c>
      <c r="D74" s="2" t="s">
        <v>4312</v>
      </c>
      <c r="E74" s="20" t="s">
        <v>3206</v>
      </c>
      <c r="F74" s="2" t="s">
        <v>4313</v>
      </c>
    </row>
    <row r="75" ht="12.75" customHeight="1">
      <c r="A75" s="20" t="s">
        <v>3208</v>
      </c>
      <c r="B75" s="20" t="s">
        <v>3211</v>
      </c>
      <c r="C75" s="20" t="s">
        <v>3216</v>
      </c>
      <c r="D75" s="2" t="s">
        <v>4312</v>
      </c>
      <c r="E75" s="20" t="s">
        <v>3218</v>
      </c>
      <c r="F75" s="2" t="s">
        <v>4313</v>
      </c>
    </row>
    <row r="76" ht="12.75" customHeight="1">
      <c r="A76" s="20" t="s">
        <v>1560</v>
      </c>
      <c r="B76" s="20" t="s">
        <v>3222</v>
      </c>
      <c r="C76" s="20" t="s">
        <v>3229</v>
      </c>
      <c r="D76" s="2" t="s">
        <v>4312</v>
      </c>
      <c r="E76" s="20" t="s">
        <v>3231</v>
      </c>
      <c r="F76" s="2" t="s">
        <v>4313</v>
      </c>
    </row>
    <row r="77" ht="12.75" customHeight="1">
      <c r="A77" s="20" t="s">
        <v>3234</v>
      </c>
      <c r="B77" s="20" t="s">
        <v>3237</v>
      </c>
      <c r="C77" s="20" t="s">
        <v>3243</v>
      </c>
      <c r="D77" s="2" t="s">
        <v>4312</v>
      </c>
      <c r="E77" s="20" t="s">
        <v>3245</v>
      </c>
      <c r="F77" s="2" t="s">
        <v>4313</v>
      </c>
    </row>
    <row r="78" ht="12.75" customHeight="1">
      <c r="A78" s="20" t="s">
        <v>1375</v>
      </c>
      <c r="B78" s="20" t="s">
        <v>3250</v>
      </c>
      <c r="C78" s="20" t="s">
        <v>3260</v>
      </c>
      <c r="D78" s="2" t="s">
        <v>4312</v>
      </c>
      <c r="E78" s="20" t="s">
        <v>3262</v>
      </c>
      <c r="F78" s="2" t="s">
        <v>4313</v>
      </c>
    </row>
    <row r="79" ht="12.75" customHeight="1">
      <c r="A79" s="20" t="s">
        <v>1415</v>
      </c>
      <c r="B79" s="20" t="s">
        <v>3267</v>
      </c>
      <c r="C79" s="20" t="s">
        <v>1813</v>
      </c>
      <c r="D79" s="2" t="s">
        <v>4312</v>
      </c>
      <c r="E79" s="20" t="s">
        <v>3278</v>
      </c>
      <c r="F79" s="2" t="s">
        <v>4313</v>
      </c>
    </row>
    <row r="80" ht="12.75" customHeight="1">
      <c r="A80" s="20" t="s">
        <v>1613</v>
      </c>
      <c r="B80" s="20" t="s">
        <v>3283</v>
      </c>
      <c r="C80" s="20" t="s">
        <v>3292</v>
      </c>
      <c r="D80" s="2" t="s">
        <v>4312</v>
      </c>
      <c r="E80" s="20" t="s">
        <v>3294</v>
      </c>
      <c r="F80" s="2" t="s">
        <v>4313</v>
      </c>
    </row>
    <row r="81" ht="12.75" customHeight="1">
      <c r="A81" s="20" t="s">
        <v>1393</v>
      </c>
      <c r="B81" s="20" t="s">
        <v>3299</v>
      </c>
      <c r="C81" s="20" t="s">
        <v>3308</v>
      </c>
      <c r="D81" s="2" t="s">
        <v>4312</v>
      </c>
      <c r="E81" s="20" t="s">
        <v>3310</v>
      </c>
      <c r="F81" s="2" t="s">
        <v>4313</v>
      </c>
    </row>
    <row r="82" ht="12.75" customHeight="1">
      <c r="A82" s="20" t="s">
        <v>1523</v>
      </c>
      <c r="B82" s="20" t="s">
        <v>3314</v>
      </c>
      <c r="C82" s="20" t="s">
        <v>3322</v>
      </c>
      <c r="D82" s="2" t="s">
        <v>4312</v>
      </c>
      <c r="E82" s="20" t="s">
        <v>3324</v>
      </c>
      <c r="F82" s="2" t="s">
        <v>4313</v>
      </c>
    </row>
    <row r="83" ht="12.75" customHeight="1">
      <c r="A83" s="20" t="s">
        <v>1680</v>
      </c>
      <c r="B83" s="20" t="s">
        <v>3327</v>
      </c>
      <c r="C83" s="20" t="s">
        <v>3333</v>
      </c>
      <c r="D83" s="2" t="s">
        <v>4312</v>
      </c>
      <c r="E83" s="20" t="s">
        <v>3335</v>
      </c>
      <c r="F83" s="2" t="s">
        <v>4313</v>
      </c>
    </row>
    <row r="84" ht="12.75" customHeight="1">
      <c r="A84" s="20" t="s">
        <v>1423</v>
      </c>
      <c r="B84" s="20" t="s">
        <v>3339</v>
      </c>
      <c r="C84" s="20" t="s">
        <v>3345</v>
      </c>
      <c r="D84" s="2" t="s">
        <v>4312</v>
      </c>
      <c r="E84" s="20" t="s">
        <v>3347</v>
      </c>
      <c r="F84" s="2" t="s">
        <v>4313</v>
      </c>
    </row>
    <row r="85" ht="12.75" customHeight="1">
      <c r="A85" s="20" t="s">
        <v>1411</v>
      </c>
      <c r="B85" s="20" t="s">
        <v>3352</v>
      </c>
      <c r="C85" s="20" t="s">
        <v>3363</v>
      </c>
      <c r="D85" s="2" t="s">
        <v>4312</v>
      </c>
      <c r="E85" s="20" t="s">
        <v>3365</v>
      </c>
      <c r="F85" s="2" t="s">
        <v>4313</v>
      </c>
    </row>
    <row r="86" ht="12.75" customHeight="1">
      <c r="A86" s="20" t="s">
        <v>1443</v>
      </c>
      <c r="B86" s="20" t="s">
        <v>3370</v>
      </c>
      <c r="C86" s="20" t="s">
        <v>3378</v>
      </c>
      <c r="D86" s="2" t="s">
        <v>4312</v>
      </c>
      <c r="E86" s="20" t="s">
        <v>3380</v>
      </c>
      <c r="F86" s="2" t="s">
        <v>4313</v>
      </c>
    </row>
    <row r="87" ht="12.75" customHeight="1">
      <c r="A87" s="20" t="s">
        <v>1455</v>
      </c>
      <c r="B87" s="20" t="s">
        <v>3385</v>
      </c>
      <c r="C87" s="20" t="s">
        <v>3392</v>
      </c>
      <c r="D87" s="2" t="s">
        <v>4312</v>
      </c>
      <c r="E87" s="20" t="s">
        <v>3394</v>
      </c>
      <c r="F87" s="2" t="s">
        <v>4313</v>
      </c>
    </row>
    <row r="88" ht="12.75" customHeight="1">
      <c r="A88" s="20" t="s">
        <v>3396</v>
      </c>
      <c r="B88" s="20" t="s">
        <v>3400</v>
      </c>
      <c r="C88" s="20" t="s">
        <v>3411</v>
      </c>
      <c r="D88" s="2" t="s">
        <v>4312</v>
      </c>
      <c r="E88" s="20" t="s">
        <v>3413</v>
      </c>
      <c r="F88" s="2" t="s">
        <v>4313</v>
      </c>
    </row>
    <row r="89" ht="12.75" customHeight="1">
      <c r="A89" s="20" t="s">
        <v>1549</v>
      </c>
      <c r="B89" s="20" t="s">
        <v>3418</v>
      </c>
      <c r="C89" s="20" t="s">
        <v>3427</v>
      </c>
      <c r="D89" s="2" t="s">
        <v>4312</v>
      </c>
      <c r="E89" s="20" t="s">
        <v>3430</v>
      </c>
      <c r="F89" s="2" t="s">
        <v>4313</v>
      </c>
    </row>
    <row r="90" ht="12.75" customHeight="1">
      <c r="A90" s="20" t="s">
        <v>3432</v>
      </c>
      <c r="B90" s="20" t="s">
        <v>3435</v>
      </c>
      <c r="C90" s="20" t="s">
        <v>3441</v>
      </c>
      <c r="D90" s="2" t="s">
        <v>4312</v>
      </c>
      <c r="E90" s="20" t="s">
        <v>3443</v>
      </c>
      <c r="F90" s="2" t="s">
        <v>4313</v>
      </c>
    </row>
    <row r="91" ht="12.75" customHeight="1">
      <c r="A91" s="20" t="s">
        <v>1347</v>
      </c>
      <c r="B91" s="20" t="s">
        <v>3447</v>
      </c>
      <c r="C91" s="20" t="s">
        <v>3454</v>
      </c>
      <c r="D91" s="2" t="s">
        <v>4312</v>
      </c>
      <c r="E91" s="20" t="s">
        <v>3456</v>
      </c>
      <c r="F91" s="2" t="s">
        <v>4313</v>
      </c>
    </row>
    <row r="92" ht="12.75" customHeight="1">
      <c r="A92" s="20" t="s">
        <v>1637</v>
      </c>
      <c r="B92" s="20" t="s">
        <v>3461</v>
      </c>
      <c r="C92" s="20" t="s">
        <v>3469</v>
      </c>
      <c r="D92" s="2" t="s">
        <v>4312</v>
      </c>
      <c r="E92" s="20" t="s">
        <v>3471</v>
      </c>
      <c r="F92" s="2" t="s">
        <v>4313</v>
      </c>
    </row>
    <row r="93" ht="12.75" customHeight="1">
      <c r="A93" s="20" t="s">
        <v>1301</v>
      </c>
      <c r="B93" s="20" t="s">
        <v>3476</v>
      </c>
      <c r="C93" s="20" t="s">
        <v>3489</v>
      </c>
      <c r="D93" s="2" t="s">
        <v>4312</v>
      </c>
      <c r="E93" s="20" t="s">
        <v>3491</v>
      </c>
      <c r="F93" s="2" t="s">
        <v>4313</v>
      </c>
    </row>
    <row r="94" ht="12.75" customHeight="1">
      <c r="A94" s="20" t="s">
        <v>1427</v>
      </c>
      <c r="B94" s="20" t="s">
        <v>3495</v>
      </c>
      <c r="C94" s="20" t="s">
        <v>3501</v>
      </c>
      <c r="D94" s="2" t="s">
        <v>4312</v>
      </c>
      <c r="E94" s="20" t="s">
        <v>3504</v>
      </c>
      <c r="F94" s="2" t="s">
        <v>4313</v>
      </c>
    </row>
    <row r="95" ht="12.75" customHeight="1">
      <c r="A95" s="20" t="s">
        <v>1732</v>
      </c>
      <c r="B95" s="20" t="s">
        <v>3509</v>
      </c>
      <c r="C95" s="20" t="s">
        <v>3516</v>
      </c>
      <c r="D95" s="2" t="s">
        <v>4312</v>
      </c>
      <c r="E95" s="20" t="s">
        <v>3518</v>
      </c>
      <c r="F95" s="2" t="s">
        <v>4313</v>
      </c>
    </row>
    <row r="96" ht="12.75" customHeight="1">
      <c r="A96" s="20" t="s">
        <v>1706</v>
      </c>
      <c r="B96" s="20" t="s">
        <v>3523</v>
      </c>
      <c r="C96" s="20" t="s">
        <v>3536</v>
      </c>
      <c r="D96" s="2" t="s">
        <v>4312</v>
      </c>
      <c r="E96" s="20" t="s">
        <v>3540</v>
      </c>
      <c r="F96" s="2" t="s">
        <v>4313</v>
      </c>
    </row>
    <row r="97" ht="12.75" customHeight="1">
      <c r="A97" s="20" t="s">
        <v>3543</v>
      </c>
      <c r="B97" s="20" t="s">
        <v>3547</v>
      </c>
      <c r="C97" s="20" t="s">
        <v>3560</v>
      </c>
      <c r="D97" s="2" t="s">
        <v>4312</v>
      </c>
      <c r="E97" s="20" t="s">
        <v>3562</v>
      </c>
      <c r="F97" s="2" t="s">
        <v>4313</v>
      </c>
    </row>
    <row r="98" ht="12.75" customHeight="1">
      <c r="A98" s="20" t="s">
        <v>1385</v>
      </c>
      <c r="B98" s="20" t="s">
        <v>3567</v>
      </c>
      <c r="C98" s="20" t="s">
        <v>3575</v>
      </c>
      <c r="D98" s="2" t="s">
        <v>4312</v>
      </c>
      <c r="E98" s="20" t="s">
        <v>3577</v>
      </c>
      <c r="F98" s="2" t="s">
        <v>4313</v>
      </c>
    </row>
    <row r="99" ht="12.75" customHeight="1">
      <c r="A99" s="20" t="s">
        <v>3580</v>
      </c>
      <c r="B99" s="20" t="s">
        <v>3583</v>
      </c>
      <c r="C99" s="20" t="s">
        <v>3590</v>
      </c>
      <c r="D99" s="2" t="s">
        <v>4312</v>
      </c>
      <c r="E99" s="20" t="s">
        <v>3592</v>
      </c>
      <c r="F99" s="2" t="s">
        <v>4313</v>
      </c>
    </row>
    <row r="100" ht="12.75" customHeight="1">
      <c r="A100" s="20" t="s">
        <v>3595</v>
      </c>
      <c r="B100" s="20" t="s">
        <v>3598</v>
      </c>
      <c r="C100" s="20" t="s">
        <v>3609</v>
      </c>
      <c r="D100" s="2" t="s">
        <v>4312</v>
      </c>
      <c r="E100" s="20" t="s">
        <v>3611</v>
      </c>
      <c r="F100" s="2" t="s">
        <v>4313</v>
      </c>
    </row>
    <row r="101" ht="12.75" customHeight="1">
      <c r="A101" s="20" t="s">
        <v>1584</v>
      </c>
      <c r="B101" s="20" t="s">
        <v>3615</v>
      </c>
      <c r="C101" s="20" t="s">
        <v>3622</v>
      </c>
      <c r="D101" s="2" t="s">
        <v>4312</v>
      </c>
      <c r="E101" s="20" t="s">
        <v>3624</v>
      </c>
      <c r="F101" s="2" t="s">
        <v>4313</v>
      </c>
    </row>
    <row r="102" ht="12.75" customHeight="1">
      <c r="A102" s="20" t="s">
        <v>3626</v>
      </c>
      <c r="B102" s="20" t="s">
        <v>3629</v>
      </c>
      <c r="C102" s="20" t="s">
        <v>3636</v>
      </c>
      <c r="D102" s="2" t="s">
        <v>4312</v>
      </c>
      <c r="E102" s="20" t="s">
        <v>3638</v>
      </c>
      <c r="F102" s="2" t="s">
        <v>4313</v>
      </c>
    </row>
    <row r="103" ht="12.75" customHeight="1">
      <c r="A103" s="20" t="s">
        <v>1590</v>
      </c>
      <c r="B103" s="20" t="s">
        <v>3643</v>
      </c>
      <c r="C103" s="20" t="s">
        <v>3653</v>
      </c>
      <c r="D103" s="2" t="s">
        <v>4312</v>
      </c>
      <c r="E103" s="20" t="s">
        <v>3655</v>
      </c>
      <c r="F103" s="2" t="s">
        <v>4313</v>
      </c>
    </row>
    <row r="104" ht="12.75" customHeight="1">
      <c r="A104" s="20" t="s">
        <v>1292</v>
      </c>
      <c r="B104" s="20" t="s">
        <v>3659</v>
      </c>
      <c r="C104" s="20" t="s">
        <v>3667</v>
      </c>
      <c r="D104" s="2" t="s">
        <v>4312</v>
      </c>
      <c r="E104" s="20" t="s">
        <v>3669</v>
      </c>
      <c r="F104" s="2" t="s">
        <v>4313</v>
      </c>
    </row>
    <row r="105" ht="12.75" customHeight="1">
      <c r="A105" s="20" t="s">
        <v>1413</v>
      </c>
      <c r="B105" s="20" t="s">
        <v>3675</v>
      </c>
      <c r="C105" s="20" t="s">
        <v>3688</v>
      </c>
      <c r="D105" s="2" t="s">
        <v>4312</v>
      </c>
      <c r="E105" s="20" t="s">
        <v>3691</v>
      </c>
      <c r="F105" s="2" t="s">
        <v>4313</v>
      </c>
    </row>
    <row r="106" ht="12.75" customHeight="1">
      <c r="A106" s="20" t="s">
        <v>1484</v>
      </c>
      <c r="B106" s="20" t="s">
        <v>3697</v>
      </c>
      <c r="C106" s="20" t="s">
        <v>3711</v>
      </c>
      <c r="D106" s="2" t="s">
        <v>4312</v>
      </c>
      <c r="E106" s="20" t="s">
        <v>3715</v>
      </c>
      <c r="F106" s="2" t="s">
        <v>4313</v>
      </c>
    </row>
    <row r="107" ht="12.75" customHeight="1">
      <c r="A107" s="20" t="s">
        <v>3718</v>
      </c>
      <c r="B107" s="20" t="s">
        <v>3721</v>
      </c>
      <c r="C107" s="20" t="s">
        <v>3730</v>
      </c>
      <c r="D107" s="2" t="s">
        <v>4312</v>
      </c>
      <c r="E107" s="20" t="s">
        <v>3732</v>
      </c>
      <c r="F107" s="2" t="s">
        <v>4313</v>
      </c>
    </row>
    <row r="108" ht="12.75" customHeight="1">
      <c r="A108" s="20" t="s">
        <v>3735</v>
      </c>
      <c r="B108" s="20" t="s">
        <v>3738</v>
      </c>
      <c r="C108" s="20" t="s">
        <v>3744</v>
      </c>
      <c r="D108" s="2" t="s">
        <v>4312</v>
      </c>
      <c r="E108" s="20" t="s">
        <v>3746</v>
      </c>
      <c r="F108" s="2" t="s">
        <v>4313</v>
      </c>
    </row>
    <row r="109" ht="12.75" customHeight="1">
      <c r="A109" s="20" t="s">
        <v>3748</v>
      </c>
      <c r="B109" s="20" t="s">
        <v>3751</v>
      </c>
      <c r="C109" s="20" t="s">
        <v>3756</v>
      </c>
      <c r="D109" s="2" t="s">
        <v>4312</v>
      </c>
      <c r="E109" s="20" t="s">
        <v>3758</v>
      </c>
      <c r="F109" s="2" t="s">
        <v>4313</v>
      </c>
    </row>
    <row r="110" ht="12.75" customHeight="1">
      <c r="A110" s="20" t="s">
        <v>3760</v>
      </c>
      <c r="B110" s="20" t="s">
        <v>3763</v>
      </c>
      <c r="C110" s="20" t="s">
        <v>3770</v>
      </c>
      <c r="D110" s="2" t="s">
        <v>4312</v>
      </c>
      <c r="E110" s="20" t="s">
        <v>3772</v>
      </c>
      <c r="F110" s="2" t="s">
        <v>4313</v>
      </c>
    </row>
    <row r="111" ht="12.75" customHeight="1">
      <c r="A111" s="20" t="s">
        <v>3775</v>
      </c>
      <c r="B111" s="20" t="s">
        <v>3778</v>
      </c>
      <c r="C111" s="20" t="s">
        <v>3788</v>
      </c>
      <c r="D111" s="2" t="s">
        <v>4312</v>
      </c>
      <c r="E111" s="20" t="s">
        <v>3790</v>
      </c>
      <c r="F111" s="2" t="s">
        <v>4313</v>
      </c>
    </row>
    <row r="112" ht="12.75" customHeight="1">
      <c r="A112" s="20" t="s">
        <v>1566</v>
      </c>
      <c r="B112" s="20" t="s">
        <v>3794</v>
      </c>
      <c r="C112" s="20" t="s">
        <v>3799</v>
      </c>
      <c r="D112" s="2" t="s">
        <v>4312</v>
      </c>
      <c r="E112" s="20" t="s">
        <v>3801</v>
      </c>
      <c r="F112" s="2" t="s">
        <v>4313</v>
      </c>
    </row>
    <row r="113" ht="12.75" customHeight="1">
      <c r="A113" s="20" t="s">
        <v>1600</v>
      </c>
      <c r="B113" s="20" t="s">
        <v>3806</v>
      </c>
      <c r="C113" s="20" t="s">
        <v>3817</v>
      </c>
      <c r="D113" s="2" t="s">
        <v>4312</v>
      </c>
      <c r="E113" s="20" t="s">
        <v>3819</v>
      </c>
      <c r="F113" s="2" t="s">
        <v>4313</v>
      </c>
    </row>
    <row r="114" ht="12.75" customHeight="1">
      <c r="A114" s="20" t="s">
        <v>3822</v>
      </c>
      <c r="B114" s="20" t="s">
        <v>3826</v>
      </c>
      <c r="C114" s="20" t="s">
        <v>3840</v>
      </c>
      <c r="D114" s="2" t="s">
        <v>4312</v>
      </c>
      <c r="E114" s="20" t="s">
        <v>3843</v>
      </c>
      <c r="F114" s="2" t="s">
        <v>4313</v>
      </c>
    </row>
    <row r="115" ht="12.75" customHeight="1">
      <c r="A115" s="20" t="s">
        <v>1355</v>
      </c>
      <c r="B115" s="20" t="s">
        <v>3847</v>
      </c>
      <c r="C115" s="20" t="s">
        <v>3854</v>
      </c>
      <c r="D115" s="2" t="s">
        <v>4312</v>
      </c>
      <c r="E115" s="20" t="s">
        <v>3856</v>
      </c>
      <c r="F115" s="2" t="s">
        <v>4313</v>
      </c>
    </row>
    <row r="116" ht="12.75" customHeight="1">
      <c r="A116" s="20" t="s">
        <v>3859</v>
      </c>
      <c r="B116" s="20" t="s">
        <v>3861</v>
      </c>
      <c r="C116" s="20" t="s">
        <v>3872</v>
      </c>
      <c r="D116" s="2" t="s">
        <v>4312</v>
      </c>
      <c r="E116" s="20" t="s">
        <v>3874</v>
      </c>
      <c r="F116" s="2" t="s">
        <v>4313</v>
      </c>
    </row>
    <row r="117" ht="12.75" customHeight="1">
      <c r="A117" s="20" t="s">
        <v>1290</v>
      </c>
      <c r="B117" s="20" t="s">
        <v>3879</v>
      </c>
      <c r="C117" s="20" t="s">
        <v>3885</v>
      </c>
      <c r="D117" s="2" t="s">
        <v>4312</v>
      </c>
      <c r="E117" s="20" t="s">
        <v>3887</v>
      </c>
      <c r="F117" s="2" t="s">
        <v>4313</v>
      </c>
    </row>
    <row r="118" ht="12.75" customHeight="1">
      <c r="A118" s="20" t="s">
        <v>1505</v>
      </c>
      <c r="B118" s="20" t="s">
        <v>3892</v>
      </c>
      <c r="C118" s="20" t="s">
        <v>3900</v>
      </c>
      <c r="D118" s="2" t="s">
        <v>4312</v>
      </c>
      <c r="E118" s="20" t="s">
        <v>3902</v>
      </c>
      <c r="F118" s="2" t="s">
        <v>4313</v>
      </c>
    </row>
    <row r="119" ht="12.75" customHeight="1">
      <c r="A119" s="20" t="s">
        <v>3904</v>
      </c>
      <c r="B119" s="20" t="s">
        <v>3907</v>
      </c>
      <c r="C119" s="20" t="s">
        <v>3914</v>
      </c>
      <c r="D119" s="2" t="s">
        <v>4312</v>
      </c>
      <c r="E119" s="20" t="s">
        <v>3916</v>
      </c>
      <c r="F119" s="2" t="s">
        <v>4313</v>
      </c>
    </row>
    <row r="120" ht="12.75" customHeight="1">
      <c r="A120" s="20" t="s">
        <v>1722</v>
      </c>
      <c r="B120" s="20" t="s">
        <v>3926</v>
      </c>
      <c r="C120" s="20" t="s">
        <v>3941</v>
      </c>
      <c r="D120" s="2" t="s">
        <v>4312</v>
      </c>
      <c r="E120" s="20" t="s">
        <v>3946</v>
      </c>
      <c r="F120" s="2" t="s">
        <v>4313</v>
      </c>
    </row>
    <row r="121" ht="12.75" customHeight="1">
      <c r="A121" s="20" t="s">
        <v>3948</v>
      </c>
      <c r="B121" s="20" t="s">
        <v>3950</v>
      </c>
      <c r="C121" s="20" t="s">
        <v>3957</v>
      </c>
      <c r="D121" s="2" t="s">
        <v>4312</v>
      </c>
      <c r="E121" s="20" t="s">
        <v>3959</v>
      </c>
      <c r="F121" s="2" t="s">
        <v>4313</v>
      </c>
    </row>
    <row r="122" ht="12.75" customHeight="1">
      <c r="A122" s="20" t="s">
        <v>1397</v>
      </c>
      <c r="B122" s="20" t="s">
        <v>3964</v>
      </c>
      <c r="C122" s="20" t="s">
        <v>3973</v>
      </c>
      <c r="D122" s="2" t="s">
        <v>4312</v>
      </c>
      <c r="E122" s="20" t="s">
        <v>3975</v>
      </c>
      <c r="F122" s="2" t="s">
        <v>4313</v>
      </c>
    </row>
    <row r="123" ht="12.75" customHeight="1">
      <c r="A123" s="20" t="s">
        <v>1718</v>
      </c>
      <c r="B123" s="20" t="s">
        <v>3981</v>
      </c>
      <c r="C123" s="20" t="s">
        <v>3994</v>
      </c>
      <c r="D123" s="2" t="s">
        <v>4312</v>
      </c>
      <c r="E123" s="20" t="s">
        <v>3996</v>
      </c>
      <c r="F123" s="2" t="s">
        <v>4313</v>
      </c>
    </row>
    <row r="124" ht="12.75" customHeight="1">
      <c r="A124" s="20" t="s">
        <v>1586</v>
      </c>
      <c r="B124" s="20" t="s">
        <v>4000</v>
      </c>
      <c r="C124" s="20" t="s">
        <v>4007</v>
      </c>
      <c r="D124" s="2" t="s">
        <v>4312</v>
      </c>
      <c r="E124" s="20" t="s">
        <v>4009</v>
      </c>
      <c r="F124" s="2" t="s">
        <v>4313</v>
      </c>
    </row>
    <row r="125" ht="12.75" customHeight="1">
      <c r="A125" s="20" t="s">
        <v>1527</v>
      </c>
      <c r="B125" s="20" t="s">
        <v>4014</v>
      </c>
      <c r="C125" s="20" t="s">
        <v>4021</v>
      </c>
      <c r="D125" s="2" t="s">
        <v>4312</v>
      </c>
      <c r="E125" s="20" t="s">
        <v>4023</v>
      </c>
      <c r="F125" s="2" t="s">
        <v>4313</v>
      </c>
    </row>
    <row r="126" ht="12.75" customHeight="1">
      <c r="A126" s="20" t="s">
        <v>1482</v>
      </c>
      <c r="B126" s="20" t="s">
        <v>4028</v>
      </c>
      <c r="C126" s="20" t="s">
        <v>4035</v>
      </c>
      <c r="D126" s="2" t="s">
        <v>4312</v>
      </c>
      <c r="E126" s="20" t="s">
        <v>4037</v>
      </c>
      <c r="F126" s="2" t="s">
        <v>4313</v>
      </c>
    </row>
    <row r="127" ht="12.75" customHeight="1">
      <c r="A127" s="20" t="s">
        <v>4039</v>
      </c>
      <c r="B127" s="20" t="s">
        <v>4042</v>
      </c>
      <c r="C127" s="20" t="s">
        <v>4047</v>
      </c>
      <c r="D127" s="2" t="s">
        <v>4312</v>
      </c>
      <c r="E127" s="20" t="s">
        <v>4049</v>
      </c>
      <c r="F127" s="2" t="s">
        <v>4313</v>
      </c>
    </row>
    <row r="128" ht="12.75" customHeight="1">
      <c r="A128" s="20" t="s">
        <v>1545</v>
      </c>
      <c r="B128" s="20" t="s">
        <v>4054</v>
      </c>
      <c r="C128" s="20" t="s">
        <v>4064</v>
      </c>
      <c r="D128" s="2" t="s">
        <v>4312</v>
      </c>
      <c r="E128" s="20" t="s">
        <v>4066</v>
      </c>
      <c r="F128" s="2" t="s">
        <v>4313</v>
      </c>
    </row>
    <row r="129" ht="12.75" customHeight="1">
      <c r="A129" s="20" t="s">
        <v>1661</v>
      </c>
      <c r="B129" s="20" t="s">
        <v>4071</v>
      </c>
      <c r="C129" s="20" t="s">
        <v>4080</v>
      </c>
      <c r="D129" s="2" t="s">
        <v>4312</v>
      </c>
      <c r="E129" s="20" t="s">
        <v>4084</v>
      </c>
      <c r="F129" s="2" t="s">
        <v>4313</v>
      </c>
    </row>
    <row r="130" ht="12.75" customHeight="1">
      <c r="A130" s="20" t="s">
        <v>1547</v>
      </c>
      <c r="B130" s="20" t="s">
        <v>4089</v>
      </c>
      <c r="C130" s="20" t="s">
        <v>4099</v>
      </c>
      <c r="D130" s="2" t="s">
        <v>4312</v>
      </c>
      <c r="E130" s="20" t="s">
        <v>4100</v>
      </c>
      <c r="F130" s="2" t="s">
        <v>4313</v>
      </c>
    </row>
    <row r="131" ht="12.75" customHeight="1">
      <c r="A131" s="20" t="s">
        <v>4102</v>
      </c>
      <c r="B131" s="20" t="s">
        <v>4104</v>
      </c>
      <c r="C131" s="20" t="s">
        <v>4111</v>
      </c>
      <c r="D131" s="2" t="s">
        <v>4312</v>
      </c>
      <c r="E131" s="20" t="s">
        <v>4113</v>
      </c>
      <c r="F131" s="2" t="s">
        <v>4313</v>
      </c>
    </row>
    <row r="132" ht="12.75" customHeight="1">
      <c r="A132" s="20" t="s">
        <v>1278</v>
      </c>
      <c r="B132" s="20" t="s">
        <v>4118</v>
      </c>
      <c r="C132" s="20" t="s">
        <v>4130</v>
      </c>
      <c r="D132" s="2" t="s">
        <v>4312</v>
      </c>
      <c r="E132" s="20" t="s">
        <v>4132</v>
      </c>
      <c r="F132" s="2" t="s">
        <v>4313</v>
      </c>
    </row>
    <row r="133" ht="12.75" customHeight="1">
      <c r="A133" s="20" t="s">
        <v>4135</v>
      </c>
      <c r="B133" s="20" t="s">
        <v>4139</v>
      </c>
      <c r="C133" s="20" t="s">
        <v>4151</v>
      </c>
      <c r="D133" s="2" t="s">
        <v>4312</v>
      </c>
      <c r="E133" s="20" t="s">
        <v>4153</v>
      </c>
      <c r="F133" s="2" t="s">
        <v>4313</v>
      </c>
    </row>
    <row r="134" ht="12.75" customHeight="1">
      <c r="A134" s="20" t="s">
        <v>1317</v>
      </c>
      <c r="B134" s="20" t="s">
        <v>4159</v>
      </c>
      <c r="C134" s="20" t="s">
        <v>4173</v>
      </c>
      <c r="D134" s="2" t="s">
        <v>4312</v>
      </c>
      <c r="E134" s="20" t="s">
        <v>4177</v>
      </c>
      <c r="F134" s="2" t="s">
        <v>4313</v>
      </c>
    </row>
    <row r="135" ht="12.75" customHeight="1">
      <c r="A135" s="20" t="s">
        <v>1345</v>
      </c>
      <c r="B135" s="20" t="s">
        <v>4181</v>
      </c>
      <c r="C135" s="20" t="s">
        <v>4186</v>
      </c>
      <c r="D135" s="2" t="s">
        <v>4312</v>
      </c>
      <c r="E135" s="20" t="s">
        <v>4188</v>
      </c>
      <c r="F135" s="2" t="s">
        <v>4313</v>
      </c>
    </row>
    <row r="136" ht="12.75" customHeight="1">
      <c r="A136" s="20" t="s">
        <v>1343</v>
      </c>
      <c r="B136" s="20" t="s">
        <v>4192</v>
      </c>
      <c r="C136" s="20" t="s">
        <v>4199</v>
      </c>
      <c r="D136" s="2" t="s">
        <v>4312</v>
      </c>
      <c r="E136" s="20" t="s">
        <v>4200</v>
      </c>
      <c r="F136" s="2" t="s">
        <v>4313</v>
      </c>
    </row>
    <row r="137" ht="12.75" customHeight="1">
      <c r="A137" s="20" t="s">
        <v>1653</v>
      </c>
      <c r="B137" s="20" t="s">
        <v>4203</v>
      </c>
      <c r="C137" s="20" t="s">
        <v>4210</v>
      </c>
      <c r="D137" s="2" t="s">
        <v>4312</v>
      </c>
      <c r="E137" s="20" t="s">
        <v>4212</v>
      </c>
      <c r="F137" s="2" t="s">
        <v>4313</v>
      </c>
    </row>
    <row r="138" ht="12.75" customHeight="1">
      <c r="A138" s="20" t="s">
        <v>1471</v>
      </c>
      <c r="B138" s="20" t="s">
        <v>4216</v>
      </c>
      <c r="C138" s="20" t="s">
        <v>4222</v>
      </c>
      <c r="D138" s="2" t="s">
        <v>4312</v>
      </c>
      <c r="E138" s="20" t="s">
        <v>4224</v>
      </c>
      <c r="F138" s="2" t="s">
        <v>4313</v>
      </c>
    </row>
    <row r="139" ht="12.75" customHeight="1">
      <c r="A139" s="20" t="s">
        <v>4227</v>
      </c>
      <c r="B139" s="20" t="s">
        <v>4229</v>
      </c>
      <c r="C139" s="20" t="s">
        <v>4239</v>
      </c>
      <c r="D139" s="2" t="s">
        <v>4312</v>
      </c>
      <c r="E139" s="20" t="s">
        <v>4241</v>
      </c>
      <c r="F139" s="2" t="s">
        <v>4313</v>
      </c>
    </row>
    <row r="140" ht="12.75" customHeight="1">
      <c r="A140" s="20" t="s">
        <v>4244</v>
      </c>
      <c r="B140" s="20" t="s">
        <v>4247</v>
      </c>
      <c r="C140" s="20" t="s">
        <v>4254</v>
      </c>
      <c r="D140" s="2" t="s">
        <v>4312</v>
      </c>
      <c r="E140" s="20" t="s">
        <v>4256</v>
      </c>
      <c r="F140" s="2" t="s">
        <v>4313</v>
      </c>
    </row>
    <row r="141" ht="12.75" customHeight="1">
      <c r="A141" s="20" t="s">
        <v>4258</v>
      </c>
      <c r="B141" s="20" t="s">
        <v>4260</v>
      </c>
      <c r="C141" s="20" t="s">
        <v>4264</v>
      </c>
      <c r="D141" s="2" t="s">
        <v>4312</v>
      </c>
      <c r="E141" s="20" t="s">
        <v>4266</v>
      </c>
      <c r="F141" s="2" t="s">
        <v>4313</v>
      </c>
    </row>
    <row r="142" ht="12.75" customHeight="1">
      <c r="A142" s="20" t="s">
        <v>1543</v>
      </c>
      <c r="B142" s="20" t="s">
        <v>4271</v>
      </c>
      <c r="C142" s="20" t="s">
        <v>4282</v>
      </c>
      <c r="D142" s="2" t="s">
        <v>4312</v>
      </c>
      <c r="E142" s="20" t="s">
        <v>4284</v>
      </c>
      <c r="F142" s="2" t="s">
        <v>4313</v>
      </c>
    </row>
    <row r="143" ht="12.75" customHeight="1">
      <c r="A143" s="20" t="s">
        <v>4287</v>
      </c>
      <c r="B143" s="20" t="s">
        <v>4291</v>
      </c>
      <c r="C143" s="20" t="s">
        <v>1261</v>
      </c>
      <c r="D143" s="2" t="s">
        <v>4312</v>
      </c>
      <c r="E143" s="20" t="s">
        <v>4309</v>
      </c>
      <c r="F143" s="2" t="s">
        <v>4313</v>
      </c>
    </row>
    <row r="144" ht="12.75" customHeight="1"/>
    <row r="145" ht="12.75" customHeight="1"/>
    <row r="146" ht="12.75" customHeight="1"/>
    <row r="147" ht="12.75" customHeight="1"/>
    <row r="148" ht="12.75" customHeight="1"/>
    <row r="149" ht="12.75" customHeight="1"/>
    <row r="150" ht="12.75" customHeight="1"/>
    <row r="151" ht="12.75" customHeight="1"/>
    <row r="152" ht="12.75" customHeight="1"/>
    <row r="153" ht="12.75" customHeight="1"/>
    <row r="154" ht="12.75" customHeight="1"/>
    <row r="155" ht="12.75" customHeight="1"/>
    <row r="156" ht="12.75" customHeight="1"/>
    <row r="157" ht="12.75" customHeight="1"/>
    <row r="158" ht="12.75" customHeight="1"/>
    <row r="159" ht="12.75" customHeight="1"/>
    <row r="160" ht="12.75" customHeight="1"/>
    <row r="161" ht="12.75" customHeight="1"/>
    <row r="162" ht="12.75" customHeight="1"/>
    <row r="163" ht="12.75" customHeight="1"/>
    <row r="164" ht="12.75" customHeight="1"/>
    <row r="165" ht="12.75" customHeight="1"/>
    <row r="166" ht="12.75" customHeight="1"/>
    <row r="167" ht="12.75" customHeight="1"/>
    <row r="168" ht="12.75" customHeight="1"/>
    <row r="169" ht="12.75" customHeight="1"/>
    <row r="170" ht="12.75" customHeight="1"/>
    <row r="171" ht="12.75" customHeight="1"/>
    <row r="172" ht="12.75" customHeight="1"/>
    <row r="173" ht="12.75" customHeight="1"/>
    <row r="174" ht="12.75" customHeight="1"/>
    <row r="175" ht="12.75" customHeight="1"/>
    <row r="176" ht="12.75" customHeight="1"/>
    <row r="177" ht="12.75" customHeight="1"/>
    <row r="178" ht="12.75" customHeight="1"/>
    <row r="179" ht="12.75" customHeight="1"/>
    <row r="180" ht="12.75" customHeight="1"/>
    <row r="181" ht="12.75" customHeight="1"/>
    <row r="182" ht="12.75" customHeight="1"/>
    <row r="183" ht="12.75" customHeight="1"/>
    <row r="184" ht="12.75" customHeight="1"/>
    <row r="185" ht="12.75" customHeight="1"/>
    <row r="186" ht="12.75" customHeight="1"/>
    <row r="187" ht="12.75" customHeight="1"/>
    <row r="188" ht="12.75" customHeight="1"/>
    <row r="189" ht="12.75" customHeight="1"/>
    <row r="190" ht="12.75" customHeight="1"/>
    <row r="191" ht="12.75" customHeight="1"/>
    <row r="192" ht="12.75" customHeight="1"/>
    <row r="193" ht="12.75" customHeight="1"/>
    <row r="194" ht="12.75" customHeight="1"/>
    <row r="195" ht="12.75" customHeight="1"/>
    <row r="196" ht="12.75" customHeight="1"/>
    <row r="197" ht="12.75" customHeight="1"/>
    <row r="198" ht="12.75" customHeight="1"/>
    <row r="199" ht="12.75" customHeight="1"/>
    <row r="200" ht="12.75" customHeight="1"/>
    <row r="201" ht="12.75" customHeight="1"/>
    <row r="202" ht="12.75" customHeight="1"/>
    <row r="203" ht="12.75" customHeight="1"/>
    <row r="204" ht="12.75" customHeight="1"/>
    <row r="205" ht="12.75" customHeight="1"/>
    <row r="206" ht="12.75" customHeight="1"/>
    <row r="207" ht="12.75" customHeight="1"/>
    <row r="208" ht="12.75" customHeight="1"/>
    <row r="209" ht="12.75" customHeight="1"/>
    <row r="210" ht="12.75" customHeight="1"/>
    <row r="211" ht="12.75" customHeight="1"/>
    <row r="212" ht="12.75" customHeight="1"/>
    <row r="213" ht="12.75" customHeight="1"/>
    <row r="214" ht="12.75" customHeight="1"/>
    <row r="215" ht="12.75" customHeight="1"/>
    <row r="216" ht="12.75" customHeight="1"/>
    <row r="217" ht="12.75" customHeight="1"/>
    <row r="218" ht="12.75" customHeight="1"/>
    <row r="219" ht="12.75" customHeight="1"/>
    <row r="220" ht="12.75" customHeight="1"/>
    <row r="221" ht="12.75" customHeight="1"/>
    <row r="222" ht="12.75" customHeight="1"/>
    <row r="223" ht="12.75" customHeight="1"/>
    <row r="224" ht="12.75" customHeight="1"/>
    <row r="225" ht="12.75" customHeight="1"/>
    <row r="226" ht="12.75" customHeight="1"/>
    <row r="227" ht="12.75" customHeight="1"/>
    <row r="228" ht="12.75" customHeight="1"/>
    <row r="229" ht="12.75" customHeight="1"/>
    <row r="230" ht="12.75" customHeight="1"/>
    <row r="231" ht="12.75" customHeight="1"/>
    <row r="232" ht="12.75" customHeight="1"/>
    <row r="233" ht="12.75" customHeight="1"/>
    <row r="234" ht="12.75" customHeight="1"/>
    <row r="235" ht="12.75" customHeight="1"/>
    <row r="236" ht="12.75" customHeight="1"/>
    <row r="237" ht="12.75" customHeight="1"/>
    <row r="238" ht="12.75" customHeight="1"/>
    <row r="239" ht="12.75" customHeight="1"/>
    <row r="240" ht="12.75" customHeight="1"/>
    <row r="241" ht="12.75" customHeight="1"/>
    <row r="242" ht="12.75" customHeight="1"/>
    <row r="243" ht="12.75" customHeight="1"/>
    <row r="244" ht="12.75" customHeight="1"/>
    <row r="245" ht="12.75" customHeight="1"/>
    <row r="246" ht="12.75" customHeight="1"/>
    <row r="247" ht="12.75" customHeight="1"/>
    <row r="248" ht="12.75" customHeight="1"/>
    <row r="249" ht="12.75" customHeight="1"/>
    <row r="250" ht="12.75" customHeight="1"/>
    <row r="251" ht="12.75" customHeight="1"/>
    <row r="252" ht="12.75" customHeight="1"/>
    <row r="253" ht="12.75" customHeight="1"/>
    <row r="254" ht="12.75" customHeight="1"/>
    <row r="255" ht="12.75" customHeight="1"/>
    <row r="256" ht="12.75" customHeight="1"/>
    <row r="257" ht="12.75" customHeight="1"/>
    <row r="258" ht="12.75" customHeight="1"/>
    <row r="259" ht="12.75" customHeight="1"/>
    <row r="260" ht="12.75" customHeight="1"/>
    <row r="261" ht="12.75" customHeight="1"/>
    <row r="262" ht="12.75" customHeight="1"/>
    <row r="263" ht="12.75" customHeight="1"/>
    <row r="264" ht="12.75" customHeight="1"/>
    <row r="265" ht="12.75" customHeight="1"/>
    <row r="266" ht="12.75" customHeight="1"/>
    <row r="267" ht="12.75" customHeight="1"/>
    <row r="268" ht="12.75" customHeight="1"/>
    <row r="269" ht="12.75" customHeight="1"/>
    <row r="270" ht="12.75" customHeight="1"/>
    <row r="271" ht="12.75" customHeight="1"/>
    <row r="272" ht="12.75" customHeight="1"/>
    <row r="273" ht="12.75" customHeight="1"/>
    <row r="274" ht="12.75" customHeight="1"/>
    <row r="275" ht="12.75" customHeight="1"/>
    <row r="276" ht="12.75" customHeight="1"/>
    <row r="277" ht="12.75" customHeight="1"/>
    <row r="278" ht="12.75" customHeight="1"/>
    <row r="279" ht="12.75" customHeight="1"/>
    <row r="280" ht="12.75" customHeight="1"/>
    <row r="281" ht="12.75" customHeight="1"/>
    <row r="282" ht="12.75" customHeight="1"/>
    <row r="283" ht="12.75" customHeight="1"/>
    <row r="284" ht="12.75" customHeight="1"/>
    <row r="285" ht="12.75" customHeight="1"/>
    <row r="286" ht="12.75" customHeight="1"/>
    <row r="287" ht="12.75" customHeight="1"/>
    <row r="288" ht="12.75" customHeight="1"/>
    <row r="289" ht="12.75" customHeight="1"/>
    <row r="290" ht="12.75" customHeight="1"/>
    <row r="291" ht="12.75" customHeight="1"/>
    <row r="292" ht="12.75" customHeight="1"/>
    <row r="293" ht="12.75" customHeight="1"/>
    <row r="294" ht="12.75" customHeight="1"/>
    <row r="295" ht="12.75" customHeight="1"/>
    <row r="296" ht="12.75" customHeight="1"/>
    <row r="297" ht="12.75" customHeight="1"/>
    <row r="298" ht="12.75" customHeight="1"/>
    <row r="299" ht="12.75" customHeight="1"/>
    <row r="300" ht="12.75" customHeight="1"/>
    <row r="301" ht="12.75" customHeight="1"/>
    <row r="302" ht="12.75" customHeight="1"/>
    <row r="303" ht="12.75" customHeight="1"/>
    <row r="304" ht="12.75" customHeight="1"/>
    <row r="305" ht="12.75" customHeight="1"/>
    <row r="306" ht="12.75" customHeight="1"/>
    <row r="307" ht="12.75" customHeight="1"/>
    <row r="308" ht="12.75" customHeight="1"/>
    <row r="309" ht="12.75" customHeight="1"/>
    <row r="310" ht="12.75" customHeight="1"/>
    <row r="311" ht="12.75" customHeight="1"/>
    <row r="312" ht="12.75" customHeight="1"/>
    <row r="313" ht="12.75" customHeight="1"/>
    <row r="314" ht="12.75" customHeight="1"/>
    <row r="315" ht="12.75" customHeight="1"/>
    <row r="316" ht="12.75" customHeight="1"/>
    <row r="317" ht="12.75" customHeight="1"/>
    <row r="318" ht="12.75" customHeight="1"/>
    <row r="319" ht="12.75" customHeight="1"/>
    <row r="320" ht="12.75" customHeight="1"/>
    <row r="321" ht="12.75" customHeight="1"/>
    <row r="322" ht="12.75" customHeight="1"/>
    <row r="323" ht="12.75" customHeight="1"/>
    <row r="324" ht="12.75" customHeight="1"/>
    <row r="325" ht="12.75" customHeight="1"/>
    <row r="326" ht="12.75" customHeight="1"/>
    <row r="327" ht="12.75" customHeight="1"/>
    <row r="328" ht="12.75" customHeight="1"/>
    <row r="329" ht="12.75" customHeight="1"/>
    <row r="330" ht="12.75" customHeight="1"/>
    <row r="331" ht="12.75" customHeight="1"/>
    <row r="332" ht="12.75" customHeight="1"/>
    <row r="333" ht="12.75" customHeight="1"/>
    <row r="334" ht="12.75" customHeight="1"/>
    <row r="335" ht="12.75" customHeight="1"/>
    <row r="336" ht="12.75" customHeight="1"/>
    <row r="337" ht="12.75" customHeight="1"/>
    <row r="338" ht="12.75" customHeight="1"/>
    <row r="339" ht="12.75" customHeight="1"/>
    <row r="340" ht="12.75" customHeight="1"/>
    <row r="341" ht="12.75" customHeight="1"/>
    <row r="342" ht="12.75" customHeight="1"/>
    <row r="343" ht="12.75" customHeight="1"/>
    <row r="344" ht="12.75" customHeight="1"/>
    <row r="345" ht="12.75" customHeight="1"/>
    <row r="346" ht="12.75" customHeight="1"/>
    <row r="347" ht="12.75" customHeight="1"/>
    <row r="348" ht="12.75" customHeight="1"/>
    <row r="349" ht="12.75" customHeight="1"/>
    <row r="350" ht="12.75" customHeight="1"/>
    <row r="351" ht="12.75" customHeight="1"/>
    <row r="352" ht="12.75" customHeight="1"/>
    <row r="353" ht="12.75" customHeight="1"/>
    <row r="354" ht="12.75" customHeight="1"/>
    <row r="355" ht="12.75" customHeight="1"/>
    <row r="356" ht="12.75" customHeight="1"/>
    <row r="357" ht="12.75" customHeight="1"/>
    <row r="358" ht="12.75" customHeight="1"/>
    <row r="359" ht="12.75" customHeight="1"/>
    <row r="360" ht="12.75" customHeight="1"/>
    <row r="361" ht="12.75" customHeight="1"/>
    <row r="362" ht="12.75" customHeight="1"/>
    <row r="363" ht="12.75" customHeight="1"/>
    <row r="364" ht="12.75" customHeight="1"/>
    <row r="365" ht="12.75" customHeight="1"/>
    <row r="366" ht="12.75" customHeight="1"/>
    <row r="367" ht="12.75" customHeight="1"/>
    <row r="368" ht="12.75" customHeight="1"/>
    <row r="369" ht="12.75" customHeight="1"/>
    <row r="370" ht="12.75" customHeight="1"/>
    <row r="371" ht="12.75" customHeight="1"/>
    <row r="372" ht="12.75" customHeight="1"/>
    <row r="373" ht="12.75" customHeight="1"/>
    <row r="374" ht="12.75" customHeight="1"/>
    <row r="375" ht="12.75" customHeight="1"/>
    <row r="376" ht="12.75" customHeight="1"/>
    <row r="377" ht="12.75" customHeight="1"/>
    <row r="378" ht="12.75" customHeight="1"/>
    <row r="379" ht="12.75" customHeight="1"/>
    <row r="380" ht="12.75" customHeight="1"/>
    <row r="381" ht="12.75" customHeight="1"/>
    <row r="382" ht="12.75" customHeight="1"/>
    <row r="383" ht="12.75" customHeight="1"/>
    <row r="384" ht="12.75" customHeight="1"/>
    <row r="385" ht="12.75" customHeight="1"/>
    <row r="386" ht="12.75" customHeight="1"/>
    <row r="387" ht="12.75" customHeight="1"/>
    <row r="388" ht="12.75" customHeight="1"/>
    <row r="389" ht="12.75" customHeight="1"/>
    <row r="390" ht="12.75" customHeight="1"/>
    <row r="391" ht="12.75" customHeight="1"/>
    <row r="392" ht="12.75" customHeight="1"/>
    <row r="393" ht="12.75" customHeight="1"/>
    <row r="394" ht="12.75" customHeight="1"/>
    <row r="395" ht="12.75" customHeight="1"/>
    <row r="396" ht="12.75" customHeight="1"/>
    <row r="397" ht="12.75" customHeight="1"/>
    <row r="398" ht="12.75" customHeight="1"/>
    <row r="399" ht="12.75" customHeight="1"/>
    <row r="400" ht="12.75" customHeight="1"/>
    <row r="401" ht="12.75" customHeight="1"/>
    <row r="402" ht="12.75" customHeight="1"/>
    <row r="403" ht="12.75" customHeight="1"/>
    <row r="404" ht="12.75" customHeight="1"/>
    <row r="405" ht="12.75" customHeight="1"/>
    <row r="406" ht="12.75" customHeight="1"/>
    <row r="407" ht="12.75" customHeight="1"/>
    <row r="408" ht="12.75" customHeight="1"/>
    <row r="409" ht="12.75" customHeight="1"/>
    <row r="410" ht="12.75" customHeight="1"/>
    <row r="411" ht="12.75" customHeight="1"/>
    <row r="412" ht="12.75" customHeight="1"/>
    <row r="413" ht="12.75" customHeight="1"/>
    <row r="414" ht="12.75" customHeight="1"/>
    <row r="415" ht="12.75" customHeight="1"/>
    <row r="416" ht="12.75" customHeight="1"/>
    <row r="417" ht="12.75" customHeight="1"/>
    <row r="418" ht="12.75" customHeight="1"/>
    <row r="419" ht="12.75" customHeight="1"/>
    <row r="420" ht="12.75" customHeight="1"/>
    <row r="421" ht="12.75" customHeight="1"/>
    <row r="422" ht="12.75" customHeight="1"/>
    <row r="423" ht="12.75" customHeight="1"/>
    <row r="424" ht="12.75" customHeight="1"/>
    <row r="425" ht="12.75" customHeight="1"/>
    <row r="426" ht="12.75" customHeight="1"/>
    <row r="427" ht="12.75" customHeight="1"/>
    <row r="428" ht="12.75" customHeight="1"/>
    <row r="429" ht="12.75" customHeight="1"/>
    <row r="430" ht="12.75" customHeight="1"/>
    <row r="431" ht="12.75" customHeight="1"/>
    <row r="432" ht="12.75" customHeight="1"/>
    <row r="433" ht="12.75" customHeight="1"/>
    <row r="434" ht="12.75" customHeight="1"/>
    <row r="435" ht="12.75" customHeight="1"/>
    <row r="436" ht="12.75" customHeight="1"/>
    <row r="437" ht="12.75" customHeight="1"/>
    <row r="438" ht="12.75" customHeight="1"/>
    <row r="439" ht="12.75" customHeight="1"/>
    <row r="440" ht="12.75" customHeight="1"/>
    <row r="441" ht="12.75" customHeight="1"/>
    <row r="442" ht="12.75" customHeight="1"/>
    <row r="443" ht="12.75" customHeight="1"/>
    <row r="444" ht="12.75" customHeight="1"/>
    <row r="445" ht="12.75" customHeight="1"/>
    <row r="446" ht="12.75" customHeight="1"/>
    <row r="447" ht="12.75" customHeight="1"/>
    <row r="448" ht="12.75" customHeight="1"/>
    <row r="449" ht="12.75" customHeight="1"/>
    <row r="450" ht="12.75" customHeight="1"/>
    <row r="451" ht="12.75" customHeight="1"/>
    <row r="452" ht="12.75" customHeight="1"/>
    <row r="453" ht="12.75" customHeight="1"/>
    <row r="454" ht="12.75" customHeight="1"/>
    <row r="455" ht="12.75" customHeight="1"/>
    <row r="456" ht="12.75" customHeight="1"/>
    <row r="457" ht="12.75" customHeight="1"/>
    <row r="458" ht="12.75" customHeight="1"/>
    <row r="459" ht="12.75" customHeight="1"/>
    <row r="460" ht="12.75" customHeight="1"/>
    <row r="461" ht="12.75" customHeight="1"/>
    <row r="462" ht="12.75" customHeight="1"/>
    <row r="463" ht="12.75" customHeight="1"/>
    <row r="464" ht="12.75" customHeight="1"/>
    <row r="465" ht="12.75" customHeight="1"/>
    <row r="466" ht="12.75" customHeight="1"/>
    <row r="467" ht="12.75" customHeight="1"/>
    <row r="468" ht="12.75" customHeight="1"/>
    <row r="469" ht="12.75" customHeight="1"/>
    <row r="470" ht="12.75" customHeight="1"/>
    <row r="471" ht="12.75" customHeight="1"/>
    <row r="472" ht="12.75" customHeight="1"/>
    <row r="473" ht="12.75" customHeight="1"/>
    <row r="474" ht="12.75" customHeight="1"/>
    <row r="475" ht="12.75" customHeight="1"/>
    <row r="476" ht="12.75" customHeight="1"/>
    <row r="477" ht="12.75" customHeight="1"/>
    <row r="478" ht="12.75" customHeight="1"/>
    <row r="479" ht="12.75" customHeight="1"/>
    <row r="480" ht="12.75" customHeight="1"/>
    <row r="481" ht="12.75" customHeight="1"/>
    <row r="482" ht="12.75" customHeight="1"/>
    <row r="483" ht="12.75" customHeight="1"/>
    <row r="484" ht="12.75" customHeight="1"/>
    <row r="485" ht="12.75" customHeight="1"/>
    <row r="486" ht="12.75" customHeight="1"/>
    <row r="487" ht="12.75" customHeight="1"/>
    <row r="488" ht="12.75" customHeight="1"/>
    <row r="489" ht="12.75" customHeight="1"/>
    <row r="490" ht="12.75" customHeight="1"/>
    <row r="491" ht="12.75" customHeight="1"/>
    <row r="492" ht="12.75" customHeight="1"/>
    <row r="493" ht="12.75" customHeight="1"/>
    <row r="494" ht="12.75" customHeight="1"/>
    <row r="495" ht="12.75" customHeight="1"/>
    <row r="496" ht="12.75" customHeight="1"/>
    <row r="497" ht="12.75" customHeight="1"/>
    <row r="498" ht="12.75" customHeight="1"/>
    <row r="499" ht="12.75" customHeight="1"/>
    <row r="500" ht="12.75" customHeight="1"/>
    <row r="501" ht="12.75" customHeight="1"/>
    <row r="502" ht="12.75" customHeight="1"/>
    <row r="503" ht="12.75" customHeight="1"/>
    <row r="504" ht="12.75" customHeight="1"/>
    <row r="505" ht="12.75" customHeight="1"/>
    <row r="506" ht="12.75" customHeight="1"/>
    <row r="507" ht="12.75" customHeight="1"/>
    <row r="508" ht="12.75" customHeight="1"/>
    <row r="509" ht="12.75" customHeight="1"/>
    <row r="510" ht="12.75" customHeight="1"/>
    <row r="511" ht="12.75" customHeight="1"/>
    <row r="512" ht="12.75" customHeight="1"/>
    <row r="513" ht="12.75" customHeight="1"/>
    <row r="514" ht="12.75" customHeight="1"/>
    <row r="515" ht="12.75" customHeight="1"/>
    <row r="516" ht="12.75" customHeight="1"/>
    <row r="517" ht="12.75" customHeight="1"/>
    <row r="518" ht="12.75" customHeight="1"/>
    <row r="519" ht="12.75" customHeight="1"/>
    <row r="520" ht="12.75" customHeight="1"/>
    <row r="521" ht="12.75" customHeight="1"/>
    <row r="522" ht="12.75" customHeight="1"/>
    <row r="523" ht="12.75" customHeight="1"/>
    <row r="524" ht="12.75" customHeight="1"/>
    <row r="525" ht="12.75" customHeight="1"/>
    <row r="526" ht="12.75" customHeight="1"/>
    <row r="527" ht="12.75" customHeight="1"/>
    <row r="528" ht="12.75" customHeight="1"/>
    <row r="529" ht="12.75" customHeight="1"/>
    <row r="530" ht="12.75" customHeight="1"/>
    <row r="531" ht="12.75" customHeight="1"/>
    <row r="532" ht="12.75" customHeight="1"/>
    <row r="533" ht="12.75" customHeight="1"/>
    <row r="534" ht="12.75" customHeight="1"/>
    <row r="535" ht="12.75" customHeight="1"/>
    <row r="536" ht="12.75" customHeight="1"/>
    <row r="537" ht="12.75" customHeight="1"/>
    <row r="538" ht="12.75" customHeight="1"/>
    <row r="539" ht="12.75" customHeight="1"/>
    <row r="540" ht="12.75" customHeight="1"/>
    <row r="541" ht="12.75" customHeight="1"/>
    <row r="542" ht="12.75" customHeight="1"/>
    <row r="543" ht="12.75" customHeight="1"/>
    <row r="544" ht="12.75" customHeight="1"/>
    <row r="545" ht="12.75" customHeight="1"/>
    <row r="546" ht="12.75" customHeight="1"/>
    <row r="547" ht="12.75" customHeight="1"/>
    <row r="548" ht="12.75" customHeight="1"/>
    <row r="549" ht="12.75" customHeight="1"/>
    <row r="550" ht="12.75" customHeight="1"/>
    <row r="551" ht="12.75" customHeight="1"/>
    <row r="552" ht="12.75" customHeight="1"/>
    <row r="553" ht="12.75" customHeight="1"/>
    <row r="554" ht="12.75" customHeight="1"/>
    <row r="555" ht="12.75" customHeight="1"/>
    <row r="556" ht="12.75" customHeight="1"/>
    <row r="557" ht="12.75" customHeight="1"/>
    <row r="558" ht="12.75" customHeight="1"/>
    <row r="559" ht="12.75" customHeight="1"/>
    <row r="560" ht="12.75" customHeight="1"/>
    <row r="561" ht="12.75" customHeight="1"/>
    <row r="562" ht="12.75" customHeight="1"/>
    <row r="563" ht="12.75" customHeight="1"/>
    <row r="564" ht="12.75" customHeight="1"/>
    <row r="565" ht="12.75" customHeight="1"/>
    <row r="566" ht="12.75" customHeight="1"/>
    <row r="567" ht="12.75" customHeight="1"/>
    <row r="568" ht="12.75" customHeight="1"/>
    <row r="569" ht="12.75" customHeight="1"/>
    <row r="570" ht="12.75" customHeight="1"/>
    <row r="571" ht="12.75" customHeight="1"/>
    <row r="572" ht="12.75" customHeight="1"/>
    <row r="573" ht="12.75" customHeight="1"/>
    <row r="574" ht="12.75" customHeight="1"/>
    <row r="575" ht="12.75" customHeight="1"/>
    <row r="576" ht="12.75" customHeight="1"/>
    <row r="577" ht="12.75" customHeight="1"/>
    <row r="578" ht="12.75" customHeight="1"/>
    <row r="579" ht="12.75" customHeight="1"/>
    <row r="580" ht="12.75" customHeight="1"/>
    <row r="581" ht="12.75" customHeight="1"/>
    <row r="582" ht="12.75" customHeight="1"/>
    <row r="583" ht="12.75" customHeight="1"/>
    <row r="584" ht="12.75" customHeight="1"/>
    <row r="585" ht="12.75" customHeight="1"/>
    <row r="586" ht="12.75" customHeight="1"/>
    <row r="587" ht="12.75" customHeight="1"/>
    <row r="588" ht="12.75" customHeight="1"/>
    <row r="589" ht="12.75" customHeight="1"/>
    <row r="590" ht="12.75" customHeight="1"/>
    <row r="591" ht="12.75" customHeight="1"/>
    <row r="592" ht="12.75" customHeight="1"/>
    <row r="593" ht="12.75" customHeight="1"/>
    <row r="594" ht="12.75" customHeight="1"/>
    <row r="595" ht="12.75" customHeight="1"/>
    <row r="596" ht="12.75" customHeight="1"/>
    <row r="597" ht="12.75" customHeight="1"/>
    <row r="598" ht="12.75" customHeight="1"/>
    <row r="599" ht="12.75" customHeight="1"/>
    <row r="600" ht="12.75" customHeight="1"/>
    <row r="601" ht="12.75" customHeight="1"/>
    <row r="602" ht="12.75" customHeight="1"/>
    <row r="603" ht="12.75" customHeight="1"/>
    <row r="604" ht="12.75" customHeight="1"/>
    <row r="605" ht="12.75" customHeight="1"/>
    <row r="606" ht="12.75" customHeight="1"/>
    <row r="607" ht="12.75" customHeight="1"/>
    <row r="608" ht="12.75" customHeight="1"/>
    <row r="609" ht="12.75" customHeight="1"/>
    <row r="610" ht="12.75" customHeight="1"/>
    <row r="611" ht="12.75" customHeight="1"/>
    <row r="612" ht="12.75" customHeight="1"/>
    <row r="613" ht="12.75" customHeight="1"/>
    <row r="614" ht="12.75" customHeight="1"/>
    <row r="615" ht="12.75" customHeight="1"/>
    <row r="616" ht="12.75" customHeight="1"/>
    <row r="617" ht="12.75" customHeight="1"/>
    <row r="618" ht="12.75" customHeight="1"/>
    <row r="619" ht="12.75" customHeight="1"/>
    <row r="620" ht="12.75" customHeight="1"/>
    <row r="621" ht="12.75" customHeight="1"/>
    <row r="622" ht="12.75" customHeight="1"/>
    <row r="623" ht="12.75" customHeight="1"/>
    <row r="624" ht="12.75" customHeight="1"/>
    <row r="625" ht="12.75" customHeight="1"/>
    <row r="626" ht="12.75" customHeight="1"/>
    <row r="627" ht="12.75" customHeight="1"/>
    <row r="628" ht="12.75" customHeight="1"/>
    <row r="629" ht="12.75" customHeight="1"/>
    <row r="630" ht="12.75" customHeight="1"/>
    <row r="631" ht="12.75" customHeight="1"/>
    <row r="632" ht="12.75" customHeight="1"/>
    <row r="633" ht="12.75" customHeight="1"/>
    <row r="634" ht="12.75" customHeight="1"/>
    <row r="635" ht="12.75" customHeight="1"/>
    <row r="636" ht="12.75" customHeight="1"/>
    <row r="637" ht="12.75" customHeight="1"/>
    <row r="638" ht="12.75" customHeight="1"/>
    <row r="639" ht="12.75" customHeight="1"/>
    <row r="640" ht="12.75" customHeight="1"/>
    <row r="641" ht="12.75" customHeight="1"/>
    <row r="642" ht="12.75" customHeight="1"/>
    <row r="643" ht="12.75" customHeight="1"/>
    <row r="644" ht="12.75" customHeight="1"/>
    <row r="645" ht="12.75" customHeight="1"/>
    <row r="646" ht="12.75" customHeight="1"/>
    <row r="647" ht="12.75" customHeight="1"/>
    <row r="648" ht="12.75" customHeight="1"/>
    <row r="649" ht="12.75" customHeight="1"/>
    <row r="650" ht="12.75" customHeight="1"/>
    <row r="651" ht="12.75" customHeight="1"/>
    <row r="652" ht="12.75" customHeight="1"/>
    <row r="653" ht="12.75" customHeight="1"/>
    <row r="654" ht="12.75" customHeight="1"/>
    <row r="655" ht="12.75" customHeight="1"/>
    <row r="656" ht="12.75" customHeight="1"/>
    <row r="657" ht="12.75" customHeight="1"/>
    <row r="658" ht="12.75" customHeight="1"/>
    <row r="659" ht="12.75" customHeight="1"/>
    <row r="660" ht="12.75" customHeight="1"/>
    <row r="661" ht="12.75" customHeight="1"/>
    <row r="662" ht="12.75" customHeight="1"/>
    <row r="663" ht="12.75" customHeight="1"/>
    <row r="664" ht="12.75" customHeight="1"/>
    <row r="665" ht="12.75" customHeight="1"/>
    <row r="666" ht="12.75" customHeight="1"/>
    <row r="667" ht="12.75" customHeight="1"/>
    <row r="668" ht="12.75" customHeight="1"/>
    <row r="669" ht="12.75" customHeight="1"/>
    <row r="670" ht="12.75" customHeight="1"/>
    <row r="671" ht="12.75" customHeight="1"/>
    <row r="672" ht="12.75" customHeight="1"/>
    <row r="673" ht="12.75" customHeight="1"/>
    <row r="674" ht="12.75" customHeight="1"/>
    <row r="675" ht="12.75" customHeight="1"/>
    <row r="676" ht="12.75" customHeight="1"/>
    <row r="677" ht="12.75" customHeight="1"/>
    <row r="678" ht="12.75" customHeight="1"/>
    <row r="679" ht="12.75" customHeight="1"/>
    <row r="680" ht="12.75" customHeight="1"/>
    <row r="681" ht="12.75" customHeight="1"/>
    <row r="682" ht="12.75" customHeight="1"/>
    <row r="683" ht="12.75" customHeight="1"/>
    <row r="684" ht="12.75" customHeight="1"/>
    <row r="685" ht="12.75" customHeight="1"/>
    <row r="686" ht="12.75" customHeight="1"/>
    <row r="687" ht="12.75" customHeight="1"/>
    <row r="688" ht="12.75" customHeight="1"/>
    <row r="689" ht="12.75" customHeight="1"/>
    <row r="690" ht="12.75" customHeight="1"/>
    <row r="691" ht="12.75" customHeight="1"/>
    <row r="692" ht="12.75" customHeight="1"/>
    <row r="693" ht="12.75" customHeight="1"/>
    <row r="694" ht="12.75" customHeight="1"/>
    <row r="695" ht="12.75" customHeight="1"/>
    <row r="696" ht="12.75" customHeight="1"/>
    <row r="697" ht="12.75" customHeight="1"/>
    <row r="698" ht="12.75" customHeight="1"/>
    <row r="699" ht="12.75" customHeight="1"/>
    <row r="700" ht="12.75" customHeight="1"/>
    <row r="701" ht="12.75" customHeight="1"/>
    <row r="702" ht="12.75" customHeight="1"/>
    <row r="703" ht="12.75" customHeight="1"/>
    <row r="704" ht="12.75" customHeight="1"/>
    <row r="705" ht="12.75" customHeight="1"/>
    <row r="706" ht="12.75" customHeight="1"/>
    <row r="707" ht="12.75" customHeight="1"/>
    <row r="708" ht="12.75" customHeight="1"/>
    <row r="709" ht="12.75" customHeight="1"/>
    <row r="710" ht="12.75" customHeight="1"/>
    <row r="711" ht="12.75" customHeight="1"/>
    <row r="712" ht="12.75" customHeight="1"/>
    <row r="713" ht="12.75" customHeight="1"/>
    <row r="714" ht="12.75" customHeight="1"/>
    <row r="715" ht="12.75" customHeight="1"/>
    <row r="716" ht="12.75" customHeight="1"/>
    <row r="717" ht="12.75" customHeight="1"/>
    <row r="718" ht="12.75" customHeight="1"/>
    <row r="719" ht="12.75" customHeight="1"/>
    <row r="720" ht="12.75" customHeight="1"/>
    <row r="721" ht="12.75" customHeight="1"/>
    <row r="722" ht="12.75" customHeight="1"/>
    <row r="723" ht="12.75" customHeight="1"/>
    <row r="724" ht="12.75" customHeight="1"/>
    <row r="725" ht="12.75" customHeight="1"/>
    <row r="726" ht="12.75" customHeight="1"/>
    <row r="727" ht="12.75" customHeight="1"/>
    <row r="728" ht="12.75" customHeight="1"/>
    <row r="729" ht="12.75" customHeight="1"/>
    <row r="730" ht="12.75" customHeight="1"/>
    <row r="731" ht="12.75" customHeight="1"/>
    <row r="732" ht="12.75" customHeight="1"/>
    <row r="733" ht="12.75" customHeight="1"/>
    <row r="734" ht="12.75" customHeight="1"/>
    <row r="735" ht="12.75" customHeight="1"/>
    <row r="736" ht="12.75" customHeight="1"/>
    <row r="737" ht="12.75" customHeight="1"/>
    <row r="738" ht="12.75" customHeight="1"/>
    <row r="739" ht="12.75" customHeight="1"/>
    <row r="740" ht="12.75" customHeight="1"/>
    <row r="741" ht="12.75" customHeight="1"/>
    <row r="742" ht="12.75" customHeight="1"/>
    <row r="743" ht="12.75" customHeight="1"/>
    <row r="744" ht="12.75" customHeight="1"/>
    <row r="745" ht="12.75" customHeight="1"/>
    <row r="746" ht="12.75" customHeight="1"/>
    <row r="747" ht="12.75" customHeight="1"/>
    <row r="748" ht="12.75" customHeight="1"/>
    <row r="749" ht="12.75" customHeight="1"/>
    <row r="750" ht="12.75" customHeight="1"/>
    <row r="751" ht="12.75" customHeight="1"/>
    <row r="752" ht="12.75" customHeight="1"/>
    <row r="753" ht="12.75" customHeight="1"/>
    <row r="754" ht="12.75" customHeight="1"/>
    <row r="755" ht="12.75" customHeight="1"/>
    <row r="756" ht="12.75" customHeight="1"/>
    <row r="757" ht="12.75" customHeight="1"/>
    <row r="758" ht="12.75" customHeight="1"/>
    <row r="759" ht="12.75" customHeight="1"/>
    <row r="760" ht="12.75" customHeight="1"/>
    <row r="761" ht="12.75" customHeight="1"/>
    <row r="762" ht="12.75" customHeight="1"/>
    <row r="763" ht="12.75" customHeight="1"/>
    <row r="764" ht="12.75" customHeight="1"/>
    <row r="765" ht="12.75" customHeight="1"/>
    <row r="766" ht="12.75" customHeight="1"/>
    <row r="767" ht="12.75" customHeight="1"/>
    <row r="768" ht="12.75" customHeight="1"/>
    <row r="769" ht="12.75" customHeight="1"/>
    <row r="770" ht="12.75" customHeight="1"/>
    <row r="771" ht="12.75" customHeight="1"/>
    <row r="772" ht="12.75" customHeight="1"/>
    <row r="773" ht="12.75" customHeight="1"/>
    <row r="774" ht="12.75" customHeight="1"/>
    <row r="775" ht="12.75" customHeight="1"/>
    <row r="776" ht="12.75" customHeight="1"/>
    <row r="777" ht="12.75" customHeight="1"/>
    <row r="778" ht="12.75" customHeight="1"/>
    <row r="779" ht="12.75" customHeight="1"/>
    <row r="780" ht="12.75" customHeight="1"/>
    <row r="781" ht="12.75" customHeight="1"/>
    <row r="782" ht="12.75" customHeight="1"/>
    <row r="783" ht="12.75" customHeight="1"/>
    <row r="784" ht="12.75" customHeight="1"/>
    <row r="785" ht="12.75" customHeight="1"/>
    <row r="786" ht="12.75" customHeight="1"/>
    <row r="787" ht="12.75" customHeight="1"/>
    <row r="788" ht="12.75" customHeight="1"/>
    <row r="789" ht="12.75" customHeight="1"/>
    <row r="790" ht="12.75" customHeight="1"/>
    <row r="791" ht="12.75" customHeight="1"/>
    <row r="792" ht="12.75" customHeight="1"/>
    <row r="793" ht="12.75" customHeight="1"/>
    <row r="794" ht="12.75" customHeight="1"/>
    <row r="795" ht="12.75" customHeight="1"/>
    <row r="796" ht="12.75" customHeight="1"/>
    <row r="797" ht="12.75" customHeight="1"/>
    <row r="798" ht="12.75" customHeight="1"/>
    <row r="799" ht="12.75" customHeight="1"/>
    <row r="800" ht="12.75" customHeight="1"/>
    <row r="801" ht="12.75" customHeight="1"/>
    <row r="802" ht="12.75" customHeight="1"/>
    <row r="803" ht="12.75" customHeight="1"/>
    <row r="804" ht="12.75" customHeight="1"/>
    <row r="805" ht="12.75" customHeight="1"/>
    <row r="806" ht="12.75" customHeight="1"/>
    <row r="807" ht="12.75" customHeight="1"/>
    <row r="808" ht="12.75" customHeight="1"/>
    <row r="809" ht="12.75" customHeight="1"/>
    <row r="810" ht="12.75" customHeight="1"/>
    <row r="811" ht="12.75" customHeight="1"/>
    <row r="812" ht="12.75" customHeight="1"/>
    <row r="813" ht="12.75" customHeight="1"/>
    <row r="814" ht="12.75" customHeight="1"/>
    <row r="815" ht="12.75" customHeight="1"/>
    <row r="816" ht="12.75" customHeight="1"/>
    <row r="817" ht="12.75" customHeight="1"/>
    <row r="818" ht="12.75" customHeight="1"/>
    <row r="819" ht="12.75" customHeight="1"/>
    <row r="820" ht="12.75" customHeight="1"/>
    <row r="821" ht="12.75" customHeight="1"/>
    <row r="822" ht="12.75" customHeight="1"/>
    <row r="823" ht="12.75" customHeight="1"/>
    <row r="824" ht="12.75" customHeight="1"/>
    <row r="825" ht="12.75" customHeight="1"/>
    <row r="826" ht="12.75" customHeight="1"/>
    <row r="827" ht="12.75" customHeight="1"/>
    <row r="828" ht="12.75" customHeight="1"/>
    <row r="829" ht="12.75" customHeight="1"/>
    <row r="830" ht="12.75" customHeight="1"/>
    <row r="831" ht="12.75" customHeight="1"/>
    <row r="832" ht="12.75" customHeight="1"/>
    <row r="833" ht="12.75" customHeight="1"/>
    <row r="834" ht="12.75" customHeight="1"/>
    <row r="835" ht="12.75" customHeight="1"/>
    <row r="836" ht="12.75" customHeight="1"/>
    <row r="837" ht="12.75" customHeight="1"/>
    <row r="838" ht="12.75" customHeight="1"/>
    <row r="839" ht="12.75" customHeight="1"/>
    <row r="840" ht="12.75" customHeight="1"/>
    <row r="841" ht="12.75" customHeight="1"/>
    <row r="842" ht="12.75" customHeight="1"/>
    <row r="843" ht="12.75" customHeight="1"/>
    <row r="844" ht="12.75" customHeight="1"/>
    <row r="845" ht="12.75" customHeight="1"/>
    <row r="846" ht="12.75" customHeight="1"/>
    <row r="847" ht="12.75" customHeight="1"/>
    <row r="848" ht="12.75" customHeight="1"/>
    <row r="849" ht="12.75" customHeight="1"/>
    <row r="850" ht="12.75" customHeight="1"/>
    <row r="851" ht="12.75" customHeight="1"/>
    <row r="852" ht="12.75" customHeight="1"/>
    <row r="853" ht="12.75" customHeight="1"/>
    <row r="854" ht="12.75" customHeight="1"/>
    <row r="855" ht="12.75" customHeight="1"/>
    <row r="856" ht="12.75" customHeight="1"/>
    <row r="857" ht="12.75" customHeight="1"/>
    <row r="858" ht="12.75" customHeight="1"/>
    <row r="859" ht="12.75" customHeight="1"/>
    <row r="860" ht="12.75" customHeight="1"/>
    <row r="861" ht="12.75" customHeight="1"/>
    <row r="862" ht="12.75" customHeight="1"/>
    <row r="863" ht="12.75" customHeight="1"/>
    <row r="864" ht="12.75" customHeight="1"/>
    <row r="865" ht="12.75" customHeight="1"/>
    <row r="866" ht="12.75" customHeight="1"/>
    <row r="867" ht="12.75" customHeight="1"/>
    <row r="868" ht="12.75" customHeight="1"/>
    <row r="869" ht="12.75" customHeight="1"/>
    <row r="870" ht="12.75" customHeight="1"/>
    <row r="871" ht="12.75" customHeight="1"/>
    <row r="872" ht="12.75" customHeight="1"/>
    <row r="873" ht="12.75" customHeight="1"/>
    <row r="874" ht="12.75" customHeight="1"/>
    <row r="875" ht="12.75" customHeight="1"/>
    <row r="876" ht="12.75" customHeight="1"/>
    <row r="877" ht="12.75" customHeight="1"/>
    <row r="878" ht="12.75" customHeight="1"/>
    <row r="879" ht="12.75" customHeight="1"/>
    <row r="880" ht="12.75" customHeight="1"/>
    <row r="881" ht="12.75" customHeight="1"/>
    <row r="882" ht="12.75" customHeight="1"/>
    <row r="883" ht="12.75" customHeight="1"/>
    <row r="884" ht="12.75" customHeight="1"/>
    <row r="885" ht="12.75" customHeight="1"/>
    <row r="886" ht="12.75" customHeight="1"/>
    <row r="887" ht="12.75" customHeight="1"/>
    <row r="888" ht="12.75" customHeight="1"/>
    <row r="889" ht="12.75" customHeight="1"/>
    <row r="890" ht="12.75" customHeight="1"/>
    <row r="891" ht="12.75" customHeight="1"/>
    <row r="892" ht="12.75" customHeight="1"/>
    <row r="893" ht="12.75" customHeight="1"/>
    <row r="894" ht="12.75" customHeight="1"/>
    <row r="895" ht="12.75" customHeight="1"/>
    <row r="896" ht="12.75" customHeight="1"/>
    <row r="897" ht="12.75" customHeight="1"/>
    <row r="898" ht="12.75" customHeight="1"/>
    <row r="899" ht="12.75" customHeight="1"/>
    <row r="900" ht="12.75" customHeight="1"/>
    <row r="901" ht="12.75" customHeight="1"/>
    <row r="902" ht="12.75" customHeight="1"/>
    <row r="903" ht="12.75" customHeight="1"/>
    <row r="904" ht="12.75" customHeight="1"/>
    <row r="905" ht="12.75" customHeight="1"/>
    <row r="906" ht="12.75" customHeight="1"/>
    <row r="907" ht="12.75" customHeight="1"/>
    <row r="908" ht="12.75" customHeight="1"/>
    <row r="909" ht="12.75" customHeight="1"/>
    <row r="910" ht="12.75" customHeight="1"/>
    <row r="911" ht="12.75" customHeight="1"/>
    <row r="912" ht="12.75" customHeight="1"/>
    <row r="913" ht="12.75" customHeight="1"/>
    <row r="914" ht="12.75" customHeight="1"/>
    <row r="915" ht="12.75" customHeight="1"/>
    <row r="916" ht="12.75" customHeight="1"/>
    <row r="917" ht="12.75" customHeight="1"/>
    <row r="918" ht="12.75" customHeight="1"/>
    <row r="919" ht="12.75" customHeight="1"/>
    <row r="920" ht="12.75" customHeight="1"/>
    <row r="921" ht="12.75" customHeight="1"/>
    <row r="922" ht="12.75" customHeight="1"/>
    <row r="923" ht="12.75" customHeight="1"/>
    <row r="924" ht="12.75" customHeight="1"/>
    <row r="925" ht="12.75" customHeight="1"/>
    <row r="926" ht="12.75" customHeight="1"/>
    <row r="927" ht="12.75" customHeight="1"/>
    <row r="928" ht="12.75" customHeight="1"/>
    <row r="929" ht="12.75" customHeight="1"/>
    <row r="930" ht="12.75" customHeight="1"/>
    <row r="931" ht="12.75" customHeight="1"/>
    <row r="932" ht="12.75" customHeight="1"/>
    <row r="933" ht="12.75" customHeight="1"/>
    <row r="934" ht="12.75" customHeight="1"/>
    <row r="935" ht="12.75" customHeight="1"/>
    <row r="936" ht="12.75" customHeight="1"/>
    <row r="937" ht="12.75" customHeight="1"/>
    <row r="938" ht="12.75" customHeight="1"/>
    <row r="939" ht="12.75" customHeight="1"/>
    <row r="940" ht="12.75" customHeight="1"/>
    <row r="941" ht="12.75" customHeight="1"/>
    <row r="942" ht="12.75" customHeight="1"/>
    <row r="943" ht="12.75" customHeight="1"/>
    <row r="944" ht="12.75" customHeight="1"/>
    <row r="945" ht="12.75" customHeight="1"/>
    <row r="946" ht="12.75" customHeight="1"/>
    <row r="947" ht="12.75" customHeight="1"/>
    <row r="948" ht="12.75" customHeight="1"/>
    <row r="949" ht="12.75" customHeight="1"/>
    <row r="950" ht="12.75" customHeight="1"/>
    <row r="951" ht="12.75" customHeight="1"/>
    <row r="952" ht="12.75" customHeight="1"/>
    <row r="953" ht="12.75" customHeight="1"/>
    <row r="954" ht="12.75" customHeight="1"/>
    <row r="955" ht="12.75" customHeight="1"/>
    <row r="956" ht="12.75" customHeight="1"/>
    <row r="957" ht="12.75" customHeight="1"/>
    <row r="958" ht="12.75" customHeight="1"/>
    <row r="959" ht="12.75" customHeight="1"/>
    <row r="960" ht="12.75" customHeight="1"/>
    <row r="961" ht="12.75" customHeight="1"/>
    <row r="962" ht="12.75" customHeight="1"/>
    <row r="963" ht="12.75" customHeight="1"/>
    <row r="964" ht="12.75" customHeight="1"/>
    <row r="965" ht="12.75" customHeight="1"/>
    <row r="966" ht="12.75" customHeight="1"/>
    <row r="967" ht="12.75" customHeight="1"/>
    <row r="968" ht="12.75" customHeight="1"/>
    <row r="969" ht="12.75" customHeight="1"/>
    <row r="970" ht="12.75" customHeight="1"/>
    <row r="971" ht="12.75" customHeight="1"/>
    <row r="972" ht="12.75" customHeight="1"/>
    <row r="973" ht="12.75" customHeight="1"/>
    <row r="974" ht="12.75" customHeight="1"/>
    <row r="975" ht="12.75" customHeight="1"/>
    <row r="976" ht="12.75" customHeight="1"/>
    <row r="977" ht="12.75" customHeight="1"/>
    <row r="978" ht="12.75" customHeight="1"/>
    <row r="979" ht="12.75" customHeight="1"/>
    <row r="980" ht="12.75" customHeight="1"/>
    <row r="981" ht="12.75" customHeight="1"/>
    <row r="982" ht="12.75" customHeight="1"/>
    <row r="983" ht="12.75" customHeight="1"/>
    <row r="984" ht="12.75" customHeight="1"/>
    <row r="985" ht="12.75" customHeight="1"/>
    <row r="986" ht="12.75" customHeight="1"/>
    <row r="987" ht="12.75" customHeight="1"/>
    <row r="988" ht="12.75" customHeight="1"/>
    <row r="989" ht="12.75" customHeight="1"/>
    <row r="990" ht="12.75" customHeight="1"/>
    <row r="991" ht="12.75" customHeight="1"/>
    <row r="992" ht="12.75" customHeight="1"/>
    <row r="993" ht="12.75" customHeight="1"/>
    <row r="994" ht="12.75" customHeight="1"/>
    <row r="995" ht="12.75" customHeight="1"/>
    <row r="996" ht="12.75" customHeight="1"/>
    <row r="997" ht="12.75" customHeight="1"/>
    <row r="998" ht="12.75" customHeight="1"/>
    <row r="999" ht="12.75" customHeight="1"/>
    <row r="1000" ht="12.75" customHeight="1"/>
  </sheetData>
  <printOptions/>
  <pageMargins bottom="0.75" footer="0.0" header="0.0" left="0.7" right="0.7" top="0.75"/>
  <pageSetup orientation="landscape"/>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2">
      <c r="B2" s="23" t="s">
        <v>4314</v>
      </c>
      <c r="I2" s="23" t="s">
        <v>4315</v>
      </c>
    </row>
    <row r="3">
      <c r="B3" s="2" t="s">
        <v>4316</v>
      </c>
      <c r="I3" s="2" t="s">
        <v>4317</v>
      </c>
    </row>
    <row r="4">
      <c r="B4" s="20" t="s">
        <v>4318</v>
      </c>
    </row>
    <row r="5">
      <c r="I5" s="2" t="s">
        <v>4319</v>
      </c>
    </row>
    <row r="6">
      <c r="B6" s="20" t="s">
        <v>4320</v>
      </c>
      <c r="I6" s="2" t="s">
        <v>4321</v>
      </c>
    </row>
    <row r="7">
      <c r="B7" s="20" t="s">
        <v>4322</v>
      </c>
      <c r="I7" s="2" t="s">
        <v>4323</v>
      </c>
    </row>
    <row r="8">
      <c r="B8" s="20" t="s">
        <v>4324</v>
      </c>
      <c r="I8" s="2" t="s">
        <v>4325</v>
      </c>
    </row>
    <row r="9">
      <c r="B9" s="20" t="s">
        <v>4326</v>
      </c>
      <c r="I9" s="2" t="s">
        <v>4327</v>
      </c>
    </row>
    <row r="10">
      <c r="B10" s="20" t="s">
        <v>4328</v>
      </c>
      <c r="I10" s="2" t="s">
        <v>4329</v>
      </c>
    </row>
    <row r="11">
      <c r="B11" s="20" t="s">
        <v>4330</v>
      </c>
      <c r="I11" s="2" t="s">
        <v>4331</v>
      </c>
    </row>
    <row r="12">
      <c r="I12" s="2" t="s">
        <v>4332</v>
      </c>
    </row>
    <row r="13">
      <c r="B13" s="20" t="s">
        <v>4333</v>
      </c>
      <c r="I13" s="2" t="s">
        <v>4334</v>
      </c>
    </row>
    <row r="14">
      <c r="B14" s="20" t="s">
        <v>4335</v>
      </c>
      <c r="I14" s="2" t="s">
        <v>4336</v>
      </c>
    </row>
    <row r="15">
      <c r="B15" s="20" t="s">
        <v>4337</v>
      </c>
      <c r="I15" s="2" t="s">
        <v>4338</v>
      </c>
    </row>
    <row r="16">
      <c r="B16" s="20" t="s">
        <v>4339</v>
      </c>
      <c r="I16" s="2" t="s">
        <v>4340</v>
      </c>
    </row>
    <row r="17">
      <c r="B17" s="20" t="s">
        <v>4341</v>
      </c>
      <c r="I17" s="2" t="s">
        <v>4342</v>
      </c>
    </row>
    <row r="18">
      <c r="B18" s="20" t="s">
        <v>4343</v>
      </c>
      <c r="I18" s="2" t="s">
        <v>4344</v>
      </c>
    </row>
    <row r="19">
      <c r="B19" s="20" t="s">
        <v>4345</v>
      </c>
      <c r="I19" s="2" t="s">
        <v>4346</v>
      </c>
    </row>
    <row r="20">
      <c r="B20" s="20" t="s">
        <v>4347</v>
      </c>
      <c r="I20" s="2" t="s">
        <v>4348</v>
      </c>
    </row>
    <row r="21">
      <c r="B21" s="20" t="s">
        <v>4349</v>
      </c>
      <c r="I21" s="2" t="s">
        <v>1966</v>
      </c>
    </row>
    <row r="22">
      <c r="B22" s="20" t="s">
        <v>4350</v>
      </c>
      <c r="I22" s="2" t="s">
        <v>4351</v>
      </c>
    </row>
    <row r="23">
      <c r="B23" s="20" t="s">
        <v>4352</v>
      </c>
    </row>
    <row r="24">
      <c r="B24" s="20" t="s">
        <v>4353</v>
      </c>
      <c r="I24" s="2" t="s">
        <v>4354</v>
      </c>
    </row>
    <row r="25">
      <c r="B25" s="20" t="s">
        <v>4355</v>
      </c>
      <c r="I25" s="2" t="s">
        <v>4356</v>
      </c>
    </row>
    <row r="26">
      <c r="B26" s="20" t="s">
        <v>4357</v>
      </c>
      <c r="I26" s="2" t="s">
        <v>4356</v>
      </c>
    </row>
    <row r="27">
      <c r="B27" s="20" t="s">
        <v>4358</v>
      </c>
      <c r="I27" s="2" t="s">
        <v>4359</v>
      </c>
    </row>
    <row r="28">
      <c r="B28" s="20" t="s">
        <v>4360</v>
      </c>
      <c r="I28" s="2" t="s">
        <v>4361</v>
      </c>
    </row>
    <row r="29">
      <c r="B29" s="20" t="s">
        <v>4362</v>
      </c>
      <c r="I29" s="2" t="s">
        <v>4363</v>
      </c>
    </row>
    <row r="30">
      <c r="B30" s="20" t="s">
        <v>4364</v>
      </c>
      <c r="I30" s="2" t="s">
        <v>4351</v>
      </c>
    </row>
    <row r="31">
      <c r="B31" s="20" t="s">
        <v>4365</v>
      </c>
      <c r="I31" s="2" t="s">
        <v>4366</v>
      </c>
    </row>
    <row r="32">
      <c r="B32" s="20" t="s">
        <v>4367</v>
      </c>
      <c r="I32" s="2" t="s">
        <v>4368</v>
      </c>
    </row>
    <row r="33">
      <c r="B33" s="20" t="s">
        <v>4369</v>
      </c>
      <c r="I33" s="2" t="s">
        <v>4351</v>
      </c>
    </row>
    <row r="34">
      <c r="B34" s="20" t="s">
        <v>4370</v>
      </c>
    </row>
    <row r="35">
      <c r="B35" s="20" t="s">
        <v>4371</v>
      </c>
      <c r="I35" s="2" t="s">
        <v>4372</v>
      </c>
    </row>
    <row r="36">
      <c r="B36" s="20" t="s">
        <v>4373</v>
      </c>
      <c r="I36" s="2" t="s">
        <v>4356</v>
      </c>
    </row>
    <row r="37">
      <c r="B37" s="20" t="s">
        <v>4374</v>
      </c>
      <c r="I37" s="2" t="s">
        <v>4356</v>
      </c>
    </row>
    <row r="38">
      <c r="B38" s="20" t="s">
        <v>4375</v>
      </c>
      <c r="I38" s="2" t="s">
        <v>4376</v>
      </c>
    </row>
    <row r="39">
      <c r="B39" s="20" t="s">
        <v>4377</v>
      </c>
      <c r="I39" s="2" t="s">
        <v>4378</v>
      </c>
    </row>
    <row r="40">
      <c r="B40" s="20" t="s">
        <v>4379</v>
      </c>
      <c r="I40" s="2" t="s">
        <v>4380</v>
      </c>
    </row>
    <row r="41">
      <c r="B41" s="20" t="s">
        <v>4381</v>
      </c>
      <c r="I41" s="2" t="s">
        <v>4382</v>
      </c>
    </row>
    <row r="42">
      <c r="B42" s="20" t="s">
        <v>4383</v>
      </c>
      <c r="I42" s="2" t="s">
        <v>4384</v>
      </c>
    </row>
    <row r="43">
      <c r="B43" s="20" t="s">
        <v>4385</v>
      </c>
      <c r="I43" s="2" t="s">
        <v>4386</v>
      </c>
    </row>
    <row r="44">
      <c r="B44" s="20" t="s">
        <v>4387</v>
      </c>
      <c r="I44" s="2" t="s">
        <v>4388</v>
      </c>
    </row>
    <row r="45">
      <c r="B45" s="20" t="s">
        <v>4389</v>
      </c>
      <c r="I45" s="2" t="s">
        <v>4390</v>
      </c>
    </row>
    <row r="46">
      <c r="B46" s="20" t="s">
        <v>4391</v>
      </c>
      <c r="I46" s="2" t="s">
        <v>4392</v>
      </c>
    </row>
    <row r="47">
      <c r="B47" s="20" t="s">
        <v>4393</v>
      </c>
      <c r="I47" s="2" t="s">
        <v>4394</v>
      </c>
    </row>
    <row r="48">
      <c r="B48" s="20" t="s">
        <v>4395</v>
      </c>
      <c r="I48" s="2" t="s">
        <v>4396</v>
      </c>
    </row>
    <row r="49">
      <c r="B49" s="20" t="s">
        <v>4397</v>
      </c>
      <c r="I49" s="2" t="s">
        <v>4398</v>
      </c>
    </row>
    <row r="50">
      <c r="B50" s="20" t="s">
        <v>4399</v>
      </c>
      <c r="I50" s="2" t="s">
        <v>4400</v>
      </c>
    </row>
    <row r="51">
      <c r="B51" s="20" t="s">
        <v>4401</v>
      </c>
      <c r="I51" s="2" t="s">
        <v>4402</v>
      </c>
    </row>
    <row r="52">
      <c r="B52" s="20" t="s">
        <v>4403</v>
      </c>
      <c r="I52" s="2" t="s">
        <v>4404</v>
      </c>
    </row>
    <row r="53">
      <c r="B53" s="20" t="s">
        <v>4405</v>
      </c>
      <c r="I53" s="2" t="s">
        <v>4351</v>
      </c>
    </row>
    <row r="54">
      <c r="B54" s="20" t="s">
        <v>4406</v>
      </c>
      <c r="I54" s="2" t="s">
        <v>4366</v>
      </c>
    </row>
    <row r="55">
      <c r="B55" s="20" t="s">
        <v>4407</v>
      </c>
      <c r="I55" s="2" t="s">
        <v>4356</v>
      </c>
    </row>
    <row r="56">
      <c r="B56" s="20" t="s">
        <v>4408</v>
      </c>
      <c r="I56" s="2" t="s">
        <v>4409</v>
      </c>
    </row>
    <row r="57">
      <c r="B57" s="20" t="s">
        <v>4410</v>
      </c>
      <c r="I57" s="2" t="s">
        <v>4411</v>
      </c>
    </row>
    <row r="58">
      <c r="B58" s="20" t="s">
        <v>4412</v>
      </c>
      <c r="I58" s="2" t="s">
        <v>4413</v>
      </c>
    </row>
    <row r="59">
      <c r="B59" s="20" t="s">
        <v>4414</v>
      </c>
      <c r="I59" s="2" t="s">
        <v>4415</v>
      </c>
    </row>
    <row r="60">
      <c r="B60" s="20" t="s">
        <v>4416</v>
      </c>
      <c r="I60" s="2" t="s">
        <v>4417</v>
      </c>
    </row>
    <row r="61">
      <c r="B61" s="20" t="s">
        <v>4418</v>
      </c>
      <c r="I61" s="2" t="s">
        <v>4419</v>
      </c>
    </row>
    <row r="62">
      <c r="B62" s="20" t="s">
        <v>4420</v>
      </c>
      <c r="I62" s="2" t="s">
        <v>4421</v>
      </c>
    </row>
    <row r="63">
      <c r="B63" s="20" t="s">
        <v>4422</v>
      </c>
      <c r="I63" s="2" t="s">
        <v>4351</v>
      </c>
    </row>
    <row r="64">
      <c r="B64" s="20" t="s">
        <v>4423</v>
      </c>
      <c r="I64" s="2" t="s">
        <v>4366</v>
      </c>
    </row>
    <row r="65">
      <c r="B65" s="20" t="s">
        <v>4424</v>
      </c>
      <c r="I65" s="2" t="s">
        <v>4356</v>
      </c>
    </row>
    <row r="66">
      <c r="B66" s="20" t="s">
        <v>4425</v>
      </c>
      <c r="I66" s="2" t="s">
        <v>4426</v>
      </c>
    </row>
    <row r="67">
      <c r="B67" s="20" t="s">
        <v>4427</v>
      </c>
      <c r="I67" s="2" t="s">
        <v>4428</v>
      </c>
    </row>
    <row r="68">
      <c r="B68" s="20" t="s">
        <v>4429</v>
      </c>
      <c r="I68" s="2" t="s">
        <v>4430</v>
      </c>
    </row>
    <row r="69">
      <c r="B69" s="20" t="s">
        <v>4431</v>
      </c>
      <c r="I69" s="2" t="s">
        <v>4432</v>
      </c>
    </row>
    <row r="70">
      <c r="B70" s="20" t="s">
        <v>4433</v>
      </c>
      <c r="I70" s="2" t="s">
        <v>4434</v>
      </c>
    </row>
    <row r="71">
      <c r="B71" s="20" t="s">
        <v>4435</v>
      </c>
      <c r="I71" s="2" t="s">
        <v>4436</v>
      </c>
    </row>
    <row r="72">
      <c r="B72" s="20" t="s">
        <v>4437</v>
      </c>
      <c r="I72" s="2" t="s">
        <v>4351</v>
      </c>
    </row>
    <row r="73">
      <c r="B73" s="20" t="s">
        <v>4438</v>
      </c>
      <c r="I73" s="2" t="s">
        <v>4366</v>
      </c>
    </row>
    <row r="74">
      <c r="B74" s="20" t="s">
        <v>4439</v>
      </c>
      <c r="I74" s="2" t="s">
        <v>4356</v>
      </c>
    </row>
    <row r="75">
      <c r="B75" s="20" t="s">
        <v>4440</v>
      </c>
      <c r="I75" s="2" t="s">
        <v>4441</v>
      </c>
    </row>
    <row r="76">
      <c r="B76" s="20" t="s">
        <v>4442</v>
      </c>
      <c r="I76" s="2" t="s">
        <v>4443</v>
      </c>
    </row>
    <row r="77">
      <c r="B77" s="20" t="s">
        <v>4444</v>
      </c>
      <c r="I77" s="2" t="s">
        <v>4445</v>
      </c>
    </row>
    <row r="78">
      <c r="B78" s="20" t="s">
        <v>4446</v>
      </c>
      <c r="I78" s="2" t="s">
        <v>4447</v>
      </c>
    </row>
    <row r="79">
      <c r="B79" s="20" t="s">
        <v>4448</v>
      </c>
      <c r="I79" s="2" t="s">
        <v>4449</v>
      </c>
    </row>
    <row r="80">
      <c r="B80" s="20" t="s">
        <v>4450</v>
      </c>
      <c r="I80" s="2" t="s">
        <v>4451</v>
      </c>
    </row>
    <row r="81">
      <c r="B81" s="20" t="s">
        <v>4452</v>
      </c>
      <c r="I81" s="2" t="s">
        <v>4453</v>
      </c>
    </row>
    <row r="82">
      <c r="B82" s="20" t="s">
        <v>4454</v>
      </c>
      <c r="I82" s="2" t="s">
        <v>4351</v>
      </c>
    </row>
    <row r="83">
      <c r="B83" s="20" t="s">
        <v>4455</v>
      </c>
      <c r="I83" s="2" t="s">
        <v>4366</v>
      </c>
    </row>
    <row r="84">
      <c r="B84" s="20" t="s">
        <v>4456</v>
      </c>
      <c r="I84" s="2" t="s">
        <v>4356</v>
      </c>
    </row>
    <row r="85">
      <c r="B85" s="20" t="s">
        <v>4457</v>
      </c>
      <c r="I85" s="2" t="s">
        <v>4458</v>
      </c>
    </row>
    <row r="86">
      <c r="B86" s="20" t="s">
        <v>4459</v>
      </c>
      <c r="I86" s="2" t="s">
        <v>4460</v>
      </c>
    </row>
    <row r="87">
      <c r="B87" s="20" t="s">
        <v>4461</v>
      </c>
      <c r="I87" s="2" t="s">
        <v>4351</v>
      </c>
    </row>
    <row r="88">
      <c r="B88" s="20" t="s">
        <v>4462</v>
      </c>
    </row>
    <row r="89">
      <c r="B89" s="20" t="s">
        <v>4463</v>
      </c>
      <c r="I89" s="2" t="s">
        <v>4351</v>
      </c>
    </row>
    <row r="90">
      <c r="B90" s="20" t="s">
        <v>4464</v>
      </c>
      <c r="I90" s="2" t="s">
        <v>4351</v>
      </c>
    </row>
    <row r="91">
      <c r="B91" s="20" t="s">
        <v>4465</v>
      </c>
    </row>
    <row r="92">
      <c r="B92" s="20" t="s">
        <v>4466</v>
      </c>
      <c r="I92" s="2" t="s">
        <v>4467</v>
      </c>
    </row>
    <row r="93">
      <c r="B93" s="20" t="s">
        <v>4468</v>
      </c>
      <c r="I93" s="2" t="s">
        <v>4469</v>
      </c>
    </row>
    <row r="94">
      <c r="B94" s="20" t="s">
        <v>4470</v>
      </c>
    </row>
    <row r="95">
      <c r="B95" s="20" t="s">
        <v>4471</v>
      </c>
      <c r="I95" s="2" t="s">
        <v>4472</v>
      </c>
    </row>
    <row r="96">
      <c r="B96" s="20" t="s">
        <v>4473</v>
      </c>
      <c r="I96" s="2" t="s">
        <v>4474</v>
      </c>
    </row>
    <row r="97">
      <c r="B97" s="20" t="s">
        <v>4475</v>
      </c>
      <c r="I97" s="2" t="s">
        <v>4476</v>
      </c>
    </row>
    <row r="98">
      <c r="B98" s="20" t="s">
        <v>4477</v>
      </c>
      <c r="I98" s="2" t="s">
        <v>4478</v>
      </c>
    </row>
    <row r="99">
      <c r="B99" s="20" t="s">
        <v>4479</v>
      </c>
      <c r="I99" s="2" t="s">
        <v>4480</v>
      </c>
    </row>
    <row r="100">
      <c r="B100" s="20" t="s">
        <v>4481</v>
      </c>
      <c r="I100" s="2" t="s">
        <v>4482</v>
      </c>
    </row>
    <row r="101">
      <c r="B101" s="20" t="s">
        <v>4483</v>
      </c>
    </row>
    <row r="102">
      <c r="B102" s="20" t="s">
        <v>4484</v>
      </c>
      <c r="I102" s="2" t="s">
        <v>4485</v>
      </c>
    </row>
    <row r="103">
      <c r="B103" s="20" t="s">
        <v>4486</v>
      </c>
      <c r="I103" s="2" t="s">
        <v>4487</v>
      </c>
    </row>
    <row r="104">
      <c r="B104" s="20" t="s">
        <v>4488</v>
      </c>
      <c r="I104" s="2" t="s">
        <v>4489</v>
      </c>
    </row>
    <row r="105">
      <c r="B105" s="20" t="s">
        <v>4490</v>
      </c>
      <c r="I105" s="2" t="s">
        <v>4491</v>
      </c>
    </row>
    <row r="106">
      <c r="B106" s="20" t="s">
        <v>4492</v>
      </c>
      <c r="I106" s="2" t="s">
        <v>4493</v>
      </c>
    </row>
    <row r="107">
      <c r="B107" s="20" t="s">
        <v>4494</v>
      </c>
      <c r="I107" s="2" t="s">
        <v>4495</v>
      </c>
    </row>
    <row r="108">
      <c r="B108" s="20" t="s">
        <v>4496</v>
      </c>
      <c r="I108" s="2" t="s">
        <v>4497</v>
      </c>
    </row>
    <row r="109">
      <c r="B109" s="20" t="s">
        <v>4498</v>
      </c>
      <c r="I109" s="2" t="s">
        <v>4499</v>
      </c>
    </row>
    <row r="110">
      <c r="B110" s="20" t="s">
        <v>4500</v>
      </c>
      <c r="I110" s="2" t="s">
        <v>4501</v>
      </c>
    </row>
    <row r="111">
      <c r="B111" s="20" t="s">
        <v>4502</v>
      </c>
      <c r="I111" s="2" t="s">
        <v>4503</v>
      </c>
    </row>
    <row r="112">
      <c r="B112" s="20" t="s">
        <v>4504</v>
      </c>
      <c r="I112" s="2" t="s">
        <v>4505</v>
      </c>
    </row>
    <row r="113">
      <c r="B113" s="20" t="s">
        <v>4506</v>
      </c>
      <c r="I113" s="2" t="s">
        <v>4507</v>
      </c>
    </row>
    <row r="114">
      <c r="B114" s="20" t="s">
        <v>4326</v>
      </c>
      <c r="I114" s="2" t="s">
        <v>4508</v>
      </c>
    </row>
    <row r="115">
      <c r="B115" s="20" t="s">
        <v>4509</v>
      </c>
      <c r="I115" s="2" t="s">
        <v>4510</v>
      </c>
    </row>
    <row r="116">
      <c r="B116" s="20" t="s">
        <v>4511</v>
      </c>
      <c r="I116" s="2" t="s">
        <v>4512</v>
      </c>
    </row>
    <row r="117">
      <c r="B117" s="20" t="s">
        <v>4513</v>
      </c>
      <c r="I117" s="2" t="s">
        <v>4514</v>
      </c>
    </row>
    <row r="118">
      <c r="B118" s="20" t="s">
        <v>4515</v>
      </c>
      <c r="I118" s="2" t="s">
        <v>4516</v>
      </c>
    </row>
    <row r="119">
      <c r="B119" s="20" t="s">
        <v>4517</v>
      </c>
      <c r="I119" s="2" t="s">
        <v>4518</v>
      </c>
    </row>
    <row r="120">
      <c r="B120" s="20" t="s">
        <v>4519</v>
      </c>
      <c r="I120" s="2" t="s">
        <v>4520</v>
      </c>
    </row>
    <row r="121">
      <c r="B121" s="20" t="s">
        <v>4521</v>
      </c>
      <c r="I121" s="2" t="s">
        <v>4522</v>
      </c>
    </row>
    <row r="122">
      <c r="B122" s="20" t="s">
        <v>4523</v>
      </c>
      <c r="I122" s="2" t="s">
        <v>4524</v>
      </c>
    </row>
    <row r="123">
      <c r="B123" s="20" t="s">
        <v>4525</v>
      </c>
      <c r="I123" s="2" t="s">
        <v>4526</v>
      </c>
    </row>
    <row r="124">
      <c r="B124" s="20" t="s">
        <v>4347</v>
      </c>
      <c r="I124" s="2" t="s">
        <v>4527</v>
      </c>
    </row>
    <row r="125">
      <c r="B125" s="20" t="s">
        <v>4528</v>
      </c>
      <c r="I125" s="2" t="s">
        <v>4529</v>
      </c>
    </row>
    <row r="126">
      <c r="B126" s="20" t="s">
        <v>4530</v>
      </c>
      <c r="I126" s="2" t="s">
        <v>4531</v>
      </c>
    </row>
    <row r="127">
      <c r="B127" s="20" t="s">
        <v>4532</v>
      </c>
      <c r="I127" s="2" t="s">
        <v>4533</v>
      </c>
    </row>
    <row r="128">
      <c r="B128" s="20" t="s">
        <v>4534</v>
      </c>
      <c r="I128" s="2" t="s">
        <v>4535</v>
      </c>
    </row>
    <row r="129">
      <c r="B129" s="20" t="s">
        <v>4536</v>
      </c>
      <c r="I129" s="2" t="s">
        <v>4537</v>
      </c>
    </row>
    <row r="130">
      <c r="B130" s="20" t="s">
        <v>4538</v>
      </c>
      <c r="I130" s="2" t="s">
        <v>4539</v>
      </c>
    </row>
    <row r="131">
      <c r="B131" s="20" t="s">
        <v>4540</v>
      </c>
      <c r="I131" s="2" t="s">
        <v>4541</v>
      </c>
    </row>
    <row r="132">
      <c r="B132" s="20" t="s">
        <v>4542</v>
      </c>
      <c r="I132" s="2" t="s">
        <v>4543</v>
      </c>
    </row>
    <row r="133">
      <c r="B133" s="20" t="s">
        <v>4544</v>
      </c>
      <c r="I133" s="2" t="s">
        <v>4545</v>
      </c>
    </row>
    <row r="134">
      <c r="B134" s="20" t="s">
        <v>4546</v>
      </c>
      <c r="I134" s="2" t="s">
        <v>4547</v>
      </c>
    </row>
    <row r="135">
      <c r="B135" s="20" t="s">
        <v>4548</v>
      </c>
      <c r="I135" s="2" t="s">
        <v>4549</v>
      </c>
    </row>
    <row r="136">
      <c r="B136" s="20" t="s">
        <v>4550</v>
      </c>
      <c r="I136" s="2" t="s">
        <v>4551</v>
      </c>
    </row>
    <row r="137">
      <c r="B137" s="20" t="s">
        <v>4552</v>
      </c>
      <c r="I137" s="2" t="s">
        <v>4553</v>
      </c>
    </row>
    <row r="138">
      <c r="B138" s="20" t="s">
        <v>4554</v>
      </c>
      <c r="I138" s="2" t="s">
        <v>4555</v>
      </c>
    </row>
    <row r="139">
      <c r="B139" s="20" t="s">
        <v>4556</v>
      </c>
      <c r="I139" s="2" t="s">
        <v>4557</v>
      </c>
    </row>
    <row r="140">
      <c r="B140" s="20" t="s">
        <v>4558</v>
      </c>
      <c r="I140" s="2" t="s">
        <v>4559</v>
      </c>
    </row>
    <row r="141">
      <c r="B141" s="20" t="s">
        <v>4560</v>
      </c>
      <c r="I141" s="2" t="s">
        <v>4561</v>
      </c>
    </row>
    <row r="142">
      <c r="B142" s="20" t="s">
        <v>4562</v>
      </c>
      <c r="I142" s="2" t="s">
        <v>4563</v>
      </c>
    </row>
    <row r="143">
      <c r="B143" s="20" t="s">
        <v>4564</v>
      </c>
      <c r="I143" s="2" t="s">
        <v>4565</v>
      </c>
    </row>
    <row r="144">
      <c r="B144" s="20" t="s">
        <v>4566</v>
      </c>
      <c r="I144" s="2" t="s">
        <v>4567</v>
      </c>
    </row>
    <row r="145">
      <c r="B145" s="20" t="s">
        <v>4568</v>
      </c>
      <c r="I145" s="2" t="s">
        <v>4569</v>
      </c>
    </row>
    <row r="146">
      <c r="B146" s="20" t="s">
        <v>4570</v>
      </c>
      <c r="I146" s="2" t="s">
        <v>4571</v>
      </c>
    </row>
    <row r="147">
      <c r="B147" s="20" t="s">
        <v>4572</v>
      </c>
      <c r="I147" s="2" t="s">
        <v>4573</v>
      </c>
    </row>
    <row r="148">
      <c r="B148" s="20" t="s">
        <v>4574</v>
      </c>
      <c r="I148" s="2" t="s">
        <v>4575</v>
      </c>
    </row>
    <row r="149">
      <c r="B149" s="20" t="s">
        <v>4576</v>
      </c>
      <c r="I149" s="2" t="s">
        <v>4577</v>
      </c>
    </row>
    <row r="150">
      <c r="B150" s="20" t="s">
        <v>4578</v>
      </c>
      <c r="I150" s="2" t="s">
        <v>4579</v>
      </c>
    </row>
    <row r="151">
      <c r="B151" s="20" t="s">
        <v>4580</v>
      </c>
      <c r="I151" s="2" t="s">
        <v>4581</v>
      </c>
    </row>
    <row r="152">
      <c r="B152" s="20" t="s">
        <v>4582</v>
      </c>
      <c r="I152" s="2" t="s">
        <v>4583</v>
      </c>
    </row>
    <row r="153">
      <c r="B153" s="20" t="s">
        <v>4584</v>
      </c>
      <c r="I153" s="2" t="s">
        <v>4585</v>
      </c>
    </row>
    <row r="154">
      <c r="B154" s="20" t="s">
        <v>4586</v>
      </c>
      <c r="I154" s="2" t="s">
        <v>4587</v>
      </c>
    </row>
    <row r="155">
      <c r="B155" s="20" t="s">
        <v>4588</v>
      </c>
      <c r="I155" s="2" t="s">
        <v>4589</v>
      </c>
    </row>
    <row r="156">
      <c r="B156" s="20" t="s">
        <v>4590</v>
      </c>
      <c r="I156" s="2" t="s">
        <v>4591</v>
      </c>
    </row>
    <row r="157">
      <c r="B157" s="20" t="s">
        <v>4592</v>
      </c>
      <c r="I157" s="2" t="s">
        <v>4593</v>
      </c>
    </row>
    <row r="158">
      <c r="B158" s="20" t="s">
        <v>4594</v>
      </c>
      <c r="I158" s="2" t="s">
        <v>4595</v>
      </c>
    </row>
    <row r="159">
      <c r="B159" s="20" t="s">
        <v>4596</v>
      </c>
      <c r="I159" s="2" t="s">
        <v>4597</v>
      </c>
    </row>
    <row r="160">
      <c r="B160" s="20" t="s">
        <v>4598</v>
      </c>
      <c r="I160" s="2" t="s">
        <v>4599</v>
      </c>
    </row>
    <row r="161">
      <c r="B161" s="20" t="s">
        <v>4600</v>
      </c>
      <c r="I161" s="2" t="s">
        <v>4601</v>
      </c>
    </row>
    <row r="162">
      <c r="B162" s="20" t="s">
        <v>4602</v>
      </c>
      <c r="I162" s="2" t="s">
        <v>4603</v>
      </c>
    </row>
    <row r="163">
      <c r="B163" s="20" t="s">
        <v>4604</v>
      </c>
      <c r="I163" s="2" t="s">
        <v>4605</v>
      </c>
    </row>
    <row r="164">
      <c r="B164" s="20" t="s">
        <v>4606</v>
      </c>
      <c r="I164" s="2" t="s">
        <v>4607</v>
      </c>
    </row>
    <row r="165">
      <c r="B165" s="20" t="s">
        <v>4608</v>
      </c>
      <c r="I165" s="2" t="s">
        <v>4609</v>
      </c>
    </row>
    <row r="166">
      <c r="B166" s="20" t="s">
        <v>4610</v>
      </c>
      <c r="I166" s="2" t="s">
        <v>4611</v>
      </c>
    </row>
    <row r="167">
      <c r="B167" s="20" t="s">
        <v>4612</v>
      </c>
      <c r="I167" s="2" t="s">
        <v>4613</v>
      </c>
    </row>
    <row r="168">
      <c r="B168" s="20" t="s">
        <v>4614</v>
      </c>
      <c r="I168" s="2" t="s">
        <v>4615</v>
      </c>
    </row>
    <row r="169">
      <c r="B169" s="20" t="s">
        <v>4616</v>
      </c>
      <c r="I169" s="2" t="s">
        <v>4617</v>
      </c>
    </row>
    <row r="170">
      <c r="B170" s="20" t="s">
        <v>4618</v>
      </c>
      <c r="I170" s="2" t="s">
        <v>4619</v>
      </c>
    </row>
    <row r="171">
      <c r="B171" s="20" t="s">
        <v>4620</v>
      </c>
      <c r="I171" s="2" t="s">
        <v>4621</v>
      </c>
    </row>
    <row r="172">
      <c r="B172" s="20" t="s">
        <v>4622</v>
      </c>
      <c r="I172" s="2" t="s">
        <v>4623</v>
      </c>
    </row>
    <row r="173">
      <c r="B173" s="20" t="s">
        <v>4624</v>
      </c>
      <c r="I173" s="2" t="s">
        <v>4625</v>
      </c>
    </row>
    <row r="174">
      <c r="B174" s="20" t="s">
        <v>4626</v>
      </c>
      <c r="I174" s="2" t="s">
        <v>4627</v>
      </c>
    </row>
    <row r="175">
      <c r="B175" s="20" t="s">
        <v>4628</v>
      </c>
      <c r="I175" s="2" t="s">
        <v>4629</v>
      </c>
    </row>
    <row r="176">
      <c r="B176" s="20" t="s">
        <v>4630</v>
      </c>
      <c r="I176" s="2" t="s">
        <v>4631</v>
      </c>
    </row>
    <row r="177">
      <c r="B177" s="20" t="s">
        <v>4632</v>
      </c>
      <c r="I177" s="2" t="s">
        <v>4633</v>
      </c>
    </row>
    <row r="178">
      <c r="B178" s="20" t="s">
        <v>4634</v>
      </c>
      <c r="I178" s="2" t="s">
        <v>4635</v>
      </c>
    </row>
    <row r="179">
      <c r="B179" s="20" t="s">
        <v>4636</v>
      </c>
      <c r="I179" s="2" t="s">
        <v>4637</v>
      </c>
    </row>
    <row r="180">
      <c r="B180" s="20" t="s">
        <v>4638</v>
      </c>
      <c r="I180" s="2" t="s">
        <v>4639</v>
      </c>
    </row>
    <row r="181">
      <c r="B181" s="20" t="s">
        <v>4640</v>
      </c>
      <c r="I181" s="2" t="s">
        <v>4641</v>
      </c>
    </row>
    <row r="182">
      <c r="B182" s="20" t="s">
        <v>4642</v>
      </c>
      <c r="I182" s="2" t="s">
        <v>4643</v>
      </c>
    </row>
    <row r="183">
      <c r="B183" s="20" t="s">
        <v>4644</v>
      </c>
      <c r="I183" s="2" t="s">
        <v>4645</v>
      </c>
    </row>
    <row r="184">
      <c r="B184" s="20" t="s">
        <v>4646</v>
      </c>
      <c r="I184" s="2" t="s">
        <v>4647</v>
      </c>
    </row>
    <row r="185">
      <c r="B185" s="20" t="s">
        <v>4648</v>
      </c>
      <c r="I185" s="2" t="s">
        <v>4649</v>
      </c>
    </row>
    <row r="186">
      <c r="B186" s="20" t="s">
        <v>4650</v>
      </c>
      <c r="I186" s="2" t="s">
        <v>4651</v>
      </c>
    </row>
    <row r="187">
      <c r="B187" s="20" t="s">
        <v>4652</v>
      </c>
      <c r="I187" s="2" t="s">
        <v>4653</v>
      </c>
    </row>
    <row r="188">
      <c r="B188" s="20" t="s">
        <v>4654</v>
      </c>
      <c r="I188" s="2" t="s">
        <v>4655</v>
      </c>
    </row>
    <row r="189">
      <c r="B189" s="20" t="s">
        <v>4656</v>
      </c>
      <c r="I189" s="2" t="s">
        <v>4657</v>
      </c>
    </row>
    <row r="190">
      <c r="B190" s="20" t="s">
        <v>4658</v>
      </c>
      <c r="I190" s="2" t="s">
        <v>4659</v>
      </c>
    </row>
    <row r="191">
      <c r="B191" s="20" t="s">
        <v>4660</v>
      </c>
      <c r="I191" s="2" t="s">
        <v>4661</v>
      </c>
    </row>
    <row r="192">
      <c r="B192" s="20" t="s">
        <v>4662</v>
      </c>
      <c r="I192" s="2" t="s">
        <v>4663</v>
      </c>
    </row>
    <row r="193">
      <c r="B193" s="20" t="s">
        <v>4664</v>
      </c>
      <c r="I193" s="2" t="s">
        <v>4665</v>
      </c>
    </row>
    <row r="194">
      <c r="B194" s="20" t="s">
        <v>4666</v>
      </c>
      <c r="I194" s="2" t="s">
        <v>4667</v>
      </c>
    </row>
    <row r="195">
      <c r="B195" s="20" t="s">
        <v>4668</v>
      </c>
      <c r="I195" s="2" t="s">
        <v>4669</v>
      </c>
    </row>
    <row r="196">
      <c r="B196" s="20" t="s">
        <v>4670</v>
      </c>
      <c r="I196" s="2" t="s">
        <v>4671</v>
      </c>
    </row>
    <row r="197">
      <c r="B197" s="20" t="s">
        <v>4672</v>
      </c>
      <c r="I197" s="2" t="s">
        <v>4673</v>
      </c>
    </row>
    <row r="198">
      <c r="B198" s="20" t="s">
        <v>4674</v>
      </c>
      <c r="I198" s="2" t="s">
        <v>4675</v>
      </c>
    </row>
    <row r="199">
      <c r="B199" s="20" t="s">
        <v>4676</v>
      </c>
      <c r="I199" s="2" t="s">
        <v>4677</v>
      </c>
    </row>
    <row r="200">
      <c r="B200" s="20" t="s">
        <v>4678</v>
      </c>
      <c r="I200" s="2" t="s">
        <v>4679</v>
      </c>
    </row>
    <row r="201">
      <c r="B201" s="20" t="s">
        <v>4680</v>
      </c>
      <c r="I201" s="2" t="s">
        <v>4681</v>
      </c>
    </row>
    <row r="202">
      <c r="B202" s="20" t="s">
        <v>4682</v>
      </c>
      <c r="I202" s="2" t="s">
        <v>4683</v>
      </c>
    </row>
    <row r="203">
      <c r="B203" s="20" t="s">
        <v>4684</v>
      </c>
      <c r="I203" s="2" t="s">
        <v>4478</v>
      </c>
    </row>
    <row r="204">
      <c r="B204" s="20" t="s">
        <v>4685</v>
      </c>
      <c r="I204" s="2" t="s">
        <v>4686</v>
      </c>
    </row>
    <row r="205">
      <c r="B205" s="20" t="s">
        <v>4687</v>
      </c>
      <c r="I205" s="2" t="s">
        <v>4688</v>
      </c>
    </row>
    <row r="206">
      <c r="B206" s="20" t="s">
        <v>4689</v>
      </c>
      <c r="I206" s="2" t="s">
        <v>4690</v>
      </c>
    </row>
    <row r="207">
      <c r="B207" s="20" t="s">
        <v>4691</v>
      </c>
      <c r="I207" s="2" t="s">
        <v>4692</v>
      </c>
    </row>
    <row r="208">
      <c r="B208" s="20" t="s">
        <v>4693</v>
      </c>
      <c r="I208" s="2" t="s">
        <v>4694</v>
      </c>
    </row>
    <row r="209">
      <c r="B209" s="20" t="s">
        <v>4695</v>
      </c>
      <c r="I209" s="2" t="s">
        <v>4696</v>
      </c>
    </row>
    <row r="210">
      <c r="B210" s="20" t="s">
        <v>4697</v>
      </c>
      <c r="I210" s="2" t="s">
        <v>4698</v>
      </c>
    </row>
    <row r="211">
      <c r="B211" s="20" t="s">
        <v>4699</v>
      </c>
      <c r="I211" s="2" t="s">
        <v>4700</v>
      </c>
    </row>
    <row r="212">
      <c r="B212" s="20" t="s">
        <v>4701</v>
      </c>
      <c r="I212" s="2" t="s">
        <v>4702</v>
      </c>
    </row>
    <row r="213">
      <c r="B213" s="20" t="s">
        <v>4703</v>
      </c>
      <c r="I213" s="2" t="s">
        <v>4499</v>
      </c>
    </row>
    <row r="214">
      <c r="B214" s="20" t="s">
        <v>4704</v>
      </c>
      <c r="I214" s="2" t="s">
        <v>4705</v>
      </c>
    </row>
    <row r="215">
      <c r="B215" s="20" t="s">
        <v>4706</v>
      </c>
      <c r="I215" s="2" t="s">
        <v>4707</v>
      </c>
    </row>
    <row r="216">
      <c r="B216" s="20" t="s">
        <v>4708</v>
      </c>
      <c r="I216" s="2" t="s">
        <v>4709</v>
      </c>
    </row>
    <row r="217">
      <c r="B217" s="20" t="s">
        <v>4710</v>
      </c>
      <c r="I217" s="2" t="s">
        <v>4711</v>
      </c>
    </row>
    <row r="218">
      <c r="B218" s="20" t="s">
        <v>4712</v>
      </c>
      <c r="I218" s="2" t="s">
        <v>4713</v>
      </c>
    </row>
    <row r="219">
      <c r="B219" s="20" t="s">
        <v>4714</v>
      </c>
      <c r="I219" s="2" t="s">
        <v>4715</v>
      </c>
    </row>
    <row r="220">
      <c r="B220" s="20" t="s">
        <v>4716</v>
      </c>
      <c r="I220" s="2" t="s">
        <v>4717</v>
      </c>
    </row>
    <row r="221">
      <c r="B221" s="20" t="s">
        <v>4718</v>
      </c>
      <c r="I221" s="2" t="s">
        <v>4719</v>
      </c>
    </row>
    <row r="222">
      <c r="B222" s="20" t="s">
        <v>4720</v>
      </c>
      <c r="I222" s="2" t="s">
        <v>4721</v>
      </c>
    </row>
    <row r="223">
      <c r="B223" s="20" t="s">
        <v>4722</v>
      </c>
      <c r="I223" s="2" t="s">
        <v>4723</v>
      </c>
    </row>
    <row r="224">
      <c r="B224" s="20" t="s">
        <v>4724</v>
      </c>
      <c r="I224" s="2" t="s">
        <v>4725</v>
      </c>
    </row>
    <row r="225">
      <c r="B225" s="20" t="s">
        <v>4726</v>
      </c>
      <c r="I225" s="2" t="s">
        <v>4727</v>
      </c>
    </row>
    <row r="226">
      <c r="B226" s="20" t="s">
        <v>4728</v>
      </c>
      <c r="I226" s="2" t="s">
        <v>4729</v>
      </c>
    </row>
    <row r="227">
      <c r="B227" s="20" t="s">
        <v>4730</v>
      </c>
      <c r="I227" s="2" t="s">
        <v>4731</v>
      </c>
    </row>
    <row r="228">
      <c r="B228" s="20" t="s">
        <v>4732</v>
      </c>
      <c r="I228" s="2" t="s">
        <v>4733</v>
      </c>
    </row>
    <row r="229">
      <c r="B229" s="20" t="s">
        <v>4734</v>
      </c>
      <c r="I229" s="2" t="s">
        <v>4735</v>
      </c>
    </row>
    <row r="230">
      <c r="B230" s="20" t="s">
        <v>4736</v>
      </c>
      <c r="I230" s="2" t="s">
        <v>4737</v>
      </c>
    </row>
    <row r="231">
      <c r="B231" s="20" t="s">
        <v>4738</v>
      </c>
      <c r="I231" s="2" t="s">
        <v>4739</v>
      </c>
    </row>
    <row r="232">
      <c r="B232" s="20" t="s">
        <v>4740</v>
      </c>
      <c r="I232" s="2" t="s">
        <v>4741</v>
      </c>
    </row>
    <row r="233">
      <c r="B233" s="20" t="s">
        <v>4742</v>
      </c>
      <c r="I233" s="2" t="s">
        <v>4743</v>
      </c>
    </row>
    <row r="234">
      <c r="B234" s="20" t="s">
        <v>4744</v>
      </c>
      <c r="I234" s="2" t="s">
        <v>4745</v>
      </c>
    </row>
    <row r="235">
      <c r="B235" s="20" t="s">
        <v>4746</v>
      </c>
      <c r="I235" s="2" t="s">
        <v>4747</v>
      </c>
    </row>
    <row r="236">
      <c r="B236" s="20" t="s">
        <v>4748</v>
      </c>
      <c r="I236" s="2" t="s">
        <v>4749</v>
      </c>
    </row>
    <row r="237">
      <c r="B237" s="20" t="s">
        <v>4750</v>
      </c>
      <c r="I237" s="2" t="s">
        <v>4751</v>
      </c>
    </row>
    <row r="238">
      <c r="B238" s="20" t="s">
        <v>4752</v>
      </c>
      <c r="I238" s="2" t="s">
        <v>4753</v>
      </c>
    </row>
    <row r="239">
      <c r="B239" s="20" t="s">
        <v>4754</v>
      </c>
      <c r="I239" s="2" t="s">
        <v>4755</v>
      </c>
    </row>
    <row r="240">
      <c r="B240" s="20" t="s">
        <v>4756</v>
      </c>
      <c r="I240" s="2" t="s">
        <v>4757</v>
      </c>
    </row>
    <row r="241">
      <c r="B241" s="20" t="s">
        <v>4758</v>
      </c>
      <c r="I241" s="2" t="s">
        <v>4759</v>
      </c>
    </row>
    <row r="242">
      <c r="B242" s="20" t="s">
        <v>4760</v>
      </c>
      <c r="I242" s="2" t="s">
        <v>4761</v>
      </c>
    </row>
    <row r="243">
      <c r="B243" s="20" t="s">
        <v>4762</v>
      </c>
      <c r="I243" s="2" t="s">
        <v>4763</v>
      </c>
    </row>
    <row r="244">
      <c r="B244" s="20" t="s">
        <v>4764</v>
      </c>
      <c r="I244" s="2" t="s">
        <v>4765</v>
      </c>
    </row>
    <row r="245">
      <c r="B245" s="20" t="s">
        <v>4766</v>
      </c>
      <c r="I245" s="2" t="s">
        <v>4767</v>
      </c>
    </row>
    <row r="246">
      <c r="B246" s="20" t="s">
        <v>4768</v>
      </c>
      <c r="I246" s="2" t="s">
        <v>4769</v>
      </c>
    </row>
    <row r="247">
      <c r="B247" s="20" t="s">
        <v>4770</v>
      </c>
      <c r="I247" s="2" t="s">
        <v>4771</v>
      </c>
    </row>
    <row r="248">
      <c r="B248" s="20" t="s">
        <v>4772</v>
      </c>
      <c r="I248" s="2" t="s">
        <v>4773</v>
      </c>
    </row>
    <row r="249">
      <c r="B249" s="20" t="s">
        <v>4774</v>
      </c>
      <c r="I249" s="2" t="s">
        <v>4775</v>
      </c>
    </row>
    <row r="250">
      <c r="B250" s="20" t="s">
        <v>4776</v>
      </c>
      <c r="I250" s="2" t="s">
        <v>4777</v>
      </c>
    </row>
    <row r="251">
      <c r="B251" s="2" t="s">
        <v>1739</v>
      </c>
      <c r="I251" s="2" t="s">
        <v>4778</v>
      </c>
    </row>
    <row r="252">
      <c r="B252" s="2" t="s">
        <v>4351</v>
      </c>
      <c r="I252" s="2" t="s">
        <v>4779</v>
      </c>
    </row>
    <row r="253">
      <c r="B253" s="2" t="s">
        <v>4366</v>
      </c>
      <c r="I253" s="2" t="s">
        <v>4780</v>
      </c>
    </row>
    <row r="254">
      <c r="B254" s="2" t="s">
        <v>4781</v>
      </c>
      <c r="I254" s="2" t="s">
        <v>4782</v>
      </c>
    </row>
    <row r="255">
      <c r="B255" s="2" t="s">
        <v>1261</v>
      </c>
      <c r="I255" s="2" t="s">
        <v>4783</v>
      </c>
    </row>
    <row r="256">
      <c r="B256" s="2" t="s">
        <v>4351</v>
      </c>
      <c r="I256" s="2" t="s">
        <v>4784</v>
      </c>
    </row>
    <row r="257">
      <c r="I257" s="2" t="s">
        <v>4785</v>
      </c>
    </row>
    <row r="258">
      <c r="I258" s="2" t="s">
        <v>4786</v>
      </c>
    </row>
    <row r="259">
      <c r="I259" s="2" t="s">
        <v>4787</v>
      </c>
    </row>
    <row r="260">
      <c r="I260" s="2" t="s">
        <v>4788</v>
      </c>
    </row>
    <row r="261">
      <c r="I261" s="2" t="s">
        <v>4789</v>
      </c>
    </row>
    <row r="262">
      <c r="I262" s="2" t="s">
        <v>4790</v>
      </c>
    </row>
    <row r="263">
      <c r="I263" s="2" t="s">
        <v>4791</v>
      </c>
    </row>
    <row r="264">
      <c r="I264" s="2" t="s">
        <v>4792</v>
      </c>
    </row>
    <row r="265">
      <c r="I265" s="2" t="s">
        <v>4793</v>
      </c>
    </row>
    <row r="266">
      <c r="I266" s="2" t="s">
        <v>4794</v>
      </c>
    </row>
    <row r="267">
      <c r="I267" s="2" t="s">
        <v>4795</v>
      </c>
    </row>
    <row r="268">
      <c r="I268" s="2" t="s">
        <v>4796</v>
      </c>
    </row>
    <row r="269">
      <c r="I269" s="2" t="s">
        <v>4797</v>
      </c>
    </row>
    <row r="270">
      <c r="I270" s="2" t="s">
        <v>4798</v>
      </c>
    </row>
    <row r="271">
      <c r="I271" s="2" t="s">
        <v>4799</v>
      </c>
    </row>
    <row r="272">
      <c r="I272" s="2" t="s">
        <v>4800</v>
      </c>
    </row>
    <row r="273">
      <c r="I273" s="2" t="s">
        <v>4801</v>
      </c>
    </row>
    <row r="274">
      <c r="I274" s="2" t="s">
        <v>4802</v>
      </c>
    </row>
    <row r="275">
      <c r="I275" s="2" t="s">
        <v>4803</v>
      </c>
    </row>
    <row r="276">
      <c r="I276" s="2" t="s">
        <v>4804</v>
      </c>
    </row>
    <row r="277">
      <c r="I277" s="2" t="s">
        <v>4805</v>
      </c>
    </row>
    <row r="278">
      <c r="I278" s="2" t="s">
        <v>4806</v>
      </c>
    </row>
    <row r="279">
      <c r="I279" s="2" t="s">
        <v>4807</v>
      </c>
    </row>
    <row r="280">
      <c r="I280" s="2" t="s">
        <v>4808</v>
      </c>
    </row>
    <row r="281">
      <c r="I281" s="2" t="s">
        <v>4809</v>
      </c>
    </row>
    <row r="282">
      <c r="I282" s="2" t="s">
        <v>4810</v>
      </c>
    </row>
    <row r="283">
      <c r="I283" s="2" t="s">
        <v>4811</v>
      </c>
    </row>
    <row r="284">
      <c r="I284" s="2" t="s">
        <v>4812</v>
      </c>
    </row>
    <row r="285">
      <c r="I285" s="2" t="s">
        <v>4813</v>
      </c>
    </row>
    <row r="286">
      <c r="I286" s="2" t="s">
        <v>4814</v>
      </c>
    </row>
    <row r="287">
      <c r="I287" s="2" t="s">
        <v>4815</v>
      </c>
    </row>
    <row r="288">
      <c r="I288" s="2" t="s">
        <v>4816</v>
      </c>
    </row>
    <row r="289">
      <c r="I289" s="2" t="s">
        <v>4817</v>
      </c>
    </row>
    <row r="290">
      <c r="I290" s="2" t="s">
        <v>4818</v>
      </c>
    </row>
    <row r="291">
      <c r="I291" s="2" t="s">
        <v>4819</v>
      </c>
    </row>
    <row r="292">
      <c r="I292" s="2" t="s">
        <v>4820</v>
      </c>
    </row>
    <row r="293">
      <c r="I293" s="2" t="s">
        <v>4821</v>
      </c>
    </row>
    <row r="294">
      <c r="I294" s="2" t="s">
        <v>4822</v>
      </c>
    </row>
    <row r="295">
      <c r="I295" s="2" t="s">
        <v>4823</v>
      </c>
    </row>
    <row r="296">
      <c r="I296" s="2" t="s">
        <v>4824</v>
      </c>
    </row>
    <row r="297">
      <c r="I297" s="2" t="s">
        <v>4825</v>
      </c>
    </row>
    <row r="298">
      <c r="I298" s="2" t="s">
        <v>4826</v>
      </c>
    </row>
    <row r="299">
      <c r="I299" s="2" t="s">
        <v>4827</v>
      </c>
    </row>
    <row r="300">
      <c r="I300" s="2" t="s">
        <v>4828</v>
      </c>
    </row>
    <row r="301">
      <c r="I301" s="2" t="s">
        <v>4829</v>
      </c>
    </row>
    <row r="302">
      <c r="I302" s="2" t="s">
        <v>4830</v>
      </c>
    </row>
    <row r="303">
      <c r="I303" s="2" t="s">
        <v>4831</v>
      </c>
    </row>
    <row r="304">
      <c r="I304" s="2" t="s">
        <v>4832</v>
      </c>
    </row>
    <row r="305">
      <c r="I305" s="2" t="s">
        <v>4833</v>
      </c>
    </row>
    <row r="306">
      <c r="I306" s="2" t="s">
        <v>4834</v>
      </c>
    </row>
    <row r="307">
      <c r="I307" s="2" t="s">
        <v>4835</v>
      </c>
    </row>
    <row r="308">
      <c r="I308" s="2" t="s">
        <v>4836</v>
      </c>
    </row>
    <row r="309">
      <c r="I309" s="2" t="s">
        <v>4837</v>
      </c>
    </row>
    <row r="310">
      <c r="I310" s="2" t="s">
        <v>4838</v>
      </c>
    </row>
    <row r="311">
      <c r="I311" s="2" t="s">
        <v>4839</v>
      </c>
    </row>
    <row r="312">
      <c r="I312" s="2" t="s">
        <v>4840</v>
      </c>
    </row>
    <row r="313">
      <c r="I313" s="2" t="s">
        <v>4841</v>
      </c>
    </row>
    <row r="314">
      <c r="I314" s="2" t="s">
        <v>4842</v>
      </c>
    </row>
    <row r="315">
      <c r="I315" s="2" t="s">
        <v>4843</v>
      </c>
    </row>
    <row r="316">
      <c r="I316" s="2" t="s">
        <v>4844</v>
      </c>
    </row>
    <row r="317">
      <c r="I317" s="2" t="s">
        <v>4845</v>
      </c>
    </row>
    <row r="318">
      <c r="I318" s="2" t="s">
        <v>4846</v>
      </c>
    </row>
    <row r="319">
      <c r="I319" s="2" t="s">
        <v>4847</v>
      </c>
    </row>
    <row r="320">
      <c r="I320" s="2" t="s">
        <v>4848</v>
      </c>
    </row>
    <row r="321">
      <c r="I321" s="2" t="s">
        <v>4849</v>
      </c>
    </row>
    <row r="322">
      <c r="I322" s="2" t="s">
        <v>4850</v>
      </c>
    </row>
    <row r="323">
      <c r="I323" s="2" t="s">
        <v>4851</v>
      </c>
    </row>
    <row r="324">
      <c r="I324" s="2" t="s">
        <v>4852</v>
      </c>
    </row>
    <row r="325">
      <c r="I325" s="2" t="s">
        <v>4853</v>
      </c>
    </row>
    <row r="326">
      <c r="I326" s="2" t="s">
        <v>4854</v>
      </c>
    </row>
    <row r="327">
      <c r="I327" s="2" t="s">
        <v>4855</v>
      </c>
    </row>
    <row r="328">
      <c r="I328" s="2" t="s">
        <v>4856</v>
      </c>
    </row>
    <row r="329">
      <c r="I329" s="2" t="s">
        <v>4857</v>
      </c>
    </row>
    <row r="330">
      <c r="I330" s="2" t="s">
        <v>4858</v>
      </c>
    </row>
    <row r="331">
      <c r="I331" s="2" t="s">
        <v>4859</v>
      </c>
    </row>
    <row r="332">
      <c r="I332" s="2" t="s">
        <v>4860</v>
      </c>
    </row>
    <row r="333">
      <c r="I333" s="2" t="s">
        <v>4861</v>
      </c>
    </row>
    <row r="334">
      <c r="I334" s="2" t="s">
        <v>4862</v>
      </c>
    </row>
    <row r="335">
      <c r="I335" s="2" t="s">
        <v>4863</v>
      </c>
    </row>
    <row r="336">
      <c r="I336" s="2" t="s">
        <v>4864</v>
      </c>
    </row>
    <row r="337">
      <c r="I337" s="2" t="s">
        <v>4865</v>
      </c>
    </row>
    <row r="338">
      <c r="I338" s="2" t="s">
        <v>4866</v>
      </c>
    </row>
    <row r="339">
      <c r="I339" s="2" t="s">
        <v>4867</v>
      </c>
    </row>
    <row r="340">
      <c r="I340" s="2" t="s">
        <v>2658</v>
      </c>
    </row>
    <row r="341">
      <c r="I341" s="2" t="s">
        <v>4351</v>
      </c>
    </row>
    <row r="342">
      <c r="I342" s="2" t="s">
        <v>4366</v>
      </c>
    </row>
    <row r="343">
      <c r="I343" s="2" t="s">
        <v>4781</v>
      </c>
    </row>
    <row r="344">
      <c r="I344" s="2" t="s">
        <v>1261</v>
      </c>
    </row>
    <row r="345">
      <c r="I345" s="2" t="s">
        <v>4868</v>
      </c>
    </row>
  </sheetData>
  <drawing r:id="rId1"/>
</worksheet>
</file>